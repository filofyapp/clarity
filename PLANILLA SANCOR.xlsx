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updateLinks="always"/>
  <xr:revisionPtr revIDLastSave="0" documentId="8_{78BB3383-4022-4DCA-80B4-088AB2D779B5}" xr6:coauthVersionLast="47" xr6:coauthVersionMax="47" xr10:uidLastSave="{00000000-0000-0000-0000-000000000000}"/>
  <bookViews>
    <workbookView xWindow="240" yWindow="105" windowWidth="14805" windowHeight="8010" firstSheet="11" activeTab="11" xr2:uid="{00000000-000D-0000-FFFF-FFFF00000000}"/>
  </bookViews>
  <sheets>
    <sheet name="GralJulio" sheetId="46" state="hidden" r:id="rId1"/>
    <sheet name="GralAgosto" sheetId="47" state="hidden" r:id="rId2"/>
    <sheet name="PeritosJulio" sheetId="45" state="hidden" r:id="rId3"/>
    <sheet name="GralSeptiembre" sheetId="49" state="hidden" r:id="rId4"/>
    <sheet name="PeritosAgosto" sheetId="48" state="hidden" r:id="rId5"/>
    <sheet name="GralOctubre" sheetId="51" state="hidden" r:id="rId6"/>
    <sheet name="PeritosSeptiembre" sheetId="50" state="hidden" r:id="rId7"/>
    <sheet name="PeritosOctubre" sheetId="52" state="hidden" r:id="rId8"/>
    <sheet name="GralNoviembre" sheetId="53" state="hidden" r:id="rId9"/>
    <sheet name="GralDiciembre" sheetId="55" state="hidden" r:id="rId10"/>
    <sheet name="PeritosDiciembre" sheetId="56" state="hidden" r:id="rId11"/>
    <sheet name="General" sheetId="1" r:id="rId12"/>
    <sheet name="PeritosNoviembre" sheetId="54" state="hidden" r:id="rId13"/>
    <sheet name="GralEnero" sheetId="57" state="hidden" r:id="rId14"/>
    <sheet name="GralFebrero" sheetId="59" r:id="rId15"/>
    <sheet name="PeritosEnero" sheetId="58" state="hidden" r:id="rId16"/>
    <sheet name="PeritosFebrero" sheetId="60" r:id="rId17"/>
    <sheet name="NOTOCAR" sheetId="2" r:id="rId18"/>
    <sheet name="PROMEDIOS" sheetId="25" r:id="rId19"/>
    <sheet name="REPUESTEROS" sheetId="28" r:id="rId20"/>
  </sheets>
  <definedNames>
    <definedName name="_xlnm._FilterDatabase" localSheetId="11" hidden="1">General!$B$1:$X$3692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60" l="1"/>
  <c r="G4" i="60"/>
  <c r="J4" i="60"/>
  <c r="L4" i="60"/>
  <c r="O4" i="60"/>
  <c r="Q4" i="60"/>
  <c r="T4" i="60"/>
  <c r="V4" i="60"/>
  <c r="Y4" i="60"/>
  <c r="AA4" i="60"/>
  <c r="E5" i="60"/>
  <c r="G5" i="60"/>
  <c r="J5" i="60"/>
  <c r="L5" i="60"/>
  <c r="O5" i="60"/>
  <c r="Q5" i="60"/>
  <c r="T5" i="60"/>
  <c r="V5" i="60"/>
  <c r="Y5" i="60"/>
  <c r="AA5" i="60"/>
  <c r="E6" i="60"/>
  <c r="G6" i="60"/>
  <c r="J6" i="60"/>
  <c r="L6" i="60"/>
  <c r="O6" i="60"/>
  <c r="Q6" i="60"/>
  <c r="T6" i="60"/>
  <c r="V6" i="60"/>
  <c r="Y6" i="60"/>
  <c r="AA6" i="60"/>
  <c r="E7" i="60"/>
  <c r="G7" i="60"/>
  <c r="J7" i="60"/>
  <c r="L7" i="60"/>
  <c r="O7" i="60"/>
  <c r="Q7" i="60"/>
  <c r="T7" i="60"/>
  <c r="V7" i="60"/>
  <c r="Y7" i="60"/>
  <c r="AA7" i="60"/>
  <c r="G8" i="60"/>
  <c r="L8" i="60"/>
  <c r="Q8" i="60"/>
  <c r="V8" i="60"/>
  <c r="AA8" i="60"/>
  <c r="E9" i="60"/>
  <c r="G9" i="60"/>
  <c r="J9" i="60"/>
  <c r="L9" i="60"/>
  <c r="O9" i="60"/>
  <c r="Q9" i="60"/>
  <c r="T9" i="60"/>
  <c r="V9" i="60"/>
  <c r="Y9" i="60"/>
  <c r="AA9" i="60"/>
  <c r="E10" i="60"/>
  <c r="G10" i="60"/>
  <c r="J10" i="60"/>
  <c r="L10" i="60"/>
  <c r="O10" i="60"/>
  <c r="Q10" i="60"/>
  <c r="T10" i="60"/>
  <c r="V10" i="60"/>
  <c r="Y10" i="60"/>
  <c r="AA10" i="60"/>
  <c r="G11" i="60"/>
  <c r="L11" i="60"/>
  <c r="Q11" i="60"/>
  <c r="V11" i="60"/>
  <c r="AA11" i="60"/>
  <c r="E12" i="60"/>
  <c r="G12" i="60"/>
  <c r="J12" i="60"/>
  <c r="L12" i="60"/>
  <c r="O12" i="60"/>
  <c r="Q12" i="60"/>
  <c r="T12" i="60"/>
  <c r="V12" i="60"/>
  <c r="Y12" i="60"/>
  <c r="AA12" i="60"/>
  <c r="E13" i="60"/>
  <c r="G13" i="60"/>
  <c r="L13" i="60"/>
  <c r="Q13" i="60"/>
  <c r="V13" i="60"/>
  <c r="AA13" i="60"/>
  <c r="E14" i="60"/>
  <c r="J14" i="60"/>
  <c r="O14" i="60"/>
  <c r="T14" i="60"/>
  <c r="Y14" i="60"/>
  <c r="E27" i="60"/>
  <c r="G27" i="60"/>
  <c r="J27" i="60"/>
  <c r="L27" i="60"/>
  <c r="O27" i="60"/>
  <c r="Q27" i="60"/>
  <c r="T27" i="60"/>
  <c r="V27" i="60"/>
  <c r="Y27" i="60"/>
  <c r="E28" i="60"/>
  <c r="G28" i="60"/>
  <c r="J28" i="60"/>
  <c r="L28" i="60"/>
  <c r="O28" i="60"/>
  <c r="Q28" i="60"/>
  <c r="T28" i="60"/>
  <c r="V28" i="60"/>
  <c r="Y28" i="60"/>
  <c r="E29" i="60"/>
  <c r="G29" i="60"/>
  <c r="J29" i="60"/>
  <c r="L29" i="60"/>
  <c r="O29" i="60"/>
  <c r="Q29" i="60"/>
  <c r="T29" i="60"/>
  <c r="V29" i="60"/>
  <c r="Y29" i="60"/>
  <c r="E30" i="60"/>
  <c r="G30" i="60"/>
  <c r="J30" i="60"/>
  <c r="L30" i="60"/>
  <c r="O30" i="60"/>
  <c r="Q30" i="60"/>
  <c r="T30" i="60"/>
  <c r="V30" i="60"/>
  <c r="Y30" i="60"/>
  <c r="G31" i="60"/>
  <c r="L31" i="60"/>
  <c r="Q31" i="60"/>
  <c r="E32" i="60"/>
  <c r="G32" i="60"/>
  <c r="J32" i="60"/>
  <c r="L32" i="60"/>
  <c r="O32" i="60"/>
  <c r="Q32" i="60"/>
  <c r="T32" i="60"/>
  <c r="Y32" i="60"/>
  <c r="E33" i="60"/>
  <c r="G33" i="60"/>
  <c r="J33" i="60"/>
  <c r="L33" i="60"/>
  <c r="O33" i="60"/>
  <c r="Q33" i="60"/>
  <c r="T33" i="60"/>
  <c r="V33" i="60"/>
  <c r="Y33" i="60"/>
  <c r="G34" i="60"/>
  <c r="L34" i="60"/>
  <c r="Q34" i="60"/>
  <c r="E35" i="60"/>
  <c r="G35" i="60"/>
  <c r="J35" i="60"/>
  <c r="L35" i="60"/>
  <c r="O35" i="60"/>
  <c r="Q35" i="60"/>
  <c r="T35" i="60"/>
  <c r="Y35" i="60"/>
  <c r="G36" i="60"/>
  <c r="L36" i="60"/>
  <c r="Q36" i="60"/>
  <c r="E37" i="60"/>
  <c r="O37" i="60"/>
  <c r="T37" i="60"/>
  <c r="Y37" i="60"/>
  <c r="G4" i="59"/>
  <c r="E5" i="59"/>
  <c r="E6" i="59"/>
  <c r="E7" i="59"/>
  <c r="E8" i="59"/>
  <c r="E9" i="59"/>
  <c r="O9" i="59"/>
  <c r="E10" i="59"/>
  <c r="E11" i="59"/>
  <c r="E12" i="59"/>
  <c r="E13" i="59"/>
  <c r="E4" i="59"/>
  <c r="AA39" i="60"/>
  <c r="Z37" i="60"/>
  <c r="U37" i="60"/>
  <c r="P37" i="60"/>
  <c r="J37" i="60"/>
  <c r="K37" i="60" s="1"/>
  <c r="F37" i="60"/>
  <c r="AB36" i="60"/>
  <c r="V36" i="60"/>
  <c r="W36" i="60" s="1"/>
  <c r="R36" i="60"/>
  <c r="M36" i="60"/>
  <c r="H36" i="60"/>
  <c r="AB35" i="60"/>
  <c r="Z35" i="60"/>
  <c r="V35" i="60"/>
  <c r="W35" i="60" s="1"/>
  <c r="U35" i="60"/>
  <c r="R35" i="60"/>
  <c r="P35" i="60"/>
  <c r="M35" i="60"/>
  <c r="K35" i="60"/>
  <c r="H35" i="60"/>
  <c r="F35" i="60"/>
  <c r="AB34" i="60"/>
  <c r="V34" i="60"/>
  <c r="W34" i="60" s="1"/>
  <c r="R34" i="60"/>
  <c r="M34" i="60"/>
  <c r="H34" i="60"/>
  <c r="AB33" i="60"/>
  <c r="Z33" i="60"/>
  <c r="W33" i="60"/>
  <c r="U33" i="60"/>
  <c r="R33" i="60"/>
  <c r="P33" i="60"/>
  <c r="M33" i="60"/>
  <c r="K33" i="60"/>
  <c r="H33" i="60"/>
  <c r="F33" i="60"/>
  <c r="AB32" i="60"/>
  <c r="Z32" i="60"/>
  <c r="V32" i="60"/>
  <c r="W32" i="60" s="1"/>
  <c r="U32" i="60"/>
  <c r="R32" i="60"/>
  <c r="P32" i="60"/>
  <c r="M32" i="60"/>
  <c r="K32" i="60"/>
  <c r="H32" i="60"/>
  <c r="F32" i="60"/>
  <c r="AB31" i="60"/>
  <c r="V31" i="60"/>
  <c r="W31" i="60" s="1"/>
  <c r="R31" i="60"/>
  <c r="M31" i="60"/>
  <c r="H31" i="60"/>
  <c r="AB30" i="60"/>
  <c r="Z30" i="60"/>
  <c r="W30" i="60"/>
  <c r="U30" i="60"/>
  <c r="R30" i="60"/>
  <c r="P30" i="60"/>
  <c r="M30" i="60"/>
  <c r="K30" i="60"/>
  <c r="H30" i="60"/>
  <c r="F30" i="60"/>
  <c r="AB29" i="60"/>
  <c r="Z29" i="60"/>
  <c r="W29" i="60"/>
  <c r="U29" i="60"/>
  <c r="R29" i="60"/>
  <c r="P29" i="60"/>
  <c r="M29" i="60"/>
  <c r="K29" i="60"/>
  <c r="H29" i="60"/>
  <c r="F29" i="60"/>
  <c r="AB28" i="60"/>
  <c r="Z28" i="60"/>
  <c r="W28" i="60"/>
  <c r="U28" i="60"/>
  <c r="R28" i="60"/>
  <c r="P28" i="60"/>
  <c r="M28" i="60"/>
  <c r="K28" i="60"/>
  <c r="H28" i="60"/>
  <c r="F28" i="60"/>
  <c r="AB27" i="60"/>
  <c r="AB39" i="60" s="1"/>
  <c r="L20" i="60"/>
  <c r="Q19" i="60"/>
  <c r="L19" i="60"/>
  <c r="G19" i="60"/>
  <c r="Z14" i="60"/>
  <c r="U14" i="60"/>
  <c r="P14" i="60"/>
  <c r="K14" i="60"/>
  <c r="F14" i="60"/>
  <c r="AB13" i="60"/>
  <c r="W13" i="60"/>
  <c r="R13" i="60"/>
  <c r="M13" i="60"/>
  <c r="H13" i="60"/>
  <c r="AB12" i="60"/>
  <c r="Z12" i="60"/>
  <c r="W12" i="60"/>
  <c r="U12" i="60"/>
  <c r="R12" i="60"/>
  <c r="P12" i="60"/>
  <c r="M12" i="60"/>
  <c r="K12" i="60"/>
  <c r="H12" i="60"/>
  <c r="F12" i="60"/>
  <c r="AB11" i="60"/>
  <c r="W11" i="60"/>
  <c r="R11" i="60"/>
  <c r="M11" i="60"/>
  <c r="AB10" i="60"/>
  <c r="Z10" i="60"/>
  <c r="W10" i="60"/>
  <c r="U10" i="60"/>
  <c r="R10" i="60"/>
  <c r="P10" i="60"/>
  <c r="M10" i="60"/>
  <c r="K10" i="60"/>
  <c r="H10" i="60"/>
  <c r="F10" i="60"/>
  <c r="AB9" i="60"/>
  <c r="Z9" i="60"/>
  <c r="W9" i="60"/>
  <c r="U9" i="60"/>
  <c r="R9" i="60"/>
  <c r="P9" i="60"/>
  <c r="M9" i="60"/>
  <c r="K9" i="60"/>
  <c r="H9" i="60"/>
  <c r="F9" i="60"/>
  <c r="AB8" i="60"/>
  <c r="W8" i="60"/>
  <c r="R8" i="60"/>
  <c r="M8" i="60"/>
  <c r="H8" i="60"/>
  <c r="AB7" i="60"/>
  <c r="Z7" i="60"/>
  <c r="W7" i="60"/>
  <c r="U7" i="60"/>
  <c r="R7" i="60"/>
  <c r="P7" i="60"/>
  <c r="M7" i="60"/>
  <c r="K7" i="60"/>
  <c r="H7" i="60"/>
  <c r="F7" i="60"/>
  <c r="AB6" i="60"/>
  <c r="Z6" i="60"/>
  <c r="W6" i="60"/>
  <c r="U6" i="60"/>
  <c r="R6" i="60"/>
  <c r="P6" i="60"/>
  <c r="M6" i="60"/>
  <c r="K6" i="60"/>
  <c r="H6" i="60"/>
  <c r="F6" i="60"/>
  <c r="AB5" i="60"/>
  <c r="Z5" i="60"/>
  <c r="W5" i="60"/>
  <c r="U5" i="60"/>
  <c r="R5" i="60"/>
  <c r="P5" i="60"/>
  <c r="M5" i="60"/>
  <c r="K5" i="60"/>
  <c r="H5" i="60"/>
  <c r="F5" i="60"/>
  <c r="E49" i="59"/>
  <c r="E47" i="59"/>
  <c r="F47" i="59" s="1"/>
  <c r="E46" i="59"/>
  <c r="F46" i="59" s="1"/>
  <c r="E45" i="59"/>
  <c r="F45" i="59" s="1"/>
  <c r="E44" i="59"/>
  <c r="F44" i="59" s="1"/>
  <c r="E43" i="59"/>
  <c r="F43" i="59" s="1"/>
  <c r="E42" i="59"/>
  <c r="F42" i="59" s="1"/>
  <c r="E41" i="59"/>
  <c r="F41" i="59" s="1"/>
  <c r="E40" i="59"/>
  <c r="F40" i="59" s="1"/>
  <c r="E39" i="59"/>
  <c r="F39" i="59" s="1"/>
  <c r="E38" i="59"/>
  <c r="F38" i="59" s="1"/>
  <c r="E37" i="59"/>
  <c r="F37" i="59" s="1"/>
  <c r="E36" i="59"/>
  <c r="F36" i="59" s="1"/>
  <c r="E34" i="59"/>
  <c r="E32" i="59"/>
  <c r="F32" i="59" s="1"/>
  <c r="E31" i="59"/>
  <c r="F31" i="59" s="1"/>
  <c r="E30" i="59"/>
  <c r="F30" i="59" s="1"/>
  <c r="W29" i="59"/>
  <c r="E29" i="59"/>
  <c r="F29" i="59" s="1"/>
  <c r="W28" i="59"/>
  <c r="E28" i="59"/>
  <c r="F28" i="59" s="1"/>
  <c r="W27" i="59"/>
  <c r="E27" i="59"/>
  <c r="F27" i="59" s="1"/>
  <c r="W26" i="59"/>
  <c r="E26" i="59"/>
  <c r="F26" i="59" s="1"/>
  <c r="W25" i="59"/>
  <c r="E25" i="59"/>
  <c r="F25" i="59" s="1"/>
  <c r="W24" i="59"/>
  <c r="E24" i="59"/>
  <c r="F24" i="59" s="1"/>
  <c r="W23" i="59"/>
  <c r="E23" i="59"/>
  <c r="F23" i="59" s="1"/>
  <c r="W22" i="59"/>
  <c r="E22" i="59"/>
  <c r="F22" i="59" s="1"/>
  <c r="W21" i="59"/>
  <c r="E21" i="59"/>
  <c r="F21" i="59" s="1"/>
  <c r="W20" i="59"/>
  <c r="W19" i="59"/>
  <c r="O19" i="59"/>
  <c r="E19" i="59"/>
  <c r="W18" i="59"/>
  <c r="V32" i="59" s="1"/>
  <c r="O18" i="59"/>
  <c r="O17" i="59"/>
  <c r="O16" i="59"/>
  <c r="N13" i="59"/>
  <c r="N14" i="59" s="1"/>
  <c r="K13" i="59"/>
  <c r="H13" i="59"/>
  <c r="K12" i="59"/>
  <c r="H12" i="59"/>
  <c r="AA11" i="59"/>
  <c r="AB11" i="59" s="1"/>
  <c r="AC11" i="59" s="1"/>
  <c r="K11" i="59"/>
  <c r="H11" i="59"/>
  <c r="AA10" i="59"/>
  <c r="AB10" i="59" s="1"/>
  <c r="AC10" i="59" s="1"/>
  <c r="K10" i="59"/>
  <c r="H10" i="59"/>
  <c r="AA9" i="59"/>
  <c r="AB9" i="59" s="1"/>
  <c r="AC9" i="59" s="1"/>
  <c r="K9" i="59"/>
  <c r="H9" i="59"/>
  <c r="AA8" i="59"/>
  <c r="AB8" i="59" s="1"/>
  <c r="AC8" i="59" s="1"/>
  <c r="K8" i="59"/>
  <c r="H8" i="59"/>
  <c r="AA7" i="59"/>
  <c r="AB7" i="59" s="1"/>
  <c r="AC7" i="59" s="1"/>
  <c r="O7" i="59"/>
  <c r="K7" i="59"/>
  <c r="H7" i="59"/>
  <c r="AA6" i="59"/>
  <c r="AB6" i="59" s="1"/>
  <c r="AC6" i="59" s="1"/>
  <c r="O6" i="59"/>
  <c r="K6" i="59"/>
  <c r="H6" i="59"/>
  <c r="AA5" i="59"/>
  <c r="AB5" i="59" s="1"/>
  <c r="AC5" i="59" s="1"/>
  <c r="O5" i="59"/>
  <c r="K5" i="59"/>
  <c r="H5" i="59"/>
  <c r="AA4" i="59"/>
  <c r="O4" i="59"/>
  <c r="K4" i="59"/>
  <c r="H4" i="59"/>
  <c r="E13" i="58"/>
  <c r="E12" i="58"/>
  <c r="G4" i="57"/>
  <c r="E5" i="57"/>
  <c r="E6" i="57"/>
  <c r="E7" i="57"/>
  <c r="E8" i="57"/>
  <c r="E9" i="57"/>
  <c r="O9" i="57"/>
  <c r="E10" i="57"/>
  <c r="E11" i="57"/>
  <c r="E12" i="57"/>
  <c r="E13" i="57"/>
  <c r="E4" i="57"/>
  <c r="O4" i="58"/>
  <c r="Q4" i="58"/>
  <c r="T4" i="58"/>
  <c r="V4" i="58"/>
  <c r="Y4" i="58"/>
  <c r="AA4" i="58"/>
  <c r="E5" i="58"/>
  <c r="G5" i="58"/>
  <c r="J5" i="58"/>
  <c r="L5" i="58"/>
  <c r="O5" i="58"/>
  <c r="Q5" i="58"/>
  <c r="T5" i="58"/>
  <c r="V5" i="58"/>
  <c r="Y5" i="58"/>
  <c r="AA5" i="58"/>
  <c r="E6" i="58"/>
  <c r="G6" i="58"/>
  <c r="J6" i="58"/>
  <c r="L6" i="58"/>
  <c r="O6" i="58"/>
  <c r="Q6" i="58"/>
  <c r="T6" i="58"/>
  <c r="V6" i="58"/>
  <c r="Y6" i="58"/>
  <c r="AA6" i="58"/>
  <c r="E7" i="58"/>
  <c r="G7" i="58"/>
  <c r="J7" i="58"/>
  <c r="L7" i="58"/>
  <c r="O7" i="58"/>
  <c r="Q7" i="58"/>
  <c r="T7" i="58"/>
  <c r="V7" i="58"/>
  <c r="Y7" i="58"/>
  <c r="AA7" i="58"/>
  <c r="G8" i="58"/>
  <c r="L8" i="58"/>
  <c r="Q8" i="58"/>
  <c r="V8" i="58"/>
  <c r="AA8" i="58"/>
  <c r="E9" i="58"/>
  <c r="G9" i="58"/>
  <c r="J9" i="58"/>
  <c r="L9" i="58"/>
  <c r="O9" i="58"/>
  <c r="Q9" i="58"/>
  <c r="T9" i="58"/>
  <c r="V9" i="58"/>
  <c r="Y9" i="58"/>
  <c r="AA9" i="58"/>
  <c r="E10" i="58"/>
  <c r="G10" i="58"/>
  <c r="J10" i="58"/>
  <c r="L10" i="58"/>
  <c r="O10" i="58"/>
  <c r="Q10" i="58"/>
  <c r="T10" i="58"/>
  <c r="V10" i="58"/>
  <c r="Y10" i="58"/>
  <c r="AA10" i="58"/>
  <c r="G11" i="58"/>
  <c r="L11" i="58"/>
  <c r="Q11" i="58"/>
  <c r="V11" i="58"/>
  <c r="AA11" i="58"/>
  <c r="G12" i="58"/>
  <c r="J12" i="58"/>
  <c r="L12" i="58"/>
  <c r="O12" i="58"/>
  <c r="Q12" i="58"/>
  <c r="T12" i="58"/>
  <c r="V12" i="58"/>
  <c r="Y12" i="58"/>
  <c r="AA12" i="58"/>
  <c r="G13" i="58"/>
  <c r="L13" i="58"/>
  <c r="Q13" i="58"/>
  <c r="V13" i="58"/>
  <c r="AA13" i="58"/>
  <c r="E14" i="58"/>
  <c r="J14" i="58"/>
  <c r="O14" i="58"/>
  <c r="T14" i="58"/>
  <c r="Y14" i="58"/>
  <c r="E27" i="58"/>
  <c r="G27" i="58"/>
  <c r="J27" i="58"/>
  <c r="L27" i="58"/>
  <c r="O27" i="58"/>
  <c r="Q27" i="58"/>
  <c r="T27" i="58"/>
  <c r="V27" i="58"/>
  <c r="Y27" i="58"/>
  <c r="E28" i="58"/>
  <c r="G28" i="58"/>
  <c r="J28" i="58"/>
  <c r="L28" i="58"/>
  <c r="O28" i="58"/>
  <c r="Q28" i="58"/>
  <c r="T28" i="58"/>
  <c r="V28" i="58"/>
  <c r="Y28" i="58"/>
  <c r="E29" i="58"/>
  <c r="G29" i="58"/>
  <c r="J29" i="58"/>
  <c r="L29" i="58"/>
  <c r="O29" i="58"/>
  <c r="Q29" i="58"/>
  <c r="T29" i="58"/>
  <c r="V29" i="58"/>
  <c r="Y29" i="58"/>
  <c r="E30" i="58"/>
  <c r="G30" i="58"/>
  <c r="J30" i="58"/>
  <c r="L30" i="58"/>
  <c r="O30" i="58"/>
  <c r="Q30" i="58"/>
  <c r="T30" i="58"/>
  <c r="V30" i="58"/>
  <c r="Y30" i="58"/>
  <c r="G31" i="58"/>
  <c r="L31" i="58"/>
  <c r="Q31" i="58"/>
  <c r="E32" i="58"/>
  <c r="G32" i="58"/>
  <c r="J32" i="58"/>
  <c r="L32" i="58"/>
  <c r="O32" i="58"/>
  <c r="Q32" i="58"/>
  <c r="T32" i="58"/>
  <c r="Y32" i="58"/>
  <c r="E33" i="58"/>
  <c r="G33" i="58"/>
  <c r="J33" i="58"/>
  <c r="L33" i="58"/>
  <c r="O33" i="58"/>
  <c r="Q33" i="58"/>
  <c r="T33" i="58"/>
  <c r="V33" i="58"/>
  <c r="Y33" i="58"/>
  <c r="G34" i="58"/>
  <c r="L34" i="58"/>
  <c r="Q34" i="58"/>
  <c r="E35" i="58"/>
  <c r="G35" i="58"/>
  <c r="J35" i="58"/>
  <c r="L35" i="58"/>
  <c r="O35" i="58"/>
  <c r="Q35" i="58"/>
  <c r="T35" i="58"/>
  <c r="Y35" i="58"/>
  <c r="G36" i="58"/>
  <c r="L36" i="58"/>
  <c r="Q36" i="58"/>
  <c r="E37" i="58"/>
  <c r="O37" i="58"/>
  <c r="T37" i="58"/>
  <c r="Y37" i="58"/>
  <c r="E4" i="58"/>
  <c r="G4" i="58"/>
  <c r="J4" i="58"/>
  <c r="L4" i="58"/>
  <c r="E32" i="57"/>
  <c r="E31" i="57"/>
  <c r="E30" i="57"/>
  <c r="E29" i="57"/>
  <c r="E28" i="57"/>
  <c r="E27" i="57"/>
  <c r="E26" i="57"/>
  <c r="E25" i="57"/>
  <c r="E24" i="57"/>
  <c r="E23" i="57"/>
  <c r="E22" i="57"/>
  <c r="E21" i="57"/>
  <c r="E47" i="57"/>
  <c r="F47" i="57" s="1"/>
  <c r="E46" i="57"/>
  <c r="F46" i="57" s="1"/>
  <c r="E45" i="57"/>
  <c r="F45" i="57" s="1"/>
  <c r="E44" i="57"/>
  <c r="F44" i="57" s="1"/>
  <c r="E43" i="57"/>
  <c r="F43" i="57" s="1"/>
  <c r="E42" i="57"/>
  <c r="F42" i="57" s="1"/>
  <c r="E41" i="57"/>
  <c r="F41" i="57" s="1"/>
  <c r="E40" i="57"/>
  <c r="F40" i="57" s="1"/>
  <c r="E39" i="57"/>
  <c r="F39" i="57" s="1"/>
  <c r="E38" i="57"/>
  <c r="F38" i="57" s="1"/>
  <c r="E37" i="57"/>
  <c r="F37" i="57" s="1"/>
  <c r="E36" i="57"/>
  <c r="F36" i="57" s="1"/>
  <c r="E34" i="57"/>
  <c r="E49" i="57"/>
  <c r="AA39" i="58"/>
  <c r="Z37" i="58"/>
  <c r="U37" i="58"/>
  <c r="P37" i="58"/>
  <c r="J37" i="58"/>
  <c r="K37" i="58" s="1"/>
  <c r="F37" i="58"/>
  <c r="AB36" i="58"/>
  <c r="V36" i="58"/>
  <c r="W36" i="58" s="1"/>
  <c r="R36" i="58"/>
  <c r="M36" i="58"/>
  <c r="H36" i="58"/>
  <c r="AB35" i="58"/>
  <c r="Z35" i="58"/>
  <c r="V35" i="58"/>
  <c r="W35" i="58" s="1"/>
  <c r="U35" i="58"/>
  <c r="R35" i="58"/>
  <c r="P35" i="58"/>
  <c r="M35" i="58"/>
  <c r="K35" i="58"/>
  <c r="H35" i="58"/>
  <c r="F35" i="58"/>
  <c r="AB34" i="58"/>
  <c r="V34" i="58"/>
  <c r="W34" i="58" s="1"/>
  <c r="R34" i="58"/>
  <c r="M34" i="58"/>
  <c r="H34" i="58"/>
  <c r="AB33" i="58"/>
  <c r="Z33" i="58"/>
  <c r="W33" i="58"/>
  <c r="U33" i="58"/>
  <c r="R33" i="58"/>
  <c r="P33" i="58"/>
  <c r="M33" i="58"/>
  <c r="K33" i="58"/>
  <c r="H33" i="58"/>
  <c r="F33" i="58"/>
  <c r="AB32" i="58"/>
  <c r="Z32" i="58"/>
  <c r="V32" i="58"/>
  <c r="W32" i="58" s="1"/>
  <c r="U32" i="58"/>
  <c r="R32" i="58"/>
  <c r="P32" i="58"/>
  <c r="M32" i="58"/>
  <c r="K32" i="58"/>
  <c r="H32" i="58"/>
  <c r="F32" i="58"/>
  <c r="AB31" i="58"/>
  <c r="V31" i="58"/>
  <c r="W31" i="58" s="1"/>
  <c r="R31" i="58"/>
  <c r="M31" i="58"/>
  <c r="H31" i="58"/>
  <c r="AB30" i="58"/>
  <c r="Z30" i="58"/>
  <c r="W30" i="58"/>
  <c r="U30" i="58"/>
  <c r="R30" i="58"/>
  <c r="P30" i="58"/>
  <c r="M30" i="58"/>
  <c r="K30" i="58"/>
  <c r="H30" i="58"/>
  <c r="F30" i="58"/>
  <c r="AB29" i="58"/>
  <c r="Z29" i="58"/>
  <c r="W29" i="58"/>
  <c r="U29" i="58"/>
  <c r="R29" i="58"/>
  <c r="P29" i="58"/>
  <c r="M29" i="58"/>
  <c r="K29" i="58"/>
  <c r="H29" i="58"/>
  <c r="F29" i="58"/>
  <c r="AB28" i="58"/>
  <c r="Z28" i="58"/>
  <c r="W28" i="58"/>
  <c r="U28" i="58"/>
  <c r="R28" i="58"/>
  <c r="P28" i="58"/>
  <c r="M28" i="58"/>
  <c r="K28" i="58"/>
  <c r="H28" i="58"/>
  <c r="F28" i="58"/>
  <c r="AB27" i="58"/>
  <c r="AB39" i="58" s="1"/>
  <c r="L20" i="58"/>
  <c r="Q19" i="58"/>
  <c r="L19" i="58"/>
  <c r="G19" i="58"/>
  <c r="Z14" i="58"/>
  <c r="U14" i="58"/>
  <c r="P14" i="58"/>
  <c r="K14" i="58"/>
  <c r="F14" i="58"/>
  <c r="AB13" i="58"/>
  <c r="W13" i="58"/>
  <c r="R13" i="58"/>
  <c r="M13" i="58"/>
  <c r="H13" i="58"/>
  <c r="AB12" i="58"/>
  <c r="Z12" i="58"/>
  <c r="W12" i="58"/>
  <c r="U12" i="58"/>
  <c r="R12" i="58"/>
  <c r="P12" i="58"/>
  <c r="M12" i="58"/>
  <c r="K12" i="58"/>
  <c r="H12" i="58"/>
  <c r="F12" i="58"/>
  <c r="AB11" i="58"/>
  <c r="W11" i="58"/>
  <c r="R11" i="58"/>
  <c r="M11" i="58"/>
  <c r="AB10" i="58"/>
  <c r="Z10" i="58"/>
  <c r="W10" i="58"/>
  <c r="U10" i="58"/>
  <c r="R10" i="58"/>
  <c r="P10" i="58"/>
  <c r="M10" i="58"/>
  <c r="K10" i="58"/>
  <c r="H10" i="58"/>
  <c r="F10" i="58"/>
  <c r="AB9" i="58"/>
  <c r="Z9" i="58"/>
  <c r="W9" i="58"/>
  <c r="U9" i="58"/>
  <c r="R9" i="58"/>
  <c r="P9" i="58"/>
  <c r="M9" i="58"/>
  <c r="K9" i="58"/>
  <c r="H9" i="58"/>
  <c r="F9" i="58"/>
  <c r="AB8" i="58"/>
  <c r="W8" i="58"/>
  <c r="R8" i="58"/>
  <c r="M8" i="58"/>
  <c r="H8" i="58"/>
  <c r="AB7" i="58"/>
  <c r="Z7" i="58"/>
  <c r="W7" i="58"/>
  <c r="U7" i="58"/>
  <c r="R7" i="58"/>
  <c r="P7" i="58"/>
  <c r="M7" i="58"/>
  <c r="K7" i="58"/>
  <c r="H7" i="58"/>
  <c r="F7" i="58"/>
  <c r="AB6" i="58"/>
  <c r="Z6" i="58"/>
  <c r="W6" i="58"/>
  <c r="U6" i="58"/>
  <c r="R6" i="58"/>
  <c r="P6" i="58"/>
  <c r="M6" i="58"/>
  <c r="K6" i="58"/>
  <c r="H6" i="58"/>
  <c r="F6" i="58"/>
  <c r="AB5" i="58"/>
  <c r="Z5" i="58"/>
  <c r="W5" i="58"/>
  <c r="U5" i="58"/>
  <c r="R5" i="58"/>
  <c r="P5" i="58"/>
  <c r="M5" i="58"/>
  <c r="K5" i="58"/>
  <c r="H5" i="58"/>
  <c r="F5" i="58"/>
  <c r="F32" i="57"/>
  <c r="F31" i="57"/>
  <c r="F30" i="57"/>
  <c r="W29" i="57"/>
  <c r="F29" i="57"/>
  <c r="W28" i="57"/>
  <c r="F28" i="57"/>
  <c r="W27" i="57"/>
  <c r="F27" i="57"/>
  <c r="W26" i="57"/>
  <c r="F26" i="57"/>
  <c r="W25" i="57"/>
  <c r="F25" i="57"/>
  <c r="W24" i="57"/>
  <c r="F24" i="57"/>
  <c r="W23" i="57"/>
  <c r="F23" i="57"/>
  <c r="W22" i="57"/>
  <c r="F22" i="57"/>
  <c r="W21" i="57"/>
  <c r="F21" i="57"/>
  <c r="W20" i="57"/>
  <c r="W19" i="57"/>
  <c r="O19" i="57"/>
  <c r="E19" i="57"/>
  <c r="W18" i="57"/>
  <c r="V32" i="57" s="1"/>
  <c r="O18" i="57"/>
  <c r="O17" i="57"/>
  <c r="O16" i="57"/>
  <c r="N13" i="57"/>
  <c r="N14" i="57" s="1"/>
  <c r="K13" i="57"/>
  <c r="H13" i="57"/>
  <c r="K12" i="57"/>
  <c r="H12" i="57"/>
  <c r="AA11" i="57"/>
  <c r="AB11" i="57" s="1"/>
  <c r="AC11" i="57" s="1"/>
  <c r="K11" i="57"/>
  <c r="H11" i="57"/>
  <c r="AA10" i="57"/>
  <c r="AB10" i="57" s="1"/>
  <c r="AC10" i="57" s="1"/>
  <c r="K10" i="57"/>
  <c r="H10" i="57"/>
  <c r="AA9" i="57"/>
  <c r="AB9" i="57" s="1"/>
  <c r="AC9" i="57" s="1"/>
  <c r="K9" i="57"/>
  <c r="H9" i="57"/>
  <c r="AA8" i="57"/>
  <c r="AB8" i="57" s="1"/>
  <c r="AC8" i="57" s="1"/>
  <c r="K8" i="57"/>
  <c r="H8" i="57"/>
  <c r="AA7" i="57"/>
  <c r="AB7" i="57" s="1"/>
  <c r="AC7" i="57" s="1"/>
  <c r="O7" i="57"/>
  <c r="K7" i="57"/>
  <c r="H7" i="57"/>
  <c r="AA6" i="57"/>
  <c r="AB6" i="57" s="1"/>
  <c r="AC6" i="57" s="1"/>
  <c r="O6" i="57"/>
  <c r="K6" i="57"/>
  <c r="H6" i="57"/>
  <c r="AA5" i="57"/>
  <c r="AB5" i="57" s="1"/>
  <c r="AC5" i="57" s="1"/>
  <c r="O5" i="57"/>
  <c r="K5" i="57"/>
  <c r="H5" i="57"/>
  <c r="AA4" i="57"/>
  <c r="O4" i="57"/>
  <c r="K4" i="57"/>
  <c r="H4" i="57"/>
  <c r="G4" i="55"/>
  <c r="E5" i="55"/>
  <c r="E6" i="55"/>
  <c r="E7" i="55"/>
  <c r="E8" i="55"/>
  <c r="E9" i="55"/>
  <c r="O9" i="55"/>
  <c r="E10" i="55"/>
  <c r="E11" i="55"/>
  <c r="E12" i="55"/>
  <c r="E13" i="55"/>
  <c r="E4" i="55"/>
  <c r="T12" i="56"/>
  <c r="V12" i="56"/>
  <c r="Y12" i="56"/>
  <c r="AA12" i="56"/>
  <c r="G13" i="56"/>
  <c r="L13" i="56"/>
  <c r="Q13" i="56"/>
  <c r="V13" i="56"/>
  <c r="AA13" i="56"/>
  <c r="E14" i="56"/>
  <c r="J14" i="56"/>
  <c r="O14" i="56"/>
  <c r="T14" i="56"/>
  <c r="Y14" i="56"/>
  <c r="E27" i="56"/>
  <c r="G27" i="56"/>
  <c r="J27" i="56"/>
  <c r="L27" i="56"/>
  <c r="O27" i="56"/>
  <c r="Q27" i="56"/>
  <c r="T27" i="56"/>
  <c r="V27" i="56"/>
  <c r="Y27" i="56"/>
  <c r="E28" i="56"/>
  <c r="G28" i="56"/>
  <c r="J28" i="56"/>
  <c r="L28" i="56"/>
  <c r="O28" i="56"/>
  <c r="Q28" i="56"/>
  <c r="T28" i="56"/>
  <c r="V28" i="56"/>
  <c r="Y28" i="56"/>
  <c r="E29" i="56"/>
  <c r="G29" i="56"/>
  <c r="J29" i="56"/>
  <c r="L29" i="56"/>
  <c r="O29" i="56"/>
  <c r="Q29" i="56"/>
  <c r="T29" i="56"/>
  <c r="V29" i="56"/>
  <c r="Y29" i="56"/>
  <c r="E30" i="56"/>
  <c r="G30" i="56"/>
  <c r="J30" i="56"/>
  <c r="L30" i="56"/>
  <c r="O30" i="56"/>
  <c r="Q30" i="56"/>
  <c r="T30" i="56"/>
  <c r="V30" i="56"/>
  <c r="Y30" i="56"/>
  <c r="G31" i="56"/>
  <c r="L31" i="56"/>
  <c r="Q31" i="56"/>
  <c r="E32" i="56"/>
  <c r="G32" i="56"/>
  <c r="J32" i="56"/>
  <c r="L32" i="56"/>
  <c r="O32" i="56"/>
  <c r="Q32" i="56"/>
  <c r="T32" i="56"/>
  <c r="Y32" i="56"/>
  <c r="E33" i="56"/>
  <c r="G33" i="56"/>
  <c r="J33" i="56"/>
  <c r="L33" i="56"/>
  <c r="O33" i="56"/>
  <c r="Q33" i="56"/>
  <c r="T33" i="56"/>
  <c r="V33" i="56"/>
  <c r="Y33" i="56"/>
  <c r="G34" i="56"/>
  <c r="L34" i="56"/>
  <c r="Q34" i="56"/>
  <c r="E35" i="56"/>
  <c r="G35" i="56"/>
  <c r="J35" i="56"/>
  <c r="L35" i="56"/>
  <c r="O35" i="56"/>
  <c r="Q35" i="56"/>
  <c r="T35" i="56"/>
  <c r="Y35" i="56"/>
  <c r="G36" i="56"/>
  <c r="L36" i="56"/>
  <c r="Q36" i="56"/>
  <c r="E37" i="56"/>
  <c r="O37" i="56"/>
  <c r="T37" i="56"/>
  <c r="Y37" i="56"/>
  <c r="E4" i="56"/>
  <c r="G4" i="56"/>
  <c r="J4" i="56"/>
  <c r="L4" i="56"/>
  <c r="O4" i="56"/>
  <c r="Q4" i="56"/>
  <c r="T4" i="56"/>
  <c r="V4" i="56"/>
  <c r="Y4" i="56"/>
  <c r="AA4" i="56"/>
  <c r="E5" i="56"/>
  <c r="G5" i="56"/>
  <c r="J5" i="56"/>
  <c r="L5" i="56"/>
  <c r="O5" i="56"/>
  <c r="Q5" i="56"/>
  <c r="T5" i="56"/>
  <c r="V5" i="56"/>
  <c r="Y5" i="56"/>
  <c r="AA5" i="56"/>
  <c r="E6" i="56"/>
  <c r="G6" i="56"/>
  <c r="J6" i="56"/>
  <c r="L6" i="56"/>
  <c r="O6" i="56"/>
  <c r="Q6" i="56"/>
  <c r="T6" i="56"/>
  <c r="V6" i="56"/>
  <c r="Y6" i="56"/>
  <c r="AA6" i="56"/>
  <c r="E7" i="56"/>
  <c r="G7" i="56"/>
  <c r="J7" i="56"/>
  <c r="L7" i="56"/>
  <c r="O7" i="56"/>
  <c r="Q7" i="56"/>
  <c r="T7" i="56"/>
  <c r="V7" i="56"/>
  <c r="Y7" i="56"/>
  <c r="AA7" i="56"/>
  <c r="G8" i="56"/>
  <c r="L8" i="56"/>
  <c r="Q8" i="56"/>
  <c r="V8" i="56"/>
  <c r="AA8" i="56"/>
  <c r="E9" i="56"/>
  <c r="G9" i="56"/>
  <c r="J9" i="56"/>
  <c r="L9" i="56"/>
  <c r="O9" i="56"/>
  <c r="Q9" i="56"/>
  <c r="T9" i="56"/>
  <c r="V9" i="56"/>
  <c r="Y9" i="56"/>
  <c r="AA9" i="56"/>
  <c r="E10" i="56"/>
  <c r="G10" i="56"/>
  <c r="J10" i="56"/>
  <c r="K10" i="56" s="1"/>
  <c r="L10" i="56"/>
  <c r="O10" i="56"/>
  <c r="Q10" i="56"/>
  <c r="R10" i="56" s="1"/>
  <c r="T10" i="56"/>
  <c r="V10" i="56"/>
  <c r="Y10" i="56"/>
  <c r="Z10" i="56" s="1"/>
  <c r="AA10" i="56"/>
  <c r="G11" i="56"/>
  <c r="L11" i="56"/>
  <c r="M11" i="56" s="1"/>
  <c r="Q11" i="56"/>
  <c r="V11" i="56"/>
  <c r="AA11" i="56"/>
  <c r="AB11" i="56" s="1"/>
  <c r="E12" i="56"/>
  <c r="G12" i="56"/>
  <c r="J12" i="56"/>
  <c r="K12" i="56" s="1"/>
  <c r="L12" i="56"/>
  <c r="O12" i="56"/>
  <c r="Q12" i="56"/>
  <c r="R12" i="56" s="1"/>
  <c r="AA39" i="56"/>
  <c r="Z37" i="56"/>
  <c r="U37" i="56"/>
  <c r="P37" i="56"/>
  <c r="J37" i="56"/>
  <c r="K37" i="56" s="1"/>
  <c r="F37" i="56"/>
  <c r="AB36" i="56"/>
  <c r="V36" i="56"/>
  <c r="W36" i="56" s="1"/>
  <c r="R36" i="56"/>
  <c r="M36" i="56"/>
  <c r="H36" i="56"/>
  <c r="AB35" i="56"/>
  <c r="Z35" i="56"/>
  <c r="V35" i="56"/>
  <c r="W35" i="56" s="1"/>
  <c r="U35" i="56"/>
  <c r="R35" i="56"/>
  <c r="P35" i="56"/>
  <c r="M35" i="56"/>
  <c r="K35" i="56"/>
  <c r="H35" i="56"/>
  <c r="F35" i="56"/>
  <c r="AB34" i="56"/>
  <c r="V34" i="56"/>
  <c r="W34" i="56" s="1"/>
  <c r="R34" i="56"/>
  <c r="M34" i="56"/>
  <c r="H34" i="56"/>
  <c r="AB33" i="56"/>
  <c r="Z33" i="56"/>
  <c r="W33" i="56"/>
  <c r="U33" i="56"/>
  <c r="R33" i="56"/>
  <c r="P33" i="56"/>
  <c r="M33" i="56"/>
  <c r="K33" i="56"/>
  <c r="H33" i="56"/>
  <c r="F33" i="56"/>
  <c r="AB32" i="56"/>
  <c r="Z32" i="56"/>
  <c r="V32" i="56"/>
  <c r="W32" i="56" s="1"/>
  <c r="U32" i="56"/>
  <c r="R32" i="56"/>
  <c r="P32" i="56"/>
  <c r="M32" i="56"/>
  <c r="K32" i="56"/>
  <c r="H32" i="56"/>
  <c r="F32" i="56"/>
  <c r="AB31" i="56"/>
  <c r="V31" i="56"/>
  <c r="W31" i="56" s="1"/>
  <c r="R31" i="56"/>
  <c r="M31" i="56"/>
  <c r="H31" i="56"/>
  <c r="AB30" i="56"/>
  <c r="Z30" i="56"/>
  <c r="W30" i="56"/>
  <c r="U30" i="56"/>
  <c r="R30" i="56"/>
  <c r="P30" i="56"/>
  <c r="M30" i="56"/>
  <c r="K30" i="56"/>
  <c r="H30" i="56"/>
  <c r="F30" i="56"/>
  <c r="AB29" i="56"/>
  <c r="Z29" i="56"/>
  <c r="W29" i="56"/>
  <c r="U29" i="56"/>
  <c r="R29" i="56"/>
  <c r="P29" i="56"/>
  <c r="M29" i="56"/>
  <c r="K29" i="56"/>
  <c r="H29" i="56"/>
  <c r="F29" i="56"/>
  <c r="AB28" i="56"/>
  <c r="Z28" i="56"/>
  <c r="W28" i="56"/>
  <c r="U28" i="56"/>
  <c r="R28" i="56"/>
  <c r="P28" i="56"/>
  <c r="M28" i="56"/>
  <c r="K28" i="56"/>
  <c r="H28" i="56"/>
  <c r="F28" i="56"/>
  <c r="AB27" i="56"/>
  <c r="AB39" i="56" s="1"/>
  <c r="L20" i="56"/>
  <c r="Q19" i="56"/>
  <c r="L19" i="56"/>
  <c r="G19" i="56"/>
  <c r="Z14" i="56"/>
  <c r="U14" i="56"/>
  <c r="P14" i="56"/>
  <c r="K14" i="56"/>
  <c r="F14" i="56"/>
  <c r="AB13" i="56"/>
  <c r="W13" i="56"/>
  <c r="R13" i="56"/>
  <c r="M13" i="56"/>
  <c r="H13" i="56"/>
  <c r="AB12" i="56"/>
  <c r="Z12" i="56"/>
  <c r="W12" i="56"/>
  <c r="U12" i="56"/>
  <c r="P12" i="56"/>
  <c r="M12" i="56"/>
  <c r="H12" i="56"/>
  <c r="F12" i="56"/>
  <c r="W11" i="56"/>
  <c r="R11" i="56"/>
  <c r="AB10" i="56"/>
  <c r="W10" i="56"/>
  <c r="U10" i="56"/>
  <c r="P10" i="56"/>
  <c r="M10" i="56"/>
  <c r="H10" i="56"/>
  <c r="F10" i="56"/>
  <c r="AB9" i="56"/>
  <c r="Z9" i="56"/>
  <c r="W9" i="56"/>
  <c r="U9" i="56"/>
  <c r="R9" i="56"/>
  <c r="P9" i="56"/>
  <c r="M9" i="56"/>
  <c r="K9" i="56"/>
  <c r="H9" i="56"/>
  <c r="F9" i="56"/>
  <c r="AB8" i="56"/>
  <c r="W8" i="56"/>
  <c r="R8" i="56"/>
  <c r="M8" i="56"/>
  <c r="H8" i="56"/>
  <c r="AB7" i="56"/>
  <c r="Z7" i="56"/>
  <c r="W7" i="56"/>
  <c r="U7" i="56"/>
  <c r="R7" i="56"/>
  <c r="P7" i="56"/>
  <c r="M7" i="56"/>
  <c r="K7" i="56"/>
  <c r="H7" i="56"/>
  <c r="F7" i="56"/>
  <c r="AB6" i="56"/>
  <c r="Z6" i="56"/>
  <c r="W6" i="56"/>
  <c r="U6" i="56"/>
  <c r="R6" i="56"/>
  <c r="P6" i="56"/>
  <c r="M6" i="56"/>
  <c r="K6" i="56"/>
  <c r="H6" i="56"/>
  <c r="F6" i="56"/>
  <c r="AB5" i="56"/>
  <c r="Z5" i="56"/>
  <c r="W5" i="56"/>
  <c r="U5" i="56"/>
  <c r="R5" i="56"/>
  <c r="P5" i="56"/>
  <c r="M5" i="56"/>
  <c r="K5" i="56"/>
  <c r="H5" i="56"/>
  <c r="F5" i="56"/>
  <c r="E34" i="55"/>
  <c r="E32" i="55"/>
  <c r="F32" i="55" s="1"/>
  <c r="E31" i="55"/>
  <c r="F31" i="55" s="1"/>
  <c r="E30" i="55"/>
  <c r="F30" i="55" s="1"/>
  <c r="W29" i="55"/>
  <c r="E29" i="55"/>
  <c r="F29" i="55" s="1"/>
  <c r="W28" i="55"/>
  <c r="E28" i="55"/>
  <c r="F28" i="55" s="1"/>
  <c r="W27" i="55"/>
  <c r="E27" i="55"/>
  <c r="F27" i="55" s="1"/>
  <c r="W26" i="55"/>
  <c r="E26" i="55"/>
  <c r="F26" i="55" s="1"/>
  <c r="W25" i="55"/>
  <c r="E25" i="55"/>
  <c r="F25" i="55" s="1"/>
  <c r="W24" i="55"/>
  <c r="E24" i="55"/>
  <c r="F24" i="55" s="1"/>
  <c r="W23" i="55"/>
  <c r="E23" i="55"/>
  <c r="F23" i="55" s="1"/>
  <c r="W22" i="55"/>
  <c r="E22" i="55"/>
  <c r="F22" i="55" s="1"/>
  <c r="W21" i="55"/>
  <c r="E21" i="55"/>
  <c r="F21" i="55" s="1"/>
  <c r="W20" i="55"/>
  <c r="W19" i="55"/>
  <c r="O19" i="55"/>
  <c r="W18" i="55"/>
  <c r="V32" i="55" s="1"/>
  <c r="O18" i="55"/>
  <c r="O17" i="55"/>
  <c r="O16" i="55"/>
  <c r="N13" i="55"/>
  <c r="N14" i="55" s="1"/>
  <c r="K13" i="55"/>
  <c r="H13" i="55"/>
  <c r="K12" i="55"/>
  <c r="H12" i="55"/>
  <c r="AA11" i="55"/>
  <c r="AB11" i="55" s="1"/>
  <c r="AC11" i="55" s="1"/>
  <c r="K11" i="55"/>
  <c r="H11" i="55"/>
  <c r="AA10" i="55"/>
  <c r="AB10" i="55" s="1"/>
  <c r="AC10" i="55" s="1"/>
  <c r="K10" i="55"/>
  <c r="H10" i="55"/>
  <c r="AA9" i="55"/>
  <c r="AB9" i="55" s="1"/>
  <c r="AC9" i="55" s="1"/>
  <c r="K9" i="55"/>
  <c r="H9" i="55"/>
  <c r="AA8" i="55"/>
  <c r="AB8" i="55" s="1"/>
  <c r="AC8" i="55" s="1"/>
  <c r="K8" i="55"/>
  <c r="H8" i="55"/>
  <c r="AA7" i="55"/>
  <c r="AB7" i="55" s="1"/>
  <c r="AC7" i="55" s="1"/>
  <c r="O7" i="55"/>
  <c r="K7" i="55"/>
  <c r="H7" i="55"/>
  <c r="AA6" i="55"/>
  <c r="AB6" i="55" s="1"/>
  <c r="AC6" i="55" s="1"/>
  <c r="O6" i="55"/>
  <c r="K6" i="55"/>
  <c r="H6" i="55"/>
  <c r="AA5" i="55"/>
  <c r="AB5" i="55" s="1"/>
  <c r="AC5" i="55" s="1"/>
  <c r="O5" i="55"/>
  <c r="K5" i="55"/>
  <c r="H5" i="55"/>
  <c r="AA4" i="55"/>
  <c r="O4" i="55"/>
  <c r="K4" i="55"/>
  <c r="H4" i="55"/>
  <c r="G4" i="53"/>
  <c r="E5" i="53"/>
  <c r="E6" i="53"/>
  <c r="E7" i="53"/>
  <c r="E8" i="53"/>
  <c r="E9" i="53"/>
  <c r="O9" i="53"/>
  <c r="E10" i="53"/>
  <c r="E11" i="53"/>
  <c r="E12" i="53"/>
  <c r="E13" i="53"/>
  <c r="E4" i="53"/>
  <c r="O4" i="54"/>
  <c r="Q4" i="54"/>
  <c r="T4" i="54"/>
  <c r="V4" i="54"/>
  <c r="Y4" i="54"/>
  <c r="AA4" i="54"/>
  <c r="E5" i="54"/>
  <c r="G5" i="54"/>
  <c r="J5" i="54"/>
  <c r="L5" i="54"/>
  <c r="O5" i="54"/>
  <c r="Q5" i="54"/>
  <c r="T5" i="54"/>
  <c r="V5" i="54"/>
  <c r="Y5" i="54"/>
  <c r="AA5" i="54"/>
  <c r="E6" i="54"/>
  <c r="G6" i="54"/>
  <c r="J6" i="54"/>
  <c r="L6" i="54"/>
  <c r="O6" i="54"/>
  <c r="Q6" i="54"/>
  <c r="T6" i="54"/>
  <c r="V6" i="54"/>
  <c r="Y6" i="54"/>
  <c r="AA6" i="54"/>
  <c r="E7" i="54"/>
  <c r="G7" i="54"/>
  <c r="J7" i="54"/>
  <c r="L7" i="54"/>
  <c r="O7" i="54"/>
  <c r="Q7" i="54"/>
  <c r="T7" i="54"/>
  <c r="V7" i="54"/>
  <c r="Y7" i="54"/>
  <c r="AA7" i="54"/>
  <c r="G8" i="54"/>
  <c r="L8" i="54"/>
  <c r="Q8" i="54"/>
  <c r="V8" i="54"/>
  <c r="AA8" i="54"/>
  <c r="E9" i="54"/>
  <c r="G9" i="54"/>
  <c r="J9" i="54"/>
  <c r="L9" i="54"/>
  <c r="O9" i="54"/>
  <c r="Q9" i="54"/>
  <c r="T9" i="54"/>
  <c r="V9" i="54"/>
  <c r="Y9" i="54"/>
  <c r="AA9" i="54"/>
  <c r="E10" i="54"/>
  <c r="G10" i="54"/>
  <c r="J10" i="54"/>
  <c r="L10" i="54"/>
  <c r="O10" i="54"/>
  <c r="Q10" i="54"/>
  <c r="T10" i="54"/>
  <c r="V10" i="54"/>
  <c r="Y10" i="54"/>
  <c r="AA10" i="54"/>
  <c r="G11" i="54"/>
  <c r="L11" i="54"/>
  <c r="Q11" i="54"/>
  <c r="V11" i="54"/>
  <c r="AA11" i="54"/>
  <c r="AB11" i="54" s="1"/>
  <c r="E12" i="54"/>
  <c r="G12" i="54"/>
  <c r="J12" i="54"/>
  <c r="K12" i="54" s="1"/>
  <c r="L12" i="54"/>
  <c r="O12" i="54"/>
  <c r="Q12" i="54"/>
  <c r="R12" i="54" s="1"/>
  <c r="T12" i="54"/>
  <c r="V12" i="54"/>
  <c r="Y12" i="54"/>
  <c r="Z12" i="54" s="1"/>
  <c r="AA12" i="54"/>
  <c r="G13" i="54"/>
  <c r="L13" i="54"/>
  <c r="M13" i="54" s="1"/>
  <c r="Q13" i="54"/>
  <c r="V13" i="54"/>
  <c r="AA13" i="54"/>
  <c r="AB13" i="54" s="1"/>
  <c r="E14" i="54"/>
  <c r="J14" i="54"/>
  <c r="O14" i="54"/>
  <c r="O16" i="54" s="1"/>
  <c r="T14" i="54"/>
  <c r="Y14" i="54"/>
  <c r="E27" i="54"/>
  <c r="G27" i="54"/>
  <c r="J27" i="54"/>
  <c r="L27" i="54"/>
  <c r="O27" i="54"/>
  <c r="Q27" i="54"/>
  <c r="T27" i="54"/>
  <c r="V27" i="54"/>
  <c r="Y27" i="54"/>
  <c r="E28" i="54"/>
  <c r="F28" i="54" s="1"/>
  <c r="G28" i="54"/>
  <c r="J28" i="54"/>
  <c r="L28" i="54"/>
  <c r="M28" i="54" s="1"/>
  <c r="O28" i="54"/>
  <c r="Q28" i="54"/>
  <c r="T28" i="54"/>
  <c r="U28" i="54" s="1"/>
  <c r="V28" i="54"/>
  <c r="Y28" i="54"/>
  <c r="E29" i="54"/>
  <c r="F29" i="54" s="1"/>
  <c r="G29" i="54"/>
  <c r="J29" i="54"/>
  <c r="L29" i="54"/>
  <c r="M29" i="54" s="1"/>
  <c r="O29" i="54"/>
  <c r="Q29" i="54"/>
  <c r="T29" i="54"/>
  <c r="U29" i="54" s="1"/>
  <c r="V29" i="54"/>
  <c r="Y29" i="54"/>
  <c r="E30" i="54"/>
  <c r="G30" i="54"/>
  <c r="J30" i="54"/>
  <c r="L30" i="54"/>
  <c r="O30" i="54"/>
  <c r="Q30" i="54"/>
  <c r="T30" i="54"/>
  <c r="V30" i="54"/>
  <c r="Y30" i="54"/>
  <c r="G31" i="54"/>
  <c r="H31" i="54" s="1"/>
  <c r="L31" i="54"/>
  <c r="Q31" i="54"/>
  <c r="E32" i="54"/>
  <c r="F32" i="54" s="1"/>
  <c r="G32" i="54"/>
  <c r="J32" i="54"/>
  <c r="L32" i="54"/>
  <c r="M32" i="54" s="1"/>
  <c r="O32" i="54"/>
  <c r="Q32" i="54"/>
  <c r="T32" i="54"/>
  <c r="U32" i="54" s="1"/>
  <c r="Y32" i="54"/>
  <c r="E33" i="54"/>
  <c r="G33" i="54"/>
  <c r="H33" i="54" s="1"/>
  <c r="J33" i="54"/>
  <c r="L33" i="54"/>
  <c r="O33" i="54"/>
  <c r="P33" i="54" s="1"/>
  <c r="Q33" i="54"/>
  <c r="T33" i="54"/>
  <c r="V33" i="54"/>
  <c r="W33" i="54" s="1"/>
  <c r="Y33" i="54"/>
  <c r="G34" i="54"/>
  <c r="L34" i="54"/>
  <c r="M34" i="54" s="1"/>
  <c r="Q34" i="54"/>
  <c r="E35" i="54"/>
  <c r="G35" i="54"/>
  <c r="H35" i="54" s="1"/>
  <c r="J35" i="54"/>
  <c r="L35" i="54"/>
  <c r="O35" i="54"/>
  <c r="P35" i="54" s="1"/>
  <c r="Q35" i="54"/>
  <c r="T35" i="54"/>
  <c r="Y35" i="54"/>
  <c r="Z35" i="54" s="1"/>
  <c r="G36" i="54"/>
  <c r="L36" i="54"/>
  <c r="Q36" i="54"/>
  <c r="Q39" i="54" s="1"/>
  <c r="E37" i="54"/>
  <c r="O37" i="54"/>
  <c r="T37" i="54"/>
  <c r="U37" i="54" s="1"/>
  <c r="Y37" i="54"/>
  <c r="E4" i="54"/>
  <c r="G4" i="54"/>
  <c r="H4" i="54" s="1"/>
  <c r="J4" i="54"/>
  <c r="L4" i="54"/>
  <c r="F27" i="54"/>
  <c r="H27" i="54"/>
  <c r="K27" i="54"/>
  <c r="M27" i="54"/>
  <c r="P27" i="54"/>
  <c r="R27" i="54"/>
  <c r="U27" i="54"/>
  <c r="W27" i="54"/>
  <c r="Z27" i="54"/>
  <c r="AB27" i="54"/>
  <c r="H28" i="54"/>
  <c r="K28" i="54"/>
  <c r="P28" i="54"/>
  <c r="R28" i="54"/>
  <c r="W28" i="54"/>
  <c r="Z28" i="54"/>
  <c r="AB28" i="54"/>
  <c r="H29" i="54"/>
  <c r="K29" i="54"/>
  <c r="P29" i="54"/>
  <c r="R29" i="54"/>
  <c r="W29" i="54"/>
  <c r="Z29" i="54"/>
  <c r="AB29" i="54"/>
  <c r="F30" i="54"/>
  <c r="H30" i="54"/>
  <c r="K30" i="54"/>
  <c r="M30" i="54"/>
  <c r="P30" i="54"/>
  <c r="R30" i="54"/>
  <c r="U30" i="54"/>
  <c r="W30" i="54"/>
  <c r="Z30" i="54"/>
  <c r="AB30" i="54"/>
  <c r="M31" i="54"/>
  <c r="R31" i="54"/>
  <c r="V31" i="54"/>
  <c r="W31" i="54" s="1"/>
  <c r="AB31" i="54"/>
  <c r="H32" i="54"/>
  <c r="K32" i="54"/>
  <c r="P32" i="54"/>
  <c r="R32" i="54"/>
  <c r="V32" i="54"/>
  <c r="W32" i="54"/>
  <c r="Z32" i="54"/>
  <c r="AB32" i="54"/>
  <c r="F33" i="54"/>
  <c r="K33" i="54"/>
  <c r="M33" i="54"/>
  <c r="R33" i="54"/>
  <c r="U33" i="54"/>
  <c r="Z33" i="54"/>
  <c r="AB33" i="54"/>
  <c r="H34" i="54"/>
  <c r="R34" i="54"/>
  <c r="V34" i="54"/>
  <c r="W34" i="54" s="1"/>
  <c r="AB34" i="54"/>
  <c r="F35" i="54"/>
  <c r="K35" i="54"/>
  <c r="M35" i="54"/>
  <c r="R35" i="54"/>
  <c r="U35" i="54"/>
  <c r="V35" i="54"/>
  <c r="W35" i="54"/>
  <c r="AB35" i="54"/>
  <c r="H36" i="54"/>
  <c r="M36" i="54"/>
  <c r="V36" i="54"/>
  <c r="W36" i="54" s="1"/>
  <c r="AB36" i="54"/>
  <c r="F37" i="54"/>
  <c r="J37" i="54"/>
  <c r="K37" i="54" s="1"/>
  <c r="P37" i="54"/>
  <c r="Z37" i="54"/>
  <c r="E39" i="54"/>
  <c r="J39" i="54"/>
  <c r="L39" i="54"/>
  <c r="T39" i="54"/>
  <c r="AA39" i="54"/>
  <c r="AB39" i="54"/>
  <c r="G19" i="54"/>
  <c r="L19" i="54"/>
  <c r="Q19" i="54"/>
  <c r="L20" i="54"/>
  <c r="F4" i="54"/>
  <c r="K4" i="54"/>
  <c r="M4" i="54"/>
  <c r="P4" i="54"/>
  <c r="R4" i="54"/>
  <c r="U4" i="54"/>
  <c r="W4" i="54"/>
  <c r="Z4" i="54"/>
  <c r="AB4" i="54"/>
  <c r="F5" i="54"/>
  <c r="H5" i="54"/>
  <c r="K5" i="54"/>
  <c r="M5" i="54"/>
  <c r="P5" i="54"/>
  <c r="R5" i="54"/>
  <c r="U5" i="54"/>
  <c r="W5" i="54"/>
  <c r="Z5" i="54"/>
  <c r="AB5" i="54"/>
  <c r="F6" i="54"/>
  <c r="H6" i="54"/>
  <c r="K6" i="54"/>
  <c r="M6" i="54"/>
  <c r="P6" i="54"/>
  <c r="R6" i="54"/>
  <c r="U6" i="54"/>
  <c r="W6" i="54"/>
  <c r="Z6" i="54"/>
  <c r="AB6" i="54"/>
  <c r="F7" i="54"/>
  <c r="H7" i="54"/>
  <c r="K7" i="54"/>
  <c r="M7" i="54"/>
  <c r="P7" i="54"/>
  <c r="R7" i="54"/>
  <c r="U7" i="54"/>
  <c r="W7" i="54"/>
  <c r="Z7" i="54"/>
  <c r="AB7" i="54"/>
  <c r="H8" i="54"/>
  <c r="M8" i="54"/>
  <c r="R8" i="54"/>
  <c r="W8" i="54"/>
  <c r="AB8" i="54"/>
  <c r="F9" i="54"/>
  <c r="H9" i="54"/>
  <c r="K9" i="54"/>
  <c r="M9" i="54"/>
  <c r="P9" i="54"/>
  <c r="R9" i="54"/>
  <c r="U9" i="54"/>
  <c r="W9" i="54"/>
  <c r="Z9" i="54"/>
  <c r="AB9" i="54"/>
  <c r="F10" i="54"/>
  <c r="H10" i="54"/>
  <c r="K10" i="54"/>
  <c r="M10" i="54"/>
  <c r="P10" i="54"/>
  <c r="R10" i="54"/>
  <c r="U10" i="54"/>
  <c r="W10" i="54"/>
  <c r="Z10" i="54"/>
  <c r="AB10" i="54"/>
  <c r="M11" i="54"/>
  <c r="R11" i="54"/>
  <c r="W11" i="54"/>
  <c r="F12" i="54"/>
  <c r="H12" i="54"/>
  <c r="M12" i="54"/>
  <c r="P12" i="54"/>
  <c r="U12" i="54"/>
  <c r="W12" i="54"/>
  <c r="AB12" i="54"/>
  <c r="H13" i="54"/>
  <c r="R13" i="54"/>
  <c r="W13" i="54"/>
  <c r="F14" i="54"/>
  <c r="K14" i="54"/>
  <c r="U14" i="54"/>
  <c r="Z14" i="54"/>
  <c r="E16" i="54"/>
  <c r="F16" i="54"/>
  <c r="J16" i="54"/>
  <c r="Q16" i="54"/>
  <c r="T16" i="54"/>
  <c r="U16" i="54"/>
  <c r="V16" i="54"/>
  <c r="Y16" i="54"/>
  <c r="E34" i="53"/>
  <c r="O16" i="53"/>
  <c r="O17" i="53"/>
  <c r="O18" i="53"/>
  <c r="W18" i="53"/>
  <c r="O19" i="53"/>
  <c r="W19" i="53"/>
  <c r="W20" i="53"/>
  <c r="E21" i="53"/>
  <c r="F21" i="53" s="1"/>
  <c r="W21" i="53"/>
  <c r="E22" i="53"/>
  <c r="F22" i="53" s="1"/>
  <c r="W22" i="53"/>
  <c r="E23" i="53"/>
  <c r="F23" i="53" s="1"/>
  <c r="W23" i="53"/>
  <c r="E24" i="53"/>
  <c r="F24" i="53" s="1"/>
  <c r="W24" i="53"/>
  <c r="E25" i="53"/>
  <c r="F25" i="53" s="1"/>
  <c r="W25" i="53"/>
  <c r="E26" i="53"/>
  <c r="F26" i="53" s="1"/>
  <c r="W26" i="53"/>
  <c r="E27" i="53"/>
  <c r="F27" i="53" s="1"/>
  <c r="W27" i="53"/>
  <c r="E28" i="53"/>
  <c r="F28" i="53" s="1"/>
  <c r="W28" i="53"/>
  <c r="E29" i="53"/>
  <c r="F29" i="53" s="1"/>
  <c r="W29" i="53"/>
  <c r="E30" i="53"/>
  <c r="F30" i="53" s="1"/>
  <c r="E31" i="53"/>
  <c r="F31" i="53"/>
  <c r="E32" i="53"/>
  <c r="F32" i="53"/>
  <c r="V32" i="53"/>
  <c r="H4" i="53"/>
  <c r="K4" i="53"/>
  <c r="O4" i="53"/>
  <c r="AA4" i="53"/>
  <c r="AB4" i="53"/>
  <c r="AC4" i="53"/>
  <c r="H5" i="53"/>
  <c r="K5" i="53"/>
  <c r="O5" i="53"/>
  <c r="AA5" i="53"/>
  <c r="AB5" i="53"/>
  <c r="AC5" i="53"/>
  <c r="H6" i="53"/>
  <c r="K6" i="53"/>
  <c r="O6" i="53"/>
  <c r="AA6" i="53"/>
  <c r="AB6" i="53"/>
  <c r="AC6" i="53"/>
  <c r="H7" i="53"/>
  <c r="K7" i="53"/>
  <c r="O7" i="53"/>
  <c r="AA7" i="53"/>
  <c r="AB7" i="53"/>
  <c r="AC7" i="53"/>
  <c r="H8" i="53"/>
  <c r="K8" i="53"/>
  <c r="AA8" i="53"/>
  <c r="AB8" i="53"/>
  <c r="AC8" i="53"/>
  <c r="H9" i="53"/>
  <c r="K9" i="53"/>
  <c r="AA9" i="53"/>
  <c r="AB9" i="53"/>
  <c r="AC9" i="53"/>
  <c r="H10" i="53"/>
  <c r="K10" i="53"/>
  <c r="AA10" i="53"/>
  <c r="AB10" i="53"/>
  <c r="AC10" i="53"/>
  <c r="H11" i="53"/>
  <c r="K11" i="53"/>
  <c r="AA11" i="53"/>
  <c r="AB11" i="53"/>
  <c r="AC11" i="53"/>
  <c r="H12" i="53"/>
  <c r="K12" i="53"/>
  <c r="H13" i="53"/>
  <c r="H14" i="53" s="1"/>
  <c r="K13" i="53"/>
  <c r="N13" i="53"/>
  <c r="N14" i="53" s="1"/>
  <c r="E14" i="53"/>
  <c r="E21" i="51"/>
  <c r="E22" i="51"/>
  <c r="E23" i="51"/>
  <c r="E24" i="51"/>
  <c r="E25" i="51"/>
  <c r="E26" i="51"/>
  <c r="E27" i="51"/>
  <c r="E28" i="51"/>
  <c r="E29" i="51"/>
  <c r="E30" i="51"/>
  <c r="E31" i="51"/>
  <c r="E32" i="51"/>
  <c r="E34" i="51"/>
  <c r="E4" i="51"/>
  <c r="G4" i="51"/>
  <c r="E5" i="51"/>
  <c r="E6" i="51"/>
  <c r="E7" i="51"/>
  <c r="E8" i="51"/>
  <c r="E9" i="51"/>
  <c r="O9" i="51"/>
  <c r="E10" i="51"/>
  <c r="E11" i="51"/>
  <c r="E12" i="51"/>
  <c r="E13" i="51"/>
  <c r="L4" i="52"/>
  <c r="O4" i="52"/>
  <c r="Q4" i="52"/>
  <c r="T4" i="52"/>
  <c r="V4" i="52"/>
  <c r="Y4" i="52"/>
  <c r="AA4" i="52"/>
  <c r="E5" i="52"/>
  <c r="G5" i="52"/>
  <c r="J5" i="52"/>
  <c r="L5" i="52"/>
  <c r="O5" i="52"/>
  <c r="Q5" i="52"/>
  <c r="T5" i="52"/>
  <c r="V5" i="52"/>
  <c r="Y5" i="52"/>
  <c r="AA5" i="52"/>
  <c r="E6" i="52"/>
  <c r="G6" i="52"/>
  <c r="J6" i="52"/>
  <c r="L6" i="52"/>
  <c r="O6" i="52"/>
  <c r="Q6" i="52"/>
  <c r="T6" i="52"/>
  <c r="V6" i="52"/>
  <c r="Y6" i="52"/>
  <c r="AA6" i="52"/>
  <c r="E7" i="52"/>
  <c r="G7" i="52"/>
  <c r="J7" i="52"/>
  <c r="L7" i="52"/>
  <c r="M7" i="52" s="1"/>
  <c r="O7" i="52"/>
  <c r="Q7" i="52"/>
  <c r="T7" i="52"/>
  <c r="U7" i="52" s="1"/>
  <c r="V7" i="52"/>
  <c r="Y7" i="52"/>
  <c r="AA7" i="52"/>
  <c r="AB7" i="52" s="1"/>
  <c r="G8" i="52"/>
  <c r="L8" i="52"/>
  <c r="M8" i="52" s="1"/>
  <c r="Q8" i="52"/>
  <c r="R8" i="52" s="1"/>
  <c r="V8" i="52"/>
  <c r="AA8" i="52"/>
  <c r="E9" i="52"/>
  <c r="F9" i="52" s="1"/>
  <c r="G9" i="52"/>
  <c r="J9" i="52"/>
  <c r="K9" i="52" s="1"/>
  <c r="L9" i="52"/>
  <c r="M9" i="52" s="1"/>
  <c r="O9" i="52"/>
  <c r="Q9" i="52"/>
  <c r="R9" i="52" s="1"/>
  <c r="T9" i="52"/>
  <c r="U9" i="52" s="1"/>
  <c r="V9" i="52"/>
  <c r="Y9" i="52"/>
  <c r="AA9" i="52"/>
  <c r="AB9" i="52" s="1"/>
  <c r="E10" i="52"/>
  <c r="G10" i="52"/>
  <c r="H10" i="52" s="1"/>
  <c r="J10" i="52"/>
  <c r="K10" i="52" s="1"/>
  <c r="L10" i="52"/>
  <c r="O10" i="52"/>
  <c r="P10" i="52" s="1"/>
  <c r="Q10" i="52"/>
  <c r="R10" i="52" s="1"/>
  <c r="T10" i="52"/>
  <c r="V10" i="52"/>
  <c r="Y10" i="52"/>
  <c r="Z10" i="52" s="1"/>
  <c r="AA10" i="52"/>
  <c r="G11" i="52"/>
  <c r="L11" i="52"/>
  <c r="M11" i="52" s="1"/>
  <c r="Q11" i="52"/>
  <c r="V11" i="52"/>
  <c r="AA11" i="52"/>
  <c r="AB11" i="52" s="1"/>
  <c r="E12" i="52"/>
  <c r="G12" i="52"/>
  <c r="H12" i="52" s="1"/>
  <c r="J12" i="52"/>
  <c r="K12" i="52" s="1"/>
  <c r="L12" i="52"/>
  <c r="O12" i="52"/>
  <c r="P12" i="52" s="1"/>
  <c r="Q12" i="52"/>
  <c r="R12" i="52" s="1"/>
  <c r="T12" i="52"/>
  <c r="V12" i="52"/>
  <c r="Y12" i="52"/>
  <c r="Z12" i="52" s="1"/>
  <c r="AA12" i="52"/>
  <c r="G13" i="52"/>
  <c r="H13" i="52" s="1"/>
  <c r="L13" i="52"/>
  <c r="M13" i="52" s="1"/>
  <c r="Q13" i="52"/>
  <c r="V13" i="52"/>
  <c r="W13" i="52" s="1"/>
  <c r="AA13" i="52"/>
  <c r="AB13" i="52" s="1"/>
  <c r="E14" i="52"/>
  <c r="J14" i="52"/>
  <c r="O14" i="52"/>
  <c r="P14" i="52" s="1"/>
  <c r="T14" i="52"/>
  <c r="Y14" i="52"/>
  <c r="Z14" i="52" s="1"/>
  <c r="E27" i="52"/>
  <c r="G27" i="52"/>
  <c r="J27" i="52"/>
  <c r="L27" i="52"/>
  <c r="O27" i="52"/>
  <c r="Q27" i="52"/>
  <c r="T27" i="52"/>
  <c r="V27" i="52"/>
  <c r="Y27" i="52"/>
  <c r="E28" i="52"/>
  <c r="F28" i="52" s="1"/>
  <c r="G28" i="52"/>
  <c r="J28" i="52"/>
  <c r="K28" i="52" s="1"/>
  <c r="L28" i="52"/>
  <c r="M28" i="52" s="1"/>
  <c r="O28" i="52"/>
  <c r="Q28" i="52"/>
  <c r="T28" i="52"/>
  <c r="U28" i="52" s="1"/>
  <c r="V28" i="52"/>
  <c r="Y28" i="52"/>
  <c r="Z28" i="52" s="1"/>
  <c r="E29" i="52"/>
  <c r="F29" i="52" s="1"/>
  <c r="G29" i="52"/>
  <c r="J29" i="52"/>
  <c r="K29" i="52" s="1"/>
  <c r="L29" i="52"/>
  <c r="M29" i="52" s="1"/>
  <c r="O29" i="52"/>
  <c r="Q29" i="52"/>
  <c r="R29" i="52" s="1"/>
  <c r="T29" i="52"/>
  <c r="U29" i="52" s="1"/>
  <c r="V29" i="52"/>
  <c r="Y29" i="52"/>
  <c r="E30" i="52"/>
  <c r="G30" i="52"/>
  <c r="J30" i="52"/>
  <c r="K30" i="52" s="1"/>
  <c r="L30" i="52"/>
  <c r="M30" i="52" s="1"/>
  <c r="O30" i="52"/>
  <c r="Q30" i="52"/>
  <c r="R30" i="52" s="1"/>
  <c r="T30" i="52"/>
  <c r="V30" i="52"/>
  <c r="Y30" i="52"/>
  <c r="Z30" i="52" s="1"/>
  <c r="G31" i="52"/>
  <c r="H31" i="52" s="1"/>
  <c r="L31" i="52"/>
  <c r="Q31" i="52"/>
  <c r="R31" i="52" s="1"/>
  <c r="E32" i="52"/>
  <c r="F32" i="52" s="1"/>
  <c r="G32" i="52"/>
  <c r="J32" i="52"/>
  <c r="K32" i="52" s="1"/>
  <c r="L32" i="52"/>
  <c r="M32" i="52" s="1"/>
  <c r="O32" i="52"/>
  <c r="Q32" i="52"/>
  <c r="R32" i="52" s="1"/>
  <c r="T32" i="52"/>
  <c r="U32" i="52" s="1"/>
  <c r="Y32" i="52"/>
  <c r="E33" i="52"/>
  <c r="F33" i="52" s="1"/>
  <c r="G33" i="52"/>
  <c r="H33" i="52" s="1"/>
  <c r="J33" i="52"/>
  <c r="L33" i="52"/>
  <c r="M33" i="52" s="1"/>
  <c r="O33" i="52"/>
  <c r="P33" i="52" s="1"/>
  <c r="Q33" i="52"/>
  <c r="T33" i="52"/>
  <c r="U33" i="52" s="1"/>
  <c r="V33" i="52"/>
  <c r="W33" i="52" s="1"/>
  <c r="Y33" i="52"/>
  <c r="G34" i="52"/>
  <c r="H34" i="52" s="1"/>
  <c r="L34" i="52"/>
  <c r="M34" i="52" s="1"/>
  <c r="Q34" i="52"/>
  <c r="E35" i="52"/>
  <c r="F35" i="52" s="1"/>
  <c r="G35" i="52"/>
  <c r="J35" i="52"/>
  <c r="L35" i="52"/>
  <c r="M35" i="52" s="1"/>
  <c r="O35" i="52"/>
  <c r="P35" i="52" s="1"/>
  <c r="Q35" i="52"/>
  <c r="T35" i="52"/>
  <c r="U35" i="52" s="1"/>
  <c r="Y35" i="52"/>
  <c r="Z35" i="52" s="1"/>
  <c r="G36" i="52"/>
  <c r="L36" i="52"/>
  <c r="M36" i="52" s="1"/>
  <c r="Q36" i="52"/>
  <c r="R36" i="52" s="1"/>
  <c r="E37" i="52"/>
  <c r="O37" i="52"/>
  <c r="T37" i="52"/>
  <c r="U37" i="52" s="1"/>
  <c r="Y37" i="52"/>
  <c r="E4" i="52"/>
  <c r="G4" i="52"/>
  <c r="J4" i="52"/>
  <c r="AA39" i="52"/>
  <c r="Z37" i="52"/>
  <c r="P37" i="52"/>
  <c r="J37" i="52"/>
  <c r="K37" i="52" s="1"/>
  <c r="F37" i="52"/>
  <c r="AB36" i="52"/>
  <c r="V36" i="52"/>
  <c r="W36" i="52" s="1"/>
  <c r="H36" i="52"/>
  <c r="AB35" i="52"/>
  <c r="V35" i="52"/>
  <c r="W35" i="52" s="1"/>
  <c r="R35" i="52"/>
  <c r="K35" i="52"/>
  <c r="H35" i="52"/>
  <c r="AB34" i="52"/>
  <c r="V34" i="52"/>
  <c r="W34" i="52" s="1"/>
  <c r="R34" i="52"/>
  <c r="AB33" i="52"/>
  <c r="Z33" i="52"/>
  <c r="R33" i="52"/>
  <c r="K33" i="52"/>
  <c r="AB32" i="52"/>
  <c r="Z32" i="52"/>
  <c r="V32" i="52"/>
  <c r="W32" i="52" s="1"/>
  <c r="P32" i="52"/>
  <c r="H32" i="52"/>
  <c r="AB31" i="52"/>
  <c r="V31" i="52"/>
  <c r="W31" i="52" s="1"/>
  <c r="M31" i="52"/>
  <c r="AB30" i="52"/>
  <c r="W30" i="52"/>
  <c r="U30" i="52"/>
  <c r="P30" i="52"/>
  <c r="H30" i="52"/>
  <c r="F30" i="52"/>
  <c r="AB29" i="52"/>
  <c r="Z29" i="52"/>
  <c r="W29" i="52"/>
  <c r="P29" i="52"/>
  <c r="H29" i="52"/>
  <c r="AB28" i="52"/>
  <c r="W28" i="52"/>
  <c r="R28" i="52"/>
  <c r="P28" i="52"/>
  <c r="H28" i="52"/>
  <c r="AB27" i="52"/>
  <c r="AB39" i="52"/>
  <c r="L20" i="52"/>
  <c r="Q19" i="52"/>
  <c r="L19" i="52"/>
  <c r="G19" i="52"/>
  <c r="U14" i="52"/>
  <c r="K14" i="52"/>
  <c r="F14" i="52"/>
  <c r="R13" i="52"/>
  <c r="AB12" i="52"/>
  <c r="W12" i="52"/>
  <c r="U12" i="52"/>
  <c r="M12" i="52"/>
  <c r="F12" i="52"/>
  <c r="W11" i="52"/>
  <c r="R11" i="52"/>
  <c r="AB10" i="52"/>
  <c r="W10" i="52"/>
  <c r="U10" i="52"/>
  <c r="M10" i="52"/>
  <c r="F10" i="52"/>
  <c r="Z9" i="52"/>
  <c r="W9" i="52"/>
  <c r="P9" i="52"/>
  <c r="H9" i="52"/>
  <c r="AB8" i="52"/>
  <c r="W8" i="52"/>
  <c r="H8" i="52"/>
  <c r="Z7" i="52"/>
  <c r="W7" i="52"/>
  <c r="R7" i="52"/>
  <c r="P7" i="52"/>
  <c r="K7" i="52"/>
  <c r="H7" i="52"/>
  <c r="F7" i="52"/>
  <c r="AB6" i="52"/>
  <c r="Z6" i="52"/>
  <c r="W6" i="52"/>
  <c r="U6" i="52"/>
  <c r="R6" i="52"/>
  <c r="P6" i="52"/>
  <c r="M6" i="52"/>
  <c r="K6" i="52"/>
  <c r="H6" i="52"/>
  <c r="F6" i="52"/>
  <c r="AB5" i="52"/>
  <c r="Z5" i="52"/>
  <c r="W5" i="52"/>
  <c r="U5" i="52"/>
  <c r="R5" i="52"/>
  <c r="P5" i="52"/>
  <c r="M5" i="52"/>
  <c r="K5" i="52"/>
  <c r="H5" i="52"/>
  <c r="F5" i="52"/>
  <c r="F32" i="51"/>
  <c r="F31" i="51"/>
  <c r="F30" i="51"/>
  <c r="W29" i="51"/>
  <c r="F29" i="51"/>
  <c r="W28" i="51"/>
  <c r="F28" i="51"/>
  <c r="W27" i="51"/>
  <c r="F27" i="51"/>
  <c r="W26" i="51"/>
  <c r="F26" i="51"/>
  <c r="W25" i="51"/>
  <c r="F25" i="51"/>
  <c r="W24" i="51"/>
  <c r="F24" i="51"/>
  <c r="W23" i="51"/>
  <c r="F23" i="51"/>
  <c r="W22" i="51"/>
  <c r="F22" i="51"/>
  <c r="W21" i="51"/>
  <c r="F21" i="51"/>
  <c r="W20" i="51"/>
  <c r="W19" i="51"/>
  <c r="O19" i="51"/>
  <c r="W18" i="51"/>
  <c r="O18" i="51"/>
  <c r="O17" i="51"/>
  <c r="O16" i="51"/>
  <c r="N13" i="51"/>
  <c r="N14" i="51" s="1"/>
  <c r="K13" i="51"/>
  <c r="H13" i="51"/>
  <c r="K12" i="51"/>
  <c r="H12" i="51"/>
  <c r="AA11" i="51"/>
  <c r="AB11" i="51"/>
  <c r="AC11" i="51"/>
  <c r="K11" i="51"/>
  <c r="H11" i="51"/>
  <c r="AA10" i="51"/>
  <c r="AB10" i="51"/>
  <c r="AC10" i="51"/>
  <c r="K10" i="51"/>
  <c r="H10" i="51"/>
  <c r="AA9" i="51"/>
  <c r="AB9" i="51"/>
  <c r="AC9" i="51"/>
  <c r="K9" i="51"/>
  <c r="H9" i="51"/>
  <c r="AA8" i="51"/>
  <c r="AB8" i="51"/>
  <c r="AC8" i="51"/>
  <c r="K8" i="51"/>
  <c r="H8" i="51"/>
  <c r="AA7" i="51"/>
  <c r="AB7" i="51"/>
  <c r="AC7" i="51"/>
  <c r="O7" i="51"/>
  <c r="K7" i="51"/>
  <c r="H7" i="51"/>
  <c r="AA6" i="51"/>
  <c r="AB6" i="51"/>
  <c r="AC6" i="51"/>
  <c r="O6" i="51"/>
  <c r="K6" i="51"/>
  <c r="H6" i="51"/>
  <c r="AA5" i="51"/>
  <c r="AB5" i="51"/>
  <c r="AC5" i="51"/>
  <c r="O5" i="51"/>
  <c r="K5" i="51"/>
  <c r="H5" i="51"/>
  <c r="AA4" i="51"/>
  <c r="O4" i="51"/>
  <c r="K4" i="51"/>
  <c r="H4" i="51"/>
  <c r="Q2496" i="1"/>
  <c r="E4" i="49"/>
  <c r="G4" i="49"/>
  <c r="E5" i="49"/>
  <c r="E6" i="49"/>
  <c r="E7" i="49"/>
  <c r="E8" i="49"/>
  <c r="E9" i="49"/>
  <c r="O9" i="49"/>
  <c r="E10" i="49"/>
  <c r="E11" i="49"/>
  <c r="E12" i="49"/>
  <c r="E13" i="49"/>
  <c r="G4" i="50"/>
  <c r="J4" i="50"/>
  <c r="L4" i="50"/>
  <c r="O4" i="50"/>
  <c r="Q4" i="50"/>
  <c r="T4" i="50"/>
  <c r="V4" i="50"/>
  <c r="Y4" i="50"/>
  <c r="AA4" i="50"/>
  <c r="E5" i="50"/>
  <c r="F5" i="50" s="1"/>
  <c r="G5" i="50"/>
  <c r="J5" i="50"/>
  <c r="L5" i="50"/>
  <c r="M5" i="50" s="1"/>
  <c r="O5" i="50"/>
  <c r="Q5" i="50"/>
  <c r="T5" i="50"/>
  <c r="U5" i="50" s="1"/>
  <c r="V5" i="50"/>
  <c r="Y5" i="50"/>
  <c r="AA5" i="50"/>
  <c r="AB5" i="50" s="1"/>
  <c r="E6" i="50"/>
  <c r="G6" i="50"/>
  <c r="J6" i="50"/>
  <c r="K6" i="50" s="1"/>
  <c r="L6" i="50"/>
  <c r="O6" i="50"/>
  <c r="Q6" i="50"/>
  <c r="R6" i="50" s="1"/>
  <c r="T6" i="50"/>
  <c r="V6" i="50"/>
  <c r="W6" i="50" s="1"/>
  <c r="Y6" i="50"/>
  <c r="Z6" i="50" s="1"/>
  <c r="AA6" i="50"/>
  <c r="E7" i="50"/>
  <c r="G7" i="50"/>
  <c r="H7" i="50" s="1"/>
  <c r="J7" i="50"/>
  <c r="L7" i="50"/>
  <c r="O7" i="50"/>
  <c r="P7" i="50" s="1"/>
  <c r="Q7" i="50"/>
  <c r="T7" i="50"/>
  <c r="U7" i="50" s="1"/>
  <c r="V7" i="50"/>
  <c r="W7" i="50" s="1"/>
  <c r="Y7" i="50"/>
  <c r="AA7" i="50"/>
  <c r="G8" i="50"/>
  <c r="H8" i="50" s="1"/>
  <c r="L8" i="50"/>
  <c r="Q8" i="50"/>
  <c r="V8" i="50"/>
  <c r="W8" i="50" s="1"/>
  <c r="AA8" i="50"/>
  <c r="E9" i="50"/>
  <c r="F9" i="50" s="1"/>
  <c r="G9" i="50"/>
  <c r="H9" i="50" s="1"/>
  <c r="J9" i="50"/>
  <c r="L9" i="50"/>
  <c r="O9" i="50"/>
  <c r="P9" i="50" s="1"/>
  <c r="Q9" i="50"/>
  <c r="T9" i="50"/>
  <c r="V9" i="50"/>
  <c r="W9" i="50" s="1"/>
  <c r="Y9" i="50"/>
  <c r="AA9" i="50"/>
  <c r="AB9" i="50" s="1"/>
  <c r="E10" i="50"/>
  <c r="F10" i="50" s="1"/>
  <c r="G10" i="50"/>
  <c r="J10" i="50"/>
  <c r="L10" i="50"/>
  <c r="M10" i="50" s="1"/>
  <c r="O10" i="50"/>
  <c r="Q10" i="50"/>
  <c r="T10" i="50"/>
  <c r="U10" i="50" s="1"/>
  <c r="V10" i="50"/>
  <c r="Y10" i="50"/>
  <c r="Z10" i="50" s="1"/>
  <c r="AA10" i="50"/>
  <c r="AB10" i="50" s="1"/>
  <c r="G11" i="50"/>
  <c r="L11" i="50"/>
  <c r="Q11" i="50"/>
  <c r="R11" i="50" s="1"/>
  <c r="V11" i="50"/>
  <c r="AA11" i="50"/>
  <c r="AB11" i="50" s="1"/>
  <c r="E12" i="50"/>
  <c r="F12" i="50" s="1"/>
  <c r="G12" i="50"/>
  <c r="J12" i="50"/>
  <c r="L12" i="50"/>
  <c r="M12" i="50" s="1"/>
  <c r="O12" i="50"/>
  <c r="Q12" i="50"/>
  <c r="T12" i="50"/>
  <c r="U12" i="50" s="1"/>
  <c r="V12" i="50"/>
  <c r="Y12" i="50"/>
  <c r="Z12" i="50" s="1"/>
  <c r="AA12" i="50"/>
  <c r="AB12" i="50" s="1"/>
  <c r="G13" i="50"/>
  <c r="L13" i="50"/>
  <c r="Q13" i="50"/>
  <c r="R13" i="50" s="1"/>
  <c r="V13" i="50"/>
  <c r="AA13" i="50"/>
  <c r="E14" i="50"/>
  <c r="F14" i="50" s="1"/>
  <c r="J14" i="50"/>
  <c r="K14" i="50" s="1"/>
  <c r="O14" i="50"/>
  <c r="T14" i="50"/>
  <c r="U14" i="50" s="1"/>
  <c r="Y14" i="50"/>
  <c r="Z14" i="50" s="1"/>
  <c r="E27" i="50"/>
  <c r="G27" i="50"/>
  <c r="J27" i="50"/>
  <c r="L27" i="50"/>
  <c r="O27" i="50"/>
  <c r="Q27" i="50"/>
  <c r="T27" i="50"/>
  <c r="V27" i="50"/>
  <c r="Y27" i="50"/>
  <c r="E28" i="50"/>
  <c r="G28" i="50"/>
  <c r="H28" i="50" s="1"/>
  <c r="J28" i="50"/>
  <c r="L28" i="50"/>
  <c r="M28" i="50" s="1"/>
  <c r="O28" i="50"/>
  <c r="P28" i="50" s="1"/>
  <c r="Q28" i="50"/>
  <c r="R28" i="50" s="1"/>
  <c r="T28" i="50"/>
  <c r="U28" i="50" s="1"/>
  <c r="V28" i="50"/>
  <c r="W28" i="50" s="1"/>
  <c r="Y28" i="50"/>
  <c r="Z28" i="50" s="1"/>
  <c r="E29" i="50"/>
  <c r="F29" i="50" s="1"/>
  <c r="G29" i="50"/>
  <c r="H29" i="50" s="1"/>
  <c r="J29" i="50"/>
  <c r="K29" i="50" s="1"/>
  <c r="L29" i="50"/>
  <c r="M29" i="50" s="1"/>
  <c r="O29" i="50"/>
  <c r="P29" i="50" s="1"/>
  <c r="Q29" i="50"/>
  <c r="T29" i="50"/>
  <c r="U29" i="50" s="1"/>
  <c r="V29" i="50"/>
  <c r="W29" i="50" s="1"/>
  <c r="Y29" i="50"/>
  <c r="Z29" i="50" s="1"/>
  <c r="E30" i="50"/>
  <c r="F30" i="50" s="1"/>
  <c r="G30" i="50"/>
  <c r="H30" i="50" s="1"/>
  <c r="J30" i="50"/>
  <c r="L30" i="50"/>
  <c r="M30" i="50" s="1"/>
  <c r="O30" i="50"/>
  <c r="P30" i="50" s="1"/>
  <c r="Q30" i="50"/>
  <c r="R30" i="50" s="1"/>
  <c r="T30" i="50"/>
  <c r="U30" i="50" s="1"/>
  <c r="V30" i="50"/>
  <c r="W30" i="50" s="1"/>
  <c r="Y30" i="50"/>
  <c r="Z30" i="50" s="1"/>
  <c r="G31" i="50"/>
  <c r="H31" i="50" s="1"/>
  <c r="L31" i="50"/>
  <c r="M31" i="50" s="1"/>
  <c r="Q31" i="50"/>
  <c r="E32" i="50"/>
  <c r="G32" i="50"/>
  <c r="H32" i="50" s="1"/>
  <c r="J32" i="50"/>
  <c r="K32" i="50" s="1"/>
  <c r="L32" i="50"/>
  <c r="M32" i="50" s="1"/>
  <c r="O32" i="50"/>
  <c r="P32" i="50" s="1"/>
  <c r="Q32" i="50"/>
  <c r="R32" i="50" s="1"/>
  <c r="T32" i="50"/>
  <c r="U32" i="50" s="1"/>
  <c r="Y32" i="50"/>
  <c r="Z32" i="50" s="1"/>
  <c r="E33" i="50"/>
  <c r="F33" i="50" s="1"/>
  <c r="G33" i="50"/>
  <c r="H33" i="50" s="1"/>
  <c r="J33" i="50"/>
  <c r="K33" i="50" s="1"/>
  <c r="L33" i="50"/>
  <c r="M33" i="50" s="1"/>
  <c r="O33" i="50"/>
  <c r="P33" i="50" s="1"/>
  <c r="Q33" i="50"/>
  <c r="R33" i="50" s="1"/>
  <c r="T33" i="50"/>
  <c r="U33" i="50" s="1"/>
  <c r="V33" i="50"/>
  <c r="W33" i="50" s="1"/>
  <c r="Y33" i="50"/>
  <c r="Z33" i="50" s="1"/>
  <c r="G34" i="50"/>
  <c r="H34" i="50" s="1"/>
  <c r="L34" i="50"/>
  <c r="M34" i="50" s="1"/>
  <c r="Q34" i="50"/>
  <c r="R34" i="50" s="1"/>
  <c r="E35" i="50"/>
  <c r="F35" i="50" s="1"/>
  <c r="G35" i="50"/>
  <c r="H35" i="50" s="1"/>
  <c r="J35" i="50"/>
  <c r="K35" i="50" s="1"/>
  <c r="L35" i="50"/>
  <c r="M35" i="50" s="1"/>
  <c r="O35" i="50"/>
  <c r="P35" i="50" s="1"/>
  <c r="Q35" i="50"/>
  <c r="R35" i="50" s="1"/>
  <c r="T35" i="50"/>
  <c r="U35" i="50" s="1"/>
  <c r="Y35" i="50"/>
  <c r="Z35" i="50" s="1"/>
  <c r="G36" i="50"/>
  <c r="H36" i="50" s="1"/>
  <c r="L36" i="50"/>
  <c r="M36" i="50" s="1"/>
  <c r="Q36" i="50"/>
  <c r="R36" i="50" s="1"/>
  <c r="E37" i="50"/>
  <c r="O37" i="50"/>
  <c r="T37" i="50"/>
  <c r="U37" i="50" s="1"/>
  <c r="Y37" i="50"/>
  <c r="E4" i="50"/>
  <c r="AA39" i="50"/>
  <c r="Z37" i="50"/>
  <c r="P37" i="50"/>
  <c r="J37" i="50"/>
  <c r="K37" i="50" s="1"/>
  <c r="F37" i="50"/>
  <c r="AB36" i="50"/>
  <c r="V36" i="50"/>
  <c r="W36" i="50" s="1"/>
  <c r="AB35" i="50"/>
  <c r="V35" i="50"/>
  <c r="W35" i="50" s="1"/>
  <c r="AB34" i="50"/>
  <c r="V34" i="50"/>
  <c r="W34" i="50" s="1"/>
  <c r="AB33" i="50"/>
  <c r="AB32" i="50"/>
  <c r="V32" i="50"/>
  <c r="W32" i="50" s="1"/>
  <c r="F32" i="50"/>
  <c r="AB31" i="50"/>
  <c r="V31" i="50"/>
  <c r="W31" i="50" s="1"/>
  <c r="R31" i="50"/>
  <c r="AB30" i="50"/>
  <c r="K30" i="50"/>
  <c r="AB29" i="50"/>
  <c r="R29" i="50"/>
  <c r="AB28" i="50"/>
  <c r="K28" i="50"/>
  <c r="F28" i="50"/>
  <c r="AB27" i="50"/>
  <c r="AB39" i="50"/>
  <c r="L20" i="50"/>
  <c r="Q19" i="50"/>
  <c r="L19" i="50"/>
  <c r="G19" i="50"/>
  <c r="P14" i="50"/>
  <c r="AB13" i="50"/>
  <c r="W13" i="50"/>
  <c r="M13" i="50"/>
  <c r="H13" i="50"/>
  <c r="W12" i="50"/>
  <c r="R12" i="50"/>
  <c r="P12" i="50"/>
  <c r="K12" i="50"/>
  <c r="H12" i="50"/>
  <c r="W11" i="50"/>
  <c r="M11" i="50"/>
  <c r="W10" i="50"/>
  <c r="R10" i="50"/>
  <c r="P10" i="50"/>
  <c r="K10" i="50"/>
  <c r="H10" i="50"/>
  <c r="Z9" i="50"/>
  <c r="U9" i="50"/>
  <c r="R9" i="50"/>
  <c r="M9" i="50"/>
  <c r="K9" i="50"/>
  <c r="AB8" i="50"/>
  <c r="R8" i="50"/>
  <c r="M8" i="50"/>
  <c r="AB7" i="50"/>
  <c r="Z7" i="50"/>
  <c r="R7" i="50"/>
  <c r="M7" i="50"/>
  <c r="K7" i="50"/>
  <c r="F7" i="50"/>
  <c r="AB6" i="50"/>
  <c r="U6" i="50"/>
  <c r="P6" i="50"/>
  <c r="M6" i="50"/>
  <c r="H6" i="50"/>
  <c r="F6" i="50"/>
  <c r="Z5" i="50"/>
  <c r="W5" i="50"/>
  <c r="R5" i="50"/>
  <c r="P5" i="50"/>
  <c r="K5" i="50"/>
  <c r="H5" i="50"/>
  <c r="E47" i="49"/>
  <c r="E46" i="49"/>
  <c r="E45" i="49"/>
  <c r="E44" i="49"/>
  <c r="E43" i="49"/>
  <c r="E42" i="49"/>
  <c r="E41" i="49"/>
  <c r="E40" i="49"/>
  <c r="E39" i="49"/>
  <c r="E38" i="49"/>
  <c r="E37" i="49"/>
  <c r="E36" i="49"/>
  <c r="E32" i="49"/>
  <c r="F32" i="49" s="1"/>
  <c r="E31" i="49"/>
  <c r="F31" i="49" s="1"/>
  <c r="E30" i="49"/>
  <c r="W29" i="49"/>
  <c r="E29" i="49"/>
  <c r="W28" i="49"/>
  <c r="E28" i="49"/>
  <c r="W27" i="49"/>
  <c r="E27" i="49"/>
  <c r="W26" i="49"/>
  <c r="E26" i="49"/>
  <c r="W25" i="49"/>
  <c r="E25" i="49"/>
  <c r="W24" i="49"/>
  <c r="E24" i="49"/>
  <c r="W23" i="49"/>
  <c r="E23" i="49"/>
  <c r="W22" i="49"/>
  <c r="E22" i="49"/>
  <c r="W21" i="49"/>
  <c r="E21" i="49"/>
  <c r="W20" i="49"/>
  <c r="W19" i="49"/>
  <c r="O19" i="49"/>
  <c r="W18" i="49"/>
  <c r="O18" i="49"/>
  <c r="O17" i="49"/>
  <c r="O16" i="49"/>
  <c r="N13" i="49"/>
  <c r="N14" i="49" s="1"/>
  <c r="K13" i="49"/>
  <c r="H13" i="49"/>
  <c r="K12" i="49"/>
  <c r="H12" i="49"/>
  <c r="AA11" i="49"/>
  <c r="AB11" i="49"/>
  <c r="AC11" i="49"/>
  <c r="K11" i="49"/>
  <c r="H11" i="49"/>
  <c r="AA10" i="49"/>
  <c r="AB10" i="49"/>
  <c r="AC10" i="49"/>
  <c r="K10" i="49"/>
  <c r="H10" i="49"/>
  <c r="AA9" i="49"/>
  <c r="AB9" i="49"/>
  <c r="AC9" i="49"/>
  <c r="K9" i="49"/>
  <c r="H9" i="49"/>
  <c r="AA8" i="49"/>
  <c r="AB8" i="49"/>
  <c r="AC8" i="49"/>
  <c r="K8" i="49"/>
  <c r="H8" i="49"/>
  <c r="AA7" i="49"/>
  <c r="AB7" i="49"/>
  <c r="AC7" i="49"/>
  <c r="O7" i="49"/>
  <c r="K7" i="49"/>
  <c r="H7" i="49"/>
  <c r="AA6" i="49"/>
  <c r="AB6" i="49"/>
  <c r="AC6" i="49"/>
  <c r="O6" i="49"/>
  <c r="K6" i="49"/>
  <c r="H6" i="49"/>
  <c r="AA5" i="49"/>
  <c r="AB5" i="49"/>
  <c r="AC5" i="49"/>
  <c r="O5" i="49"/>
  <c r="K5" i="49"/>
  <c r="H5" i="49"/>
  <c r="AA4" i="49"/>
  <c r="O4" i="49"/>
  <c r="K4" i="49"/>
  <c r="H4" i="49"/>
  <c r="Q2444" i="1"/>
  <c r="Q2411" i="1"/>
  <c r="G4" i="47"/>
  <c r="E5" i="47"/>
  <c r="E6" i="47"/>
  <c r="E7" i="47"/>
  <c r="E8" i="47"/>
  <c r="E9" i="47"/>
  <c r="O9" i="47"/>
  <c r="E10" i="47"/>
  <c r="E11" i="47"/>
  <c r="E12" i="47"/>
  <c r="E13" i="47"/>
  <c r="E4" i="47"/>
  <c r="L5" i="48"/>
  <c r="M5" i="48" s="1"/>
  <c r="O5" i="48"/>
  <c r="Q5" i="48"/>
  <c r="T5" i="48"/>
  <c r="U5" i="48" s="1"/>
  <c r="V5" i="48"/>
  <c r="Y5" i="48"/>
  <c r="Z5" i="48" s="1"/>
  <c r="AA5" i="48"/>
  <c r="AB5" i="48" s="1"/>
  <c r="E6" i="48"/>
  <c r="G6" i="48"/>
  <c r="H6" i="48" s="1"/>
  <c r="J6" i="48"/>
  <c r="K6" i="48" s="1"/>
  <c r="L6" i="48"/>
  <c r="M6" i="48" s="1"/>
  <c r="O6" i="48"/>
  <c r="P6" i="48" s="1"/>
  <c r="Q6" i="48"/>
  <c r="T6" i="48"/>
  <c r="V6" i="48"/>
  <c r="W6" i="48" s="1"/>
  <c r="Y6" i="48"/>
  <c r="Z6" i="48" s="1"/>
  <c r="AA6" i="48"/>
  <c r="E7" i="48"/>
  <c r="F7" i="48" s="1"/>
  <c r="G7" i="48"/>
  <c r="H7" i="48" s="1"/>
  <c r="J7" i="48"/>
  <c r="K7" i="48" s="1"/>
  <c r="L7" i="48"/>
  <c r="M7" i="48" s="1"/>
  <c r="O7" i="48"/>
  <c r="P7" i="48" s="1"/>
  <c r="Q7" i="48"/>
  <c r="R7" i="48" s="1"/>
  <c r="T7" i="48"/>
  <c r="U7" i="48" s="1"/>
  <c r="V7" i="48"/>
  <c r="W7" i="48" s="1"/>
  <c r="Y7" i="48"/>
  <c r="AA7" i="48"/>
  <c r="AB7" i="48" s="1"/>
  <c r="G8" i="48"/>
  <c r="L8" i="48"/>
  <c r="M8" i="48" s="1"/>
  <c r="Q8" i="48"/>
  <c r="R8" i="48" s="1"/>
  <c r="V8" i="48"/>
  <c r="W8" i="48" s="1"/>
  <c r="AA8" i="48"/>
  <c r="AB8" i="48" s="1"/>
  <c r="E9" i="48"/>
  <c r="F9" i="48" s="1"/>
  <c r="G9" i="48"/>
  <c r="H9" i="48" s="1"/>
  <c r="J9" i="48"/>
  <c r="K9" i="48" s="1"/>
  <c r="L9" i="48"/>
  <c r="M9" i="48" s="1"/>
  <c r="O9" i="48"/>
  <c r="P9" i="48" s="1"/>
  <c r="Q9" i="48"/>
  <c r="R9" i="48" s="1"/>
  <c r="T9" i="48"/>
  <c r="U9" i="48" s="1"/>
  <c r="V9" i="48"/>
  <c r="W9" i="48" s="1"/>
  <c r="Y9" i="48"/>
  <c r="Z9" i="48" s="1"/>
  <c r="AA9" i="48"/>
  <c r="AB9" i="48" s="1"/>
  <c r="E10" i="48"/>
  <c r="G10" i="48"/>
  <c r="H10" i="48" s="1"/>
  <c r="J10" i="48"/>
  <c r="K10" i="48" s="1"/>
  <c r="L10" i="48"/>
  <c r="M10" i="48" s="1"/>
  <c r="O10" i="48"/>
  <c r="P10" i="48" s="1"/>
  <c r="Q10" i="48"/>
  <c r="R10" i="48" s="1"/>
  <c r="T10" i="48"/>
  <c r="U10" i="48" s="1"/>
  <c r="V10" i="48"/>
  <c r="W10" i="48" s="1"/>
  <c r="Y10" i="48"/>
  <c r="Z10" i="48" s="1"/>
  <c r="AA10" i="48"/>
  <c r="AB10" i="48" s="1"/>
  <c r="G11" i="48"/>
  <c r="L11" i="48"/>
  <c r="M11" i="48" s="1"/>
  <c r="Q11" i="48"/>
  <c r="R11" i="48" s="1"/>
  <c r="V11" i="48"/>
  <c r="W11" i="48" s="1"/>
  <c r="AA11" i="48"/>
  <c r="AB11" i="48" s="1"/>
  <c r="E12" i="48"/>
  <c r="G12" i="48"/>
  <c r="H12" i="48" s="1"/>
  <c r="J12" i="48"/>
  <c r="K12" i="48" s="1"/>
  <c r="L12" i="48"/>
  <c r="M12" i="48" s="1"/>
  <c r="O12" i="48"/>
  <c r="P12" i="48" s="1"/>
  <c r="Q12" i="48"/>
  <c r="R12" i="48" s="1"/>
  <c r="T12" i="48"/>
  <c r="U12" i="48" s="1"/>
  <c r="V12" i="48"/>
  <c r="W12" i="48" s="1"/>
  <c r="Y12" i="48"/>
  <c r="Z12" i="48" s="1"/>
  <c r="AA12" i="48"/>
  <c r="AB12" i="48" s="1"/>
  <c r="G13" i="48"/>
  <c r="H13" i="48" s="1"/>
  <c r="L13" i="48"/>
  <c r="M13" i="48" s="1"/>
  <c r="Q13" i="48"/>
  <c r="R13" i="48" s="1"/>
  <c r="V13" i="48"/>
  <c r="W13" i="48" s="1"/>
  <c r="AA13" i="48"/>
  <c r="AB13" i="48" s="1"/>
  <c r="E14" i="48"/>
  <c r="F14" i="48" s="1"/>
  <c r="J14" i="48"/>
  <c r="K14" i="48" s="1"/>
  <c r="O14" i="48"/>
  <c r="P14" i="48" s="1"/>
  <c r="T14" i="48"/>
  <c r="U14" i="48" s="1"/>
  <c r="Y14" i="48"/>
  <c r="Z14" i="48" s="1"/>
  <c r="E27" i="48"/>
  <c r="G27" i="48"/>
  <c r="J27" i="48"/>
  <c r="L27" i="48"/>
  <c r="O27" i="48"/>
  <c r="Q27" i="48"/>
  <c r="T27" i="48"/>
  <c r="V27" i="48"/>
  <c r="Y27" i="48"/>
  <c r="E28" i="48"/>
  <c r="F28" i="48" s="1"/>
  <c r="G28" i="48"/>
  <c r="H28" i="48" s="1"/>
  <c r="J28" i="48"/>
  <c r="K28" i="48" s="1"/>
  <c r="L28" i="48"/>
  <c r="M28" i="48" s="1"/>
  <c r="O28" i="48"/>
  <c r="P28" i="48" s="1"/>
  <c r="Q28" i="48"/>
  <c r="R28" i="48" s="1"/>
  <c r="T28" i="48"/>
  <c r="U28" i="48" s="1"/>
  <c r="V28" i="48"/>
  <c r="W28" i="48" s="1"/>
  <c r="Y28" i="48"/>
  <c r="Z28" i="48" s="1"/>
  <c r="E29" i="48"/>
  <c r="F29" i="48" s="1"/>
  <c r="G29" i="48"/>
  <c r="H29" i="48" s="1"/>
  <c r="J29" i="48"/>
  <c r="K29" i="48" s="1"/>
  <c r="L29" i="48"/>
  <c r="M29" i="48" s="1"/>
  <c r="O29" i="48"/>
  <c r="P29" i="48" s="1"/>
  <c r="Q29" i="48"/>
  <c r="R29" i="48" s="1"/>
  <c r="T29" i="48"/>
  <c r="U29" i="48" s="1"/>
  <c r="V29" i="48"/>
  <c r="W29" i="48" s="1"/>
  <c r="Y29" i="48"/>
  <c r="Z29" i="48" s="1"/>
  <c r="E30" i="48"/>
  <c r="F30" i="48" s="1"/>
  <c r="G30" i="48"/>
  <c r="H30" i="48" s="1"/>
  <c r="J30" i="48"/>
  <c r="K30" i="48" s="1"/>
  <c r="L30" i="48"/>
  <c r="M30" i="48" s="1"/>
  <c r="O30" i="48"/>
  <c r="P30" i="48" s="1"/>
  <c r="Q30" i="48"/>
  <c r="R30" i="48" s="1"/>
  <c r="T30" i="48"/>
  <c r="U30" i="48" s="1"/>
  <c r="V30" i="48"/>
  <c r="W30" i="48" s="1"/>
  <c r="Y30" i="48"/>
  <c r="Z30" i="48" s="1"/>
  <c r="G31" i="48"/>
  <c r="H31" i="48" s="1"/>
  <c r="L31" i="48"/>
  <c r="M31" i="48" s="1"/>
  <c r="Q31" i="48"/>
  <c r="R31" i="48" s="1"/>
  <c r="E32" i="48"/>
  <c r="F32" i="48" s="1"/>
  <c r="G32" i="48"/>
  <c r="H32" i="48" s="1"/>
  <c r="J32" i="48"/>
  <c r="K32" i="48" s="1"/>
  <c r="L32" i="48"/>
  <c r="M32" i="48" s="1"/>
  <c r="O32" i="48"/>
  <c r="P32" i="48" s="1"/>
  <c r="Q32" i="48"/>
  <c r="R32" i="48" s="1"/>
  <c r="T32" i="48"/>
  <c r="U32" i="48" s="1"/>
  <c r="Y32" i="48"/>
  <c r="Z32" i="48" s="1"/>
  <c r="E33" i="48"/>
  <c r="F33" i="48" s="1"/>
  <c r="G33" i="48"/>
  <c r="H33" i="48" s="1"/>
  <c r="J33" i="48"/>
  <c r="K33" i="48" s="1"/>
  <c r="L33" i="48"/>
  <c r="M33" i="48" s="1"/>
  <c r="O33" i="48"/>
  <c r="P33" i="48" s="1"/>
  <c r="Q33" i="48"/>
  <c r="R33" i="48" s="1"/>
  <c r="T33" i="48"/>
  <c r="U33" i="48" s="1"/>
  <c r="V33" i="48"/>
  <c r="W33" i="48" s="1"/>
  <c r="Y33" i="48"/>
  <c r="Z33" i="48" s="1"/>
  <c r="G34" i="48"/>
  <c r="H34" i="48" s="1"/>
  <c r="L34" i="48"/>
  <c r="M34" i="48" s="1"/>
  <c r="Q34" i="48"/>
  <c r="R34" i="48" s="1"/>
  <c r="E35" i="48"/>
  <c r="F35" i="48" s="1"/>
  <c r="G35" i="48"/>
  <c r="H35" i="48" s="1"/>
  <c r="J35" i="48"/>
  <c r="L35" i="48"/>
  <c r="M35" i="48" s="1"/>
  <c r="O35" i="48"/>
  <c r="Q35" i="48"/>
  <c r="R35" i="48" s="1"/>
  <c r="T35" i="48"/>
  <c r="U35" i="48" s="1"/>
  <c r="Y35" i="48"/>
  <c r="Z35" i="48" s="1"/>
  <c r="G36" i="48"/>
  <c r="H36" i="48" s="1"/>
  <c r="L36" i="48"/>
  <c r="M36" i="48" s="1"/>
  <c r="Q36" i="48"/>
  <c r="R36" i="48" s="1"/>
  <c r="E37" i="48"/>
  <c r="O37" i="48"/>
  <c r="T37" i="48"/>
  <c r="U37" i="48" s="1"/>
  <c r="Y37" i="48"/>
  <c r="E4" i="48"/>
  <c r="G4" i="48"/>
  <c r="J4" i="48"/>
  <c r="L4" i="48"/>
  <c r="O4" i="48"/>
  <c r="Q4" i="48"/>
  <c r="T4" i="48"/>
  <c r="V4" i="48"/>
  <c r="Y4" i="48"/>
  <c r="AA4" i="48"/>
  <c r="E5" i="48"/>
  <c r="F5" i="48" s="1"/>
  <c r="G5" i="48"/>
  <c r="H5" i="48" s="1"/>
  <c r="J5" i="48"/>
  <c r="K5" i="48" s="1"/>
  <c r="AA39" i="48"/>
  <c r="Z37" i="48"/>
  <c r="P37" i="48"/>
  <c r="J37" i="48"/>
  <c r="K37" i="48" s="1"/>
  <c r="F37" i="48"/>
  <c r="AB36" i="48"/>
  <c r="V36" i="48"/>
  <c r="W36" i="48" s="1"/>
  <c r="AB35" i="48"/>
  <c r="V35" i="48"/>
  <c r="W35" i="48" s="1"/>
  <c r="P35" i="48"/>
  <c r="K35" i="48"/>
  <c r="AB34" i="48"/>
  <c r="V34" i="48"/>
  <c r="W34" i="48" s="1"/>
  <c r="AB33" i="48"/>
  <c r="AB32" i="48"/>
  <c r="V32" i="48"/>
  <c r="W32" i="48" s="1"/>
  <c r="AB31" i="48"/>
  <c r="V31" i="48"/>
  <c r="W31" i="48" s="1"/>
  <c r="AB30" i="48"/>
  <c r="AB29" i="48"/>
  <c r="AB28" i="48"/>
  <c r="AB27" i="48"/>
  <c r="AB39" i="48"/>
  <c r="L20" i="48"/>
  <c r="Q19" i="48"/>
  <c r="L19" i="48"/>
  <c r="G19" i="48"/>
  <c r="F12" i="48"/>
  <c r="F10" i="48"/>
  <c r="H8" i="48"/>
  <c r="Z7" i="48"/>
  <c r="AB6" i="48"/>
  <c r="U6" i="48"/>
  <c r="R6" i="48"/>
  <c r="F6" i="48"/>
  <c r="W5" i="48"/>
  <c r="R5" i="48"/>
  <c r="P5" i="48"/>
  <c r="E47" i="47"/>
  <c r="E46" i="47"/>
  <c r="E45" i="47"/>
  <c r="E44" i="47"/>
  <c r="E43" i="47"/>
  <c r="E42" i="47"/>
  <c r="E41" i="47"/>
  <c r="E40" i="47"/>
  <c r="E39" i="47"/>
  <c r="E38" i="47"/>
  <c r="E37" i="47"/>
  <c r="E36" i="47"/>
  <c r="E32" i="47"/>
  <c r="E31" i="47"/>
  <c r="F31" i="47" s="1"/>
  <c r="E30" i="47"/>
  <c r="W29" i="47"/>
  <c r="E29" i="47"/>
  <c r="W28" i="47"/>
  <c r="E28" i="47"/>
  <c r="W27" i="47"/>
  <c r="E27" i="47"/>
  <c r="W26" i="47"/>
  <c r="E26" i="47"/>
  <c r="W25" i="47"/>
  <c r="E25" i="47"/>
  <c r="W24" i="47"/>
  <c r="E24" i="47"/>
  <c r="W23" i="47"/>
  <c r="E23" i="47"/>
  <c r="W22" i="47"/>
  <c r="E22" i="47"/>
  <c r="W21" i="47"/>
  <c r="E21" i="47"/>
  <c r="W20" i="47"/>
  <c r="W19" i="47"/>
  <c r="O19" i="47"/>
  <c r="W18" i="47"/>
  <c r="O18" i="47"/>
  <c r="O17" i="47"/>
  <c r="O16" i="47"/>
  <c r="N13" i="47"/>
  <c r="N14" i="47" s="1"/>
  <c r="K13" i="47"/>
  <c r="H13" i="47"/>
  <c r="K12" i="47"/>
  <c r="H12" i="47"/>
  <c r="AA11" i="47"/>
  <c r="AB11" i="47"/>
  <c r="AC11" i="47"/>
  <c r="K11" i="47"/>
  <c r="H11" i="47"/>
  <c r="AA10" i="47"/>
  <c r="AB10" i="47"/>
  <c r="AC10" i="47"/>
  <c r="K10" i="47"/>
  <c r="H10" i="47"/>
  <c r="AA9" i="47"/>
  <c r="AB9" i="47"/>
  <c r="AC9" i="47"/>
  <c r="K9" i="47"/>
  <c r="H9" i="47"/>
  <c r="AA8" i="47"/>
  <c r="AB8" i="47"/>
  <c r="AC8" i="47"/>
  <c r="K8" i="47"/>
  <c r="H8" i="47"/>
  <c r="AA7" i="47"/>
  <c r="AB7" i="47"/>
  <c r="AC7" i="47"/>
  <c r="O7" i="47"/>
  <c r="K7" i="47"/>
  <c r="H7" i="47"/>
  <c r="AA6" i="47"/>
  <c r="AB6" i="47"/>
  <c r="AC6" i="47"/>
  <c r="O6" i="47"/>
  <c r="K6" i="47"/>
  <c r="H6" i="47"/>
  <c r="AA5" i="47"/>
  <c r="AB5" i="47"/>
  <c r="AC5" i="47"/>
  <c r="O5" i="47"/>
  <c r="K5" i="47"/>
  <c r="H5" i="47"/>
  <c r="AA4" i="47"/>
  <c r="O4" i="47"/>
  <c r="K4" i="47"/>
  <c r="H4" i="47"/>
  <c r="Q2219" i="1"/>
  <c r="L4" i="45"/>
  <c r="M4" i="45" s="1"/>
  <c r="O4" i="45"/>
  <c r="P4" i="45" s="1"/>
  <c r="Q4" i="45"/>
  <c r="T4" i="45"/>
  <c r="U4" i="45" s="1"/>
  <c r="V4" i="45"/>
  <c r="Y4" i="45"/>
  <c r="Z4" i="45" s="1"/>
  <c r="AA4" i="45"/>
  <c r="AB4" i="45" s="1"/>
  <c r="E5" i="45"/>
  <c r="F5" i="45" s="1"/>
  <c r="G5" i="45"/>
  <c r="H5" i="45" s="1"/>
  <c r="J5" i="45"/>
  <c r="K5" i="45" s="1"/>
  <c r="L5" i="45"/>
  <c r="M5" i="45" s="1"/>
  <c r="O5" i="45"/>
  <c r="Q5" i="45"/>
  <c r="R5" i="45" s="1"/>
  <c r="T5" i="45"/>
  <c r="U5" i="45" s="1"/>
  <c r="V5" i="45"/>
  <c r="W5" i="45" s="1"/>
  <c r="Y5" i="45"/>
  <c r="Z5" i="45" s="1"/>
  <c r="AA5" i="45"/>
  <c r="E6" i="45"/>
  <c r="F6" i="45" s="1"/>
  <c r="G6" i="45"/>
  <c r="H6" i="45" s="1"/>
  <c r="J6" i="45"/>
  <c r="K6" i="45" s="1"/>
  <c r="L6" i="45"/>
  <c r="M6" i="45" s="1"/>
  <c r="O6" i="45"/>
  <c r="P6" i="45" s="1"/>
  <c r="Q6" i="45"/>
  <c r="R6" i="45" s="1"/>
  <c r="T6" i="45"/>
  <c r="V6" i="45"/>
  <c r="Y6" i="45"/>
  <c r="AA6" i="45"/>
  <c r="AB6" i="45" s="1"/>
  <c r="E7" i="45"/>
  <c r="F7" i="45" s="1"/>
  <c r="G7" i="45"/>
  <c r="H7" i="45" s="1"/>
  <c r="J7" i="45"/>
  <c r="L7" i="45"/>
  <c r="M7" i="45" s="1"/>
  <c r="O7" i="45"/>
  <c r="Q7" i="45"/>
  <c r="R7" i="45" s="1"/>
  <c r="T7" i="45"/>
  <c r="U7" i="45" s="1"/>
  <c r="V7" i="45"/>
  <c r="W7" i="45" s="1"/>
  <c r="Y7" i="45"/>
  <c r="AA7" i="45"/>
  <c r="AB7" i="45" s="1"/>
  <c r="G8" i="45"/>
  <c r="H8" i="45" s="1"/>
  <c r="L8" i="45"/>
  <c r="M8" i="45" s="1"/>
  <c r="Q8" i="45"/>
  <c r="R8" i="45" s="1"/>
  <c r="V8" i="45"/>
  <c r="W8" i="45" s="1"/>
  <c r="AA8" i="45"/>
  <c r="AB8" i="45" s="1"/>
  <c r="E9" i="45"/>
  <c r="F9" i="45" s="1"/>
  <c r="G9" i="45"/>
  <c r="H9" i="45" s="1"/>
  <c r="J9" i="45"/>
  <c r="L9" i="45"/>
  <c r="M9" i="45" s="1"/>
  <c r="O9" i="45"/>
  <c r="P9" i="45" s="1"/>
  <c r="Q9" i="45"/>
  <c r="R9" i="45" s="1"/>
  <c r="T9" i="45"/>
  <c r="U9" i="45" s="1"/>
  <c r="V9" i="45"/>
  <c r="W9" i="45" s="1"/>
  <c r="Y9" i="45"/>
  <c r="Z9" i="45" s="1"/>
  <c r="AA9" i="45"/>
  <c r="AB9" i="45" s="1"/>
  <c r="E10" i="45"/>
  <c r="F10" i="45" s="1"/>
  <c r="G10" i="45"/>
  <c r="H10" i="45" s="1"/>
  <c r="J10" i="45"/>
  <c r="K10" i="45" s="1"/>
  <c r="L10" i="45"/>
  <c r="M10" i="45" s="1"/>
  <c r="O10" i="45"/>
  <c r="Q10" i="45"/>
  <c r="R10" i="45" s="1"/>
  <c r="T10" i="45"/>
  <c r="U10" i="45" s="1"/>
  <c r="V10" i="45"/>
  <c r="Y10" i="45"/>
  <c r="Z10" i="45" s="1"/>
  <c r="AA10" i="45"/>
  <c r="G11" i="45"/>
  <c r="L11" i="45"/>
  <c r="M11" i="45" s="1"/>
  <c r="Q11" i="45"/>
  <c r="R11" i="45" s="1"/>
  <c r="V11" i="45"/>
  <c r="W11" i="45" s="1"/>
  <c r="AA11" i="45"/>
  <c r="AB11" i="45" s="1"/>
  <c r="E12" i="45"/>
  <c r="F12" i="45" s="1"/>
  <c r="G12" i="45"/>
  <c r="H12" i="45" s="1"/>
  <c r="J12" i="45"/>
  <c r="K12" i="45" s="1"/>
  <c r="L12" i="45"/>
  <c r="O12" i="45"/>
  <c r="P12" i="45" s="1"/>
  <c r="Q12" i="45"/>
  <c r="R12" i="45" s="1"/>
  <c r="T12" i="45"/>
  <c r="U12" i="45" s="1"/>
  <c r="V12" i="45"/>
  <c r="W12" i="45" s="1"/>
  <c r="Y12" i="45"/>
  <c r="Z12" i="45" s="1"/>
  <c r="AA12" i="45"/>
  <c r="AB12" i="45" s="1"/>
  <c r="G13" i="45"/>
  <c r="H13" i="45" s="1"/>
  <c r="L13" i="45"/>
  <c r="M13" i="45" s="1"/>
  <c r="Q13" i="45"/>
  <c r="R13" i="45" s="1"/>
  <c r="V13" i="45"/>
  <c r="W13" i="45" s="1"/>
  <c r="AA13" i="45"/>
  <c r="AB13" i="45" s="1"/>
  <c r="E14" i="45"/>
  <c r="F14" i="45" s="1"/>
  <c r="J14" i="45"/>
  <c r="K14" i="45" s="1"/>
  <c r="O14" i="45"/>
  <c r="P14" i="45" s="1"/>
  <c r="T14" i="45"/>
  <c r="U14" i="45" s="1"/>
  <c r="Y14" i="45"/>
  <c r="Z14" i="45" s="1"/>
  <c r="E27" i="45"/>
  <c r="F27" i="45" s="1"/>
  <c r="G27" i="45"/>
  <c r="H27" i="45" s="1"/>
  <c r="J27" i="45"/>
  <c r="K27" i="45" s="1"/>
  <c r="L27" i="45"/>
  <c r="M27" i="45" s="1"/>
  <c r="O27" i="45"/>
  <c r="P27" i="45" s="1"/>
  <c r="Q27" i="45"/>
  <c r="R27" i="45" s="1"/>
  <c r="T27" i="45"/>
  <c r="U27" i="45" s="1"/>
  <c r="V27" i="45"/>
  <c r="W27" i="45" s="1"/>
  <c r="Y27" i="45"/>
  <c r="Z27" i="45" s="1"/>
  <c r="E28" i="45"/>
  <c r="F28" i="45" s="1"/>
  <c r="G28" i="45"/>
  <c r="H28" i="45" s="1"/>
  <c r="J28" i="45"/>
  <c r="K28" i="45" s="1"/>
  <c r="L28" i="45"/>
  <c r="M28" i="45" s="1"/>
  <c r="O28" i="45"/>
  <c r="P28" i="45" s="1"/>
  <c r="Q28" i="45"/>
  <c r="R28" i="45" s="1"/>
  <c r="T28" i="45"/>
  <c r="U28" i="45" s="1"/>
  <c r="V28" i="45"/>
  <c r="W28" i="45" s="1"/>
  <c r="Y28" i="45"/>
  <c r="Z28" i="45" s="1"/>
  <c r="E29" i="45"/>
  <c r="F29" i="45" s="1"/>
  <c r="G29" i="45"/>
  <c r="H29" i="45" s="1"/>
  <c r="J29" i="45"/>
  <c r="K29" i="45" s="1"/>
  <c r="L29" i="45"/>
  <c r="M29" i="45" s="1"/>
  <c r="O29" i="45"/>
  <c r="P29" i="45" s="1"/>
  <c r="Q29" i="45"/>
  <c r="R29" i="45" s="1"/>
  <c r="T29" i="45"/>
  <c r="U29" i="45" s="1"/>
  <c r="V29" i="45"/>
  <c r="W29" i="45" s="1"/>
  <c r="Y29" i="45"/>
  <c r="Z29" i="45" s="1"/>
  <c r="E30" i="45"/>
  <c r="F30" i="45" s="1"/>
  <c r="G30" i="45"/>
  <c r="H30" i="45" s="1"/>
  <c r="J30" i="45"/>
  <c r="K30" i="45" s="1"/>
  <c r="L30" i="45"/>
  <c r="M30" i="45" s="1"/>
  <c r="O30" i="45"/>
  <c r="P30" i="45" s="1"/>
  <c r="Q30" i="45"/>
  <c r="R30" i="45" s="1"/>
  <c r="T30" i="45"/>
  <c r="U30" i="45" s="1"/>
  <c r="V30" i="45"/>
  <c r="W30" i="45" s="1"/>
  <c r="Y30" i="45"/>
  <c r="Z30" i="45" s="1"/>
  <c r="G31" i="45"/>
  <c r="H31" i="45" s="1"/>
  <c r="L31" i="45"/>
  <c r="M31" i="45" s="1"/>
  <c r="Q31" i="45"/>
  <c r="R31" i="45" s="1"/>
  <c r="E32" i="45"/>
  <c r="F32" i="45" s="1"/>
  <c r="G32" i="45"/>
  <c r="H32" i="45" s="1"/>
  <c r="J32" i="45"/>
  <c r="K32" i="45" s="1"/>
  <c r="L32" i="45"/>
  <c r="M32" i="45" s="1"/>
  <c r="O32" i="45"/>
  <c r="P32" i="45" s="1"/>
  <c r="Q32" i="45"/>
  <c r="R32" i="45" s="1"/>
  <c r="T32" i="45"/>
  <c r="U32" i="45" s="1"/>
  <c r="Y32" i="45"/>
  <c r="Z32" i="45" s="1"/>
  <c r="E33" i="45"/>
  <c r="F33" i="45" s="1"/>
  <c r="G33" i="45"/>
  <c r="H33" i="45" s="1"/>
  <c r="J33" i="45"/>
  <c r="K33" i="45" s="1"/>
  <c r="L33" i="45"/>
  <c r="M33" i="45" s="1"/>
  <c r="O33" i="45"/>
  <c r="P33" i="45" s="1"/>
  <c r="Q33" i="45"/>
  <c r="R33" i="45" s="1"/>
  <c r="T33" i="45"/>
  <c r="U33" i="45" s="1"/>
  <c r="V33" i="45"/>
  <c r="W33" i="45" s="1"/>
  <c r="Y33" i="45"/>
  <c r="Z33" i="45" s="1"/>
  <c r="G34" i="45"/>
  <c r="H34" i="45" s="1"/>
  <c r="L34" i="45"/>
  <c r="M34" i="45" s="1"/>
  <c r="Q34" i="45"/>
  <c r="R34" i="45" s="1"/>
  <c r="E35" i="45"/>
  <c r="F35" i="45" s="1"/>
  <c r="G35" i="45"/>
  <c r="H35" i="45" s="1"/>
  <c r="J35" i="45"/>
  <c r="K35" i="45" s="1"/>
  <c r="L35" i="45"/>
  <c r="M35" i="45" s="1"/>
  <c r="O35" i="45"/>
  <c r="P35" i="45" s="1"/>
  <c r="Q35" i="45"/>
  <c r="R35" i="45" s="1"/>
  <c r="T35" i="45"/>
  <c r="U35" i="45" s="1"/>
  <c r="Y35" i="45"/>
  <c r="Z35" i="45" s="1"/>
  <c r="G36" i="45"/>
  <c r="H36" i="45" s="1"/>
  <c r="L36" i="45"/>
  <c r="M36" i="45" s="1"/>
  <c r="Q36" i="45"/>
  <c r="R36" i="45" s="1"/>
  <c r="E37" i="45"/>
  <c r="O37" i="45"/>
  <c r="T37" i="45"/>
  <c r="U37" i="45" s="1"/>
  <c r="Y37" i="45"/>
  <c r="E4" i="45"/>
  <c r="F4" i="45" s="1"/>
  <c r="G4" i="45"/>
  <c r="H4" i="45" s="1"/>
  <c r="J4" i="45"/>
  <c r="AA4" i="46"/>
  <c r="AA5" i="46"/>
  <c r="AA6" i="46"/>
  <c r="AA7" i="46"/>
  <c r="AA8" i="46"/>
  <c r="AA9" i="46"/>
  <c r="AA10" i="46"/>
  <c r="AA11" i="46"/>
  <c r="E4" i="46"/>
  <c r="G4" i="46"/>
  <c r="E5" i="46"/>
  <c r="E6" i="46"/>
  <c r="E7" i="46"/>
  <c r="E8" i="46"/>
  <c r="E9" i="46"/>
  <c r="O9" i="46"/>
  <c r="E10" i="46"/>
  <c r="E11" i="46"/>
  <c r="E12" i="46"/>
  <c r="E13" i="46"/>
  <c r="E36" i="46"/>
  <c r="E37" i="46"/>
  <c r="E38" i="46"/>
  <c r="E39" i="46"/>
  <c r="E40" i="46"/>
  <c r="E41" i="46"/>
  <c r="E42" i="46"/>
  <c r="E43" i="46"/>
  <c r="E44" i="46"/>
  <c r="E45" i="46"/>
  <c r="E46" i="46"/>
  <c r="E47" i="46"/>
  <c r="O16" i="46"/>
  <c r="O17" i="46"/>
  <c r="O18" i="46"/>
  <c r="W18" i="46"/>
  <c r="O19" i="46"/>
  <c r="W19" i="46"/>
  <c r="W20" i="46"/>
  <c r="E21" i="46"/>
  <c r="W21" i="46"/>
  <c r="E22" i="46"/>
  <c r="W22" i="46"/>
  <c r="E23" i="46"/>
  <c r="F23" i="46" s="1"/>
  <c r="W23" i="46"/>
  <c r="E24" i="46"/>
  <c r="W24" i="46"/>
  <c r="E25" i="46"/>
  <c r="W25" i="46"/>
  <c r="E26" i="46"/>
  <c r="F26" i="46" s="1"/>
  <c r="W26" i="46"/>
  <c r="E27" i="46"/>
  <c r="W27" i="46"/>
  <c r="E28" i="46"/>
  <c r="W28" i="46"/>
  <c r="E29" i="46"/>
  <c r="F29" i="46" s="1"/>
  <c r="W29" i="46"/>
  <c r="E30" i="46"/>
  <c r="E31" i="46"/>
  <c r="E32" i="46"/>
  <c r="H4" i="46"/>
  <c r="K4" i="46"/>
  <c r="O4" i="46"/>
  <c r="AB4" i="46"/>
  <c r="AC4" i="46"/>
  <c r="H5" i="46"/>
  <c r="K5" i="46"/>
  <c r="O5" i="46"/>
  <c r="AB5" i="46"/>
  <c r="AC5" i="46"/>
  <c r="H6" i="46"/>
  <c r="K6" i="46"/>
  <c r="O6" i="46"/>
  <c r="AB6" i="46"/>
  <c r="AC6" i="46"/>
  <c r="H7" i="46"/>
  <c r="K7" i="46"/>
  <c r="O7" i="46"/>
  <c r="AB7" i="46"/>
  <c r="AC7" i="46"/>
  <c r="H8" i="46"/>
  <c r="K8" i="46"/>
  <c r="AB8" i="46"/>
  <c r="AC8" i="46"/>
  <c r="H9" i="46"/>
  <c r="K9" i="46"/>
  <c r="AB9" i="46"/>
  <c r="AC9" i="46"/>
  <c r="H10" i="46"/>
  <c r="K10" i="46"/>
  <c r="AB10" i="46"/>
  <c r="AC10" i="46"/>
  <c r="H11" i="46"/>
  <c r="K11" i="46"/>
  <c r="AB11" i="46"/>
  <c r="AC11" i="46"/>
  <c r="H12" i="46"/>
  <c r="K12" i="46"/>
  <c r="H13" i="46"/>
  <c r="K13" i="46"/>
  <c r="N13" i="46"/>
  <c r="N14" i="46" s="1"/>
  <c r="AB27" i="45"/>
  <c r="AB28" i="45"/>
  <c r="AB29" i="45"/>
  <c r="AB30" i="45"/>
  <c r="V31" i="45"/>
  <c r="W31" i="45" s="1"/>
  <c r="AB31" i="45"/>
  <c r="V32" i="45"/>
  <c r="W32" i="45" s="1"/>
  <c r="AB32" i="45"/>
  <c r="AB33" i="45"/>
  <c r="V34" i="45"/>
  <c r="W34" i="45" s="1"/>
  <c r="AB34" i="45"/>
  <c r="V35" i="45"/>
  <c r="W35" i="45" s="1"/>
  <c r="AB35" i="45"/>
  <c r="V36" i="45"/>
  <c r="W36" i="45" s="1"/>
  <c r="AB36" i="45"/>
  <c r="F37" i="45"/>
  <c r="J37" i="45"/>
  <c r="K37" i="45" s="1"/>
  <c r="P37" i="45"/>
  <c r="Z37" i="45"/>
  <c r="AA39" i="45"/>
  <c r="AB39" i="45"/>
  <c r="G19" i="45"/>
  <c r="L19" i="45"/>
  <c r="Q19" i="45"/>
  <c r="L20" i="45"/>
  <c r="R4" i="45"/>
  <c r="W4" i="45"/>
  <c r="P5" i="45"/>
  <c r="AB5" i="45"/>
  <c r="U6" i="45"/>
  <c r="Z6" i="45"/>
  <c r="K7" i="45"/>
  <c r="P7" i="45"/>
  <c r="Z7" i="45"/>
  <c r="K9" i="45"/>
  <c r="P10" i="45"/>
  <c r="W10" i="45"/>
  <c r="Q1779" i="1"/>
  <c r="Q1793" i="1"/>
  <c r="Q1407" i="1"/>
  <c r="Q1006" i="1"/>
  <c r="Q1115" i="1"/>
  <c r="Q1317" i="1"/>
  <c r="Q1387" i="1"/>
  <c r="Q1089" i="1"/>
  <c r="S1278" i="1"/>
  <c r="Q1007" i="1"/>
  <c r="Q813" i="1"/>
  <c r="Q649" i="1"/>
  <c r="Q651" i="1"/>
  <c r="S651" i="1"/>
  <c r="T651" i="1"/>
  <c r="U651" i="1"/>
  <c r="V651" i="1"/>
  <c r="W651" i="1"/>
  <c r="X651" i="1"/>
  <c r="Q355" i="1"/>
  <c r="Q322" i="1"/>
  <c r="Q216" i="1"/>
  <c r="Q184" i="1"/>
  <c r="Q169" i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54" i="1"/>
  <c r="X41" i="1"/>
  <c r="X42" i="1"/>
  <c r="X43" i="1"/>
  <c r="X44" i="1"/>
  <c r="X45" i="1"/>
  <c r="X46" i="1"/>
  <c r="X47" i="1"/>
  <c r="X48" i="1"/>
  <c r="X49" i="1"/>
  <c r="X50" i="1"/>
  <c r="X51" i="1"/>
  <c r="X62" i="1"/>
  <c r="X66" i="1"/>
  <c r="X40" i="1"/>
  <c r="X55" i="1"/>
  <c r="X56" i="1"/>
  <c r="X57" i="1"/>
  <c r="X58" i="1"/>
  <c r="X59" i="1"/>
  <c r="X60" i="1"/>
  <c r="X61" i="1"/>
  <c r="X52" i="1"/>
  <c r="X63" i="1"/>
  <c r="X64" i="1"/>
  <c r="X65" i="1"/>
  <c r="X68" i="1"/>
  <c r="X67" i="1"/>
  <c r="X69" i="1"/>
  <c r="X72" i="1"/>
  <c r="X70" i="1"/>
  <c r="X71" i="1"/>
  <c r="X76" i="1"/>
  <c r="X73" i="1"/>
  <c r="X74" i="1"/>
  <c r="X75" i="1"/>
  <c r="X53" i="1"/>
  <c r="X77" i="1"/>
  <c r="X78" i="1"/>
  <c r="X79" i="1"/>
  <c r="X80" i="1"/>
  <c r="X90" i="1"/>
  <c r="X82" i="1"/>
  <c r="X83" i="1"/>
  <c r="X84" i="1"/>
  <c r="X85" i="1"/>
  <c r="X86" i="1"/>
  <c r="X81" i="1"/>
  <c r="X88" i="1"/>
  <c r="X89" i="1"/>
  <c r="X87" i="1"/>
  <c r="X91" i="1"/>
  <c r="X92" i="1"/>
  <c r="X93" i="1"/>
  <c r="X94" i="1"/>
  <c r="X95" i="1"/>
  <c r="X96" i="1"/>
  <c r="X150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97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21" i="1"/>
  <c r="X141" i="1"/>
  <c r="X143" i="1"/>
  <c r="X144" i="1"/>
  <c r="X145" i="1"/>
  <c r="X182" i="1"/>
  <c r="X147" i="1"/>
  <c r="X142" i="1"/>
  <c r="X149" i="1"/>
  <c r="X146" i="1"/>
  <c r="X148" i="1"/>
  <c r="X152" i="1"/>
  <c r="X153" i="1"/>
  <c r="X154" i="1"/>
  <c r="X155" i="1"/>
  <c r="X151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56" i="1"/>
  <c r="X184" i="1"/>
  <c r="X172" i="1"/>
  <c r="X173" i="1"/>
  <c r="X169" i="1"/>
  <c r="X174" i="1"/>
  <c r="X175" i="1"/>
  <c r="X176" i="1"/>
  <c r="X189" i="1"/>
  <c r="X178" i="1"/>
  <c r="X179" i="1"/>
  <c r="X180" i="1"/>
  <c r="X194" i="1"/>
  <c r="X236" i="1"/>
  <c r="X183" i="1"/>
  <c r="X177" i="1"/>
  <c r="X185" i="1"/>
  <c r="X186" i="1"/>
  <c r="X187" i="1"/>
  <c r="X188" i="1"/>
  <c r="X170" i="1"/>
  <c r="X190" i="1"/>
  <c r="X191" i="1"/>
  <c r="X192" i="1"/>
  <c r="X193" i="1"/>
  <c r="X196" i="1"/>
  <c r="X195" i="1"/>
  <c r="X171" i="1"/>
  <c r="X197" i="1"/>
  <c r="X198" i="1"/>
  <c r="X199" i="1"/>
  <c r="X200" i="1"/>
  <c r="X201" i="1"/>
  <c r="X181" i="1"/>
  <c r="X203" i="1"/>
  <c r="X204" i="1"/>
  <c r="X205" i="1"/>
  <c r="X206" i="1"/>
  <c r="X207" i="1"/>
  <c r="X208" i="1"/>
  <c r="X209" i="1"/>
  <c r="X210" i="1"/>
  <c r="X202" i="1"/>
  <c r="X211" i="1"/>
  <c r="X213" i="1"/>
  <c r="X214" i="1"/>
  <c r="X212" i="1"/>
  <c r="X216" i="1"/>
  <c r="X217" i="1"/>
  <c r="X218" i="1"/>
  <c r="X219" i="1"/>
  <c r="X220" i="1"/>
  <c r="X215" i="1"/>
  <c r="X222" i="1"/>
  <c r="X223" i="1"/>
  <c r="X224" i="1"/>
  <c r="X225" i="1"/>
  <c r="X226" i="1"/>
  <c r="X227" i="1"/>
  <c r="X221" i="1"/>
  <c r="X229" i="1"/>
  <c r="X230" i="1"/>
  <c r="X231" i="1"/>
  <c r="X232" i="1"/>
  <c r="X233" i="1"/>
  <c r="X228" i="1"/>
  <c r="X235" i="1"/>
  <c r="X234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96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9" i="1"/>
  <c r="X676" i="1"/>
  <c r="X677" i="1"/>
  <c r="X678" i="1"/>
  <c r="X608" i="1"/>
  <c r="X675" i="1"/>
  <c r="X681" i="1"/>
  <c r="X682" i="1"/>
  <c r="X683" i="1"/>
  <c r="X684" i="1"/>
  <c r="X685" i="1"/>
  <c r="X680" i="1"/>
  <c r="X687" i="1"/>
  <c r="X688" i="1"/>
  <c r="X689" i="1"/>
  <c r="X690" i="1"/>
  <c r="X691" i="1"/>
  <c r="X692" i="1"/>
  <c r="X693" i="1"/>
  <c r="X694" i="1"/>
  <c r="X695" i="1"/>
  <c r="X686" i="1"/>
  <c r="X697" i="1"/>
  <c r="X741" i="1"/>
  <c r="X699" i="1"/>
  <c r="X700" i="1"/>
  <c r="X701" i="1"/>
  <c r="X702" i="1"/>
  <c r="X1252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698" i="1"/>
  <c r="X729" i="1"/>
  <c r="X731" i="1"/>
  <c r="X732" i="1"/>
  <c r="X733" i="1"/>
  <c r="X734" i="1"/>
  <c r="X735" i="1"/>
  <c r="X736" i="1"/>
  <c r="X737" i="1"/>
  <c r="X738" i="1"/>
  <c r="X739" i="1"/>
  <c r="X740" i="1"/>
  <c r="X730" i="1"/>
  <c r="X742" i="1"/>
  <c r="X743" i="1"/>
  <c r="X744" i="1"/>
  <c r="X745" i="1"/>
  <c r="X746" i="1"/>
  <c r="X747" i="1"/>
  <c r="X748" i="1"/>
  <c r="X749" i="1"/>
  <c r="X750" i="1"/>
  <c r="X757" i="1"/>
  <c r="X752" i="1"/>
  <c r="X753" i="1"/>
  <c r="X754" i="1"/>
  <c r="X755" i="1"/>
  <c r="X756" i="1"/>
  <c r="X751" i="1"/>
  <c r="X758" i="1"/>
  <c r="X759" i="1"/>
  <c r="X1253" i="1"/>
  <c r="X761" i="1"/>
  <c r="X762" i="1"/>
  <c r="X763" i="1"/>
  <c r="X764" i="1"/>
  <c r="X765" i="1"/>
  <c r="X766" i="1"/>
  <c r="X703" i="1"/>
  <c r="X768" i="1"/>
  <c r="X769" i="1"/>
  <c r="X770" i="1"/>
  <c r="X771" i="1"/>
  <c r="X772" i="1"/>
  <c r="X773" i="1"/>
  <c r="X774" i="1"/>
  <c r="X775" i="1"/>
  <c r="X776" i="1"/>
  <c r="X788" i="1"/>
  <c r="X778" i="1"/>
  <c r="X779" i="1"/>
  <c r="X780" i="1"/>
  <c r="X781" i="1"/>
  <c r="X782" i="1"/>
  <c r="X783" i="1"/>
  <c r="X784" i="1"/>
  <c r="X785" i="1"/>
  <c r="X786" i="1"/>
  <c r="X787" i="1"/>
  <c r="X767" i="1"/>
  <c r="X760" i="1"/>
  <c r="X777" i="1"/>
  <c r="X791" i="1"/>
  <c r="X792" i="1"/>
  <c r="X793" i="1"/>
  <c r="X794" i="1"/>
  <c r="X795" i="1"/>
  <c r="X796" i="1"/>
  <c r="X797" i="1"/>
  <c r="X1254" i="1"/>
  <c r="X846" i="1"/>
  <c r="X800" i="1"/>
  <c r="X801" i="1"/>
  <c r="X790" i="1"/>
  <c r="X803" i="1"/>
  <c r="X804" i="1"/>
  <c r="X125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789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1256" i="1"/>
  <c r="X843" i="1"/>
  <c r="X845" i="1"/>
  <c r="X799" i="1"/>
  <c r="X802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1257" i="1"/>
  <c r="X1258" i="1"/>
  <c r="X864" i="1"/>
  <c r="X865" i="1"/>
  <c r="X1259" i="1"/>
  <c r="X1260" i="1"/>
  <c r="X868" i="1"/>
  <c r="X869" i="1"/>
  <c r="X870" i="1"/>
  <c r="X871" i="1"/>
  <c r="X872" i="1"/>
  <c r="X873" i="1"/>
  <c r="X874" i="1"/>
  <c r="X1261" i="1"/>
  <c r="X876" i="1"/>
  <c r="X877" i="1"/>
  <c r="X878" i="1"/>
  <c r="X879" i="1"/>
  <c r="X1262" i="1"/>
  <c r="X1264" i="1"/>
  <c r="X882" i="1"/>
  <c r="X883" i="1"/>
  <c r="X884" i="1"/>
  <c r="X885" i="1"/>
  <c r="X886" i="1"/>
  <c r="X887" i="1"/>
  <c r="X842" i="1"/>
  <c r="X889" i="1"/>
  <c r="X890" i="1"/>
  <c r="X891" i="1"/>
  <c r="X892" i="1"/>
  <c r="X893" i="1"/>
  <c r="X894" i="1"/>
  <c r="X895" i="1"/>
  <c r="X896" i="1"/>
  <c r="X897" i="1"/>
  <c r="X898" i="1"/>
  <c r="X823" i="1"/>
  <c r="X900" i="1"/>
  <c r="X901" i="1"/>
  <c r="X902" i="1"/>
  <c r="X903" i="1"/>
  <c r="X904" i="1"/>
  <c r="X905" i="1"/>
  <c r="X906" i="1"/>
  <c r="X907" i="1"/>
  <c r="X908" i="1"/>
  <c r="X805" i="1"/>
  <c r="X798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1265" i="1"/>
  <c r="X927" i="1"/>
  <c r="X928" i="1"/>
  <c r="X929" i="1"/>
  <c r="X930" i="1"/>
  <c r="X931" i="1"/>
  <c r="X1266" i="1"/>
  <c r="X933" i="1"/>
  <c r="X934" i="1"/>
  <c r="X935" i="1"/>
  <c r="X936" i="1"/>
  <c r="X937" i="1"/>
  <c r="X938" i="1"/>
  <c r="X1267" i="1"/>
  <c r="X940" i="1"/>
  <c r="X1268" i="1"/>
  <c r="X942" i="1"/>
  <c r="X943" i="1"/>
  <c r="X944" i="1"/>
  <c r="X945" i="1"/>
  <c r="X946" i="1"/>
  <c r="X947" i="1"/>
  <c r="X1269" i="1"/>
  <c r="X949" i="1"/>
  <c r="X950" i="1"/>
  <c r="X951" i="1"/>
  <c r="X952" i="1"/>
  <c r="X1270" i="1"/>
  <c r="X954" i="1"/>
  <c r="X955" i="1"/>
  <c r="X956" i="1"/>
  <c r="X957" i="1"/>
  <c r="X1271" i="1"/>
  <c r="X959" i="1"/>
  <c r="X960" i="1"/>
  <c r="X961" i="1"/>
  <c r="X962" i="1"/>
  <c r="X963" i="1"/>
  <c r="X880" i="1"/>
  <c r="X965" i="1"/>
  <c r="X966" i="1"/>
  <c r="X875" i="1"/>
  <c r="X968" i="1"/>
  <c r="X969" i="1"/>
  <c r="X867" i="1"/>
  <c r="X866" i="1"/>
  <c r="X863" i="1"/>
  <c r="X973" i="1"/>
  <c r="X862" i="1"/>
  <c r="X975" i="1"/>
  <c r="X844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272" i="1"/>
  <c r="X1001" i="1"/>
  <c r="X1273" i="1"/>
  <c r="X1003" i="1"/>
  <c r="X1274" i="1"/>
  <c r="X1005" i="1"/>
  <c r="X1275" i="1"/>
  <c r="X1007" i="1"/>
  <c r="X1008" i="1"/>
  <c r="X1009" i="1"/>
  <c r="X1010" i="1"/>
  <c r="X1276" i="1"/>
  <c r="X1012" i="1"/>
  <c r="X1013" i="1"/>
  <c r="X1014" i="1"/>
  <c r="X1015" i="1"/>
  <c r="X1016" i="1"/>
  <c r="X1017" i="1"/>
  <c r="X1018" i="1"/>
  <c r="X1019" i="1"/>
  <c r="X1020" i="1"/>
  <c r="X1021" i="1"/>
  <c r="X1277" i="1"/>
  <c r="X1278" i="1"/>
  <c r="X1024" i="1"/>
  <c r="X1025" i="1"/>
  <c r="X1026" i="1"/>
  <c r="X1027" i="1"/>
  <c r="X1028" i="1"/>
  <c r="X1029" i="1"/>
  <c r="X1030" i="1"/>
  <c r="X1031" i="1"/>
  <c r="X1032" i="1"/>
  <c r="X909" i="1"/>
  <c r="X1034" i="1"/>
  <c r="X899" i="1"/>
  <c r="X888" i="1"/>
  <c r="X1037" i="1"/>
  <c r="X1038" i="1"/>
  <c r="X1039" i="1"/>
  <c r="X1040" i="1"/>
  <c r="X1041" i="1"/>
  <c r="X881" i="1"/>
  <c r="X1043" i="1"/>
  <c r="X1044" i="1"/>
  <c r="X1045" i="1"/>
  <c r="X1046" i="1"/>
  <c r="X1047" i="1"/>
  <c r="X1279" i="1"/>
  <c r="X1049" i="1"/>
  <c r="X1281" i="1"/>
  <c r="X1051" i="1"/>
  <c r="X1282" i="1"/>
  <c r="X1053" i="1"/>
  <c r="X1283" i="1"/>
  <c r="X1055" i="1"/>
  <c r="X1056" i="1"/>
  <c r="X1057" i="1"/>
  <c r="X1284" i="1"/>
  <c r="X1059" i="1"/>
  <c r="X1285" i="1"/>
  <c r="X1061" i="1"/>
  <c r="X1286" i="1"/>
  <c r="X1287" i="1"/>
  <c r="X1288" i="1"/>
  <c r="X1065" i="1"/>
  <c r="X1289" i="1"/>
  <c r="X1067" i="1"/>
  <c r="X1068" i="1"/>
  <c r="X1290" i="1"/>
  <c r="X1291" i="1"/>
  <c r="X1071" i="1"/>
  <c r="X1072" i="1"/>
  <c r="X1073" i="1"/>
  <c r="X1292" i="1"/>
  <c r="X1293" i="1"/>
  <c r="X1294" i="1"/>
  <c r="X964" i="1"/>
  <c r="X958" i="1"/>
  <c r="X953" i="1"/>
  <c r="X1080" i="1"/>
  <c r="X1081" i="1"/>
  <c r="X1082" i="1"/>
  <c r="X1064" i="1"/>
  <c r="X948" i="1"/>
  <c r="X941" i="1"/>
  <c r="X1086" i="1"/>
  <c r="X1087" i="1"/>
  <c r="X1088" i="1"/>
  <c r="X926" i="1"/>
  <c r="X939" i="1"/>
  <c r="X932" i="1"/>
  <c r="X1092" i="1"/>
  <c r="X910" i="1"/>
  <c r="X1094" i="1"/>
  <c r="X1095" i="1"/>
  <c r="X1295" i="1"/>
  <c r="X1097" i="1"/>
  <c r="X1098" i="1"/>
  <c r="X1296" i="1"/>
  <c r="X1297" i="1"/>
  <c r="X1298" i="1"/>
  <c r="X1299" i="1"/>
  <c r="X1103" i="1"/>
  <c r="X1300" i="1"/>
  <c r="X1301" i="1"/>
  <c r="X1302" i="1"/>
  <c r="X1107" i="1"/>
  <c r="X1108" i="1"/>
  <c r="X1109" i="1"/>
  <c r="X1303" i="1"/>
  <c r="X1304" i="1"/>
  <c r="X1305" i="1"/>
  <c r="X1306" i="1"/>
  <c r="X1307" i="1"/>
  <c r="X1308" i="1"/>
  <c r="X1116" i="1"/>
  <c r="X1309" i="1"/>
  <c r="X1118" i="1"/>
  <c r="X1310" i="1"/>
  <c r="X1311" i="1"/>
  <c r="X1312" i="1"/>
  <c r="X1313" i="1"/>
  <c r="X1314" i="1"/>
  <c r="X1315" i="1"/>
  <c r="X1316" i="1"/>
  <c r="X1317" i="1"/>
  <c r="X1318" i="1"/>
  <c r="X1128" i="1"/>
  <c r="X1319" i="1"/>
  <c r="X1320" i="1"/>
  <c r="X1321" i="1"/>
  <c r="X1132" i="1"/>
  <c r="X1322" i="1"/>
  <c r="X1323" i="1"/>
  <c r="X1324" i="1"/>
  <c r="X1325" i="1"/>
  <c r="X1326" i="1"/>
  <c r="X1138" i="1"/>
  <c r="X1327" i="1"/>
  <c r="X1140" i="1"/>
  <c r="X1004" i="1"/>
  <c r="X1000" i="1"/>
  <c r="X1002" i="1"/>
  <c r="X1144" i="1"/>
  <c r="X1145" i="1"/>
  <c r="X976" i="1"/>
  <c r="X974" i="1"/>
  <c r="X972" i="1"/>
  <c r="X1149" i="1"/>
  <c r="X1150" i="1"/>
  <c r="X1151" i="1"/>
  <c r="X1152" i="1"/>
  <c r="X1153" i="1"/>
  <c r="X971" i="1"/>
  <c r="X970" i="1"/>
  <c r="X967" i="1"/>
  <c r="X1328" i="1"/>
  <c r="X1329" i="1"/>
  <c r="X1330" i="1"/>
  <c r="X1331" i="1"/>
  <c r="X1332" i="1"/>
  <c r="X1333" i="1"/>
  <c r="X1334" i="1"/>
  <c r="X1335" i="1"/>
  <c r="X1336" i="1"/>
  <c r="X1337" i="1"/>
  <c r="X1167" i="1"/>
  <c r="X1338" i="1"/>
  <c r="X1339" i="1"/>
  <c r="X1340" i="1"/>
  <c r="X1341" i="1"/>
  <c r="X1343" i="1"/>
  <c r="X1346" i="1"/>
  <c r="X1347" i="1"/>
  <c r="X1050" i="1"/>
  <c r="X1048" i="1"/>
  <c r="X1042" i="1"/>
  <c r="X1036" i="1"/>
  <c r="X1035" i="1"/>
  <c r="X1033" i="1"/>
  <c r="X1023" i="1"/>
  <c r="X1022" i="1"/>
  <c r="X1011" i="1"/>
  <c r="X1006" i="1"/>
  <c r="X1348" i="1"/>
  <c r="X1349" i="1"/>
  <c r="X1350" i="1"/>
  <c r="X1188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4" i="1"/>
  <c r="X1365" i="1"/>
  <c r="X1366" i="1"/>
  <c r="X1367" i="1"/>
  <c r="X1368" i="1"/>
  <c r="X1369" i="1"/>
  <c r="X1370" i="1"/>
  <c r="X1371" i="1"/>
  <c r="X1063" i="1"/>
  <c r="X1069" i="1"/>
  <c r="X1062" i="1"/>
  <c r="X1066" i="1"/>
  <c r="X1060" i="1"/>
  <c r="X1058" i="1"/>
  <c r="X1054" i="1"/>
  <c r="X1052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2" i="1"/>
  <c r="X1393" i="1"/>
  <c r="X1394" i="1"/>
  <c r="X1395" i="1"/>
  <c r="X1396" i="1"/>
  <c r="X1398" i="1"/>
  <c r="X1399" i="1"/>
  <c r="X1400" i="1"/>
  <c r="X1401" i="1"/>
  <c r="X1402" i="1"/>
  <c r="X1403" i="1"/>
  <c r="X1404" i="1"/>
  <c r="X1405" i="1"/>
  <c r="X1406" i="1"/>
  <c r="X1407" i="1"/>
  <c r="X1091" i="1"/>
  <c r="X1090" i="1"/>
  <c r="X1089" i="1"/>
  <c r="X1093" i="1"/>
  <c r="X1085" i="1"/>
  <c r="X1084" i="1"/>
  <c r="X1083" i="1"/>
  <c r="X1079" i="1"/>
  <c r="X1078" i="1"/>
  <c r="X1077" i="1"/>
  <c r="X1076" i="1"/>
  <c r="X1075" i="1"/>
  <c r="X1263" i="1"/>
  <c r="X1074" i="1"/>
  <c r="X1070" i="1"/>
  <c r="X1408" i="1"/>
  <c r="X1409" i="1"/>
  <c r="X1410" i="1"/>
  <c r="X1411" i="1"/>
  <c r="X1412" i="1"/>
  <c r="X1413" i="1"/>
  <c r="X1415" i="1"/>
  <c r="X1416" i="1"/>
  <c r="X1417" i="1"/>
  <c r="X1418" i="1"/>
  <c r="X1419" i="1"/>
  <c r="X1420" i="1"/>
  <c r="X1421" i="1"/>
  <c r="X1422" i="1"/>
  <c r="X1280" i="1"/>
  <c r="X1423" i="1"/>
  <c r="X1424" i="1"/>
  <c r="X1425" i="1"/>
  <c r="X1426" i="1"/>
  <c r="X1427" i="1"/>
  <c r="X1428" i="1"/>
  <c r="X1429" i="1"/>
  <c r="X1430" i="1"/>
  <c r="X1431" i="1"/>
  <c r="X1123" i="1"/>
  <c r="X1122" i="1"/>
  <c r="X1124" i="1"/>
  <c r="X1119" i="1"/>
  <c r="X1121" i="1"/>
  <c r="X1120" i="1"/>
  <c r="X1113" i="1"/>
  <c r="X1112" i="1"/>
  <c r="X1117" i="1"/>
  <c r="X1115" i="1"/>
  <c r="X1114" i="1"/>
  <c r="X1111" i="1"/>
  <c r="X1110" i="1"/>
  <c r="X1104" i="1"/>
  <c r="X1102" i="1"/>
  <c r="X1106" i="1"/>
  <c r="X1105" i="1"/>
  <c r="X1101" i="1"/>
  <c r="X1100" i="1"/>
  <c r="X1099" i="1"/>
  <c r="X1096" i="1"/>
  <c r="X1432" i="1"/>
  <c r="X1433" i="1"/>
  <c r="X1434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134" i="1"/>
  <c r="X1342" i="1"/>
  <c r="X1133" i="1"/>
  <c r="X1344" i="1"/>
  <c r="X1345" i="1"/>
  <c r="X1131" i="1"/>
  <c r="X1130" i="1"/>
  <c r="X1129" i="1"/>
  <c r="X1127" i="1"/>
  <c r="X1126" i="1"/>
  <c r="X1125" i="1"/>
  <c r="X1463" i="1"/>
  <c r="X1464" i="1"/>
  <c r="X1465" i="1"/>
  <c r="X1466" i="1"/>
  <c r="X1467" i="1"/>
  <c r="X1468" i="1"/>
  <c r="X1469" i="1"/>
  <c r="X1470" i="1"/>
  <c r="X1471" i="1"/>
  <c r="X1472" i="1"/>
  <c r="X1473" i="1"/>
  <c r="X1363" i="1"/>
  <c r="X1475" i="1"/>
  <c r="X1474" i="1"/>
  <c r="X1476" i="1"/>
  <c r="X1477" i="1"/>
  <c r="X1478" i="1"/>
  <c r="X1479" i="1"/>
  <c r="X1480" i="1"/>
  <c r="X1481" i="1"/>
  <c r="X1482" i="1"/>
  <c r="X1483" i="1"/>
  <c r="X1484" i="1"/>
  <c r="X1157" i="1"/>
  <c r="X1148" i="1"/>
  <c r="X1156" i="1"/>
  <c r="X1155" i="1"/>
  <c r="X1147" i="1"/>
  <c r="X1154" i="1"/>
  <c r="X1146" i="1"/>
  <c r="X1142" i="1"/>
  <c r="X1141" i="1"/>
  <c r="X1143" i="1"/>
  <c r="X1139" i="1"/>
  <c r="X1136" i="1"/>
  <c r="X1135" i="1"/>
  <c r="X1137" i="1"/>
  <c r="X1485" i="1"/>
  <c r="X1486" i="1"/>
  <c r="X1391" i="1"/>
  <c r="X1487" i="1"/>
  <c r="X1488" i="1"/>
  <c r="X1489" i="1"/>
  <c r="X1490" i="1"/>
  <c r="X1492" i="1"/>
  <c r="X1397" i="1"/>
  <c r="X1493" i="1"/>
  <c r="X1494" i="1"/>
  <c r="X1495" i="1"/>
  <c r="X1165" i="1"/>
  <c r="X1164" i="1"/>
  <c r="X1163" i="1"/>
  <c r="X1161" i="1"/>
  <c r="X1162" i="1"/>
  <c r="X1160" i="1"/>
  <c r="X1159" i="1"/>
  <c r="X1158" i="1"/>
  <c r="X1496" i="1"/>
  <c r="X1497" i="1"/>
  <c r="X1498" i="1"/>
  <c r="X1499" i="1"/>
  <c r="X1500" i="1"/>
  <c r="X1414" i="1"/>
  <c r="X1501" i="1"/>
  <c r="X1502" i="1"/>
  <c r="X1504" i="1"/>
  <c r="X1505" i="1"/>
  <c r="X1506" i="1"/>
  <c r="X1507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174" i="1"/>
  <c r="X1435" i="1"/>
  <c r="X1173" i="1"/>
  <c r="X1171" i="1"/>
  <c r="X1172" i="1"/>
  <c r="X1170" i="1"/>
  <c r="X1169" i="1"/>
  <c r="X1168" i="1"/>
  <c r="X1166" i="1"/>
  <c r="X1190" i="1"/>
  <c r="X1189" i="1"/>
  <c r="X1183" i="1"/>
  <c r="X1187" i="1"/>
  <c r="X1186" i="1"/>
  <c r="X1185" i="1"/>
  <c r="X1182" i="1"/>
  <c r="X1184" i="1"/>
  <c r="X1181" i="1"/>
  <c r="X1180" i="1"/>
  <c r="X1179" i="1"/>
  <c r="X1177" i="1"/>
  <c r="X1178" i="1"/>
  <c r="X1176" i="1"/>
  <c r="X1175" i="1"/>
  <c r="X1522" i="1"/>
  <c r="X1523" i="1"/>
  <c r="X1524" i="1"/>
  <c r="X1525" i="1"/>
  <c r="X1526" i="1"/>
  <c r="X1527" i="1"/>
  <c r="X1528" i="1"/>
  <c r="X1529" i="1"/>
  <c r="X1531" i="1"/>
  <c r="X1532" i="1"/>
  <c r="X1533" i="1"/>
  <c r="X1535" i="1"/>
  <c r="X1536" i="1"/>
  <c r="X1537" i="1"/>
  <c r="X1538" i="1"/>
  <c r="X1539" i="1"/>
  <c r="X1540" i="1"/>
  <c r="X1541" i="1"/>
  <c r="X1542" i="1"/>
  <c r="X1543" i="1"/>
  <c r="X1544" i="1"/>
  <c r="X1251" i="1"/>
  <c r="X1250" i="1"/>
  <c r="X1545" i="1"/>
  <c r="X1546" i="1"/>
  <c r="X1547" i="1"/>
  <c r="X1548" i="1"/>
  <c r="X1549" i="1"/>
  <c r="X1550" i="1"/>
  <c r="X1551" i="1"/>
  <c r="X1552" i="1"/>
  <c r="X1553" i="1"/>
  <c r="X1554" i="1"/>
  <c r="X1491" i="1"/>
  <c r="X1555" i="1"/>
  <c r="X1556" i="1"/>
  <c r="X1557" i="1"/>
  <c r="X1558" i="1"/>
  <c r="X1559" i="1"/>
  <c r="X1560" i="1"/>
  <c r="X1561" i="1"/>
  <c r="X1562" i="1"/>
  <c r="X1563" i="1"/>
  <c r="X1565" i="1"/>
  <c r="X1201" i="1"/>
  <c r="X1503" i="1"/>
  <c r="X1200" i="1"/>
  <c r="X1199" i="1"/>
  <c r="X1198" i="1"/>
  <c r="X1197" i="1"/>
  <c r="X1508" i="1"/>
  <c r="X1196" i="1"/>
  <c r="X1195" i="1"/>
  <c r="X1194" i="1"/>
  <c r="X1193" i="1"/>
  <c r="X1192" i="1"/>
  <c r="X1191" i="1"/>
  <c r="X1205" i="1"/>
  <c r="X1208" i="1"/>
  <c r="X1207" i="1"/>
  <c r="X1206" i="1"/>
  <c r="X1204" i="1"/>
  <c r="X1203" i="1"/>
  <c r="X1202" i="1"/>
  <c r="X1568" i="1"/>
  <c r="X1570" i="1"/>
  <c r="X1571" i="1"/>
  <c r="X1572" i="1"/>
  <c r="X1573" i="1"/>
  <c r="X1574" i="1"/>
  <c r="X1575" i="1"/>
  <c r="X1576" i="1"/>
  <c r="X1530" i="1"/>
  <c r="X1578" i="1"/>
  <c r="X1579" i="1"/>
  <c r="X1580" i="1"/>
  <c r="X1534" i="1"/>
  <c r="X1581" i="1"/>
  <c r="X1582" i="1"/>
  <c r="X1584" i="1"/>
  <c r="X1585" i="1"/>
  <c r="X1586" i="1"/>
  <c r="X1587" i="1"/>
  <c r="X1589" i="1"/>
  <c r="X1590" i="1"/>
  <c r="X1591" i="1"/>
  <c r="X1592" i="1"/>
  <c r="X1594" i="1"/>
  <c r="X1595" i="1"/>
  <c r="X1596" i="1"/>
  <c r="X1597" i="1"/>
  <c r="X1215" i="1"/>
  <c r="X1214" i="1"/>
  <c r="X1213" i="1"/>
  <c r="X1212" i="1"/>
  <c r="X1211" i="1"/>
  <c r="X1210" i="1"/>
  <c r="X1209" i="1"/>
  <c r="X1598" i="1"/>
  <c r="X1222" i="1"/>
  <c r="X1221" i="1"/>
  <c r="X1220" i="1"/>
  <c r="X1219" i="1"/>
  <c r="X1218" i="1"/>
  <c r="X1217" i="1"/>
  <c r="X1216" i="1"/>
  <c r="X1564" i="1"/>
  <c r="X1599" i="1"/>
  <c r="X1566" i="1"/>
  <c r="X1567" i="1"/>
  <c r="X1600" i="1"/>
  <c r="X1569" i="1"/>
  <c r="X1601" i="1"/>
  <c r="X1602" i="1"/>
  <c r="X1603" i="1"/>
  <c r="X1604" i="1"/>
  <c r="X1605" i="1"/>
  <c r="X1606" i="1"/>
  <c r="X1607" i="1"/>
  <c r="X1577" i="1"/>
  <c r="X1608" i="1"/>
  <c r="X1610" i="1"/>
  <c r="X1611" i="1"/>
  <c r="X1612" i="1"/>
  <c r="X1613" i="1"/>
  <c r="X1583" i="1"/>
  <c r="X1614" i="1"/>
  <c r="X1615" i="1"/>
  <c r="X1617" i="1"/>
  <c r="X1618" i="1"/>
  <c r="X1588" i="1"/>
  <c r="X1619" i="1"/>
  <c r="X1620" i="1"/>
  <c r="X1621" i="1"/>
  <c r="X1622" i="1"/>
  <c r="X1593" i="1"/>
  <c r="X1623" i="1"/>
  <c r="X1624" i="1"/>
  <c r="X1625" i="1"/>
  <c r="X1626" i="1"/>
  <c r="X1223" i="1"/>
  <c r="X1228" i="1"/>
  <c r="X1227" i="1"/>
  <c r="X1226" i="1"/>
  <c r="X1225" i="1"/>
  <c r="X1224" i="1"/>
  <c r="X1627" i="1"/>
  <c r="X1628" i="1"/>
  <c r="X1631" i="1"/>
  <c r="X1634" i="1"/>
  <c r="X1635" i="1"/>
  <c r="X1609" i="1"/>
  <c r="X1636" i="1"/>
  <c r="X1639" i="1"/>
  <c r="X1642" i="1"/>
  <c r="X1643" i="1"/>
  <c r="X1644" i="1"/>
  <c r="X1645" i="1"/>
  <c r="X1630" i="1"/>
  <c r="X1647" i="1"/>
  <c r="X1649" i="1"/>
  <c r="X1651" i="1"/>
  <c r="X1652" i="1"/>
  <c r="X1653" i="1"/>
  <c r="X1654" i="1"/>
  <c r="X1233" i="1"/>
  <c r="X1232" i="1"/>
  <c r="X1234" i="1"/>
  <c r="X1230" i="1"/>
  <c r="X1231" i="1"/>
  <c r="X1229" i="1"/>
  <c r="X1629" i="1"/>
  <c r="X1616" i="1"/>
  <c r="X1658" i="1"/>
  <c r="X1632" i="1"/>
  <c r="X1675" i="1"/>
  <c r="X1659" i="1"/>
  <c r="X1661" i="1"/>
  <c r="X1236" i="1"/>
  <c r="X1633" i="1"/>
  <c r="X1638" i="1"/>
  <c r="X1235" i="1"/>
  <c r="X1640" i="1"/>
  <c r="X1641" i="1"/>
  <c r="X1662" i="1"/>
  <c r="X1663" i="1"/>
  <c r="X1664" i="1"/>
  <c r="X1665" i="1"/>
  <c r="X1637" i="1"/>
  <c r="X1666" i="1"/>
  <c r="X1648" i="1"/>
  <c r="X1667" i="1"/>
  <c r="X1679" i="1"/>
  <c r="X1668" i="1"/>
  <c r="X1669" i="1"/>
  <c r="X1670" i="1"/>
  <c r="X1672" i="1"/>
  <c r="X1681" i="1"/>
  <c r="X1656" i="1"/>
  <c r="X1657" i="1"/>
  <c r="X1673" i="1"/>
  <c r="X1674" i="1"/>
  <c r="X1660" i="1"/>
  <c r="X1676" i="1"/>
  <c r="X1677" i="1"/>
  <c r="X1243" i="1"/>
  <c r="X1242" i="1"/>
  <c r="X1240" i="1"/>
  <c r="X1239" i="1"/>
  <c r="X1238" i="1"/>
  <c r="X1237" i="1"/>
  <c r="X1241" i="1"/>
  <c r="X1680" i="1"/>
  <c r="X1671" i="1"/>
  <c r="X1683" i="1"/>
  <c r="X1684" i="1"/>
  <c r="X1685" i="1"/>
  <c r="X1646" i="1"/>
  <c r="X1687" i="1"/>
  <c r="X1692" i="1"/>
  <c r="X1678" i="1"/>
  <c r="X1650" i="1"/>
  <c r="X1248" i="1"/>
  <c r="X1682" i="1"/>
  <c r="X1686" i="1"/>
  <c r="X1247" i="1"/>
  <c r="X1246" i="1"/>
  <c r="X1245" i="1"/>
  <c r="X1716" i="1"/>
  <c r="X1244" i="1"/>
  <c r="X1688" i="1"/>
  <c r="X1689" i="1"/>
  <c r="X1690" i="1"/>
  <c r="X1655" i="1"/>
  <c r="X1694" i="1"/>
  <c r="X1693" i="1"/>
  <c r="X1698" i="1"/>
  <c r="X1695" i="1"/>
  <c r="X1696" i="1"/>
  <c r="X1697" i="1"/>
  <c r="X1702" i="1"/>
  <c r="X1691" i="1"/>
  <c r="X1700" i="1"/>
  <c r="X1701" i="1"/>
  <c r="X1703" i="1"/>
  <c r="X1715" i="1"/>
  <c r="X1699" i="1"/>
  <c r="X1705" i="1"/>
  <c r="X1704" i="1"/>
  <c r="X1707" i="1"/>
  <c r="X1708" i="1"/>
  <c r="X1709" i="1"/>
  <c r="X1710" i="1"/>
  <c r="X1711" i="1"/>
  <c r="X1712" i="1"/>
  <c r="X1706" i="1"/>
  <c r="X1714" i="1"/>
  <c r="X1249" i="1"/>
  <c r="X1713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S2" i="1"/>
  <c r="T2" i="1"/>
  <c r="U2" i="1"/>
  <c r="V2" i="1"/>
  <c r="W2" i="1"/>
  <c r="S3" i="1"/>
  <c r="T3" i="1"/>
  <c r="U3" i="1"/>
  <c r="V3" i="1"/>
  <c r="W3" i="1"/>
  <c r="S4" i="1"/>
  <c r="T4" i="1"/>
  <c r="U4" i="1"/>
  <c r="V4" i="1"/>
  <c r="W4" i="1"/>
  <c r="S5" i="1"/>
  <c r="T5" i="1"/>
  <c r="U5" i="1"/>
  <c r="V5" i="1"/>
  <c r="W5" i="1"/>
  <c r="S6" i="1"/>
  <c r="T6" i="1"/>
  <c r="U6" i="1"/>
  <c r="V6" i="1"/>
  <c r="W6" i="1"/>
  <c r="S7" i="1"/>
  <c r="T7" i="1"/>
  <c r="U7" i="1"/>
  <c r="V7" i="1"/>
  <c r="W7" i="1"/>
  <c r="S8" i="1"/>
  <c r="T8" i="1"/>
  <c r="U8" i="1"/>
  <c r="V8" i="1"/>
  <c r="W8" i="1"/>
  <c r="S9" i="1"/>
  <c r="T9" i="1"/>
  <c r="U9" i="1"/>
  <c r="V9" i="1"/>
  <c r="W9" i="1"/>
  <c r="S10" i="1"/>
  <c r="T10" i="1"/>
  <c r="U10" i="1"/>
  <c r="V10" i="1"/>
  <c r="W10" i="1"/>
  <c r="S11" i="1"/>
  <c r="T11" i="1"/>
  <c r="U11" i="1"/>
  <c r="V11" i="1"/>
  <c r="W11" i="1"/>
  <c r="S12" i="1"/>
  <c r="T12" i="1"/>
  <c r="U12" i="1"/>
  <c r="V12" i="1"/>
  <c r="W12" i="1"/>
  <c r="S13" i="1"/>
  <c r="T13" i="1"/>
  <c r="U13" i="1"/>
  <c r="V13" i="1"/>
  <c r="W13" i="1"/>
  <c r="S14" i="1"/>
  <c r="T14" i="1"/>
  <c r="U14" i="1"/>
  <c r="V14" i="1"/>
  <c r="W14" i="1"/>
  <c r="S15" i="1"/>
  <c r="T15" i="1"/>
  <c r="U15" i="1"/>
  <c r="V15" i="1"/>
  <c r="W15" i="1"/>
  <c r="S16" i="1"/>
  <c r="T16" i="1"/>
  <c r="U16" i="1"/>
  <c r="V16" i="1"/>
  <c r="W16" i="1"/>
  <c r="S17" i="1"/>
  <c r="T17" i="1"/>
  <c r="U17" i="1"/>
  <c r="V17" i="1"/>
  <c r="W17" i="1"/>
  <c r="S18" i="1"/>
  <c r="T18" i="1"/>
  <c r="U18" i="1"/>
  <c r="V18" i="1"/>
  <c r="W18" i="1"/>
  <c r="S19" i="1"/>
  <c r="T19" i="1"/>
  <c r="U19" i="1"/>
  <c r="V19" i="1"/>
  <c r="W19" i="1"/>
  <c r="S20" i="1"/>
  <c r="T20" i="1"/>
  <c r="U20" i="1"/>
  <c r="V20" i="1"/>
  <c r="W20" i="1"/>
  <c r="S21" i="1"/>
  <c r="T21" i="1"/>
  <c r="U21" i="1"/>
  <c r="V21" i="1"/>
  <c r="W21" i="1"/>
  <c r="S22" i="1"/>
  <c r="T22" i="1"/>
  <c r="U22" i="1"/>
  <c r="V22" i="1"/>
  <c r="W22" i="1"/>
  <c r="S23" i="1"/>
  <c r="T23" i="1"/>
  <c r="U23" i="1"/>
  <c r="V23" i="1"/>
  <c r="W23" i="1"/>
  <c r="S24" i="1"/>
  <c r="T24" i="1"/>
  <c r="U24" i="1"/>
  <c r="V24" i="1"/>
  <c r="W24" i="1"/>
  <c r="S25" i="1"/>
  <c r="T25" i="1"/>
  <c r="U25" i="1"/>
  <c r="V25" i="1"/>
  <c r="W25" i="1"/>
  <c r="S26" i="1"/>
  <c r="T26" i="1"/>
  <c r="U26" i="1"/>
  <c r="V26" i="1"/>
  <c r="W26" i="1"/>
  <c r="S27" i="1"/>
  <c r="T27" i="1"/>
  <c r="U27" i="1"/>
  <c r="V27" i="1"/>
  <c r="W27" i="1"/>
  <c r="S28" i="1"/>
  <c r="T28" i="1"/>
  <c r="U28" i="1"/>
  <c r="V28" i="1"/>
  <c r="W28" i="1"/>
  <c r="S29" i="1"/>
  <c r="T29" i="1"/>
  <c r="U29" i="1"/>
  <c r="V29" i="1"/>
  <c r="W29" i="1"/>
  <c r="S30" i="1"/>
  <c r="T30" i="1"/>
  <c r="U30" i="1"/>
  <c r="V30" i="1"/>
  <c r="W30" i="1"/>
  <c r="S31" i="1"/>
  <c r="T31" i="1"/>
  <c r="U31" i="1"/>
  <c r="V31" i="1"/>
  <c r="W31" i="1"/>
  <c r="S32" i="1"/>
  <c r="T32" i="1"/>
  <c r="U32" i="1"/>
  <c r="V32" i="1"/>
  <c r="W32" i="1"/>
  <c r="S33" i="1"/>
  <c r="T33" i="1"/>
  <c r="U33" i="1"/>
  <c r="V33" i="1"/>
  <c r="W33" i="1"/>
  <c r="S34" i="1"/>
  <c r="T34" i="1"/>
  <c r="U34" i="1"/>
  <c r="V34" i="1"/>
  <c r="W34" i="1"/>
  <c r="S35" i="1"/>
  <c r="T35" i="1"/>
  <c r="U35" i="1"/>
  <c r="V35" i="1"/>
  <c r="W35" i="1"/>
  <c r="S36" i="1"/>
  <c r="T36" i="1"/>
  <c r="U36" i="1"/>
  <c r="V36" i="1"/>
  <c r="W36" i="1"/>
  <c r="S37" i="1"/>
  <c r="T37" i="1"/>
  <c r="U37" i="1"/>
  <c r="V37" i="1"/>
  <c r="W37" i="1"/>
  <c r="S38" i="1"/>
  <c r="T38" i="1"/>
  <c r="U38" i="1"/>
  <c r="V38" i="1"/>
  <c r="W38" i="1"/>
  <c r="S39" i="1"/>
  <c r="T39" i="1"/>
  <c r="U39" i="1"/>
  <c r="V39" i="1"/>
  <c r="W39" i="1"/>
  <c r="S54" i="1"/>
  <c r="T54" i="1"/>
  <c r="U54" i="1"/>
  <c r="V54" i="1"/>
  <c r="W54" i="1"/>
  <c r="S41" i="1"/>
  <c r="T41" i="1"/>
  <c r="U41" i="1"/>
  <c r="V41" i="1"/>
  <c r="W41" i="1"/>
  <c r="S42" i="1"/>
  <c r="T42" i="1"/>
  <c r="U42" i="1"/>
  <c r="V42" i="1"/>
  <c r="W42" i="1"/>
  <c r="S43" i="1"/>
  <c r="T43" i="1"/>
  <c r="U43" i="1"/>
  <c r="V43" i="1"/>
  <c r="W43" i="1"/>
  <c r="S44" i="1"/>
  <c r="T44" i="1"/>
  <c r="U44" i="1"/>
  <c r="V44" i="1"/>
  <c r="W44" i="1"/>
  <c r="S45" i="1"/>
  <c r="T45" i="1"/>
  <c r="U45" i="1"/>
  <c r="V45" i="1"/>
  <c r="W45" i="1"/>
  <c r="S46" i="1"/>
  <c r="T46" i="1"/>
  <c r="U46" i="1"/>
  <c r="V46" i="1"/>
  <c r="W46" i="1"/>
  <c r="S47" i="1"/>
  <c r="T47" i="1"/>
  <c r="U47" i="1"/>
  <c r="V47" i="1"/>
  <c r="W47" i="1"/>
  <c r="S48" i="1"/>
  <c r="T48" i="1"/>
  <c r="U48" i="1"/>
  <c r="V48" i="1"/>
  <c r="W48" i="1"/>
  <c r="S49" i="1"/>
  <c r="T49" i="1"/>
  <c r="U49" i="1"/>
  <c r="V49" i="1"/>
  <c r="W49" i="1"/>
  <c r="S50" i="1"/>
  <c r="T50" i="1"/>
  <c r="U50" i="1"/>
  <c r="V50" i="1"/>
  <c r="W50" i="1"/>
  <c r="S51" i="1"/>
  <c r="T51" i="1"/>
  <c r="U51" i="1"/>
  <c r="V51" i="1"/>
  <c r="W51" i="1"/>
  <c r="S62" i="1"/>
  <c r="T62" i="1"/>
  <c r="U62" i="1"/>
  <c r="V62" i="1"/>
  <c r="W62" i="1"/>
  <c r="S66" i="1"/>
  <c r="T66" i="1"/>
  <c r="U66" i="1"/>
  <c r="V66" i="1"/>
  <c r="W66" i="1"/>
  <c r="S40" i="1"/>
  <c r="T40" i="1"/>
  <c r="U40" i="1"/>
  <c r="V40" i="1"/>
  <c r="W40" i="1"/>
  <c r="S55" i="1"/>
  <c r="T55" i="1"/>
  <c r="U55" i="1"/>
  <c r="V55" i="1"/>
  <c r="W55" i="1"/>
  <c r="S56" i="1"/>
  <c r="T56" i="1"/>
  <c r="U56" i="1"/>
  <c r="V56" i="1"/>
  <c r="W56" i="1"/>
  <c r="S57" i="1"/>
  <c r="T57" i="1"/>
  <c r="U57" i="1"/>
  <c r="V57" i="1"/>
  <c r="W57" i="1"/>
  <c r="S58" i="1"/>
  <c r="T58" i="1"/>
  <c r="U58" i="1"/>
  <c r="V58" i="1"/>
  <c r="W58" i="1"/>
  <c r="S59" i="1"/>
  <c r="T59" i="1"/>
  <c r="U59" i="1"/>
  <c r="V59" i="1"/>
  <c r="W59" i="1"/>
  <c r="S60" i="1"/>
  <c r="T60" i="1"/>
  <c r="U60" i="1"/>
  <c r="V60" i="1"/>
  <c r="W60" i="1"/>
  <c r="S61" i="1"/>
  <c r="T61" i="1"/>
  <c r="U61" i="1"/>
  <c r="V61" i="1"/>
  <c r="W61" i="1"/>
  <c r="S52" i="1"/>
  <c r="T52" i="1"/>
  <c r="U52" i="1"/>
  <c r="V52" i="1"/>
  <c r="W52" i="1"/>
  <c r="S63" i="1"/>
  <c r="T63" i="1"/>
  <c r="U63" i="1"/>
  <c r="V63" i="1"/>
  <c r="W63" i="1"/>
  <c r="S64" i="1"/>
  <c r="T64" i="1"/>
  <c r="U64" i="1"/>
  <c r="V64" i="1"/>
  <c r="W64" i="1"/>
  <c r="S65" i="1"/>
  <c r="T65" i="1"/>
  <c r="U65" i="1"/>
  <c r="V65" i="1"/>
  <c r="W65" i="1"/>
  <c r="S68" i="1"/>
  <c r="T68" i="1"/>
  <c r="U68" i="1"/>
  <c r="V68" i="1"/>
  <c r="W68" i="1"/>
  <c r="S67" i="1"/>
  <c r="T67" i="1"/>
  <c r="U67" i="1"/>
  <c r="V67" i="1"/>
  <c r="W67" i="1"/>
  <c r="S69" i="1"/>
  <c r="T69" i="1"/>
  <c r="U69" i="1"/>
  <c r="V69" i="1"/>
  <c r="W69" i="1"/>
  <c r="S72" i="1"/>
  <c r="T72" i="1"/>
  <c r="U72" i="1"/>
  <c r="V72" i="1"/>
  <c r="W72" i="1"/>
  <c r="S70" i="1"/>
  <c r="T70" i="1"/>
  <c r="U70" i="1"/>
  <c r="V70" i="1"/>
  <c r="W70" i="1"/>
  <c r="S71" i="1"/>
  <c r="T71" i="1"/>
  <c r="U71" i="1"/>
  <c r="V71" i="1"/>
  <c r="W71" i="1"/>
  <c r="S76" i="1"/>
  <c r="T76" i="1"/>
  <c r="U76" i="1"/>
  <c r="V76" i="1"/>
  <c r="W76" i="1"/>
  <c r="S73" i="1"/>
  <c r="T73" i="1"/>
  <c r="U73" i="1"/>
  <c r="V73" i="1"/>
  <c r="W73" i="1"/>
  <c r="S74" i="1"/>
  <c r="T74" i="1"/>
  <c r="U74" i="1"/>
  <c r="V74" i="1"/>
  <c r="W74" i="1"/>
  <c r="S75" i="1"/>
  <c r="T75" i="1"/>
  <c r="U75" i="1"/>
  <c r="V75" i="1"/>
  <c r="W75" i="1"/>
  <c r="S53" i="1"/>
  <c r="T53" i="1"/>
  <c r="U53" i="1"/>
  <c r="V53" i="1"/>
  <c r="W53" i="1"/>
  <c r="S77" i="1"/>
  <c r="T77" i="1"/>
  <c r="U77" i="1"/>
  <c r="V77" i="1"/>
  <c r="W77" i="1"/>
  <c r="S78" i="1"/>
  <c r="T78" i="1"/>
  <c r="U78" i="1"/>
  <c r="V78" i="1"/>
  <c r="W78" i="1"/>
  <c r="S79" i="1"/>
  <c r="T79" i="1"/>
  <c r="U79" i="1"/>
  <c r="V79" i="1"/>
  <c r="W79" i="1"/>
  <c r="S80" i="1"/>
  <c r="T80" i="1"/>
  <c r="U80" i="1"/>
  <c r="V80" i="1"/>
  <c r="W80" i="1"/>
  <c r="S90" i="1"/>
  <c r="T90" i="1"/>
  <c r="U90" i="1"/>
  <c r="V90" i="1"/>
  <c r="W90" i="1"/>
  <c r="S82" i="1"/>
  <c r="T82" i="1"/>
  <c r="U82" i="1"/>
  <c r="V82" i="1"/>
  <c r="W82" i="1"/>
  <c r="S83" i="1"/>
  <c r="T83" i="1"/>
  <c r="U83" i="1"/>
  <c r="V83" i="1"/>
  <c r="W83" i="1"/>
  <c r="S84" i="1"/>
  <c r="T84" i="1"/>
  <c r="U84" i="1"/>
  <c r="V84" i="1"/>
  <c r="W84" i="1"/>
  <c r="S85" i="1"/>
  <c r="T85" i="1"/>
  <c r="U85" i="1"/>
  <c r="V85" i="1"/>
  <c r="W85" i="1"/>
  <c r="S86" i="1"/>
  <c r="T86" i="1"/>
  <c r="U86" i="1"/>
  <c r="V86" i="1"/>
  <c r="W86" i="1"/>
  <c r="S81" i="1"/>
  <c r="T81" i="1"/>
  <c r="U81" i="1"/>
  <c r="V81" i="1"/>
  <c r="W81" i="1"/>
  <c r="S88" i="1"/>
  <c r="T88" i="1"/>
  <c r="U88" i="1"/>
  <c r="V88" i="1"/>
  <c r="W88" i="1"/>
  <c r="S89" i="1"/>
  <c r="T89" i="1"/>
  <c r="U89" i="1"/>
  <c r="V89" i="1"/>
  <c r="W89" i="1"/>
  <c r="S87" i="1"/>
  <c r="T87" i="1"/>
  <c r="U87" i="1"/>
  <c r="V87" i="1"/>
  <c r="W87" i="1"/>
  <c r="S91" i="1"/>
  <c r="T91" i="1"/>
  <c r="U91" i="1"/>
  <c r="V91" i="1"/>
  <c r="W91" i="1"/>
  <c r="S92" i="1"/>
  <c r="T92" i="1"/>
  <c r="U92" i="1"/>
  <c r="V92" i="1"/>
  <c r="W92" i="1"/>
  <c r="S93" i="1"/>
  <c r="T93" i="1"/>
  <c r="U93" i="1"/>
  <c r="V93" i="1"/>
  <c r="W93" i="1"/>
  <c r="S94" i="1"/>
  <c r="T94" i="1"/>
  <c r="U94" i="1"/>
  <c r="V94" i="1"/>
  <c r="W94" i="1"/>
  <c r="S95" i="1"/>
  <c r="T95" i="1"/>
  <c r="U95" i="1"/>
  <c r="V95" i="1"/>
  <c r="W95" i="1"/>
  <c r="S96" i="1"/>
  <c r="T96" i="1"/>
  <c r="U96" i="1"/>
  <c r="V96" i="1"/>
  <c r="W96" i="1"/>
  <c r="S150" i="1"/>
  <c r="T150" i="1"/>
  <c r="U150" i="1"/>
  <c r="V150" i="1"/>
  <c r="W150" i="1"/>
  <c r="S98" i="1"/>
  <c r="T98" i="1"/>
  <c r="U98" i="1"/>
  <c r="V98" i="1"/>
  <c r="W98" i="1"/>
  <c r="S99" i="1"/>
  <c r="T99" i="1"/>
  <c r="U99" i="1"/>
  <c r="V99" i="1"/>
  <c r="W99" i="1"/>
  <c r="S100" i="1"/>
  <c r="T100" i="1"/>
  <c r="U100" i="1"/>
  <c r="V100" i="1"/>
  <c r="W100" i="1"/>
  <c r="S101" i="1"/>
  <c r="T101" i="1"/>
  <c r="U101" i="1"/>
  <c r="V101" i="1"/>
  <c r="W101" i="1"/>
  <c r="S102" i="1"/>
  <c r="T102" i="1"/>
  <c r="U102" i="1"/>
  <c r="V102" i="1"/>
  <c r="W102" i="1"/>
  <c r="S103" i="1"/>
  <c r="T103" i="1"/>
  <c r="U103" i="1"/>
  <c r="V103" i="1"/>
  <c r="W103" i="1"/>
  <c r="S104" i="1"/>
  <c r="T104" i="1"/>
  <c r="U104" i="1"/>
  <c r="V104" i="1"/>
  <c r="W104" i="1"/>
  <c r="S105" i="1"/>
  <c r="T105" i="1"/>
  <c r="U105" i="1"/>
  <c r="V105" i="1"/>
  <c r="W105" i="1"/>
  <c r="S106" i="1"/>
  <c r="T106" i="1"/>
  <c r="U106" i="1"/>
  <c r="V106" i="1"/>
  <c r="W106" i="1"/>
  <c r="S107" i="1"/>
  <c r="T107" i="1"/>
  <c r="U107" i="1"/>
  <c r="V107" i="1"/>
  <c r="W107" i="1"/>
  <c r="S108" i="1"/>
  <c r="T108" i="1"/>
  <c r="U108" i="1"/>
  <c r="V108" i="1"/>
  <c r="W108" i="1"/>
  <c r="S109" i="1"/>
  <c r="T109" i="1"/>
  <c r="U109" i="1"/>
  <c r="V109" i="1"/>
  <c r="W109" i="1"/>
  <c r="S110" i="1"/>
  <c r="T110" i="1"/>
  <c r="U110" i="1"/>
  <c r="V110" i="1"/>
  <c r="W110" i="1"/>
  <c r="S111" i="1"/>
  <c r="T111" i="1"/>
  <c r="U111" i="1"/>
  <c r="V111" i="1"/>
  <c r="W111" i="1"/>
  <c r="S112" i="1"/>
  <c r="T112" i="1"/>
  <c r="U112" i="1"/>
  <c r="V112" i="1"/>
  <c r="W112" i="1"/>
  <c r="S113" i="1"/>
  <c r="T113" i="1"/>
  <c r="U113" i="1"/>
  <c r="V113" i="1"/>
  <c r="W113" i="1"/>
  <c r="S114" i="1"/>
  <c r="T114" i="1"/>
  <c r="U114" i="1"/>
  <c r="V114" i="1"/>
  <c r="W114" i="1"/>
  <c r="S115" i="1"/>
  <c r="T115" i="1"/>
  <c r="U115" i="1"/>
  <c r="V115" i="1"/>
  <c r="W115" i="1"/>
  <c r="S116" i="1"/>
  <c r="T116" i="1"/>
  <c r="U116" i="1"/>
  <c r="V116" i="1"/>
  <c r="W116" i="1"/>
  <c r="S117" i="1"/>
  <c r="T117" i="1"/>
  <c r="U117" i="1"/>
  <c r="V117" i="1"/>
  <c r="W117" i="1"/>
  <c r="S118" i="1"/>
  <c r="T118" i="1"/>
  <c r="U118" i="1"/>
  <c r="V118" i="1"/>
  <c r="W118" i="1"/>
  <c r="S119" i="1"/>
  <c r="T119" i="1"/>
  <c r="U119" i="1"/>
  <c r="V119" i="1"/>
  <c r="W119" i="1"/>
  <c r="S120" i="1"/>
  <c r="T120" i="1"/>
  <c r="U120" i="1"/>
  <c r="V120" i="1"/>
  <c r="W120" i="1"/>
  <c r="S97" i="1"/>
  <c r="T97" i="1"/>
  <c r="U97" i="1"/>
  <c r="V97" i="1"/>
  <c r="W97" i="1"/>
  <c r="S122" i="1"/>
  <c r="T122" i="1"/>
  <c r="U122" i="1"/>
  <c r="V122" i="1"/>
  <c r="W122" i="1"/>
  <c r="S123" i="1"/>
  <c r="T123" i="1"/>
  <c r="U123" i="1"/>
  <c r="V123" i="1"/>
  <c r="W123" i="1"/>
  <c r="S124" i="1"/>
  <c r="T124" i="1"/>
  <c r="U124" i="1"/>
  <c r="V124" i="1"/>
  <c r="W124" i="1"/>
  <c r="S125" i="1"/>
  <c r="T125" i="1"/>
  <c r="U125" i="1"/>
  <c r="V125" i="1"/>
  <c r="W125" i="1"/>
  <c r="S126" i="1"/>
  <c r="T126" i="1"/>
  <c r="U126" i="1"/>
  <c r="V126" i="1"/>
  <c r="W126" i="1"/>
  <c r="S127" i="1"/>
  <c r="T127" i="1"/>
  <c r="U127" i="1"/>
  <c r="V127" i="1"/>
  <c r="W127" i="1"/>
  <c r="S128" i="1"/>
  <c r="T128" i="1"/>
  <c r="U128" i="1"/>
  <c r="V128" i="1"/>
  <c r="W128" i="1"/>
  <c r="S129" i="1"/>
  <c r="T129" i="1"/>
  <c r="U129" i="1"/>
  <c r="V129" i="1"/>
  <c r="W129" i="1"/>
  <c r="S130" i="1"/>
  <c r="T130" i="1"/>
  <c r="U130" i="1"/>
  <c r="V130" i="1"/>
  <c r="W130" i="1"/>
  <c r="S131" i="1"/>
  <c r="T131" i="1"/>
  <c r="U131" i="1"/>
  <c r="V131" i="1"/>
  <c r="W131" i="1"/>
  <c r="S132" i="1"/>
  <c r="T132" i="1"/>
  <c r="U132" i="1"/>
  <c r="V132" i="1"/>
  <c r="W132" i="1"/>
  <c r="S133" i="1"/>
  <c r="T133" i="1"/>
  <c r="U133" i="1"/>
  <c r="V133" i="1"/>
  <c r="W133" i="1"/>
  <c r="S134" i="1"/>
  <c r="T134" i="1"/>
  <c r="U134" i="1"/>
  <c r="V134" i="1"/>
  <c r="W134" i="1"/>
  <c r="S135" i="1"/>
  <c r="T135" i="1"/>
  <c r="U135" i="1"/>
  <c r="V135" i="1"/>
  <c r="W135" i="1"/>
  <c r="S136" i="1"/>
  <c r="T136" i="1"/>
  <c r="U136" i="1"/>
  <c r="V136" i="1"/>
  <c r="W136" i="1"/>
  <c r="S137" i="1"/>
  <c r="T137" i="1"/>
  <c r="U137" i="1"/>
  <c r="V137" i="1"/>
  <c r="W137" i="1"/>
  <c r="S138" i="1"/>
  <c r="T138" i="1"/>
  <c r="U138" i="1"/>
  <c r="V138" i="1"/>
  <c r="W138" i="1"/>
  <c r="S139" i="1"/>
  <c r="T139" i="1"/>
  <c r="U139" i="1"/>
  <c r="V139" i="1"/>
  <c r="W139" i="1"/>
  <c r="S140" i="1"/>
  <c r="T140" i="1"/>
  <c r="U140" i="1"/>
  <c r="V140" i="1"/>
  <c r="W140" i="1"/>
  <c r="S121" i="1"/>
  <c r="T121" i="1"/>
  <c r="U121" i="1"/>
  <c r="V121" i="1"/>
  <c r="W121" i="1"/>
  <c r="S141" i="1"/>
  <c r="T141" i="1"/>
  <c r="U141" i="1"/>
  <c r="V141" i="1"/>
  <c r="W141" i="1"/>
  <c r="S143" i="1"/>
  <c r="T143" i="1"/>
  <c r="U143" i="1"/>
  <c r="V143" i="1"/>
  <c r="W143" i="1"/>
  <c r="S144" i="1"/>
  <c r="T144" i="1"/>
  <c r="U144" i="1"/>
  <c r="V144" i="1"/>
  <c r="W144" i="1"/>
  <c r="S145" i="1"/>
  <c r="T145" i="1"/>
  <c r="U145" i="1"/>
  <c r="V145" i="1"/>
  <c r="W145" i="1"/>
  <c r="S182" i="1"/>
  <c r="T182" i="1"/>
  <c r="U182" i="1"/>
  <c r="V182" i="1"/>
  <c r="W182" i="1"/>
  <c r="S147" i="1"/>
  <c r="T147" i="1"/>
  <c r="U147" i="1"/>
  <c r="V147" i="1"/>
  <c r="W147" i="1"/>
  <c r="S142" i="1"/>
  <c r="T142" i="1"/>
  <c r="U142" i="1"/>
  <c r="V142" i="1"/>
  <c r="W142" i="1"/>
  <c r="S149" i="1"/>
  <c r="T149" i="1"/>
  <c r="U149" i="1"/>
  <c r="V149" i="1"/>
  <c r="W149" i="1"/>
  <c r="S146" i="1"/>
  <c r="T146" i="1"/>
  <c r="U146" i="1"/>
  <c r="V146" i="1"/>
  <c r="W146" i="1"/>
  <c r="S148" i="1"/>
  <c r="T148" i="1"/>
  <c r="U148" i="1"/>
  <c r="V148" i="1"/>
  <c r="W148" i="1"/>
  <c r="S152" i="1"/>
  <c r="T152" i="1"/>
  <c r="U152" i="1"/>
  <c r="V152" i="1"/>
  <c r="W152" i="1"/>
  <c r="S153" i="1"/>
  <c r="T153" i="1"/>
  <c r="U153" i="1"/>
  <c r="V153" i="1"/>
  <c r="W153" i="1"/>
  <c r="S154" i="1"/>
  <c r="T154" i="1"/>
  <c r="U154" i="1"/>
  <c r="V154" i="1"/>
  <c r="W154" i="1"/>
  <c r="S155" i="1"/>
  <c r="T155" i="1"/>
  <c r="U155" i="1"/>
  <c r="V155" i="1"/>
  <c r="W155" i="1"/>
  <c r="S151" i="1"/>
  <c r="T151" i="1"/>
  <c r="U151" i="1"/>
  <c r="V151" i="1"/>
  <c r="W151" i="1"/>
  <c r="S157" i="1"/>
  <c r="T157" i="1"/>
  <c r="U157" i="1"/>
  <c r="V157" i="1"/>
  <c r="W157" i="1"/>
  <c r="S158" i="1"/>
  <c r="T158" i="1"/>
  <c r="U158" i="1"/>
  <c r="V158" i="1"/>
  <c r="W158" i="1"/>
  <c r="S159" i="1"/>
  <c r="T159" i="1"/>
  <c r="U159" i="1"/>
  <c r="V159" i="1"/>
  <c r="W159" i="1"/>
  <c r="S160" i="1"/>
  <c r="T160" i="1"/>
  <c r="U160" i="1"/>
  <c r="V160" i="1"/>
  <c r="W160" i="1"/>
  <c r="S161" i="1"/>
  <c r="T161" i="1"/>
  <c r="U161" i="1"/>
  <c r="V161" i="1"/>
  <c r="W161" i="1"/>
  <c r="S162" i="1"/>
  <c r="T162" i="1"/>
  <c r="U162" i="1"/>
  <c r="V162" i="1"/>
  <c r="W162" i="1"/>
  <c r="S163" i="1"/>
  <c r="T163" i="1"/>
  <c r="U163" i="1"/>
  <c r="V163" i="1"/>
  <c r="W163" i="1"/>
  <c r="S164" i="1"/>
  <c r="T164" i="1"/>
  <c r="U164" i="1"/>
  <c r="V164" i="1"/>
  <c r="W164" i="1"/>
  <c r="S165" i="1"/>
  <c r="T165" i="1"/>
  <c r="U165" i="1"/>
  <c r="V165" i="1"/>
  <c r="W165" i="1"/>
  <c r="S166" i="1"/>
  <c r="T166" i="1"/>
  <c r="U166" i="1"/>
  <c r="V166" i="1"/>
  <c r="W166" i="1"/>
  <c r="S167" i="1"/>
  <c r="T167" i="1"/>
  <c r="U167" i="1"/>
  <c r="V167" i="1"/>
  <c r="W167" i="1"/>
  <c r="S168" i="1"/>
  <c r="T168" i="1"/>
  <c r="U168" i="1"/>
  <c r="V168" i="1"/>
  <c r="W168" i="1"/>
  <c r="S156" i="1"/>
  <c r="T156" i="1"/>
  <c r="U156" i="1"/>
  <c r="V156" i="1"/>
  <c r="W156" i="1"/>
  <c r="S184" i="1"/>
  <c r="T184" i="1"/>
  <c r="U184" i="1"/>
  <c r="V184" i="1"/>
  <c r="W184" i="1"/>
  <c r="S172" i="1"/>
  <c r="T172" i="1"/>
  <c r="U172" i="1"/>
  <c r="V172" i="1"/>
  <c r="W172" i="1"/>
  <c r="S173" i="1"/>
  <c r="T173" i="1"/>
  <c r="U173" i="1"/>
  <c r="V173" i="1"/>
  <c r="W173" i="1"/>
  <c r="S169" i="1"/>
  <c r="T169" i="1"/>
  <c r="U169" i="1"/>
  <c r="V169" i="1"/>
  <c r="W169" i="1"/>
  <c r="S174" i="1"/>
  <c r="T174" i="1"/>
  <c r="U174" i="1"/>
  <c r="V174" i="1"/>
  <c r="W174" i="1"/>
  <c r="S175" i="1"/>
  <c r="T175" i="1"/>
  <c r="U175" i="1"/>
  <c r="V175" i="1"/>
  <c r="W175" i="1"/>
  <c r="S176" i="1"/>
  <c r="T176" i="1"/>
  <c r="U176" i="1"/>
  <c r="V176" i="1"/>
  <c r="W176" i="1"/>
  <c r="S189" i="1"/>
  <c r="T189" i="1"/>
  <c r="U189" i="1"/>
  <c r="V189" i="1"/>
  <c r="W189" i="1"/>
  <c r="S178" i="1"/>
  <c r="T178" i="1"/>
  <c r="U178" i="1"/>
  <c r="V178" i="1"/>
  <c r="W178" i="1"/>
  <c r="S179" i="1"/>
  <c r="T179" i="1"/>
  <c r="U179" i="1"/>
  <c r="V179" i="1"/>
  <c r="W179" i="1"/>
  <c r="S180" i="1"/>
  <c r="T180" i="1"/>
  <c r="U180" i="1"/>
  <c r="V180" i="1"/>
  <c r="W180" i="1"/>
  <c r="S194" i="1"/>
  <c r="T194" i="1"/>
  <c r="U194" i="1"/>
  <c r="V194" i="1"/>
  <c r="W194" i="1"/>
  <c r="S236" i="1"/>
  <c r="T236" i="1"/>
  <c r="U236" i="1"/>
  <c r="V236" i="1"/>
  <c r="W236" i="1"/>
  <c r="S183" i="1"/>
  <c r="T183" i="1"/>
  <c r="U183" i="1"/>
  <c r="V183" i="1"/>
  <c r="W183" i="1"/>
  <c r="S177" i="1"/>
  <c r="T177" i="1"/>
  <c r="U177" i="1"/>
  <c r="V177" i="1"/>
  <c r="W177" i="1"/>
  <c r="S185" i="1"/>
  <c r="T185" i="1"/>
  <c r="U185" i="1"/>
  <c r="V185" i="1"/>
  <c r="W185" i="1"/>
  <c r="S186" i="1"/>
  <c r="T186" i="1"/>
  <c r="U186" i="1"/>
  <c r="V186" i="1"/>
  <c r="W186" i="1"/>
  <c r="S187" i="1"/>
  <c r="T187" i="1"/>
  <c r="U187" i="1"/>
  <c r="V187" i="1"/>
  <c r="W187" i="1"/>
  <c r="S188" i="1"/>
  <c r="T188" i="1"/>
  <c r="U188" i="1"/>
  <c r="V188" i="1"/>
  <c r="W188" i="1"/>
  <c r="S170" i="1"/>
  <c r="T170" i="1"/>
  <c r="U170" i="1"/>
  <c r="V170" i="1"/>
  <c r="W170" i="1"/>
  <c r="S190" i="1"/>
  <c r="T190" i="1"/>
  <c r="U190" i="1"/>
  <c r="V190" i="1"/>
  <c r="W190" i="1"/>
  <c r="S191" i="1"/>
  <c r="T191" i="1"/>
  <c r="U191" i="1"/>
  <c r="V191" i="1"/>
  <c r="W191" i="1"/>
  <c r="S192" i="1"/>
  <c r="T192" i="1"/>
  <c r="U192" i="1"/>
  <c r="V192" i="1"/>
  <c r="W192" i="1"/>
  <c r="S193" i="1"/>
  <c r="T193" i="1"/>
  <c r="U193" i="1"/>
  <c r="V193" i="1"/>
  <c r="W193" i="1"/>
  <c r="S196" i="1"/>
  <c r="T196" i="1"/>
  <c r="U196" i="1"/>
  <c r="V196" i="1"/>
  <c r="W196" i="1"/>
  <c r="S195" i="1"/>
  <c r="T195" i="1"/>
  <c r="U195" i="1"/>
  <c r="V195" i="1"/>
  <c r="W195" i="1"/>
  <c r="S171" i="1"/>
  <c r="T171" i="1"/>
  <c r="U171" i="1"/>
  <c r="V171" i="1"/>
  <c r="W171" i="1"/>
  <c r="S197" i="1"/>
  <c r="T197" i="1"/>
  <c r="U197" i="1"/>
  <c r="V197" i="1"/>
  <c r="W197" i="1"/>
  <c r="S198" i="1"/>
  <c r="T198" i="1"/>
  <c r="U198" i="1"/>
  <c r="V198" i="1"/>
  <c r="W198" i="1"/>
  <c r="S199" i="1"/>
  <c r="T199" i="1"/>
  <c r="U199" i="1"/>
  <c r="V199" i="1"/>
  <c r="W199" i="1"/>
  <c r="S200" i="1"/>
  <c r="T200" i="1"/>
  <c r="U200" i="1"/>
  <c r="V200" i="1"/>
  <c r="W200" i="1"/>
  <c r="S201" i="1"/>
  <c r="T201" i="1"/>
  <c r="U201" i="1"/>
  <c r="V201" i="1"/>
  <c r="W201" i="1"/>
  <c r="S181" i="1"/>
  <c r="T181" i="1"/>
  <c r="U181" i="1"/>
  <c r="V181" i="1"/>
  <c r="W181" i="1"/>
  <c r="S203" i="1"/>
  <c r="T203" i="1"/>
  <c r="U203" i="1"/>
  <c r="V203" i="1"/>
  <c r="W203" i="1"/>
  <c r="S204" i="1"/>
  <c r="T204" i="1"/>
  <c r="U204" i="1"/>
  <c r="V204" i="1"/>
  <c r="W204" i="1"/>
  <c r="S205" i="1"/>
  <c r="T205" i="1"/>
  <c r="U205" i="1"/>
  <c r="V205" i="1"/>
  <c r="W205" i="1"/>
  <c r="S206" i="1"/>
  <c r="T206" i="1"/>
  <c r="U206" i="1"/>
  <c r="V206" i="1"/>
  <c r="W206" i="1"/>
  <c r="S207" i="1"/>
  <c r="T207" i="1"/>
  <c r="U207" i="1"/>
  <c r="V207" i="1"/>
  <c r="W207" i="1"/>
  <c r="S208" i="1"/>
  <c r="T208" i="1"/>
  <c r="U208" i="1"/>
  <c r="V208" i="1"/>
  <c r="W208" i="1"/>
  <c r="S209" i="1"/>
  <c r="T209" i="1"/>
  <c r="U209" i="1"/>
  <c r="V209" i="1"/>
  <c r="W209" i="1"/>
  <c r="S210" i="1"/>
  <c r="T210" i="1"/>
  <c r="U210" i="1"/>
  <c r="V210" i="1"/>
  <c r="W210" i="1"/>
  <c r="S202" i="1"/>
  <c r="T202" i="1"/>
  <c r="U202" i="1"/>
  <c r="V202" i="1"/>
  <c r="W202" i="1"/>
  <c r="S211" i="1"/>
  <c r="T211" i="1"/>
  <c r="U211" i="1"/>
  <c r="V211" i="1"/>
  <c r="W211" i="1"/>
  <c r="S213" i="1"/>
  <c r="T213" i="1"/>
  <c r="U213" i="1"/>
  <c r="V213" i="1"/>
  <c r="W213" i="1"/>
  <c r="S214" i="1"/>
  <c r="T214" i="1"/>
  <c r="U214" i="1"/>
  <c r="V214" i="1"/>
  <c r="W214" i="1"/>
  <c r="S212" i="1"/>
  <c r="T212" i="1"/>
  <c r="U212" i="1"/>
  <c r="V212" i="1"/>
  <c r="W212" i="1"/>
  <c r="S216" i="1"/>
  <c r="T216" i="1"/>
  <c r="U216" i="1"/>
  <c r="V216" i="1"/>
  <c r="W216" i="1"/>
  <c r="S217" i="1"/>
  <c r="T217" i="1"/>
  <c r="U217" i="1"/>
  <c r="V217" i="1"/>
  <c r="W217" i="1"/>
  <c r="S218" i="1"/>
  <c r="T218" i="1"/>
  <c r="U218" i="1"/>
  <c r="V218" i="1"/>
  <c r="W218" i="1"/>
  <c r="S219" i="1"/>
  <c r="T219" i="1"/>
  <c r="U219" i="1"/>
  <c r="V219" i="1"/>
  <c r="W219" i="1"/>
  <c r="S220" i="1"/>
  <c r="T220" i="1"/>
  <c r="U220" i="1"/>
  <c r="V220" i="1"/>
  <c r="W220" i="1"/>
  <c r="S215" i="1"/>
  <c r="T215" i="1"/>
  <c r="U215" i="1"/>
  <c r="V215" i="1"/>
  <c r="W215" i="1"/>
  <c r="S222" i="1"/>
  <c r="T222" i="1"/>
  <c r="U222" i="1"/>
  <c r="V222" i="1"/>
  <c r="W222" i="1"/>
  <c r="S223" i="1"/>
  <c r="T223" i="1"/>
  <c r="U223" i="1"/>
  <c r="V223" i="1"/>
  <c r="W223" i="1"/>
  <c r="S224" i="1"/>
  <c r="T224" i="1"/>
  <c r="U224" i="1"/>
  <c r="V224" i="1"/>
  <c r="W224" i="1"/>
  <c r="S225" i="1"/>
  <c r="T225" i="1"/>
  <c r="U225" i="1"/>
  <c r="V225" i="1"/>
  <c r="W225" i="1"/>
  <c r="S226" i="1"/>
  <c r="T226" i="1"/>
  <c r="U226" i="1"/>
  <c r="V226" i="1"/>
  <c r="W226" i="1"/>
  <c r="S227" i="1"/>
  <c r="T227" i="1"/>
  <c r="U227" i="1"/>
  <c r="V227" i="1"/>
  <c r="W227" i="1"/>
  <c r="S221" i="1"/>
  <c r="T221" i="1"/>
  <c r="U221" i="1"/>
  <c r="V221" i="1"/>
  <c r="W221" i="1"/>
  <c r="S229" i="1"/>
  <c r="T229" i="1"/>
  <c r="U229" i="1"/>
  <c r="V229" i="1"/>
  <c r="W229" i="1"/>
  <c r="S230" i="1"/>
  <c r="T230" i="1"/>
  <c r="U230" i="1"/>
  <c r="V230" i="1"/>
  <c r="W230" i="1"/>
  <c r="S231" i="1"/>
  <c r="T231" i="1"/>
  <c r="U231" i="1"/>
  <c r="V231" i="1"/>
  <c r="W231" i="1"/>
  <c r="S232" i="1"/>
  <c r="T232" i="1"/>
  <c r="U232" i="1"/>
  <c r="V232" i="1"/>
  <c r="W232" i="1"/>
  <c r="S233" i="1"/>
  <c r="T233" i="1"/>
  <c r="U233" i="1"/>
  <c r="V233" i="1"/>
  <c r="W233" i="1"/>
  <c r="S228" i="1"/>
  <c r="T228" i="1"/>
  <c r="U228" i="1"/>
  <c r="V228" i="1"/>
  <c r="W228" i="1"/>
  <c r="S235" i="1"/>
  <c r="T235" i="1"/>
  <c r="U235" i="1"/>
  <c r="V235" i="1"/>
  <c r="W235" i="1"/>
  <c r="S234" i="1"/>
  <c r="T234" i="1"/>
  <c r="U234" i="1"/>
  <c r="V234" i="1"/>
  <c r="W234" i="1"/>
  <c r="S237" i="1"/>
  <c r="T237" i="1"/>
  <c r="U237" i="1"/>
  <c r="V237" i="1"/>
  <c r="W237" i="1"/>
  <c r="S238" i="1"/>
  <c r="T238" i="1"/>
  <c r="U238" i="1"/>
  <c r="V238" i="1"/>
  <c r="W238" i="1"/>
  <c r="S239" i="1"/>
  <c r="T239" i="1"/>
  <c r="U239" i="1"/>
  <c r="V239" i="1"/>
  <c r="W239" i="1"/>
  <c r="S240" i="1"/>
  <c r="T240" i="1"/>
  <c r="U240" i="1"/>
  <c r="V240" i="1"/>
  <c r="W240" i="1"/>
  <c r="S241" i="1"/>
  <c r="T241" i="1"/>
  <c r="U241" i="1"/>
  <c r="V241" i="1"/>
  <c r="W241" i="1"/>
  <c r="S242" i="1"/>
  <c r="T242" i="1"/>
  <c r="U242" i="1"/>
  <c r="V242" i="1"/>
  <c r="W242" i="1"/>
  <c r="S243" i="1"/>
  <c r="T243" i="1"/>
  <c r="U243" i="1"/>
  <c r="V243" i="1"/>
  <c r="W243" i="1"/>
  <c r="S244" i="1"/>
  <c r="T244" i="1"/>
  <c r="U244" i="1"/>
  <c r="V244" i="1"/>
  <c r="W244" i="1"/>
  <c r="S245" i="1"/>
  <c r="T245" i="1"/>
  <c r="U245" i="1"/>
  <c r="V245" i="1"/>
  <c r="W245" i="1"/>
  <c r="S246" i="1"/>
  <c r="T246" i="1"/>
  <c r="U246" i="1"/>
  <c r="V246" i="1"/>
  <c r="W246" i="1"/>
  <c r="S247" i="1"/>
  <c r="T247" i="1"/>
  <c r="U247" i="1"/>
  <c r="V247" i="1"/>
  <c r="W247" i="1"/>
  <c r="S248" i="1"/>
  <c r="T248" i="1"/>
  <c r="U248" i="1"/>
  <c r="V248" i="1"/>
  <c r="W248" i="1"/>
  <c r="S249" i="1"/>
  <c r="T249" i="1"/>
  <c r="U249" i="1"/>
  <c r="V249" i="1"/>
  <c r="W249" i="1"/>
  <c r="S250" i="1"/>
  <c r="T250" i="1"/>
  <c r="U250" i="1"/>
  <c r="V250" i="1"/>
  <c r="W250" i="1"/>
  <c r="S251" i="1"/>
  <c r="T251" i="1"/>
  <c r="U251" i="1"/>
  <c r="V251" i="1"/>
  <c r="W251" i="1"/>
  <c r="S252" i="1"/>
  <c r="T252" i="1"/>
  <c r="U252" i="1"/>
  <c r="V252" i="1"/>
  <c r="W252" i="1"/>
  <c r="S253" i="1"/>
  <c r="T253" i="1"/>
  <c r="U253" i="1"/>
  <c r="V253" i="1"/>
  <c r="W253" i="1"/>
  <c r="S254" i="1"/>
  <c r="T254" i="1"/>
  <c r="U254" i="1"/>
  <c r="V254" i="1"/>
  <c r="W254" i="1"/>
  <c r="S255" i="1"/>
  <c r="T255" i="1"/>
  <c r="U255" i="1"/>
  <c r="V255" i="1"/>
  <c r="W255" i="1"/>
  <c r="S256" i="1"/>
  <c r="T256" i="1"/>
  <c r="U256" i="1"/>
  <c r="V256" i="1"/>
  <c r="W256" i="1"/>
  <c r="S257" i="1"/>
  <c r="T257" i="1"/>
  <c r="U257" i="1"/>
  <c r="V257" i="1"/>
  <c r="W257" i="1"/>
  <c r="S258" i="1"/>
  <c r="T258" i="1"/>
  <c r="U258" i="1"/>
  <c r="V258" i="1"/>
  <c r="W258" i="1"/>
  <c r="S259" i="1"/>
  <c r="T259" i="1"/>
  <c r="U259" i="1"/>
  <c r="V259" i="1"/>
  <c r="W259" i="1"/>
  <c r="S260" i="1"/>
  <c r="T260" i="1"/>
  <c r="U260" i="1"/>
  <c r="V260" i="1"/>
  <c r="W260" i="1"/>
  <c r="S261" i="1"/>
  <c r="T261" i="1"/>
  <c r="U261" i="1"/>
  <c r="V261" i="1"/>
  <c r="W261" i="1"/>
  <c r="S262" i="1"/>
  <c r="T262" i="1"/>
  <c r="U262" i="1"/>
  <c r="V262" i="1"/>
  <c r="W262" i="1"/>
  <c r="S263" i="1"/>
  <c r="T263" i="1"/>
  <c r="U263" i="1"/>
  <c r="V263" i="1"/>
  <c r="W263" i="1"/>
  <c r="S264" i="1"/>
  <c r="T264" i="1"/>
  <c r="U264" i="1"/>
  <c r="V264" i="1"/>
  <c r="W264" i="1"/>
  <c r="S265" i="1"/>
  <c r="T265" i="1"/>
  <c r="U265" i="1"/>
  <c r="V265" i="1"/>
  <c r="W265" i="1"/>
  <c r="S266" i="1"/>
  <c r="T266" i="1"/>
  <c r="U266" i="1"/>
  <c r="V266" i="1"/>
  <c r="W266" i="1"/>
  <c r="S267" i="1"/>
  <c r="T267" i="1"/>
  <c r="U267" i="1"/>
  <c r="V267" i="1"/>
  <c r="W267" i="1"/>
  <c r="S268" i="1"/>
  <c r="T268" i="1"/>
  <c r="U268" i="1"/>
  <c r="V268" i="1"/>
  <c r="W268" i="1"/>
  <c r="S269" i="1"/>
  <c r="T269" i="1"/>
  <c r="U269" i="1"/>
  <c r="V269" i="1"/>
  <c r="W269" i="1"/>
  <c r="S270" i="1"/>
  <c r="T270" i="1"/>
  <c r="U270" i="1"/>
  <c r="V270" i="1"/>
  <c r="W270" i="1"/>
  <c r="S271" i="1"/>
  <c r="T271" i="1"/>
  <c r="U271" i="1"/>
  <c r="V271" i="1"/>
  <c r="W271" i="1"/>
  <c r="S272" i="1"/>
  <c r="T272" i="1"/>
  <c r="U272" i="1"/>
  <c r="V272" i="1"/>
  <c r="W272" i="1"/>
  <c r="S273" i="1"/>
  <c r="T273" i="1"/>
  <c r="U273" i="1"/>
  <c r="V273" i="1"/>
  <c r="W273" i="1"/>
  <c r="S274" i="1"/>
  <c r="T274" i="1"/>
  <c r="U274" i="1"/>
  <c r="V274" i="1"/>
  <c r="W274" i="1"/>
  <c r="S275" i="1"/>
  <c r="T275" i="1"/>
  <c r="U275" i="1"/>
  <c r="V275" i="1"/>
  <c r="W275" i="1"/>
  <c r="S276" i="1"/>
  <c r="T276" i="1"/>
  <c r="U276" i="1"/>
  <c r="V276" i="1"/>
  <c r="W276" i="1"/>
  <c r="S277" i="1"/>
  <c r="T277" i="1"/>
  <c r="U277" i="1"/>
  <c r="V277" i="1"/>
  <c r="W277" i="1"/>
  <c r="S278" i="1"/>
  <c r="T278" i="1"/>
  <c r="U278" i="1"/>
  <c r="V278" i="1"/>
  <c r="W278" i="1"/>
  <c r="S279" i="1"/>
  <c r="T279" i="1"/>
  <c r="U279" i="1"/>
  <c r="V279" i="1"/>
  <c r="W279" i="1"/>
  <c r="S280" i="1"/>
  <c r="T280" i="1"/>
  <c r="U280" i="1"/>
  <c r="V280" i="1"/>
  <c r="W280" i="1"/>
  <c r="S281" i="1"/>
  <c r="T281" i="1"/>
  <c r="U281" i="1"/>
  <c r="V281" i="1"/>
  <c r="W281" i="1"/>
  <c r="S282" i="1"/>
  <c r="T282" i="1"/>
  <c r="U282" i="1"/>
  <c r="V282" i="1"/>
  <c r="W282" i="1"/>
  <c r="S283" i="1"/>
  <c r="T283" i="1"/>
  <c r="U283" i="1"/>
  <c r="V283" i="1"/>
  <c r="W283" i="1"/>
  <c r="S284" i="1"/>
  <c r="T284" i="1"/>
  <c r="U284" i="1"/>
  <c r="V284" i="1"/>
  <c r="W284" i="1"/>
  <c r="S285" i="1"/>
  <c r="T285" i="1"/>
  <c r="U285" i="1"/>
  <c r="V285" i="1"/>
  <c r="W285" i="1"/>
  <c r="S286" i="1"/>
  <c r="T286" i="1"/>
  <c r="U286" i="1"/>
  <c r="V286" i="1"/>
  <c r="W286" i="1"/>
  <c r="S287" i="1"/>
  <c r="T287" i="1"/>
  <c r="U287" i="1"/>
  <c r="V287" i="1"/>
  <c r="W287" i="1"/>
  <c r="S288" i="1"/>
  <c r="T288" i="1"/>
  <c r="U288" i="1"/>
  <c r="V288" i="1"/>
  <c r="W288" i="1"/>
  <c r="S289" i="1"/>
  <c r="T289" i="1"/>
  <c r="U289" i="1"/>
  <c r="V289" i="1"/>
  <c r="W289" i="1"/>
  <c r="S290" i="1"/>
  <c r="T290" i="1"/>
  <c r="U290" i="1"/>
  <c r="V290" i="1"/>
  <c r="W290" i="1"/>
  <c r="S291" i="1"/>
  <c r="T291" i="1"/>
  <c r="U291" i="1"/>
  <c r="V291" i="1"/>
  <c r="W291" i="1"/>
  <c r="S292" i="1"/>
  <c r="T292" i="1"/>
  <c r="U292" i="1"/>
  <c r="V292" i="1"/>
  <c r="W292" i="1"/>
  <c r="S293" i="1"/>
  <c r="T293" i="1"/>
  <c r="U293" i="1"/>
  <c r="V293" i="1"/>
  <c r="W293" i="1"/>
  <c r="S294" i="1"/>
  <c r="T294" i="1"/>
  <c r="U294" i="1"/>
  <c r="V294" i="1"/>
  <c r="W294" i="1"/>
  <c r="S295" i="1"/>
  <c r="T295" i="1"/>
  <c r="U295" i="1"/>
  <c r="V295" i="1"/>
  <c r="W295" i="1"/>
  <c r="S296" i="1"/>
  <c r="T296" i="1"/>
  <c r="U296" i="1"/>
  <c r="V296" i="1"/>
  <c r="W296" i="1"/>
  <c r="S297" i="1"/>
  <c r="T297" i="1"/>
  <c r="U297" i="1"/>
  <c r="V297" i="1"/>
  <c r="W297" i="1"/>
  <c r="S298" i="1"/>
  <c r="T298" i="1"/>
  <c r="U298" i="1"/>
  <c r="V298" i="1"/>
  <c r="W298" i="1"/>
  <c r="S299" i="1"/>
  <c r="T299" i="1"/>
  <c r="U299" i="1"/>
  <c r="V299" i="1"/>
  <c r="W299" i="1"/>
  <c r="S300" i="1"/>
  <c r="T300" i="1"/>
  <c r="U300" i="1"/>
  <c r="V300" i="1"/>
  <c r="W300" i="1"/>
  <c r="S301" i="1"/>
  <c r="T301" i="1"/>
  <c r="U301" i="1"/>
  <c r="V301" i="1"/>
  <c r="W301" i="1"/>
  <c r="S302" i="1"/>
  <c r="T302" i="1"/>
  <c r="U302" i="1"/>
  <c r="V302" i="1"/>
  <c r="W302" i="1"/>
  <c r="S303" i="1"/>
  <c r="T303" i="1"/>
  <c r="U303" i="1"/>
  <c r="V303" i="1"/>
  <c r="W303" i="1"/>
  <c r="S304" i="1"/>
  <c r="T304" i="1"/>
  <c r="U304" i="1"/>
  <c r="V304" i="1"/>
  <c r="W304" i="1"/>
  <c r="S305" i="1"/>
  <c r="T305" i="1"/>
  <c r="U305" i="1"/>
  <c r="V305" i="1"/>
  <c r="W305" i="1"/>
  <c r="S306" i="1"/>
  <c r="T306" i="1"/>
  <c r="U306" i="1"/>
  <c r="V306" i="1"/>
  <c r="W306" i="1"/>
  <c r="S307" i="1"/>
  <c r="T307" i="1"/>
  <c r="U307" i="1"/>
  <c r="V307" i="1"/>
  <c r="W307" i="1"/>
  <c r="S308" i="1"/>
  <c r="T308" i="1"/>
  <c r="U308" i="1"/>
  <c r="V308" i="1"/>
  <c r="W308" i="1"/>
  <c r="S309" i="1"/>
  <c r="T309" i="1"/>
  <c r="U309" i="1"/>
  <c r="V309" i="1"/>
  <c r="W309" i="1"/>
  <c r="S310" i="1"/>
  <c r="T310" i="1"/>
  <c r="U310" i="1"/>
  <c r="V310" i="1"/>
  <c r="W310" i="1"/>
  <c r="S311" i="1"/>
  <c r="T311" i="1"/>
  <c r="U311" i="1"/>
  <c r="V311" i="1"/>
  <c r="W311" i="1"/>
  <c r="S312" i="1"/>
  <c r="T312" i="1"/>
  <c r="U312" i="1"/>
  <c r="V312" i="1"/>
  <c r="W312" i="1"/>
  <c r="S313" i="1"/>
  <c r="T313" i="1"/>
  <c r="U313" i="1"/>
  <c r="V313" i="1"/>
  <c r="W313" i="1"/>
  <c r="S314" i="1"/>
  <c r="T314" i="1"/>
  <c r="U314" i="1"/>
  <c r="V314" i="1"/>
  <c r="W314" i="1"/>
  <c r="S315" i="1"/>
  <c r="T315" i="1"/>
  <c r="U315" i="1"/>
  <c r="V315" i="1"/>
  <c r="W315" i="1"/>
  <c r="S316" i="1"/>
  <c r="T316" i="1"/>
  <c r="U316" i="1"/>
  <c r="V316" i="1"/>
  <c r="W316" i="1"/>
  <c r="S317" i="1"/>
  <c r="T317" i="1"/>
  <c r="U317" i="1"/>
  <c r="V317" i="1"/>
  <c r="W317" i="1"/>
  <c r="S318" i="1"/>
  <c r="T318" i="1"/>
  <c r="U318" i="1"/>
  <c r="V318" i="1"/>
  <c r="W318" i="1"/>
  <c r="S319" i="1"/>
  <c r="T319" i="1"/>
  <c r="U319" i="1"/>
  <c r="V319" i="1"/>
  <c r="W319" i="1"/>
  <c r="S320" i="1"/>
  <c r="T320" i="1"/>
  <c r="U320" i="1"/>
  <c r="V320" i="1"/>
  <c r="W320" i="1"/>
  <c r="S321" i="1"/>
  <c r="T321" i="1"/>
  <c r="U321" i="1"/>
  <c r="V321" i="1"/>
  <c r="W321" i="1"/>
  <c r="S322" i="1"/>
  <c r="T322" i="1"/>
  <c r="U322" i="1"/>
  <c r="V322" i="1"/>
  <c r="W322" i="1"/>
  <c r="S323" i="1"/>
  <c r="T323" i="1"/>
  <c r="U323" i="1"/>
  <c r="V323" i="1"/>
  <c r="W323" i="1"/>
  <c r="S324" i="1"/>
  <c r="T324" i="1"/>
  <c r="U324" i="1"/>
  <c r="V324" i="1"/>
  <c r="W324" i="1"/>
  <c r="S325" i="1"/>
  <c r="T325" i="1"/>
  <c r="U325" i="1"/>
  <c r="V325" i="1"/>
  <c r="W325" i="1"/>
  <c r="S326" i="1"/>
  <c r="T326" i="1"/>
  <c r="U326" i="1"/>
  <c r="V326" i="1"/>
  <c r="W326" i="1"/>
  <c r="S327" i="1"/>
  <c r="T327" i="1"/>
  <c r="U327" i="1"/>
  <c r="V327" i="1"/>
  <c r="W327" i="1"/>
  <c r="S328" i="1"/>
  <c r="T328" i="1"/>
  <c r="U328" i="1"/>
  <c r="V328" i="1"/>
  <c r="W328" i="1"/>
  <c r="S329" i="1"/>
  <c r="T329" i="1"/>
  <c r="U329" i="1"/>
  <c r="V329" i="1"/>
  <c r="W329" i="1"/>
  <c r="S330" i="1"/>
  <c r="T330" i="1"/>
  <c r="U330" i="1"/>
  <c r="V330" i="1"/>
  <c r="W330" i="1"/>
  <c r="S331" i="1"/>
  <c r="T331" i="1"/>
  <c r="U331" i="1"/>
  <c r="V331" i="1"/>
  <c r="W331" i="1"/>
  <c r="S332" i="1"/>
  <c r="T332" i="1"/>
  <c r="U332" i="1"/>
  <c r="V332" i="1"/>
  <c r="W332" i="1"/>
  <c r="S333" i="1"/>
  <c r="T333" i="1"/>
  <c r="U333" i="1"/>
  <c r="V333" i="1"/>
  <c r="W333" i="1"/>
  <c r="S334" i="1"/>
  <c r="T334" i="1"/>
  <c r="U334" i="1"/>
  <c r="V334" i="1"/>
  <c r="W334" i="1"/>
  <c r="S335" i="1"/>
  <c r="T335" i="1"/>
  <c r="U335" i="1"/>
  <c r="V335" i="1"/>
  <c r="W335" i="1"/>
  <c r="S336" i="1"/>
  <c r="T336" i="1"/>
  <c r="U336" i="1"/>
  <c r="V336" i="1"/>
  <c r="W336" i="1"/>
  <c r="S337" i="1"/>
  <c r="T337" i="1"/>
  <c r="U337" i="1"/>
  <c r="V337" i="1"/>
  <c r="W337" i="1"/>
  <c r="S338" i="1"/>
  <c r="T338" i="1"/>
  <c r="U338" i="1"/>
  <c r="V338" i="1"/>
  <c r="W338" i="1"/>
  <c r="S339" i="1"/>
  <c r="T339" i="1"/>
  <c r="U339" i="1"/>
  <c r="V339" i="1"/>
  <c r="W339" i="1"/>
  <c r="S340" i="1"/>
  <c r="T340" i="1"/>
  <c r="U340" i="1"/>
  <c r="V340" i="1"/>
  <c r="W340" i="1"/>
  <c r="S341" i="1"/>
  <c r="T341" i="1"/>
  <c r="U341" i="1"/>
  <c r="V341" i="1"/>
  <c r="W341" i="1"/>
  <c r="S342" i="1"/>
  <c r="T342" i="1"/>
  <c r="U342" i="1"/>
  <c r="V342" i="1"/>
  <c r="W342" i="1"/>
  <c r="S343" i="1"/>
  <c r="T343" i="1"/>
  <c r="U343" i="1"/>
  <c r="V343" i="1"/>
  <c r="W343" i="1"/>
  <c r="S344" i="1"/>
  <c r="T344" i="1"/>
  <c r="U344" i="1"/>
  <c r="V344" i="1"/>
  <c r="W344" i="1"/>
  <c r="S345" i="1"/>
  <c r="T345" i="1"/>
  <c r="U345" i="1"/>
  <c r="V345" i="1"/>
  <c r="W345" i="1"/>
  <c r="S346" i="1"/>
  <c r="T346" i="1"/>
  <c r="U346" i="1"/>
  <c r="V346" i="1"/>
  <c r="W346" i="1"/>
  <c r="S347" i="1"/>
  <c r="T347" i="1"/>
  <c r="U347" i="1"/>
  <c r="V347" i="1"/>
  <c r="W347" i="1"/>
  <c r="S348" i="1"/>
  <c r="T348" i="1"/>
  <c r="U348" i="1"/>
  <c r="V348" i="1"/>
  <c r="W348" i="1"/>
  <c r="S349" i="1"/>
  <c r="T349" i="1"/>
  <c r="U349" i="1"/>
  <c r="V349" i="1"/>
  <c r="W349" i="1"/>
  <c r="S350" i="1"/>
  <c r="T350" i="1"/>
  <c r="U350" i="1"/>
  <c r="V350" i="1"/>
  <c r="W350" i="1"/>
  <c r="S351" i="1"/>
  <c r="T351" i="1"/>
  <c r="U351" i="1"/>
  <c r="V351" i="1"/>
  <c r="W351" i="1"/>
  <c r="S352" i="1"/>
  <c r="T352" i="1"/>
  <c r="U352" i="1"/>
  <c r="V352" i="1"/>
  <c r="W352" i="1"/>
  <c r="S353" i="1"/>
  <c r="T353" i="1"/>
  <c r="U353" i="1"/>
  <c r="V353" i="1"/>
  <c r="W353" i="1"/>
  <c r="S354" i="1"/>
  <c r="T354" i="1"/>
  <c r="U354" i="1"/>
  <c r="V354" i="1"/>
  <c r="W354" i="1"/>
  <c r="S355" i="1"/>
  <c r="T355" i="1"/>
  <c r="U355" i="1"/>
  <c r="V355" i="1"/>
  <c r="W355" i="1"/>
  <c r="S356" i="1"/>
  <c r="T356" i="1"/>
  <c r="U356" i="1"/>
  <c r="V356" i="1"/>
  <c r="W356" i="1"/>
  <c r="S357" i="1"/>
  <c r="T357" i="1"/>
  <c r="U357" i="1"/>
  <c r="V357" i="1"/>
  <c r="W357" i="1"/>
  <c r="S358" i="1"/>
  <c r="T358" i="1"/>
  <c r="U358" i="1"/>
  <c r="V358" i="1"/>
  <c r="W358" i="1"/>
  <c r="S359" i="1"/>
  <c r="T359" i="1"/>
  <c r="U359" i="1"/>
  <c r="V359" i="1"/>
  <c r="W359" i="1"/>
  <c r="S360" i="1"/>
  <c r="T360" i="1"/>
  <c r="U360" i="1"/>
  <c r="V360" i="1"/>
  <c r="W360" i="1"/>
  <c r="S361" i="1"/>
  <c r="T361" i="1"/>
  <c r="U361" i="1"/>
  <c r="V361" i="1"/>
  <c r="W361" i="1"/>
  <c r="S362" i="1"/>
  <c r="T362" i="1"/>
  <c r="U362" i="1"/>
  <c r="V362" i="1"/>
  <c r="W362" i="1"/>
  <c r="S363" i="1"/>
  <c r="T363" i="1"/>
  <c r="U363" i="1"/>
  <c r="V363" i="1"/>
  <c r="W363" i="1"/>
  <c r="S364" i="1"/>
  <c r="T364" i="1"/>
  <c r="U364" i="1"/>
  <c r="V364" i="1"/>
  <c r="W364" i="1"/>
  <c r="S365" i="1"/>
  <c r="T365" i="1"/>
  <c r="U365" i="1"/>
  <c r="V365" i="1"/>
  <c r="W365" i="1"/>
  <c r="S366" i="1"/>
  <c r="T366" i="1"/>
  <c r="U366" i="1"/>
  <c r="V366" i="1"/>
  <c r="W366" i="1"/>
  <c r="S367" i="1"/>
  <c r="T367" i="1"/>
  <c r="U367" i="1"/>
  <c r="V367" i="1"/>
  <c r="W367" i="1"/>
  <c r="S368" i="1"/>
  <c r="T368" i="1"/>
  <c r="U368" i="1"/>
  <c r="V368" i="1"/>
  <c r="W368" i="1"/>
  <c r="S369" i="1"/>
  <c r="T369" i="1"/>
  <c r="U369" i="1"/>
  <c r="V369" i="1"/>
  <c r="W369" i="1"/>
  <c r="S370" i="1"/>
  <c r="T370" i="1"/>
  <c r="U370" i="1"/>
  <c r="V370" i="1"/>
  <c r="W370" i="1"/>
  <c r="S371" i="1"/>
  <c r="T371" i="1"/>
  <c r="U371" i="1"/>
  <c r="V371" i="1"/>
  <c r="W371" i="1"/>
  <c r="S372" i="1"/>
  <c r="T372" i="1"/>
  <c r="U372" i="1"/>
  <c r="V372" i="1"/>
  <c r="W372" i="1"/>
  <c r="S373" i="1"/>
  <c r="T373" i="1"/>
  <c r="U373" i="1"/>
  <c r="V373" i="1"/>
  <c r="W373" i="1"/>
  <c r="S374" i="1"/>
  <c r="T374" i="1"/>
  <c r="U374" i="1"/>
  <c r="V374" i="1"/>
  <c r="W374" i="1"/>
  <c r="S375" i="1"/>
  <c r="T375" i="1"/>
  <c r="U375" i="1"/>
  <c r="V375" i="1"/>
  <c r="W375" i="1"/>
  <c r="S376" i="1"/>
  <c r="T376" i="1"/>
  <c r="U376" i="1"/>
  <c r="V376" i="1"/>
  <c r="W376" i="1"/>
  <c r="S377" i="1"/>
  <c r="T377" i="1"/>
  <c r="U377" i="1"/>
  <c r="V377" i="1"/>
  <c r="W377" i="1"/>
  <c r="S378" i="1"/>
  <c r="T378" i="1"/>
  <c r="U378" i="1"/>
  <c r="V378" i="1"/>
  <c r="W378" i="1"/>
  <c r="S379" i="1"/>
  <c r="T379" i="1"/>
  <c r="U379" i="1"/>
  <c r="V379" i="1"/>
  <c r="W379" i="1"/>
  <c r="S380" i="1"/>
  <c r="T380" i="1"/>
  <c r="U380" i="1"/>
  <c r="V380" i="1"/>
  <c r="W380" i="1"/>
  <c r="S381" i="1"/>
  <c r="T381" i="1"/>
  <c r="U381" i="1"/>
  <c r="V381" i="1"/>
  <c r="W381" i="1"/>
  <c r="S382" i="1"/>
  <c r="T382" i="1"/>
  <c r="U382" i="1"/>
  <c r="V382" i="1"/>
  <c r="W382" i="1"/>
  <c r="S383" i="1"/>
  <c r="T383" i="1"/>
  <c r="U383" i="1"/>
  <c r="V383" i="1"/>
  <c r="W383" i="1"/>
  <c r="S384" i="1"/>
  <c r="T384" i="1"/>
  <c r="U384" i="1"/>
  <c r="V384" i="1"/>
  <c r="W384" i="1"/>
  <c r="S385" i="1"/>
  <c r="T385" i="1"/>
  <c r="U385" i="1"/>
  <c r="V385" i="1"/>
  <c r="W385" i="1"/>
  <c r="S386" i="1"/>
  <c r="T386" i="1"/>
  <c r="U386" i="1"/>
  <c r="V386" i="1"/>
  <c r="W386" i="1"/>
  <c r="S387" i="1"/>
  <c r="T387" i="1"/>
  <c r="U387" i="1"/>
  <c r="V387" i="1"/>
  <c r="W387" i="1"/>
  <c r="S388" i="1"/>
  <c r="T388" i="1"/>
  <c r="U388" i="1"/>
  <c r="V388" i="1"/>
  <c r="W388" i="1"/>
  <c r="S389" i="1"/>
  <c r="T389" i="1"/>
  <c r="U389" i="1"/>
  <c r="V389" i="1"/>
  <c r="W389" i="1"/>
  <c r="S390" i="1"/>
  <c r="T390" i="1"/>
  <c r="U390" i="1"/>
  <c r="V390" i="1"/>
  <c r="W390" i="1"/>
  <c r="S391" i="1"/>
  <c r="T391" i="1"/>
  <c r="U391" i="1"/>
  <c r="V391" i="1"/>
  <c r="W391" i="1"/>
  <c r="S392" i="1"/>
  <c r="T392" i="1"/>
  <c r="U392" i="1"/>
  <c r="V392" i="1"/>
  <c r="W392" i="1"/>
  <c r="S393" i="1"/>
  <c r="T393" i="1"/>
  <c r="U393" i="1"/>
  <c r="V393" i="1"/>
  <c r="W393" i="1"/>
  <c r="S394" i="1"/>
  <c r="T394" i="1"/>
  <c r="U394" i="1"/>
  <c r="V394" i="1"/>
  <c r="W394" i="1"/>
  <c r="S395" i="1"/>
  <c r="T395" i="1"/>
  <c r="U395" i="1"/>
  <c r="V395" i="1"/>
  <c r="W395" i="1"/>
  <c r="S396" i="1"/>
  <c r="T396" i="1"/>
  <c r="U396" i="1"/>
  <c r="V396" i="1"/>
  <c r="W396" i="1"/>
  <c r="S397" i="1"/>
  <c r="T397" i="1"/>
  <c r="U397" i="1"/>
  <c r="V397" i="1"/>
  <c r="W397" i="1"/>
  <c r="S398" i="1"/>
  <c r="T398" i="1"/>
  <c r="U398" i="1"/>
  <c r="V398" i="1"/>
  <c r="W398" i="1"/>
  <c r="S399" i="1"/>
  <c r="T399" i="1"/>
  <c r="U399" i="1"/>
  <c r="V399" i="1"/>
  <c r="W399" i="1"/>
  <c r="S400" i="1"/>
  <c r="T400" i="1"/>
  <c r="U400" i="1"/>
  <c r="V400" i="1"/>
  <c r="W400" i="1"/>
  <c r="S401" i="1"/>
  <c r="T401" i="1"/>
  <c r="U401" i="1"/>
  <c r="V401" i="1"/>
  <c r="W401" i="1"/>
  <c r="S402" i="1"/>
  <c r="T402" i="1"/>
  <c r="U402" i="1"/>
  <c r="V402" i="1"/>
  <c r="W402" i="1"/>
  <c r="S403" i="1"/>
  <c r="T403" i="1"/>
  <c r="U403" i="1"/>
  <c r="V403" i="1"/>
  <c r="W403" i="1"/>
  <c r="S404" i="1"/>
  <c r="T404" i="1"/>
  <c r="U404" i="1"/>
  <c r="V404" i="1"/>
  <c r="W404" i="1"/>
  <c r="S405" i="1"/>
  <c r="T405" i="1"/>
  <c r="U405" i="1"/>
  <c r="V405" i="1"/>
  <c r="W405" i="1"/>
  <c r="S406" i="1"/>
  <c r="T406" i="1"/>
  <c r="U406" i="1"/>
  <c r="V406" i="1"/>
  <c r="W406" i="1"/>
  <c r="S407" i="1"/>
  <c r="T407" i="1"/>
  <c r="U407" i="1"/>
  <c r="V407" i="1"/>
  <c r="W407" i="1"/>
  <c r="S408" i="1"/>
  <c r="T408" i="1"/>
  <c r="U408" i="1"/>
  <c r="V408" i="1"/>
  <c r="W408" i="1"/>
  <c r="S409" i="1"/>
  <c r="T409" i="1"/>
  <c r="U409" i="1"/>
  <c r="V409" i="1"/>
  <c r="W409" i="1"/>
  <c r="S410" i="1"/>
  <c r="T410" i="1"/>
  <c r="U410" i="1"/>
  <c r="V410" i="1"/>
  <c r="W410" i="1"/>
  <c r="S411" i="1"/>
  <c r="T411" i="1"/>
  <c r="U411" i="1"/>
  <c r="V411" i="1"/>
  <c r="W411" i="1"/>
  <c r="S412" i="1"/>
  <c r="T412" i="1"/>
  <c r="U412" i="1"/>
  <c r="V412" i="1"/>
  <c r="W412" i="1"/>
  <c r="S413" i="1"/>
  <c r="T413" i="1"/>
  <c r="U413" i="1"/>
  <c r="V413" i="1"/>
  <c r="W413" i="1"/>
  <c r="S414" i="1"/>
  <c r="T414" i="1"/>
  <c r="U414" i="1"/>
  <c r="V414" i="1"/>
  <c r="W414" i="1"/>
  <c r="S415" i="1"/>
  <c r="T415" i="1"/>
  <c r="U415" i="1"/>
  <c r="V415" i="1"/>
  <c r="W415" i="1"/>
  <c r="S416" i="1"/>
  <c r="T416" i="1"/>
  <c r="U416" i="1"/>
  <c r="V416" i="1"/>
  <c r="W416" i="1"/>
  <c r="S417" i="1"/>
  <c r="T417" i="1"/>
  <c r="U417" i="1"/>
  <c r="V417" i="1"/>
  <c r="W417" i="1"/>
  <c r="S418" i="1"/>
  <c r="T418" i="1"/>
  <c r="U418" i="1"/>
  <c r="V418" i="1"/>
  <c r="W418" i="1"/>
  <c r="S419" i="1"/>
  <c r="T419" i="1"/>
  <c r="U419" i="1"/>
  <c r="V419" i="1"/>
  <c r="W419" i="1"/>
  <c r="S420" i="1"/>
  <c r="T420" i="1"/>
  <c r="U420" i="1"/>
  <c r="V420" i="1"/>
  <c r="W420" i="1"/>
  <c r="S421" i="1"/>
  <c r="T421" i="1"/>
  <c r="U421" i="1"/>
  <c r="V421" i="1"/>
  <c r="W421" i="1"/>
  <c r="S422" i="1"/>
  <c r="T422" i="1"/>
  <c r="U422" i="1"/>
  <c r="V422" i="1"/>
  <c r="W422" i="1"/>
  <c r="S423" i="1"/>
  <c r="T423" i="1"/>
  <c r="U423" i="1"/>
  <c r="V423" i="1"/>
  <c r="W423" i="1"/>
  <c r="S424" i="1"/>
  <c r="T424" i="1"/>
  <c r="U424" i="1"/>
  <c r="V424" i="1"/>
  <c r="W424" i="1"/>
  <c r="S425" i="1"/>
  <c r="T425" i="1"/>
  <c r="U425" i="1"/>
  <c r="V425" i="1"/>
  <c r="W425" i="1"/>
  <c r="S426" i="1"/>
  <c r="T426" i="1"/>
  <c r="U426" i="1"/>
  <c r="V426" i="1"/>
  <c r="W426" i="1"/>
  <c r="S427" i="1"/>
  <c r="T427" i="1"/>
  <c r="U427" i="1"/>
  <c r="V427" i="1"/>
  <c r="W427" i="1"/>
  <c r="S428" i="1"/>
  <c r="T428" i="1"/>
  <c r="U428" i="1"/>
  <c r="V428" i="1"/>
  <c r="W428" i="1"/>
  <c r="S429" i="1"/>
  <c r="T429" i="1"/>
  <c r="U429" i="1"/>
  <c r="V429" i="1"/>
  <c r="W429" i="1"/>
  <c r="S430" i="1"/>
  <c r="T430" i="1"/>
  <c r="U430" i="1"/>
  <c r="V430" i="1"/>
  <c r="W430" i="1"/>
  <c r="S431" i="1"/>
  <c r="T431" i="1"/>
  <c r="U431" i="1"/>
  <c r="V431" i="1"/>
  <c r="W431" i="1"/>
  <c r="S432" i="1"/>
  <c r="T432" i="1"/>
  <c r="U432" i="1"/>
  <c r="V432" i="1"/>
  <c r="W432" i="1"/>
  <c r="S433" i="1"/>
  <c r="T433" i="1"/>
  <c r="U433" i="1"/>
  <c r="V433" i="1"/>
  <c r="W433" i="1"/>
  <c r="S434" i="1"/>
  <c r="T434" i="1"/>
  <c r="U434" i="1"/>
  <c r="V434" i="1"/>
  <c r="W434" i="1"/>
  <c r="S435" i="1"/>
  <c r="T435" i="1"/>
  <c r="U435" i="1"/>
  <c r="V435" i="1"/>
  <c r="W435" i="1"/>
  <c r="S436" i="1"/>
  <c r="T436" i="1"/>
  <c r="U436" i="1"/>
  <c r="V436" i="1"/>
  <c r="W436" i="1"/>
  <c r="S437" i="1"/>
  <c r="T437" i="1"/>
  <c r="U437" i="1"/>
  <c r="V437" i="1"/>
  <c r="W437" i="1"/>
  <c r="S438" i="1"/>
  <c r="T438" i="1"/>
  <c r="U438" i="1"/>
  <c r="V438" i="1"/>
  <c r="W438" i="1"/>
  <c r="S439" i="1"/>
  <c r="T439" i="1"/>
  <c r="U439" i="1"/>
  <c r="V439" i="1"/>
  <c r="W439" i="1"/>
  <c r="S440" i="1"/>
  <c r="T440" i="1"/>
  <c r="U440" i="1"/>
  <c r="V440" i="1"/>
  <c r="W440" i="1"/>
  <c r="S441" i="1"/>
  <c r="T441" i="1"/>
  <c r="U441" i="1"/>
  <c r="V441" i="1"/>
  <c r="W441" i="1"/>
  <c r="S442" i="1"/>
  <c r="T442" i="1"/>
  <c r="U442" i="1"/>
  <c r="V442" i="1"/>
  <c r="W442" i="1"/>
  <c r="S443" i="1"/>
  <c r="T443" i="1"/>
  <c r="U443" i="1"/>
  <c r="V443" i="1"/>
  <c r="W443" i="1"/>
  <c r="S444" i="1"/>
  <c r="T444" i="1"/>
  <c r="U444" i="1"/>
  <c r="V444" i="1"/>
  <c r="W444" i="1"/>
  <c r="S445" i="1"/>
  <c r="T445" i="1"/>
  <c r="U445" i="1"/>
  <c r="V445" i="1"/>
  <c r="W445" i="1"/>
  <c r="S446" i="1"/>
  <c r="T446" i="1"/>
  <c r="U446" i="1"/>
  <c r="V446" i="1"/>
  <c r="W446" i="1"/>
  <c r="S447" i="1"/>
  <c r="T447" i="1"/>
  <c r="U447" i="1"/>
  <c r="V447" i="1"/>
  <c r="W447" i="1"/>
  <c r="S448" i="1"/>
  <c r="T448" i="1"/>
  <c r="U448" i="1"/>
  <c r="V448" i="1"/>
  <c r="W448" i="1"/>
  <c r="S449" i="1"/>
  <c r="T449" i="1"/>
  <c r="U449" i="1"/>
  <c r="V449" i="1"/>
  <c r="W449" i="1"/>
  <c r="S450" i="1"/>
  <c r="T450" i="1"/>
  <c r="U450" i="1"/>
  <c r="V450" i="1"/>
  <c r="W450" i="1"/>
  <c r="S451" i="1"/>
  <c r="T451" i="1"/>
  <c r="U451" i="1"/>
  <c r="V451" i="1"/>
  <c r="W451" i="1"/>
  <c r="S452" i="1"/>
  <c r="T452" i="1"/>
  <c r="U452" i="1"/>
  <c r="V452" i="1"/>
  <c r="W452" i="1"/>
  <c r="S453" i="1"/>
  <c r="T453" i="1"/>
  <c r="U453" i="1"/>
  <c r="V453" i="1"/>
  <c r="W453" i="1"/>
  <c r="S454" i="1"/>
  <c r="T454" i="1"/>
  <c r="U454" i="1"/>
  <c r="V454" i="1"/>
  <c r="W454" i="1"/>
  <c r="S455" i="1"/>
  <c r="T455" i="1"/>
  <c r="U455" i="1"/>
  <c r="V455" i="1"/>
  <c r="W455" i="1"/>
  <c r="S456" i="1"/>
  <c r="T456" i="1"/>
  <c r="U456" i="1"/>
  <c r="V456" i="1"/>
  <c r="W456" i="1"/>
  <c r="S457" i="1"/>
  <c r="T457" i="1"/>
  <c r="U457" i="1"/>
  <c r="V457" i="1"/>
  <c r="W457" i="1"/>
  <c r="S458" i="1"/>
  <c r="T458" i="1"/>
  <c r="U458" i="1"/>
  <c r="V458" i="1"/>
  <c r="W458" i="1"/>
  <c r="S459" i="1"/>
  <c r="T459" i="1"/>
  <c r="U459" i="1"/>
  <c r="V459" i="1"/>
  <c r="W459" i="1"/>
  <c r="S460" i="1"/>
  <c r="T460" i="1"/>
  <c r="U460" i="1"/>
  <c r="V460" i="1"/>
  <c r="W460" i="1"/>
  <c r="S461" i="1"/>
  <c r="T461" i="1"/>
  <c r="U461" i="1"/>
  <c r="V461" i="1"/>
  <c r="W461" i="1"/>
  <c r="S462" i="1"/>
  <c r="T462" i="1"/>
  <c r="U462" i="1"/>
  <c r="V462" i="1"/>
  <c r="W462" i="1"/>
  <c r="S463" i="1"/>
  <c r="T463" i="1"/>
  <c r="U463" i="1"/>
  <c r="V463" i="1"/>
  <c r="W463" i="1"/>
  <c r="S464" i="1"/>
  <c r="T464" i="1"/>
  <c r="U464" i="1"/>
  <c r="V464" i="1"/>
  <c r="W464" i="1"/>
  <c r="S465" i="1"/>
  <c r="T465" i="1"/>
  <c r="U465" i="1"/>
  <c r="V465" i="1"/>
  <c r="W465" i="1"/>
  <c r="S466" i="1"/>
  <c r="T466" i="1"/>
  <c r="U466" i="1"/>
  <c r="V466" i="1"/>
  <c r="W466" i="1"/>
  <c r="S467" i="1"/>
  <c r="T467" i="1"/>
  <c r="U467" i="1"/>
  <c r="V467" i="1"/>
  <c r="W467" i="1"/>
  <c r="S468" i="1"/>
  <c r="T468" i="1"/>
  <c r="U468" i="1"/>
  <c r="V468" i="1"/>
  <c r="W468" i="1"/>
  <c r="S469" i="1"/>
  <c r="T469" i="1"/>
  <c r="U469" i="1"/>
  <c r="V469" i="1"/>
  <c r="W469" i="1"/>
  <c r="S470" i="1"/>
  <c r="T470" i="1"/>
  <c r="U470" i="1"/>
  <c r="V470" i="1"/>
  <c r="W470" i="1"/>
  <c r="S471" i="1"/>
  <c r="T471" i="1"/>
  <c r="U471" i="1"/>
  <c r="V471" i="1"/>
  <c r="W471" i="1"/>
  <c r="S472" i="1"/>
  <c r="T472" i="1"/>
  <c r="U472" i="1"/>
  <c r="V472" i="1"/>
  <c r="W472" i="1"/>
  <c r="S473" i="1"/>
  <c r="T473" i="1"/>
  <c r="U473" i="1"/>
  <c r="V473" i="1"/>
  <c r="W473" i="1"/>
  <c r="S474" i="1"/>
  <c r="T474" i="1"/>
  <c r="U474" i="1"/>
  <c r="V474" i="1"/>
  <c r="W474" i="1"/>
  <c r="S475" i="1"/>
  <c r="T475" i="1"/>
  <c r="U475" i="1"/>
  <c r="V475" i="1"/>
  <c r="W475" i="1"/>
  <c r="S476" i="1"/>
  <c r="T476" i="1"/>
  <c r="U476" i="1"/>
  <c r="V476" i="1"/>
  <c r="W476" i="1"/>
  <c r="S477" i="1"/>
  <c r="T477" i="1"/>
  <c r="U477" i="1"/>
  <c r="V477" i="1"/>
  <c r="W477" i="1"/>
  <c r="S478" i="1"/>
  <c r="T478" i="1"/>
  <c r="U478" i="1"/>
  <c r="V478" i="1"/>
  <c r="W478" i="1"/>
  <c r="S479" i="1"/>
  <c r="T479" i="1"/>
  <c r="U479" i="1"/>
  <c r="V479" i="1"/>
  <c r="W479" i="1"/>
  <c r="S480" i="1"/>
  <c r="T480" i="1"/>
  <c r="U480" i="1"/>
  <c r="V480" i="1"/>
  <c r="W480" i="1"/>
  <c r="S481" i="1"/>
  <c r="T481" i="1"/>
  <c r="U481" i="1"/>
  <c r="V481" i="1"/>
  <c r="W481" i="1"/>
  <c r="S482" i="1"/>
  <c r="T482" i="1"/>
  <c r="U482" i="1"/>
  <c r="V482" i="1"/>
  <c r="W482" i="1"/>
  <c r="S483" i="1"/>
  <c r="T483" i="1"/>
  <c r="U483" i="1"/>
  <c r="V483" i="1"/>
  <c r="W483" i="1"/>
  <c r="S484" i="1"/>
  <c r="T484" i="1"/>
  <c r="U484" i="1"/>
  <c r="V484" i="1"/>
  <c r="W484" i="1"/>
  <c r="S485" i="1"/>
  <c r="T485" i="1"/>
  <c r="U485" i="1"/>
  <c r="V485" i="1"/>
  <c r="W485" i="1"/>
  <c r="S486" i="1"/>
  <c r="T486" i="1"/>
  <c r="U486" i="1"/>
  <c r="V486" i="1"/>
  <c r="W486" i="1"/>
  <c r="S487" i="1"/>
  <c r="T487" i="1"/>
  <c r="U487" i="1"/>
  <c r="V487" i="1"/>
  <c r="W487" i="1"/>
  <c r="S488" i="1"/>
  <c r="T488" i="1"/>
  <c r="U488" i="1"/>
  <c r="V488" i="1"/>
  <c r="W488" i="1"/>
  <c r="S489" i="1"/>
  <c r="T489" i="1"/>
  <c r="U489" i="1"/>
  <c r="V489" i="1"/>
  <c r="W489" i="1"/>
  <c r="S490" i="1"/>
  <c r="T490" i="1"/>
  <c r="U490" i="1"/>
  <c r="V490" i="1"/>
  <c r="W490" i="1"/>
  <c r="S491" i="1"/>
  <c r="T491" i="1"/>
  <c r="U491" i="1"/>
  <c r="V491" i="1"/>
  <c r="W491" i="1"/>
  <c r="S492" i="1"/>
  <c r="T492" i="1"/>
  <c r="U492" i="1"/>
  <c r="V492" i="1"/>
  <c r="W492" i="1"/>
  <c r="S493" i="1"/>
  <c r="T493" i="1"/>
  <c r="U493" i="1"/>
  <c r="V493" i="1"/>
  <c r="W493" i="1"/>
  <c r="S494" i="1"/>
  <c r="T494" i="1"/>
  <c r="U494" i="1"/>
  <c r="V494" i="1"/>
  <c r="W494" i="1"/>
  <c r="S495" i="1"/>
  <c r="T495" i="1"/>
  <c r="U495" i="1"/>
  <c r="V495" i="1"/>
  <c r="W495" i="1"/>
  <c r="S496" i="1"/>
  <c r="T496" i="1"/>
  <c r="U496" i="1"/>
  <c r="V496" i="1"/>
  <c r="W496" i="1"/>
  <c r="S497" i="1"/>
  <c r="T497" i="1"/>
  <c r="U497" i="1"/>
  <c r="V497" i="1"/>
  <c r="W497" i="1"/>
  <c r="S498" i="1"/>
  <c r="T498" i="1"/>
  <c r="U498" i="1"/>
  <c r="V498" i="1"/>
  <c r="W498" i="1"/>
  <c r="S499" i="1"/>
  <c r="T499" i="1"/>
  <c r="U499" i="1"/>
  <c r="V499" i="1"/>
  <c r="W499" i="1"/>
  <c r="S500" i="1"/>
  <c r="T500" i="1"/>
  <c r="U500" i="1"/>
  <c r="V500" i="1"/>
  <c r="W500" i="1"/>
  <c r="S501" i="1"/>
  <c r="T501" i="1"/>
  <c r="U501" i="1"/>
  <c r="V501" i="1"/>
  <c r="W501" i="1"/>
  <c r="S502" i="1"/>
  <c r="T502" i="1"/>
  <c r="U502" i="1"/>
  <c r="V502" i="1"/>
  <c r="W502" i="1"/>
  <c r="S503" i="1"/>
  <c r="T503" i="1"/>
  <c r="U503" i="1"/>
  <c r="V503" i="1"/>
  <c r="W503" i="1"/>
  <c r="S504" i="1"/>
  <c r="T504" i="1"/>
  <c r="U504" i="1"/>
  <c r="V504" i="1"/>
  <c r="W504" i="1"/>
  <c r="S505" i="1"/>
  <c r="T505" i="1"/>
  <c r="U505" i="1"/>
  <c r="V505" i="1"/>
  <c r="W505" i="1"/>
  <c r="S506" i="1"/>
  <c r="T506" i="1"/>
  <c r="U506" i="1"/>
  <c r="V506" i="1"/>
  <c r="W506" i="1"/>
  <c r="S507" i="1"/>
  <c r="T507" i="1"/>
  <c r="U507" i="1"/>
  <c r="V507" i="1"/>
  <c r="W507" i="1"/>
  <c r="S508" i="1"/>
  <c r="T508" i="1"/>
  <c r="U508" i="1"/>
  <c r="V508" i="1"/>
  <c r="W508" i="1"/>
  <c r="S509" i="1"/>
  <c r="T509" i="1"/>
  <c r="U509" i="1"/>
  <c r="V509" i="1"/>
  <c r="W509" i="1"/>
  <c r="S510" i="1"/>
  <c r="T510" i="1"/>
  <c r="U510" i="1"/>
  <c r="V510" i="1"/>
  <c r="W510" i="1"/>
  <c r="S511" i="1"/>
  <c r="T511" i="1"/>
  <c r="U511" i="1"/>
  <c r="V511" i="1"/>
  <c r="W511" i="1"/>
  <c r="S512" i="1"/>
  <c r="T512" i="1"/>
  <c r="U512" i="1"/>
  <c r="V512" i="1"/>
  <c r="W512" i="1"/>
  <c r="S513" i="1"/>
  <c r="T513" i="1"/>
  <c r="U513" i="1"/>
  <c r="V513" i="1"/>
  <c r="W513" i="1"/>
  <c r="S514" i="1"/>
  <c r="T514" i="1"/>
  <c r="U514" i="1"/>
  <c r="V514" i="1"/>
  <c r="W514" i="1"/>
  <c r="S515" i="1"/>
  <c r="T515" i="1"/>
  <c r="U515" i="1"/>
  <c r="V515" i="1"/>
  <c r="W515" i="1"/>
  <c r="S516" i="1"/>
  <c r="T516" i="1"/>
  <c r="U516" i="1"/>
  <c r="V516" i="1"/>
  <c r="W516" i="1"/>
  <c r="S517" i="1"/>
  <c r="T517" i="1"/>
  <c r="U517" i="1"/>
  <c r="V517" i="1"/>
  <c r="W517" i="1"/>
  <c r="S518" i="1"/>
  <c r="T518" i="1"/>
  <c r="U518" i="1"/>
  <c r="V518" i="1"/>
  <c r="W518" i="1"/>
  <c r="S519" i="1"/>
  <c r="T519" i="1"/>
  <c r="U519" i="1"/>
  <c r="V519" i="1"/>
  <c r="W519" i="1"/>
  <c r="S520" i="1"/>
  <c r="T520" i="1"/>
  <c r="U520" i="1"/>
  <c r="V520" i="1"/>
  <c r="W520" i="1"/>
  <c r="S521" i="1"/>
  <c r="T521" i="1"/>
  <c r="U521" i="1"/>
  <c r="V521" i="1"/>
  <c r="W521" i="1"/>
  <c r="S522" i="1"/>
  <c r="T522" i="1"/>
  <c r="U522" i="1"/>
  <c r="V522" i="1"/>
  <c r="W522" i="1"/>
  <c r="S523" i="1"/>
  <c r="T523" i="1"/>
  <c r="U523" i="1"/>
  <c r="V523" i="1"/>
  <c r="W523" i="1"/>
  <c r="S524" i="1"/>
  <c r="T524" i="1"/>
  <c r="U524" i="1"/>
  <c r="V524" i="1"/>
  <c r="W524" i="1"/>
  <c r="S525" i="1"/>
  <c r="T525" i="1"/>
  <c r="U525" i="1"/>
  <c r="V525" i="1"/>
  <c r="W525" i="1"/>
  <c r="S526" i="1"/>
  <c r="T526" i="1"/>
  <c r="U526" i="1"/>
  <c r="V526" i="1"/>
  <c r="W526" i="1"/>
  <c r="S527" i="1"/>
  <c r="T527" i="1"/>
  <c r="U527" i="1"/>
  <c r="V527" i="1"/>
  <c r="W527" i="1"/>
  <c r="S528" i="1"/>
  <c r="T528" i="1"/>
  <c r="U528" i="1"/>
  <c r="V528" i="1"/>
  <c r="W528" i="1"/>
  <c r="S529" i="1"/>
  <c r="T529" i="1"/>
  <c r="U529" i="1"/>
  <c r="V529" i="1"/>
  <c r="W529" i="1"/>
  <c r="S530" i="1"/>
  <c r="T530" i="1"/>
  <c r="U530" i="1"/>
  <c r="V530" i="1"/>
  <c r="W530" i="1"/>
  <c r="S531" i="1"/>
  <c r="T531" i="1"/>
  <c r="U531" i="1"/>
  <c r="V531" i="1"/>
  <c r="W531" i="1"/>
  <c r="S532" i="1"/>
  <c r="T532" i="1"/>
  <c r="U532" i="1"/>
  <c r="V532" i="1"/>
  <c r="W532" i="1"/>
  <c r="S533" i="1"/>
  <c r="T533" i="1"/>
  <c r="U533" i="1"/>
  <c r="V533" i="1"/>
  <c r="W533" i="1"/>
  <c r="S534" i="1"/>
  <c r="T534" i="1"/>
  <c r="U534" i="1"/>
  <c r="V534" i="1"/>
  <c r="W534" i="1"/>
  <c r="S535" i="1"/>
  <c r="T535" i="1"/>
  <c r="U535" i="1"/>
  <c r="V535" i="1"/>
  <c r="W535" i="1"/>
  <c r="S536" i="1"/>
  <c r="T536" i="1"/>
  <c r="U536" i="1"/>
  <c r="V536" i="1"/>
  <c r="W536" i="1"/>
  <c r="S537" i="1"/>
  <c r="T537" i="1"/>
  <c r="U537" i="1"/>
  <c r="V537" i="1"/>
  <c r="W537" i="1"/>
  <c r="S538" i="1"/>
  <c r="T538" i="1"/>
  <c r="U538" i="1"/>
  <c r="V538" i="1"/>
  <c r="W538" i="1"/>
  <c r="S539" i="1"/>
  <c r="T539" i="1"/>
  <c r="U539" i="1"/>
  <c r="V539" i="1"/>
  <c r="W539" i="1"/>
  <c r="S540" i="1"/>
  <c r="T540" i="1"/>
  <c r="U540" i="1"/>
  <c r="V540" i="1"/>
  <c r="W540" i="1"/>
  <c r="S541" i="1"/>
  <c r="T541" i="1"/>
  <c r="U541" i="1"/>
  <c r="V541" i="1"/>
  <c r="W541" i="1"/>
  <c r="S542" i="1"/>
  <c r="T542" i="1"/>
  <c r="U542" i="1"/>
  <c r="V542" i="1"/>
  <c r="W542" i="1"/>
  <c r="S543" i="1"/>
  <c r="T543" i="1"/>
  <c r="U543" i="1"/>
  <c r="V543" i="1"/>
  <c r="W543" i="1"/>
  <c r="S544" i="1"/>
  <c r="T544" i="1"/>
  <c r="U544" i="1"/>
  <c r="V544" i="1"/>
  <c r="W544" i="1"/>
  <c r="S545" i="1"/>
  <c r="T545" i="1"/>
  <c r="U545" i="1"/>
  <c r="V545" i="1"/>
  <c r="W545" i="1"/>
  <c r="S546" i="1"/>
  <c r="T546" i="1"/>
  <c r="U546" i="1"/>
  <c r="V546" i="1"/>
  <c r="W546" i="1"/>
  <c r="S547" i="1"/>
  <c r="T547" i="1"/>
  <c r="U547" i="1"/>
  <c r="V547" i="1"/>
  <c r="W547" i="1"/>
  <c r="S548" i="1"/>
  <c r="T548" i="1"/>
  <c r="U548" i="1"/>
  <c r="V548" i="1"/>
  <c r="W548" i="1"/>
  <c r="S549" i="1"/>
  <c r="T549" i="1"/>
  <c r="U549" i="1"/>
  <c r="V549" i="1"/>
  <c r="W549" i="1"/>
  <c r="S550" i="1"/>
  <c r="T550" i="1"/>
  <c r="U550" i="1"/>
  <c r="V550" i="1"/>
  <c r="W550" i="1"/>
  <c r="S551" i="1"/>
  <c r="T551" i="1"/>
  <c r="U551" i="1"/>
  <c r="V551" i="1"/>
  <c r="W551" i="1"/>
  <c r="S552" i="1"/>
  <c r="T552" i="1"/>
  <c r="U552" i="1"/>
  <c r="V552" i="1"/>
  <c r="W552" i="1"/>
  <c r="S553" i="1"/>
  <c r="T553" i="1"/>
  <c r="U553" i="1"/>
  <c r="V553" i="1"/>
  <c r="W553" i="1"/>
  <c r="S554" i="1"/>
  <c r="T554" i="1"/>
  <c r="U554" i="1"/>
  <c r="V554" i="1"/>
  <c r="W554" i="1"/>
  <c r="S555" i="1"/>
  <c r="T555" i="1"/>
  <c r="U555" i="1"/>
  <c r="V555" i="1"/>
  <c r="W555" i="1"/>
  <c r="S556" i="1"/>
  <c r="T556" i="1"/>
  <c r="U556" i="1"/>
  <c r="V556" i="1"/>
  <c r="W556" i="1"/>
  <c r="S557" i="1"/>
  <c r="T557" i="1"/>
  <c r="U557" i="1"/>
  <c r="V557" i="1"/>
  <c r="W557" i="1"/>
  <c r="S558" i="1"/>
  <c r="T558" i="1"/>
  <c r="U558" i="1"/>
  <c r="V558" i="1"/>
  <c r="W558" i="1"/>
  <c r="S559" i="1"/>
  <c r="T559" i="1"/>
  <c r="U559" i="1"/>
  <c r="V559" i="1"/>
  <c r="W559" i="1"/>
  <c r="S560" i="1"/>
  <c r="T560" i="1"/>
  <c r="U560" i="1"/>
  <c r="V560" i="1"/>
  <c r="W560" i="1"/>
  <c r="S561" i="1"/>
  <c r="T561" i="1"/>
  <c r="U561" i="1"/>
  <c r="V561" i="1"/>
  <c r="W561" i="1"/>
  <c r="S562" i="1"/>
  <c r="T562" i="1"/>
  <c r="U562" i="1"/>
  <c r="V562" i="1"/>
  <c r="W562" i="1"/>
  <c r="S563" i="1"/>
  <c r="T563" i="1"/>
  <c r="U563" i="1"/>
  <c r="V563" i="1"/>
  <c r="W563" i="1"/>
  <c r="S564" i="1"/>
  <c r="T564" i="1"/>
  <c r="U564" i="1"/>
  <c r="V564" i="1"/>
  <c r="W564" i="1"/>
  <c r="S565" i="1"/>
  <c r="T565" i="1"/>
  <c r="U565" i="1"/>
  <c r="V565" i="1"/>
  <c r="W565" i="1"/>
  <c r="S566" i="1"/>
  <c r="T566" i="1"/>
  <c r="U566" i="1"/>
  <c r="V566" i="1"/>
  <c r="W566" i="1"/>
  <c r="S567" i="1"/>
  <c r="T567" i="1"/>
  <c r="U567" i="1"/>
  <c r="V567" i="1"/>
  <c r="W567" i="1"/>
  <c r="S568" i="1"/>
  <c r="T568" i="1"/>
  <c r="U568" i="1"/>
  <c r="V568" i="1"/>
  <c r="W568" i="1"/>
  <c r="S569" i="1"/>
  <c r="T569" i="1"/>
  <c r="U569" i="1"/>
  <c r="V569" i="1"/>
  <c r="W569" i="1"/>
  <c r="S570" i="1"/>
  <c r="T570" i="1"/>
  <c r="U570" i="1"/>
  <c r="V570" i="1"/>
  <c r="W570" i="1"/>
  <c r="S571" i="1"/>
  <c r="T571" i="1"/>
  <c r="U571" i="1"/>
  <c r="V571" i="1"/>
  <c r="W571" i="1"/>
  <c r="S572" i="1"/>
  <c r="T572" i="1"/>
  <c r="U572" i="1"/>
  <c r="V572" i="1"/>
  <c r="W572" i="1"/>
  <c r="S573" i="1"/>
  <c r="T573" i="1"/>
  <c r="U573" i="1"/>
  <c r="V573" i="1"/>
  <c r="W573" i="1"/>
  <c r="S574" i="1"/>
  <c r="T574" i="1"/>
  <c r="U574" i="1"/>
  <c r="V574" i="1"/>
  <c r="W574" i="1"/>
  <c r="S575" i="1"/>
  <c r="T575" i="1"/>
  <c r="U575" i="1"/>
  <c r="V575" i="1"/>
  <c r="W575" i="1"/>
  <c r="S576" i="1"/>
  <c r="T576" i="1"/>
  <c r="U576" i="1"/>
  <c r="V576" i="1"/>
  <c r="W576" i="1"/>
  <c r="S577" i="1"/>
  <c r="T577" i="1"/>
  <c r="U577" i="1"/>
  <c r="V577" i="1"/>
  <c r="W577" i="1"/>
  <c r="S578" i="1"/>
  <c r="T578" i="1"/>
  <c r="U578" i="1"/>
  <c r="V578" i="1"/>
  <c r="W578" i="1"/>
  <c r="S579" i="1"/>
  <c r="T579" i="1"/>
  <c r="U579" i="1"/>
  <c r="V579" i="1"/>
  <c r="W579" i="1"/>
  <c r="S580" i="1"/>
  <c r="T580" i="1"/>
  <c r="U580" i="1"/>
  <c r="V580" i="1"/>
  <c r="W580" i="1"/>
  <c r="S581" i="1"/>
  <c r="T581" i="1"/>
  <c r="U581" i="1"/>
  <c r="V581" i="1"/>
  <c r="W581" i="1"/>
  <c r="S582" i="1"/>
  <c r="T582" i="1"/>
  <c r="U582" i="1"/>
  <c r="V582" i="1"/>
  <c r="W582" i="1"/>
  <c r="S583" i="1"/>
  <c r="T583" i="1"/>
  <c r="U583" i="1"/>
  <c r="V583" i="1"/>
  <c r="W583" i="1"/>
  <c r="S584" i="1"/>
  <c r="T584" i="1"/>
  <c r="U584" i="1"/>
  <c r="V584" i="1"/>
  <c r="W584" i="1"/>
  <c r="S585" i="1"/>
  <c r="T585" i="1"/>
  <c r="U585" i="1"/>
  <c r="V585" i="1"/>
  <c r="W585" i="1"/>
  <c r="S586" i="1"/>
  <c r="T586" i="1"/>
  <c r="U586" i="1"/>
  <c r="V586" i="1"/>
  <c r="W586" i="1"/>
  <c r="S587" i="1"/>
  <c r="T587" i="1"/>
  <c r="U587" i="1"/>
  <c r="V587" i="1"/>
  <c r="W587" i="1"/>
  <c r="S588" i="1"/>
  <c r="T588" i="1"/>
  <c r="U588" i="1"/>
  <c r="V588" i="1"/>
  <c r="W588" i="1"/>
  <c r="S589" i="1"/>
  <c r="T589" i="1"/>
  <c r="U589" i="1"/>
  <c r="V589" i="1"/>
  <c r="W589" i="1"/>
  <c r="S590" i="1"/>
  <c r="T590" i="1"/>
  <c r="U590" i="1"/>
  <c r="V590" i="1"/>
  <c r="W590" i="1"/>
  <c r="S591" i="1"/>
  <c r="T591" i="1"/>
  <c r="U591" i="1"/>
  <c r="V591" i="1"/>
  <c r="W591" i="1"/>
  <c r="S592" i="1"/>
  <c r="T592" i="1"/>
  <c r="U592" i="1"/>
  <c r="V592" i="1"/>
  <c r="W592" i="1"/>
  <c r="S593" i="1"/>
  <c r="T593" i="1"/>
  <c r="U593" i="1"/>
  <c r="V593" i="1"/>
  <c r="W593" i="1"/>
  <c r="S594" i="1"/>
  <c r="T594" i="1"/>
  <c r="U594" i="1"/>
  <c r="V594" i="1"/>
  <c r="W594" i="1"/>
  <c r="S595" i="1"/>
  <c r="T595" i="1"/>
  <c r="U595" i="1"/>
  <c r="V595" i="1"/>
  <c r="W595" i="1"/>
  <c r="S596" i="1"/>
  <c r="T596" i="1"/>
  <c r="U596" i="1"/>
  <c r="V596" i="1"/>
  <c r="W596" i="1"/>
  <c r="S597" i="1"/>
  <c r="T597" i="1"/>
  <c r="U597" i="1"/>
  <c r="V597" i="1"/>
  <c r="W597" i="1"/>
  <c r="S598" i="1"/>
  <c r="T598" i="1"/>
  <c r="U598" i="1"/>
  <c r="V598" i="1"/>
  <c r="W598" i="1"/>
  <c r="S599" i="1"/>
  <c r="T599" i="1"/>
  <c r="U599" i="1"/>
  <c r="V599" i="1"/>
  <c r="W599" i="1"/>
  <c r="S600" i="1"/>
  <c r="T600" i="1"/>
  <c r="U600" i="1"/>
  <c r="V600" i="1"/>
  <c r="W600" i="1"/>
  <c r="S601" i="1"/>
  <c r="T601" i="1"/>
  <c r="U601" i="1"/>
  <c r="V601" i="1"/>
  <c r="W601" i="1"/>
  <c r="S602" i="1"/>
  <c r="T602" i="1"/>
  <c r="U602" i="1"/>
  <c r="V602" i="1"/>
  <c r="W602" i="1"/>
  <c r="S603" i="1"/>
  <c r="T603" i="1"/>
  <c r="U603" i="1"/>
  <c r="V603" i="1"/>
  <c r="W603" i="1"/>
  <c r="S604" i="1"/>
  <c r="T604" i="1"/>
  <c r="U604" i="1"/>
  <c r="V604" i="1"/>
  <c r="W604" i="1"/>
  <c r="S605" i="1"/>
  <c r="T605" i="1"/>
  <c r="U605" i="1"/>
  <c r="V605" i="1"/>
  <c r="W605" i="1"/>
  <c r="S606" i="1"/>
  <c r="T606" i="1"/>
  <c r="U606" i="1"/>
  <c r="V606" i="1"/>
  <c r="W606" i="1"/>
  <c r="S607" i="1"/>
  <c r="T607" i="1"/>
  <c r="U607" i="1"/>
  <c r="V607" i="1"/>
  <c r="W607" i="1"/>
  <c r="S696" i="1"/>
  <c r="T696" i="1"/>
  <c r="U696" i="1"/>
  <c r="V696" i="1"/>
  <c r="W696" i="1"/>
  <c r="S609" i="1"/>
  <c r="T609" i="1"/>
  <c r="U609" i="1"/>
  <c r="V609" i="1"/>
  <c r="W609" i="1"/>
  <c r="S610" i="1"/>
  <c r="T610" i="1"/>
  <c r="U610" i="1"/>
  <c r="V610" i="1"/>
  <c r="W610" i="1"/>
  <c r="S611" i="1"/>
  <c r="T611" i="1"/>
  <c r="U611" i="1"/>
  <c r="V611" i="1"/>
  <c r="W611" i="1"/>
  <c r="S612" i="1"/>
  <c r="T612" i="1"/>
  <c r="U612" i="1"/>
  <c r="V612" i="1"/>
  <c r="W612" i="1"/>
  <c r="S613" i="1"/>
  <c r="T613" i="1"/>
  <c r="U613" i="1"/>
  <c r="V613" i="1"/>
  <c r="W613" i="1"/>
  <c r="S614" i="1"/>
  <c r="T614" i="1"/>
  <c r="U614" i="1"/>
  <c r="V614" i="1"/>
  <c r="W614" i="1"/>
  <c r="S615" i="1"/>
  <c r="T615" i="1"/>
  <c r="U615" i="1"/>
  <c r="V615" i="1"/>
  <c r="W615" i="1"/>
  <c r="S616" i="1"/>
  <c r="T616" i="1"/>
  <c r="U616" i="1"/>
  <c r="V616" i="1"/>
  <c r="W616" i="1"/>
  <c r="S617" i="1"/>
  <c r="T617" i="1"/>
  <c r="U617" i="1"/>
  <c r="V617" i="1"/>
  <c r="W617" i="1"/>
  <c r="S618" i="1"/>
  <c r="T618" i="1"/>
  <c r="U618" i="1"/>
  <c r="V618" i="1"/>
  <c r="W618" i="1"/>
  <c r="S619" i="1"/>
  <c r="T619" i="1"/>
  <c r="U619" i="1"/>
  <c r="V619" i="1"/>
  <c r="W619" i="1"/>
  <c r="S620" i="1"/>
  <c r="T620" i="1"/>
  <c r="U620" i="1"/>
  <c r="V620" i="1"/>
  <c r="W620" i="1"/>
  <c r="S621" i="1"/>
  <c r="T621" i="1"/>
  <c r="U621" i="1"/>
  <c r="V621" i="1"/>
  <c r="W621" i="1"/>
  <c r="S622" i="1"/>
  <c r="T622" i="1"/>
  <c r="U622" i="1"/>
  <c r="V622" i="1"/>
  <c r="W622" i="1"/>
  <c r="S623" i="1"/>
  <c r="T623" i="1"/>
  <c r="U623" i="1"/>
  <c r="V623" i="1"/>
  <c r="W623" i="1"/>
  <c r="S624" i="1"/>
  <c r="T624" i="1"/>
  <c r="U624" i="1"/>
  <c r="V624" i="1"/>
  <c r="W624" i="1"/>
  <c r="S625" i="1"/>
  <c r="T625" i="1"/>
  <c r="U625" i="1"/>
  <c r="V625" i="1"/>
  <c r="W625" i="1"/>
  <c r="S626" i="1"/>
  <c r="T626" i="1"/>
  <c r="U626" i="1"/>
  <c r="V626" i="1"/>
  <c r="W626" i="1"/>
  <c r="S627" i="1"/>
  <c r="T627" i="1"/>
  <c r="U627" i="1"/>
  <c r="V627" i="1"/>
  <c r="W627" i="1"/>
  <c r="S628" i="1"/>
  <c r="T628" i="1"/>
  <c r="U628" i="1"/>
  <c r="V628" i="1"/>
  <c r="W628" i="1"/>
  <c r="S629" i="1"/>
  <c r="T629" i="1"/>
  <c r="U629" i="1"/>
  <c r="V629" i="1"/>
  <c r="W629" i="1"/>
  <c r="S630" i="1"/>
  <c r="T630" i="1"/>
  <c r="U630" i="1"/>
  <c r="V630" i="1"/>
  <c r="W630" i="1"/>
  <c r="S631" i="1"/>
  <c r="T631" i="1"/>
  <c r="U631" i="1"/>
  <c r="V631" i="1"/>
  <c r="W631" i="1"/>
  <c r="S632" i="1"/>
  <c r="T632" i="1"/>
  <c r="U632" i="1"/>
  <c r="V632" i="1"/>
  <c r="W632" i="1"/>
  <c r="S633" i="1"/>
  <c r="T633" i="1"/>
  <c r="U633" i="1"/>
  <c r="V633" i="1"/>
  <c r="W633" i="1"/>
  <c r="S634" i="1"/>
  <c r="T634" i="1"/>
  <c r="U634" i="1"/>
  <c r="V634" i="1"/>
  <c r="W634" i="1"/>
  <c r="S635" i="1"/>
  <c r="T635" i="1"/>
  <c r="U635" i="1"/>
  <c r="V635" i="1"/>
  <c r="W635" i="1"/>
  <c r="S636" i="1"/>
  <c r="T636" i="1"/>
  <c r="U636" i="1"/>
  <c r="V636" i="1"/>
  <c r="W636" i="1"/>
  <c r="S637" i="1"/>
  <c r="T637" i="1"/>
  <c r="U637" i="1"/>
  <c r="V637" i="1"/>
  <c r="W637" i="1"/>
  <c r="S638" i="1"/>
  <c r="T638" i="1"/>
  <c r="U638" i="1"/>
  <c r="V638" i="1"/>
  <c r="W638" i="1"/>
  <c r="S639" i="1"/>
  <c r="T639" i="1"/>
  <c r="U639" i="1"/>
  <c r="V639" i="1"/>
  <c r="W639" i="1"/>
  <c r="S640" i="1"/>
  <c r="T640" i="1"/>
  <c r="U640" i="1"/>
  <c r="V640" i="1"/>
  <c r="W640" i="1"/>
  <c r="S641" i="1"/>
  <c r="T641" i="1"/>
  <c r="U641" i="1"/>
  <c r="V641" i="1"/>
  <c r="W641" i="1"/>
  <c r="S642" i="1"/>
  <c r="T642" i="1"/>
  <c r="U642" i="1"/>
  <c r="V642" i="1"/>
  <c r="W642" i="1"/>
  <c r="S643" i="1"/>
  <c r="T643" i="1"/>
  <c r="U643" i="1"/>
  <c r="V643" i="1"/>
  <c r="W643" i="1"/>
  <c r="S644" i="1"/>
  <c r="T644" i="1"/>
  <c r="U644" i="1"/>
  <c r="V644" i="1"/>
  <c r="W644" i="1"/>
  <c r="S645" i="1"/>
  <c r="T645" i="1"/>
  <c r="U645" i="1"/>
  <c r="V645" i="1"/>
  <c r="W645" i="1"/>
  <c r="S646" i="1"/>
  <c r="T646" i="1"/>
  <c r="U646" i="1"/>
  <c r="V646" i="1"/>
  <c r="W646" i="1"/>
  <c r="S647" i="1"/>
  <c r="T647" i="1"/>
  <c r="U647" i="1"/>
  <c r="V647" i="1"/>
  <c r="W647" i="1"/>
  <c r="S648" i="1"/>
  <c r="T648" i="1"/>
  <c r="U648" i="1"/>
  <c r="V648" i="1"/>
  <c r="W648" i="1"/>
  <c r="S649" i="1"/>
  <c r="T649" i="1"/>
  <c r="U649" i="1"/>
  <c r="V649" i="1"/>
  <c r="W649" i="1"/>
  <c r="S650" i="1"/>
  <c r="T650" i="1"/>
  <c r="U650" i="1"/>
  <c r="V650" i="1"/>
  <c r="W650" i="1"/>
  <c r="S653" i="1"/>
  <c r="T653" i="1"/>
  <c r="U653" i="1"/>
  <c r="V653" i="1"/>
  <c r="W653" i="1"/>
  <c r="S654" i="1"/>
  <c r="T654" i="1"/>
  <c r="U654" i="1"/>
  <c r="V654" i="1"/>
  <c r="W654" i="1"/>
  <c r="S655" i="1"/>
  <c r="T655" i="1"/>
  <c r="U655" i="1"/>
  <c r="V655" i="1"/>
  <c r="W655" i="1"/>
  <c r="S656" i="1"/>
  <c r="T656" i="1"/>
  <c r="U656" i="1"/>
  <c r="V656" i="1"/>
  <c r="W656" i="1"/>
  <c r="S657" i="1"/>
  <c r="T657" i="1"/>
  <c r="U657" i="1"/>
  <c r="V657" i="1"/>
  <c r="W657" i="1"/>
  <c r="S658" i="1"/>
  <c r="T658" i="1"/>
  <c r="U658" i="1"/>
  <c r="V658" i="1"/>
  <c r="W658" i="1"/>
  <c r="S659" i="1"/>
  <c r="T659" i="1"/>
  <c r="U659" i="1"/>
  <c r="V659" i="1"/>
  <c r="W659" i="1"/>
  <c r="S660" i="1"/>
  <c r="T660" i="1"/>
  <c r="U660" i="1"/>
  <c r="V660" i="1"/>
  <c r="W660" i="1"/>
  <c r="S661" i="1"/>
  <c r="T661" i="1"/>
  <c r="U661" i="1"/>
  <c r="V661" i="1"/>
  <c r="W661" i="1"/>
  <c r="S662" i="1"/>
  <c r="T662" i="1"/>
  <c r="U662" i="1"/>
  <c r="V662" i="1"/>
  <c r="W662" i="1"/>
  <c r="S663" i="1"/>
  <c r="T663" i="1"/>
  <c r="U663" i="1"/>
  <c r="V663" i="1"/>
  <c r="W663" i="1"/>
  <c r="S664" i="1"/>
  <c r="T664" i="1"/>
  <c r="U664" i="1"/>
  <c r="V664" i="1"/>
  <c r="W664" i="1"/>
  <c r="S665" i="1"/>
  <c r="T665" i="1"/>
  <c r="U665" i="1"/>
  <c r="V665" i="1"/>
  <c r="W665" i="1"/>
  <c r="S666" i="1"/>
  <c r="T666" i="1"/>
  <c r="U666" i="1"/>
  <c r="V666" i="1"/>
  <c r="W666" i="1"/>
  <c r="S667" i="1"/>
  <c r="T667" i="1"/>
  <c r="U667" i="1"/>
  <c r="V667" i="1"/>
  <c r="W667" i="1"/>
  <c r="S668" i="1"/>
  <c r="T668" i="1"/>
  <c r="U668" i="1"/>
  <c r="V668" i="1"/>
  <c r="W668" i="1"/>
  <c r="S669" i="1"/>
  <c r="T669" i="1"/>
  <c r="U669" i="1"/>
  <c r="V669" i="1"/>
  <c r="W669" i="1"/>
  <c r="S670" i="1"/>
  <c r="T670" i="1"/>
  <c r="U670" i="1"/>
  <c r="V670" i="1"/>
  <c r="W670" i="1"/>
  <c r="S671" i="1"/>
  <c r="T671" i="1"/>
  <c r="U671" i="1"/>
  <c r="V671" i="1"/>
  <c r="W671" i="1"/>
  <c r="S672" i="1"/>
  <c r="T672" i="1"/>
  <c r="U672" i="1"/>
  <c r="V672" i="1"/>
  <c r="W672" i="1"/>
  <c r="S673" i="1"/>
  <c r="T673" i="1"/>
  <c r="U673" i="1"/>
  <c r="V673" i="1"/>
  <c r="W673" i="1"/>
  <c r="S674" i="1"/>
  <c r="T674" i="1"/>
  <c r="U674" i="1"/>
  <c r="V674" i="1"/>
  <c r="W674" i="1"/>
  <c r="S679" i="1"/>
  <c r="T679" i="1"/>
  <c r="U679" i="1"/>
  <c r="V679" i="1"/>
  <c r="W679" i="1"/>
  <c r="S676" i="1"/>
  <c r="T676" i="1"/>
  <c r="U676" i="1"/>
  <c r="V676" i="1"/>
  <c r="W676" i="1"/>
  <c r="S677" i="1"/>
  <c r="T677" i="1"/>
  <c r="U677" i="1"/>
  <c r="V677" i="1"/>
  <c r="W677" i="1"/>
  <c r="S678" i="1"/>
  <c r="T678" i="1"/>
  <c r="U678" i="1"/>
  <c r="V678" i="1"/>
  <c r="W678" i="1"/>
  <c r="S608" i="1"/>
  <c r="T608" i="1"/>
  <c r="U608" i="1"/>
  <c r="V608" i="1"/>
  <c r="W608" i="1"/>
  <c r="S675" i="1"/>
  <c r="T675" i="1"/>
  <c r="U675" i="1"/>
  <c r="V675" i="1"/>
  <c r="W675" i="1"/>
  <c r="S681" i="1"/>
  <c r="T681" i="1"/>
  <c r="U681" i="1"/>
  <c r="V681" i="1"/>
  <c r="W681" i="1"/>
  <c r="S682" i="1"/>
  <c r="T682" i="1"/>
  <c r="U682" i="1"/>
  <c r="V682" i="1"/>
  <c r="W682" i="1"/>
  <c r="S683" i="1"/>
  <c r="T683" i="1"/>
  <c r="U683" i="1"/>
  <c r="V683" i="1"/>
  <c r="W683" i="1"/>
  <c r="S684" i="1"/>
  <c r="T684" i="1"/>
  <c r="U684" i="1"/>
  <c r="V684" i="1"/>
  <c r="W684" i="1"/>
  <c r="S685" i="1"/>
  <c r="T685" i="1"/>
  <c r="U685" i="1"/>
  <c r="V685" i="1"/>
  <c r="W685" i="1"/>
  <c r="S680" i="1"/>
  <c r="T680" i="1"/>
  <c r="U680" i="1"/>
  <c r="V680" i="1"/>
  <c r="W680" i="1"/>
  <c r="S687" i="1"/>
  <c r="T687" i="1"/>
  <c r="U687" i="1"/>
  <c r="V687" i="1"/>
  <c r="W687" i="1"/>
  <c r="S688" i="1"/>
  <c r="T688" i="1"/>
  <c r="U688" i="1"/>
  <c r="V688" i="1"/>
  <c r="W688" i="1"/>
  <c r="S689" i="1"/>
  <c r="T689" i="1"/>
  <c r="U689" i="1"/>
  <c r="V689" i="1"/>
  <c r="W689" i="1"/>
  <c r="S690" i="1"/>
  <c r="T690" i="1"/>
  <c r="U690" i="1"/>
  <c r="V690" i="1"/>
  <c r="W690" i="1"/>
  <c r="S691" i="1"/>
  <c r="T691" i="1"/>
  <c r="U691" i="1"/>
  <c r="V691" i="1"/>
  <c r="W691" i="1"/>
  <c r="S692" i="1"/>
  <c r="T692" i="1"/>
  <c r="U692" i="1"/>
  <c r="V692" i="1"/>
  <c r="W692" i="1"/>
  <c r="S693" i="1"/>
  <c r="T693" i="1"/>
  <c r="U693" i="1"/>
  <c r="V693" i="1"/>
  <c r="W693" i="1"/>
  <c r="S694" i="1"/>
  <c r="T694" i="1"/>
  <c r="U694" i="1"/>
  <c r="V694" i="1"/>
  <c r="W694" i="1"/>
  <c r="S695" i="1"/>
  <c r="T695" i="1"/>
  <c r="U695" i="1"/>
  <c r="V695" i="1"/>
  <c r="W695" i="1"/>
  <c r="S686" i="1"/>
  <c r="T686" i="1"/>
  <c r="U686" i="1"/>
  <c r="V686" i="1"/>
  <c r="W686" i="1"/>
  <c r="S697" i="1"/>
  <c r="T697" i="1"/>
  <c r="U697" i="1"/>
  <c r="V697" i="1"/>
  <c r="W697" i="1"/>
  <c r="S741" i="1"/>
  <c r="T741" i="1"/>
  <c r="U741" i="1"/>
  <c r="V741" i="1"/>
  <c r="W741" i="1"/>
  <c r="S699" i="1"/>
  <c r="T699" i="1"/>
  <c r="U699" i="1"/>
  <c r="V699" i="1"/>
  <c r="W699" i="1"/>
  <c r="S700" i="1"/>
  <c r="T700" i="1"/>
  <c r="U700" i="1"/>
  <c r="V700" i="1"/>
  <c r="W700" i="1"/>
  <c r="S701" i="1"/>
  <c r="T701" i="1"/>
  <c r="U701" i="1"/>
  <c r="V701" i="1"/>
  <c r="W701" i="1"/>
  <c r="S702" i="1"/>
  <c r="T702" i="1"/>
  <c r="U702" i="1"/>
  <c r="V702" i="1"/>
  <c r="W702" i="1"/>
  <c r="S1252" i="1"/>
  <c r="T1252" i="1"/>
  <c r="U1252" i="1"/>
  <c r="V1252" i="1"/>
  <c r="W1252" i="1"/>
  <c r="S704" i="1"/>
  <c r="T704" i="1"/>
  <c r="U704" i="1"/>
  <c r="V704" i="1"/>
  <c r="W704" i="1"/>
  <c r="S705" i="1"/>
  <c r="T705" i="1"/>
  <c r="U705" i="1"/>
  <c r="V705" i="1"/>
  <c r="W705" i="1"/>
  <c r="S706" i="1"/>
  <c r="T706" i="1"/>
  <c r="U706" i="1"/>
  <c r="V706" i="1"/>
  <c r="W706" i="1"/>
  <c r="S707" i="1"/>
  <c r="T707" i="1"/>
  <c r="U707" i="1"/>
  <c r="V707" i="1"/>
  <c r="W707" i="1"/>
  <c r="S708" i="1"/>
  <c r="T708" i="1"/>
  <c r="U708" i="1"/>
  <c r="V708" i="1"/>
  <c r="W708" i="1"/>
  <c r="S709" i="1"/>
  <c r="T709" i="1"/>
  <c r="U709" i="1"/>
  <c r="V709" i="1"/>
  <c r="W709" i="1"/>
  <c r="S710" i="1"/>
  <c r="T710" i="1"/>
  <c r="U710" i="1"/>
  <c r="V710" i="1"/>
  <c r="W710" i="1"/>
  <c r="S711" i="1"/>
  <c r="T711" i="1"/>
  <c r="U711" i="1"/>
  <c r="V711" i="1"/>
  <c r="W711" i="1"/>
  <c r="S712" i="1"/>
  <c r="T712" i="1"/>
  <c r="U712" i="1"/>
  <c r="V712" i="1"/>
  <c r="W712" i="1"/>
  <c r="S713" i="1"/>
  <c r="T713" i="1"/>
  <c r="U713" i="1"/>
  <c r="V713" i="1"/>
  <c r="W713" i="1"/>
  <c r="S714" i="1"/>
  <c r="T714" i="1"/>
  <c r="U714" i="1"/>
  <c r="V714" i="1"/>
  <c r="W714" i="1"/>
  <c r="S715" i="1"/>
  <c r="T715" i="1"/>
  <c r="U715" i="1"/>
  <c r="V715" i="1"/>
  <c r="W715" i="1"/>
  <c r="S716" i="1"/>
  <c r="T716" i="1"/>
  <c r="U716" i="1"/>
  <c r="V716" i="1"/>
  <c r="W716" i="1"/>
  <c r="S717" i="1"/>
  <c r="T717" i="1"/>
  <c r="U717" i="1"/>
  <c r="V717" i="1"/>
  <c r="W717" i="1"/>
  <c r="S718" i="1"/>
  <c r="T718" i="1"/>
  <c r="U718" i="1"/>
  <c r="V718" i="1"/>
  <c r="W718" i="1"/>
  <c r="S719" i="1"/>
  <c r="T719" i="1"/>
  <c r="U719" i="1"/>
  <c r="V719" i="1"/>
  <c r="W719" i="1"/>
  <c r="S720" i="1"/>
  <c r="T720" i="1"/>
  <c r="U720" i="1"/>
  <c r="V720" i="1"/>
  <c r="W720" i="1"/>
  <c r="S721" i="1"/>
  <c r="T721" i="1"/>
  <c r="U721" i="1"/>
  <c r="V721" i="1"/>
  <c r="W721" i="1"/>
  <c r="S722" i="1"/>
  <c r="T722" i="1"/>
  <c r="U722" i="1"/>
  <c r="V722" i="1"/>
  <c r="W722" i="1"/>
  <c r="S723" i="1"/>
  <c r="T723" i="1"/>
  <c r="U723" i="1"/>
  <c r="V723" i="1"/>
  <c r="W723" i="1"/>
  <c r="S724" i="1"/>
  <c r="T724" i="1"/>
  <c r="U724" i="1"/>
  <c r="V724" i="1"/>
  <c r="W724" i="1"/>
  <c r="S725" i="1"/>
  <c r="T725" i="1"/>
  <c r="U725" i="1"/>
  <c r="V725" i="1"/>
  <c r="W725" i="1"/>
  <c r="S726" i="1"/>
  <c r="T726" i="1"/>
  <c r="U726" i="1"/>
  <c r="V726" i="1"/>
  <c r="W726" i="1"/>
  <c r="S727" i="1"/>
  <c r="T727" i="1"/>
  <c r="U727" i="1"/>
  <c r="V727" i="1"/>
  <c r="W727" i="1"/>
  <c r="S728" i="1"/>
  <c r="T728" i="1"/>
  <c r="U728" i="1"/>
  <c r="V728" i="1"/>
  <c r="W728" i="1"/>
  <c r="S698" i="1"/>
  <c r="T698" i="1"/>
  <c r="U698" i="1"/>
  <c r="V698" i="1"/>
  <c r="W698" i="1"/>
  <c r="S729" i="1"/>
  <c r="T729" i="1"/>
  <c r="U729" i="1"/>
  <c r="V729" i="1"/>
  <c r="W729" i="1"/>
  <c r="S731" i="1"/>
  <c r="T731" i="1"/>
  <c r="U731" i="1"/>
  <c r="V731" i="1"/>
  <c r="W731" i="1"/>
  <c r="S732" i="1"/>
  <c r="T732" i="1"/>
  <c r="U732" i="1"/>
  <c r="V732" i="1"/>
  <c r="W732" i="1"/>
  <c r="S733" i="1"/>
  <c r="T733" i="1"/>
  <c r="U733" i="1"/>
  <c r="V733" i="1"/>
  <c r="W733" i="1"/>
  <c r="S734" i="1"/>
  <c r="T734" i="1"/>
  <c r="U734" i="1"/>
  <c r="V734" i="1"/>
  <c r="W734" i="1"/>
  <c r="S735" i="1"/>
  <c r="T735" i="1"/>
  <c r="U735" i="1"/>
  <c r="V735" i="1"/>
  <c r="W735" i="1"/>
  <c r="S736" i="1"/>
  <c r="T736" i="1"/>
  <c r="U736" i="1"/>
  <c r="V736" i="1"/>
  <c r="W736" i="1"/>
  <c r="S737" i="1"/>
  <c r="T737" i="1"/>
  <c r="U737" i="1"/>
  <c r="V737" i="1"/>
  <c r="W737" i="1"/>
  <c r="S738" i="1"/>
  <c r="T738" i="1"/>
  <c r="U738" i="1"/>
  <c r="V738" i="1"/>
  <c r="W738" i="1"/>
  <c r="S739" i="1"/>
  <c r="T739" i="1"/>
  <c r="U739" i="1"/>
  <c r="V739" i="1"/>
  <c r="W739" i="1"/>
  <c r="S740" i="1"/>
  <c r="T740" i="1"/>
  <c r="U740" i="1"/>
  <c r="V740" i="1"/>
  <c r="W740" i="1"/>
  <c r="S730" i="1"/>
  <c r="T730" i="1"/>
  <c r="U730" i="1"/>
  <c r="V730" i="1"/>
  <c r="W730" i="1"/>
  <c r="S742" i="1"/>
  <c r="T742" i="1"/>
  <c r="U742" i="1"/>
  <c r="V742" i="1"/>
  <c r="W742" i="1"/>
  <c r="S743" i="1"/>
  <c r="T743" i="1"/>
  <c r="U743" i="1"/>
  <c r="V743" i="1"/>
  <c r="W743" i="1"/>
  <c r="S744" i="1"/>
  <c r="T744" i="1"/>
  <c r="U744" i="1"/>
  <c r="V744" i="1"/>
  <c r="W744" i="1"/>
  <c r="S745" i="1"/>
  <c r="T745" i="1"/>
  <c r="U745" i="1"/>
  <c r="V745" i="1"/>
  <c r="W745" i="1"/>
  <c r="S746" i="1"/>
  <c r="T746" i="1"/>
  <c r="U746" i="1"/>
  <c r="V746" i="1"/>
  <c r="W746" i="1"/>
  <c r="S747" i="1"/>
  <c r="T747" i="1"/>
  <c r="U747" i="1"/>
  <c r="V747" i="1"/>
  <c r="W747" i="1"/>
  <c r="S748" i="1"/>
  <c r="T748" i="1"/>
  <c r="U748" i="1"/>
  <c r="V748" i="1"/>
  <c r="W748" i="1"/>
  <c r="S749" i="1"/>
  <c r="T749" i="1"/>
  <c r="U749" i="1"/>
  <c r="V749" i="1"/>
  <c r="W749" i="1"/>
  <c r="S750" i="1"/>
  <c r="T750" i="1"/>
  <c r="U750" i="1"/>
  <c r="V750" i="1"/>
  <c r="W750" i="1"/>
  <c r="S757" i="1"/>
  <c r="T757" i="1"/>
  <c r="U757" i="1"/>
  <c r="V757" i="1"/>
  <c r="W757" i="1"/>
  <c r="S752" i="1"/>
  <c r="T752" i="1"/>
  <c r="U752" i="1"/>
  <c r="V752" i="1"/>
  <c r="W752" i="1"/>
  <c r="S753" i="1"/>
  <c r="T753" i="1"/>
  <c r="U753" i="1"/>
  <c r="V753" i="1"/>
  <c r="W753" i="1"/>
  <c r="S754" i="1"/>
  <c r="T754" i="1"/>
  <c r="U754" i="1"/>
  <c r="V754" i="1"/>
  <c r="W754" i="1"/>
  <c r="S755" i="1"/>
  <c r="T755" i="1"/>
  <c r="U755" i="1"/>
  <c r="V755" i="1"/>
  <c r="W755" i="1"/>
  <c r="S756" i="1"/>
  <c r="T756" i="1"/>
  <c r="U756" i="1"/>
  <c r="V756" i="1"/>
  <c r="W756" i="1"/>
  <c r="S751" i="1"/>
  <c r="T751" i="1"/>
  <c r="U751" i="1"/>
  <c r="V751" i="1"/>
  <c r="W751" i="1"/>
  <c r="S758" i="1"/>
  <c r="T758" i="1"/>
  <c r="U758" i="1"/>
  <c r="V758" i="1"/>
  <c r="W758" i="1"/>
  <c r="S759" i="1"/>
  <c r="T759" i="1"/>
  <c r="U759" i="1"/>
  <c r="V759" i="1"/>
  <c r="W759" i="1"/>
  <c r="S1253" i="1"/>
  <c r="T1253" i="1"/>
  <c r="U1253" i="1"/>
  <c r="V1253" i="1"/>
  <c r="W1253" i="1"/>
  <c r="S761" i="1"/>
  <c r="T761" i="1"/>
  <c r="U761" i="1"/>
  <c r="V761" i="1"/>
  <c r="W761" i="1"/>
  <c r="S762" i="1"/>
  <c r="T762" i="1"/>
  <c r="U762" i="1"/>
  <c r="V762" i="1"/>
  <c r="W762" i="1"/>
  <c r="S763" i="1"/>
  <c r="T763" i="1"/>
  <c r="U763" i="1"/>
  <c r="V763" i="1"/>
  <c r="W763" i="1"/>
  <c r="S764" i="1"/>
  <c r="T764" i="1"/>
  <c r="U764" i="1"/>
  <c r="V764" i="1"/>
  <c r="W764" i="1"/>
  <c r="S765" i="1"/>
  <c r="T765" i="1"/>
  <c r="U765" i="1"/>
  <c r="V765" i="1"/>
  <c r="W765" i="1"/>
  <c r="S766" i="1"/>
  <c r="T766" i="1"/>
  <c r="U766" i="1"/>
  <c r="V766" i="1"/>
  <c r="W766" i="1"/>
  <c r="S703" i="1"/>
  <c r="T703" i="1"/>
  <c r="U703" i="1"/>
  <c r="V703" i="1"/>
  <c r="W703" i="1"/>
  <c r="S768" i="1"/>
  <c r="T768" i="1"/>
  <c r="U768" i="1"/>
  <c r="V768" i="1"/>
  <c r="W768" i="1"/>
  <c r="S769" i="1"/>
  <c r="T769" i="1"/>
  <c r="U769" i="1"/>
  <c r="V769" i="1"/>
  <c r="W769" i="1"/>
  <c r="S770" i="1"/>
  <c r="T770" i="1"/>
  <c r="U770" i="1"/>
  <c r="V770" i="1"/>
  <c r="W770" i="1"/>
  <c r="S771" i="1"/>
  <c r="T771" i="1"/>
  <c r="U771" i="1"/>
  <c r="V771" i="1"/>
  <c r="W771" i="1"/>
  <c r="S772" i="1"/>
  <c r="T772" i="1"/>
  <c r="U772" i="1"/>
  <c r="V772" i="1"/>
  <c r="W772" i="1"/>
  <c r="S773" i="1"/>
  <c r="T773" i="1"/>
  <c r="U773" i="1"/>
  <c r="V773" i="1"/>
  <c r="W773" i="1"/>
  <c r="S774" i="1"/>
  <c r="T774" i="1"/>
  <c r="U774" i="1"/>
  <c r="V774" i="1"/>
  <c r="W774" i="1"/>
  <c r="S775" i="1"/>
  <c r="T775" i="1"/>
  <c r="U775" i="1"/>
  <c r="V775" i="1"/>
  <c r="W775" i="1"/>
  <c r="S776" i="1"/>
  <c r="T776" i="1"/>
  <c r="U776" i="1"/>
  <c r="V776" i="1"/>
  <c r="W776" i="1"/>
  <c r="S788" i="1"/>
  <c r="T788" i="1"/>
  <c r="U788" i="1"/>
  <c r="V788" i="1"/>
  <c r="W788" i="1"/>
  <c r="S778" i="1"/>
  <c r="T778" i="1"/>
  <c r="U778" i="1"/>
  <c r="V778" i="1"/>
  <c r="W778" i="1"/>
  <c r="S779" i="1"/>
  <c r="T779" i="1"/>
  <c r="U779" i="1"/>
  <c r="V779" i="1"/>
  <c r="W779" i="1"/>
  <c r="S780" i="1"/>
  <c r="T780" i="1"/>
  <c r="U780" i="1"/>
  <c r="V780" i="1"/>
  <c r="W780" i="1"/>
  <c r="S781" i="1"/>
  <c r="T781" i="1"/>
  <c r="U781" i="1"/>
  <c r="V781" i="1"/>
  <c r="W781" i="1"/>
  <c r="S782" i="1"/>
  <c r="T782" i="1"/>
  <c r="U782" i="1"/>
  <c r="V782" i="1"/>
  <c r="W782" i="1"/>
  <c r="S783" i="1"/>
  <c r="T783" i="1"/>
  <c r="U783" i="1"/>
  <c r="V783" i="1"/>
  <c r="W783" i="1"/>
  <c r="S784" i="1"/>
  <c r="T784" i="1"/>
  <c r="U784" i="1"/>
  <c r="V784" i="1"/>
  <c r="W784" i="1"/>
  <c r="S785" i="1"/>
  <c r="T785" i="1"/>
  <c r="U785" i="1"/>
  <c r="V785" i="1"/>
  <c r="W785" i="1"/>
  <c r="S786" i="1"/>
  <c r="T786" i="1"/>
  <c r="U786" i="1"/>
  <c r="V786" i="1"/>
  <c r="W786" i="1"/>
  <c r="S787" i="1"/>
  <c r="T787" i="1"/>
  <c r="U787" i="1"/>
  <c r="V787" i="1"/>
  <c r="W787" i="1"/>
  <c r="S767" i="1"/>
  <c r="T767" i="1"/>
  <c r="U767" i="1"/>
  <c r="V767" i="1"/>
  <c r="W767" i="1"/>
  <c r="S760" i="1"/>
  <c r="T760" i="1"/>
  <c r="U760" i="1"/>
  <c r="V760" i="1"/>
  <c r="W760" i="1"/>
  <c r="S777" i="1"/>
  <c r="T777" i="1"/>
  <c r="U777" i="1"/>
  <c r="V777" i="1"/>
  <c r="W777" i="1"/>
  <c r="S791" i="1"/>
  <c r="T791" i="1"/>
  <c r="U791" i="1"/>
  <c r="V791" i="1"/>
  <c r="W791" i="1"/>
  <c r="S792" i="1"/>
  <c r="T792" i="1"/>
  <c r="U792" i="1"/>
  <c r="V792" i="1"/>
  <c r="W792" i="1"/>
  <c r="S793" i="1"/>
  <c r="T793" i="1"/>
  <c r="U793" i="1"/>
  <c r="V793" i="1"/>
  <c r="W793" i="1"/>
  <c r="S794" i="1"/>
  <c r="T794" i="1"/>
  <c r="U794" i="1"/>
  <c r="V794" i="1"/>
  <c r="W794" i="1"/>
  <c r="S795" i="1"/>
  <c r="T795" i="1"/>
  <c r="U795" i="1"/>
  <c r="V795" i="1"/>
  <c r="W795" i="1"/>
  <c r="S796" i="1"/>
  <c r="T796" i="1"/>
  <c r="U796" i="1"/>
  <c r="V796" i="1"/>
  <c r="W796" i="1"/>
  <c r="S797" i="1"/>
  <c r="T797" i="1"/>
  <c r="U797" i="1"/>
  <c r="V797" i="1"/>
  <c r="W797" i="1"/>
  <c r="S1254" i="1"/>
  <c r="T1254" i="1"/>
  <c r="U1254" i="1"/>
  <c r="V1254" i="1"/>
  <c r="W1254" i="1"/>
  <c r="S846" i="1"/>
  <c r="T846" i="1"/>
  <c r="U846" i="1"/>
  <c r="V846" i="1"/>
  <c r="W846" i="1"/>
  <c r="S800" i="1"/>
  <c r="T800" i="1"/>
  <c r="U800" i="1"/>
  <c r="V800" i="1"/>
  <c r="W800" i="1"/>
  <c r="S801" i="1"/>
  <c r="T801" i="1"/>
  <c r="U801" i="1"/>
  <c r="V801" i="1"/>
  <c r="W801" i="1"/>
  <c r="S790" i="1"/>
  <c r="T790" i="1"/>
  <c r="U790" i="1"/>
  <c r="V790" i="1"/>
  <c r="W790" i="1"/>
  <c r="S803" i="1"/>
  <c r="T803" i="1"/>
  <c r="U803" i="1"/>
  <c r="V803" i="1"/>
  <c r="W803" i="1"/>
  <c r="S804" i="1"/>
  <c r="T804" i="1"/>
  <c r="U804" i="1"/>
  <c r="V804" i="1"/>
  <c r="W804" i="1"/>
  <c r="S1255" i="1"/>
  <c r="T1255" i="1"/>
  <c r="U1255" i="1"/>
  <c r="V1255" i="1"/>
  <c r="W1255" i="1"/>
  <c r="S806" i="1"/>
  <c r="T806" i="1"/>
  <c r="U806" i="1"/>
  <c r="V806" i="1"/>
  <c r="W806" i="1"/>
  <c r="S807" i="1"/>
  <c r="T807" i="1"/>
  <c r="U807" i="1"/>
  <c r="V807" i="1"/>
  <c r="W807" i="1"/>
  <c r="S808" i="1"/>
  <c r="T808" i="1"/>
  <c r="U808" i="1"/>
  <c r="V808" i="1"/>
  <c r="W808" i="1"/>
  <c r="S809" i="1"/>
  <c r="T809" i="1"/>
  <c r="U809" i="1"/>
  <c r="V809" i="1"/>
  <c r="W809" i="1"/>
  <c r="S810" i="1"/>
  <c r="T810" i="1"/>
  <c r="U810" i="1"/>
  <c r="V810" i="1"/>
  <c r="W810" i="1"/>
  <c r="S811" i="1"/>
  <c r="T811" i="1"/>
  <c r="U811" i="1"/>
  <c r="V811" i="1"/>
  <c r="W811" i="1"/>
  <c r="S812" i="1"/>
  <c r="T812" i="1"/>
  <c r="U812" i="1"/>
  <c r="V812" i="1"/>
  <c r="W812" i="1"/>
  <c r="S813" i="1"/>
  <c r="T813" i="1"/>
  <c r="U813" i="1"/>
  <c r="V813" i="1"/>
  <c r="W813" i="1"/>
  <c r="S814" i="1"/>
  <c r="T814" i="1"/>
  <c r="U814" i="1"/>
  <c r="V814" i="1"/>
  <c r="W814" i="1"/>
  <c r="S815" i="1"/>
  <c r="T815" i="1"/>
  <c r="U815" i="1"/>
  <c r="V815" i="1"/>
  <c r="W815" i="1"/>
  <c r="S816" i="1"/>
  <c r="T816" i="1"/>
  <c r="U816" i="1"/>
  <c r="V816" i="1"/>
  <c r="W816" i="1"/>
  <c r="S817" i="1"/>
  <c r="T817" i="1"/>
  <c r="U817" i="1"/>
  <c r="V817" i="1"/>
  <c r="W817" i="1"/>
  <c r="S818" i="1"/>
  <c r="T818" i="1"/>
  <c r="U818" i="1"/>
  <c r="V818" i="1"/>
  <c r="W818" i="1"/>
  <c r="S819" i="1"/>
  <c r="T819" i="1"/>
  <c r="U819" i="1"/>
  <c r="V819" i="1"/>
  <c r="W819" i="1"/>
  <c r="S820" i="1"/>
  <c r="T820" i="1"/>
  <c r="U820" i="1"/>
  <c r="V820" i="1"/>
  <c r="W820" i="1"/>
  <c r="S821" i="1"/>
  <c r="T821" i="1"/>
  <c r="U821" i="1"/>
  <c r="V821" i="1"/>
  <c r="W821" i="1"/>
  <c r="S822" i="1"/>
  <c r="T822" i="1"/>
  <c r="U822" i="1"/>
  <c r="V822" i="1"/>
  <c r="W822" i="1"/>
  <c r="S789" i="1"/>
  <c r="T789" i="1"/>
  <c r="U789" i="1"/>
  <c r="V789" i="1"/>
  <c r="W789" i="1"/>
  <c r="S824" i="1"/>
  <c r="T824" i="1"/>
  <c r="U824" i="1"/>
  <c r="V824" i="1"/>
  <c r="W824" i="1"/>
  <c r="S825" i="1"/>
  <c r="T825" i="1"/>
  <c r="U825" i="1"/>
  <c r="V825" i="1"/>
  <c r="W825" i="1"/>
  <c r="S826" i="1"/>
  <c r="T826" i="1"/>
  <c r="U826" i="1"/>
  <c r="V826" i="1"/>
  <c r="W826" i="1"/>
  <c r="S827" i="1"/>
  <c r="T827" i="1"/>
  <c r="U827" i="1"/>
  <c r="V827" i="1"/>
  <c r="W827" i="1"/>
  <c r="S828" i="1"/>
  <c r="T828" i="1"/>
  <c r="U828" i="1"/>
  <c r="V828" i="1"/>
  <c r="W828" i="1"/>
  <c r="S829" i="1"/>
  <c r="T829" i="1"/>
  <c r="U829" i="1"/>
  <c r="V829" i="1"/>
  <c r="W829" i="1"/>
  <c r="S830" i="1"/>
  <c r="T830" i="1"/>
  <c r="U830" i="1"/>
  <c r="V830" i="1"/>
  <c r="W830" i="1"/>
  <c r="S831" i="1"/>
  <c r="T831" i="1"/>
  <c r="U831" i="1"/>
  <c r="V831" i="1"/>
  <c r="W831" i="1"/>
  <c r="S832" i="1"/>
  <c r="T832" i="1"/>
  <c r="U832" i="1"/>
  <c r="V832" i="1"/>
  <c r="W832" i="1"/>
  <c r="S833" i="1"/>
  <c r="T833" i="1"/>
  <c r="U833" i="1"/>
  <c r="V833" i="1"/>
  <c r="W833" i="1"/>
  <c r="S834" i="1"/>
  <c r="T834" i="1"/>
  <c r="U834" i="1"/>
  <c r="V834" i="1"/>
  <c r="W834" i="1"/>
  <c r="S835" i="1"/>
  <c r="T835" i="1"/>
  <c r="U835" i="1"/>
  <c r="V835" i="1"/>
  <c r="W835" i="1"/>
  <c r="S836" i="1"/>
  <c r="T836" i="1"/>
  <c r="U836" i="1"/>
  <c r="V836" i="1"/>
  <c r="W836" i="1"/>
  <c r="S837" i="1"/>
  <c r="T837" i="1"/>
  <c r="U837" i="1"/>
  <c r="V837" i="1"/>
  <c r="W837" i="1"/>
  <c r="S838" i="1"/>
  <c r="T838" i="1"/>
  <c r="U838" i="1"/>
  <c r="V838" i="1"/>
  <c r="W838" i="1"/>
  <c r="S839" i="1"/>
  <c r="T839" i="1"/>
  <c r="U839" i="1"/>
  <c r="V839" i="1"/>
  <c r="W839" i="1"/>
  <c r="S840" i="1"/>
  <c r="T840" i="1"/>
  <c r="U840" i="1"/>
  <c r="V840" i="1"/>
  <c r="W840" i="1"/>
  <c r="S841" i="1"/>
  <c r="T841" i="1"/>
  <c r="U841" i="1"/>
  <c r="V841" i="1"/>
  <c r="W841" i="1"/>
  <c r="S1256" i="1"/>
  <c r="T1256" i="1"/>
  <c r="U1256" i="1"/>
  <c r="V1256" i="1"/>
  <c r="W1256" i="1"/>
  <c r="S843" i="1"/>
  <c r="T843" i="1"/>
  <c r="U843" i="1"/>
  <c r="V843" i="1"/>
  <c r="W843" i="1"/>
  <c r="S845" i="1"/>
  <c r="T845" i="1"/>
  <c r="U845" i="1"/>
  <c r="V845" i="1"/>
  <c r="W845" i="1"/>
  <c r="S799" i="1"/>
  <c r="T799" i="1"/>
  <c r="U799" i="1"/>
  <c r="V799" i="1"/>
  <c r="W799" i="1"/>
  <c r="S802" i="1"/>
  <c r="T802" i="1"/>
  <c r="U802" i="1"/>
  <c r="V802" i="1"/>
  <c r="W802" i="1"/>
  <c r="S847" i="1"/>
  <c r="T847" i="1"/>
  <c r="U847" i="1"/>
  <c r="V847" i="1"/>
  <c r="W847" i="1"/>
  <c r="S848" i="1"/>
  <c r="T848" i="1"/>
  <c r="U848" i="1"/>
  <c r="V848" i="1"/>
  <c r="W848" i="1"/>
  <c r="S849" i="1"/>
  <c r="T849" i="1"/>
  <c r="U849" i="1"/>
  <c r="V849" i="1"/>
  <c r="W849" i="1"/>
  <c r="S850" i="1"/>
  <c r="T850" i="1"/>
  <c r="U850" i="1"/>
  <c r="V850" i="1"/>
  <c r="W850" i="1"/>
  <c r="S851" i="1"/>
  <c r="T851" i="1"/>
  <c r="U851" i="1"/>
  <c r="V851" i="1"/>
  <c r="W851" i="1"/>
  <c r="S852" i="1"/>
  <c r="T852" i="1"/>
  <c r="U852" i="1"/>
  <c r="V852" i="1"/>
  <c r="W852" i="1"/>
  <c r="S853" i="1"/>
  <c r="T853" i="1"/>
  <c r="U853" i="1"/>
  <c r="V853" i="1"/>
  <c r="W853" i="1"/>
  <c r="S854" i="1"/>
  <c r="T854" i="1"/>
  <c r="U854" i="1"/>
  <c r="V854" i="1"/>
  <c r="W854" i="1"/>
  <c r="S855" i="1"/>
  <c r="T855" i="1"/>
  <c r="U855" i="1"/>
  <c r="V855" i="1"/>
  <c r="W855" i="1"/>
  <c r="S856" i="1"/>
  <c r="T856" i="1"/>
  <c r="U856" i="1"/>
  <c r="V856" i="1"/>
  <c r="W856" i="1"/>
  <c r="S857" i="1"/>
  <c r="T857" i="1"/>
  <c r="U857" i="1"/>
  <c r="V857" i="1"/>
  <c r="W857" i="1"/>
  <c r="S858" i="1"/>
  <c r="T858" i="1"/>
  <c r="U858" i="1"/>
  <c r="V858" i="1"/>
  <c r="W858" i="1"/>
  <c r="S859" i="1"/>
  <c r="T859" i="1"/>
  <c r="U859" i="1"/>
  <c r="V859" i="1"/>
  <c r="W859" i="1"/>
  <c r="S860" i="1"/>
  <c r="T860" i="1"/>
  <c r="U860" i="1"/>
  <c r="V860" i="1"/>
  <c r="W860" i="1"/>
  <c r="S861" i="1"/>
  <c r="T861" i="1"/>
  <c r="U861" i="1"/>
  <c r="V861" i="1"/>
  <c r="W861" i="1"/>
  <c r="S1257" i="1"/>
  <c r="T1257" i="1"/>
  <c r="U1257" i="1"/>
  <c r="V1257" i="1"/>
  <c r="W1257" i="1"/>
  <c r="S1258" i="1"/>
  <c r="T1258" i="1"/>
  <c r="U1258" i="1"/>
  <c r="V1258" i="1"/>
  <c r="W1258" i="1"/>
  <c r="S864" i="1"/>
  <c r="T864" i="1"/>
  <c r="U864" i="1"/>
  <c r="V864" i="1"/>
  <c r="W864" i="1"/>
  <c r="S865" i="1"/>
  <c r="T865" i="1"/>
  <c r="U865" i="1"/>
  <c r="V865" i="1"/>
  <c r="W865" i="1"/>
  <c r="S1259" i="1"/>
  <c r="T1259" i="1"/>
  <c r="U1259" i="1"/>
  <c r="V1259" i="1"/>
  <c r="W1259" i="1"/>
  <c r="S1260" i="1"/>
  <c r="T1260" i="1"/>
  <c r="U1260" i="1"/>
  <c r="V1260" i="1"/>
  <c r="W1260" i="1"/>
  <c r="S868" i="1"/>
  <c r="T868" i="1"/>
  <c r="U868" i="1"/>
  <c r="V868" i="1"/>
  <c r="W868" i="1"/>
  <c r="S869" i="1"/>
  <c r="T869" i="1"/>
  <c r="U869" i="1"/>
  <c r="V869" i="1"/>
  <c r="W869" i="1"/>
  <c r="S870" i="1"/>
  <c r="T870" i="1"/>
  <c r="U870" i="1"/>
  <c r="V870" i="1"/>
  <c r="W870" i="1"/>
  <c r="S871" i="1"/>
  <c r="T871" i="1"/>
  <c r="U871" i="1"/>
  <c r="V871" i="1"/>
  <c r="W871" i="1"/>
  <c r="S872" i="1"/>
  <c r="T872" i="1"/>
  <c r="U872" i="1"/>
  <c r="V872" i="1"/>
  <c r="W872" i="1"/>
  <c r="S873" i="1"/>
  <c r="T873" i="1"/>
  <c r="U873" i="1"/>
  <c r="V873" i="1"/>
  <c r="W873" i="1"/>
  <c r="S874" i="1"/>
  <c r="T874" i="1"/>
  <c r="U874" i="1"/>
  <c r="V874" i="1"/>
  <c r="W874" i="1"/>
  <c r="S1261" i="1"/>
  <c r="T1261" i="1"/>
  <c r="U1261" i="1"/>
  <c r="V1261" i="1"/>
  <c r="W1261" i="1"/>
  <c r="S876" i="1"/>
  <c r="T876" i="1"/>
  <c r="U876" i="1"/>
  <c r="V876" i="1"/>
  <c r="W876" i="1"/>
  <c r="S877" i="1"/>
  <c r="T877" i="1"/>
  <c r="U877" i="1"/>
  <c r="V877" i="1"/>
  <c r="W877" i="1"/>
  <c r="S878" i="1"/>
  <c r="T878" i="1"/>
  <c r="U878" i="1"/>
  <c r="V878" i="1"/>
  <c r="W878" i="1"/>
  <c r="S879" i="1"/>
  <c r="T879" i="1"/>
  <c r="U879" i="1"/>
  <c r="V879" i="1"/>
  <c r="W879" i="1"/>
  <c r="S1262" i="1"/>
  <c r="T1262" i="1"/>
  <c r="U1262" i="1"/>
  <c r="V1262" i="1"/>
  <c r="W1262" i="1"/>
  <c r="S1264" i="1"/>
  <c r="T1264" i="1"/>
  <c r="U1264" i="1"/>
  <c r="V1264" i="1"/>
  <c r="W1264" i="1"/>
  <c r="S882" i="1"/>
  <c r="T882" i="1"/>
  <c r="U882" i="1"/>
  <c r="V882" i="1"/>
  <c r="W882" i="1"/>
  <c r="S883" i="1"/>
  <c r="T883" i="1"/>
  <c r="U883" i="1"/>
  <c r="V883" i="1"/>
  <c r="W883" i="1"/>
  <c r="S884" i="1"/>
  <c r="T884" i="1"/>
  <c r="U884" i="1"/>
  <c r="V884" i="1"/>
  <c r="W884" i="1"/>
  <c r="S885" i="1"/>
  <c r="T885" i="1"/>
  <c r="U885" i="1"/>
  <c r="V885" i="1"/>
  <c r="W885" i="1"/>
  <c r="S886" i="1"/>
  <c r="T886" i="1"/>
  <c r="U886" i="1"/>
  <c r="V886" i="1"/>
  <c r="W886" i="1"/>
  <c r="S887" i="1"/>
  <c r="T887" i="1"/>
  <c r="U887" i="1"/>
  <c r="V887" i="1"/>
  <c r="W887" i="1"/>
  <c r="S842" i="1"/>
  <c r="T842" i="1"/>
  <c r="U842" i="1"/>
  <c r="V842" i="1"/>
  <c r="W842" i="1"/>
  <c r="S889" i="1"/>
  <c r="T889" i="1"/>
  <c r="U889" i="1"/>
  <c r="V889" i="1"/>
  <c r="W889" i="1"/>
  <c r="S890" i="1"/>
  <c r="T890" i="1"/>
  <c r="U890" i="1"/>
  <c r="V890" i="1"/>
  <c r="W890" i="1"/>
  <c r="S891" i="1"/>
  <c r="T891" i="1"/>
  <c r="U891" i="1"/>
  <c r="V891" i="1"/>
  <c r="W891" i="1"/>
  <c r="S892" i="1"/>
  <c r="T892" i="1"/>
  <c r="U892" i="1"/>
  <c r="V892" i="1"/>
  <c r="W892" i="1"/>
  <c r="S893" i="1"/>
  <c r="T893" i="1"/>
  <c r="U893" i="1"/>
  <c r="V893" i="1"/>
  <c r="W893" i="1"/>
  <c r="S894" i="1"/>
  <c r="T894" i="1"/>
  <c r="U894" i="1"/>
  <c r="V894" i="1"/>
  <c r="W894" i="1"/>
  <c r="S895" i="1"/>
  <c r="T895" i="1"/>
  <c r="U895" i="1"/>
  <c r="V895" i="1"/>
  <c r="W895" i="1"/>
  <c r="S896" i="1"/>
  <c r="T896" i="1"/>
  <c r="U896" i="1"/>
  <c r="V896" i="1"/>
  <c r="W896" i="1"/>
  <c r="S897" i="1"/>
  <c r="T897" i="1"/>
  <c r="U897" i="1"/>
  <c r="V897" i="1"/>
  <c r="W897" i="1"/>
  <c r="S898" i="1"/>
  <c r="T898" i="1"/>
  <c r="U898" i="1"/>
  <c r="V898" i="1"/>
  <c r="W898" i="1"/>
  <c r="S823" i="1"/>
  <c r="T823" i="1"/>
  <c r="U823" i="1"/>
  <c r="V823" i="1"/>
  <c r="W823" i="1"/>
  <c r="S900" i="1"/>
  <c r="T900" i="1"/>
  <c r="U900" i="1"/>
  <c r="V900" i="1"/>
  <c r="W900" i="1"/>
  <c r="S901" i="1"/>
  <c r="T901" i="1"/>
  <c r="U901" i="1"/>
  <c r="V901" i="1"/>
  <c r="W901" i="1"/>
  <c r="S902" i="1"/>
  <c r="T902" i="1"/>
  <c r="U902" i="1"/>
  <c r="V902" i="1"/>
  <c r="W902" i="1"/>
  <c r="S903" i="1"/>
  <c r="T903" i="1"/>
  <c r="U903" i="1"/>
  <c r="V903" i="1"/>
  <c r="W903" i="1"/>
  <c r="S904" i="1"/>
  <c r="T904" i="1"/>
  <c r="U904" i="1"/>
  <c r="V904" i="1"/>
  <c r="W904" i="1"/>
  <c r="S905" i="1"/>
  <c r="T905" i="1"/>
  <c r="U905" i="1"/>
  <c r="V905" i="1"/>
  <c r="W905" i="1"/>
  <c r="S906" i="1"/>
  <c r="T906" i="1"/>
  <c r="U906" i="1"/>
  <c r="V906" i="1"/>
  <c r="W906" i="1"/>
  <c r="S907" i="1"/>
  <c r="T907" i="1"/>
  <c r="U907" i="1"/>
  <c r="V907" i="1"/>
  <c r="W907" i="1"/>
  <c r="S908" i="1"/>
  <c r="T908" i="1"/>
  <c r="U908" i="1"/>
  <c r="V908" i="1"/>
  <c r="W908" i="1"/>
  <c r="S805" i="1"/>
  <c r="T805" i="1"/>
  <c r="U805" i="1"/>
  <c r="V805" i="1"/>
  <c r="W805" i="1"/>
  <c r="S798" i="1"/>
  <c r="T798" i="1"/>
  <c r="U798" i="1"/>
  <c r="V798" i="1"/>
  <c r="W798" i="1"/>
  <c r="S911" i="1"/>
  <c r="T911" i="1"/>
  <c r="U911" i="1"/>
  <c r="V911" i="1"/>
  <c r="W911" i="1"/>
  <c r="S912" i="1"/>
  <c r="T912" i="1"/>
  <c r="U912" i="1"/>
  <c r="V912" i="1"/>
  <c r="W912" i="1"/>
  <c r="S913" i="1"/>
  <c r="T913" i="1"/>
  <c r="U913" i="1"/>
  <c r="V913" i="1"/>
  <c r="W913" i="1"/>
  <c r="S914" i="1"/>
  <c r="T914" i="1"/>
  <c r="U914" i="1"/>
  <c r="V914" i="1"/>
  <c r="W914" i="1"/>
  <c r="S915" i="1"/>
  <c r="T915" i="1"/>
  <c r="U915" i="1"/>
  <c r="V915" i="1"/>
  <c r="W915" i="1"/>
  <c r="S916" i="1"/>
  <c r="T916" i="1"/>
  <c r="U916" i="1"/>
  <c r="V916" i="1"/>
  <c r="W916" i="1"/>
  <c r="S917" i="1"/>
  <c r="T917" i="1"/>
  <c r="U917" i="1"/>
  <c r="V917" i="1"/>
  <c r="W917" i="1"/>
  <c r="S918" i="1"/>
  <c r="T918" i="1"/>
  <c r="U918" i="1"/>
  <c r="V918" i="1"/>
  <c r="W918" i="1"/>
  <c r="S919" i="1"/>
  <c r="T919" i="1"/>
  <c r="U919" i="1"/>
  <c r="V919" i="1"/>
  <c r="W919" i="1"/>
  <c r="S920" i="1"/>
  <c r="T920" i="1"/>
  <c r="U920" i="1"/>
  <c r="V920" i="1"/>
  <c r="W920" i="1"/>
  <c r="S921" i="1"/>
  <c r="T921" i="1"/>
  <c r="U921" i="1"/>
  <c r="V921" i="1"/>
  <c r="W921" i="1"/>
  <c r="S922" i="1"/>
  <c r="T922" i="1"/>
  <c r="U922" i="1"/>
  <c r="V922" i="1"/>
  <c r="W922" i="1"/>
  <c r="S923" i="1"/>
  <c r="T923" i="1"/>
  <c r="U923" i="1"/>
  <c r="V923" i="1"/>
  <c r="W923" i="1"/>
  <c r="S924" i="1"/>
  <c r="T924" i="1"/>
  <c r="U924" i="1"/>
  <c r="V924" i="1"/>
  <c r="W924" i="1"/>
  <c r="S925" i="1"/>
  <c r="T925" i="1"/>
  <c r="U925" i="1"/>
  <c r="V925" i="1"/>
  <c r="W925" i="1"/>
  <c r="S1265" i="1"/>
  <c r="T1265" i="1"/>
  <c r="U1265" i="1"/>
  <c r="V1265" i="1"/>
  <c r="W1265" i="1"/>
  <c r="S927" i="1"/>
  <c r="T927" i="1"/>
  <c r="U927" i="1"/>
  <c r="V927" i="1"/>
  <c r="W927" i="1"/>
  <c r="S928" i="1"/>
  <c r="T928" i="1"/>
  <c r="U928" i="1"/>
  <c r="V928" i="1"/>
  <c r="W928" i="1"/>
  <c r="S929" i="1"/>
  <c r="T929" i="1"/>
  <c r="U929" i="1"/>
  <c r="V929" i="1"/>
  <c r="W929" i="1"/>
  <c r="S930" i="1"/>
  <c r="T930" i="1"/>
  <c r="U930" i="1"/>
  <c r="V930" i="1"/>
  <c r="W930" i="1"/>
  <c r="S931" i="1"/>
  <c r="T931" i="1"/>
  <c r="U931" i="1"/>
  <c r="V931" i="1"/>
  <c r="W931" i="1"/>
  <c r="S1266" i="1"/>
  <c r="T1266" i="1"/>
  <c r="U1266" i="1"/>
  <c r="V1266" i="1"/>
  <c r="W1266" i="1"/>
  <c r="S933" i="1"/>
  <c r="T933" i="1"/>
  <c r="U933" i="1"/>
  <c r="V933" i="1"/>
  <c r="W933" i="1"/>
  <c r="S934" i="1"/>
  <c r="T934" i="1"/>
  <c r="U934" i="1"/>
  <c r="V934" i="1"/>
  <c r="W934" i="1"/>
  <c r="S935" i="1"/>
  <c r="T935" i="1"/>
  <c r="U935" i="1"/>
  <c r="V935" i="1"/>
  <c r="W935" i="1"/>
  <c r="S936" i="1"/>
  <c r="T936" i="1"/>
  <c r="U936" i="1"/>
  <c r="V936" i="1"/>
  <c r="W936" i="1"/>
  <c r="S937" i="1"/>
  <c r="T937" i="1"/>
  <c r="U937" i="1"/>
  <c r="V937" i="1"/>
  <c r="W937" i="1"/>
  <c r="S938" i="1"/>
  <c r="T938" i="1"/>
  <c r="U938" i="1"/>
  <c r="V938" i="1"/>
  <c r="W938" i="1"/>
  <c r="S1267" i="1"/>
  <c r="T1267" i="1"/>
  <c r="U1267" i="1"/>
  <c r="V1267" i="1"/>
  <c r="W1267" i="1"/>
  <c r="S940" i="1"/>
  <c r="T940" i="1"/>
  <c r="U940" i="1"/>
  <c r="V940" i="1"/>
  <c r="W940" i="1"/>
  <c r="S1268" i="1"/>
  <c r="T1268" i="1"/>
  <c r="U1268" i="1"/>
  <c r="V1268" i="1"/>
  <c r="W1268" i="1"/>
  <c r="S942" i="1"/>
  <c r="T942" i="1"/>
  <c r="U942" i="1"/>
  <c r="V942" i="1"/>
  <c r="W942" i="1"/>
  <c r="S943" i="1"/>
  <c r="T943" i="1"/>
  <c r="U943" i="1"/>
  <c r="V943" i="1"/>
  <c r="W943" i="1"/>
  <c r="S944" i="1"/>
  <c r="T944" i="1"/>
  <c r="U944" i="1"/>
  <c r="V944" i="1"/>
  <c r="W944" i="1"/>
  <c r="S945" i="1"/>
  <c r="T945" i="1"/>
  <c r="U945" i="1"/>
  <c r="V945" i="1"/>
  <c r="W945" i="1"/>
  <c r="S946" i="1"/>
  <c r="T946" i="1"/>
  <c r="U946" i="1"/>
  <c r="V946" i="1"/>
  <c r="W946" i="1"/>
  <c r="S947" i="1"/>
  <c r="T947" i="1"/>
  <c r="U947" i="1"/>
  <c r="V947" i="1"/>
  <c r="W947" i="1"/>
  <c r="S1269" i="1"/>
  <c r="T1269" i="1"/>
  <c r="U1269" i="1"/>
  <c r="V1269" i="1"/>
  <c r="W1269" i="1"/>
  <c r="S949" i="1"/>
  <c r="T949" i="1"/>
  <c r="U949" i="1"/>
  <c r="V949" i="1"/>
  <c r="W949" i="1"/>
  <c r="S950" i="1"/>
  <c r="T950" i="1"/>
  <c r="U950" i="1"/>
  <c r="V950" i="1"/>
  <c r="W950" i="1"/>
  <c r="S951" i="1"/>
  <c r="T951" i="1"/>
  <c r="U951" i="1"/>
  <c r="V951" i="1"/>
  <c r="W951" i="1"/>
  <c r="S952" i="1"/>
  <c r="T952" i="1"/>
  <c r="U952" i="1"/>
  <c r="V952" i="1"/>
  <c r="W952" i="1"/>
  <c r="S1270" i="1"/>
  <c r="T1270" i="1"/>
  <c r="U1270" i="1"/>
  <c r="V1270" i="1"/>
  <c r="W1270" i="1"/>
  <c r="S954" i="1"/>
  <c r="T954" i="1"/>
  <c r="U954" i="1"/>
  <c r="V954" i="1"/>
  <c r="W954" i="1"/>
  <c r="S955" i="1"/>
  <c r="T955" i="1"/>
  <c r="U955" i="1"/>
  <c r="V955" i="1"/>
  <c r="W955" i="1"/>
  <c r="S956" i="1"/>
  <c r="T956" i="1"/>
  <c r="U956" i="1"/>
  <c r="V956" i="1"/>
  <c r="W956" i="1"/>
  <c r="S957" i="1"/>
  <c r="T957" i="1"/>
  <c r="U957" i="1"/>
  <c r="V957" i="1"/>
  <c r="W957" i="1"/>
  <c r="S1271" i="1"/>
  <c r="T1271" i="1"/>
  <c r="U1271" i="1"/>
  <c r="V1271" i="1"/>
  <c r="W1271" i="1"/>
  <c r="S959" i="1"/>
  <c r="T959" i="1"/>
  <c r="U959" i="1"/>
  <c r="V959" i="1"/>
  <c r="W959" i="1"/>
  <c r="S960" i="1"/>
  <c r="T960" i="1"/>
  <c r="U960" i="1"/>
  <c r="V960" i="1"/>
  <c r="W960" i="1"/>
  <c r="S961" i="1"/>
  <c r="T961" i="1"/>
  <c r="U961" i="1"/>
  <c r="V961" i="1"/>
  <c r="W961" i="1"/>
  <c r="S962" i="1"/>
  <c r="T962" i="1"/>
  <c r="U962" i="1"/>
  <c r="V962" i="1"/>
  <c r="W962" i="1"/>
  <c r="S963" i="1"/>
  <c r="T963" i="1"/>
  <c r="U963" i="1"/>
  <c r="V963" i="1"/>
  <c r="W963" i="1"/>
  <c r="S880" i="1"/>
  <c r="T880" i="1"/>
  <c r="U880" i="1"/>
  <c r="V880" i="1"/>
  <c r="W880" i="1"/>
  <c r="S965" i="1"/>
  <c r="T965" i="1"/>
  <c r="U965" i="1"/>
  <c r="V965" i="1"/>
  <c r="W965" i="1"/>
  <c r="S966" i="1"/>
  <c r="T966" i="1"/>
  <c r="U966" i="1"/>
  <c r="V966" i="1"/>
  <c r="W966" i="1"/>
  <c r="S875" i="1"/>
  <c r="T875" i="1"/>
  <c r="U875" i="1"/>
  <c r="V875" i="1"/>
  <c r="W875" i="1"/>
  <c r="S968" i="1"/>
  <c r="T968" i="1"/>
  <c r="U968" i="1"/>
  <c r="V968" i="1"/>
  <c r="W968" i="1"/>
  <c r="S969" i="1"/>
  <c r="T969" i="1"/>
  <c r="U969" i="1"/>
  <c r="V969" i="1"/>
  <c r="W969" i="1"/>
  <c r="S867" i="1"/>
  <c r="T867" i="1"/>
  <c r="U867" i="1"/>
  <c r="V867" i="1"/>
  <c r="W867" i="1"/>
  <c r="S866" i="1"/>
  <c r="T866" i="1"/>
  <c r="U866" i="1"/>
  <c r="V866" i="1"/>
  <c r="W866" i="1"/>
  <c r="S863" i="1"/>
  <c r="T863" i="1"/>
  <c r="U863" i="1"/>
  <c r="V863" i="1"/>
  <c r="W863" i="1"/>
  <c r="S973" i="1"/>
  <c r="T973" i="1"/>
  <c r="U973" i="1"/>
  <c r="V973" i="1"/>
  <c r="W973" i="1"/>
  <c r="S862" i="1"/>
  <c r="T862" i="1"/>
  <c r="U862" i="1"/>
  <c r="V862" i="1"/>
  <c r="W862" i="1"/>
  <c r="S975" i="1"/>
  <c r="T975" i="1"/>
  <c r="U975" i="1"/>
  <c r="V975" i="1"/>
  <c r="W975" i="1"/>
  <c r="S844" i="1"/>
  <c r="T844" i="1"/>
  <c r="U844" i="1"/>
  <c r="V844" i="1"/>
  <c r="W844" i="1"/>
  <c r="S977" i="1"/>
  <c r="T977" i="1"/>
  <c r="U977" i="1"/>
  <c r="V977" i="1"/>
  <c r="W977" i="1"/>
  <c r="S978" i="1"/>
  <c r="T978" i="1"/>
  <c r="U978" i="1"/>
  <c r="V978" i="1"/>
  <c r="W978" i="1"/>
  <c r="S979" i="1"/>
  <c r="T979" i="1"/>
  <c r="U979" i="1"/>
  <c r="V979" i="1"/>
  <c r="W979" i="1"/>
  <c r="S980" i="1"/>
  <c r="T980" i="1"/>
  <c r="U980" i="1"/>
  <c r="V980" i="1"/>
  <c r="W980" i="1"/>
  <c r="S981" i="1"/>
  <c r="T981" i="1"/>
  <c r="U981" i="1"/>
  <c r="V981" i="1"/>
  <c r="W981" i="1"/>
  <c r="S982" i="1"/>
  <c r="T982" i="1"/>
  <c r="U982" i="1"/>
  <c r="V982" i="1"/>
  <c r="W982" i="1"/>
  <c r="S983" i="1"/>
  <c r="T983" i="1"/>
  <c r="U983" i="1"/>
  <c r="V983" i="1"/>
  <c r="W983" i="1"/>
  <c r="S984" i="1"/>
  <c r="T984" i="1"/>
  <c r="U984" i="1"/>
  <c r="V984" i="1"/>
  <c r="W984" i="1"/>
  <c r="S985" i="1"/>
  <c r="T985" i="1"/>
  <c r="U985" i="1"/>
  <c r="V985" i="1"/>
  <c r="W985" i="1"/>
  <c r="S986" i="1"/>
  <c r="T986" i="1"/>
  <c r="U986" i="1"/>
  <c r="V986" i="1"/>
  <c r="W986" i="1"/>
  <c r="S987" i="1"/>
  <c r="T987" i="1"/>
  <c r="U987" i="1"/>
  <c r="V987" i="1"/>
  <c r="W987" i="1"/>
  <c r="S988" i="1"/>
  <c r="T988" i="1"/>
  <c r="U988" i="1"/>
  <c r="V988" i="1"/>
  <c r="W988" i="1"/>
  <c r="S989" i="1"/>
  <c r="T989" i="1"/>
  <c r="U989" i="1"/>
  <c r="V989" i="1"/>
  <c r="W989" i="1"/>
  <c r="S990" i="1"/>
  <c r="T990" i="1"/>
  <c r="U990" i="1"/>
  <c r="V990" i="1"/>
  <c r="W990" i="1"/>
  <c r="S991" i="1"/>
  <c r="T991" i="1"/>
  <c r="U991" i="1"/>
  <c r="V991" i="1"/>
  <c r="W991" i="1"/>
  <c r="S992" i="1"/>
  <c r="T992" i="1"/>
  <c r="U992" i="1"/>
  <c r="V992" i="1"/>
  <c r="W992" i="1"/>
  <c r="S993" i="1"/>
  <c r="T993" i="1"/>
  <c r="U993" i="1"/>
  <c r="V993" i="1"/>
  <c r="W993" i="1"/>
  <c r="S994" i="1"/>
  <c r="T994" i="1"/>
  <c r="U994" i="1"/>
  <c r="V994" i="1"/>
  <c r="W994" i="1"/>
  <c r="S995" i="1"/>
  <c r="T995" i="1"/>
  <c r="U995" i="1"/>
  <c r="V995" i="1"/>
  <c r="W995" i="1"/>
  <c r="S996" i="1"/>
  <c r="T996" i="1"/>
  <c r="U996" i="1"/>
  <c r="V996" i="1"/>
  <c r="W996" i="1"/>
  <c r="S997" i="1"/>
  <c r="T997" i="1"/>
  <c r="U997" i="1"/>
  <c r="V997" i="1"/>
  <c r="W997" i="1"/>
  <c r="S998" i="1"/>
  <c r="T998" i="1"/>
  <c r="U998" i="1"/>
  <c r="V998" i="1"/>
  <c r="W998" i="1"/>
  <c r="S999" i="1"/>
  <c r="T999" i="1"/>
  <c r="U999" i="1"/>
  <c r="V999" i="1"/>
  <c r="W999" i="1"/>
  <c r="S1272" i="1"/>
  <c r="T1272" i="1"/>
  <c r="U1272" i="1"/>
  <c r="V1272" i="1"/>
  <c r="W1272" i="1"/>
  <c r="S1001" i="1"/>
  <c r="T1001" i="1"/>
  <c r="U1001" i="1"/>
  <c r="V1001" i="1"/>
  <c r="W1001" i="1"/>
  <c r="S1273" i="1"/>
  <c r="T1273" i="1"/>
  <c r="U1273" i="1"/>
  <c r="V1273" i="1"/>
  <c r="W1273" i="1"/>
  <c r="S1003" i="1"/>
  <c r="T1003" i="1"/>
  <c r="U1003" i="1"/>
  <c r="V1003" i="1"/>
  <c r="W1003" i="1"/>
  <c r="S1274" i="1"/>
  <c r="T1274" i="1"/>
  <c r="U1274" i="1"/>
  <c r="V1274" i="1"/>
  <c r="W1274" i="1"/>
  <c r="S1005" i="1"/>
  <c r="T1005" i="1"/>
  <c r="U1005" i="1"/>
  <c r="V1005" i="1"/>
  <c r="W1005" i="1"/>
  <c r="S1275" i="1"/>
  <c r="T1275" i="1"/>
  <c r="U1275" i="1"/>
  <c r="V1275" i="1"/>
  <c r="W1275" i="1"/>
  <c r="S1007" i="1"/>
  <c r="T1007" i="1"/>
  <c r="U1007" i="1"/>
  <c r="V1007" i="1"/>
  <c r="W1007" i="1"/>
  <c r="S1008" i="1"/>
  <c r="T1008" i="1"/>
  <c r="U1008" i="1"/>
  <c r="V1008" i="1"/>
  <c r="W1008" i="1"/>
  <c r="S1009" i="1"/>
  <c r="T1009" i="1"/>
  <c r="U1009" i="1"/>
  <c r="V1009" i="1"/>
  <c r="W1009" i="1"/>
  <c r="S1010" i="1"/>
  <c r="T1010" i="1"/>
  <c r="U1010" i="1"/>
  <c r="V1010" i="1"/>
  <c r="W1010" i="1"/>
  <c r="S1276" i="1"/>
  <c r="T1276" i="1"/>
  <c r="U1276" i="1"/>
  <c r="V1276" i="1"/>
  <c r="W1276" i="1"/>
  <c r="S1012" i="1"/>
  <c r="T1012" i="1"/>
  <c r="U1012" i="1"/>
  <c r="V1012" i="1"/>
  <c r="W1012" i="1"/>
  <c r="S1013" i="1"/>
  <c r="T1013" i="1"/>
  <c r="U1013" i="1"/>
  <c r="V1013" i="1"/>
  <c r="W1013" i="1"/>
  <c r="S1014" i="1"/>
  <c r="T1014" i="1"/>
  <c r="U1014" i="1"/>
  <c r="V1014" i="1"/>
  <c r="W1014" i="1"/>
  <c r="S1015" i="1"/>
  <c r="T1015" i="1"/>
  <c r="U1015" i="1"/>
  <c r="V1015" i="1"/>
  <c r="W1015" i="1"/>
  <c r="S1016" i="1"/>
  <c r="T1016" i="1"/>
  <c r="U1016" i="1"/>
  <c r="V1016" i="1"/>
  <c r="W1016" i="1"/>
  <c r="S1017" i="1"/>
  <c r="T1017" i="1"/>
  <c r="U1017" i="1"/>
  <c r="V1017" i="1"/>
  <c r="W1017" i="1"/>
  <c r="S1018" i="1"/>
  <c r="T1018" i="1"/>
  <c r="U1018" i="1"/>
  <c r="V1018" i="1"/>
  <c r="W1018" i="1"/>
  <c r="S1019" i="1"/>
  <c r="T1019" i="1"/>
  <c r="U1019" i="1"/>
  <c r="V1019" i="1"/>
  <c r="W1019" i="1"/>
  <c r="S1020" i="1"/>
  <c r="T1020" i="1"/>
  <c r="U1020" i="1"/>
  <c r="V1020" i="1"/>
  <c r="W1020" i="1"/>
  <c r="S1021" i="1"/>
  <c r="T1021" i="1"/>
  <c r="U1021" i="1"/>
  <c r="V1021" i="1"/>
  <c r="W1021" i="1"/>
  <c r="S1277" i="1"/>
  <c r="T1277" i="1"/>
  <c r="U1277" i="1"/>
  <c r="V1277" i="1"/>
  <c r="W1277" i="1"/>
  <c r="T1278" i="1"/>
  <c r="U1278" i="1"/>
  <c r="V1278" i="1"/>
  <c r="W1278" i="1"/>
  <c r="S1024" i="1"/>
  <c r="T1024" i="1"/>
  <c r="U1024" i="1"/>
  <c r="V1024" i="1"/>
  <c r="W1024" i="1"/>
  <c r="S1025" i="1"/>
  <c r="T1025" i="1"/>
  <c r="U1025" i="1"/>
  <c r="V1025" i="1"/>
  <c r="W1025" i="1"/>
  <c r="S1026" i="1"/>
  <c r="T1026" i="1"/>
  <c r="U1026" i="1"/>
  <c r="V1026" i="1"/>
  <c r="W1026" i="1"/>
  <c r="S1027" i="1"/>
  <c r="T1027" i="1"/>
  <c r="U1027" i="1"/>
  <c r="V1027" i="1"/>
  <c r="W1027" i="1"/>
  <c r="S1028" i="1"/>
  <c r="T1028" i="1"/>
  <c r="U1028" i="1"/>
  <c r="V1028" i="1"/>
  <c r="W1028" i="1"/>
  <c r="S1029" i="1"/>
  <c r="T1029" i="1"/>
  <c r="U1029" i="1"/>
  <c r="V1029" i="1"/>
  <c r="W1029" i="1"/>
  <c r="S1030" i="1"/>
  <c r="T1030" i="1"/>
  <c r="U1030" i="1"/>
  <c r="V1030" i="1"/>
  <c r="W1030" i="1"/>
  <c r="S1031" i="1"/>
  <c r="T1031" i="1"/>
  <c r="U1031" i="1"/>
  <c r="V1031" i="1"/>
  <c r="W1031" i="1"/>
  <c r="S1032" i="1"/>
  <c r="T1032" i="1"/>
  <c r="U1032" i="1"/>
  <c r="V1032" i="1"/>
  <c r="W1032" i="1"/>
  <c r="S909" i="1"/>
  <c r="T909" i="1"/>
  <c r="U909" i="1"/>
  <c r="V909" i="1"/>
  <c r="W909" i="1"/>
  <c r="S1034" i="1"/>
  <c r="T1034" i="1"/>
  <c r="U1034" i="1"/>
  <c r="V1034" i="1"/>
  <c r="W1034" i="1"/>
  <c r="S899" i="1"/>
  <c r="T899" i="1"/>
  <c r="U899" i="1"/>
  <c r="V899" i="1"/>
  <c r="W899" i="1"/>
  <c r="S888" i="1"/>
  <c r="T888" i="1"/>
  <c r="U888" i="1"/>
  <c r="V888" i="1"/>
  <c r="W888" i="1"/>
  <c r="S1037" i="1"/>
  <c r="T1037" i="1"/>
  <c r="U1037" i="1"/>
  <c r="V1037" i="1"/>
  <c r="W1037" i="1"/>
  <c r="S1038" i="1"/>
  <c r="T1038" i="1"/>
  <c r="U1038" i="1"/>
  <c r="V1038" i="1"/>
  <c r="W1038" i="1"/>
  <c r="S1039" i="1"/>
  <c r="T1039" i="1"/>
  <c r="U1039" i="1"/>
  <c r="V1039" i="1"/>
  <c r="W1039" i="1"/>
  <c r="S1040" i="1"/>
  <c r="T1040" i="1"/>
  <c r="U1040" i="1"/>
  <c r="V1040" i="1"/>
  <c r="W1040" i="1"/>
  <c r="S1041" i="1"/>
  <c r="T1041" i="1"/>
  <c r="U1041" i="1"/>
  <c r="V1041" i="1"/>
  <c r="W1041" i="1"/>
  <c r="S881" i="1"/>
  <c r="T881" i="1"/>
  <c r="U881" i="1"/>
  <c r="V881" i="1"/>
  <c r="W881" i="1"/>
  <c r="S1043" i="1"/>
  <c r="T1043" i="1"/>
  <c r="U1043" i="1"/>
  <c r="V1043" i="1"/>
  <c r="W1043" i="1"/>
  <c r="S1044" i="1"/>
  <c r="T1044" i="1"/>
  <c r="U1044" i="1"/>
  <c r="V1044" i="1"/>
  <c r="W1044" i="1"/>
  <c r="S1045" i="1"/>
  <c r="T1045" i="1"/>
  <c r="U1045" i="1"/>
  <c r="V1045" i="1"/>
  <c r="W1045" i="1"/>
  <c r="S1046" i="1"/>
  <c r="T1046" i="1"/>
  <c r="U1046" i="1"/>
  <c r="V1046" i="1"/>
  <c r="W1046" i="1"/>
  <c r="S1047" i="1"/>
  <c r="T1047" i="1"/>
  <c r="U1047" i="1"/>
  <c r="V1047" i="1"/>
  <c r="W1047" i="1"/>
  <c r="S1279" i="1"/>
  <c r="T1279" i="1"/>
  <c r="U1279" i="1"/>
  <c r="V1279" i="1"/>
  <c r="W1279" i="1"/>
  <c r="S1049" i="1"/>
  <c r="T1049" i="1"/>
  <c r="U1049" i="1"/>
  <c r="V1049" i="1"/>
  <c r="W1049" i="1"/>
  <c r="S1281" i="1"/>
  <c r="T1281" i="1"/>
  <c r="U1281" i="1"/>
  <c r="V1281" i="1"/>
  <c r="W1281" i="1"/>
  <c r="S1051" i="1"/>
  <c r="T1051" i="1"/>
  <c r="U1051" i="1"/>
  <c r="V1051" i="1"/>
  <c r="W1051" i="1"/>
  <c r="S1282" i="1"/>
  <c r="T1282" i="1"/>
  <c r="U1282" i="1"/>
  <c r="V1282" i="1"/>
  <c r="W1282" i="1"/>
  <c r="S1053" i="1"/>
  <c r="T1053" i="1"/>
  <c r="U1053" i="1"/>
  <c r="V1053" i="1"/>
  <c r="W1053" i="1"/>
  <c r="S1283" i="1"/>
  <c r="T1283" i="1"/>
  <c r="U1283" i="1"/>
  <c r="V1283" i="1"/>
  <c r="W1283" i="1"/>
  <c r="S1055" i="1"/>
  <c r="T1055" i="1"/>
  <c r="U1055" i="1"/>
  <c r="V1055" i="1"/>
  <c r="W1055" i="1"/>
  <c r="S1056" i="1"/>
  <c r="T1056" i="1"/>
  <c r="U1056" i="1"/>
  <c r="V1056" i="1"/>
  <c r="W1056" i="1"/>
  <c r="S1057" i="1"/>
  <c r="T1057" i="1"/>
  <c r="U1057" i="1"/>
  <c r="V1057" i="1"/>
  <c r="W1057" i="1"/>
  <c r="S1284" i="1"/>
  <c r="T1284" i="1"/>
  <c r="U1284" i="1"/>
  <c r="V1284" i="1"/>
  <c r="W1284" i="1"/>
  <c r="S1059" i="1"/>
  <c r="T1059" i="1"/>
  <c r="U1059" i="1"/>
  <c r="V1059" i="1"/>
  <c r="W1059" i="1"/>
  <c r="S1285" i="1"/>
  <c r="T1285" i="1"/>
  <c r="U1285" i="1"/>
  <c r="V1285" i="1"/>
  <c r="W1285" i="1"/>
  <c r="S1061" i="1"/>
  <c r="T1061" i="1"/>
  <c r="U1061" i="1"/>
  <c r="V1061" i="1"/>
  <c r="W1061" i="1"/>
  <c r="S1286" i="1"/>
  <c r="T1286" i="1"/>
  <c r="U1286" i="1"/>
  <c r="V1286" i="1"/>
  <c r="W1286" i="1"/>
  <c r="S1287" i="1"/>
  <c r="T1287" i="1"/>
  <c r="U1287" i="1"/>
  <c r="V1287" i="1"/>
  <c r="W1287" i="1"/>
  <c r="S1288" i="1"/>
  <c r="T1288" i="1"/>
  <c r="U1288" i="1"/>
  <c r="V1288" i="1"/>
  <c r="W1288" i="1"/>
  <c r="S1065" i="1"/>
  <c r="T1065" i="1"/>
  <c r="U1065" i="1"/>
  <c r="V1065" i="1"/>
  <c r="W1065" i="1"/>
  <c r="S1289" i="1"/>
  <c r="T1289" i="1"/>
  <c r="U1289" i="1"/>
  <c r="V1289" i="1"/>
  <c r="W1289" i="1"/>
  <c r="S1067" i="1"/>
  <c r="T1067" i="1"/>
  <c r="U1067" i="1"/>
  <c r="V1067" i="1"/>
  <c r="W1067" i="1"/>
  <c r="S1068" i="1"/>
  <c r="T1068" i="1"/>
  <c r="U1068" i="1"/>
  <c r="V1068" i="1"/>
  <c r="W1068" i="1"/>
  <c r="S1290" i="1"/>
  <c r="T1290" i="1"/>
  <c r="U1290" i="1"/>
  <c r="V1290" i="1"/>
  <c r="W1290" i="1"/>
  <c r="S1291" i="1"/>
  <c r="T1291" i="1"/>
  <c r="U1291" i="1"/>
  <c r="V1291" i="1"/>
  <c r="W1291" i="1"/>
  <c r="S1071" i="1"/>
  <c r="T1071" i="1"/>
  <c r="U1071" i="1"/>
  <c r="V1071" i="1"/>
  <c r="W1071" i="1"/>
  <c r="S1072" i="1"/>
  <c r="T1072" i="1"/>
  <c r="U1072" i="1"/>
  <c r="V1072" i="1"/>
  <c r="W1072" i="1"/>
  <c r="S1073" i="1"/>
  <c r="T1073" i="1"/>
  <c r="U1073" i="1"/>
  <c r="V1073" i="1"/>
  <c r="W1073" i="1"/>
  <c r="S1292" i="1"/>
  <c r="T1292" i="1"/>
  <c r="U1292" i="1"/>
  <c r="V1292" i="1"/>
  <c r="W1292" i="1"/>
  <c r="S1293" i="1"/>
  <c r="T1293" i="1"/>
  <c r="U1293" i="1"/>
  <c r="V1293" i="1"/>
  <c r="W1293" i="1"/>
  <c r="S1294" i="1"/>
  <c r="T1294" i="1"/>
  <c r="U1294" i="1"/>
  <c r="V1294" i="1"/>
  <c r="W1294" i="1"/>
  <c r="S964" i="1"/>
  <c r="T964" i="1"/>
  <c r="U964" i="1"/>
  <c r="V964" i="1"/>
  <c r="W964" i="1"/>
  <c r="S958" i="1"/>
  <c r="T958" i="1"/>
  <c r="U958" i="1"/>
  <c r="V958" i="1"/>
  <c r="W958" i="1"/>
  <c r="S953" i="1"/>
  <c r="T953" i="1"/>
  <c r="U953" i="1"/>
  <c r="V953" i="1"/>
  <c r="W953" i="1"/>
  <c r="S1080" i="1"/>
  <c r="T1080" i="1"/>
  <c r="U1080" i="1"/>
  <c r="V1080" i="1"/>
  <c r="W1080" i="1"/>
  <c r="S1081" i="1"/>
  <c r="T1081" i="1"/>
  <c r="U1081" i="1"/>
  <c r="V1081" i="1"/>
  <c r="W1081" i="1"/>
  <c r="S1082" i="1"/>
  <c r="T1082" i="1"/>
  <c r="U1082" i="1"/>
  <c r="V1082" i="1"/>
  <c r="W1082" i="1"/>
  <c r="S1064" i="1"/>
  <c r="T1064" i="1"/>
  <c r="U1064" i="1"/>
  <c r="V1064" i="1"/>
  <c r="W1064" i="1"/>
  <c r="S948" i="1"/>
  <c r="T948" i="1"/>
  <c r="U948" i="1"/>
  <c r="V948" i="1"/>
  <c r="W948" i="1"/>
  <c r="S941" i="1"/>
  <c r="T941" i="1"/>
  <c r="U941" i="1"/>
  <c r="V941" i="1"/>
  <c r="W941" i="1"/>
  <c r="S1086" i="1"/>
  <c r="T1086" i="1"/>
  <c r="U1086" i="1"/>
  <c r="V1086" i="1"/>
  <c r="W1086" i="1"/>
  <c r="S1087" i="1"/>
  <c r="T1087" i="1"/>
  <c r="U1087" i="1"/>
  <c r="V1087" i="1"/>
  <c r="W1087" i="1"/>
  <c r="S1088" i="1"/>
  <c r="T1088" i="1"/>
  <c r="U1088" i="1"/>
  <c r="V1088" i="1"/>
  <c r="W1088" i="1"/>
  <c r="S926" i="1"/>
  <c r="T926" i="1"/>
  <c r="U926" i="1"/>
  <c r="V926" i="1"/>
  <c r="W926" i="1"/>
  <c r="S939" i="1"/>
  <c r="T939" i="1"/>
  <c r="U939" i="1"/>
  <c r="V939" i="1"/>
  <c r="W939" i="1"/>
  <c r="S932" i="1"/>
  <c r="T932" i="1"/>
  <c r="U932" i="1"/>
  <c r="V932" i="1"/>
  <c r="W932" i="1"/>
  <c r="S1092" i="1"/>
  <c r="T1092" i="1"/>
  <c r="U1092" i="1"/>
  <c r="V1092" i="1"/>
  <c r="W1092" i="1"/>
  <c r="S910" i="1"/>
  <c r="T910" i="1"/>
  <c r="U910" i="1"/>
  <c r="V910" i="1"/>
  <c r="W910" i="1"/>
  <c r="S1094" i="1"/>
  <c r="T1094" i="1"/>
  <c r="U1094" i="1"/>
  <c r="V1094" i="1"/>
  <c r="W1094" i="1"/>
  <c r="S1095" i="1"/>
  <c r="T1095" i="1"/>
  <c r="U1095" i="1"/>
  <c r="V1095" i="1"/>
  <c r="W1095" i="1"/>
  <c r="S1295" i="1"/>
  <c r="T1295" i="1"/>
  <c r="U1295" i="1"/>
  <c r="V1295" i="1"/>
  <c r="W1295" i="1"/>
  <c r="S1097" i="1"/>
  <c r="T1097" i="1"/>
  <c r="U1097" i="1"/>
  <c r="V1097" i="1"/>
  <c r="W1097" i="1"/>
  <c r="S1098" i="1"/>
  <c r="T1098" i="1"/>
  <c r="U1098" i="1"/>
  <c r="V1098" i="1"/>
  <c r="W1098" i="1"/>
  <c r="S1296" i="1"/>
  <c r="T1296" i="1"/>
  <c r="U1296" i="1"/>
  <c r="V1296" i="1"/>
  <c r="W1296" i="1"/>
  <c r="S1297" i="1"/>
  <c r="T1297" i="1"/>
  <c r="U1297" i="1"/>
  <c r="V1297" i="1"/>
  <c r="W1297" i="1"/>
  <c r="S1298" i="1"/>
  <c r="T1298" i="1"/>
  <c r="U1298" i="1"/>
  <c r="V1298" i="1"/>
  <c r="W1298" i="1"/>
  <c r="S1299" i="1"/>
  <c r="T1299" i="1"/>
  <c r="U1299" i="1"/>
  <c r="V1299" i="1"/>
  <c r="W1299" i="1"/>
  <c r="S1103" i="1"/>
  <c r="T1103" i="1"/>
  <c r="U1103" i="1"/>
  <c r="V1103" i="1"/>
  <c r="W1103" i="1"/>
  <c r="S1300" i="1"/>
  <c r="T1300" i="1"/>
  <c r="U1300" i="1"/>
  <c r="V1300" i="1"/>
  <c r="W1300" i="1"/>
  <c r="S1301" i="1"/>
  <c r="T1301" i="1"/>
  <c r="U1301" i="1"/>
  <c r="V1301" i="1"/>
  <c r="W1301" i="1"/>
  <c r="S1302" i="1"/>
  <c r="T1302" i="1"/>
  <c r="U1302" i="1"/>
  <c r="V1302" i="1"/>
  <c r="W1302" i="1"/>
  <c r="S1107" i="1"/>
  <c r="T1107" i="1"/>
  <c r="U1107" i="1"/>
  <c r="V1107" i="1"/>
  <c r="W1107" i="1"/>
  <c r="S1108" i="1"/>
  <c r="T1108" i="1"/>
  <c r="U1108" i="1"/>
  <c r="V1108" i="1"/>
  <c r="W1108" i="1"/>
  <c r="S1109" i="1"/>
  <c r="T1109" i="1"/>
  <c r="U1109" i="1"/>
  <c r="V1109" i="1"/>
  <c r="W1109" i="1"/>
  <c r="S1303" i="1"/>
  <c r="T1303" i="1"/>
  <c r="U1303" i="1"/>
  <c r="V1303" i="1"/>
  <c r="W1303" i="1"/>
  <c r="S1304" i="1"/>
  <c r="T1304" i="1"/>
  <c r="U1304" i="1"/>
  <c r="V1304" i="1"/>
  <c r="W1304" i="1"/>
  <c r="S1305" i="1"/>
  <c r="T1305" i="1"/>
  <c r="U1305" i="1"/>
  <c r="V1305" i="1"/>
  <c r="W1305" i="1"/>
  <c r="S1306" i="1"/>
  <c r="T1306" i="1"/>
  <c r="U1306" i="1"/>
  <c r="V1306" i="1"/>
  <c r="W1306" i="1"/>
  <c r="S1307" i="1"/>
  <c r="T1307" i="1"/>
  <c r="U1307" i="1"/>
  <c r="V1307" i="1"/>
  <c r="W1307" i="1"/>
  <c r="S1308" i="1"/>
  <c r="T1308" i="1"/>
  <c r="U1308" i="1"/>
  <c r="V1308" i="1"/>
  <c r="W1308" i="1"/>
  <c r="S1116" i="1"/>
  <c r="T1116" i="1"/>
  <c r="U1116" i="1"/>
  <c r="V1116" i="1"/>
  <c r="W1116" i="1"/>
  <c r="S1309" i="1"/>
  <c r="T1309" i="1"/>
  <c r="U1309" i="1"/>
  <c r="V1309" i="1"/>
  <c r="W1309" i="1"/>
  <c r="S1118" i="1"/>
  <c r="T1118" i="1"/>
  <c r="U1118" i="1"/>
  <c r="V1118" i="1"/>
  <c r="W1118" i="1"/>
  <c r="S1310" i="1"/>
  <c r="T1310" i="1"/>
  <c r="U1310" i="1"/>
  <c r="V1310" i="1"/>
  <c r="W1310" i="1"/>
  <c r="S1311" i="1"/>
  <c r="T1311" i="1"/>
  <c r="U1311" i="1"/>
  <c r="V1311" i="1"/>
  <c r="W1311" i="1"/>
  <c r="S1312" i="1"/>
  <c r="T1312" i="1"/>
  <c r="U1312" i="1"/>
  <c r="V1312" i="1"/>
  <c r="W1312" i="1"/>
  <c r="S1313" i="1"/>
  <c r="T1313" i="1"/>
  <c r="U1313" i="1"/>
  <c r="V1313" i="1"/>
  <c r="W1313" i="1"/>
  <c r="S1314" i="1"/>
  <c r="T1314" i="1"/>
  <c r="U1314" i="1"/>
  <c r="V1314" i="1"/>
  <c r="W1314" i="1"/>
  <c r="S1315" i="1"/>
  <c r="T1315" i="1"/>
  <c r="U1315" i="1"/>
  <c r="V1315" i="1"/>
  <c r="W1315" i="1"/>
  <c r="S1316" i="1"/>
  <c r="T1316" i="1"/>
  <c r="U1316" i="1"/>
  <c r="V1316" i="1"/>
  <c r="W1316" i="1"/>
  <c r="S1317" i="1"/>
  <c r="T1317" i="1"/>
  <c r="U1317" i="1"/>
  <c r="V1317" i="1"/>
  <c r="W1317" i="1"/>
  <c r="S1318" i="1"/>
  <c r="T1318" i="1"/>
  <c r="U1318" i="1"/>
  <c r="V1318" i="1"/>
  <c r="W1318" i="1"/>
  <c r="S1128" i="1"/>
  <c r="T1128" i="1"/>
  <c r="U1128" i="1"/>
  <c r="V1128" i="1"/>
  <c r="W1128" i="1"/>
  <c r="S1319" i="1"/>
  <c r="T1319" i="1"/>
  <c r="U1319" i="1"/>
  <c r="V1319" i="1"/>
  <c r="W1319" i="1"/>
  <c r="S1320" i="1"/>
  <c r="T1320" i="1"/>
  <c r="U1320" i="1"/>
  <c r="V1320" i="1"/>
  <c r="W1320" i="1"/>
  <c r="S1321" i="1"/>
  <c r="T1321" i="1"/>
  <c r="U1321" i="1"/>
  <c r="V1321" i="1"/>
  <c r="W1321" i="1"/>
  <c r="S1132" i="1"/>
  <c r="T1132" i="1"/>
  <c r="U1132" i="1"/>
  <c r="V1132" i="1"/>
  <c r="W1132" i="1"/>
  <c r="S1322" i="1"/>
  <c r="T1322" i="1"/>
  <c r="U1322" i="1"/>
  <c r="V1322" i="1"/>
  <c r="W1322" i="1"/>
  <c r="S1323" i="1"/>
  <c r="T1323" i="1"/>
  <c r="U1323" i="1"/>
  <c r="V1323" i="1"/>
  <c r="W1323" i="1"/>
  <c r="S1324" i="1"/>
  <c r="T1324" i="1"/>
  <c r="U1324" i="1"/>
  <c r="V1324" i="1"/>
  <c r="W1324" i="1"/>
  <c r="S1325" i="1"/>
  <c r="T1325" i="1"/>
  <c r="U1325" i="1"/>
  <c r="V1325" i="1"/>
  <c r="W1325" i="1"/>
  <c r="S1326" i="1"/>
  <c r="T1326" i="1"/>
  <c r="U1326" i="1"/>
  <c r="V1326" i="1"/>
  <c r="W1326" i="1"/>
  <c r="S1138" i="1"/>
  <c r="T1138" i="1"/>
  <c r="U1138" i="1"/>
  <c r="V1138" i="1"/>
  <c r="W1138" i="1"/>
  <c r="S1327" i="1"/>
  <c r="T1327" i="1"/>
  <c r="U1327" i="1"/>
  <c r="V1327" i="1"/>
  <c r="W1327" i="1"/>
  <c r="S1140" i="1"/>
  <c r="T1140" i="1"/>
  <c r="U1140" i="1"/>
  <c r="V1140" i="1"/>
  <c r="W1140" i="1"/>
  <c r="S1004" i="1"/>
  <c r="T1004" i="1"/>
  <c r="U1004" i="1"/>
  <c r="V1004" i="1"/>
  <c r="W1004" i="1"/>
  <c r="S1000" i="1"/>
  <c r="T1000" i="1"/>
  <c r="U1000" i="1"/>
  <c r="V1000" i="1"/>
  <c r="W1000" i="1"/>
  <c r="S1002" i="1"/>
  <c r="T1002" i="1"/>
  <c r="U1002" i="1"/>
  <c r="V1002" i="1"/>
  <c r="W1002" i="1"/>
  <c r="S1144" i="1"/>
  <c r="T1144" i="1"/>
  <c r="U1144" i="1"/>
  <c r="V1144" i="1"/>
  <c r="W1144" i="1"/>
  <c r="S1145" i="1"/>
  <c r="T1145" i="1"/>
  <c r="U1145" i="1"/>
  <c r="V1145" i="1"/>
  <c r="W1145" i="1"/>
  <c r="S976" i="1"/>
  <c r="T976" i="1"/>
  <c r="U976" i="1"/>
  <c r="V976" i="1"/>
  <c r="W976" i="1"/>
  <c r="S974" i="1"/>
  <c r="T974" i="1"/>
  <c r="U974" i="1"/>
  <c r="V974" i="1"/>
  <c r="W974" i="1"/>
  <c r="S972" i="1"/>
  <c r="T972" i="1"/>
  <c r="U972" i="1"/>
  <c r="V972" i="1"/>
  <c r="W972" i="1"/>
  <c r="S1149" i="1"/>
  <c r="T1149" i="1"/>
  <c r="U1149" i="1"/>
  <c r="V1149" i="1"/>
  <c r="W1149" i="1"/>
  <c r="S1150" i="1"/>
  <c r="T1150" i="1"/>
  <c r="U1150" i="1"/>
  <c r="V1150" i="1"/>
  <c r="W1150" i="1"/>
  <c r="S1151" i="1"/>
  <c r="T1151" i="1"/>
  <c r="U1151" i="1"/>
  <c r="V1151" i="1"/>
  <c r="W1151" i="1"/>
  <c r="S1152" i="1"/>
  <c r="T1152" i="1"/>
  <c r="U1152" i="1"/>
  <c r="V1152" i="1"/>
  <c r="W1152" i="1"/>
  <c r="S1153" i="1"/>
  <c r="T1153" i="1"/>
  <c r="U1153" i="1"/>
  <c r="V1153" i="1"/>
  <c r="W1153" i="1"/>
  <c r="S971" i="1"/>
  <c r="T971" i="1"/>
  <c r="U971" i="1"/>
  <c r="V971" i="1"/>
  <c r="W971" i="1"/>
  <c r="S970" i="1"/>
  <c r="T970" i="1"/>
  <c r="U970" i="1"/>
  <c r="V970" i="1"/>
  <c r="W970" i="1"/>
  <c r="S967" i="1"/>
  <c r="T967" i="1"/>
  <c r="U967" i="1"/>
  <c r="V967" i="1"/>
  <c r="W967" i="1"/>
  <c r="S1328" i="1"/>
  <c r="T1328" i="1"/>
  <c r="U1328" i="1"/>
  <c r="V1328" i="1"/>
  <c r="W1328" i="1"/>
  <c r="S1329" i="1"/>
  <c r="T1329" i="1"/>
  <c r="U1329" i="1"/>
  <c r="V1329" i="1"/>
  <c r="W1329" i="1"/>
  <c r="S1330" i="1"/>
  <c r="T1330" i="1"/>
  <c r="U1330" i="1"/>
  <c r="V1330" i="1"/>
  <c r="W1330" i="1"/>
  <c r="S1331" i="1"/>
  <c r="T1331" i="1"/>
  <c r="U1331" i="1"/>
  <c r="V1331" i="1"/>
  <c r="W1331" i="1"/>
  <c r="S1332" i="1"/>
  <c r="T1332" i="1"/>
  <c r="U1332" i="1"/>
  <c r="V1332" i="1"/>
  <c r="W1332" i="1"/>
  <c r="S1333" i="1"/>
  <c r="T1333" i="1"/>
  <c r="U1333" i="1"/>
  <c r="V1333" i="1"/>
  <c r="W1333" i="1"/>
  <c r="S1334" i="1"/>
  <c r="T1334" i="1"/>
  <c r="U1334" i="1"/>
  <c r="V1334" i="1"/>
  <c r="W1334" i="1"/>
  <c r="S1335" i="1"/>
  <c r="T1335" i="1"/>
  <c r="U1335" i="1"/>
  <c r="V1335" i="1"/>
  <c r="W1335" i="1"/>
  <c r="S1336" i="1"/>
  <c r="T1336" i="1"/>
  <c r="U1336" i="1"/>
  <c r="V1336" i="1"/>
  <c r="W1336" i="1"/>
  <c r="S1337" i="1"/>
  <c r="T1337" i="1"/>
  <c r="U1337" i="1"/>
  <c r="V1337" i="1"/>
  <c r="W1337" i="1"/>
  <c r="S1167" i="1"/>
  <c r="T1167" i="1"/>
  <c r="U1167" i="1"/>
  <c r="V1167" i="1"/>
  <c r="W1167" i="1"/>
  <c r="S1338" i="1"/>
  <c r="T1338" i="1"/>
  <c r="U1338" i="1"/>
  <c r="V1338" i="1"/>
  <c r="W1338" i="1"/>
  <c r="S1339" i="1"/>
  <c r="T1339" i="1"/>
  <c r="U1339" i="1"/>
  <c r="V1339" i="1"/>
  <c r="W1339" i="1"/>
  <c r="S1340" i="1"/>
  <c r="T1340" i="1"/>
  <c r="U1340" i="1"/>
  <c r="V1340" i="1"/>
  <c r="W1340" i="1"/>
  <c r="S1341" i="1"/>
  <c r="T1341" i="1"/>
  <c r="U1341" i="1"/>
  <c r="V1341" i="1"/>
  <c r="W1341" i="1"/>
  <c r="S1343" i="1"/>
  <c r="T1343" i="1"/>
  <c r="U1343" i="1"/>
  <c r="V1343" i="1"/>
  <c r="W1343" i="1"/>
  <c r="S1346" i="1"/>
  <c r="T1346" i="1"/>
  <c r="U1346" i="1"/>
  <c r="V1346" i="1"/>
  <c r="W1346" i="1"/>
  <c r="S1347" i="1"/>
  <c r="T1347" i="1"/>
  <c r="U1347" i="1"/>
  <c r="V1347" i="1"/>
  <c r="W1347" i="1"/>
  <c r="S1050" i="1"/>
  <c r="T1050" i="1"/>
  <c r="U1050" i="1"/>
  <c r="V1050" i="1"/>
  <c r="W1050" i="1"/>
  <c r="S1048" i="1"/>
  <c r="T1048" i="1"/>
  <c r="U1048" i="1"/>
  <c r="V1048" i="1"/>
  <c r="W1048" i="1"/>
  <c r="S1042" i="1"/>
  <c r="T1042" i="1"/>
  <c r="U1042" i="1"/>
  <c r="V1042" i="1"/>
  <c r="W1042" i="1"/>
  <c r="S1036" i="1"/>
  <c r="T1036" i="1"/>
  <c r="U1036" i="1"/>
  <c r="V1036" i="1"/>
  <c r="W1036" i="1"/>
  <c r="S1035" i="1"/>
  <c r="T1035" i="1"/>
  <c r="U1035" i="1"/>
  <c r="V1035" i="1"/>
  <c r="W1035" i="1"/>
  <c r="S1033" i="1"/>
  <c r="T1033" i="1"/>
  <c r="U1033" i="1"/>
  <c r="V1033" i="1"/>
  <c r="W1033" i="1"/>
  <c r="S1023" i="1"/>
  <c r="T1023" i="1"/>
  <c r="U1023" i="1"/>
  <c r="V1023" i="1"/>
  <c r="W1023" i="1"/>
  <c r="S1022" i="1"/>
  <c r="T1022" i="1"/>
  <c r="U1022" i="1"/>
  <c r="V1022" i="1"/>
  <c r="W1022" i="1"/>
  <c r="S1011" i="1"/>
  <c r="T1011" i="1"/>
  <c r="U1011" i="1"/>
  <c r="V1011" i="1"/>
  <c r="W1011" i="1"/>
  <c r="S1006" i="1"/>
  <c r="T1006" i="1"/>
  <c r="U1006" i="1"/>
  <c r="V1006" i="1"/>
  <c r="W1006" i="1"/>
  <c r="S1348" i="1"/>
  <c r="T1348" i="1"/>
  <c r="U1348" i="1"/>
  <c r="V1348" i="1"/>
  <c r="W1348" i="1"/>
  <c r="S1349" i="1"/>
  <c r="T1349" i="1"/>
  <c r="U1349" i="1"/>
  <c r="V1349" i="1"/>
  <c r="W1349" i="1"/>
  <c r="S1350" i="1"/>
  <c r="T1350" i="1"/>
  <c r="U1350" i="1"/>
  <c r="V1350" i="1"/>
  <c r="W1350" i="1"/>
  <c r="S1188" i="1"/>
  <c r="T1188" i="1"/>
  <c r="U1188" i="1"/>
  <c r="V1188" i="1"/>
  <c r="W1188" i="1"/>
  <c r="S1351" i="1"/>
  <c r="T1351" i="1"/>
  <c r="U1351" i="1"/>
  <c r="V1351" i="1"/>
  <c r="W1351" i="1"/>
  <c r="S1352" i="1"/>
  <c r="T1352" i="1"/>
  <c r="U1352" i="1"/>
  <c r="V1352" i="1"/>
  <c r="W1352" i="1"/>
  <c r="S1353" i="1"/>
  <c r="T1353" i="1"/>
  <c r="U1353" i="1"/>
  <c r="V1353" i="1"/>
  <c r="W1353" i="1"/>
  <c r="S1354" i="1"/>
  <c r="T1354" i="1"/>
  <c r="U1354" i="1"/>
  <c r="V1354" i="1"/>
  <c r="W1354" i="1"/>
  <c r="S1355" i="1"/>
  <c r="T1355" i="1"/>
  <c r="U1355" i="1"/>
  <c r="V1355" i="1"/>
  <c r="W1355" i="1"/>
  <c r="S1356" i="1"/>
  <c r="T1356" i="1"/>
  <c r="U1356" i="1"/>
  <c r="V1356" i="1"/>
  <c r="W1356" i="1"/>
  <c r="S1357" i="1"/>
  <c r="T1357" i="1"/>
  <c r="U1357" i="1"/>
  <c r="V1357" i="1"/>
  <c r="W1357" i="1"/>
  <c r="S1358" i="1"/>
  <c r="T1358" i="1"/>
  <c r="U1358" i="1"/>
  <c r="V1358" i="1"/>
  <c r="W1358" i="1"/>
  <c r="S1359" i="1"/>
  <c r="T1359" i="1"/>
  <c r="U1359" i="1"/>
  <c r="V1359" i="1"/>
  <c r="W1359" i="1"/>
  <c r="S1360" i="1"/>
  <c r="T1360" i="1"/>
  <c r="U1360" i="1"/>
  <c r="V1360" i="1"/>
  <c r="W1360" i="1"/>
  <c r="S1361" i="1"/>
  <c r="T1361" i="1"/>
  <c r="U1361" i="1"/>
  <c r="V1361" i="1"/>
  <c r="W1361" i="1"/>
  <c r="S1362" i="1"/>
  <c r="T1362" i="1"/>
  <c r="U1362" i="1"/>
  <c r="V1362" i="1"/>
  <c r="W1362" i="1"/>
  <c r="S1364" i="1"/>
  <c r="T1364" i="1"/>
  <c r="U1364" i="1"/>
  <c r="V1364" i="1"/>
  <c r="W1364" i="1"/>
  <c r="S1365" i="1"/>
  <c r="T1365" i="1"/>
  <c r="U1365" i="1"/>
  <c r="V1365" i="1"/>
  <c r="W1365" i="1"/>
  <c r="S1366" i="1"/>
  <c r="T1366" i="1"/>
  <c r="U1366" i="1"/>
  <c r="V1366" i="1"/>
  <c r="W1366" i="1"/>
  <c r="S1367" i="1"/>
  <c r="T1367" i="1"/>
  <c r="U1367" i="1"/>
  <c r="V1367" i="1"/>
  <c r="W1367" i="1"/>
  <c r="S1368" i="1"/>
  <c r="T1368" i="1"/>
  <c r="U1368" i="1"/>
  <c r="V1368" i="1"/>
  <c r="W1368" i="1"/>
  <c r="S1369" i="1"/>
  <c r="T1369" i="1"/>
  <c r="U1369" i="1"/>
  <c r="V1369" i="1"/>
  <c r="W1369" i="1"/>
  <c r="S1370" i="1"/>
  <c r="T1370" i="1"/>
  <c r="U1370" i="1"/>
  <c r="V1370" i="1"/>
  <c r="W1370" i="1"/>
  <c r="S1371" i="1"/>
  <c r="T1371" i="1"/>
  <c r="U1371" i="1"/>
  <c r="V1371" i="1"/>
  <c r="W1371" i="1"/>
  <c r="S1063" i="1"/>
  <c r="T1063" i="1"/>
  <c r="U1063" i="1"/>
  <c r="V1063" i="1"/>
  <c r="W1063" i="1"/>
  <c r="S1069" i="1"/>
  <c r="T1069" i="1"/>
  <c r="U1069" i="1"/>
  <c r="V1069" i="1"/>
  <c r="W1069" i="1"/>
  <c r="S1062" i="1"/>
  <c r="T1062" i="1"/>
  <c r="U1062" i="1"/>
  <c r="V1062" i="1"/>
  <c r="W1062" i="1"/>
  <c r="S1066" i="1"/>
  <c r="T1066" i="1"/>
  <c r="U1066" i="1"/>
  <c r="V1066" i="1"/>
  <c r="W1066" i="1"/>
  <c r="S1060" i="1"/>
  <c r="T1060" i="1"/>
  <c r="U1060" i="1"/>
  <c r="V1060" i="1"/>
  <c r="W1060" i="1"/>
  <c r="S1058" i="1"/>
  <c r="T1058" i="1"/>
  <c r="U1058" i="1"/>
  <c r="V1058" i="1"/>
  <c r="W1058" i="1"/>
  <c r="S1054" i="1"/>
  <c r="T1054" i="1"/>
  <c r="U1054" i="1"/>
  <c r="V1054" i="1"/>
  <c r="W1054" i="1"/>
  <c r="S1052" i="1"/>
  <c r="T1052" i="1"/>
  <c r="U1052" i="1"/>
  <c r="V1052" i="1"/>
  <c r="W1052" i="1"/>
  <c r="S1372" i="1"/>
  <c r="T1372" i="1"/>
  <c r="U1372" i="1"/>
  <c r="V1372" i="1"/>
  <c r="W1372" i="1"/>
  <c r="S1373" i="1"/>
  <c r="T1373" i="1"/>
  <c r="U1373" i="1"/>
  <c r="V1373" i="1"/>
  <c r="W1373" i="1"/>
  <c r="S1374" i="1"/>
  <c r="T1374" i="1"/>
  <c r="U1374" i="1"/>
  <c r="V1374" i="1"/>
  <c r="W1374" i="1"/>
  <c r="S1375" i="1"/>
  <c r="T1375" i="1"/>
  <c r="U1375" i="1"/>
  <c r="V1375" i="1"/>
  <c r="W1375" i="1"/>
  <c r="S1376" i="1"/>
  <c r="T1376" i="1"/>
  <c r="U1376" i="1"/>
  <c r="V1376" i="1"/>
  <c r="W1376" i="1"/>
  <c r="S1377" i="1"/>
  <c r="T1377" i="1"/>
  <c r="U1377" i="1"/>
  <c r="V1377" i="1"/>
  <c r="W1377" i="1"/>
  <c r="S1378" i="1"/>
  <c r="T1378" i="1"/>
  <c r="U1378" i="1"/>
  <c r="V1378" i="1"/>
  <c r="W1378" i="1"/>
  <c r="S1379" i="1"/>
  <c r="T1379" i="1"/>
  <c r="U1379" i="1"/>
  <c r="V1379" i="1"/>
  <c r="W1379" i="1"/>
  <c r="S1380" i="1"/>
  <c r="T1380" i="1"/>
  <c r="U1380" i="1"/>
  <c r="V1380" i="1"/>
  <c r="W1380" i="1"/>
  <c r="S1381" i="1"/>
  <c r="T1381" i="1"/>
  <c r="U1381" i="1"/>
  <c r="V1381" i="1"/>
  <c r="W1381" i="1"/>
  <c r="S1382" i="1"/>
  <c r="T1382" i="1"/>
  <c r="U1382" i="1"/>
  <c r="V1382" i="1"/>
  <c r="W1382" i="1"/>
  <c r="S1383" i="1"/>
  <c r="T1383" i="1"/>
  <c r="U1383" i="1"/>
  <c r="V1383" i="1"/>
  <c r="W1383" i="1"/>
  <c r="S1384" i="1"/>
  <c r="T1384" i="1"/>
  <c r="U1384" i="1"/>
  <c r="V1384" i="1"/>
  <c r="W1384" i="1"/>
  <c r="S1385" i="1"/>
  <c r="T1385" i="1"/>
  <c r="U1385" i="1"/>
  <c r="V1385" i="1"/>
  <c r="W1385" i="1"/>
  <c r="S1386" i="1"/>
  <c r="T1386" i="1"/>
  <c r="U1386" i="1"/>
  <c r="V1386" i="1"/>
  <c r="W1386" i="1"/>
  <c r="S1387" i="1"/>
  <c r="T1387" i="1"/>
  <c r="U1387" i="1"/>
  <c r="V1387" i="1"/>
  <c r="W1387" i="1"/>
  <c r="S1388" i="1"/>
  <c r="T1388" i="1"/>
  <c r="U1388" i="1"/>
  <c r="V1388" i="1"/>
  <c r="W1388" i="1"/>
  <c r="S1389" i="1"/>
  <c r="T1389" i="1"/>
  <c r="U1389" i="1"/>
  <c r="V1389" i="1"/>
  <c r="W1389" i="1"/>
  <c r="S1390" i="1"/>
  <c r="T1390" i="1"/>
  <c r="U1390" i="1"/>
  <c r="V1390" i="1"/>
  <c r="W1390" i="1"/>
  <c r="S1392" i="1"/>
  <c r="T1392" i="1"/>
  <c r="U1392" i="1"/>
  <c r="V1392" i="1"/>
  <c r="W1392" i="1"/>
  <c r="S1393" i="1"/>
  <c r="T1393" i="1"/>
  <c r="U1393" i="1"/>
  <c r="V1393" i="1"/>
  <c r="W1393" i="1"/>
  <c r="S1394" i="1"/>
  <c r="T1394" i="1"/>
  <c r="U1394" i="1"/>
  <c r="V1394" i="1"/>
  <c r="W1394" i="1"/>
  <c r="S1395" i="1"/>
  <c r="T1395" i="1"/>
  <c r="U1395" i="1"/>
  <c r="V1395" i="1"/>
  <c r="W1395" i="1"/>
  <c r="S1396" i="1"/>
  <c r="T1396" i="1"/>
  <c r="U1396" i="1"/>
  <c r="V1396" i="1"/>
  <c r="W1396" i="1"/>
  <c r="S1398" i="1"/>
  <c r="T1398" i="1"/>
  <c r="U1398" i="1"/>
  <c r="V1398" i="1"/>
  <c r="W1398" i="1"/>
  <c r="S1399" i="1"/>
  <c r="T1399" i="1"/>
  <c r="U1399" i="1"/>
  <c r="V1399" i="1"/>
  <c r="W1399" i="1"/>
  <c r="S1400" i="1"/>
  <c r="T1400" i="1"/>
  <c r="U1400" i="1"/>
  <c r="V1400" i="1"/>
  <c r="W1400" i="1"/>
  <c r="S1401" i="1"/>
  <c r="T1401" i="1"/>
  <c r="U1401" i="1"/>
  <c r="V1401" i="1"/>
  <c r="W1401" i="1"/>
  <c r="S1402" i="1"/>
  <c r="T1402" i="1"/>
  <c r="U1402" i="1"/>
  <c r="V1402" i="1"/>
  <c r="W1402" i="1"/>
  <c r="S1403" i="1"/>
  <c r="T1403" i="1"/>
  <c r="U1403" i="1"/>
  <c r="V1403" i="1"/>
  <c r="W1403" i="1"/>
  <c r="S1404" i="1"/>
  <c r="T1404" i="1"/>
  <c r="U1404" i="1"/>
  <c r="V1404" i="1"/>
  <c r="W1404" i="1"/>
  <c r="S1405" i="1"/>
  <c r="T1405" i="1"/>
  <c r="U1405" i="1"/>
  <c r="V1405" i="1"/>
  <c r="W1405" i="1"/>
  <c r="S1406" i="1"/>
  <c r="T1406" i="1"/>
  <c r="U1406" i="1"/>
  <c r="V1406" i="1"/>
  <c r="W1406" i="1"/>
  <c r="S1407" i="1"/>
  <c r="T1407" i="1"/>
  <c r="U1407" i="1"/>
  <c r="V1407" i="1"/>
  <c r="W1407" i="1"/>
  <c r="S1091" i="1"/>
  <c r="T1091" i="1"/>
  <c r="U1091" i="1"/>
  <c r="V1091" i="1"/>
  <c r="W1091" i="1"/>
  <c r="S1090" i="1"/>
  <c r="T1090" i="1"/>
  <c r="U1090" i="1"/>
  <c r="V1090" i="1"/>
  <c r="W1090" i="1"/>
  <c r="S1089" i="1"/>
  <c r="T1089" i="1"/>
  <c r="U1089" i="1"/>
  <c r="V1089" i="1"/>
  <c r="W1089" i="1"/>
  <c r="S1093" i="1"/>
  <c r="T1093" i="1"/>
  <c r="U1093" i="1"/>
  <c r="V1093" i="1"/>
  <c r="W1093" i="1"/>
  <c r="S1085" i="1"/>
  <c r="T1085" i="1"/>
  <c r="U1085" i="1"/>
  <c r="V1085" i="1"/>
  <c r="W1085" i="1"/>
  <c r="S1084" i="1"/>
  <c r="T1084" i="1"/>
  <c r="U1084" i="1"/>
  <c r="V1084" i="1"/>
  <c r="W1084" i="1"/>
  <c r="S1083" i="1"/>
  <c r="T1083" i="1"/>
  <c r="U1083" i="1"/>
  <c r="V1083" i="1"/>
  <c r="W1083" i="1"/>
  <c r="S1079" i="1"/>
  <c r="T1079" i="1"/>
  <c r="U1079" i="1"/>
  <c r="V1079" i="1"/>
  <c r="W1079" i="1"/>
  <c r="S1078" i="1"/>
  <c r="T1078" i="1"/>
  <c r="U1078" i="1"/>
  <c r="V1078" i="1"/>
  <c r="W1078" i="1"/>
  <c r="S1077" i="1"/>
  <c r="T1077" i="1"/>
  <c r="U1077" i="1"/>
  <c r="V1077" i="1"/>
  <c r="W1077" i="1"/>
  <c r="S1076" i="1"/>
  <c r="T1076" i="1"/>
  <c r="U1076" i="1"/>
  <c r="V1076" i="1"/>
  <c r="W1076" i="1"/>
  <c r="S1075" i="1"/>
  <c r="T1075" i="1"/>
  <c r="U1075" i="1"/>
  <c r="V1075" i="1"/>
  <c r="W1075" i="1"/>
  <c r="S1263" i="1"/>
  <c r="T1263" i="1"/>
  <c r="U1263" i="1"/>
  <c r="V1263" i="1"/>
  <c r="W1263" i="1"/>
  <c r="S1074" i="1"/>
  <c r="T1074" i="1"/>
  <c r="U1074" i="1"/>
  <c r="V1074" i="1"/>
  <c r="W1074" i="1"/>
  <c r="S1070" i="1"/>
  <c r="T1070" i="1"/>
  <c r="U1070" i="1"/>
  <c r="V1070" i="1"/>
  <c r="W1070" i="1"/>
  <c r="S1408" i="1"/>
  <c r="T1408" i="1"/>
  <c r="U1408" i="1"/>
  <c r="V1408" i="1"/>
  <c r="W1408" i="1"/>
  <c r="S1409" i="1"/>
  <c r="T1409" i="1"/>
  <c r="U1409" i="1"/>
  <c r="V1409" i="1"/>
  <c r="W1409" i="1"/>
  <c r="S1410" i="1"/>
  <c r="T1410" i="1"/>
  <c r="U1410" i="1"/>
  <c r="V1410" i="1"/>
  <c r="W1410" i="1"/>
  <c r="S1411" i="1"/>
  <c r="T1411" i="1"/>
  <c r="U1411" i="1"/>
  <c r="V1411" i="1"/>
  <c r="W1411" i="1"/>
  <c r="S1412" i="1"/>
  <c r="T1412" i="1"/>
  <c r="U1412" i="1"/>
  <c r="V1412" i="1"/>
  <c r="W1412" i="1"/>
  <c r="S1413" i="1"/>
  <c r="T1413" i="1"/>
  <c r="U1413" i="1"/>
  <c r="V1413" i="1"/>
  <c r="W1413" i="1"/>
  <c r="S1415" i="1"/>
  <c r="T1415" i="1"/>
  <c r="U1415" i="1"/>
  <c r="V1415" i="1"/>
  <c r="W1415" i="1"/>
  <c r="S1416" i="1"/>
  <c r="T1416" i="1"/>
  <c r="U1416" i="1"/>
  <c r="V1416" i="1"/>
  <c r="W1416" i="1"/>
  <c r="S1417" i="1"/>
  <c r="T1417" i="1"/>
  <c r="U1417" i="1"/>
  <c r="V1417" i="1"/>
  <c r="W1417" i="1"/>
  <c r="S1418" i="1"/>
  <c r="T1418" i="1"/>
  <c r="U1418" i="1"/>
  <c r="V1418" i="1"/>
  <c r="W1418" i="1"/>
  <c r="S1419" i="1"/>
  <c r="T1419" i="1"/>
  <c r="U1419" i="1"/>
  <c r="V1419" i="1"/>
  <c r="W1419" i="1"/>
  <c r="S1420" i="1"/>
  <c r="T1420" i="1"/>
  <c r="U1420" i="1"/>
  <c r="V1420" i="1"/>
  <c r="W1420" i="1"/>
  <c r="S1421" i="1"/>
  <c r="T1421" i="1"/>
  <c r="U1421" i="1"/>
  <c r="V1421" i="1"/>
  <c r="W1421" i="1"/>
  <c r="S1422" i="1"/>
  <c r="T1422" i="1"/>
  <c r="U1422" i="1"/>
  <c r="V1422" i="1"/>
  <c r="W1422" i="1"/>
  <c r="S1280" i="1"/>
  <c r="T1280" i="1"/>
  <c r="U1280" i="1"/>
  <c r="V1280" i="1"/>
  <c r="W1280" i="1"/>
  <c r="S1423" i="1"/>
  <c r="T1423" i="1"/>
  <c r="U1423" i="1"/>
  <c r="V1423" i="1"/>
  <c r="W1423" i="1"/>
  <c r="S1424" i="1"/>
  <c r="T1424" i="1"/>
  <c r="U1424" i="1"/>
  <c r="V1424" i="1"/>
  <c r="W1424" i="1"/>
  <c r="S1425" i="1"/>
  <c r="T1425" i="1"/>
  <c r="U1425" i="1"/>
  <c r="V1425" i="1"/>
  <c r="W1425" i="1"/>
  <c r="S1426" i="1"/>
  <c r="T1426" i="1"/>
  <c r="U1426" i="1"/>
  <c r="V1426" i="1"/>
  <c r="W1426" i="1"/>
  <c r="S1427" i="1"/>
  <c r="T1427" i="1"/>
  <c r="U1427" i="1"/>
  <c r="V1427" i="1"/>
  <c r="W1427" i="1"/>
  <c r="S1428" i="1"/>
  <c r="T1428" i="1"/>
  <c r="U1428" i="1"/>
  <c r="V1428" i="1"/>
  <c r="W1428" i="1"/>
  <c r="S1429" i="1"/>
  <c r="T1429" i="1"/>
  <c r="U1429" i="1"/>
  <c r="V1429" i="1"/>
  <c r="W1429" i="1"/>
  <c r="S1430" i="1"/>
  <c r="T1430" i="1"/>
  <c r="U1430" i="1"/>
  <c r="V1430" i="1"/>
  <c r="W1430" i="1"/>
  <c r="S1431" i="1"/>
  <c r="T1431" i="1"/>
  <c r="U1431" i="1"/>
  <c r="V1431" i="1"/>
  <c r="W1431" i="1"/>
  <c r="S1123" i="1"/>
  <c r="T1123" i="1"/>
  <c r="U1123" i="1"/>
  <c r="V1123" i="1"/>
  <c r="W1123" i="1"/>
  <c r="S1122" i="1"/>
  <c r="T1122" i="1"/>
  <c r="U1122" i="1"/>
  <c r="V1122" i="1"/>
  <c r="W1122" i="1"/>
  <c r="S1124" i="1"/>
  <c r="T1124" i="1"/>
  <c r="U1124" i="1"/>
  <c r="V1124" i="1"/>
  <c r="W1124" i="1"/>
  <c r="S1119" i="1"/>
  <c r="T1119" i="1"/>
  <c r="U1119" i="1"/>
  <c r="V1119" i="1"/>
  <c r="W1119" i="1"/>
  <c r="S1121" i="1"/>
  <c r="T1121" i="1"/>
  <c r="U1121" i="1"/>
  <c r="V1121" i="1"/>
  <c r="W1121" i="1"/>
  <c r="S1120" i="1"/>
  <c r="T1120" i="1"/>
  <c r="U1120" i="1"/>
  <c r="V1120" i="1"/>
  <c r="W1120" i="1"/>
  <c r="S1113" i="1"/>
  <c r="T1113" i="1"/>
  <c r="U1113" i="1"/>
  <c r="V1113" i="1"/>
  <c r="W1113" i="1"/>
  <c r="S1112" i="1"/>
  <c r="T1112" i="1"/>
  <c r="U1112" i="1"/>
  <c r="V1112" i="1"/>
  <c r="W1112" i="1"/>
  <c r="S1117" i="1"/>
  <c r="T1117" i="1"/>
  <c r="U1117" i="1"/>
  <c r="V1117" i="1"/>
  <c r="W1117" i="1"/>
  <c r="S1115" i="1"/>
  <c r="T1115" i="1"/>
  <c r="U1115" i="1"/>
  <c r="V1115" i="1"/>
  <c r="W1115" i="1"/>
  <c r="S1114" i="1"/>
  <c r="T1114" i="1"/>
  <c r="U1114" i="1"/>
  <c r="V1114" i="1"/>
  <c r="W1114" i="1"/>
  <c r="S1111" i="1"/>
  <c r="T1111" i="1"/>
  <c r="U1111" i="1"/>
  <c r="V1111" i="1"/>
  <c r="W1111" i="1"/>
  <c r="S1110" i="1"/>
  <c r="T1110" i="1"/>
  <c r="U1110" i="1"/>
  <c r="V1110" i="1"/>
  <c r="W1110" i="1"/>
  <c r="S1104" i="1"/>
  <c r="T1104" i="1"/>
  <c r="U1104" i="1"/>
  <c r="V1104" i="1"/>
  <c r="W1104" i="1"/>
  <c r="S1102" i="1"/>
  <c r="T1102" i="1"/>
  <c r="U1102" i="1"/>
  <c r="V1102" i="1"/>
  <c r="W1102" i="1"/>
  <c r="S1106" i="1"/>
  <c r="T1106" i="1"/>
  <c r="U1106" i="1"/>
  <c r="V1106" i="1"/>
  <c r="W1106" i="1"/>
  <c r="S1105" i="1"/>
  <c r="T1105" i="1"/>
  <c r="U1105" i="1"/>
  <c r="V1105" i="1"/>
  <c r="W1105" i="1"/>
  <c r="S1101" i="1"/>
  <c r="T1101" i="1"/>
  <c r="U1101" i="1"/>
  <c r="V1101" i="1"/>
  <c r="W1101" i="1"/>
  <c r="S1100" i="1"/>
  <c r="T1100" i="1"/>
  <c r="U1100" i="1"/>
  <c r="V1100" i="1"/>
  <c r="W1100" i="1"/>
  <c r="S1099" i="1"/>
  <c r="T1099" i="1"/>
  <c r="U1099" i="1"/>
  <c r="V1099" i="1"/>
  <c r="W1099" i="1"/>
  <c r="S1096" i="1"/>
  <c r="T1096" i="1"/>
  <c r="U1096" i="1"/>
  <c r="V1096" i="1"/>
  <c r="W1096" i="1"/>
  <c r="S1432" i="1"/>
  <c r="T1432" i="1"/>
  <c r="U1432" i="1"/>
  <c r="V1432" i="1"/>
  <c r="W1432" i="1"/>
  <c r="S1433" i="1"/>
  <c r="T1433" i="1"/>
  <c r="U1433" i="1"/>
  <c r="V1433" i="1"/>
  <c r="W1433" i="1"/>
  <c r="S1434" i="1"/>
  <c r="T1434" i="1"/>
  <c r="U1434" i="1"/>
  <c r="V1434" i="1"/>
  <c r="W1434" i="1"/>
  <c r="S1436" i="1"/>
  <c r="T1436" i="1"/>
  <c r="U1436" i="1"/>
  <c r="V1436" i="1"/>
  <c r="W1436" i="1"/>
  <c r="S1437" i="1"/>
  <c r="T1437" i="1"/>
  <c r="U1437" i="1"/>
  <c r="V1437" i="1"/>
  <c r="W1437" i="1"/>
  <c r="S1438" i="1"/>
  <c r="T1438" i="1"/>
  <c r="U1438" i="1"/>
  <c r="V1438" i="1"/>
  <c r="W1438" i="1"/>
  <c r="S1439" i="1"/>
  <c r="T1439" i="1"/>
  <c r="U1439" i="1"/>
  <c r="V1439" i="1"/>
  <c r="W1439" i="1"/>
  <c r="S1440" i="1"/>
  <c r="T1440" i="1"/>
  <c r="U1440" i="1"/>
  <c r="V1440" i="1"/>
  <c r="W1440" i="1"/>
  <c r="S1441" i="1"/>
  <c r="T1441" i="1"/>
  <c r="U1441" i="1"/>
  <c r="V1441" i="1"/>
  <c r="W1441" i="1"/>
  <c r="S1442" i="1"/>
  <c r="T1442" i="1"/>
  <c r="U1442" i="1"/>
  <c r="V1442" i="1"/>
  <c r="W1442" i="1"/>
  <c r="S1443" i="1"/>
  <c r="T1443" i="1"/>
  <c r="U1443" i="1"/>
  <c r="V1443" i="1"/>
  <c r="W1443" i="1"/>
  <c r="S1444" i="1"/>
  <c r="T1444" i="1"/>
  <c r="U1444" i="1"/>
  <c r="V1444" i="1"/>
  <c r="W1444" i="1"/>
  <c r="S1445" i="1"/>
  <c r="T1445" i="1"/>
  <c r="U1445" i="1"/>
  <c r="V1445" i="1"/>
  <c r="W1445" i="1"/>
  <c r="S1446" i="1"/>
  <c r="T1446" i="1"/>
  <c r="U1446" i="1"/>
  <c r="V1446" i="1"/>
  <c r="W1446" i="1"/>
  <c r="S1447" i="1"/>
  <c r="T1447" i="1"/>
  <c r="U1447" i="1"/>
  <c r="V1447" i="1"/>
  <c r="W1447" i="1"/>
  <c r="S1448" i="1"/>
  <c r="T1448" i="1"/>
  <c r="U1448" i="1"/>
  <c r="V1448" i="1"/>
  <c r="W1448" i="1"/>
  <c r="S1449" i="1"/>
  <c r="T1449" i="1"/>
  <c r="U1449" i="1"/>
  <c r="V1449" i="1"/>
  <c r="W1449" i="1"/>
  <c r="S1450" i="1"/>
  <c r="T1450" i="1"/>
  <c r="U1450" i="1"/>
  <c r="V1450" i="1"/>
  <c r="W1450" i="1"/>
  <c r="S1451" i="1"/>
  <c r="T1451" i="1"/>
  <c r="U1451" i="1"/>
  <c r="V1451" i="1"/>
  <c r="W1451" i="1"/>
  <c r="S1452" i="1"/>
  <c r="T1452" i="1"/>
  <c r="U1452" i="1"/>
  <c r="V1452" i="1"/>
  <c r="W1452" i="1"/>
  <c r="S1453" i="1"/>
  <c r="T1453" i="1"/>
  <c r="U1453" i="1"/>
  <c r="V1453" i="1"/>
  <c r="W1453" i="1"/>
  <c r="S1454" i="1"/>
  <c r="T1454" i="1"/>
  <c r="U1454" i="1"/>
  <c r="V1454" i="1"/>
  <c r="W1454" i="1"/>
  <c r="S1455" i="1"/>
  <c r="T1455" i="1"/>
  <c r="U1455" i="1"/>
  <c r="V1455" i="1"/>
  <c r="W1455" i="1"/>
  <c r="S1456" i="1"/>
  <c r="T1456" i="1"/>
  <c r="U1456" i="1"/>
  <c r="V1456" i="1"/>
  <c r="W1456" i="1"/>
  <c r="S1457" i="1"/>
  <c r="T1457" i="1"/>
  <c r="U1457" i="1"/>
  <c r="V1457" i="1"/>
  <c r="W1457" i="1"/>
  <c r="S1458" i="1"/>
  <c r="T1458" i="1"/>
  <c r="U1458" i="1"/>
  <c r="V1458" i="1"/>
  <c r="W1458" i="1"/>
  <c r="S1459" i="1"/>
  <c r="T1459" i="1"/>
  <c r="U1459" i="1"/>
  <c r="V1459" i="1"/>
  <c r="W1459" i="1"/>
  <c r="S1460" i="1"/>
  <c r="T1460" i="1"/>
  <c r="U1460" i="1"/>
  <c r="V1460" i="1"/>
  <c r="W1460" i="1"/>
  <c r="S1461" i="1"/>
  <c r="T1461" i="1"/>
  <c r="U1461" i="1"/>
  <c r="V1461" i="1"/>
  <c r="W1461" i="1"/>
  <c r="S1462" i="1"/>
  <c r="T1462" i="1"/>
  <c r="U1462" i="1"/>
  <c r="V1462" i="1"/>
  <c r="W1462" i="1"/>
  <c r="S1134" i="1"/>
  <c r="T1134" i="1"/>
  <c r="U1134" i="1"/>
  <c r="V1134" i="1"/>
  <c r="W1134" i="1"/>
  <c r="S1342" i="1"/>
  <c r="T1342" i="1"/>
  <c r="U1342" i="1"/>
  <c r="V1342" i="1"/>
  <c r="W1342" i="1"/>
  <c r="S1133" i="1"/>
  <c r="T1133" i="1"/>
  <c r="U1133" i="1"/>
  <c r="V1133" i="1"/>
  <c r="W1133" i="1"/>
  <c r="S1344" i="1"/>
  <c r="T1344" i="1"/>
  <c r="U1344" i="1"/>
  <c r="V1344" i="1"/>
  <c r="W1344" i="1"/>
  <c r="S1345" i="1"/>
  <c r="T1345" i="1"/>
  <c r="U1345" i="1"/>
  <c r="V1345" i="1"/>
  <c r="W1345" i="1"/>
  <c r="S1131" i="1"/>
  <c r="T1131" i="1"/>
  <c r="U1131" i="1"/>
  <c r="V1131" i="1"/>
  <c r="W1131" i="1"/>
  <c r="S1130" i="1"/>
  <c r="T1130" i="1"/>
  <c r="U1130" i="1"/>
  <c r="V1130" i="1"/>
  <c r="W1130" i="1"/>
  <c r="S1129" i="1"/>
  <c r="T1129" i="1"/>
  <c r="U1129" i="1"/>
  <c r="V1129" i="1"/>
  <c r="W1129" i="1"/>
  <c r="S1127" i="1"/>
  <c r="T1127" i="1"/>
  <c r="U1127" i="1"/>
  <c r="V1127" i="1"/>
  <c r="W1127" i="1"/>
  <c r="S1126" i="1"/>
  <c r="T1126" i="1"/>
  <c r="U1126" i="1"/>
  <c r="V1126" i="1"/>
  <c r="W1126" i="1"/>
  <c r="S1125" i="1"/>
  <c r="T1125" i="1"/>
  <c r="U1125" i="1"/>
  <c r="V1125" i="1"/>
  <c r="W1125" i="1"/>
  <c r="S1463" i="1"/>
  <c r="T1463" i="1"/>
  <c r="U1463" i="1"/>
  <c r="V1463" i="1"/>
  <c r="W1463" i="1"/>
  <c r="S1464" i="1"/>
  <c r="T1464" i="1"/>
  <c r="U1464" i="1"/>
  <c r="V1464" i="1"/>
  <c r="W1464" i="1"/>
  <c r="S1465" i="1"/>
  <c r="T1465" i="1"/>
  <c r="U1465" i="1"/>
  <c r="V1465" i="1"/>
  <c r="W1465" i="1"/>
  <c r="S1466" i="1"/>
  <c r="T1466" i="1"/>
  <c r="U1466" i="1"/>
  <c r="V1466" i="1"/>
  <c r="W1466" i="1"/>
  <c r="S1467" i="1"/>
  <c r="T1467" i="1"/>
  <c r="U1467" i="1"/>
  <c r="V1467" i="1"/>
  <c r="W1467" i="1"/>
  <c r="S1468" i="1"/>
  <c r="T1468" i="1"/>
  <c r="U1468" i="1"/>
  <c r="V1468" i="1"/>
  <c r="W1468" i="1"/>
  <c r="S1469" i="1"/>
  <c r="T1469" i="1"/>
  <c r="U1469" i="1"/>
  <c r="V1469" i="1"/>
  <c r="W1469" i="1"/>
  <c r="S1470" i="1"/>
  <c r="T1470" i="1"/>
  <c r="U1470" i="1"/>
  <c r="V1470" i="1"/>
  <c r="W1470" i="1"/>
  <c r="S1471" i="1"/>
  <c r="T1471" i="1"/>
  <c r="U1471" i="1"/>
  <c r="V1471" i="1"/>
  <c r="W1471" i="1"/>
  <c r="S1472" i="1"/>
  <c r="T1472" i="1"/>
  <c r="U1472" i="1"/>
  <c r="V1472" i="1"/>
  <c r="W1472" i="1"/>
  <c r="S1473" i="1"/>
  <c r="T1473" i="1"/>
  <c r="U1473" i="1"/>
  <c r="V1473" i="1"/>
  <c r="W1473" i="1"/>
  <c r="S1363" i="1"/>
  <c r="T1363" i="1"/>
  <c r="U1363" i="1"/>
  <c r="V1363" i="1"/>
  <c r="W1363" i="1"/>
  <c r="S1475" i="1"/>
  <c r="T1475" i="1"/>
  <c r="U1475" i="1"/>
  <c r="V1475" i="1"/>
  <c r="W1475" i="1"/>
  <c r="S1474" i="1"/>
  <c r="T1474" i="1"/>
  <c r="U1474" i="1"/>
  <c r="V1474" i="1"/>
  <c r="W1474" i="1"/>
  <c r="S1476" i="1"/>
  <c r="T1476" i="1"/>
  <c r="U1476" i="1"/>
  <c r="V1476" i="1"/>
  <c r="W1476" i="1"/>
  <c r="S1477" i="1"/>
  <c r="T1477" i="1"/>
  <c r="U1477" i="1"/>
  <c r="V1477" i="1"/>
  <c r="W1477" i="1"/>
  <c r="S1478" i="1"/>
  <c r="T1478" i="1"/>
  <c r="U1478" i="1"/>
  <c r="V1478" i="1"/>
  <c r="W1478" i="1"/>
  <c r="S1479" i="1"/>
  <c r="T1479" i="1"/>
  <c r="U1479" i="1"/>
  <c r="V1479" i="1"/>
  <c r="W1479" i="1"/>
  <c r="S1480" i="1"/>
  <c r="T1480" i="1"/>
  <c r="U1480" i="1"/>
  <c r="V1480" i="1"/>
  <c r="W1480" i="1"/>
  <c r="S1481" i="1"/>
  <c r="T1481" i="1"/>
  <c r="U1481" i="1"/>
  <c r="V1481" i="1"/>
  <c r="W1481" i="1"/>
  <c r="S1482" i="1"/>
  <c r="T1482" i="1"/>
  <c r="U1482" i="1"/>
  <c r="V1482" i="1"/>
  <c r="W1482" i="1"/>
  <c r="S1483" i="1"/>
  <c r="T1483" i="1"/>
  <c r="U1483" i="1"/>
  <c r="V1483" i="1"/>
  <c r="W1483" i="1"/>
  <c r="S1484" i="1"/>
  <c r="T1484" i="1"/>
  <c r="U1484" i="1"/>
  <c r="V1484" i="1"/>
  <c r="W1484" i="1"/>
  <c r="S1157" i="1"/>
  <c r="T1157" i="1"/>
  <c r="U1157" i="1"/>
  <c r="V1157" i="1"/>
  <c r="W1157" i="1"/>
  <c r="S1148" i="1"/>
  <c r="T1148" i="1"/>
  <c r="U1148" i="1"/>
  <c r="V1148" i="1"/>
  <c r="W1148" i="1"/>
  <c r="S1156" i="1"/>
  <c r="T1156" i="1"/>
  <c r="U1156" i="1"/>
  <c r="V1156" i="1"/>
  <c r="W1156" i="1"/>
  <c r="S1155" i="1"/>
  <c r="T1155" i="1"/>
  <c r="U1155" i="1"/>
  <c r="V1155" i="1"/>
  <c r="W1155" i="1"/>
  <c r="S1147" i="1"/>
  <c r="T1147" i="1"/>
  <c r="U1147" i="1"/>
  <c r="V1147" i="1"/>
  <c r="W1147" i="1"/>
  <c r="S1154" i="1"/>
  <c r="T1154" i="1"/>
  <c r="U1154" i="1"/>
  <c r="V1154" i="1"/>
  <c r="W1154" i="1"/>
  <c r="S1146" i="1"/>
  <c r="T1146" i="1"/>
  <c r="U1146" i="1"/>
  <c r="V1146" i="1"/>
  <c r="W1146" i="1"/>
  <c r="S1142" i="1"/>
  <c r="T1142" i="1"/>
  <c r="U1142" i="1"/>
  <c r="V1142" i="1"/>
  <c r="W1142" i="1"/>
  <c r="S1141" i="1"/>
  <c r="T1141" i="1"/>
  <c r="U1141" i="1"/>
  <c r="V1141" i="1"/>
  <c r="W1141" i="1"/>
  <c r="S1143" i="1"/>
  <c r="T1143" i="1"/>
  <c r="U1143" i="1"/>
  <c r="V1143" i="1"/>
  <c r="W1143" i="1"/>
  <c r="S1139" i="1"/>
  <c r="T1139" i="1"/>
  <c r="U1139" i="1"/>
  <c r="V1139" i="1"/>
  <c r="W1139" i="1"/>
  <c r="S1136" i="1"/>
  <c r="T1136" i="1"/>
  <c r="U1136" i="1"/>
  <c r="V1136" i="1"/>
  <c r="W1136" i="1"/>
  <c r="S1135" i="1"/>
  <c r="T1135" i="1"/>
  <c r="U1135" i="1"/>
  <c r="V1135" i="1"/>
  <c r="W1135" i="1"/>
  <c r="S1137" i="1"/>
  <c r="T1137" i="1"/>
  <c r="U1137" i="1"/>
  <c r="V1137" i="1"/>
  <c r="W1137" i="1"/>
  <c r="S1485" i="1"/>
  <c r="T1485" i="1"/>
  <c r="U1485" i="1"/>
  <c r="V1485" i="1"/>
  <c r="W1485" i="1"/>
  <c r="S1486" i="1"/>
  <c r="T1486" i="1"/>
  <c r="U1486" i="1"/>
  <c r="V1486" i="1"/>
  <c r="W1486" i="1"/>
  <c r="S1391" i="1"/>
  <c r="T1391" i="1"/>
  <c r="U1391" i="1"/>
  <c r="V1391" i="1"/>
  <c r="W1391" i="1"/>
  <c r="S1487" i="1"/>
  <c r="T1487" i="1"/>
  <c r="U1487" i="1"/>
  <c r="V1487" i="1"/>
  <c r="W1487" i="1"/>
  <c r="S1488" i="1"/>
  <c r="T1488" i="1"/>
  <c r="U1488" i="1"/>
  <c r="V1488" i="1"/>
  <c r="W1488" i="1"/>
  <c r="S1489" i="1"/>
  <c r="T1489" i="1"/>
  <c r="U1489" i="1"/>
  <c r="V1489" i="1"/>
  <c r="W1489" i="1"/>
  <c r="S1490" i="1"/>
  <c r="T1490" i="1"/>
  <c r="U1490" i="1"/>
  <c r="V1490" i="1"/>
  <c r="W1490" i="1"/>
  <c r="S1492" i="1"/>
  <c r="T1492" i="1"/>
  <c r="U1492" i="1"/>
  <c r="V1492" i="1"/>
  <c r="W1492" i="1"/>
  <c r="S1397" i="1"/>
  <c r="T1397" i="1"/>
  <c r="U1397" i="1"/>
  <c r="V1397" i="1"/>
  <c r="W1397" i="1"/>
  <c r="S1493" i="1"/>
  <c r="T1493" i="1"/>
  <c r="U1493" i="1"/>
  <c r="V1493" i="1"/>
  <c r="W1493" i="1"/>
  <c r="S1494" i="1"/>
  <c r="T1494" i="1"/>
  <c r="U1494" i="1"/>
  <c r="V1494" i="1"/>
  <c r="W1494" i="1"/>
  <c r="S1495" i="1"/>
  <c r="T1495" i="1"/>
  <c r="U1495" i="1"/>
  <c r="V1495" i="1"/>
  <c r="W1495" i="1"/>
  <c r="S1165" i="1"/>
  <c r="T1165" i="1"/>
  <c r="U1165" i="1"/>
  <c r="V1165" i="1"/>
  <c r="W1165" i="1"/>
  <c r="S1164" i="1"/>
  <c r="T1164" i="1"/>
  <c r="U1164" i="1"/>
  <c r="V1164" i="1"/>
  <c r="W1164" i="1"/>
  <c r="S1163" i="1"/>
  <c r="T1163" i="1"/>
  <c r="U1163" i="1"/>
  <c r="V1163" i="1"/>
  <c r="W1163" i="1"/>
  <c r="S1161" i="1"/>
  <c r="T1161" i="1"/>
  <c r="U1161" i="1"/>
  <c r="V1161" i="1"/>
  <c r="W1161" i="1"/>
  <c r="S1162" i="1"/>
  <c r="T1162" i="1"/>
  <c r="U1162" i="1"/>
  <c r="V1162" i="1"/>
  <c r="W1162" i="1"/>
  <c r="S1160" i="1"/>
  <c r="T1160" i="1"/>
  <c r="U1160" i="1"/>
  <c r="V1160" i="1"/>
  <c r="W1160" i="1"/>
  <c r="S1159" i="1"/>
  <c r="T1159" i="1"/>
  <c r="U1159" i="1"/>
  <c r="V1159" i="1"/>
  <c r="W1159" i="1"/>
  <c r="S1158" i="1"/>
  <c r="T1158" i="1"/>
  <c r="U1158" i="1"/>
  <c r="V1158" i="1"/>
  <c r="W1158" i="1"/>
  <c r="S1496" i="1"/>
  <c r="T1496" i="1"/>
  <c r="U1496" i="1"/>
  <c r="V1496" i="1"/>
  <c r="W1496" i="1"/>
  <c r="S1497" i="1"/>
  <c r="T1497" i="1"/>
  <c r="U1497" i="1"/>
  <c r="V1497" i="1"/>
  <c r="W1497" i="1"/>
  <c r="S1498" i="1"/>
  <c r="T1498" i="1"/>
  <c r="U1498" i="1"/>
  <c r="V1498" i="1"/>
  <c r="W1498" i="1"/>
  <c r="S1499" i="1"/>
  <c r="T1499" i="1"/>
  <c r="U1499" i="1"/>
  <c r="V1499" i="1"/>
  <c r="W1499" i="1"/>
  <c r="S1500" i="1"/>
  <c r="T1500" i="1"/>
  <c r="U1500" i="1"/>
  <c r="V1500" i="1"/>
  <c r="W1500" i="1"/>
  <c r="S1414" i="1"/>
  <c r="T1414" i="1"/>
  <c r="U1414" i="1"/>
  <c r="V1414" i="1"/>
  <c r="W1414" i="1"/>
  <c r="S1501" i="1"/>
  <c r="T1501" i="1"/>
  <c r="U1501" i="1"/>
  <c r="V1501" i="1"/>
  <c r="W1501" i="1"/>
  <c r="S1502" i="1"/>
  <c r="T1502" i="1"/>
  <c r="U1502" i="1"/>
  <c r="V1502" i="1"/>
  <c r="W1502" i="1"/>
  <c r="S1504" i="1"/>
  <c r="T1504" i="1"/>
  <c r="U1504" i="1"/>
  <c r="V1504" i="1"/>
  <c r="W1504" i="1"/>
  <c r="S1505" i="1"/>
  <c r="T1505" i="1"/>
  <c r="U1505" i="1"/>
  <c r="V1505" i="1"/>
  <c r="W1505" i="1"/>
  <c r="S1506" i="1"/>
  <c r="T1506" i="1"/>
  <c r="U1506" i="1"/>
  <c r="V1506" i="1"/>
  <c r="W1506" i="1"/>
  <c r="S1507" i="1"/>
  <c r="T1507" i="1"/>
  <c r="U1507" i="1"/>
  <c r="V1507" i="1"/>
  <c r="W1507" i="1"/>
  <c r="S1509" i="1"/>
  <c r="T1509" i="1"/>
  <c r="U1509" i="1"/>
  <c r="V1509" i="1"/>
  <c r="W1509" i="1"/>
  <c r="S1510" i="1"/>
  <c r="T1510" i="1"/>
  <c r="U1510" i="1"/>
  <c r="V1510" i="1"/>
  <c r="W1510" i="1"/>
  <c r="S1511" i="1"/>
  <c r="T1511" i="1"/>
  <c r="U1511" i="1"/>
  <c r="V1511" i="1"/>
  <c r="W1511" i="1"/>
  <c r="S1512" i="1"/>
  <c r="T1512" i="1"/>
  <c r="U1512" i="1"/>
  <c r="V1512" i="1"/>
  <c r="W1512" i="1"/>
  <c r="S1513" i="1"/>
  <c r="T1513" i="1"/>
  <c r="U1513" i="1"/>
  <c r="V1513" i="1"/>
  <c r="W1513" i="1"/>
  <c r="S1514" i="1"/>
  <c r="T1514" i="1"/>
  <c r="U1514" i="1"/>
  <c r="V1514" i="1"/>
  <c r="W1514" i="1"/>
  <c r="S1515" i="1"/>
  <c r="T1515" i="1"/>
  <c r="U1515" i="1"/>
  <c r="V1515" i="1"/>
  <c r="W1515" i="1"/>
  <c r="S1516" i="1"/>
  <c r="T1516" i="1"/>
  <c r="U1516" i="1"/>
  <c r="V1516" i="1"/>
  <c r="W1516" i="1"/>
  <c r="S1517" i="1"/>
  <c r="T1517" i="1"/>
  <c r="U1517" i="1"/>
  <c r="V1517" i="1"/>
  <c r="W1517" i="1"/>
  <c r="S1518" i="1"/>
  <c r="T1518" i="1"/>
  <c r="U1518" i="1"/>
  <c r="V1518" i="1"/>
  <c r="W1518" i="1"/>
  <c r="S1519" i="1"/>
  <c r="T1519" i="1"/>
  <c r="U1519" i="1"/>
  <c r="V1519" i="1"/>
  <c r="W1519" i="1"/>
  <c r="S1520" i="1"/>
  <c r="T1520" i="1"/>
  <c r="U1520" i="1"/>
  <c r="V1520" i="1"/>
  <c r="W1520" i="1"/>
  <c r="S1521" i="1"/>
  <c r="T1521" i="1"/>
  <c r="U1521" i="1"/>
  <c r="V1521" i="1"/>
  <c r="W1521" i="1"/>
  <c r="S1174" i="1"/>
  <c r="T1174" i="1"/>
  <c r="U1174" i="1"/>
  <c r="V1174" i="1"/>
  <c r="W1174" i="1"/>
  <c r="S1435" i="1"/>
  <c r="T1435" i="1"/>
  <c r="U1435" i="1"/>
  <c r="V1435" i="1"/>
  <c r="W1435" i="1"/>
  <c r="S1173" i="1"/>
  <c r="T1173" i="1"/>
  <c r="U1173" i="1"/>
  <c r="V1173" i="1"/>
  <c r="W1173" i="1"/>
  <c r="S1171" i="1"/>
  <c r="T1171" i="1"/>
  <c r="U1171" i="1"/>
  <c r="V1171" i="1"/>
  <c r="W1171" i="1"/>
  <c r="S1172" i="1"/>
  <c r="T1172" i="1"/>
  <c r="U1172" i="1"/>
  <c r="V1172" i="1"/>
  <c r="W1172" i="1"/>
  <c r="S1170" i="1"/>
  <c r="T1170" i="1"/>
  <c r="U1170" i="1"/>
  <c r="V1170" i="1"/>
  <c r="W1170" i="1"/>
  <c r="S1169" i="1"/>
  <c r="T1169" i="1"/>
  <c r="U1169" i="1"/>
  <c r="V1169" i="1"/>
  <c r="W1169" i="1"/>
  <c r="S1168" i="1"/>
  <c r="T1168" i="1"/>
  <c r="U1168" i="1"/>
  <c r="V1168" i="1"/>
  <c r="W1168" i="1"/>
  <c r="S1166" i="1"/>
  <c r="T1166" i="1"/>
  <c r="U1166" i="1"/>
  <c r="V1166" i="1"/>
  <c r="W1166" i="1"/>
  <c r="S1190" i="1"/>
  <c r="T1190" i="1"/>
  <c r="U1190" i="1"/>
  <c r="V1190" i="1"/>
  <c r="W1190" i="1"/>
  <c r="S1189" i="1"/>
  <c r="T1189" i="1"/>
  <c r="U1189" i="1"/>
  <c r="V1189" i="1"/>
  <c r="W1189" i="1"/>
  <c r="S1183" i="1"/>
  <c r="T1183" i="1"/>
  <c r="U1183" i="1"/>
  <c r="V1183" i="1"/>
  <c r="W1183" i="1"/>
  <c r="S1187" i="1"/>
  <c r="T1187" i="1"/>
  <c r="U1187" i="1"/>
  <c r="V1187" i="1"/>
  <c r="W1187" i="1"/>
  <c r="S1186" i="1"/>
  <c r="T1186" i="1"/>
  <c r="U1186" i="1"/>
  <c r="V1186" i="1"/>
  <c r="W1186" i="1"/>
  <c r="S1185" i="1"/>
  <c r="T1185" i="1"/>
  <c r="U1185" i="1"/>
  <c r="V1185" i="1"/>
  <c r="W1185" i="1"/>
  <c r="S1182" i="1"/>
  <c r="T1182" i="1"/>
  <c r="U1182" i="1"/>
  <c r="V1182" i="1"/>
  <c r="W1182" i="1"/>
  <c r="S1184" i="1"/>
  <c r="T1184" i="1"/>
  <c r="U1184" i="1"/>
  <c r="V1184" i="1"/>
  <c r="W1184" i="1"/>
  <c r="S1181" i="1"/>
  <c r="T1181" i="1"/>
  <c r="U1181" i="1"/>
  <c r="V1181" i="1"/>
  <c r="W1181" i="1"/>
  <c r="S1180" i="1"/>
  <c r="T1180" i="1"/>
  <c r="U1180" i="1"/>
  <c r="V1180" i="1"/>
  <c r="W1180" i="1"/>
  <c r="S1179" i="1"/>
  <c r="T1179" i="1"/>
  <c r="U1179" i="1"/>
  <c r="V1179" i="1"/>
  <c r="W1179" i="1"/>
  <c r="S1177" i="1"/>
  <c r="T1177" i="1"/>
  <c r="U1177" i="1"/>
  <c r="V1177" i="1"/>
  <c r="W1177" i="1"/>
  <c r="S1178" i="1"/>
  <c r="T1178" i="1"/>
  <c r="U1178" i="1"/>
  <c r="V1178" i="1"/>
  <c r="W1178" i="1"/>
  <c r="S1176" i="1"/>
  <c r="T1176" i="1"/>
  <c r="U1176" i="1"/>
  <c r="V1176" i="1"/>
  <c r="W1176" i="1"/>
  <c r="S1175" i="1"/>
  <c r="T1175" i="1"/>
  <c r="U1175" i="1"/>
  <c r="V1175" i="1"/>
  <c r="W1175" i="1"/>
  <c r="S1522" i="1"/>
  <c r="T1522" i="1"/>
  <c r="U1522" i="1"/>
  <c r="V1522" i="1"/>
  <c r="W1522" i="1"/>
  <c r="S1523" i="1"/>
  <c r="T1523" i="1"/>
  <c r="U1523" i="1"/>
  <c r="V1523" i="1"/>
  <c r="W1523" i="1"/>
  <c r="S1524" i="1"/>
  <c r="T1524" i="1"/>
  <c r="U1524" i="1"/>
  <c r="V1524" i="1"/>
  <c r="W1524" i="1"/>
  <c r="S1525" i="1"/>
  <c r="T1525" i="1"/>
  <c r="U1525" i="1"/>
  <c r="V1525" i="1"/>
  <c r="W1525" i="1"/>
  <c r="S1526" i="1"/>
  <c r="T1526" i="1"/>
  <c r="U1526" i="1"/>
  <c r="V1526" i="1"/>
  <c r="W1526" i="1"/>
  <c r="S1527" i="1"/>
  <c r="T1527" i="1"/>
  <c r="U1527" i="1"/>
  <c r="V1527" i="1"/>
  <c r="W1527" i="1"/>
  <c r="S1528" i="1"/>
  <c r="T1528" i="1"/>
  <c r="U1528" i="1"/>
  <c r="V1528" i="1"/>
  <c r="W1528" i="1"/>
  <c r="S1529" i="1"/>
  <c r="T1529" i="1"/>
  <c r="U1529" i="1"/>
  <c r="V1529" i="1"/>
  <c r="W1529" i="1"/>
  <c r="S1531" i="1"/>
  <c r="T1531" i="1"/>
  <c r="U1531" i="1"/>
  <c r="V1531" i="1"/>
  <c r="W1531" i="1"/>
  <c r="S1532" i="1"/>
  <c r="T1532" i="1"/>
  <c r="U1532" i="1"/>
  <c r="V1532" i="1"/>
  <c r="W1532" i="1"/>
  <c r="S1533" i="1"/>
  <c r="T1533" i="1"/>
  <c r="U1533" i="1"/>
  <c r="V1533" i="1"/>
  <c r="W1533" i="1"/>
  <c r="S1535" i="1"/>
  <c r="T1535" i="1"/>
  <c r="U1535" i="1"/>
  <c r="V1535" i="1"/>
  <c r="W1535" i="1"/>
  <c r="S1536" i="1"/>
  <c r="T1536" i="1"/>
  <c r="U1536" i="1"/>
  <c r="V1536" i="1"/>
  <c r="W1536" i="1"/>
  <c r="S1537" i="1"/>
  <c r="T1537" i="1"/>
  <c r="U1537" i="1"/>
  <c r="V1537" i="1"/>
  <c r="W1537" i="1"/>
  <c r="S1538" i="1"/>
  <c r="T1538" i="1"/>
  <c r="U1538" i="1"/>
  <c r="V1538" i="1"/>
  <c r="W1538" i="1"/>
  <c r="S1539" i="1"/>
  <c r="T1539" i="1"/>
  <c r="U1539" i="1"/>
  <c r="V1539" i="1"/>
  <c r="W1539" i="1"/>
  <c r="S1540" i="1"/>
  <c r="T1540" i="1"/>
  <c r="U1540" i="1"/>
  <c r="V1540" i="1"/>
  <c r="W1540" i="1"/>
  <c r="S1541" i="1"/>
  <c r="T1541" i="1"/>
  <c r="U1541" i="1"/>
  <c r="V1541" i="1"/>
  <c r="W1541" i="1"/>
  <c r="S1542" i="1"/>
  <c r="T1542" i="1"/>
  <c r="U1542" i="1"/>
  <c r="V1542" i="1"/>
  <c r="W1542" i="1"/>
  <c r="S1543" i="1"/>
  <c r="T1543" i="1"/>
  <c r="U1543" i="1"/>
  <c r="V1543" i="1"/>
  <c r="W1543" i="1"/>
  <c r="S1544" i="1"/>
  <c r="T1544" i="1"/>
  <c r="U1544" i="1"/>
  <c r="V1544" i="1"/>
  <c r="W1544" i="1"/>
  <c r="S1251" i="1"/>
  <c r="T1251" i="1"/>
  <c r="U1251" i="1"/>
  <c r="V1251" i="1"/>
  <c r="W1251" i="1"/>
  <c r="S1250" i="1"/>
  <c r="T1250" i="1"/>
  <c r="U1250" i="1"/>
  <c r="V1250" i="1"/>
  <c r="W1250" i="1"/>
  <c r="S1545" i="1"/>
  <c r="T1545" i="1"/>
  <c r="U1545" i="1"/>
  <c r="V1545" i="1"/>
  <c r="W1545" i="1"/>
  <c r="S1546" i="1"/>
  <c r="T1546" i="1"/>
  <c r="U1546" i="1"/>
  <c r="V1546" i="1"/>
  <c r="W1546" i="1"/>
  <c r="S1547" i="1"/>
  <c r="T1547" i="1"/>
  <c r="U1547" i="1"/>
  <c r="V1547" i="1"/>
  <c r="W1547" i="1"/>
  <c r="S1548" i="1"/>
  <c r="T1548" i="1"/>
  <c r="U1548" i="1"/>
  <c r="V1548" i="1"/>
  <c r="W1548" i="1"/>
  <c r="S1549" i="1"/>
  <c r="T1549" i="1"/>
  <c r="U1549" i="1"/>
  <c r="V1549" i="1"/>
  <c r="W1549" i="1"/>
  <c r="S1550" i="1"/>
  <c r="T1550" i="1"/>
  <c r="U1550" i="1"/>
  <c r="V1550" i="1"/>
  <c r="W1550" i="1"/>
  <c r="S1551" i="1"/>
  <c r="T1551" i="1"/>
  <c r="U1551" i="1"/>
  <c r="V1551" i="1"/>
  <c r="W1551" i="1"/>
  <c r="S1552" i="1"/>
  <c r="T1552" i="1"/>
  <c r="U1552" i="1"/>
  <c r="V1552" i="1"/>
  <c r="W1552" i="1"/>
  <c r="S1553" i="1"/>
  <c r="T1553" i="1"/>
  <c r="U1553" i="1"/>
  <c r="V1553" i="1"/>
  <c r="W1553" i="1"/>
  <c r="S1554" i="1"/>
  <c r="T1554" i="1"/>
  <c r="U1554" i="1"/>
  <c r="V1554" i="1"/>
  <c r="W1554" i="1"/>
  <c r="S1491" i="1"/>
  <c r="T1491" i="1"/>
  <c r="U1491" i="1"/>
  <c r="V1491" i="1"/>
  <c r="W1491" i="1"/>
  <c r="S1555" i="1"/>
  <c r="T1555" i="1"/>
  <c r="U1555" i="1"/>
  <c r="V1555" i="1"/>
  <c r="W1555" i="1"/>
  <c r="S1556" i="1"/>
  <c r="T1556" i="1"/>
  <c r="U1556" i="1"/>
  <c r="V1556" i="1"/>
  <c r="W1556" i="1"/>
  <c r="S1557" i="1"/>
  <c r="T1557" i="1"/>
  <c r="U1557" i="1"/>
  <c r="V1557" i="1"/>
  <c r="W1557" i="1"/>
  <c r="S1558" i="1"/>
  <c r="T1558" i="1"/>
  <c r="U1558" i="1"/>
  <c r="V1558" i="1"/>
  <c r="W1558" i="1"/>
  <c r="S1559" i="1"/>
  <c r="T1559" i="1"/>
  <c r="U1559" i="1"/>
  <c r="V1559" i="1"/>
  <c r="W1559" i="1"/>
  <c r="S1560" i="1"/>
  <c r="T1560" i="1"/>
  <c r="U1560" i="1"/>
  <c r="V1560" i="1"/>
  <c r="W1560" i="1"/>
  <c r="S1561" i="1"/>
  <c r="T1561" i="1"/>
  <c r="U1561" i="1"/>
  <c r="V1561" i="1"/>
  <c r="W1561" i="1"/>
  <c r="S1562" i="1"/>
  <c r="T1562" i="1"/>
  <c r="U1562" i="1"/>
  <c r="V1562" i="1"/>
  <c r="W1562" i="1"/>
  <c r="S1563" i="1"/>
  <c r="T1563" i="1"/>
  <c r="U1563" i="1"/>
  <c r="V1563" i="1"/>
  <c r="W1563" i="1"/>
  <c r="S1565" i="1"/>
  <c r="T1565" i="1"/>
  <c r="U1565" i="1"/>
  <c r="V1565" i="1"/>
  <c r="W1565" i="1"/>
  <c r="S1201" i="1"/>
  <c r="T1201" i="1"/>
  <c r="U1201" i="1"/>
  <c r="V1201" i="1"/>
  <c r="W1201" i="1"/>
  <c r="S1503" i="1"/>
  <c r="T1503" i="1"/>
  <c r="U1503" i="1"/>
  <c r="V1503" i="1"/>
  <c r="W1503" i="1"/>
  <c r="S1200" i="1"/>
  <c r="T1200" i="1"/>
  <c r="U1200" i="1"/>
  <c r="V1200" i="1"/>
  <c r="W1200" i="1"/>
  <c r="S1199" i="1"/>
  <c r="T1199" i="1"/>
  <c r="U1199" i="1"/>
  <c r="V1199" i="1"/>
  <c r="W1199" i="1"/>
  <c r="S1198" i="1"/>
  <c r="T1198" i="1"/>
  <c r="U1198" i="1"/>
  <c r="V1198" i="1"/>
  <c r="W1198" i="1"/>
  <c r="S1197" i="1"/>
  <c r="T1197" i="1"/>
  <c r="U1197" i="1"/>
  <c r="V1197" i="1"/>
  <c r="W1197" i="1"/>
  <c r="S1508" i="1"/>
  <c r="T1508" i="1"/>
  <c r="U1508" i="1"/>
  <c r="V1508" i="1"/>
  <c r="W1508" i="1"/>
  <c r="S1196" i="1"/>
  <c r="T1196" i="1"/>
  <c r="U1196" i="1"/>
  <c r="V1196" i="1"/>
  <c r="W1196" i="1"/>
  <c r="S1195" i="1"/>
  <c r="T1195" i="1"/>
  <c r="U1195" i="1"/>
  <c r="V1195" i="1"/>
  <c r="W1195" i="1"/>
  <c r="S1194" i="1"/>
  <c r="T1194" i="1"/>
  <c r="U1194" i="1"/>
  <c r="V1194" i="1"/>
  <c r="W1194" i="1"/>
  <c r="S1193" i="1"/>
  <c r="T1193" i="1"/>
  <c r="U1193" i="1"/>
  <c r="V1193" i="1"/>
  <c r="W1193" i="1"/>
  <c r="S1192" i="1"/>
  <c r="T1192" i="1"/>
  <c r="U1192" i="1"/>
  <c r="V1192" i="1"/>
  <c r="W1192" i="1"/>
  <c r="S1191" i="1"/>
  <c r="T1191" i="1"/>
  <c r="U1191" i="1"/>
  <c r="V1191" i="1"/>
  <c r="W1191" i="1"/>
  <c r="S1205" i="1"/>
  <c r="T1205" i="1"/>
  <c r="U1205" i="1"/>
  <c r="V1205" i="1"/>
  <c r="W1205" i="1"/>
  <c r="S1208" i="1"/>
  <c r="T1208" i="1"/>
  <c r="U1208" i="1"/>
  <c r="V1208" i="1"/>
  <c r="W1208" i="1"/>
  <c r="S1207" i="1"/>
  <c r="T1207" i="1"/>
  <c r="U1207" i="1"/>
  <c r="V1207" i="1"/>
  <c r="W1207" i="1"/>
  <c r="S1206" i="1"/>
  <c r="T1206" i="1"/>
  <c r="U1206" i="1"/>
  <c r="V1206" i="1"/>
  <c r="W1206" i="1"/>
  <c r="S1204" i="1"/>
  <c r="T1204" i="1"/>
  <c r="U1204" i="1"/>
  <c r="V1204" i="1"/>
  <c r="W1204" i="1"/>
  <c r="S1203" i="1"/>
  <c r="T1203" i="1"/>
  <c r="U1203" i="1"/>
  <c r="V1203" i="1"/>
  <c r="W1203" i="1"/>
  <c r="S1202" i="1"/>
  <c r="T1202" i="1"/>
  <c r="U1202" i="1"/>
  <c r="V1202" i="1"/>
  <c r="W1202" i="1"/>
  <c r="S1568" i="1"/>
  <c r="T1568" i="1"/>
  <c r="U1568" i="1"/>
  <c r="V1568" i="1"/>
  <c r="W1568" i="1"/>
  <c r="S1570" i="1"/>
  <c r="T1570" i="1"/>
  <c r="U1570" i="1"/>
  <c r="V1570" i="1"/>
  <c r="W1570" i="1"/>
  <c r="S1571" i="1"/>
  <c r="T1571" i="1"/>
  <c r="U1571" i="1"/>
  <c r="V1571" i="1"/>
  <c r="W1571" i="1"/>
  <c r="S1572" i="1"/>
  <c r="T1572" i="1"/>
  <c r="U1572" i="1"/>
  <c r="V1572" i="1"/>
  <c r="W1572" i="1"/>
  <c r="S1573" i="1"/>
  <c r="T1573" i="1"/>
  <c r="U1573" i="1"/>
  <c r="V1573" i="1"/>
  <c r="W1573" i="1"/>
  <c r="S1574" i="1"/>
  <c r="T1574" i="1"/>
  <c r="U1574" i="1"/>
  <c r="V1574" i="1"/>
  <c r="W1574" i="1"/>
  <c r="S1575" i="1"/>
  <c r="T1575" i="1"/>
  <c r="U1575" i="1"/>
  <c r="V1575" i="1"/>
  <c r="W1575" i="1"/>
  <c r="S1576" i="1"/>
  <c r="T1576" i="1"/>
  <c r="U1576" i="1"/>
  <c r="V1576" i="1"/>
  <c r="W1576" i="1"/>
  <c r="S1530" i="1"/>
  <c r="T1530" i="1"/>
  <c r="U1530" i="1"/>
  <c r="V1530" i="1"/>
  <c r="W1530" i="1"/>
  <c r="S1578" i="1"/>
  <c r="T1578" i="1"/>
  <c r="U1578" i="1"/>
  <c r="V1578" i="1"/>
  <c r="W1578" i="1"/>
  <c r="S1579" i="1"/>
  <c r="T1579" i="1"/>
  <c r="U1579" i="1"/>
  <c r="V1579" i="1"/>
  <c r="W1579" i="1"/>
  <c r="S1580" i="1"/>
  <c r="T1580" i="1"/>
  <c r="U1580" i="1"/>
  <c r="V1580" i="1"/>
  <c r="W1580" i="1"/>
  <c r="S1534" i="1"/>
  <c r="T1534" i="1"/>
  <c r="U1534" i="1"/>
  <c r="V1534" i="1"/>
  <c r="W1534" i="1"/>
  <c r="S1581" i="1"/>
  <c r="T1581" i="1"/>
  <c r="U1581" i="1"/>
  <c r="V1581" i="1"/>
  <c r="W1581" i="1"/>
  <c r="S1582" i="1"/>
  <c r="T1582" i="1"/>
  <c r="U1582" i="1"/>
  <c r="V1582" i="1"/>
  <c r="W1582" i="1"/>
  <c r="S1584" i="1"/>
  <c r="T1584" i="1"/>
  <c r="U1584" i="1"/>
  <c r="V1584" i="1"/>
  <c r="W1584" i="1"/>
  <c r="S1585" i="1"/>
  <c r="T1585" i="1"/>
  <c r="U1585" i="1"/>
  <c r="V1585" i="1"/>
  <c r="W1585" i="1"/>
  <c r="S1586" i="1"/>
  <c r="T1586" i="1"/>
  <c r="U1586" i="1"/>
  <c r="V1586" i="1"/>
  <c r="W1586" i="1"/>
  <c r="S1587" i="1"/>
  <c r="T1587" i="1"/>
  <c r="U1587" i="1"/>
  <c r="V1587" i="1"/>
  <c r="W1587" i="1"/>
  <c r="S1589" i="1"/>
  <c r="T1589" i="1"/>
  <c r="U1589" i="1"/>
  <c r="V1589" i="1"/>
  <c r="W1589" i="1"/>
  <c r="S1590" i="1"/>
  <c r="T1590" i="1"/>
  <c r="U1590" i="1"/>
  <c r="V1590" i="1"/>
  <c r="W1590" i="1"/>
  <c r="S1591" i="1"/>
  <c r="T1591" i="1"/>
  <c r="U1591" i="1"/>
  <c r="V1591" i="1"/>
  <c r="W1591" i="1"/>
  <c r="S1592" i="1"/>
  <c r="T1592" i="1"/>
  <c r="U1592" i="1"/>
  <c r="V1592" i="1"/>
  <c r="W1592" i="1"/>
  <c r="S1594" i="1"/>
  <c r="T1594" i="1"/>
  <c r="U1594" i="1"/>
  <c r="V1594" i="1"/>
  <c r="W1594" i="1"/>
  <c r="S1595" i="1"/>
  <c r="T1595" i="1"/>
  <c r="U1595" i="1"/>
  <c r="V1595" i="1"/>
  <c r="W1595" i="1"/>
  <c r="S1596" i="1"/>
  <c r="T1596" i="1"/>
  <c r="U1596" i="1"/>
  <c r="V1596" i="1"/>
  <c r="W1596" i="1"/>
  <c r="S1597" i="1"/>
  <c r="T1597" i="1"/>
  <c r="U1597" i="1"/>
  <c r="V1597" i="1"/>
  <c r="W1597" i="1"/>
  <c r="S1215" i="1"/>
  <c r="T1215" i="1"/>
  <c r="U1215" i="1"/>
  <c r="V1215" i="1"/>
  <c r="W1215" i="1"/>
  <c r="S1214" i="1"/>
  <c r="T1214" i="1"/>
  <c r="U1214" i="1"/>
  <c r="V1214" i="1"/>
  <c r="W1214" i="1"/>
  <c r="S1213" i="1"/>
  <c r="T1213" i="1"/>
  <c r="U1213" i="1"/>
  <c r="V1213" i="1"/>
  <c r="W1213" i="1"/>
  <c r="S1212" i="1"/>
  <c r="T1212" i="1"/>
  <c r="U1212" i="1"/>
  <c r="V1212" i="1"/>
  <c r="W1212" i="1"/>
  <c r="S1211" i="1"/>
  <c r="T1211" i="1"/>
  <c r="U1211" i="1"/>
  <c r="V1211" i="1"/>
  <c r="W1211" i="1"/>
  <c r="S1210" i="1"/>
  <c r="T1210" i="1"/>
  <c r="U1210" i="1"/>
  <c r="V1210" i="1"/>
  <c r="W1210" i="1"/>
  <c r="S1209" i="1"/>
  <c r="T1209" i="1"/>
  <c r="U1209" i="1"/>
  <c r="V1209" i="1"/>
  <c r="W1209" i="1"/>
  <c r="S1598" i="1"/>
  <c r="T1598" i="1"/>
  <c r="U1598" i="1"/>
  <c r="V1598" i="1"/>
  <c r="W1598" i="1"/>
  <c r="S1222" i="1"/>
  <c r="T1222" i="1"/>
  <c r="U1222" i="1"/>
  <c r="V1222" i="1"/>
  <c r="W1222" i="1"/>
  <c r="S1221" i="1"/>
  <c r="T1221" i="1"/>
  <c r="U1221" i="1"/>
  <c r="V1221" i="1"/>
  <c r="W1221" i="1"/>
  <c r="S1220" i="1"/>
  <c r="T1220" i="1"/>
  <c r="U1220" i="1"/>
  <c r="V1220" i="1"/>
  <c r="W1220" i="1"/>
  <c r="S1219" i="1"/>
  <c r="T1219" i="1"/>
  <c r="U1219" i="1"/>
  <c r="V1219" i="1"/>
  <c r="W1219" i="1"/>
  <c r="S1218" i="1"/>
  <c r="T1218" i="1"/>
  <c r="U1218" i="1"/>
  <c r="V1218" i="1"/>
  <c r="W1218" i="1"/>
  <c r="S1217" i="1"/>
  <c r="T1217" i="1"/>
  <c r="U1217" i="1"/>
  <c r="V1217" i="1"/>
  <c r="W1217" i="1"/>
  <c r="S1216" i="1"/>
  <c r="T1216" i="1"/>
  <c r="U1216" i="1"/>
  <c r="V1216" i="1"/>
  <c r="W1216" i="1"/>
  <c r="S1564" i="1"/>
  <c r="T1564" i="1"/>
  <c r="U1564" i="1"/>
  <c r="V1564" i="1"/>
  <c r="W1564" i="1"/>
  <c r="S1599" i="1"/>
  <c r="T1599" i="1"/>
  <c r="U1599" i="1"/>
  <c r="V1599" i="1"/>
  <c r="W1599" i="1"/>
  <c r="S1566" i="1"/>
  <c r="T1566" i="1"/>
  <c r="U1566" i="1"/>
  <c r="V1566" i="1"/>
  <c r="W1566" i="1"/>
  <c r="S1567" i="1"/>
  <c r="T1567" i="1"/>
  <c r="U1567" i="1"/>
  <c r="V1567" i="1"/>
  <c r="W1567" i="1"/>
  <c r="S1600" i="1"/>
  <c r="T1600" i="1"/>
  <c r="U1600" i="1"/>
  <c r="V1600" i="1"/>
  <c r="W1600" i="1"/>
  <c r="S1569" i="1"/>
  <c r="T1569" i="1"/>
  <c r="U1569" i="1"/>
  <c r="V1569" i="1"/>
  <c r="W1569" i="1"/>
  <c r="S1601" i="1"/>
  <c r="T1601" i="1"/>
  <c r="U1601" i="1"/>
  <c r="V1601" i="1"/>
  <c r="W1601" i="1"/>
  <c r="S1602" i="1"/>
  <c r="T1602" i="1"/>
  <c r="U1602" i="1"/>
  <c r="V1602" i="1"/>
  <c r="W1602" i="1"/>
  <c r="S1603" i="1"/>
  <c r="T1603" i="1"/>
  <c r="U1603" i="1"/>
  <c r="V1603" i="1"/>
  <c r="W1603" i="1"/>
  <c r="S1604" i="1"/>
  <c r="T1604" i="1"/>
  <c r="U1604" i="1"/>
  <c r="V1604" i="1"/>
  <c r="W1604" i="1"/>
  <c r="S1605" i="1"/>
  <c r="T1605" i="1"/>
  <c r="U1605" i="1"/>
  <c r="V1605" i="1"/>
  <c r="W1605" i="1"/>
  <c r="S1606" i="1"/>
  <c r="T1606" i="1"/>
  <c r="U1606" i="1"/>
  <c r="V1606" i="1"/>
  <c r="W1606" i="1"/>
  <c r="S1607" i="1"/>
  <c r="T1607" i="1"/>
  <c r="U1607" i="1"/>
  <c r="V1607" i="1"/>
  <c r="W1607" i="1"/>
  <c r="S1577" i="1"/>
  <c r="T1577" i="1"/>
  <c r="U1577" i="1"/>
  <c r="V1577" i="1"/>
  <c r="W1577" i="1"/>
  <c r="S1608" i="1"/>
  <c r="T1608" i="1"/>
  <c r="U1608" i="1"/>
  <c r="V1608" i="1"/>
  <c r="W1608" i="1"/>
  <c r="S1610" i="1"/>
  <c r="T1610" i="1"/>
  <c r="U1610" i="1"/>
  <c r="V1610" i="1"/>
  <c r="W1610" i="1"/>
  <c r="S1611" i="1"/>
  <c r="T1611" i="1"/>
  <c r="U1611" i="1"/>
  <c r="V1611" i="1"/>
  <c r="W1611" i="1"/>
  <c r="S1612" i="1"/>
  <c r="T1612" i="1"/>
  <c r="U1612" i="1"/>
  <c r="V1612" i="1"/>
  <c r="W1612" i="1"/>
  <c r="S1613" i="1"/>
  <c r="T1613" i="1"/>
  <c r="U1613" i="1"/>
  <c r="V1613" i="1"/>
  <c r="W1613" i="1"/>
  <c r="S1583" i="1"/>
  <c r="T1583" i="1"/>
  <c r="U1583" i="1"/>
  <c r="V1583" i="1"/>
  <c r="W1583" i="1"/>
  <c r="S1614" i="1"/>
  <c r="T1614" i="1"/>
  <c r="U1614" i="1"/>
  <c r="V1614" i="1"/>
  <c r="W1614" i="1"/>
  <c r="S1615" i="1"/>
  <c r="T1615" i="1"/>
  <c r="U1615" i="1"/>
  <c r="V1615" i="1"/>
  <c r="W1615" i="1"/>
  <c r="S1617" i="1"/>
  <c r="T1617" i="1"/>
  <c r="U1617" i="1"/>
  <c r="V1617" i="1"/>
  <c r="W1617" i="1"/>
  <c r="S1618" i="1"/>
  <c r="T1618" i="1"/>
  <c r="U1618" i="1"/>
  <c r="V1618" i="1"/>
  <c r="W1618" i="1"/>
  <c r="S1588" i="1"/>
  <c r="T1588" i="1"/>
  <c r="U1588" i="1"/>
  <c r="V1588" i="1"/>
  <c r="W1588" i="1"/>
  <c r="S1619" i="1"/>
  <c r="T1619" i="1"/>
  <c r="U1619" i="1"/>
  <c r="V1619" i="1"/>
  <c r="W1619" i="1"/>
  <c r="S1620" i="1"/>
  <c r="T1620" i="1"/>
  <c r="U1620" i="1"/>
  <c r="V1620" i="1"/>
  <c r="W1620" i="1"/>
  <c r="S1621" i="1"/>
  <c r="T1621" i="1"/>
  <c r="U1621" i="1"/>
  <c r="V1621" i="1"/>
  <c r="W1621" i="1"/>
  <c r="S1622" i="1"/>
  <c r="T1622" i="1"/>
  <c r="U1622" i="1"/>
  <c r="V1622" i="1"/>
  <c r="W1622" i="1"/>
  <c r="S1593" i="1"/>
  <c r="T1593" i="1"/>
  <c r="U1593" i="1"/>
  <c r="V1593" i="1"/>
  <c r="W1593" i="1"/>
  <c r="S1623" i="1"/>
  <c r="T1623" i="1"/>
  <c r="U1623" i="1"/>
  <c r="V1623" i="1"/>
  <c r="W1623" i="1"/>
  <c r="S1624" i="1"/>
  <c r="T1624" i="1"/>
  <c r="U1624" i="1"/>
  <c r="V1624" i="1"/>
  <c r="W1624" i="1"/>
  <c r="S1625" i="1"/>
  <c r="T1625" i="1"/>
  <c r="U1625" i="1"/>
  <c r="V1625" i="1"/>
  <c r="W1625" i="1"/>
  <c r="S1626" i="1"/>
  <c r="T1626" i="1"/>
  <c r="U1626" i="1"/>
  <c r="V1626" i="1"/>
  <c r="W1626" i="1"/>
  <c r="S1223" i="1"/>
  <c r="T1223" i="1"/>
  <c r="U1223" i="1"/>
  <c r="V1223" i="1"/>
  <c r="W1223" i="1"/>
  <c r="S1228" i="1"/>
  <c r="T1228" i="1"/>
  <c r="U1228" i="1"/>
  <c r="V1228" i="1"/>
  <c r="W1228" i="1"/>
  <c r="S1227" i="1"/>
  <c r="T1227" i="1"/>
  <c r="U1227" i="1"/>
  <c r="V1227" i="1"/>
  <c r="W1227" i="1"/>
  <c r="S1226" i="1"/>
  <c r="T1226" i="1"/>
  <c r="U1226" i="1"/>
  <c r="V1226" i="1"/>
  <c r="W1226" i="1"/>
  <c r="S1225" i="1"/>
  <c r="T1225" i="1"/>
  <c r="U1225" i="1"/>
  <c r="V1225" i="1"/>
  <c r="W1225" i="1"/>
  <c r="S1224" i="1"/>
  <c r="T1224" i="1"/>
  <c r="U1224" i="1"/>
  <c r="V1224" i="1"/>
  <c r="W1224" i="1"/>
  <c r="S1627" i="1"/>
  <c r="T1627" i="1"/>
  <c r="U1627" i="1"/>
  <c r="V1627" i="1"/>
  <c r="W1627" i="1"/>
  <c r="S1628" i="1"/>
  <c r="T1628" i="1"/>
  <c r="U1628" i="1"/>
  <c r="V1628" i="1"/>
  <c r="W1628" i="1"/>
  <c r="S1631" i="1"/>
  <c r="T1631" i="1"/>
  <c r="U1631" i="1"/>
  <c r="V1631" i="1"/>
  <c r="W1631" i="1"/>
  <c r="S1634" i="1"/>
  <c r="T1634" i="1"/>
  <c r="U1634" i="1"/>
  <c r="V1634" i="1"/>
  <c r="W1634" i="1"/>
  <c r="S1635" i="1"/>
  <c r="T1635" i="1"/>
  <c r="U1635" i="1"/>
  <c r="V1635" i="1"/>
  <c r="W1635" i="1"/>
  <c r="S1609" i="1"/>
  <c r="T1609" i="1"/>
  <c r="U1609" i="1"/>
  <c r="V1609" i="1"/>
  <c r="W1609" i="1"/>
  <c r="S1636" i="1"/>
  <c r="T1636" i="1"/>
  <c r="U1636" i="1"/>
  <c r="V1636" i="1"/>
  <c r="W1636" i="1"/>
  <c r="S1639" i="1"/>
  <c r="T1639" i="1"/>
  <c r="U1639" i="1"/>
  <c r="V1639" i="1"/>
  <c r="W1639" i="1"/>
  <c r="S1642" i="1"/>
  <c r="T1642" i="1"/>
  <c r="U1642" i="1"/>
  <c r="V1642" i="1"/>
  <c r="W1642" i="1"/>
  <c r="S1643" i="1"/>
  <c r="T1643" i="1"/>
  <c r="U1643" i="1"/>
  <c r="V1643" i="1"/>
  <c r="W1643" i="1"/>
  <c r="S1644" i="1"/>
  <c r="T1644" i="1"/>
  <c r="U1644" i="1"/>
  <c r="V1644" i="1"/>
  <c r="W1644" i="1"/>
  <c r="S1645" i="1"/>
  <c r="T1645" i="1"/>
  <c r="U1645" i="1"/>
  <c r="V1645" i="1"/>
  <c r="W1645" i="1"/>
  <c r="S1630" i="1"/>
  <c r="T1630" i="1"/>
  <c r="U1630" i="1"/>
  <c r="V1630" i="1"/>
  <c r="W1630" i="1"/>
  <c r="S1647" i="1"/>
  <c r="T1647" i="1"/>
  <c r="U1647" i="1"/>
  <c r="V1647" i="1"/>
  <c r="W1647" i="1"/>
  <c r="S1649" i="1"/>
  <c r="T1649" i="1"/>
  <c r="U1649" i="1"/>
  <c r="V1649" i="1"/>
  <c r="W1649" i="1"/>
  <c r="S1651" i="1"/>
  <c r="T1651" i="1"/>
  <c r="U1651" i="1"/>
  <c r="V1651" i="1"/>
  <c r="W1651" i="1"/>
  <c r="S1652" i="1"/>
  <c r="T1652" i="1"/>
  <c r="U1652" i="1"/>
  <c r="V1652" i="1"/>
  <c r="W1652" i="1"/>
  <c r="S1653" i="1"/>
  <c r="T1653" i="1"/>
  <c r="U1653" i="1"/>
  <c r="V1653" i="1"/>
  <c r="W1653" i="1"/>
  <c r="S1654" i="1"/>
  <c r="T1654" i="1"/>
  <c r="U1654" i="1"/>
  <c r="V1654" i="1"/>
  <c r="W1654" i="1"/>
  <c r="S1233" i="1"/>
  <c r="T1233" i="1"/>
  <c r="U1233" i="1"/>
  <c r="V1233" i="1"/>
  <c r="W1233" i="1"/>
  <c r="S1232" i="1"/>
  <c r="T1232" i="1"/>
  <c r="U1232" i="1"/>
  <c r="V1232" i="1"/>
  <c r="W1232" i="1"/>
  <c r="S1234" i="1"/>
  <c r="T1234" i="1"/>
  <c r="U1234" i="1"/>
  <c r="V1234" i="1"/>
  <c r="W1234" i="1"/>
  <c r="S1230" i="1"/>
  <c r="T1230" i="1"/>
  <c r="U1230" i="1"/>
  <c r="V1230" i="1"/>
  <c r="W1230" i="1"/>
  <c r="S1231" i="1"/>
  <c r="T1231" i="1"/>
  <c r="U1231" i="1"/>
  <c r="V1231" i="1"/>
  <c r="W1231" i="1"/>
  <c r="S1229" i="1"/>
  <c r="T1229" i="1"/>
  <c r="U1229" i="1"/>
  <c r="V1229" i="1"/>
  <c r="W1229" i="1"/>
  <c r="S1629" i="1"/>
  <c r="T1629" i="1"/>
  <c r="U1629" i="1"/>
  <c r="V1629" i="1"/>
  <c r="W1629" i="1"/>
  <c r="S1616" i="1"/>
  <c r="T1616" i="1"/>
  <c r="U1616" i="1"/>
  <c r="V1616" i="1"/>
  <c r="W1616" i="1"/>
  <c r="S1658" i="1"/>
  <c r="T1658" i="1"/>
  <c r="U1658" i="1"/>
  <c r="V1658" i="1"/>
  <c r="W1658" i="1"/>
  <c r="S1632" i="1"/>
  <c r="T1632" i="1"/>
  <c r="U1632" i="1"/>
  <c r="V1632" i="1"/>
  <c r="W1632" i="1"/>
  <c r="S1675" i="1"/>
  <c r="T1675" i="1"/>
  <c r="U1675" i="1"/>
  <c r="V1675" i="1"/>
  <c r="W1675" i="1"/>
  <c r="S1659" i="1"/>
  <c r="T1659" i="1"/>
  <c r="U1659" i="1"/>
  <c r="V1659" i="1"/>
  <c r="W1659" i="1"/>
  <c r="S1661" i="1"/>
  <c r="T1661" i="1"/>
  <c r="U1661" i="1"/>
  <c r="V1661" i="1"/>
  <c r="W1661" i="1"/>
  <c r="S1236" i="1"/>
  <c r="T1236" i="1"/>
  <c r="U1236" i="1"/>
  <c r="V1236" i="1"/>
  <c r="W1236" i="1"/>
  <c r="S1633" i="1"/>
  <c r="T1633" i="1"/>
  <c r="U1633" i="1"/>
  <c r="V1633" i="1"/>
  <c r="W1633" i="1"/>
  <c r="S1638" i="1"/>
  <c r="T1638" i="1"/>
  <c r="U1638" i="1"/>
  <c r="V1638" i="1"/>
  <c r="W1638" i="1"/>
  <c r="S1235" i="1"/>
  <c r="T1235" i="1"/>
  <c r="U1235" i="1"/>
  <c r="V1235" i="1"/>
  <c r="W1235" i="1"/>
  <c r="S1640" i="1"/>
  <c r="T1640" i="1"/>
  <c r="U1640" i="1"/>
  <c r="V1640" i="1"/>
  <c r="W1640" i="1"/>
  <c r="S1641" i="1"/>
  <c r="T1641" i="1"/>
  <c r="U1641" i="1"/>
  <c r="V1641" i="1"/>
  <c r="W1641" i="1"/>
  <c r="S1662" i="1"/>
  <c r="T1662" i="1"/>
  <c r="U1662" i="1"/>
  <c r="V1662" i="1"/>
  <c r="W1662" i="1"/>
  <c r="S1663" i="1"/>
  <c r="T1663" i="1"/>
  <c r="U1663" i="1"/>
  <c r="V1663" i="1"/>
  <c r="W1663" i="1"/>
  <c r="S1664" i="1"/>
  <c r="T1664" i="1"/>
  <c r="U1664" i="1"/>
  <c r="V1664" i="1"/>
  <c r="W1664" i="1"/>
  <c r="S1665" i="1"/>
  <c r="T1665" i="1"/>
  <c r="U1665" i="1"/>
  <c r="V1665" i="1"/>
  <c r="W1665" i="1"/>
  <c r="S1637" i="1"/>
  <c r="T1637" i="1"/>
  <c r="U1637" i="1"/>
  <c r="V1637" i="1"/>
  <c r="W1637" i="1"/>
  <c r="S1666" i="1"/>
  <c r="T1666" i="1"/>
  <c r="U1666" i="1"/>
  <c r="V1666" i="1"/>
  <c r="W1666" i="1"/>
  <c r="S1648" i="1"/>
  <c r="T1648" i="1"/>
  <c r="U1648" i="1"/>
  <c r="V1648" i="1"/>
  <c r="W1648" i="1"/>
  <c r="S1667" i="1"/>
  <c r="T1667" i="1"/>
  <c r="U1667" i="1"/>
  <c r="V1667" i="1"/>
  <c r="W1667" i="1"/>
  <c r="S1679" i="1"/>
  <c r="T1679" i="1"/>
  <c r="U1679" i="1"/>
  <c r="V1679" i="1"/>
  <c r="W1679" i="1"/>
  <c r="S1668" i="1"/>
  <c r="T1668" i="1"/>
  <c r="U1668" i="1"/>
  <c r="V1668" i="1"/>
  <c r="W1668" i="1"/>
  <c r="S1669" i="1"/>
  <c r="T1669" i="1"/>
  <c r="U1669" i="1"/>
  <c r="V1669" i="1"/>
  <c r="W1669" i="1"/>
  <c r="S1670" i="1"/>
  <c r="T1670" i="1"/>
  <c r="U1670" i="1"/>
  <c r="V1670" i="1"/>
  <c r="W1670" i="1"/>
  <c r="S1672" i="1"/>
  <c r="T1672" i="1"/>
  <c r="U1672" i="1"/>
  <c r="V1672" i="1"/>
  <c r="W1672" i="1"/>
  <c r="S1681" i="1"/>
  <c r="T1681" i="1"/>
  <c r="U1681" i="1"/>
  <c r="V1681" i="1"/>
  <c r="W1681" i="1"/>
  <c r="S1656" i="1"/>
  <c r="T1656" i="1"/>
  <c r="U1656" i="1"/>
  <c r="V1656" i="1"/>
  <c r="W1656" i="1"/>
  <c r="S1657" i="1"/>
  <c r="T1657" i="1"/>
  <c r="U1657" i="1"/>
  <c r="V1657" i="1"/>
  <c r="W1657" i="1"/>
  <c r="S1673" i="1"/>
  <c r="T1673" i="1"/>
  <c r="U1673" i="1"/>
  <c r="V1673" i="1"/>
  <c r="W1673" i="1"/>
  <c r="S1674" i="1"/>
  <c r="T1674" i="1"/>
  <c r="U1674" i="1"/>
  <c r="V1674" i="1"/>
  <c r="W1674" i="1"/>
  <c r="S1660" i="1"/>
  <c r="T1660" i="1"/>
  <c r="U1660" i="1"/>
  <c r="V1660" i="1"/>
  <c r="W1660" i="1"/>
  <c r="S1676" i="1"/>
  <c r="T1676" i="1"/>
  <c r="U1676" i="1"/>
  <c r="V1676" i="1"/>
  <c r="W1676" i="1"/>
  <c r="S1677" i="1"/>
  <c r="T1677" i="1"/>
  <c r="U1677" i="1"/>
  <c r="V1677" i="1"/>
  <c r="W1677" i="1"/>
  <c r="S1243" i="1"/>
  <c r="T1243" i="1"/>
  <c r="U1243" i="1"/>
  <c r="V1243" i="1"/>
  <c r="W1243" i="1"/>
  <c r="S1242" i="1"/>
  <c r="T1242" i="1"/>
  <c r="U1242" i="1"/>
  <c r="V1242" i="1"/>
  <c r="W1242" i="1"/>
  <c r="S1240" i="1"/>
  <c r="T1240" i="1"/>
  <c r="U1240" i="1"/>
  <c r="V1240" i="1"/>
  <c r="W1240" i="1"/>
  <c r="S1239" i="1"/>
  <c r="T1239" i="1"/>
  <c r="U1239" i="1"/>
  <c r="V1239" i="1"/>
  <c r="W1239" i="1"/>
  <c r="S1238" i="1"/>
  <c r="T1238" i="1"/>
  <c r="U1238" i="1"/>
  <c r="V1238" i="1"/>
  <c r="W1238" i="1"/>
  <c r="S1237" i="1"/>
  <c r="T1237" i="1"/>
  <c r="U1237" i="1"/>
  <c r="V1237" i="1"/>
  <c r="W1237" i="1"/>
  <c r="S1241" i="1"/>
  <c r="T1241" i="1"/>
  <c r="U1241" i="1"/>
  <c r="V1241" i="1"/>
  <c r="W1241" i="1"/>
  <c r="S1680" i="1"/>
  <c r="T1680" i="1"/>
  <c r="U1680" i="1"/>
  <c r="V1680" i="1"/>
  <c r="W1680" i="1"/>
  <c r="S1671" i="1"/>
  <c r="T1671" i="1"/>
  <c r="U1671" i="1"/>
  <c r="V1671" i="1"/>
  <c r="W1671" i="1"/>
  <c r="S1683" i="1"/>
  <c r="T1683" i="1"/>
  <c r="U1683" i="1"/>
  <c r="V1683" i="1"/>
  <c r="W1683" i="1"/>
  <c r="S1684" i="1"/>
  <c r="T1684" i="1"/>
  <c r="U1684" i="1"/>
  <c r="V1684" i="1"/>
  <c r="W1684" i="1"/>
  <c r="S1685" i="1"/>
  <c r="T1685" i="1"/>
  <c r="U1685" i="1"/>
  <c r="V1685" i="1"/>
  <c r="W1685" i="1"/>
  <c r="S1646" i="1"/>
  <c r="T1646" i="1"/>
  <c r="U1646" i="1"/>
  <c r="V1646" i="1"/>
  <c r="W1646" i="1"/>
  <c r="S1687" i="1"/>
  <c r="T1687" i="1"/>
  <c r="U1687" i="1"/>
  <c r="V1687" i="1"/>
  <c r="W1687" i="1"/>
  <c r="S1692" i="1"/>
  <c r="T1692" i="1"/>
  <c r="U1692" i="1"/>
  <c r="V1692" i="1"/>
  <c r="W1692" i="1"/>
  <c r="S1678" i="1"/>
  <c r="T1678" i="1"/>
  <c r="U1678" i="1"/>
  <c r="V1678" i="1"/>
  <c r="W1678" i="1"/>
  <c r="S1650" i="1"/>
  <c r="T1650" i="1"/>
  <c r="U1650" i="1"/>
  <c r="V1650" i="1"/>
  <c r="W1650" i="1"/>
  <c r="S1248" i="1"/>
  <c r="T1248" i="1"/>
  <c r="U1248" i="1"/>
  <c r="V1248" i="1"/>
  <c r="W1248" i="1"/>
  <c r="S1682" i="1"/>
  <c r="T1682" i="1"/>
  <c r="U1682" i="1"/>
  <c r="V1682" i="1"/>
  <c r="W1682" i="1"/>
  <c r="S1686" i="1"/>
  <c r="T1686" i="1"/>
  <c r="U1686" i="1"/>
  <c r="V1686" i="1"/>
  <c r="W1686" i="1"/>
  <c r="S1247" i="1"/>
  <c r="T1247" i="1"/>
  <c r="U1247" i="1"/>
  <c r="V1247" i="1"/>
  <c r="W1247" i="1"/>
  <c r="S1246" i="1"/>
  <c r="T1246" i="1"/>
  <c r="U1246" i="1"/>
  <c r="V1246" i="1"/>
  <c r="W1246" i="1"/>
  <c r="S1245" i="1"/>
  <c r="T1245" i="1"/>
  <c r="U1245" i="1"/>
  <c r="V1245" i="1"/>
  <c r="W1245" i="1"/>
  <c r="S1716" i="1"/>
  <c r="T1716" i="1"/>
  <c r="U1716" i="1"/>
  <c r="V1716" i="1"/>
  <c r="W1716" i="1"/>
  <c r="S1244" i="1"/>
  <c r="T1244" i="1"/>
  <c r="U1244" i="1"/>
  <c r="V1244" i="1"/>
  <c r="W1244" i="1"/>
  <c r="S1688" i="1"/>
  <c r="T1688" i="1"/>
  <c r="U1688" i="1"/>
  <c r="V1688" i="1"/>
  <c r="W1688" i="1"/>
  <c r="S1689" i="1"/>
  <c r="T1689" i="1"/>
  <c r="U1689" i="1"/>
  <c r="V1689" i="1"/>
  <c r="W1689" i="1"/>
  <c r="S1690" i="1"/>
  <c r="T1690" i="1"/>
  <c r="U1690" i="1"/>
  <c r="V1690" i="1"/>
  <c r="W1690" i="1"/>
  <c r="S1655" i="1"/>
  <c r="T1655" i="1"/>
  <c r="U1655" i="1"/>
  <c r="V1655" i="1"/>
  <c r="W1655" i="1"/>
  <c r="S1694" i="1"/>
  <c r="T1694" i="1"/>
  <c r="U1694" i="1"/>
  <c r="V1694" i="1"/>
  <c r="W1694" i="1"/>
  <c r="S1693" i="1"/>
  <c r="T1693" i="1"/>
  <c r="U1693" i="1"/>
  <c r="V1693" i="1"/>
  <c r="W1693" i="1"/>
  <c r="S1698" i="1"/>
  <c r="T1698" i="1"/>
  <c r="U1698" i="1"/>
  <c r="V1698" i="1"/>
  <c r="W1698" i="1"/>
  <c r="S1695" i="1"/>
  <c r="T1695" i="1"/>
  <c r="U1695" i="1"/>
  <c r="V1695" i="1"/>
  <c r="W1695" i="1"/>
  <c r="S1696" i="1"/>
  <c r="T1696" i="1"/>
  <c r="U1696" i="1"/>
  <c r="V1696" i="1"/>
  <c r="W1696" i="1"/>
  <c r="S1697" i="1"/>
  <c r="T1697" i="1"/>
  <c r="U1697" i="1"/>
  <c r="V1697" i="1"/>
  <c r="W1697" i="1"/>
  <c r="S1702" i="1"/>
  <c r="T1702" i="1"/>
  <c r="U1702" i="1"/>
  <c r="V1702" i="1"/>
  <c r="W1702" i="1"/>
  <c r="S1691" i="1"/>
  <c r="T1691" i="1"/>
  <c r="U1691" i="1"/>
  <c r="V1691" i="1"/>
  <c r="W1691" i="1"/>
  <c r="S1700" i="1"/>
  <c r="T1700" i="1"/>
  <c r="U1700" i="1"/>
  <c r="V1700" i="1"/>
  <c r="W1700" i="1"/>
  <c r="S1701" i="1"/>
  <c r="T1701" i="1"/>
  <c r="U1701" i="1"/>
  <c r="V1701" i="1"/>
  <c r="W1701" i="1"/>
  <c r="S1703" i="1"/>
  <c r="T1703" i="1"/>
  <c r="U1703" i="1"/>
  <c r="V1703" i="1"/>
  <c r="W1703" i="1"/>
  <c r="S1715" i="1"/>
  <c r="T1715" i="1"/>
  <c r="U1715" i="1"/>
  <c r="V1715" i="1"/>
  <c r="W1715" i="1"/>
  <c r="S1699" i="1"/>
  <c r="T1699" i="1"/>
  <c r="U1699" i="1"/>
  <c r="V1699" i="1"/>
  <c r="W1699" i="1"/>
  <c r="S1705" i="1"/>
  <c r="T1705" i="1"/>
  <c r="U1705" i="1"/>
  <c r="V1705" i="1"/>
  <c r="W1705" i="1"/>
  <c r="S1704" i="1"/>
  <c r="T1704" i="1"/>
  <c r="U1704" i="1"/>
  <c r="V1704" i="1"/>
  <c r="W1704" i="1"/>
  <c r="S1707" i="1"/>
  <c r="T1707" i="1"/>
  <c r="U1707" i="1"/>
  <c r="V1707" i="1"/>
  <c r="W1707" i="1"/>
  <c r="S1708" i="1"/>
  <c r="T1708" i="1"/>
  <c r="U1708" i="1"/>
  <c r="V1708" i="1"/>
  <c r="W1708" i="1"/>
  <c r="S1709" i="1"/>
  <c r="T1709" i="1"/>
  <c r="U1709" i="1"/>
  <c r="V1709" i="1"/>
  <c r="W1709" i="1"/>
  <c r="S1710" i="1"/>
  <c r="T1710" i="1"/>
  <c r="U1710" i="1"/>
  <c r="V1710" i="1"/>
  <c r="W1710" i="1"/>
  <c r="S1711" i="1"/>
  <c r="T1711" i="1"/>
  <c r="U1711" i="1"/>
  <c r="V1711" i="1"/>
  <c r="W1711" i="1"/>
  <c r="S1712" i="1"/>
  <c r="T1712" i="1"/>
  <c r="U1712" i="1"/>
  <c r="V1712" i="1"/>
  <c r="W1712" i="1"/>
  <c r="S1706" i="1"/>
  <c r="T1706" i="1"/>
  <c r="U1706" i="1"/>
  <c r="V1706" i="1"/>
  <c r="W1706" i="1"/>
  <c r="S1714" i="1"/>
  <c r="T1714" i="1"/>
  <c r="U1714" i="1"/>
  <c r="V1714" i="1"/>
  <c r="W1714" i="1"/>
  <c r="S1249" i="1"/>
  <c r="T1249" i="1"/>
  <c r="U1249" i="1"/>
  <c r="V1249" i="1"/>
  <c r="W1249" i="1"/>
  <c r="S1713" i="1"/>
  <c r="T1713" i="1"/>
  <c r="U1713" i="1"/>
  <c r="V1713" i="1"/>
  <c r="W1713" i="1"/>
  <c r="S1717" i="1"/>
  <c r="T1717" i="1"/>
  <c r="U1717" i="1"/>
  <c r="V1717" i="1"/>
  <c r="W1717" i="1"/>
  <c r="S1718" i="1"/>
  <c r="T1718" i="1"/>
  <c r="U1718" i="1"/>
  <c r="V1718" i="1"/>
  <c r="W1718" i="1"/>
  <c r="S1719" i="1"/>
  <c r="T1719" i="1"/>
  <c r="U1719" i="1"/>
  <c r="V1719" i="1"/>
  <c r="W1719" i="1"/>
  <c r="S1720" i="1"/>
  <c r="T1720" i="1"/>
  <c r="U1720" i="1"/>
  <c r="V1720" i="1"/>
  <c r="W1720" i="1"/>
  <c r="S1721" i="1"/>
  <c r="T1721" i="1"/>
  <c r="U1721" i="1"/>
  <c r="V1721" i="1"/>
  <c r="W1721" i="1"/>
  <c r="S1722" i="1"/>
  <c r="T1722" i="1"/>
  <c r="U1722" i="1"/>
  <c r="V1722" i="1"/>
  <c r="W1722" i="1"/>
  <c r="S1723" i="1"/>
  <c r="T1723" i="1"/>
  <c r="U1723" i="1"/>
  <c r="V1723" i="1"/>
  <c r="W1723" i="1"/>
  <c r="S1724" i="1"/>
  <c r="T1724" i="1"/>
  <c r="U1724" i="1"/>
  <c r="V1724" i="1"/>
  <c r="W1724" i="1"/>
  <c r="S1725" i="1"/>
  <c r="T1725" i="1"/>
  <c r="U1725" i="1"/>
  <c r="V1725" i="1"/>
  <c r="W1725" i="1"/>
  <c r="S1726" i="1"/>
  <c r="T1726" i="1"/>
  <c r="U1726" i="1"/>
  <c r="V1726" i="1"/>
  <c r="W1726" i="1"/>
  <c r="S1727" i="1"/>
  <c r="T1727" i="1"/>
  <c r="U1727" i="1"/>
  <c r="V1727" i="1"/>
  <c r="W1727" i="1"/>
  <c r="S1728" i="1"/>
  <c r="T1728" i="1"/>
  <c r="U1728" i="1"/>
  <c r="V1728" i="1"/>
  <c r="W1728" i="1"/>
  <c r="S1729" i="1"/>
  <c r="T1729" i="1"/>
  <c r="U1729" i="1"/>
  <c r="V1729" i="1"/>
  <c r="W1729" i="1"/>
  <c r="S1730" i="1"/>
  <c r="T1730" i="1"/>
  <c r="U1730" i="1"/>
  <c r="V1730" i="1"/>
  <c r="W1730" i="1"/>
  <c r="S1731" i="1"/>
  <c r="T1731" i="1"/>
  <c r="U1731" i="1"/>
  <c r="V1731" i="1"/>
  <c r="W1731" i="1"/>
  <c r="S1732" i="1"/>
  <c r="T1732" i="1"/>
  <c r="U1732" i="1"/>
  <c r="V1732" i="1"/>
  <c r="W1732" i="1"/>
  <c r="S1733" i="1"/>
  <c r="T1733" i="1"/>
  <c r="U1733" i="1"/>
  <c r="V1733" i="1"/>
  <c r="W1733" i="1"/>
  <c r="S1734" i="1"/>
  <c r="T1734" i="1"/>
  <c r="U1734" i="1"/>
  <c r="V1734" i="1"/>
  <c r="W1734" i="1"/>
  <c r="S1735" i="1"/>
  <c r="T1735" i="1"/>
  <c r="U1735" i="1"/>
  <c r="V1735" i="1"/>
  <c r="W1735" i="1"/>
  <c r="S1736" i="1"/>
  <c r="T1736" i="1"/>
  <c r="U1736" i="1"/>
  <c r="V1736" i="1"/>
  <c r="W1736" i="1"/>
  <c r="S1737" i="1"/>
  <c r="T1737" i="1"/>
  <c r="U1737" i="1"/>
  <c r="V1737" i="1"/>
  <c r="W1737" i="1"/>
  <c r="S1738" i="1"/>
  <c r="T1738" i="1"/>
  <c r="U1738" i="1"/>
  <c r="V1738" i="1"/>
  <c r="W1738" i="1"/>
  <c r="S1739" i="1"/>
  <c r="T1739" i="1"/>
  <c r="U1739" i="1"/>
  <c r="V1739" i="1"/>
  <c r="W1739" i="1"/>
  <c r="S1740" i="1"/>
  <c r="T1740" i="1"/>
  <c r="U1740" i="1"/>
  <c r="V1740" i="1"/>
  <c r="W1740" i="1"/>
  <c r="S1741" i="1"/>
  <c r="T1741" i="1"/>
  <c r="U1741" i="1"/>
  <c r="V1741" i="1"/>
  <c r="W1741" i="1"/>
  <c r="S1742" i="1"/>
  <c r="T1742" i="1"/>
  <c r="U1742" i="1"/>
  <c r="V1742" i="1"/>
  <c r="W1742" i="1"/>
  <c r="S1743" i="1"/>
  <c r="T1743" i="1"/>
  <c r="U1743" i="1"/>
  <c r="V1743" i="1"/>
  <c r="W1743" i="1"/>
  <c r="S1744" i="1"/>
  <c r="T1744" i="1"/>
  <c r="U1744" i="1"/>
  <c r="V1744" i="1"/>
  <c r="W1744" i="1"/>
  <c r="S1745" i="1"/>
  <c r="T1745" i="1"/>
  <c r="U1745" i="1"/>
  <c r="V1745" i="1"/>
  <c r="W1745" i="1"/>
  <c r="S1746" i="1"/>
  <c r="T1746" i="1"/>
  <c r="U1746" i="1"/>
  <c r="V1746" i="1"/>
  <c r="W1746" i="1"/>
  <c r="S1747" i="1"/>
  <c r="T1747" i="1"/>
  <c r="U1747" i="1"/>
  <c r="V1747" i="1"/>
  <c r="W1747" i="1"/>
  <c r="S1748" i="1"/>
  <c r="T1748" i="1"/>
  <c r="U1748" i="1"/>
  <c r="V1748" i="1"/>
  <c r="W1748" i="1"/>
  <c r="S1749" i="1"/>
  <c r="T1749" i="1"/>
  <c r="U1749" i="1"/>
  <c r="V1749" i="1"/>
  <c r="W1749" i="1"/>
  <c r="S1750" i="1"/>
  <c r="T1750" i="1"/>
  <c r="U1750" i="1"/>
  <c r="V1750" i="1"/>
  <c r="W1750" i="1"/>
  <c r="S1751" i="1"/>
  <c r="T1751" i="1"/>
  <c r="U1751" i="1"/>
  <c r="V1751" i="1"/>
  <c r="W1751" i="1"/>
  <c r="S1752" i="1"/>
  <c r="T1752" i="1"/>
  <c r="U1752" i="1"/>
  <c r="V1752" i="1"/>
  <c r="W1752" i="1"/>
  <c r="S1753" i="1"/>
  <c r="T1753" i="1"/>
  <c r="U1753" i="1"/>
  <c r="V1753" i="1"/>
  <c r="W1753" i="1"/>
  <c r="S1754" i="1"/>
  <c r="T1754" i="1"/>
  <c r="U1754" i="1"/>
  <c r="V1754" i="1"/>
  <c r="W1754" i="1"/>
  <c r="S1755" i="1"/>
  <c r="T1755" i="1"/>
  <c r="U1755" i="1"/>
  <c r="V1755" i="1"/>
  <c r="W1755" i="1"/>
  <c r="S1756" i="1"/>
  <c r="T1756" i="1"/>
  <c r="U1756" i="1"/>
  <c r="V1756" i="1"/>
  <c r="W1756" i="1"/>
  <c r="S1757" i="1"/>
  <c r="T1757" i="1"/>
  <c r="U1757" i="1"/>
  <c r="V1757" i="1"/>
  <c r="W1757" i="1"/>
  <c r="S1758" i="1"/>
  <c r="T1758" i="1"/>
  <c r="U1758" i="1"/>
  <c r="V1758" i="1"/>
  <c r="W1758" i="1"/>
  <c r="S1759" i="1"/>
  <c r="T1759" i="1"/>
  <c r="U1759" i="1"/>
  <c r="V1759" i="1"/>
  <c r="W1759" i="1"/>
  <c r="S1760" i="1"/>
  <c r="T1760" i="1"/>
  <c r="U1760" i="1"/>
  <c r="V1760" i="1"/>
  <c r="W1760" i="1"/>
  <c r="S1761" i="1"/>
  <c r="T1761" i="1"/>
  <c r="U1761" i="1"/>
  <c r="V1761" i="1"/>
  <c r="W1761" i="1"/>
  <c r="S1762" i="1"/>
  <c r="T1762" i="1"/>
  <c r="U1762" i="1"/>
  <c r="V1762" i="1"/>
  <c r="W1762" i="1"/>
  <c r="S1763" i="1"/>
  <c r="T1763" i="1"/>
  <c r="U1763" i="1"/>
  <c r="V1763" i="1"/>
  <c r="W1763" i="1"/>
  <c r="S1764" i="1"/>
  <c r="T1764" i="1"/>
  <c r="U1764" i="1"/>
  <c r="V1764" i="1"/>
  <c r="W1764" i="1"/>
  <c r="S1765" i="1"/>
  <c r="T1765" i="1"/>
  <c r="U1765" i="1"/>
  <c r="V1765" i="1"/>
  <c r="W1765" i="1"/>
  <c r="S1766" i="1"/>
  <c r="T1766" i="1"/>
  <c r="U1766" i="1"/>
  <c r="V1766" i="1"/>
  <c r="W1766" i="1"/>
  <c r="S1767" i="1"/>
  <c r="T1767" i="1"/>
  <c r="U1767" i="1"/>
  <c r="V1767" i="1"/>
  <c r="W1767" i="1"/>
  <c r="S1768" i="1"/>
  <c r="T1768" i="1"/>
  <c r="U1768" i="1"/>
  <c r="V1768" i="1"/>
  <c r="W1768" i="1"/>
  <c r="S1769" i="1"/>
  <c r="T1769" i="1"/>
  <c r="U1769" i="1"/>
  <c r="V1769" i="1"/>
  <c r="W1769" i="1"/>
  <c r="S1770" i="1"/>
  <c r="T1770" i="1"/>
  <c r="U1770" i="1"/>
  <c r="V1770" i="1"/>
  <c r="W1770" i="1"/>
  <c r="S1771" i="1"/>
  <c r="T1771" i="1"/>
  <c r="U1771" i="1"/>
  <c r="V1771" i="1"/>
  <c r="W1771" i="1"/>
  <c r="S1772" i="1"/>
  <c r="T1772" i="1"/>
  <c r="U1772" i="1"/>
  <c r="V1772" i="1"/>
  <c r="W1772" i="1"/>
  <c r="S1773" i="1"/>
  <c r="T1773" i="1"/>
  <c r="U1773" i="1"/>
  <c r="V1773" i="1"/>
  <c r="W1773" i="1"/>
  <c r="S1774" i="1"/>
  <c r="T1774" i="1"/>
  <c r="U1774" i="1"/>
  <c r="V1774" i="1"/>
  <c r="W1774" i="1"/>
  <c r="S1775" i="1"/>
  <c r="T1775" i="1"/>
  <c r="U1775" i="1"/>
  <c r="V1775" i="1"/>
  <c r="W1775" i="1"/>
  <c r="S1776" i="1"/>
  <c r="T1776" i="1"/>
  <c r="U1776" i="1"/>
  <c r="V1776" i="1"/>
  <c r="W1776" i="1"/>
  <c r="S1777" i="1"/>
  <c r="T1777" i="1"/>
  <c r="U1777" i="1"/>
  <c r="V1777" i="1"/>
  <c r="W1777" i="1"/>
  <c r="S1778" i="1"/>
  <c r="T1778" i="1"/>
  <c r="U1778" i="1"/>
  <c r="V1778" i="1"/>
  <c r="W1778" i="1"/>
  <c r="S1779" i="1"/>
  <c r="T1779" i="1"/>
  <c r="U1779" i="1"/>
  <c r="V1779" i="1"/>
  <c r="W1779" i="1"/>
  <c r="S1780" i="1"/>
  <c r="T1780" i="1"/>
  <c r="U1780" i="1"/>
  <c r="V1780" i="1"/>
  <c r="W1780" i="1"/>
  <c r="S1781" i="1"/>
  <c r="T1781" i="1"/>
  <c r="U1781" i="1"/>
  <c r="V1781" i="1"/>
  <c r="W1781" i="1"/>
  <c r="S1782" i="1"/>
  <c r="T1782" i="1"/>
  <c r="U1782" i="1"/>
  <c r="V1782" i="1"/>
  <c r="W1782" i="1"/>
  <c r="S1783" i="1"/>
  <c r="T1783" i="1"/>
  <c r="U1783" i="1"/>
  <c r="V1783" i="1"/>
  <c r="W1783" i="1"/>
  <c r="S1784" i="1"/>
  <c r="T1784" i="1"/>
  <c r="U1784" i="1"/>
  <c r="V1784" i="1"/>
  <c r="W1784" i="1"/>
  <c r="S1785" i="1"/>
  <c r="T1785" i="1"/>
  <c r="U1785" i="1"/>
  <c r="V1785" i="1"/>
  <c r="W1785" i="1"/>
  <c r="S1786" i="1"/>
  <c r="T1786" i="1"/>
  <c r="U1786" i="1"/>
  <c r="V1786" i="1"/>
  <c r="W1786" i="1"/>
  <c r="S1787" i="1"/>
  <c r="T1787" i="1"/>
  <c r="U1787" i="1"/>
  <c r="V1787" i="1"/>
  <c r="W1787" i="1"/>
  <c r="S1788" i="1"/>
  <c r="T1788" i="1"/>
  <c r="U1788" i="1"/>
  <c r="V1788" i="1"/>
  <c r="W1788" i="1"/>
  <c r="S1789" i="1"/>
  <c r="T1789" i="1"/>
  <c r="U1789" i="1"/>
  <c r="V1789" i="1"/>
  <c r="W1789" i="1"/>
  <c r="S1790" i="1"/>
  <c r="T1790" i="1"/>
  <c r="U1790" i="1"/>
  <c r="V1790" i="1"/>
  <c r="W1790" i="1"/>
  <c r="S1791" i="1"/>
  <c r="T1791" i="1"/>
  <c r="U1791" i="1"/>
  <c r="V1791" i="1"/>
  <c r="W1791" i="1"/>
  <c r="S1792" i="1"/>
  <c r="T1792" i="1"/>
  <c r="U1792" i="1"/>
  <c r="V1792" i="1"/>
  <c r="W1792" i="1"/>
  <c r="S1793" i="1"/>
  <c r="T1793" i="1"/>
  <c r="U1793" i="1"/>
  <c r="V1793" i="1"/>
  <c r="W1793" i="1"/>
  <c r="S1794" i="1"/>
  <c r="T1794" i="1"/>
  <c r="U1794" i="1"/>
  <c r="V1794" i="1"/>
  <c r="W1794" i="1"/>
  <c r="S1795" i="1"/>
  <c r="T1795" i="1"/>
  <c r="U1795" i="1"/>
  <c r="V1795" i="1"/>
  <c r="W1795" i="1"/>
  <c r="S1796" i="1"/>
  <c r="T1796" i="1"/>
  <c r="U1796" i="1"/>
  <c r="V1796" i="1"/>
  <c r="W1796" i="1"/>
  <c r="S1797" i="1"/>
  <c r="T1797" i="1"/>
  <c r="U1797" i="1"/>
  <c r="V1797" i="1"/>
  <c r="W1797" i="1"/>
  <c r="S1798" i="1"/>
  <c r="T1798" i="1"/>
  <c r="U1798" i="1"/>
  <c r="V1798" i="1"/>
  <c r="W1798" i="1"/>
  <c r="S1799" i="1"/>
  <c r="T1799" i="1"/>
  <c r="U1799" i="1"/>
  <c r="V1799" i="1"/>
  <c r="W1799" i="1"/>
  <c r="S1800" i="1"/>
  <c r="T1800" i="1"/>
  <c r="U1800" i="1"/>
  <c r="V1800" i="1"/>
  <c r="W1800" i="1"/>
  <c r="S1801" i="1"/>
  <c r="T1801" i="1"/>
  <c r="U1801" i="1"/>
  <c r="V1801" i="1"/>
  <c r="W1801" i="1"/>
  <c r="S1802" i="1"/>
  <c r="T1802" i="1"/>
  <c r="U1802" i="1"/>
  <c r="V1802" i="1"/>
  <c r="W1802" i="1"/>
  <c r="S1803" i="1"/>
  <c r="T1803" i="1"/>
  <c r="U1803" i="1"/>
  <c r="V1803" i="1"/>
  <c r="W1803" i="1"/>
  <c r="S1804" i="1"/>
  <c r="T1804" i="1"/>
  <c r="U1804" i="1"/>
  <c r="V1804" i="1"/>
  <c r="W1804" i="1"/>
  <c r="S1805" i="1"/>
  <c r="T1805" i="1"/>
  <c r="U1805" i="1"/>
  <c r="V1805" i="1"/>
  <c r="W1805" i="1"/>
  <c r="S1806" i="1"/>
  <c r="T1806" i="1"/>
  <c r="U1806" i="1"/>
  <c r="V1806" i="1"/>
  <c r="W1806" i="1"/>
  <c r="S1807" i="1"/>
  <c r="T1807" i="1"/>
  <c r="U1807" i="1"/>
  <c r="V1807" i="1"/>
  <c r="W1807" i="1"/>
  <c r="S1808" i="1"/>
  <c r="T1808" i="1"/>
  <c r="U1808" i="1"/>
  <c r="V1808" i="1"/>
  <c r="W1808" i="1"/>
  <c r="S1809" i="1"/>
  <c r="T1809" i="1"/>
  <c r="U1809" i="1"/>
  <c r="V1809" i="1"/>
  <c r="W1809" i="1"/>
  <c r="S1810" i="1"/>
  <c r="T1810" i="1"/>
  <c r="U1810" i="1"/>
  <c r="V1810" i="1"/>
  <c r="W1810" i="1"/>
  <c r="S1811" i="1"/>
  <c r="T1811" i="1"/>
  <c r="U1811" i="1"/>
  <c r="V1811" i="1"/>
  <c r="W1811" i="1"/>
  <c r="S1812" i="1"/>
  <c r="T1812" i="1"/>
  <c r="U1812" i="1"/>
  <c r="V1812" i="1"/>
  <c r="W1812" i="1"/>
  <c r="S1813" i="1"/>
  <c r="T1813" i="1"/>
  <c r="U1813" i="1"/>
  <c r="V1813" i="1"/>
  <c r="W1813" i="1"/>
  <c r="S1814" i="1"/>
  <c r="T1814" i="1"/>
  <c r="U1814" i="1"/>
  <c r="V1814" i="1"/>
  <c r="W1814" i="1"/>
  <c r="S1815" i="1"/>
  <c r="T1815" i="1"/>
  <c r="U1815" i="1"/>
  <c r="V1815" i="1"/>
  <c r="W1815" i="1"/>
  <c r="S1816" i="1"/>
  <c r="T1816" i="1"/>
  <c r="U1816" i="1"/>
  <c r="V1816" i="1"/>
  <c r="W1816" i="1"/>
  <c r="S1817" i="1"/>
  <c r="T1817" i="1"/>
  <c r="U1817" i="1"/>
  <c r="V1817" i="1"/>
  <c r="W1817" i="1"/>
  <c r="S1818" i="1"/>
  <c r="T1818" i="1"/>
  <c r="U1818" i="1"/>
  <c r="V1818" i="1"/>
  <c r="W1818" i="1"/>
  <c r="S1819" i="1"/>
  <c r="T1819" i="1"/>
  <c r="U1819" i="1"/>
  <c r="V1819" i="1"/>
  <c r="W1819" i="1"/>
  <c r="S1820" i="1"/>
  <c r="T1820" i="1"/>
  <c r="U1820" i="1"/>
  <c r="V1820" i="1"/>
  <c r="W1820" i="1"/>
  <c r="S1821" i="1"/>
  <c r="T1821" i="1"/>
  <c r="U1821" i="1"/>
  <c r="V1821" i="1"/>
  <c r="W1821" i="1"/>
  <c r="S1822" i="1"/>
  <c r="T1822" i="1"/>
  <c r="U1822" i="1"/>
  <c r="V1822" i="1"/>
  <c r="W1822" i="1"/>
  <c r="S1823" i="1"/>
  <c r="T1823" i="1"/>
  <c r="U1823" i="1"/>
  <c r="V1823" i="1"/>
  <c r="W1823" i="1"/>
  <c r="S1824" i="1"/>
  <c r="T1824" i="1"/>
  <c r="U1824" i="1"/>
  <c r="V1824" i="1"/>
  <c r="W1824" i="1"/>
  <c r="S1825" i="1"/>
  <c r="T1825" i="1"/>
  <c r="U1825" i="1"/>
  <c r="V1825" i="1"/>
  <c r="W1825" i="1"/>
  <c r="S1826" i="1"/>
  <c r="T1826" i="1"/>
  <c r="U1826" i="1"/>
  <c r="V1826" i="1"/>
  <c r="W1826" i="1"/>
  <c r="S1827" i="1"/>
  <c r="T1827" i="1"/>
  <c r="U1827" i="1"/>
  <c r="V1827" i="1"/>
  <c r="W1827" i="1"/>
  <c r="S1828" i="1"/>
  <c r="T1828" i="1"/>
  <c r="U1828" i="1"/>
  <c r="V1828" i="1"/>
  <c r="W1828" i="1"/>
  <c r="S1829" i="1"/>
  <c r="T1829" i="1"/>
  <c r="U1829" i="1"/>
  <c r="V1829" i="1"/>
  <c r="W1829" i="1"/>
  <c r="S1830" i="1"/>
  <c r="T1830" i="1"/>
  <c r="U1830" i="1"/>
  <c r="V1830" i="1"/>
  <c r="W1830" i="1"/>
  <c r="S1831" i="1"/>
  <c r="T1831" i="1"/>
  <c r="U1831" i="1"/>
  <c r="V1831" i="1"/>
  <c r="W1831" i="1"/>
  <c r="S1832" i="1"/>
  <c r="T1832" i="1"/>
  <c r="U1832" i="1"/>
  <c r="V1832" i="1"/>
  <c r="W1832" i="1"/>
  <c r="S1833" i="1"/>
  <c r="T1833" i="1"/>
  <c r="U1833" i="1"/>
  <c r="V1833" i="1"/>
  <c r="W1833" i="1"/>
  <c r="S1834" i="1"/>
  <c r="T1834" i="1"/>
  <c r="U1834" i="1"/>
  <c r="V1834" i="1"/>
  <c r="W1834" i="1"/>
  <c r="S1835" i="1"/>
  <c r="T1835" i="1"/>
  <c r="U1835" i="1"/>
  <c r="V1835" i="1"/>
  <c r="W1835" i="1"/>
  <c r="S1836" i="1"/>
  <c r="T1836" i="1"/>
  <c r="U1836" i="1"/>
  <c r="V1836" i="1"/>
  <c r="W1836" i="1"/>
  <c r="S1837" i="1"/>
  <c r="T1837" i="1"/>
  <c r="U1837" i="1"/>
  <c r="V1837" i="1"/>
  <c r="W1837" i="1"/>
  <c r="S1838" i="1"/>
  <c r="T1838" i="1"/>
  <c r="U1838" i="1"/>
  <c r="V1838" i="1"/>
  <c r="W1838" i="1"/>
  <c r="S1839" i="1"/>
  <c r="T1839" i="1"/>
  <c r="U1839" i="1"/>
  <c r="V1839" i="1"/>
  <c r="W1839" i="1"/>
  <c r="S1840" i="1"/>
  <c r="T1840" i="1"/>
  <c r="U1840" i="1"/>
  <c r="V1840" i="1"/>
  <c r="W1840" i="1"/>
  <c r="S1841" i="1"/>
  <c r="T1841" i="1"/>
  <c r="U1841" i="1"/>
  <c r="V1841" i="1"/>
  <c r="W1841" i="1"/>
  <c r="S1842" i="1"/>
  <c r="T1842" i="1"/>
  <c r="U1842" i="1"/>
  <c r="V1842" i="1"/>
  <c r="W1842" i="1"/>
  <c r="S1843" i="1"/>
  <c r="T1843" i="1"/>
  <c r="U1843" i="1"/>
  <c r="V1843" i="1"/>
  <c r="W1843" i="1"/>
  <c r="S1844" i="1"/>
  <c r="T1844" i="1"/>
  <c r="U1844" i="1"/>
  <c r="V1844" i="1"/>
  <c r="W1844" i="1"/>
  <c r="S1845" i="1"/>
  <c r="T1845" i="1"/>
  <c r="U1845" i="1"/>
  <c r="V1845" i="1"/>
  <c r="W1845" i="1"/>
  <c r="S1846" i="1"/>
  <c r="T1846" i="1"/>
  <c r="U1846" i="1"/>
  <c r="V1846" i="1"/>
  <c r="W1846" i="1"/>
  <c r="S1848" i="1"/>
  <c r="T1848" i="1"/>
  <c r="U1848" i="1"/>
  <c r="V1848" i="1"/>
  <c r="W1848" i="1"/>
  <c r="S1849" i="1"/>
  <c r="T1849" i="1"/>
  <c r="U1849" i="1"/>
  <c r="V1849" i="1"/>
  <c r="W1849" i="1"/>
  <c r="S1850" i="1"/>
  <c r="T1850" i="1"/>
  <c r="U1850" i="1"/>
  <c r="V1850" i="1"/>
  <c r="W1850" i="1"/>
  <c r="S1851" i="1"/>
  <c r="T1851" i="1"/>
  <c r="U1851" i="1"/>
  <c r="V1851" i="1"/>
  <c r="W1851" i="1"/>
  <c r="S1852" i="1"/>
  <c r="T1852" i="1"/>
  <c r="U1852" i="1"/>
  <c r="V1852" i="1"/>
  <c r="W1852" i="1"/>
  <c r="S1853" i="1"/>
  <c r="T1853" i="1"/>
  <c r="U1853" i="1"/>
  <c r="V1853" i="1"/>
  <c r="W1853" i="1"/>
  <c r="S1854" i="1"/>
  <c r="T1854" i="1"/>
  <c r="U1854" i="1"/>
  <c r="V1854" i="1"/>
  <c r="W1854" i="1"/>
  <c r="S1855" i="1"/>
  <c r="T1855" i="1"/>
  <c r="U1855" i="1"/>
  <c r="V1855" i="1"/>
  <c r="W1855" i="1"/>
  <c r="S1856" i="1"/>
  <c r="T1856" i="1"/>
  <c r="U1856" i="1"/>
  <c r="V1856" i="1"/>
  <c r="W1856" i="1"/>
  <c r="S1857" i="1"/>
  <c r="T1857" i="1"/>
  <c r="U1857" i="1"/>
  <c r="V1857" i="1"/>
  <c r="W1857" i="1"/>
  <c r="S1858" i="1"/>
  <c r="T1858" i="1"/>
  <c r="U1858" i="1"/>
  <c r="V1858" i="1"/>
  <c r="W1858" i="1"/>
  <c r="S1859" i="1"/>
  <c r="T1859" i="1"/>
  <c r="U1859" i="1"/>
  <c r="V1859" i="1"/>
  <c r="W1859" i="1"/>
  <c r="S1860" i="1"/>
  <c r="T1860" i="1"/>
  <c r="U1860" i="1"/>
  <c r="V1860" i="1"/>
  <c r="W1860" i="1"/>
  <c r="S1861" i="1"/>
  <c r="T1861" i="1"/>
  <c r="U1861" i="1"/>
  <c r="V1861" i="1"/>
  <c r="W1861" i="1"/>
  <c r="S1862" i="1"/>
  <c r="T1862" i="1"/>
  <c r="U1862" i="1"/>
  <c r="V1862" i="1"/>
  <c r="W1862" i="1"/>
  <c r="S1863" i="1"/>
  <c r="T1863" i="1"/>
  <c r="U1863" i="1"/>
  <c r="V1863" i="1"/>
  <c r="W1863" i="1"/>
  <c r="S1864" i="1"/>
  <c r="T1864" i="1"/>
  <c r="U1864" i="1"/>
  <c r="V1864" i="1"/>
  <c r="W1864" i="1"/>
  <c r="S1865" i="1"/>
  <c r="T1865" i="1"/>
  <c r="U1865" i="1"/>
  <c r="V1865" i="1"/>
  <c r="W1865" i="1"/>
  <c r="S1866" i="1"/>
  <c r="T1866" i="1"/>
  <c r="U1866" i="1"/>
  <c r="V1866" i="1"/>
  <c r="W1866" i="1"/>
  <c r="S1867" i="1"/>
  <c r="T1867" i="1"/>
  <c r="U1867" i="1"/>
  <c r="V1867" i="1"/>
  <c r="W1867" i="1"/>
  <c r="S1868" i="1"/>
  <c r="T1868" i="1"/>
  <c r="U1868" i="1"/>
  <c r="V1868" i="1"/>
  <c r="W1868" i="1"/>
  <c r="S1869" i="1"/>
  <c r="T1869" i="1"/>
  <c r="U1869" i="1"/>
  <c r="V1869" i="1"/>
  <c r="W1869" i="1"/>
  <c r="S1870" i="1"/>
  <c r="T1870" i="1"/>
  <c r="U1870" i="1"/>
  <c r="V1870" i="1"/>
  <c r="W1870" i="1"/>
  <c r="S1871" i="1"/>
  <c r="T1871" i="1"/>
  <c r="U1871" i="1"/>
  <c r="V1871" i="1"/>
  <c r="W1871" i="1"/>
  <c r="S1872" i="1"/>
  <c r="T1872" i="1"/>
  <c r="U1872" i="1"/>
  <c r="V1872" i="1"/>
  <c r="W1872" i="1"/>
  <c r="S1873" i="1"/>
  <c r="T1873" i="1"/>
  <c r="U1873" i="1"/>
  <c r="V1873" i="1"/>
  <c r="W1873" i="1"/>
  <c r="S1874" i="1"/>
  <c r="T1874" i="1"/>
  <c r="U1874" i="1"/>
  <c r="V1874" i="1"/>
  <c r="W1874" i="1"/>
  <c r="S1875" i="1"/>
  <c r="T1875" i="1"/>
  <c r="U1875" i="1"/>
  <c r="V1875" i="1"/>
  <c r="W1875" i="1"/>
  <c r="S1876" i="1"/>
  <c r="T1876" i="1"/>
  <c r="U1876" i="1"/>
  <c r="V1876" i="1"/>
  <c r="W1876" i="1"/>
  <c r="S1877" i="1"/>
  <c r="T1877" i="1"/>
  <c r="U1877" i="1"/>
  <c r="V1877" i="1"/>
  <c r="W1877" i="1"/>
  <c r="S1878" i="1"/>
  <c r="T1878" i="1"/>
  <c r="U1878" i="1"/>
  <c r="V1878" i="1"/>
  <c r="W1878" i="1"/>
  <c r="S1880" i="1"/>
  <c r="T1880" i="1"/>
  <c r="U1880" i="1"/>
  <c r="V1880" i="1"/>
  <c r="W1880" i="1"/>
  <c r="S1881" i="1"/>
  <c r="T1881" i="1"/>
  <c r="U1881" i="1"/>
  <c r="V1881" i="1"/>
  <c r="W1881" i="1"/>
  <c r="S1882" i="1"/>
  <c r="T1882" i="1"/>
  <c r="U1882" i="1"/>
  <c r="V1882" i="1"/>
  <c r="W1882" i="1"/>
  <c r="S1883" i="1"/>
  <c r="T1883" i="1"/>
  <c r="U1883" i="1"/>
  <c r="V1883" i="1"/>
  <c r="W1883" i="1"/>
  <c r="S1884" i="1"/>
  <c r="T1884" i="1"/>
  <c r="U1884" i="1"/>
  <c r="V1884" i="1"/>
  <c r="W1884" i="1"/>
  <c r="S1885" i="1"/>
  <c r="T1885" i="1"/>
  <c r="U1885" i="1"/>
  <c r="V1885" i="1"/>
  <c r="W1885" i="1"/>
  <c r="S1886" i="1"/>
  <c r="T1886" i="1"/>
  <c r="U1886" i="1"/>
  <c r="V1886" i="1"/>
  <c r="W1886" i="1"/>
  <c r="S1887" i="1"/>
  <c r="T1887" i="1"/>
  <c r="U1887" i="1"/>
  <c r="V1887" i="1"/>
  <c r="W1887" i="1"/>
  <c r="S1888" i="1"/>
  <c r="T1888" i="1"/>
  <c r="U1888" i="1"/>
  <c r="V1888" i="1"/>
  <c r="W1888" i="1"/>
  <c r="S1889" i="1"/>
  <c r="T1889" i="1"/>
  <c r="U1889" i="1"/>
  <c r="V1889" i="1"/>
  <c r="W1889" i="1"/>
  <c r="S1890" i="1"/>
  <c r="T1890" i="1"/>
  <c r="U1890" i="1"/>
  <c r="V1890" i="1"/>
  <c r="W1890" i="1"/>
  <c r="S1891" i="1"/>
  <c r="T1891" i="1"/>
  <c r="U1891" i="1"/>
  <c r="V1891" i="1"/>
  <c r="W1891" i="1"/>
  <c r="S1892" i="1"/>
  <c r="T1892" i="1"/>
  <c r="U1892" i="1"/>
  <c r="V1892" i="1"/>
  <c r="W1892" i="1"/>
  <c r="S1893" i="1"/>
  <c r="T1893" i="1"/>
  <c r="U1893" i="1"/>
  <c r="V1893" i="1"/>
  <c r="W1893" i="1"/>
  <c r="S1894" i="1"/>
  <c r="T1894" i="1"/>
  <c r="U1894" i="1"/>
  <c r="V1894" i="1"/>
  <c r="W1894" i="1"/>
  <c r="S1895" i="1"/>
  <c r="T1895" i="1"/>
  <c r="U1895" i="1"/>
  <c r="V1895" i="1"/>
  <c r="W1895" i="1"/>
  <c r="S1896" i="1"/>
  <c r="T1896" i="1"/>
  <c r="U1896" i="1"/>
  <c r="V1896" i="1"/>
  <c r="W1896" i="1"/>
  <c r="S1897" i="1"/>
  <c r="T1897" i="1"/>
  <c r="U1897" i="1"/>
  <c r="V1897" i="1"/>
  <c r="W1897" i="1"/>
  <c r="S1898" i="1"/>
  <c r="T1898" i="1"/>
  <c r="U1898" i="1"/>
  <c r="V1898" i="1"/>
  <c r="W1898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54" i="1"/>
  <c r="Q41" i="1"/>
  <c r="Q42" i="1"/>
  <c r="Q43" i="1"/>
  <c r="Q44" i="1"/>
  <c r="Q45" i="1"/>
  <c r="Q46" i="1"/>
  <c r="Q47" i="1"/>
  <c r="Q48" i="1"/>
  <c r="Q49" i="1"/>
  <c r="Q50" i="1"/>
  <c r="Q51" i="1"/>
  <c r="Q62" i="1"/>
  <c r="Q66" i="1"/>
  <c r="Q40" i="1"/>
  <c r="Q55" i="1"/>
  <c r="Q56" i="1"/>
  <c r="Q57" i="1"/>
  <c r="Q58" i="1"/>
  <c r="Q59" i="1"/>
  <c r="Q60" i="1"/>
  <c r="Q61" i="1"/>
  <c r="Q52" i="1"/>
  <c r="Q63" i="1"/>
  <c r="Q64" i="1"/>
  <c r="Q65" i="1"/>
  <c r="Q68" i="1"/>
  <c r="Q67" i="1"/>
  <c r="Q69" i="1"/>
  <c r="Q72" i="1"/>
  <c r="Q70" i="1"/>
  <c r="Q71" i="1"/>
  <c r="Q76" i="1"/>
  <c r="Q73" i="1"/>
  <c r="Q74" i="1"/>
  <c r="Q75" i="1"/>
  <c r="Q53" i="1"/>
  <c r="Q77" i="1"/>
  <c r="Q78" i="1"/>
  <c r="Q79" i="1"/>
  <c r="Q80" i="1"/>
  <c r="Q90" i="1"/>
  <c r="Q82" i="1"/>
  <c r="Q83" i="1"/>
  <c r="Q84" i="1"/>
  <c r="Q85" i="1"/>
  <c r="Q86" i="1"/>
  <c r="Q81" i="1"/>
  <c r="Q88" i="1"/>
  <c r="Q89" i="1"/>
  <c r="Q87" i="1"/>
  <c r="Q91" i="1"/>
  <c r="Q92" i="1"/>
  <c r="Q93" i="1"/>
  <c r="Q94" i="1"/>
  <c r="Q95" i="1"/>
  <c r="Q96" i="1"/>
  <c r="Q150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97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21" i="1"/>
  <c r="Q141" i="1"/>
  <c r="Q143" i="1"/>
  <c r="Q144" i="1"/>
  <c r="Q145" i="1"/>
  <c r="Q182" i="1"/>
  <c r="Q147" i="1"/>
  <c r="Q142" i="1"/>
  <c r="Q149" i="1"/>
  <c r="Q146" i="1"/>
  <c r="Q148" i="1"/>
  <c r="Q152" i="1"/>
  <c r="Q153" i="1"/>
  <c r="Q154" i="1"/>
  <c r="Q155" i="1"/>
  <c r="Q151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56" i="1"/>
  <c r="Q172" i="1"/>
  <c r="Q173" i="1"/>
  <c r="Q174" i="1"/>
  <c r="Q175" i="1"/>
  <c r="Q176" i="1"/>
  <c r="Q189" i="1"/>
  <c r="Q178" i="1"/>
  <c r="Q179" i="1"/>
  <c r="Q180" i="1"/>
  <c r="Q194" i="1"/>
  <c r="Q236" i="1"/>
  <c r="Q183" i="1"/>
  <c r="Q177" i="1"/>
  <c r="Q185" i="1"/>
  <c r="Q186" i="1"/>
  <c r="Q187" i="1"/>
  <c r="Q188" i="1"/>
  <c r="Q170" i="1"/>
  <c r="Q190" i="1"/>
  <c r="Q191" i="1"/>
  <c r="Q192" i="1"/>
  <c r="Q193" i="1"/>
  <c r="Q196" i="1"/>
  <c r="Q195" i="1"/>
  <c r="Q171" i="1"/>
  <c r="Q197" i="1"/>
  <c r="Q198" i="1"/>
  <c r="Q199" i="1"/>
  <c r="Q200" i="1"/>
  <c r="Q201" i="1"/>
  <c r="Q181" i="1"/>
  <c r="Q203" i="1"/>
  <c r="Q204" i="1"/>
  <c r="Q205" i="1"/>
  <c r="Q206" i="1"/>
  <c r="Q207" i="1"/>
  <c r="Q208" i="1"/>
  <c r="Q209" i="1"/>
  <c r="Q210" i="1"/>
  <c r="Q202" i="1"/>
  <c r="Q211" i="1"/>
  <c r="Q213" i="1"/>
  <c r="Q214" i="1"/>
  <c r="Q212" i="1"/>
  <c r="Q217" i="1"/>
  <c r="Q218" i="1"/>
  <c r="Q219" i="1"/>
  <c r="Q220" i="1"/>
  <c r="Q215" i="1"/>
  <c r="Q222" i="1"/>
  <c r="Q223" i="1"/>
  <c r="Q224" i="1"/>
  <c r="Q225" i="1"/>
  <c r="Q226" i="1"/>
  <c r="Q227" i="1"/>
  <c r="Q221" i="1"/>
  <c r="Q229" i="1"/>
  <c r="Q230" i="1"/>
  <c r="Q231" i="1"/>
  <c r="Q232" i="1"/>
  <c r="Q233" i="1"/>
  <c r="Q228" i="1"/>
  <c r="Q235" i="1"/>
  <c r="Q234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96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50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9" i="1"/>
  <c r="Q676" i="1"/>
  <c r="Q677" i="1"/>
  <c r="Q678" i="1"/>
  <c r="Q608" i="1"/>
  <c r="Q675" i="1"/>
  <c r="Q681" i="1"/>
  <c r="Q683" i="1"/>
  <c r="Q684" i="1"/>
  <c r="Q685" i="1"/>
  <c r="Q680" i="1"/>
  <c r="Q687" i="1"/>
  <c r="Q688" i="1"/>
  <c r="Q689" i="1"/>
  <c r="Q690" i="1"/>
  <c r="Q691" i="1"/>
  <c r="Q692" i="1"/>
  <c r="Q693" i="1"/>
  <c r="Q694" i="1"/>
  <c r="Q695" i="1"/>
  <c r="Q686" i="1"/>
  <c r="Q697" i="1"/>
  <c r="Q741" i="1"/>
  <c r="Q699" i="1"/>
  <c r="Q700" i="1"/>
  <c r="Q701" i="1"/>
  <c r="Q702" i="1"/>
  <c r="Q1252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698" i="1"/>
  <c r="Q729" i="1"/>
  <c r="Q731" i="1"/>
  <c r="Q732" i="1"/>
  <c r="Q733" i="1"/>
  <c r="Q734" i="1"/>
  <c r="Q735" i="1"/>
  <c r="Q736" i="1"/>
  <c r="Q737" i="1"/>
  <c r="Q738" i="1"/>
  <c r="Q739" i="1"/>
  <c r="Q740" i="1"/>
  <c r="Q730" i="1"/>
  <c r="Q742" i="1"/>
  <c r="Q743" i="1"/>
  <c r="Q744" i="1"/>
  <c r="Q745" i="1"/>
  <c r="Q746" i="1"/>
  <c r="Q747" i="1"/>
  <c r="Q748" i="1"/>
  <c r="Q749" i="1"/>
  <c r="Q750" i="1"/>
  <c r="Q757" i="1"/>
  <c r="Q752" i="1"/>
  <c r="Q753" i="1"/>
  <c r="Q754" i="1"/>
  <c r="Q755" i="1"/>
  <c r="Q756" i="1"/>
  <c r="Q751" i="1"/>
  <c r="Q758" i="1"/>
  <c r="Q759" i="1"/>
  <c r="Q1253" i="1"/>
  <c r="Q761" i="1"/>
  <c r="Q762" i="1"/>
  <c r="Q763" i="1"/>
  <c r="Q764" i="1"/>
  <c r="Q765" i="1"/>
  <c r="Q766" i="1"/>
  <c r="Q703" i="1"/>
  <c r="Q768" i="1"/>
  <c r="Q769" i="1"/>
  <c r="Q770" i="1"/>
  <c r="Q771" i="1"/>
  <c r="Q772" i="1"/>
  <c r="Q773" i="1"/>
  <c r="Q774" i="1"/>
  <c r="Q775" i="1"/>
  <c r="Q776" i="1"/>
  <c r="Q788" i="1"/>
  <c r="Q778" i="1"/>
  <c r="Q779" i="1"/>
  <c r="Q780" i="1"/>
  <c r="Q781" i="1"/>
  <c r="Q782" i="1"/>
  <c r="Q783" i="1"/>
  <c r="Q784" i="1"/>
  <c r="Q785" i="1"/>
  <c r="Q786" i="1"/>
  <c r="Q787" i="1"/>
  <c r="Q767" i="1"/>
  <c r="Q760" i="1"/>
  <c r="Q777" i="1"/>
  <c r="Q791" i="1"/>
  <c r="Q792" i="1"/>
  <c r="Q793" i="1"/>
  <c r="Q794" i="1"/>
  <c r="Q795" i="1"/>
  <c r="Q796" i="1"/>
  <c r="Q797" i="1"/>
  <c r="Q1254" i="1"/>
  <c r="Q846" i="1"/>
  <c r="Q800" i="1"/>
  <c r="Q801" i="1"/>
  <c r="Q790" i="1"/>
  <c r="Q803" i="1"/>
  <c r="Q804" i="1"/>
  <c r="Q1255" i="1"/>
  <c r="Q806" i="1"/>
  <c r="Q807" i="1"/>
  <c r="Q808" i="1"/>
  <c r="Q809" i="1"/>
  <c r="Q810" i="1"/>
  <c r="Q811" i="1"/>
  <c r="Q812" i="1"/>
  <c r="Q814" i="1"/>
  <c r="Q815" i="1"/>
  <c r="Q816" i="1"/>
  <c r="Q817" i="1"/>
  <c r="Q818" i="1"/>
  <c r="Q819" i="1"/>
  <c r="Q820" i="1"/>
  <c r="Q821" i="1"/>
  <c r="Q822" i="1"/>
  <c r="Q789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1256" i="1"/>
  <c r="Q843" i="1"/>
  <c r="Q845" i="1"/>
  <c r="Q799" i="1"/>
  <c r="Q802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1257" i="1"/>
  <c r="Q1258" i="1"/>
  <c r="Q864" i="1"/>
  <c r="Q865" i="1"/>
  <c r="Q1259" i="1"/>
  <c r="Q1260" i="1"/>
  <c r="Q868" i="1"/>
  <c r="Q869" i="1"/>
  <c r="Q870" i="1"/>
  <c r="Q871" i="1"/>
  <c r="Q872" i="1"/>
  <c r="Q873" i="1"/>
  <c r="Q874" i="1"/>
  <c r="Q1261" i="1"/>
  <c r="Q876" i="1"/>
  <c r="Q877" i="1"/>
  <c r="Q878" i="1"/>
  <c r="Q879" i="1"/>
  <c r="Q1262" i="1"/>
  <c r="Q1264" i="1"/>
  <c r="Q882" i="1"/>
  <c r="Q883" i="1"/>
  <c r="Q884" i="1"/>
  <c r="Q885" i="1"/>
  <c r="Q886" i="1"/>
  <c r="Q887" i="1"/>
  <c r="Q842" i="1"/>
  <c r="Q889" i="1"/>
  <c r="Q890" i="1"/>
  <c r="Q891" i="1"/>
  <c r="Q892" i="1"/>
  <c r="Q893" i="1"/>
  <c r="Q894" i="1"/>
  <c r="Q895" i="1"/>
  <c r="Q896" i="1"/>
  <c r="Q897" i="1"/>
  <c r="Q898" i="1"/>
  <c r="Q823" i="1"/>
  <c r="Q900" i="1"/>
  <c r="Q901" i="1"/>
  <c r="Q902" i="1"/>
  <c r="Q903" i="1"/>
  <c r="Q904" i="1"/>
  <c r="Q905" i="1"/>
  <c r="Q906" i="1"/>
  <c r="Q907" i="1"/>
  <c r="Q908" i="1"/>
  <c r="Q805" i="1"/>
  <c r="Q798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1265" i="1"/>
  <c r="Q927" i="1"/>
  <c r="Q928" i="1"/>
  <c r="Q929" i="1"/>
  <c r="Q930" i="1"/>
  <c r="Q931" i="1"/>
  <c r="Q1266" i="1"/>
  <c r="Q933" i="1"/>
  <c r="Q934" i="1"/>
  <c r="Q935" i="1"/>
  <c r="Q936" i="1"/>
  <c r="Q937" i="1"/>
  <c r="Q938" i="1"/>
  <c r="Q1267" i="1"/>
  <c r="Q940" i="1"/>
  <c r="Q1268" i="1"/>
  <c r="Q942" i="1"/>
  <c r="Q943" i="1"/>
  <c r="Q944" i="1"/>
  <c r="Q945" i="1"/>
  <c r="Q946" i="1"/>
  <c r="Q947" i="1"/>
  <c r="Q1269" i="1"/>
  <c r="Q949" i="1"/>
  <c r="Q950" i="1"/>
  <c r="Q951" i="1"/>
  <c r="Q952" i="1"/>
  <c r="Q1270" i="1"/>
  <c r="Q954" i="1"/>
  <c r="Q955" i="1"/>
  <c r="Q956" i="1"/>
  <c r="Q957" i="1"/>
  <c r="Q1271" i="1"/>
  <c r="Q959" i="1"/>
  <c r="Q960" i="1"/>
  <c r="Q961" i="1"/>
  <c r="Q962" i="1"/>
  <c r="Q963" i="1"/>
  <c r="Q880" i="1"/>
  <c r="Q965" i="1"/>
  <c r="Q966" i="1"/>
  <c r="Q875" i="1"/>
  <c r="Q968" i="1"/>
  <c r="Q969" i="1"/>
  <c r="Q867" i="1"/>
  <c r="Q866" i="1"/>
  <c r="Q863" i="1"/>
  <c r="Q973" i="1"/>
  <c r="Q862" i="1"/>
  <c r="Q975" i="1"/>
  <c r="Q844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272" i="1"/>
  <c r="Q1001" i="1"/>
  <c r="Q1273" i="1"/>
  <c r="Q1003" i="1"/>
  <c r="Q1274" i="1"/>
  <c r="Q1005" i="1"/>
  <c r="Q1275" i="1"/>
  <c r="Q1008" i="1"/>
  <c r="Q1009" i="1"/>
  <c r="Q1010" i="1"/>
  <c r="Q1276" i="1"/>
  <c r="Q1012" i="1"/>
  <c r="Q1013" i="1"/>
  <c r="Q1014" i="1"/>
  <c r="Q1015" i="1"/>
  <c r="Q1016" i="1"/>
  <c r="Q1017" i="1"/>
  <c r="Q1018" i="1"/>
  <c r="Q1019" i="1"/>
  <c r="Q1020" i="1"/>
  <c r="Q1021" i="1"/>
  <c r="Q1277" i="1"/>
  <c r="Q1278" i="1"/>
  <c r="Q1024" i="1"/>
  <c r="Q1025" i="1"/>
  <c r="Q1026" i="1"/>
  <c r="Q1027" i="1"/>
  <c r="Q1028" i="1"/>
  <c r="Q1029" i="1"/>
  <c r="Q1030" i="1"/>
  <c r="Q1031" i="1"/>
  <c r="Q1032" i="1"/>
  <c r="Q909" i="1"/>
  <c r="Q1034" i="1"/>
  <c r="Q899" i="1"/>
  <c r="Q888" i="1"/>
  <c r="Q1037" i="1"/>
  <c r="Q1038" i="1"/>
  <c r="Q1039" i="1"/>
  <c r="Q1040" i="1"/>
  <c r="Q1041" i="1"/>
  <c r="Q881" i="1"/>
  <c r="Q1043" i="1"/>
  <c r="Q1044" i="1"/>
  <c r="Q1045" i="1"/>
  <c r="Q1046" i="1"/>
  <c r="Q1047" i="1"/>
  <c r="Q1279" i="1"/>
  <c r="Q1049" i="1"/>
  <c r="Q1281" i="1"/>
  <c r="Q1051" i="1"/>
  <c r="Q1282" i="1"/>
  <c r="Q1053" i="1"/>
  <c r="Q1283" i="1"/>
  <c r="Q1055" i="1"/>
  <c r="Q1056" i="1"/>
  <c r="Q1057" i="1"/>
  <c r="Q1284" i="1"/>
  <c r="Q1059" i="1"/>
  <c r="Q1285" i="1"/>
  <c r="Q1061" i="1"/>
  <c r="Q1286" i="1"/>
  <c r="Q1287" i="1"/>
  <c r="Q1288" i="1"/>
  <c r="Q1065" i="1"/>
  <c r="Q1289" i="1"/>
  <c r="Q1067" i="1"/>
  <c r="Q1068" i="1"/>
  <c r="Q1290" i="1"/>
  <c r="Q1291" i="1"/>
  <c r="Q1071" i="1"/>
  <c r="Q1072" i="1"/>
  <c r="Q1073" i="1"/>
  <c r="Q1292" i="1"/>
  <c r="Q1293" i="1"/>
  <c r="Q1294" i="1"/>
  <c r="Q964" i="1"/>
  <c r="Q958" i="1"/>
  <c r="Q953" i="1"/>
  <c r="Q1080" i="1"/>
  <c r="Q1081" i="1"/>
  <c r="Q1082" i="1"/>
  <c r="Q1064" i="1"/>
  <c r="Q948" i="1"/>
  <c r="Q941" i="1"/>
  <c r="Q1086" i="1"/>
  <c r="Q1087" i="1"/>
  <c r="Q1088" i="1"/>
  <c r="Q926" i="1"/>
  <c r="Q939" i="1"/>
  <c r="Q932" i="1"/>
  <c r="Q1092" i="1"/>
  <c r="Q910" i="1"/>
  <c r="Q1094" i="1"/>
  <c r="Q1095" i="1"/>
  <c r="Q1295" i="1"/>
  <c r="Q1097" i="1"/>
  <c r="Q1098" i="1"/>
  <c r="Q1296" i="1"/>
  <c r="Q1297" i="1"/>
  <c r="Q1298" i="1"/>
  <c r="Q1299" i="1"/>
  <c r="Q1103" i="1"/>
  <c r="Q1300" i="1"/>
  <c r="Q1301" i="1"/>
  <c r="Q1302" i="1"/>
  <c r="Q1107" i="1"/>
  <c r="Q1108" i="1"/>
  <c r="Q1109" i="1"/>
  <c r="Q1303" i="1"/>
  <c r="Q1304" i="1"/>
  <c r="Q1305" i="1"/>
  <c r="Q1306" i="1"/>
  <c r="Q1307" i="1"/>
  <c r="Q1308" i="1"/>
  <c r="Q1116" i="1"/>
  <c r="Q1309" i="1"/>
  <c r="Q1118" i="1"/>
  <c r="Q1310" i="1"/>
  <c r="Q1311" i="1"/>
  <c r="Q1312" i="1"/>
  <c r="Q1313" i="1"/>
  <c r="Q1314" i="1"/>
  <c r="Q1315" i="1"/>
  <c r="Q1316" i="1"/>
  <c r="Q1318" i="1"/>
  <c r="Q1128" i="1"/>
  <c r="Q1319" i="1"/>
  <c r="Q1320" i="1"/>
  <c r="Q1321" i="1"/>
  <c r="Q1132" i="1"/>
  <c r="Q1322" i="1"/>
  <c r="Q1323" i="1"/>
  <c r="Q1324" i="1"/>
  <c r="Q1325" i="1"/>
  <c r="Q1326" i="1"/>
  <c r="Q1138" i="1"/>
  <c r="Q1327" i="1"/>
  <c r="Q1140" i="1"/>
  <c r="Q1004" i="1"/>
  <c r="Q1000" i="1"/>
  <c r="Q1002" i="1"/>
  <c r="Q1144" i="1"/>
  <c r="Q1145" i="1"/>
  <c r="Q976" i="1"/>
  <c r="Q974" i="1"/>
  <c r="Q972" i="1"/>
  <c r="Q1149" i="1"/>
  <c r="Q1150" i="1"/>
  <c r="Q1151" i="1"/>
  <c r="Q1152" i="1"/>
  <c r="Q1153" i="1"/>
  <c r="Q971" i="1"/>
  <c r="Q970" i="1"/>
  <c r="Q967" i="1"/>
  <c r="Q1328" i="1"/>
  <c r="Q1329" i="1"/>
  <c r="Q1330" i="1"/>
  <c r="Q1331" i="1"/>
  <c r="Q1332" i="1"/>
  <c r="Q1333" i="1"/>
  <c r="Q1334" i="1"/>
  <c r="Q1335" i="1"/>
  <c r="Q1336" i="1"/>
  <c r="Q1337" i="1"/>
  <c r="Q1167" i="1"/>
  <c r="Q1338" i="1"/>
  <c r="Q1339" i="1"/>
  <c r="Q1340" i="1"/>
  <c r="Q1341" i="1"/>
  <c r="Q1343" i="1"/>
  <c r="Q1346" i="1"/>
  <c r="Q1347" i="1"/>
  <c r="Q1050" i="1"/>
  <c r="Q1048" i="1"/>
  <c r="Q1042" i="1"/>
  <c r="Q1036" i="1"/>
  <c r="Q1035" i="1"/>
  <c r="Q1033" i="1"/>
  <c r="Q1023" i="1"/>
  <c r="Q1022" i="1"/>
  <c r="Q1011" i="1"/>
  <c r="Q1348" i="1"/>
  <c r="Q1349" i="1"/>
  <c r="Q1350" i="1"/>
  <c r="Q1188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4" i="1"/>
  <c r="Q1365" i="1"/>
  <c r="Q1366" i="1"/>
  <c r="Q1367" i="1"/>
  <c r="Q1368" i="1"/>
  <c r="Q1369" i="1"/>
  <c r="Q1370" i="1"/>
  <c r="Q1371" i="1"/>
  <c r="Q1063" i="1"/>
  <c r="Q1069" i="1"/>
  <c r="Q1062" i="1"/>
  <c r="Q1066" i="1"/>
  <c r="Q1060" i="1"/>
  <c r="Q1058" i="1"/>
  <c r="Q1054" i="1"/>
  <c r="Q1052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8" i="1"/>
  <c r="Q1389" i="1"/>
  <c r="Q1390" i="1"/>
  <c r="Q1392" i="1"/>
  <c r="Q1393" i="1"/>
  <c r="Q1394" i="1"/>
  <c r="Q1395" i="1"/>
  <c r="Q1396" i="1"/>
  <c r="Q1398" i="1"/>
  <c r="Q1399" i="1"/>
  <c r="Q1400" i="1"/>
  <c r="Q1401" i="1"/>
  <c r="Q1402" i="1"/>
  <c r="Q1403" i="1"/>
  <c r="Q1404" i="1"/>
  <c r="Q1405" i="1"/>
  <c r="Q1406" i="1"/>
  <c r="Q1091" i="1"/>
  <c r="Q1090" i="1"/>
  <c r="Q1093" i="1"/>
  <c r="Q1085" i="1"/>
  <c r="Q1084" i="1"/>
  <c r="Q1083" i="1"/>
  <c r="Q1079" i="1"/>
  <c r="Q1078" i="1"/>
  <c r="Q1077" i="1"/>
  <c r="Q1076" i="1"/>
  <c r="Q1075" i="1"/>
  <c r="Q1263" i="1"/>
  <c r="Q1074" i="1"/>
  <c r="Q1070" i="1"/>
  <c r="Q1408" i="1"/>
  <c r="Q1409" i="1"/>
  <c r="Q1410" i="1"/>
  <c r="Q1411" i="1"/>
  <c r="Q1412" i="1"/>
  <c r="Q1413" i="1"/>
  <c r="Q1415" i="1"/>
  <c r="Q1416" i="1"/>
  <c r="Q1417" i="1"/>
  <c r="Q1418" i="1"/>
  <c r="Q1419" i="1"/>
  <c r="Q1420" i="1"/>
  <c r="Q1421" i="1"/>
  <c r="Q1422" i="1"/>
  <c r="Q1280" i="1"/>
  <c r="Q1423" i="1"/>
  <c r="Q1424" i="1"/>
  <c r="Q1425" i="1"/>
  <c r="Q1426" i="1"/>
  <c r="Q1427" i="1"/>
  <c r="Q1428" i="1"/>
  <c r="Q1429" i="1"/>
  <c r="Q1430" i="1"/>
  <c r="Q1431" i="1"/>
  <c r="Q1123" i="1"/>
  <c r="Q1122" i="1"/>
  <c r="Q1124" i="1"/>
  <c r="Q1119" i="1"/>
  <c r="Q1121" i="1"/>
  <c r="Q1120" i="1"/>
  <c r="Q1113" i="1"/>
  <c r="Q1112" i="1"/>
  <c r="Q1117" i="1"/>
  <c r="Q1114" i="1"/>
  <c r="Q1111" i="1"/>
  <c r="Q1110" i="1"/>
  <c r="Q1104" i="1"/>
  <c r="Q1102" i="1"/>
  <c r="Q1106" i="1"/>
  <c r="Q1105" i="1"/>
  <c r="Q1101" i="1"/>
  <c r="Q1100" i="1"/>
  <c r="Q1099" i="1"/>
  <c r="Q1096" i="1"/>
  <c r="Q1432" i="1"/>
  <c r="Q1433" i="1"/>
  <c r="Q1434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134" i="1"/>
  <c r="Q1342" i="1"/>
  <c r="Q1133" i="1"/>
  <c r="Q1344" i="1"/>
  <c r="Q1345" i="1"/>
  <c r="Q1131" i="1"/>
  <c r="Q1130" i="1"/>
  <c r="Q1129" i="1"/>
  <c r="Q1127" i="1"/>
  <c r="Q1126" i="1"/>
  <c r="Q1125" i="1"/>
  <c r="Q1463" i="1"/>
  <c r="Q1464" i="1"/>
  <c r="Q1465" i="1"/>
  <c r="Q1466" i="1"/>
  <c r="Q1467" i="1"/>
  <c r="Q1468" i="1"/>
  <c r="Q1469" i="1"/>
  <c r="Q1470" i="1"/>
  <c r="Q1471" i="1"/>
  <c r="Q1472" i="1"/>
  <c r="Q1473" i="1"/>
  <c r="Q1363" i="1"/>
  <c r="Q1475" i="1"/>
  <c r="Q1474" i="1"/>
  <c r="Q1476" i="1"/>
  <c r="Q1477" i="1"/>
  <c r="Q1478" i="1"/>
  <c r="Q1479" i="1"/>
  <c r="Q1480" i="1"/>
  <c r="Q1481" i="1"/>
  <c r="Q1482" i="1"/>
  <c r="Q1483" i="1"/>
  <c r="Q1484" i="1"/>
  <c r="Q1157" i="1"/>
  <c r="Q1148" i="1"/>
  <c r="Q1156" i="1"/>
  <c r="Q1155" i="1"/>
  <c r="Q1147" i="1"/>
  <c r="Q1154" i="1"/>
  <c r="Q1146" i="1"/>
  <c r="Q1142" i="1"/>
  <c r="Q1141" i="1"/>
  <c r="Q1143" i="1"/>
  <c r="Q1139" i="1"/>
  <c r="Q1136" i="1"/>
  <c r="Q1135" i="1"/>
  <c r="Q1137" i="1"/>
  <c r="Q1485" i="1"/>
  <c r="Q1486" i="1"/>
  <c r="Q1391" i="1"/>
  <c r="Q1487" i="1"/>
  <c r="Q1488" i="1"/>
  <c r="Q1489" i="1"/>
  <c r="Q1490" i="1"/>
  <c r="Q1492" i="1"/>
  <c r="Q1397" i="1"/>
  <c r="Q1493" i="1"/>
  <c r="Q1494" i="1"/>
  <c r="Q1495" i="1"/>
  <c r="Q1165" i="1"/>
  <c r="Q1164" i="1"/>
  <c r="Q1163" i="1"/>
  <c r="Q1161" i="1"/>
  <c r="Q1162" i="1"/>
  <c r="Q1160" i="1"/>
  <c r="Q1159" i="1"/>
  <c r="Q1158" i="1"/>
  <c r="Q1496" i="1"/>
  <c r="Q1497" i="1"/>
  <c r="Q1498" i="1"/>
  <c r="Q1499" i="1"/>
  <c r="Q1500" i="1"/>
  <c r="Q1414" i="1"/>
  <c r="Q1501" i="1"/>
  <c r="Q1502" i="1"/>
  <c r="Q1504" i="1"/>
  <c r="Q1505" i="1"/>
  <c r="Q1506" i="1"/>
  <c r="Q1507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174" i="1"/>
  <c r="Q1435" i="1"/>
  <c r="Q1173" i="1"/>
  <c r="Q1171" i="1"/>
  <c r="Q1172" i="1"/>
  <c r="Q1170" i="1"/>
  <c r="Q1169" i="1"/>
  <c r="Q1168" i="1"/>
  <c r="Q1166" i="1"/>
  <c r="Q1190" i="1"/>
  <c r="Q1189" i="1"/>
  <c r="Q1183" i="1"/>
  <c r="Q1187" i="1"/>
  <c r="Q1186" i="1"/>
  <c r="Q1185" i="1"/>
  <c r="Q1182" i="1"/>
  <c r="Q1184" i="1"/>
  <c r="Q1181" i="1"/>
  <c r="Q1180" i="1"/>
  <c r="Q1179" i="1"/>
  <c r="Q1177" i="1"/>
  <c r="Q1178" i="1"/>
  <c r="Q1176" i="1"/>
  <c r="Q1175" i="1"/>
  <c r="Q1522" i="1"/>
  <c r="Q1523" i="1"/>
  <c r="Q1524" i="1"/>
  <c r="Q1525" i="1"/>
  <c r="Q1526" i="1"/>
  <c r="Q1527" i="1"/>
  <c r="Q1528" i="1"/>
  <c r="Q1529" i="1"/>
  <c r="Q1531" i="1"/>
  <c r="Q1532" i="1"/>
  <c r="Q1533" i="1"/>
  <c r="Q1535" i="1"/>
  <c r="Q1536" i="1"/>
  <c r="Q1537" i="1"/>
  <c r="Q1538" i="1"/>
  <c r="Q1539" i="1"/>
  <c r="Q1540" i="1"/>
  <c r="Q1541" i="1"/>
  <c r="Q1542" i="1"/>
  <c r="Q1543" i="1"/>
  <c r="Q1544" i="1"/>
  <c r="Q1251" i="1"/>
  <c r="Q1250" i="1"/>
  <c r="Q1545" i="1"/>
  <c r="Q1546" i="1"/>
  <c r="Q1547" i="1"/>
  <c r="Q1548" i="1"/>
  <c r="Q1549" i="1"/>
  <c r="Q1550" i="1"/>
  <c r="Q1551" i="1"/>
  <c r="Q1552" i="1"/>
  <c r="Q1553" i="1"/>
  <c r="Q1554" i="1"/>
  <c r="Q1491" i="1"/>
  <c r="Q1555" i="1"/>
  <c r="Q1556" i="1"/>
  <c r="Q1557" i="1"/>
  <c r="Q1558" i="1"/>
  <c r="Q1559" i="1"/>
  <c r="Q1560" i="1"/>
  <c r="Q1561" i="1"/>
  <c r="Q1562" i="1"/>
  <c r="Q1563" i="1"/>
  <c r="Q1565" i="1"/>
  <c r="Q1201" i="1"/>
  <c r="Q1503" i="1"/>
  <c r="Q1200" i="1"/>
  <c r="Q1199" i="1"/>
  <c r="Q1198" i="1"/>
  <c r="Q1197" i="1"/>
  <c r="Q1508" i="1"/>
  <c r="Q1196" i="1"/>
  <c r="Q1195" i="1"/>
  <c r="Q1194" i="1"/>
  <c r="Q1193" i="1"/>
  <c r="Q1192" i="1"/>
  <c r="Q1191" i="1"/>
  <c r="Q1205" i="1"/>
  <c r="Q1208" i="1"/>
  <c r="Q1207" i="1"/>
  <c r="Q1206" i="1"/>
  <c r="Q1204" i="1"/>
  <c r="Q1203" i="1"/>
  <c r="Q1202" i="1"/>
  <c r="Q1568" i="1"/>
  <c r="Q1570" i="1"/>
  <c r="Q1571" i="1"/>
  <c r="Q1572" i="1"/>
  <c r="Q1573" i="1"/>
  <c r="Q1574" i="1"/>
  <c r="Q1575" i="1"/>
  <c r="Q1576" i="1"/>
  <c r="Q1530" i="1"/>
  <c r="Q1578" i="1"/>
  <c r="Q1579" i="1"/>
  <c r="Q1580" i="1"/>
  <c r="Q1534" i="1"/>
  <c r="Q1581" i="1"/>
  <c r="Q1582" i="1"/>
  <c r="Q1584" i="1"/>
  <c r="Q1585" i="1"/>
  <c r="Q1586" i="1"/>
  <c r="Q1587" i="1"/>
  <c r="Q1589" i="1"/>
  <c r="Q1590" i="1"/>
  <c r="Q1591" i="1"/>
  <c r="Q1592" i="1"/>
  <c r="Q1594" i="1"/>
  <c r="Q1595" i="1"/>
  <c r="Q1596" i="1"/>
  <c r="Q1597" i="1"/>
  <c r="Q1215" i="1"/>
  <c r="Q1214" i="1"/>
  <c r="Q1213" i="1"/>
  <c r="Q1212" i="1"/>
  <c r="Q1211" i="1"/>
  <c r="Q1210" i="1"/>
  <c r="Q1209" i="1"/>
  <c r="Q1598" i="1"/>
  <c r="Q1222" i="1"/>
  <c r="Q1221" i="1"/>
  <c r="Q1220" i="1"/>
  <c r="Q1219" i="1"/>
  <c r="Q1218" i="1"/>
  <c r="Q1217" i="1"/>
  <c r="Q1216" i="1"/>
  <c r="Q1564" i="1"/>
  <c r="Q1599" i="1"/>
  <c r="Q1566" i="1"/>
  <c r="Q1567" i="1"/>
  <c r="Q1600" i="1"/>
  <c r="Q1569" i="1"/>
  <c r="Q1601" i="1"/>
  <c r="Q1602" i="1"/>
  <c r="Q1603" i="1"/>
  <c r="Q1604" i="1"/>
  <c r="Q1605" i="1"/>
  <c r="Q1606" i="1"/>
  <c r="Q1607" i="1"/>
  <c r="Q1577" i="1"/>
  <c r="Q1608" i="1"/>
  <c r="Q1610" i="1"/>
  <c r="Q1611" i="1"/>
  <c r="Q1612" i="1"/>
  <c r="Q1613" i="1"/>
  <c r="Q1583" i="1"/>
  <c r="Q1614" i="1"/>
  <c r="Q1615" i="1"/>
  <c r="Q1617" i="1"/>
  <c r="Q1618" i="1"/>
  <c r="Q1588" i="1"/>
  <c r="Q1619" i="1"/>
  <c r="Q1620" i="1"/>
  <c r="Q1621" i="1"/>
  <c r="Q1622" i="1"/>
  <c r="Q1593" i="1"/>
  <c r="Q1623" i="1"/>
  <c r="Q1624" i="1"/>
  <c r="Q1625" i="1"/>
  <c r="Q1626" i="1"/>
  <c r="Q1223" i="1"/>
  <c r="Q1228" i="1"/>
  <c r="Q1227" i="1"/>
  <c r="Q1226" i="1"/>
  <c r="Q1225" i="1"/>
  <c r="Q1224" i="1"/>
  <c r="Q1627" i="1"/>
  <c r="Q1628" i="1"/>
  <c r="Q1631" i="1"/>
  <c r="Q1634" i="1"/>
  <c r="Q1635" i="1"/>
  <c r="Q1609" i="1"/>
  <c r="Q1636" i="1"/>
  <c r="Q1639" i="1"/>
  <c r="Q1642" i="1"/>
  <c r="Q1643" i="1"/>
  <c r="Q1644" i="1"/>
  <c r="Q1645" i="1"/>
  <c r="Q1630" i="1"/>
  <c r="Q1647" i="1"/>
  <c r="Q1649" i="1"/>
  <c r="Q1651" i="1"/>
  <c r="Q1652" i="1"/>
  <c r="Q1653" i="1"/>
  <c r="Q1654" i="1"/>
  <c r="Q1233" i="1"/>
  <c r="Q1232" i="1"/>
  <c r="Q1234" i="1"/>
  <c r="Q1230" i="1"/>
  <c r="Q1231" i="1"/>
  <c r="Q1229" i="1"/>
  <c r="Q1629" i="1"/>
  <c r="Q1616" i="1"/>
  <c r="Q1658" i="1"/>
  <c r="Q1632" i="1"/>
  <c r="Q1675" i="1"/>
  <c r="Q1659" i="1"/>
  <c r="Q1661" i="1"/>
  <c r="Q1236" i="1"/>
  <c r="Q1633" i="1"/>
  <c r="Q1638" i="1"/>
  <c r="Q1235" i="1"/>
  <c r="Q1640" i="1"/>
  <c r="Q1641" i="1"/>
  <c r="Q1662" i="1"/>
  <c r="Q1663" i="1"/>
  <c r="Q1664" i="1"/>
  <c r="Q1665" i="1"/>
  <c r="Q1637" i="1"/>
  <c r="Q1666" i="1"/>
  <c r="Q1648" i="1"/>
  <c r="Q1667" i="1"/>
  <c r="Q1679" i="1"/>
  <c r="Q1668" i="1"/>
  <c r="Q1669" i="1"/>
  <c r="Q1670" i="1"/>
  <c r="Q1672" i="1"/>
  <c r="Q1681" i="1"/>
  <c r="Q1656" i="1"/>
  <c r="Q1657" i="1"/>
  <c r="Q1673" i="1"/>
  <c r="Q1674" i="1"/>
  <c r="Q1660" i="1"/>
  <c r="Q1676" i="1"/>
  <c r="Q1677" i="1"/>
  <c r="Q1243" i="1"/>
  <c r="Q1242" i="1"/>
  <c r="Q1240" i="1"/>
  <c r="Q1239" i="1"/>
  <c r="Q1238" i="1"/>
  <c r="Q1237" i="1"/>
  <c r="Q1241" i="1"/>
  <c r="Q1680" i="1"/>
  <c r="Q1671" i="1"/>
  <c r="Q1683" i="1"/>
  <c r="Q1684" i="1"/>
  <c r="Q1685" i="1"/>
  <c r="Q1646" i="1"/>
  <c r="Q1687" i="1"/>
  <c r="Q1692" i="1"/>
  <c r="Q1678" i="1"/>
  <c r="Q1650" i="1"/>
  <c r="Q1248" i="1"/>
  <c r="Q1682" i="1"/>
  <c r="Q1686" i="1"/>
  <c r="Q1247" i="1"/>
  <c r="Q1246" i="1"/>
  <c r="Q1245" i="1"/>
  <c r="Q1716" i="1"/>
  <c r="Q1244" i="1"/>
  <c r="Q1688" i="1"/>
  <c r="Q1689" i="1"/>
  <c r="Q1690" i="1"/>
  <c r="Q1655" i="1"/>
  <c r="Q1694" i="1"/>
  <c r="Q1693" i="1"/>
  <c r="Q1698" i="1"/>
  <c r="Q1695" i="1"/>
  <c r="Q1696" i="1"/>
  <c r="Q1697" i="1"/>
  <c r="Q1702" i="1"/>
  <c r="Q1691" i="1"/>
  <c r="Q1700" i="1"/>
  <c r="Q1701" i="1"/>
  <c r="Q1703" i="1"/>
  <c r="Q1715" i="1"/>
  <c r="Q1699" i="1"/>
  <c r="Q1705" i="1"/>
  <c r="Q1704" i="1"/>
  <c r="Q1707" i="1"/>
  <c r="Q1708" i="1"/>
  <c r="Q1709" i="1"/>
  <c r="Q1710" i="1"/>
  <c r="Q1711" i="1"/>
  <c r="Q1712" i="1"/>
  <c r="Q1706" i="1"/>
  <c r="Q1714" i="1"/>
  <c r="Q1249" i="1"/>
  <c r="Q1713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607" i="1"/>
  <c r="Q2584" i="1"/>
  <c r="Q2585" i="1"/>
  <c r="Q2609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10" i="1"/>
  <c r="Q2608" i="1"/>
  <c r="Q2583" i="1"/>
  <c r="Q2586" i="1"/>
  <c r="Q2611" i="1"/>
  <c r="Q2612" i="1"/>
  <c r="Q2613" i="1"/>
  <c r="Q2614" i="1"/>
  <c r="Q2615" i="1"/>
  <c r="Q2616" i="1"/>
  <c r="Q2617" i="1"/>
  <c r="Q2618" i="1"/>
  <c r="Q2619" i="1"/>
  <c r="Q2620" i="1"/>
  <c r="Q2621" i="1"/>
  <c r="Q2626" i="1"/>
  <c r="Q2623" i="1"/>
  <c r="Q2624" i="1"/>
  <c r="Q2625" i="1"/>
  <c r="Q2642" i="1"/>
  <c r="Q2627" i="1"/>
  <c r="Q2628" i="1"/>
  <c r="Q2629" i="1"/>
  <c r="Q2630" i="1"/>
  <c r="Q2631" i="1"/>
  <c r="Q2632" i="1"/>
  <c r="Q2633" i="1"/>
  <c r="Q2634" i="1"/>
  <c r="Q2635" i="1"/>
  <c r="Q2636" i="1"/>
  <c r="Q2637" i="1"/>
  <c r="Q2622" i="1"/>
  <c r="Q2639" i="1"/>
  <c r="Q2638" i="1"/>
  <c r="Q2641" i="1"/>
  <c r="Q2640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K18" i="25"/>
  <c r="K17" i="25"/>
  <c r="K16" i="25"/>
  <c r="K15" i="25"/>
  <c r="K14" i="25"/>
  <c r="J18" i="25"/>
  <c r="J17" i="25"/>
  <c r="J16" i="25"/>
  <c r="J15" i="25"/>
  <c r="J14" i="25"/>
  <c r="M19" i="25"/>
  <c r="L19" i="25"/>
  <c r="K19" i="25"/>
  <c r="J19" i="25"/>
  <c r="N19" i="25"/>
  <c r="N18" i="25"/>
  <c r="N17" i="25"/>
  <c r="N16" i="25"/>
  <c r="N15" i="25"/>
  <c r="N14" i="25"/>
  <c r="M18" i="25"/>
  <c r="M17" i="25"/>
  <c r="M16" i="25"/>
  <c r="M15" i="25"/>
  <c r="M14" i="25"/>
  <c r="L18" i="25"/>
  <c r="L17" i="25"/>
  <c r="L16" i="25"/>
  <c r="L15" i="25"/>
  <c r="L14" i="25"/>
  <c r="M12" i="45"/>
  <c r="F21" i="47"/>
  <c r="F24" i="47"/>
  <c r="F27" i="47"/>
  <c r="F30" i="47"/>
  <c r="E19" i="49"/>
  <c r="F30" i="49"/>
  <c r="V32" i="51"/>
  <c r="V32" i="49"/>
  <c r="V32" i="47"/>
  <c r="G21" i="52"/>
  <c r="E16" i="52"/>
  <c r="F4" i="52"/>
  <c r="F16" i="52" s="1"/>
  <c r="G16" i="52"/>
  <c r="H4" i="52"/>
  <c r="L21" i="52"/>
  <c r="J16" i="52"/>
  <c r="K4" i="52"/>
  <c r="L16" i="52"/>
  <c r="M4" i="52"/>
  <c r="O16" i="52"/>
  <c r="P4" i="52"/>
  <c r="Q21" i="52"/>
  <c r="Q16" i="52"/>
  <c r="R4" i="52"/>
  <c r="T16" i="52"/>
  <c r="U4" i="52"/>
  <c r="U16" i="52" s="1"/>
  <c r="V21" i="52"/>
  <c r="V16" i="52"/>
  <c r="W4" i="52"/>
  <c r="Y16" i="52"/>
  <c r="Z4" i="52"/>
  <c r="Z16" i="52" s="1"/>
  <c r="AA21" i="52"/>
  <c r="AA16" i="52"/>
  <c r="AB4" i="52"/>
  <c r="AB16" i="52" s="1"/>
  <c r="E39" i="52"/>
  <c r="F27" i="52"/>
  <c r="G44" i="52"/>
  <c r="G39" i="52"/>
  <c r="H27" i="52"/>
  <c r="J39" i="52"/>
  <c r="K27" i="52"/>
  <c r="L44" i="52"/>
  <c r="L39" i="52"/>
  <c r="M27" i="52"/>
  <c r="O39" i="52"/>
  <c r="P27" i="52"/>
  <c r="Q44" i="52"/>
  <c r="Q39" i="52"/>
  <c r="R27" i="52"/>
  <c r="T39" i="52"/>
  <c r="U27" i="52"/>
  <c r="V44" i="52"/>
  <c r="V39" i="52"/>
  <c r="W27" i="52"/>
  <c r="AA44" i="52"/>
  <c r="Y39" i="52"/>
  <c r="Z27" i="52"/>
  <c r="E17" i="51"/>
  <c r="E14" i="51"/>
  <c r="H17" i="51"/>
  <c r="H14" i="51"/>
  <c r="K17" i="51"/>
  <c r="K14" i="51"/>
  <c r="AA16" i="51"/>
  <c r="AB4" i="51"/>
  <c r="G21" i="50"/>
  <c r="E16" i="50"/>
  <c r="F4" i="50"/>
  <c r="G16" i="50"/>
  <c r="H4" i="50"/>
  <c r="H16" i="50" s="1"/>
  <c r="L21" i="50"/>
  <c r="J16" i="50"/>
  <c r="K4" i="50"/>
  <c r="L16" i="50"/>
  <c r="M4" i="50"/>
  <c r="O16" i="50"/>
  <c r="P4" i="50"/>
  <c r="P16" i="50" s="1"/>
  <c r="Q21" i="50"/>
  <c r="Q16" i="50"/>
  <c r="R4" i="50"/>
  <c r="T16" i="50"/>
  <c r="U4" i="50"/>
  <c r="V21" i="50"/>
  <c r="V16" i="50"/>
  <c r="W4" i="50"/>
  <c r="Y16" i="50"/>
  <c r="Z4" i="50"/>
  <c r="AA21" i="50"/>
  <c r="AA16" i="50"/>
  <c r="AB4" i="50"/>
  <c r="E39" i="50"/>
  <c r="F27" i="50"/>
  <c r="G44" i="50"/>
  <c r="G39" i="50"/>
  <c r="H27" i="50"/>
  <c r="J39" i="50"/>
  <c r="K27" i="50"/>
  <c r="L44" i="50"/>
  <c r="L39" i="50"/>
  <c r="M27" i="50"/>
  <c r="O39" i="50"/>
  <c r="P27" i="50"/>
  <c r="Q44" i="50"/>
  <c r="Q39" i="50"/>
  <c r="R27" i="50"/>
  <c r="T39" i="50"/>
  <c r="U27" i="50"/>
  <c r="V44" i="50"/>
  <c r="V39" i="50"/>
  <c r="W27" i="50"/>
  <c r="AA44" i="50"/>
  <c r="Y39" i="50"/>
  <c r="Z27" i="50"/>
  <c r="E17" i="49"/>
  <c r="E14" i="49"/>
  <c r="H17" i="49"/>
  <c r="H14" i="49"/>
  <c r="K17" i="49"/>
  <c r="K14" i="49"/>
  <c r="AA16" i="49"/>
  <c r="AB4" i="49"/>
  <c r="G21" i="48"/>
  <c r="E16" i="48"/>
  <c r="F4" i="48"/>
  <c r="G16" i="48"/>
  <c r="H4" i="48"/>
  <c r="L21" i="48"/>
  <c r="J16" i="48"/>
  <c r="K4" i="48"/>
  <c r="L16" i="48"/>
  <c r="M4" i="48"/>
  <c r="O16" i="48"/>
  <c r="P4" i="48"/>
  <c r="Q21" i="48"/>
  <c r="Q16" i="48"/>
  <c r="R4" i="48"/>
  <c r="T16" i="48"/>
  <c r="U4" i="48"/>
  <c r="V21" i="48"/>
  <c r="V16" i="48"/>
  <c r="W4" i="48"/>
  <c r="Y16" i="48"/>
  <c r="Z4" i="48"/>
  <c r="AA21" i="48"/>
  <c r="AA16" i="48"/>
  <c r="AB4" i="48"/>
  <c r="E39" i="48"/>
  <c r="F27" i="48"/>
  <c r="G44" i="48"/>
  <c r="G39" i="48"/>
  <c r="H27" i="48"/>
  <c r="J39" i="48"/>
  <c r="K27" i="48"/>
  <c r="L44" i="48"/>
  <c r="L39" i="48"/>
  <c r="M27" i="48"/>
  <c r="O39" i="48"/>
  <c r="P27" i="48"/>
  <c r="Q44" i="48"/>
  <c r="Q39" i="48"/>
  <c r="R27" i="48"/>
  <c r="T39" i="48"/>
  <c r="U27" i="48"/>
  <c r="V44" i="48"/>
  <c r="V39" i="48"/>
  <c r="W27" i="48"/>
  <c r="AA44" i="48"/>
  <c r="Y39" i="48"/>
  <c r="Z27" i="48"/>
  <c r="E17" i="47"/>
  <c r="E14" i="47"/>
  <c r="H17" i="47"/>
  <c r="H14" i="47"/>
  <c r="K17" i="47"/>
  <c r="K14" i="47"/>
  <c r="AA16" i="47"/>
  <c r="AB4" i="47"/>
  <c r="AC16" i="46"/>
  <c r="AB16" i="46"/>
  <c r="AA16" i="46"/>
  <c r="AB16" i="51"/>
  <c r="AC4" i="51"/>
  <c r="AC16" i="51"/>
  <c r="AB16" i="49"/>
  <c r="AC4" i="49"/>
  <c r="AC16" i="49"/>
  <c r="AB16" i="47"/>
  <c r="AC4" i="47"/>
  <c r="AC16" i="47"/>
  <c r="S26" i="46"/>
  <c r="S20" i="46"/>
  <c r="S28" i="46"/>
  <c r="V21" i="45" l="1"/>
  <c r="E19" i="51"/>
  <c r="F20" i="51" s="1"/>
  <c r="Z16" i="50"/>
  <c r="W16" i="50"/>
  <c r="P39" i="52"/>
  <c r="Q16" i="45"/>
  <c r="O16" i="45"/>
  <c r="M16" i="50"/>
  <c r="F39" i="52"/>
  <c r="R16" i="52"/>
  <c r="P16" i="52"/>
  <c r="J16" i="45"/>
  <c r="W16" i="52"/>
  <c r="H16" i="52"/>
  <c r="H21" i="52" s="1"/>
  <c r="S21" i="51" s="1"/>
  <c r="E19" i="47"/>
  <c r="K16" i="50"/>
  <c r="M16" i="52"/>
  <c r="K4" i="45"/>
  <c r="W39" i="54"/>
  <c r="K14" i="53"/>
  <c r="Z16" i="54"/>
  <c r="R16" i="54"/>
  <c r="K16" i="54"/>
  <c r="W16" i="54"/>
  <c r="P16" i="54"/>
  <c r="Z39" i="54"/>
  <c r="U39" i="54"/>
  <c r="M39" i="54"/>
  <c r="F39" i="54"/>
  <c r="H16" i="54"/>
  <c r="M16" i="54"/>
  <c r="Y16" i="45"/>
  <c r="P39" i="54"/>
  <c r="H39" i="54"/>
  <c r="AB16" i="54"/>
  <c r="W6" i="45"/>
  <c r="V16" i="45"/>
  <c r="K39" i="54"/>
  <c r="K16" i="52"/>
  <c r="AA16" i="54"/>
  <c r="L16" i="54"/>
  <c r="P14" i="54"/>
  <c r="V39" i="54"/>
  <c r="O39" i="54"/>
  <c r="G39" i="54"/>
  <c r="R36" i="54"/>
  <c r="R39" i="54" s="1"/>
  <c r="E19" i="55"/>
  <c r="F19" i="55" s="1"/>
  <c r="G16" i="54"/>
  <c r="Y39" i="54"/>
  <c r="R39" i="52"/>
  <c r="R16" i="50"/>
  <c r="F16" i="50"/>
  <c r="Z39" i="52"/>
  <c r="AB44" i="52" s="1"/>
  <c r="U39" i="52"/>
  <c r="H39" i="52"/>
  <c r="AB16" i="50"/>
  <c r="U16" i="50"/>
  <c r="M39" i="52"/>
  <c r="K30" i="59"/>
  <c r="K28" i="59"/>
  <c r="K27" i="59"/>
  <c r="K25" i="59"/>
  <c r="K29" i="59"/>
  <c r="K26" i="59"/>
  <c r="G21" i="60"/>
  <c r="E16" i="60"/>
  <c r="F4" i="60"/>
  <c r="F16" i="60" s="1"/>
  <c r="G16" i="60"/>
  <c r="H4" i="60"/>
  <c r="H16" i="60" s="1"/>
  <c r="L21" i="60"/>
  <c r="J16" i="60"/>
  <c r="K4" i="60"/>
  <c r="K16" i="60" s="1"/>
  <c r="L16" i="60"/>
  <c r="M4" i="60"/>
  <c r="M16" i="60" s="1"/>
  <c r="O16" i="60"/>
  <c r="P4" i="60"/>
  <c r="P16" i="60" s="1"/>
  <c r="Q21" i="60"/>
  <c r="Q16" i="60"/>
  <c r="R4" i="60"/>
  <c r="R16" i="60" s="1"/>
  <c r="T16" i="60"/>
  <c r="U4" i="60"/>
  <c r="U16" i="60" s="1"/>
  <c r="V21" i="60"/>
  <c r="V16" i="60"/>
  <c r="W4" i="60"/>
  <c r="W16" i="60" s="1"/>
  <c r="Y16" i="60"/>
  <c r="Z4" i="60"/>
  <c r="Z16" i="60" s="1"/>
  <c r="AA21" i="60"/>
  <c r="AA16" i="60"/>
  <c r="AB4" i="60"/>
  <c r="AB16" i="60" s="1"/>
  <c r="E39" i="60"/>
  <c r="F27" i="60"/>
  <c r="F39" i="60" s="1"/>
  <c r="G44" i="60"/>
  <c r="G39" i="60"/>
  <c r="H27" i="60"/>
  <c r="H39" i="60" s="1"/>
  <c r="J39" i="60"/>
  <c r="K27" i="60"/>
  <c r="K39" i="60" s="1"/>
  <c r="L44" i="60"/>
  <c r="L39" i="60"/>
  <c r="M27" i="60"/>
  <c r="M39" i="60" s="1"/>
  <c r="O39" i="60"/>
  <c r="P27" i="60"/>
  <c r="P39" i="60" s="1"/>
  <c r="Q44" i="60"/>
  <c r="Q39" i="60"/>
  <c r="R27" i="60"/>
  <c r="R39" i="60" s="1"/>
  <c r="T39" i="60"/>
  <c r="U27" i="60"/>
  <c r="U39" i="60" s="1"/>
  <c r="V44" i="60"/>
  <c r="V39" i="60"/>
  <c r="W27" i="60"/>
  <c r="W39" i="60" s="1"/>
  <c r="AA44" i="60"/>
  <c r="Y39" i="60"/>
  <c r="Z27" i="60"/>
  <c r="Z39" i="60" s="1"/>
  <c r="AB44" i="60" s="1"/>
  <c r="E17" i="59"/>
  <c r="E14" i="59"/>
  <c r="H17" i="59"/>
  <c r="H14" i="59"/>
  <c r="K17" i="59"/>
  <c r="K14" i="59"/>
  <c r="AA16" i="59"/>
  <c r="AB4" i="59"/>
  <c r="F20" i="59"/>
  <c r="F19" i="59"/>
  <c r="F35" i="59"/>
  <c r="F34" i="59"/>
  <c r="E19" i="46"/>
  <c r="AA21" i="45"/>
  <c r="L16" i="45"/>
  <c r="W39" i="52"/>
  <c r="F23" i="49"/>
  <c r="F26" i="49"/>
  <c r="F29" i="49"/>
  <c r="K39" i="52"/>
  <c r="F22" i="49"/>
  <c r="F25" i="49"/>
  <c r="F28" i="49"/>
  <c r="F23" i="47"/>
  <c r="F26" i="47"/>
  <c r="E34" i="49"/>
  <c r="F19" i="49" s="1"/>
  <c r="L21" i="45"/>
  <c r="AA16" i="45"/>
  <c r="Z39" i="50"/>
  <c r="AB44" i="50" s="1"/>
  <c r="P16" i="48"/>
  <c r="AB10" i="45"/>
  <c r="AB16" i="45" s="1"/>
  <c r="Z16" i="48"/>
  <c r="R16" i="48"/>
  <c r="Q21" i="45"/>
  <c r="W16" i="48"/>
  <c r="E16" i="45"/>
  <c r="M39" i="50"/>
  <c r="P39" i="50"/>
  <c r="F21" i="49"/>
  <c r="F24" i="49"/>
  <c r="F27" i="49"/>
  <c r="U39" i="50"/>
  <c r="F39" i="50"/>
  <c r="K29" i="57"/>
  <c r="K28" i="57"/>
  <c r="K27" i="57"/>
  <c r="K26" i="57"/>
  <c r="K25" i="57"/>
  <c r="K30" i="57"/>
  <c r="F35" i="57"/>
  <c r="F34" i="57"/>
  <c r="G21" i="58"/>
  <c r="E16" i="58"/>
  <c r="F4" i="58"/>
  <c r="F16" i="58" s="1"/>
  <c r="G16" i="58"/>
  <c r="H4" i="58"/>
  <c r="H16" i="58" s="1"/>
  <c r="L21" i="58"/>
  <c r="J16" i="58"/>
  <c r="K4" i="58"/>
  <c r="K16" i="58" s="1"/>
  <c r="L16" i="58"/>
  <c r="M4" i="58"/>
  <c r="M16" i="58" s="1"/>
  <c r="O16" i="58"/>
  <c r="P4" i="58"/>
  <c r="P16" i="58" s="1"/>
  <c r="Q21" i="58"/>
  <c r="Q16" i="58"/>
  <c r="R4" i="58"/>
  <c r="R16" i="58" s="1"/>
  <c r="T16" i="58"/>
  <c r="U4" i="58"/>
  <c r="U16" i="58" s="1"/>
  <c r="V21" i="58"/>
  <c r="V16" i="58"/>
  <c r="W4" i="58"/>
  <c r="W16" i="58" s="1"/>
  <c r="Y16" i="58"/>
  <c r="Z4" i="58"/>
  <c r="Z16" i="58" s="1"/>
  <c r="AA21" i="58"/>
  <c r="AA16" i="58"/>
  <c r="AB4" i="58"/>
  <c r="AB16" i="58" s="1"/>
  <c r="E39" i="58"/>
  <c r="F27" i="58"/>
  <c r="F39" i="58" s="1"/>
  <c r="G44" i="58"/>
  <c r="G39" i="58"/>
  <c r="H27" i="58"/>
  <c r="H39" i="58" s="1"/>
  <c r="J39" i="58"/>
  <c r="K27" i="58"/>
  <c r="K39" i="58" s="1"/>
  <c r="L44" i="58"/>
  <c r="L39" i="58"/>
  <c r="M27" i="58"/>
  <c r="M39" i="58" s="1"/>
  <c r="O39" i="58"/>
  <c r="P27" i="58"/>
  <c r="P39" i="58" s="1"/>
  <c r="Q44" i="58"/>
  <c r="Q39" i="58"/>
  <c r="R27" i="58"/>
  <c r="R39" i="58" s="1"/>
  <c r="T39" i="58"/>
  <c r="U27" i="58"/>
  <c r="U39" i="58" s="1"/>
  <c r="V44" i="58"/>
  <c r="V39" i="58"/>
  <c r="W27" i="58"/>
  <c r="W39" i="58" s="1"/>
  <c r="AA44" i="58"/>
  <c r="Y39" i="58"/>
  <c r="Z27" i="58"/>
  <c r="Z39" i="58" s="1"/>
  <c r="AB44" i="58" s="1"/>
  <c r="E17" i="57"/>
  <c r="E14" i="57"/>
  <c r="H17" i="57"/>
  <c r="H14" i="57"/>
  <c r="K17" i="57"/>
  <c r="K14" i="57"/>
  <c r="AA16" i="57"/>
  <c r="AB4" i="57"/>
  <c r="F20" i="57"/>
  <c r="F19" i="57"/>
  <c r="K30" i="46"/>
  <c r="F8" i="25"/>
  <c r="H14" i="46"/>
  <c r="K30" i="49"/>
  <c r="W39" i="50"/>
  <c r="H39" i="50"/>
  <c r="K39" i="50"/>
  <c r="R39" i="50"/>
  <c r="K27" i="49"/>
  <c r="C5" i="25"/>
  <c r="C6" i="25"/>
  <c r="K30" i="51"/>
  <c r="V44" i="45"/>
  <c r="F31" i="46"/>
  <c r="D5" i="25"/>
  <c r="F22" i="47"/>
  <c r="F25" i="47"/>
  <c r="F28" i="47"/>
  <c r="K27" i="46"/>
  <c r="K28" i="47"/>
  <c r="K27" i="51"/>
  <c r="E7" i="25"/>
  <c r="D6" i="25"/>
  <c r="AB16" i="48"/>
  <c r="E34" i="47"/>
  <c r="K29" i="51"/>
  <c r="K26" i="49"/>
  <c r="K28" i="46"/>
  <c r="K25" i="47"/>
  <c r="F6" i="25"/>
  <c r="E5" i="25"/>
  <c r="E4" i="25"/>
  <c r="E3" i="25"/>
  <c r="D3" i="25"/>
  <c r="D4" i="25"/>
  <c r="C3" i="25"/>
  <c r="K25" i="46"/>
  <c r="K26" i="47"/>
  <c r="F32" i="46"/>
  <c r="K29" i="47"/>
  <c r="K29" i="49"/>
  <c r="K26" i="51"/>
  <c r="F5" i="25"/>
  <c r="F29" i="47"/>
  <c r="F32" i="47"/>
  <c r="U16" i="48"/>
  <c r="M16" i="48"/>
  <c r="F30" i="46"/>
  <c r="F27" i="46"/>
  <c r="F24" i="46"/>
  <c r="F21" i="46"/>
  <c r="E34" i="46"/>
  <c r="K29" i="46"/>
  <c r="K28" i="51"/>
  <c r="K26" i="46"/>
  <c r="K25" i="51"/>
  <c r="K27" i="47"/>
  <c r="F7" i="25"/>
  <c r="F4" i="25"/>
  <c r="E6" i="25"/>
  <c r="D7" i="25"/>
  <c r="C7" i="25"/>
  <c r="C4" i="25"/>
  <c r="K30" i="47"/>
  <c r="E8" i="25"/>
  <c r="D8" i="25"/>
  <c r="C8" i="25"/>
  <c r="K17" i="46"/>
  <c r="K25" i="49"/>
  <c r="K28" i="49"/>
  <c r="F28" i="46"/>
  <c r="F25" i="46"/>
  <c r="F22" i="46"/>
  <c r="K29" i="55"/>
  <c r="K28" i="55"/>
  <c r="K27" i="55"/>
  <c r="K26" i="55"/>
  <c r="K25" i="55"/>
  <c r="K30" i="55"/>
  <c r="G21" i="56"/>
  <c r="E16" i="56"/>
  <c r="F4" i="56"/>
  <c r="F16" i="56" s="1"/>
  <c r="G16" i="56"/>
  <c r="H4" i="56"/>
  <c r="H16" i="56" s="1"/>
  <c r="L21" i="56"/>
  <c r="J16" i="56"/>
  <c r="K4" i="56"/>
  <c r="K16" i="56" s="1"/>
  <c r="L16" i="56"/>
  <c r="M4" i="56"/>
  <c r="M16" i="56" s="1"/>
  <c r="O16" i="56"/>
  <c r="P4" i="56"/>
  <c r="P16" i="56" s="1"/>
  <c r="Q21" i="56"/>
  <c r="Q16" i="56"/>
  <c r="R4" i="56"/>
  <c r="R16" i="56" s="1"/>
  <c r="T16" i="56"/>
  <c r="U4" i="56"/>
  <c r="U16" i="56" s="1"/>
  <c r="V21" i="56"/>
  <c r="V16" i="56"/>
  <c r="W4" i="56"/>
  <c r="W16" i="56" s="1"/>
  <c r="Y16" i="56"/>
  <c r="Z4" i="56"/>
  <c r="Z16" i="56" s="1"/>
  <c r="AA21" i="56"/>
  <c r="AA16" i="56"/>
  <c r="AB4" i="56"/>
  <c r="AB16" i="56" s="1"/>
  <c r="E39" i="56"/>
  <c r="F27" i="56"/>
  <c r="F39" i="56" s="1"/>
  <c r="G44" i="56"/>
  <c r="G39" i="56"/>
  <c r="H27" i="56"/>
  <c r="H39" i="56" s="1"/>
  <c r="J39" i="56"/>
  <c r="K27" i="56"/>
  <c r="K39" i="56" s="1"/>
  <c r="L44" i="56"/>
  <c r="L39" i="56"/>
  <c r="M27" i="56"/>
  <c r="M39" i="56" s="1"/>
  <c r="O39" i="56"/>
  <c r="P27" i="56"/>
  <c r="P39" i="56" s="1"/>
  <c r="Q44" i="56"/>
  <c r="Q39" i="56"/>
  <c r="R27" i="56"/>
  <c r="R39" i="56" s="1"/>
  <c r="T39" i="56"/>
  <c r="U27" i="56"/>
  <c r="U39" i="56" s="1"/>
  <c r="V44" i="56"/>
  <c r="V39" i="56"/>
  <c r="W27" i="56"/>
  <c r="W39" i="56" s="1"/>
  <c r="AA44" i="56"/>
  <c r="Y39" i="56"/>
  <c r="Z27" i="56"/>
  <c r="Z39" i="56" s="1"/>
  <c r="AB44" i="56" s="1"/>
  <c r="E17" i="55"/>
  <c r="E14" i="55"/>
  <c r="H17" i="55"/>
  <c r="H14" i="55"/>
  <c r="K17" i="55"/>
  <c r="K14" i="55"/>
  <c r="AA16" i="55"/>
  <c r="AB4" i="55"/>
  <c r="F20" i="55"/>
  <c r="T16" i="45"/>
  <c r="K29" i="53"/>
  <c r="K28" i="53"/>
  <c r="K27" i="53"/>
  <c r="K26" i="53"/>
  <c r="K25" i="53"/>
  <c r="K30" i="53"/>
  <c r="AB21" i="54"/>
  <c r="S24" i="53" s="1"/>
  <c r="W21" i="54"/>
  <c r="S29" i="53" s="1"/>
  <c r="R21" i="54"/>
  <c r="H21" i="54"/>
  <c r="S21" i="53" s="1"/>
  <c r="AA21" i="54"/>
  <c r="V21" i="54"/>
  <c r="Q21" i="54"/>
  <c r="L21" i="54"/>
  <c r="G21" i="54"/>
  <c r="AB44" i="54"/>
  <c r="W44" i="54"/>
  <c r="M44" i="54"/>
  <c r="H44" i="54"/>
  <c r="AA44" i="54"/>
  <c r="V44" i="54"/>
  <c r="Q44" i="54"/>
  <c r="L44" i="54"/>
  <c r="G44" i="54"/>
  <c r="AC16" i="53"/>
  <c r="AB16" i="53"/>
  <c r="AA16" i="53"/>
  <c r="K17" i="53"/>
  <c r="H17" i="53"/>
  <c r="E17" i="53"/>
  <c r="E19" i="53"/>
  <c r="V32" i="46"/>
  <c r="Z16" i="45"/>
  <c r="H17" i="46"/>
  <c r="P16" i="45"/>
  <c r="K14" i="46"/>
  <c r="E17" i="46"/>
  <c r="K16" i="45"/>
  <c r="Q39" i="45"/>
  <c r="K39" i="48"/>
  <c r="G16" i="45"/>
  <c r="V39" i="45"/>
  <c r="E14" i="46"/>
  <c r="E39" i="45"/>
  <c r="W16" i="45"/>
  <c r="M16" i="45"/>
  <c r="G21" i="45"/>
  <c r="O39" i="45"/>
  <c r="Y39" i="45"/>
  <c r="G44" i="45"/>
  <c r="AA44" i="45"/>
  <c r="L39" i="45"/>
  <c r="Q44" i="45"/>
  <c r="J39" i="45"/>
  <c r="L44" i="45"/>
  <c r="T39" i="45"/>
  <c r="G39" i="45"/>
  <c r="W44" i="52"/>
  <c r="M44" i="52"/>
  <c r="R21" i="52"/>
  <c r="M21" i="52"/>
  <c r="S27" i="51" s="1"/>
  <c r="F16" i="48"/>
  <c r="H44" i="50"/>
  <c r="Z39" i="48"/>
  <c r="AB44" i="48" s="1"/>
  <c r="W39" i="48"/>
  <c r="H39" i="48"/>
  <c r="F39" i="48"/>
  <c r="P39" i="48"/>
  <c r="H16" i="45"/>
  <c r="U39" i="48"/>
  <c r="R16" i="45"/>
  <c r="U16" i="45"/>
  <c r="U39" i="45"/>
  <c r="F16" i="45"/>
  <c r="H39" i="45"/>
  <c r="F39" i="45"/>
  <c r="K39" i="45"/>
  <c r="M39" i="48"/>
  <c r="R39" i="45"/>
  <c r="W39" i="45"/>
  <c r="M39" i="45"/>
  <c r="P39" i="45"/>
  <c r="K16" i="48"/>
  <c r="H16" i="48"/>
  <c r="H20" i="49"/>
  <c r="Z39" i="45"/>
  <c r="AB44" i="45" s="1"/>
  <c r="S23" i="46" s="1"/>
  <c r="R39" i="48"/>
  <c r="H20" i="51"/>
  <c r="H44" i="52"/>
  <c r="H20" i="47"/>
  <c r="AB21" i="50"/>
  <c r="S24" i="49" s="1"/>
  <c r="W21" i="50"/>
  <c r="S29" i="49" s="1"/>
  <c r="H21" i="50"/>
  <c r="S21" i="49" s="1"/>
  <c r="R44" i="52"/>
  <c r="AB21" i="52"/>
  <c r="S24" i="51" s="1"/>
  <c r="W21" i="52"/>
  <c r="S29" i="51" s="1"/>
  <c r="M21" i="50"/>
  <c r="S27" i="49" s="1"/>
  <c r="R21" i="50"/>
  <c r="R44" i="50" l="1"/>
  <c r="F19" i="51"/>
  <c r="M44" i="48"/>
  <c r="M21" i="48"/>
  <c r="S27" i="47" s="1"/>
  <c r="M44" i="50"/>
  <c r="M21" i="54"/>
  <c r="S27" i="53" s="1"/>
  <c r="R44" i="54"/>
  <c r="AB21" i="48"/>
  <c r="S24" i="47" s="1"/>
  <c r="M21" i="60"/>
  <c r="S27" i="59" s="1"/>
  <c r="W44" i="60"/>
  <c r="R44" i="60"/>
  <c r="M44" i="60"/>
  <c r="H44" i="60"/>
  <c r="AB21" i="60"/>
  <c r="S24" i="59" s="1"/>
  <c r="W21" i="60"/>
  <c r="S29" i="59" s="1"/>
  <c r="R21" i="60"/>
  <c r="H21" i="60"/>
  <c r="AB16" i="59"/>
  <c r="AC4" i="59"/>
  <c r="AC16" i="59" s="1"/>
  <c r="H20" i="59"/>
  <c r="W44" i="50"/>
  <c r="R21" i="48"/>
  <c r="W21" i="48"/>
  <c r="S29" i="47" s="1"/>
  <c r="M21" i="58"/>
  <c r="S27" i="57" s="1"/>
  <c r="W44" i="58"/>
  <c r="R44" i="58"/>
  <c r="M44" i="58"/>
  <c r="H44" i="58"/>
  <c r="AB21" i="58"/>
  <c r="S24" i="57" s="1"/>
  <c r="W21" i="58"/>
  <c r="S29" i="57" s="1"/>
  <c r="R21" i="58"/>
  <c r="H21" i="58"/>
  <c r="AB16" i="57"/>
  <c r="AC4" i="57"/>
  <c r="AC16" i="57" s="1"/>
  <c r="H20" i="57"/>
  <c r="H20" i="46"/>
  <c r="H21" i="45"/>
  <c r="S21" i="46" s="1"/>
  <c r="AB21" i="45"/>
  <c r="S24" i="46" s="1"/>
  <c r="W44" i="45"/>
  <c r="S22" i="46" s="1"/>
  <c r="M21" i="56"/>
  <c r="W44" i="56"/>
  <c r="R44" i="56"/>
  <c r="M44" i="56"/>
  <c r="H44" i="56"/>
  <c r="AB21" i="56"/>
  <c r="W21" i="56"/>
  <c r="R21" i="56"/>
  <c r="H21" i="56"/>
  <c r="AB16" i="55"/>
  <c r="AC4" i="55"/>
  <c r="AC16" i="55" s="1"/>
  <c r="H20" i="55"/>
  <c r="H44" i="48"/>
  <c r="M21" i="45"/>
  <c r="S27" i="46" s="1"/>
  <c r="W21" i="45"/>
  <c r="S29" i="46" s="1"/>
  <c r="R21" i="45"/>
  <c r="H20" i="53"/>
  <c r="S32" i="53"/>
  <c r="F19" i="53"/>
  <c r="F20" i="53"/>
  <c r="W44" i="48"/>
  <c r="R44" i="45"/>
  <c r="R44" i="48"/>
  <c r="H21" i="48"/>
  <c r="S21" i="47" s="1"/>
  <c r="M44" i="45"/>
  <c r="S25" i="46" s="1"/>
  <c r="H44" i="45"/>
  <c r="S32" i="49"/>
  <c r="S32" i="51"/>
  <c r="S32" i="59" l="1"/>
  <c r="S32" i="47"/>
  <c r="S21" i="55"/>
  <c r="S21" i="57"/>
  <c r="S29" i="55"/>
  <c r="S24" i="55"/>
  <c r="S27" i="55"/>
  <c r="S32" i="46"/>
  <c r="S32" i="55" l="1"/>
  <c r="S32" i="57"/>
</calcChain>
</file>

<file path=xl/sharedStrings.xml><?xml version="1.0" encoding="utf-8"?>
<sst xmlns="http://schemas.openxmlformats.org/spreadsheetml/2006/main" count="32106" uniqueCount="5249">
  <si>
    <t>s</t>
  </si>
  <si>
    <t>TIPO DE GESTIÓN</t>
  </si>
  <si>
    <t>CERRADAS</t>
  </si>
  <si>
    <t>LICITANDO</t>
  </si>
  <si>
    <t>COORDINADAS</t>
  </si>
  <si>
    <t>PENDIENTES</t>
  </si>
  <si>
    <t>VALORES ACTUALES</t>
  </si>
  <si>
    <t>PERICIA</t>
  </si>
  <si>
    <t>CARGA</t>
  </si>
  <si>
    <t>(Modificar los valores de V14 y X14 para que se automatice el precio)</t>
  </si>
  <si>
    <t>IP CON ORDEN</t>
  </si>
  <si>
    <t>PERITO - KILOMETRAJE</t>
  </si>
  <si>
    <t>HONORARIOS</t>
  </si>
  <si>
    <t>AOM</t>
  </si>
  <si>
    <t>SIN CONTACTAR</t>
  </si>
  <si>
    <t>POSIBLE DT</t>
  </si>
  <si>
    <t>Lucas Del Piero</t>
  </si>
  <si>
    <t>CONTACTADOS</t>
  </si>
  <si>
    <t>IP SIN ORDEN</t>
  </si>
  <si>
    <t>Alfredo Miño</t>
  </si>
  <si>
    <t>EN NEGOCIACIÓN</t>
  </si>
  <si>
    <t>AMPLIACION</t>
  </si>
  <si>
    <t>Cristian Cribari</t>
  </si>
  <si>
    <t>MAILS SIN RESOLVER</t>
  </si>
  <si>
    <t>ENVIO DE ORDEN</t>
  </si>
  <si>
    <t>Ezequiel Chimento</t>
  </si>
  <si>
    <t>AUSENTE</t>
  </si>
  <si>
    <t>-</t>
  </si>
  <si>
    <t>Ezequiel Dzyhajlo</t>
  </si>
  <si>
    <t>IP CAMIONES</t>
  </si>
  <si>
    <t>TERCEROS</t>
  </si>
  <si>
    <t>Franco Rodriguez</t>
  </si>
  <si>
    <t>FOTOS</t>
  </si>
  <si>
    <t>Gaston Di Clemente</t>
  </si>
  <si>
    <t>IP REMOTA</t>
  </si>
  <si>
    <t>Rodrigo Arin</t>
  </si>
  <si>
    <t>KILOMETRAJE</t>
  </si>
  <si>
    <t>IP VIRTUAL</t>
  </si>
  <si>
    <t>TOTALES</t>
  </si>
  <si>
    <t>TOTAL CERRADO</t>
  </si>
  <si>
    <t>TOTAL LICITANDO</t>
  </si>
  <si>
    <t>TOTAL PENDIENTE</t>
  </si>
  <si>
    <t>EN TRAMITE</t>
  </si>
  <si>
    <t>KM RECORRIDO</t>
  </si>
  <si>
    <t>TOTAL</t>
  </si>
  <si>
    <t>PTE. APROBACION</t>
  </si>
  <si>
    <t>(Con kilometraje ya incluido)</t>
  </si>
  <si>
    <t>ANULADO</t>
  </si>
  <si>
    <t>PERITOS</t>
  </si>
  <si>
    <t>DERIVACIONES TOTALES 2025</t>
  </si>
  <si>
    <t>TOTAL POTENCIAL</t>
  </si>
  <si>
    <t>PARA FACTURAR</t>
  </si>
  <si>
    <t>PERICIAS  DERIVADAS</t>
  </si>
  <si>
    <t>CANTIDAD</t>
  </si>
  <si>
    <t>ENERO</t>
  </si>
  <si>
    <t>FEBRERO</t>
  </si>
  <si>
    <t>MARZO</t>
  </si>
  <si>
    <t>ABRIL</t>
  </si>
  <si>
    <t>TIEMPOS DE GESTION</t>
  </si>
  <si>
    <t>Emiliano Delia</t>
  </si>
  <si>
    <t>MAYO</t>
  </si>
  <si>
    <t>INGRESO a IP</t>
  </si>
  <si>
    <t>JUNIO</t>
  </si>
  <si>
    <t>IP a CARGA</t>
  </si>
  <si>
    <t>JULIO</t>
  </si>
  <si>
    <t>CARGA a CIERRE</t>
  </si>
  <si>
    <t>Jairo Ferlanti</t>
  </si>
  <si>
    <t>AGOSTO</t>
  </si>
  <si>
    <t>INGRESO a CIERRE</t>
  </si>
  <si>
    <t>Jose Neira</t>
  </si>
  <si>
    <t>SIN HONORARIOS</t>
  </si>
  <si>
    <t>SEPTIEMBRE</t>
  </si>
  <si>
    <t>IP a CIERRE</t>
  </si>
  <si>
    <t>OCTUBRE</t>
  </si>
  <si>
    <t>Ingreso a FACT</t>
  </si>
  <si>
    <t>Nicolas Cordova</t>
  </si>
  <si>
    <t>NOVIEMBRE</t>
  </si>
  <si>
    <t>Pablo Castillo</t>
  </si>
  <si>
    <t>TOTAL PARA FACTURAR</t>
  </si>
  <si>
    <t>DICIEMBRE</t>
  </si>
  <si>
    <t>DERIVACIONES TOTALES 2024</t>
  </si>
  <si>
    <t>PERICIAS DERIVADAS</t>
  </si>
  <si>
    <t>Emiliano D Elia</t>
  </si>
  <si>
    <t>PERICIAS</t>
  </si>
  <si>
    <t>INTERMEDIA/FINAL</t>
  </si>
  <si>
    <t>PENDIENTE</t>
  </si>
  <si>
    <t>TOTAL HONORARIOS</t>
  </si>
  <si>
    <t>=</t>
  </si>
  <si>
    <t>Rodri Arin</t>
  </si>
  <si>
    <t>INGRESO</t>
  </si>
  <si>
    <t>SINIESTRO</t>
  </si>
  <si>
    <t>N° SERVICIO</t>
  </si>
  <si>
    <t>GESTOR</t>
  </si>
  <si>
    <t>ESTADO</t>
  </si>
  <si>
    <t>TIPO DE IP</t>
  </si>
  <si>
    <t>VEHICULO</t>
  </si>
  <si>
    <t>PATENTE</t>
  </si>
  <si>
    <t>PERITO</t>
  </si>
  <si>
    <t>FECHA DE IP</t>
  </si>
  <si>
    <t>PERITO DE CARGA</t>
  </si>
  <si>
    <t>FECHA DE CARGA</t>
  </si>
  <si>
    <t>CIERRE</t>
  </si>
  <si>
    <t>MONTO KM</t>
  </si>
  <si>
    <t>FACTURACION</t>
  </si>
  <si>
    <t>INGRESO a CiERRE</t>
  </si>
  <si>
    <t>TOTAL GESTION</t>
  </si>
  <si>
    <t>bdemiguel@sancorseguros.com</t>
  </si>
  <si>
    <t>IP CERRADA</t>
  </si>
  <si>
    <t xml:space="preserve">FIAT CRONOS 1.3 GSE DRIVE PACK PLUS L/23 </t>
  </si>
  <si>
    <t>AF820LX</t>
  </si>
  <si>
    <t>E DELIA</t>
  </si>
  <si>
    <t>J. FERLANTI</t>
  </si>
  <si>
    <t>mevangelista@sancorseguros.com</t>
  </si>
  <si>
    <t>INSPECCION ANULADA</t>
  </si>
  <si>
    <t> FIAT CRONOS 1.3 DRIVE GSE PACK CONECTI. L/21</t>
  </si>
  <si>
    <t>AF138LL</t>
  </si>
  <si>
    <t>cpavon@sancorseguros.com</t>
  </si>
  <si>
    <t>VOLKSWAGEN FOX 1.6 5 P. TRENDLINE L/15</t>
  </si>
  <si>
    <t>OSZ688</t>
  </si>
  <si>
    <t>L DEL PIERO</t>
  </si>
  <si>
    <t>RENAULT CLIO 2 F2 1.2 5 P. PACK PLUS</t>
  </si>
  <si>
    <t>HRV974</t>
  </si>
  <si>
    <t>R. FRANCO</t>
  </si>
  <si>
    <t>mizzo@ext.sancorseguros.com</t>
  </si>
  <si>
    <t>VOLKSWAGEN NIVUS 200 TSI COMFORTLINE AT</t>
  </si>
  <si>
    <t>AF341AD</t>
  </si>
  <si>
    <t>camgonzalez@sancorseguros.com</t>
  </si>
  <si>
    <t xml:space="preserve">PEUGEOT 2008 1.6 FELINE </t>
  </si>
  <si>
    <t>AB432IA</t>
  </si>
  <si>
    <t>mkester@sancorseguros.com</t>
  </si>
  <si>
    <t>VOLKSWAGEN GOL 1.6 3 P POWER PLUS</t>
  </si>
  <si>
    <t>IIA902</t>
  </si>
  <si>
    <t>miiglesias@ext.sancorseguros.com</t>
  </si>
  <si>
    <t>VOLKSWAGEN UP! 5 PTAS HIGH</t>
  </si>
  <si>
    <t>AB996HH</t>
  </si>
  <si>
    <t>pgirardin@sancorseguros.com</t>
  </si>
  <si>
    <t>TOYOTA ETIOS 1.5 5 PTAS XLS 6MT</t>
  </si>
  <si>
    <t>AC643NN</t>
  </si>
  <si>
    <t>gleguizamon@ext.sancorseguros.com</t>
  </si>
  <si>
    <t>PEUGEOT PARTNER PATA. 1.6HDI VTC PL L10/17</t>
  </si>
  <si>
    <t>AA372VJ</t>
  </si>
  <si>
    <t>CHEVROLET ONIX 1.4 JOY L/22</t>
  </si>
  <si>
    <t>AG042AJ</t>
  </si>
  <si>
    <t>abinau@sancorseguros.com</t>
  </si>
  <si>
    <t>CHEVROLET CRUZE 1.4 5 PTAS LTZ+ PLUS AT</t>
  </si>
  <si>
    <t>AB395CC</t>
  </si>
  <si>
    <t>A MIÑO</t>
  </si>
  <si>
    <t>CITROEN C 3 1.6 VTI FEEL AUT BT</t>
  </si>
  <si>
    <t>AE088HY</t>
  </si>
  <si>
    <t>fsantorum@sancorseguros.com</t>
  </si>
  <si>
    <t xml:space="preserve">PEUGEOT 308 1.6 ALLURE NAV </t>
  </si>
  <si>
    <t>ODZ734</t>
  </si>
  <si>
    <t>anunzio@sancorseguros.com</t>
  </si>
  <si>
    <t xml:space="preserve"> FIAT STRADA 1.4 WORKING L/14 DC </t>
  </si>
  <si>
    <t>AB517PT</t>
  </si>
  <si>
    <t>TOYOTA ETIOS 1.5 5 PTAS XLS PACK 6MT</t>
  </si>
  <si>
    <t>AF613QZ</t>
  </si>
  <si>
    <t>rfernandez@sancorseguros.com</t>
  </si>
  <si>
    <t>FORD FIESTA 1.6 4 PTAS MAX AMB PLUS</t>
  </si>
  <si>
    <t>HGG006</t>
  </si>
  <si>
    <t>N CORDOVA</t>
  </si>
  <si>
    <t>CHEVROLET CRUZE 1.4 4 PTAS LT</t>
  </si>
  <si>
    <t>AB895JG</t>
  </si>
  <si>
    <t>ludiaz@ext.sancorseguros.com</t>
  </si>
  <si>
    <t>FORD KA 1.5 S</t>
  </si>
  <si>
    <t>AD174QV</t>
  </si>
  <si>
    <t>IP FINAL/INTERMEDIA</t>
  </si>
  <si>
    <t>NISSAN VERSA 1.6 SENSE V-DRIVE L/20</t>
  </si>
  <si>
    <t>AE501PI</t>
  </si>
  <si>
    <t xml:space="preserve">PEUGEOT 2008 1.6 ALLURE </t>
  </si>
  <si>
    <t>AD437KW</t>
  </si>
  <si>
    <t xml:space="preserve">VOLKSWAGEN VOYAGE 1.6 </t>
  </si>
  <si>
    <t>KUB875</t>
  </si>
  <si>
    <t>RENAULT SANDERO II 1.6 8V DYNAMIQUE</t>
  </si>
  <si>
    <t>AC063XT</t>
  </si>
  <si>
    <t>TOYOTA HILUX SW4 TDI SRV L/12</t>
  </si>
  <si>
    <t>LOE471</t>
  </si>
  <si>
    <t>czardain@sancorseguros.com</t>
  </si>
  <si>
    <t> FIAT FIORINO FURGON 1.4 EVO TOP</t>
  </si>
  <si>
    <t>AD298WP</t>
  </si>
  <si>
    <t>madecarvalho@sancorseguros.com</t>
  </si>
  <si>
    <t>FORD MONDEO 2.0 TITANIUM ECOBOOST L/17</t>
  </si>
  <si>
    <t>AE372BE</t>
  </si>
  <si>
    <t>VOLKSWAGEN AMAROK 30TD 4X4 DC AT 258HP HIGHLI</t>
  </si>
  <si>
    <t>AF550FR</t>
  </si>
  <si>
    <t>cvaldez@ext.sancorseguros.com</t>
  </si>
  <si>
    <t>CHRYSLER JEEP RENEGADE 1.3T 4X2 LONGITUDE L/22 AT</t>
  </si>
  <si>
    <t>AF821LQ</t>
  </si>
  <si>
    <t>VGuisado@sancorseguros.com</t>
  </si>
  <si>
    <t>TOYOTA HILUX L/05 3.0 DC 4X4 TDI SRV</t>
  </si>
  <si>
    <t>IVH795</t>
  </si>
  <si>
    <t>mascallia@sancorseguros.com</t>
  </si>
  <si>
    <t>TOYOTA HILUX L/16 2.8 DC 4X4 TDI SRX AUT</t>
  </si>
  <si>
    <t>AA489JW</t>
  </si>
  <si>
    <t>VOLKSWAGEN VOYAGE 1.6 L/13 COMFORTLINE</t>
  </si>
  <si>
    <t>ONM433</t>
  </si>
  <si>
    <t>FIAT CRONOS 1.8 PRECISION L/21</t>
  </si>
  <si>
    <t>AF059QQ</t>
  </si>
  <si>
    <t>gmgutierrez@ext.sancorseguros.com</t>
  </si>
  <si>
    <t xml:space="preserve">CITROEN C 4 LOUNGE 1.6 HDI TENDANCE PK </t>
  </si>
  <si>
    <t>AA202EG</t>
  </si>
  <si>
    <t>rmomartinez@sancorseguros.com</t>
  </si>
  <si>
    <t>TOYOTA YARIS 1.5 5 PTAS XS L/22</t>
  </si>
  <si>
    <t>AF631TU</t>
  </si>
  <si>
    <t>CHEVROLET CRUZE 1.4 5 PTAS LT</t>
  </si>
  <si>
    <t>AF982SJ</t>
  </si>
  <si>
    <t>PEUGEOT 207 COMPACT 1.4 5 P XS//ALLURE</t>
  </si>
  <si>
    <t>ICC371</t>
  </si>
  <si>
    <t>VOLKSWAGEN VIRTUS 1.6 MSI L/22</t>
  </si>
  <si>
    <t>AF891LI</t>
  </si>
  <si>
    <t> VOLKSWAGEN GOL 1.4 5 P POWER</t>
  </si>
  <si>
    <t>MSP483</t>
  </si>
  <si>
    <t xml:space="preserve"> CHEVROLET CORSA 1.6 4 P SUPER PACK </t>
  </si>
  <si>
    <t>GMW345</t>
  </si>
  <si>
    <t>CHEVROLET CRUZE 1.4 5 PTAS LTZ AT</t>
  </si>
  <si>
    <t>AG690MC</t>
  </si>
  <si>
    <t>FORD FOCUS L/08 1.6 4 P STYLE EXE</t>
  </si>
  <si>
    <t>KOI146</t>
  </si>
  <si>
    <t>MERCEDES BENZ SPRINTER 415 FURGON 3665 MIXTO 4+1</t>
  </si>
  <si>
    <t>PIB219</t>
  </si>
  <si>
    <t>FORD BRONCO 2.0T SPORT WILDTRAK</t>
  </si>
  <si>
    <t>AG672NH</t>
  </si>
  <si>
    <t>VOLKSWAGEN GOLF VII 1.6 FSI TRENDLINE</t>
  </si>
  <si>
    <t>AA360LL</t>
  </si>
  <si>
    <t>DS AUTOMOBILES DS3 1.2 T PURE TECH SO CHIC AUT</t>
  </si>
  <si>
    <t>AD547GE</t>
  </si>
  <si>
    <t>CHEVROLET ONIX 1.4 LTZ L/17</t>
  </si>
  <si>
    <t>AC438LR</t>
  </si>
  <si>
    <t>TOYOTA ETIOS 1.5 4 PTAS XLS PACK 6MT</t>
  </si>
  <si>
    <t>AG361NC</t>
  </si>
  <si>
    <t>milmartinez@ext.sancorseguros.com</t>
  </si>
  <si>
    <t xml:space="preserve">VOLKSWAGEN SURAN 1.6 TRENDLINE L/15 </t>
  </si>
  <si>
    <t>AB157SB</t>
  </si>
  <si>
    <t>FORD FOCUS 1.6 8V AMBIENTE 5 P</t>
  </si>
  <si>
    <t>GHQ680</t>
  </si>
  <si>
    <t>NISSAN PICK-UP FRONTIER L/19 2.3 DC 4X4 S</t>
  </si>
  <si>
    <t>AE500VN</t>
  </si>
  <si>
    <t>PEUGEOT 208 1.6 5P ALLURE TOUCH</t>
  </si>
  <si>
    <t>PHQ867</t>
  </si>
  <si>
    <t>RENAULT SANDERO II 1.6 16V LIFE L/19</t>
  </si>
  <si>
    <t>AE759KI</t>
  </si>
  <si>
    <t>RENAULT CLIO MIO 1.2 5 P DYNAMIQUE SAT</t>
  </si>
  <si>
    <t>POV237</t>
  </si>
  <si>
    <t>FORD FOCUS L/16 1.6 5 P S</t>
  </si>
  <si>
    <t>AD640WU</t>
  </si>
  <si>
    <t>PEUGEOT 208 L/23 1.6 ACTIVE PACK</t>
  </si>
  <si>
    <t>AG582IV</t>
  </si>
  <si>
    <t>PEUGEOT 208 1.6 5P FELINE</t>
  </si>
  <si>
    <t>PAI065</t>
  </si>
  <si>
    <t>FIAT CRONOS 1.3 DRIVE GSE PACK CONECTI. L/21</t>
  </si>
  <si>
    <t>RENAULT DUSTER 1.6 4X2 DYNAMIQUE</t>
  </si>
  <si>
    <t>KYS280</t>
  </si>
  <si>
    <t>RENAULT SANDERO STEPWAY PH2 1.6 C.A.B.</t>
  </si>
  <si>
    <t>AE986WZ</t>
  </si>
  <si>
    <t>CHRYSLER JEEP COMPASS 2.4 LIMITED AT9 PLUS</t>
  </si>
  <si>
    <t>AE770RQ</t>
  </si>
  <si>
    <t>RENAULT KANGOO EXPRESS 1.5 DCI CONFORT 5 AS L/18</t>
  </si>
  <si>
    <t>AF099WU</t>
  </si>
  <si>
    <t>jboulle@sancorseguros.com</t>
  </si>
  <si>
    <t xml:space="preserve">FORD KA 1.6 PULSE L/11 </t>
  </si>
  <si>
    <t>MGJ691</t>
  </si>
  <si>
    <t>FIAT PALIO 1.4 5 P ATTRACTIVE L/12</t>
  </si>
  <si>
    <t>NKA889</t>
  </si>
  <si>
    <t>FIAT CRONOS 1.3 DRIVE GSE S-DESIGN</t>
  </si>
  <si>
    <t>AF272XM</t>
  </si>
  <si>
    <t>amrodriguez@sancorseguros.com</t>
  </si>
  <si>
    <t xml:space="preserve">VOLKSWAGEN GOL TREND 1.6 3 P L/13 PACK 3 </t>
  </si>
  <si>
    <t>MYR892</t>
  </si>
  <si>
    <t>VOLKSWAGEN AMAROK V6 30TD 4X4 DC AT HIGHLINE L/24</t>
  </si>
  <si>
    <t>AG890LP</t>
  </si>
  <si>
    <t>RENAULT SANDERO II 2.0 16V RS</t>
  </si>
  <si>
    <t>AD933FU</t>
  </si>
  <si>
    <t>CHEVROLET CLASSIC 1.4 4 PTAS LS ABS AB LL</t>
  </si>
  <si>
    <t>PIQ407</t>
  </si>
  <si>
    <t>RENAULT KANGOO 2 1.5 D AUTHENTIQUE 1 PLC</t>
  </si>
  <si>
    <t>LRN721</t>
  </si>
  <si>
    <t xml:space="preserve"> TOYOTA ETIOS 1.5 5 PTAS X 6MT L/18 </t>
  </si>
  <si>
    <t>AF689VB</t>
  </si>
  <si>
    <t xml:space="preserve">RENAULT KANGOO 1.6 SCE ZEN L/18 </t>
  </si>
  <si>
    <t>AD429KX</t>
  </si>
  <si>
    <t>CHEVROLET SPIN 1.8 LTZ 5 AS</t>
  </si>
  <si>
    <t>AA671XB</t>
  </si>
  <si>
    <t>RENAULT KANGOO 2 EXPRESS 1.6 CON. 2 PLC 5AS L/14</t>
  </si>
  <si>
    <t>AA658JD</t>
  </si>
  <si>
    <t>VOLKSWAGEN SURAN 1.6 COMFORTLINE L/14 ABS</t>
  </si>
  <si>
    <t>OCB645</t>
  </si>
  <si>
    <t xml:space="preserve">VOLKSWAGEN BORA 2.0 MPI TRENDLINE L/07 </t>
  </si>
  <si>
    <t>OGT085</t>
  </si>
  <si>
    <t>TOYOTA YARIS 1.5 5 PTAS XLS CVT L/20</t>
  </si>
  <si>
    <t>AE558IQ</t>
  </si>
  <si>
    <t>FIAT CRONOS 1.8 PRECISION L/21 AUT</t>
  </si>
  <si>
    <t>AF001RN</t>
  </si>
  <si>
    <t>CHEVROLET CORSA 1.6 4 P SUPER PACK</t>
  </si>
  <si>
    <t>CHEVROLET ONIX 1.4 JOY BLACK L/22</t>
  </si>
  <si>
    <t>AG902BI</t>
  </si>
  <si>
    <t xml:space="preserve">TOYOTA ETIOS 1.5 4 PTAS XLS </t>
  </si>
  <si>
    <t>AA590EV</t>
  </si>
  <si>
    <t xml:space="preserve">RENAULT KANGOO EXPRESS 1.6 EMOTION SCE 5 AS L/18 </t>
  </si>
  <si>
    <t>AE743GF</t>
  </si>
  <si>
    <t> PEUGEOT 208 1.6 5P ACTIVE</t>
  </si>
  <si>
    <t>AB052CT</t>
  </si>
  <si>
    <t xml:space="preserve">PEUGEOT 208 1.6 5P ACTIVE </t>
  </si>
  <si>
    <t>VOLKSWAGEN GOL 1.6 5 P TREND L/13</t>
  </si>
  <si>
    <t>PQW513</t>
  </si>
  <si>
    <t>TOYOTA COROLLA 1.8 XEI L/17</t>
  </si>
  <si>
    <t>AD479AB</t>
  </si>
  <si>
    <t>FORD KA 1.0 FLY VIRAL L/11</t>
  </si>
  <si>
    <t>LVN546</t>
  </si>
  <si>
    <t> TOYOTA ETIOS 1.5 4 PTAS XLS 6MT</t>
  </si>
  <si>
    <t>AC694BR</t>
  </si>
  <si>
    <t>CHEVROLET ONIX 1.4 LT L/17</t>
  </si>
  <si>
    <t>AC961OQ</t>
  </si>
  <si>
    <t xml:space="preserve">CITROEN C 4 LOUNGE 1.6 THP FEEL AT6 </t>
  </si>
  <si>
    <t>AB461UY</t>
  </si>
  <si>
    <t xml:space="preserve">TOYOTA ETIOS 1.5 5 PTAS XLS </t>
  </si>
  <si>
    <t>NZF679</t>
  </si>
  <si>
    <t>PEUGEOT PARTNER 1.6 CONFORT</t>
  </si>
  <si>
    <t>AD306JY</t>
  </si>
  <si>
    <t> HONDA CIVIC 1.8 LXS AUT</t>
  </si>
  <si>
    <t>GUS681</t>
  </si>
  <si>
    <t xml:space="preserve"> FIAT TORO 1.8MPI FREEDOM 4X2 AT S-DESIGN L/24</t>
  </si>
  <si>
    <t>AG323YO</t>
  </si>
  <si>
    <t>FIAT UNO FIRE 1.3 5 PTAS L/11</t>
  </si>
  <si>
    <t>NLH852</t>
  </si>
  <si>
    <t>AE350GE</t>
  </si>
  <si>
    <t>MERCEDES BENZ SPRINTER 517 FURGON 4325 V2 TE XL</t>
  </si>
  <si>
    <t>AG393FX</t>
  </si>
  <si>
    <t>RENAULT KANGOO EXPRESS 1.6 RL CONFORT</t>
  </si>
  <si>
    <t>GDV063</t>
  </si>
  <si>
    <t>OOC592</t>
  </si>
  <si>
    <t>TOYOTA ETIOS 1.5 5 PTAS CROSS</t>
  </si>
  <si>
    <t>OFR305</t>
  </si>
  <si>
    <t>NJA463</t>
  </si>
  <si>
    <t>HONDA FIT 1.5 EXL 5 PTAS CVT L/19</t>
  </si>
  <si>
    <t>AE013VS</t>
  </si>
  <si>
    <t>RENAULT KANGOO EXPRESS 1.6 CONFORT SCE L/18</t>
  </si>
  <si>
    <t>AE878SG</t>
  </si>
  <si>
    <t xml:space="preserve">PEUGEOT 208 1.6 5P FELINE </t>
  </si>
  <si>
    <t>AC576HV</t>
  </si>
  <si>
    <t>FORD MONDEO 2.0 TITANIUM ECOBOOST AUT</t>
  </si>
  <si>
    <t>NMM991</t>
  </si>
  <si>
    <t xml:space="preserve">FIAT SIENA 1.3 FIRE 16V </t>
  </si>
  <si>
    <t>ETH083</t>
  </si>
  <si>
    <t>FIAT PALIO 1.4 5 P FIRE L/09 TOP</t>
  </si>
  <si>
    <t>KQO680</t>
  </si>
  <si>
    <t> VOLKSWAGEN AMAROK 20TD 4X4 DC HIGHLINE 180HP A L17</t>
  </si>
  <si>
    <t>AC114AK</t>
  </si>
  <si>
    <t>FORD RANGER 2.0 TDI DC 4X4 L/23 LTD 10AT</t>
  </si>
  <si>
    <t>AG093JS</t>
  </si>
  <si>
    <t>TOYOTA INNOVA 2.7 SRV AT 8 ASIENTOS</t>
  </si>
  <si>
    <t>AD395PN</t>
  </si>
  <si>
    <t xml:space="preserve">VOLKSWAGEN VOYAGE 1.6 L/13 COMFORTLINE </t>
  </si>
  <si>
    <t>CHERY TIGGO 4 2.0 4X2 CONFORT CVT</t>
  </si>
  <si>
    <t>AF207SR</t>
  </si>
  <si>
    <t>FORD KA 1.5 SE L/18</t>
  </si>
  <si>
    <t>AE201QB</t>
  </si>
  <si>
    <t>AF920TG</t>
  </si>
  <si>
    <t>AC966DW</t>
  </si>
  <si>
    <t>VOLKSWAGEN GOL 1.6 3 P TREND L/13 PACK 3</t>
  </si>
  <si>
    <t>KFU517</t>
  </si>
  <si>
    <t>AC908ED</t>
  </si>
  <si>
    <t>CHEVROLET ONIX 1.4 JOY PLUS L/19</t>
  </si>
  <si>
    <t>AE769NY</t>
  </si>
  <si>
    <t>VOLKSWAGEN GOL TREND 1.6 5 P L/13</t>
  </si>
  <si>
    <t>AA210IO</t>
  </si>
  <si>
    <t>MWP127</t>
  </si>
  <si>
    <t>pasalcedo@sancorseguros.com</t>
  </si>
  <si>
    <t>PEUGEOT 508 2.0 HDI FELINE TIPTRONIC</t>
  </si>
  <si>
    <t>NXW197</t>
  </si>
  <si>
    <t xml:space="preserve">FORD RANGER 3.0 TDI DC 4X4 L/23 LTD+ V6 10AT </t>
  </si>
  <si>
    <t>AG592MF</t>
  </si>
  <si>
    <t>VOLKSWAGEN GOL TREND 1.6 5 P L/17</t>
  </si>
  <si>
    <t>AB349FU</t>
  </si>
  <si>
    <t>AF033IG</t>
  </si>
  <si>
    <t>FORD FOCUS L/14 2.0 5 P TITANIUM</t>
  </si>
  <si>
    <t>PHR186</t>
  </si>
  <si>
    <t xml:space="preserve"> FIAT PULSE 1.3 DRIVE CVT </t>
  </si>
  <si>
    <t>AF605ZH</t>
  </si>
  <si>
    <t>RENAULT SANDERO STEPWAY 1.6 SL</t>
  </si>
  <si>
    <t>KDT555</t>
  </si>
  <si>
    <t>GPT775</t>
  </si>
  <si>
    <t>FORD RANGER 2.5 DC 4X2 L/16 XLT</t>
  </si>
  <si>
    <t>AD794MO</t>
  </si>
  <si>
    <t>CHEVROLET ONIX 1.4 LS JOY L/17 |</t>
  </si>
  <si>
    <t>AD090JW</t>
  </si>
  <si>
    <t>PEUGEOT 308 1.6 ALLURE NAV</t>
  </si>
  <si>
    <t>AA695WF</t>
  </si>
  <si>
    <t>VOLKSWAGEN GOL 1.4 5 P POWER</t>
  </si>
  <si>
    <t>KTE789</t>
  </si>
  <si>
    <t>solivarez@ext.sancorseguros.com</t>
  </si>
  <si>
    <t>VOLKSWAGEN SURAN 1.6 COMFORTLINE</t>
  </si>
  <si>
    <t>LJS362</t>
  </si>
  <si>
    <t>VOLKSWAGEN GOL 1.6 5 P TREND L/17</t>
  </si>
  <si>
    <t>AC360LK</t>
  </si>
  <si>
    <t>CITROEN C 3 AIRCROSS 1.6 FEEL</t>
  </si>
  <si>
    <t>AC378VE</t>
  </si>
  <si>
    <t>FORD RANGER 3.2 TDI DC 4X4 L/16 LTD AT</t>
  </si>
  <si>
    <t>AC701SD</t>
  </si>
  <si>
    <t>TOYOTA ETIOS 1.5 5 PTAS XLS 4AT L/18</t>
  </si>
  <si>
    <t>AE220VJ</t>
  </si>
  <si>
    <t>VEHÍCULO IGNORADO AUTOMÓVIL</t>
  </si>
  <si>
    <t>AUTOMNOVA</t>
  </si>
  <si>
    <t>VOLKSWAGEN VOYAGE 1.6 COMFORTLINE PL.AB I MOT</t>
  </si>
  <si>
    <t>KRW248</t>
  </si>
  <si>
    <t>dbenitez@sancorseguros.com</t>
  </si>
  <si>
    <t xml:space="preserve">RENAULT SANDERO STEPWAY 1.6 CONFORT L/11 </t>
  </si>
  <si>
    <t>NNO928</t>
  </si>
  <si>
    <t xml:space="preserve">VOLKSWAGEN VOYAGE 1.6 COMFORTLINE PL.AB I MOT </t>
  </si>
  <si>
    <t>mmaccarrone@ext.sancorseguros.com</t>
  </si>
  <si>
    <t xml:space="preserve">CHEVROLET PRISMA 1.4 LTZ L/13 </t>
  </si>
  <si>
    <t>POB211</t>
  </si>
  <si>
    <t>VOLKSWAGEN CAM. 17.280/35 LR SC</t>
  </si>
  <si>
    <t>AA718XN</t>
  </si>
  <si>
    <t>PEUGEOT 406 1.8 SL</t>
  </si>
  <si>
    <t>DTH427</t>
  </si>
  <si>
    <t>TOYOTA ETIOS 1.5 5 PTAS XLS</t>
  </si>
  <si>
    <t>OPV816</t>
  </si>
  <si>
    <t>FIAT FIORINO FURGON 1.4 EVO TOP</t>
  </si>
  <si>
    <t>AE881FD</t>
  </si>
  <si>
    <t>FORD KA 1.5 S L/18</t>
  </si>
  <si>
    <t>AD757WX</t>
  </si>
  <si>
    <t>TOYOTA HILUX L/16 2.8 DC 4X4 TDI SR</t>
  </si>
  <si>
    <t>AB364CI</t>
  </si>
  <si>
    <t>TOYOTA YARIS 1.5 5 PTAS S CVT L/22</t>
  </si>
  <si>
    <t>AG209QB</t>
  </si>
  <si>
    <t>PEUGEOT 301 1.6 HDI ALLURE</t>
  </si>
  <si>
    <t>AC149LA</t>
  </si>
  <si>
    <t>RENAULT DUSTER 1.6 4X2 DYNAMIQUE |</t>
  </si>
  <si>
    <t>KZY889</t>
  </si>
  <si>
    <t>MERCEDES BENZ C 250 AVANTGARDE AUT</t>
  </si>
  <si>
    <t>PEK853</t>
  </si>
  <si>
    <t>PEUGEOT 308 1.6 HDI FELINE</t>
  </si>
  <si>
    <t>AA315TK</t>
  </si>
  <si>
    <t>AB751SF</t>
  </si>
  <si>
    <t>FIAT FIORINO FURGON 1.4 EVO CONFORT</t>
  </si>
  <si>
    <t>AB548CB</t>
  </si>
  <si>
    <t>AD308YV</t>
  </si>
  <si>
    <t>CHEVROLET TRACKER 1.2 TURBO AT6 L/22</t>
  </si>
  <si>
    <t>AG103JA</t>
  </si>
  <si>
    <t>RENAULT MASTER 2.3 DCI FURGON L1H1</t>
  </si>
  <si>
    <t>NHI314</t>
  </si>
  <si>
    <t>AG363RW</t>
  </si>
  <si>
    <t>TOYOTA HILUX L/16 2.4 SC 4X2 TDI DX</t>
  </si>
  <si>
    <t>AC194HK</t>
  </si>
  <si>
    <t>CHEVROLET TRACKER 1.8 4X2 LTZ</t>
  </si>
  <si>
    <t>AA150FH</t>
  </si>
  <si>
    <t>AF038TC</t>
  </si>
  <si>
    <t>PCU596</t>
  </si>
  <si>
    <t>RENAULT DUSTER 2.0 4X2 LUXE NAV</t>
  </si>
  <si>
    <t>NSJ416</t>
  </si>
  <si>
    <t>AD268XT</t>
  </si>
  <si>
    <t>RENAULT LOGAN II 1.6 16V PRIVILEGE</t>
  </si>
  <si>
    <t>AB568BU</t>
  </si>
  <si>
    <t>PEUGEOT 208 L/20 1.6 FELINE TIPTRONIC</t>
  </si>
  <si>
    <t>AF740FJ</t>
  </si>
  <si>
    <t>CHEVROLET P-UP S10 2.8TD DC 4X4 LS L/17</t>
  </si>
  <si>
    <t>AC383UX</t>
  </si>
  <si>
    <t>PEUGEOT 207 COMPACT 1.4 HDI 4 P.XS//ALLURE</t>
  </si>
  <si>
    <t>NJG202</t>
  </si>
  <si>
    <t>PEUGEOT 207 COMPACT 1.6 5 P XT PRE.//GRIFE</t>
  </si>
  <si>
    <t>LCD406</t>
  </si>
  <si>
    <t>AB369TB</t>
  </si>
  <si>
    <t>VOLKSWAGEN AMAROK 20TD 4X4 DC COM 180HP A L17</t>
  </si>
  <si>
    <t>AB983XS</t>
  </si>
  <si>
    <t>CHEVROLET CLASSIC 1.4 4 PTAS LT PACK</t>
  </si>
  <si>
    <t>NLI069</t>
  </si>
  <si>
    <t>FIAT CRONOS 1.3 DRIVE L/22</t>
  </si>
  <si>
    <t>AF535NM</t>
  </si>
  <si>
    <t>CITROEN C4 LOUNGE 1.6 HDI</t>
  </si>
  <si>
    <t>ONQ675</t>
  </si>
  <si>
    <t>CHEVROLET MERIVA 1.8 GL PLUS AB</t>
  </si>
  <si>
    <t>JRU630</t>
  </si>
  <si>
    <t xml:space="preserve">FORD ECO SPORT 2.0 XLT </t>
  </si>
  <si>
    <t>FBG939</t>
  </si>
  <si>
    <t>AUDI Q7 3.0 FSI TIPT. QUATTRO 333HP SPORT</t>
  </si>
  <si>
    <t>NIM645</t>
  </si>
  <si>
    <t>VOLKSWAGEN GOL TREND 1.6 5 P L/17 TRENDLINE</t>
  </si>
  <si>
    <t>AC304LT</t>
  </si>
  <si>
    <t>CHEVROLET CELTA 1.4 5 PTAS LT</t>
  </si>
  <si>
    <t>NQD447</t>
  </si>
  <si>
    <t>CHEVROLET ONIX 1.4 JOY L/19</t>
  </si>
  <si>
    <t>AE753QN</t>
  </si>
  <si>
    <t>FIAT TORO 1.8MPI FREEDOM 4X2 AT S-DESIGN L/24</t>
  </si>
  <si>
    <t>AG656MW</t>
  </si>
  <si>
    <t xml:space="preserve">FORD ECO SPORT 1.6 SE L/13 </t>
  </si>
  <si>
    <t>PPL849</t>
  </si>
  <si>
    <t>jsandoval@sancorseguros.com</t>
  </si>
  <si>
    <t>FIAT UNO 1.4 5 PTAS WAY</t>
  </si>
  <si>
    <t>KRL126</t>
  </si>
  <si>
    <t>FIAT ARGO 1.3 DRIVE GSE</t>
  </si>
  <si>
    <t>AD270PM</t>
  </si>
  <si>
    <t>HONDA PCX 150</t>
  </si>
  <si>
    <t>A113IIR</t>
  </si>
  <si>
    <t>RENAULT DUSTER OROCH 1.6 OUTSIDER</t>
  </si>
  <si>
    <t>AD688SB</t>
  </si>
  <si>
    <r>
      <rPr>
        <b/>
        <sz val="11"/>
        <color rgb="FF000000"/>
        <rFont val="Aptos Narrow"/>
        <scheme val="minor"/>
      </rPr>
      <t xml:space="preserve">VOLKSWAGEN UP! 3 PTAS TAKE  | </t>
    </r>
    <r>
      <rPr>
        <b/>
        <sz val="11"/>
        <color rgb="FFFF0000"/>
        <rFont val="Aptos Narrow"/>
        <scheme val="minor"/>
      </rPr>
      <t>CONSULTAR CON ALFRED</t>
    </r>
  </si>
  <si>
    <t>TOYOTA HILUX L/23 2.8 DC 4X4 TDI GR-S IV AT</t>
  </si>
  <si>
    <t>AG463SK</t>
  </si>
  <si>
    <t>FIAT STRADA 1.0 T 200 ULTRA CVT</t>
  </si>
  <si>
    <t>AG721UY</t>
  </si>
  <si>
    <t xml:space="preserve">CHEVROLET CLASSIC 1.4 4 PTAS LS ABS AB LL </t>
  </si>
  <si>
    <t>CHEVROLET TRACKER 1.2 TURBO LTZ AT6</t>
  </si>
  <si>
    <t>AF263LI</t>
  </si>
  <si>
    <t>FORD FOCUS L/08 2.0 4 P GHIA EXE AUT</t>
  </si>
  <si>
    <t>KOE511</t>
  </si>
  <si>
    <t>RENAULT KANGOO EXPRESS 1.6 SCE L/24 5 AS.</t>
  </si>
  <si>
    <t>AG572LH</t>
  </si>
  <si>
    <t>FORD FOCUS L/16 2.0 5 P SE PLUS</t>
  </si>
  <si>
    <t>AA658BX</t>
  </si>
  <si>
    <t>VOLKSWAGEN GOL COUNTRY 1.6 COMFORTLINE</t>
  </si>
  <si>
    <t>FHJ454</t>
  </si>
  <si>
    <t>AC630ZE</t>
  </si>
  <si>
    <t>PEUGEOT 2008 1.6 FELINE TIPTRONIC</t>
  </si>
  <si>
    <t>AC704LI</t>
  </si>
  <si>
    <t>CHEVROLET ONIX 1.2 LS L/19</t>
  </si>
  <si>
    <t>AG495QP</t>
  </si>
  <si>
    <t>RENAULT KANGOO 2 EXPRESS 1.5 D CONFORT 1 PLC AA</t>
  </si>
  <si>
    <t>NUW011</t>
  </si>
  <si>
    <t>CHEVROLET PRISMA 1.4 LTZ L/13</t>
  </si>
  <si>
    <t>OXT162</t>
  </si>
  <si>
    <t>RENAULT DUSTER OROCH 2.0 PRIVILEGE</t>
  </si>
  <si>
    <t>AA114PV</t>
  </si>
  <si>
    <t>NISSAN PICK-UP FRONTIER L/10 2.5 NP 300 4X2</t>
  </si>
  <si>
    <t>MUU672</t>
  </si>
  <si>
    <t>PEUGEOT 2008 1.6 ALLURE</t>
  </si>
  <si>
    <t>AD356WV</t>
  </si>
  <si>
    <t>FORD ECO SPORT 1.6 FREESTYLE L/13</t>
  </si>
  <si>
    <t>AA897JX</t>
  </si>
  <si>
    <t>NJS600</t>
  </si>
  <si>
    <t>PEUGEOT EXPERT 1.6 HDI CONFORT</t>
  </si>
  <si>
    <t>IVK330</t>
  </si>
  <si>
    <t>Renault Sandero</t>
  </si>
  <si>
    <t>IYA259</t>
  </si>
  <si>
    <t>RENAULT KANGOO EXPRESS 1.6 EMOTION SCE 5 AS L/18</t>
  </si>
  <si>
    <t>RENAULT CLIO 2 F2 1.2 5 P. AUTHENTIQ PK I</t>
  </si>
  <si>
    <t>LDG328</t>
  </si>
  <si>
    <t>FORD KA 1.5 SEL L/18</t>
  </si>
  <si>
    <t>AD235SO</t>
  </si>
  <si>
    <t>FORD KUGA 1.6 T 4X4 TITANIUM AUT L/14</t>
  </si>
  <si>
    <t>NNW600</t>
  </si>
  <si>
    <t>TOYOTA COROLLA 2.0 SE-G L/20 CVT</t>
  </si>
  <si>
    <t>AE339NQ</t>
  </si>
  <si>
    <t xml:space="preserve">FORD FOCUS L/16 1.6 5 P S </t>
  </si>
  <si>
    <t>AC500OI</t>
  </si>
  <si>
    <t>HONDA CIVIC 1.8 EXS</t>
  </si>
  <si>
    <t>JPQ782</t>
  </si>
  <si>
    <t>VOLKSWAGEN SAVEIRO 1.6 L/10 PACK I</t>
  </si>
  <si>
    <t>LCW057</t>
  </si>
  <si>
    <t xml:space="preserve">PEUGEOT 208 L/23 1.6 ALLURE PACK TIPTRONIC </t>
  </si>
  <si>
    <t>AF976YH</t>
  </si>
  <si>
    <t>FORD FIESTA 1.6 5P S (KD)</t>
  </si>
  <si>
    <t>PBY642</t>
  </si>
  <si>
    <t>cdalonso@sancorseguros.com</t>
  </si>
  <si>
    <t>FORD ECO SPORT 1.6 TITANIUM L/13</t>
  </si>
  <si>
    <t>NVR816</t>
  </si>
  <si>
    <t>FORD KA 1.6 PLUS (TATTOO)</t>
  </si>
  <si>
    <t>EJS636</t>
  </si>
  <si>
    <t>FIAT QUBO FIORINO 1.4 DYNAMIC</t>
  </si>
  <si>
    <t>MOS262</t>
  </si>
  <si>
    <t>CHEVROLET ONIX 1.4 JOY BLACK L/19</t>
  </si>
  <si>
    <t>AE294WN</t>
  </si>
  <si>
    <t>AD921HZ</t>
  </si>
  <si>
    <t>FORD MAVERICK 2.0T 4WD LARIAT AT8</t>
  </si>
  <si>
    <t>AF411OY</t>
  </si>
  <si>
    <t>VOLKSWAGEN VOYAGE 1.6 L/15 TRENDLINE</t>
  </si>
  <si>
    <t>OOW273</t>
  </si>
  <si>
    <t>gpachao@sancorseguros.com</t>
  </si>
  <si>
    <t>AB240PO</t>
  </si>
  <si>
    <t>vloray@ext.sancorseguros.com</t>
  </si>
  <si>
    <t>RENAULT SANDERO II 1.6 8V EXPRESSION</t>
  </si>
  <si>
    <t>AA791BY</t>
  </si>
  <si>
    <t>PEUGEOT 308 2.0 ALLURE PLUS</t>
  </si>
  <si>
    <t>PJV204</t>
  </si>
  <si>
    <t>CHEVROLET SONIC 1.6 4 PTAS LTZ</t>
  </si>
  <si>
    <t>NRH299</t>
  </si>
  <si>
    <t>VOLKSWAGEN BORA 2.0 MPI TRENDLINE L/07 TIPT</t>
  </si>
  <si>
    <t>HCC626</t>
  </si>
  <si>
    <t>PEUGEOT PARTNER PATA. 1.6 VTC PLUS L10/17</t>
  </si>
  <si>
    <t>AE007AD</t>
  </si>
  <si>
    <t>FIAT PULSE 1.0T AUDACE CVT</t>
  </si>
  <si>
    <t>AG592DN</t>
  </si>
  <si>
    <t>VOLKSWAGEN GOL TREND 1.6 5 P L/13 PK 3</t>
  </si>
  <si>
    <t>NQS818</t>
  </si>
  <si>
    <t>BENELLI LEONCINO 500</t>
  </si>
  <si>
    <t>A097BQH</t>
  </si>
  <si>
    <t>PEUGEOT 208 L/20 1.6 ACTIVE TIPTRONIC</t>
  </si>
  <si>
    <t>AE871BW</t>
  </si>
  <si>
    <t>RENAULT SANDERO II 1.6 8V AUTHENTIQUE</t>
  </si>
  <si>
    <t>AC015IQ</t>
  </si>
  <si>
    <t>NISSAN MARCH 1.6 ADVANCE PURE DRIVE</t>
  </si>
  <si>
    <t>AC800NY</t>
  </si>
  <si>
    <t>FORD RANGER 3.0 TDI DC 4X4 L/23 LTD+ V6 10AT</t>
  </si>
  <si>
    <t xml:space="preserve">VOLKSWAGEN SAVEIRO 1.6 L/17 C/DOBLE PACK HIGH </t>
  </si>
  <si>
    <t>AC885NQ</t>
  </si>
  <si>
    <t>CHEVROLET CLASSIC 1.4 4 PTAS LT SPIRIT</t>
  </si>
  <si>
    <t>LYB807</t>
  </si>
  <si>
    <t>TOYOTA YARIS 1.5 5 PTAS XLS L/22</t>
  </si>
  <si>
    <t>AG920GH</t>
  </si>
  <si>
    <t>FIAT ARGO 1.3 DRIVE GSE PK CONECTIVIDAD</t>
  </si>
  <si>
    <t>AD781VT</t>
  </si>
  <si>
    <t>RENAULT SANDERO STEPWAY II 1.6 DYNAMIQUE</t>
  </si>
  <si>
    <t>AC206SG</t>
  </si>
  <si>
    <t>FORD KA 1.5 SEL</t>
  </si>
  <si>
    <t>AC058PT</t>
  </si>
  <si>
    <t>TOYOTA YARIS 1.5 5 PTAS XS CVT</t>
  </si>
  <si>
    <t>AG569DW</t>
  </si>
  <si>
    <t>CHEVROLET CLASSIC 1.4 4 PTAS LS ABS AB</t>
  </si>
  <si>
    <t>AA091WL</t>
  </si>
  <si>
    <t>RENAULT KWID 1.0 LIFE</t>
  </si>
  <si>
    <t>AC230IP</t>
  </si>
  <si>
    <t>NISSAN SENTRA 2.0 SR CVT L/20</t>
  </si>
  <si>
    <t>AE846BG</t>
  </si>
  <si>
    <t>FIAT MOBI WAY</t>
  </si>
  <si>
    <t>AB852HY</t>
  </si>
  <si>
    <t>AB112EE</t>
  </si>
  <si>
    <t xml:space="preserve">HONDA FIT 1.5 EX 5 PTAS </t>
  </si>
  <si>
    <t>GSJ544</t>
  </si>
  <si>
    <t>AE736KJ</t>
  </si>
  <si>
    <t>RENAULT KANGOO EXPRESS 1.6 CONFORT SCE 5 AS L/18</t>
  </si>
  <si>
    <t>AF877KM</t>
  </si>
  <si>
    <t>CHEVROLET SPIN 1.8 LT 5 AS MY LINK</t>
  </si>
  <si>
    <t>AD274GX</t>
  </si>
  <si>
    <t>pmalchiodi@sancorseguros.com</t>
  </si>
  <si>
    <t>RENAULT KWID 1.0 ZEN</t>
  </si>
  <si>
    <t>AD140YB</t>
  </si>
  <si>
    <t>PEUGEOT 208 L/20 1.6 ACTIVE</t>
  </si>
  <si>
    <t>AF505LP</t>
  </si>
  <si>
    <t>PEUGEOT 208 L/24 1.6 ALLURE</t>
  </si>
  <si>
    <t>AG739DX</t>
  </si>
  <si>
    <t>TOYOTA COROLLA 1.8 SE-G L/20 CVT HYBRID</t>
  </si>
  <si>
    <t>AF967BV</t>
  </si>
  <si>
    <t>FIAT CRONOS 1.3 GSE DRIVE PACK PLUS L/23</t>
  </si>
  <si>
    <t>AG296SC</t>
  </si>
  <si>
    <t xml:space="preserve">RENAULT SANDERO II 2.0 16V RS </t>
  </si>
  <si>
    <t>AC940VO</t>
  </si>
  <si>
    <t>AB617US</t>
  </si>
  <si>
    <t>RENAULT SANDERO STEPWAY II 1.6 PRIVILEGE</t>
  </si>
  <si>
    <t>AC823LH</t>
  </si>
  <si>
    <t>VOLKSWAGEN T-CROSS 1.0 170 TSI</t>
  </si>
  <si>
    <t>AG085GR</t>
  </si>
  <si>
    <t>PEUGEOT 208 1.6 GT</t>
  </si>
  <si>
    <t>AC069IY</t>
  </si>
  <si>
    <t>FORD KA 1.5 SE+ L/18</t>
  </si>
  <si>
    <t>AE083TS</t>
  </si>
  <si>
    <t>VOLKSWAGEN POLO 1.6 L/23 MSI TRACK FIRST EDITION</t>
  </si>
  <si>
    <t>AG267ZJ</t>
  </si>
  <si>
    <t>RENAULT CLIO MIO 1.2 5 P CONFORT PACK</t>
  </si>
  <si>
    <t>AA847CS</t>
  </si>
  <si>
    <t>VOLKSWAGEN POLO 1.6 L/18 HIGHLINE 5 P TIP</t>
  </si>
  <si>
    <t>AD095EM</t>
  </si>
  <si>
    <t>NISSAN MARCH 1.6 ADVANCE MEDIA-TECH AUT</t>
  </si>
  <si>
    <t>AC014EE</t>
  </si>
  <si>
    <t>HONDA FIT 1.5 EX 5 PTAS L/09//L/13</t>
  </si>
  <si>
    <t>MFS582</t>
  </si>
  <si>
    <t>AF989WW</t>
  </si>
  <si>
    <t>TOYOTA HILUX L/21 2.4 DC 4X2 TDI SR</t>
  </si>
  <si>
    <t>AG559YW</t>
  </si>
  <si>
    <t>FORD ECO SPORT 1.5 SE L/18</t>
  </si>
  <si>
    <t>AF535NK</t>
  </si>
  <si>
    <t>AA336EJ</t>
  </si>
  <si>
    <t>CITROEN C 4 LOUNGE 2.0 I TENDANCE</t>
  </si>
  <si>
    <t>PAJ623</t>
  </si>
  <si>
    <t>VOLKSWAGEN VOYAGE 1.6 HIGHLINE I MOTION</t>
  </si>
  <si>
    <t>KIU648</t>
  </si>
  <si>
    <t>PEUGEOT 207 COMPACT 1.4 4 P XR//ACTIVE</t>
  </si>
  <si>
    <t>OAZ167</t>
  </si>
  <si>
    <t>AF235VD</t>
  </si>
  <si>
    <t>FIAT FIORINO FURGON 1.4 EVO</t>
  </si>
  <si>
    <t>POU803</t>
  </si>
  <si>
    <t>PKY306</t>
  </si>
  <si>
    <t>CHEVROLET ONIX 1.4 LS JOY L/17</t>
  </si>
  <si>
    <t>VOLKSWAGEN POLO 1.6 L/23 MSI TRACK</t>
  </si>
  <si>
    <t>AG054CH</t>
  </si>
  <si>
    <t xml:space="preserve">FIAT UNO 1.4 5 PTAS WAY </t>
  </si>
  <si>
    <t>NHV930</t>
  </si>
  <si>
    <t xml:space="preserve">FORD ECO SPORT 1.5 S L/18 </t>
  </si>
  <si>
    <t>AD985ZW</t>
  </si>
  <si>
    <t>AD705YB</t>
  </si>
  <si>
    <t>AE815PZ</t>
  </si>
  <si>
    <t>DS AUTOMOBILES DS7 2.0 HDI CROSSBACK SO CHIC</t>
  </si>
  <si>
    <t>AE593KU</t>
  </si>
  <si>
    <t> RENAULT SANDERO II 1.6 16V LIFE L/19</t>
  </si>
  <si>
    <t>AF944QW</t>
  </si>
  <si>
    <t>CHERY TIGGO 3 1.6 4X2 LUXURY CVT L/17</t>
  </si>
  <si>
    <t>AB976JH</t>
  </si>
  <si>
    <t>FORD FOCUS L/16 2.0 5 P SE</t>
  </si>
  <si>
    <t>PBY825</t>
  </si>
  <si>
    <t>FIAT PALIO 1.4 5 P ATTRACTIVE L/14</t>
  </si>
  <si>
    <t>AB331YK</t>
  </si>
  <si>
    <t>AC017XU</t>
  </si>
  <si>
    <t>RENAULT KANGOO 2 1.6 AUTHENTIQUE 1 PLC L/14</t>
  </si>
  <si>
    <t>NPQ074</t>
  </si>
  <si>
    <t>AF652LP</t>
  </si>
  <si>
    <t>VOLKSWAGEN FOX 1.6 5 P. TRENDLINE L/17</t>
  </si>
  <si>
    <t>AC247OJ</t>
  </si>
  <si>
    <t>VOLKSWAGEN GOL 1.6 5 P TREND PK 3</t>
  </si>
  <si>
    <t>IAH624</t>
  </si>
  <si>
    <t>TOYOTA COROLLA CROSS 1.8 SEG HEV E-CVT</t>
  </si>
  <si>
    <t>AG133OX</t>
  </si>
  <si>
    <t>HYUNDAI SANTA FE 2.4 2WD 7 AS GLS L/10</t>
  </si>
  <si>
    <t>LRV643</t>
  </si>
  <si>
    <t>AC445GP</t>
  </si>
  <si>
    <t xml:space="preserve">RENAULT KANGOO EXPRESS 1.6 CONFORT SCE L/18 </t>
  </si>
  <si>
    <t>AF279DH</t>
  </si>
  <si>
    <t>TOYOTA ETIOS 1.5 4 PTAS XLS 6MT</t>
  </si>
  <si>
    <t>AD064GG</t>
  </si>
  <si>
    <t>RENAULT KWID 1.0 ICONIC BITONO L/25</t>
  </si>
  <si>
    <t>AH027QN</t>
  </si>
  <si>
    <t>HONDA HR-V 1.8 EX CVT</t>
  </si>
  <si>
    <t>AA291CK</t>
  </si>
  <si>
    <t>FIAT TORO 1.8MPI FREEDOM 4X2 AT L/19</t>
  </si>
  <si>
    <t>AE553ZZ</t>
  </si>
  <si>
    <t>RENAULT LOGAN II 1.6 8V EXPRESSION</t>
  </si>
  <si>
    <t>AD992WC</t>
  </si>
  <si>
    <t>FORD ECO SPORT 1.5 TITANIUM L/18</t>
  </si>
  <si>
    <t>AC143QS</t>
  </si>
  <si>
    <t>VOLKSWAGEN GOL TREND 1.6 3 P L/13</t>
  </si>
  <si>
    <t>MWO608</t>
  </si>
  <si>
    <r>
      <rPr>
        <b/>
        <sz val="11"/>
        <color rgb="FF000000"/>
        <rFont val="Aptos Narrow"/>
        <scheme val="minor"/>
      </rPr>
      <t xml:space="preserve">FORD KA 1.5 SEL L/18 | </t>
    </r>
    <r>
      <rPr>
        <b/>
        <sz val="11"/>
        <color rgb="FFFF0000"/>
        <rFont val="Aptos Narrow"/>
        <scheme val="minor"/>
      </rPr>
      <t>NOS DIERON DE NUEVO PARA OFRECER TOTAL</t>
    </r>
  </si>
  <si>
    <t>FORD RANGER 2.2 TDI DC 4X2 L/16 XL</t>
  </si>
  <si>
    <t>AA654ED</t>
  </si>
  <si>
    <t>FIAT PALIO 1.4 5 P FIRE</t>
  </si>
  <si>
    <t>PGL231</t>
  </si>
  <si>
    <t>TOYOTA COROLLA 1.8 SE-G L/08 AUT</t>
  </si>
  <si>
    <t>HSR119</t>
  </si>
  <si>
    <t>AB769ZZ</t>
  </si>
  <si>
    <t>PEUGEOT 208 1.5 ALLURE N TOUCHSCREEN</t>
  </si>
  <si>
    <t>NZD137</t>
  </si>
  <si>
    <t>VOLKSWAGEN VENTO 2.5 170 HP LUXURY TIP L/11</t>
  </si>
  <si>
    <t>NGI598</t>
  </si>
  <si>
    <t>VOLKSWAGEN AMAROK 20TD 4X2 DC TRENDLINE 140HP L17</t>
  </si>
  <si>
    <t>AF101NQ</t>
  </si>
  <si>
    <t>PEUGEOT PARTNER 1.6 HDI CONFORT PLC L10/17</t>
  </si>
  <si>
    <t>KMO532</t>
  </si>
  <si>
    <t>AA328VS</t>
  </si>
  <si>
    <t>PEUGEOT PARTNER 1.6 HDI CONFORT 5 PLAZAS</t>
  </si>
  <si>
    <t>AE547DZ</t>
  </si>
  <si>
    <t>RENAULT KANGOO 2 1.6 AUTHEN PLUS 2 PLC L/14</t>
  </si>
  <si>
    <t>OHT393</t>
  </si>
  <si>
    <t>AC499UF</t>
  </si>
  <si>
    <t>AE626TR</t>
  </si>
  <si>
    <t xml:space="preserve">CHERY QQ 1.0 LIGHT SECURITY </t>
  </si>
  <si>
    <t>PPT433</t>
  </si>
  <si>
    <t>PEUGEOT 208 1.6 5P ALLURE NAV TIPTRONIC</t>
  </si>
  <si>
    <t>AC652TH</t>
  </si>
  <si>
    <t>AA845JQ</t>
  </si>
  <si>
    <t xml:space="preserve">FORD ECO SPORT 1.5 FREESTYLE L/18 </t>
  </si>
  <si>
    <t>AE450GZ</t>
  </si>
  <si>
    <t>TOYOTA HILUX SW4 TDI SRX AUT L/21</t>
  </si>
  <si>
    <t>AF264VV</t>
  </si>
  <si>
    <t>ROYAL ENFIELD 450 HIMALAYAN</t>
  </si>
  <si>
    <t>A226VIJ</t>
  </si>
  <si>
    <t xml:space="preserve">RENAULT MASTER 2.3 DCI FURGON L3H2 AA </t>
  </si>
  <si>
    <t>NSU601</t>
  </si>
  <si>
    <t>RENAULT KOLEOS 2.5 4X4 PRIVILEGE CVT L/12</t>
  </si>
  <si>
    <t>MQB898</t>
  </si>
  <si>
    <t>nrivas@sancorseguros.com</t>
  </si>
  <si>
    <t xml:space="preserve"> CHEVROLET CORSA 1.4 3 P GL AA</t>
  </si>
  <si>
    <t>FBG229</t>
  </si>
  <si>
    <t>VOLKSWAGEN VIRTUS 1.6 MSI TRENDLINE</t>
  </si>
  <si>
    <t>AD850KZ</t>
  </si>
  <si>
    <t> RENAULT KANGOO 2 1.6 AUTHENTIQUE 1 PLC</t>
  </si>
  <si>
    <t>JCZ914</t>
  </si>
  <si>
    <t xml:space="preserve">CHEVROLET ONIX 1.4 LTZ L/17 </t>
  </si>
  <si>
    <t>AC355GV</t>
  </si>
  <si>
    <t xml:space="preserve">FORD KA 1.0 FLY VIRAL L/11 </t>
  </si>
  <si>
    <t>LQX416</t>
  </si>
  <si>
    <t>VOLKSWAGEN SAVEIRO 1.6 L/18 C/SIM TRENDLINE</t>
  </si>
  <si>
    <t>AE483ZJ</t>
  </si>
  <si>
    <t>AA918IA</t>
  </si>
  <si>
    <t>FORD RANGER 2.2 TDI DC 4X2 L/19 XL</t>
  </si>
  <si>
    <t>AF861SM</t>
  </si>
  <si>
    <t xml:space="preserve">CHEVROLET ONIX 1.4 LT L/17 </t>
  </si>
  <si>
    <t>AC808UW</t>
  </si>
  <si>
    <t>AE334NM</t>
  </si>
  <si>
    <t>VOLKSWAGEN AMAROK V6 30TD 4X4 DC AT 258HP COMFORT</t>
  </si>
  <si>
    <t>AF305EP</t>
  </si>
  <si>
    <t>AF218QV</t>
  </si>
  <si>
    <t>HONDA HR-V 1.8 EXL CVT</t>
  </si>
  <si>
    <t>AC491ZY</t>
  </si>
  <si>
    <t>FIAT PULSE 1.3 DRIVE CVT</t>
  </si>
  <si>
    <t>AG689EQ</t>
  </si>
  <si>
    <t>VOLKSWAGEN AMAROK 20TD 4X4 DC HIG.180HP</t>
  </si>
  <si>
    <t>LNX318</t>
  </si>
  <si>
    <t>FIAT TORO 2.0TDI VOLCANO 4X4 AT</t>
  </si>
  <si>
    <t>AC339BK</t>
  </si>
  <si>
    <t>FIAT PULSE 1.0T IMPETUS CVT</t>
  </si>
  <si>
    <t>AF601BQ</t>
  </si>
  <si>
    <t>LSO087</t>
  </si>
  <si>
    <t>RENAULT KANGOO 1.6 SCE STEPWAY L/18</t>
  </si>
  <si>
    <t>AE781KG</t>
  </si>
  <si>
    <t xml:space="preserve">FIAT UNO 1.4 5 PTAS ATTRACTIVE </t>
  </si>
  <si>
    <t>JWA127</t>
  </si>
  <si>
    <t>AB731YZ</t>
  </si>
  <si>
    <t>CITROEN BERLINGO FURGON 1.9 D FULL</t>
  </si>
  <si>
    <t>HVF778</t>
  </si>
  <si>
    <t>CITROEN C 3 AIRCROSS 1.6 EXCLU L/14</t>
  </si>
  <si>
    <t>OAI526</t>
  </si>
  <si>
    <t>RENAULT DUSTER OROCH 1.6 DYNAMIQUE</t>
  </si>
  <si>
    <t>AD085NU</t>
  </si>
  <si>
    <t>AH132KO</t>
  </si>
  <si>
    <t>RENAULT MASTER 2.5 DCI F/MEDIO P/CON</t>
  </si>
  <si>
    <t>GYY223</t>
  </si>
  <si>
    <t xml:space="preserve">RENAULT DUSTER OROCH 2.0 OUTSIDER PLUS </t>
  </si>
  <si>
    <t>AC308OY</t>
  </si>
  <si>
    <t>AC868AP</t>
  </si>
  <si>
    <t>VOLKSWAGEN SURAN 1.6 TRENDLINE L/15</t>
  </si>
  <si>
    <t>AF251VB</t>
  </si>
  <si>
    <t xml:space="preserve">VOLKSWAGEN GOL TREND 1.6 3 P L/13 TRENDLINE </t>
  </si>
  <si>
    <t>PAI075</t>
  </si>
  <si>
    <t>RENAULT CLIO MIO 1.2 5 P CONFORT</t>
  </si>
  <si>
    <t>AA537UY</t>
  </si>
  <si>
    <t>FIAT CRONOS 1.3 DRIVE L/22 S-DESIGN</t>
  </si>
  <si>
    <t>AF165EP</t>
  </si>
  <si>
    <t xml:space="preserve">VOLKSWAGEN SAVEIRO 1.6 L/13 C/EXT SAFETY </t>
  </si>
  <si>
    <t>OOK431</t>
  </si>
  <si>
    <t>CITROEN BERLINGO FURGON 1.6 HDI BUSINESS</t>
  </si>
  <si>
    <t>AE584EE</t>
  </si>
  <si>
    <t>PASAR POR EL TALLER PARA PEDIRLE TODOS LOS DATOS REGLAMENTARIOS.</t>
  </si>
  <si>
    <t>VOLKSWAGEN FOX 1.6 5 P. COMFORTLINE L/10</t>
  </si>
  <si>
    <t>LFC747</t>
  </si>
  <si>
    <t>AC966GN</t>
  </si>
  <si>
    <t>AF979ZI</t>
  </si>
  <si>
    <t>AC786CK</t>
  </si>
  <si>
    <t xml:space="preserve">FORD ECO SPORT 1.6 TITANIUM L/13 </t>
  </si>
  <si>
    <t>AC813EO</t>
  </si>
  <si>
    <r>
      <rPr>
        <b/>
        <sz val="11"/>
        <color rgb="FF000000"/>
        <rFont val="Aptos Narrow"/>
        <scheme val="minor"/>
      </rPr>
      <t>FIAT CRONOS 1.3 DRIVE GSE PACK CONECTI |</t>
    </r>
    <r>
      <rPr>
        <b/>
        <sz val="11"/>
        <color rgb="FFFF0000"/>
        <rFont val="Aptos Narrow"/>
        <scheme val="minor"/>
      </rPr>
      <t xml:space="preserve"> OJO ACLARACION EN MAIL</t>
    </r>
  </si>
  <si>
    <t>AE092XL</t>
  </si>
  <si>
    <t>FIAT FIORINO FURGON 1.7 D DH</t>
  </si>
  <si>
    <t>DWK121</t>
  </si>
  <si>
    <t>AA870LK</t>
  </si>
  <si>
    <t> PEUGEOT 308 1.6 HDI FELINE</t>
  </si>
  <si>
    <t>LFX428</t>
  </si>
  <si>
    <t>FORD TERRITORY 1.8T TITANIUM</t>
  </si>
  <si>
    <t>AG641PX</t>
  </si>
  <si>
    <t>FIAT STRADA 1.3 FIRE FLY FREEDOM CD</t>
  </si>
  <si>
    <t>AG719QW</t>
  </si>
  <si>
    <t>RENAULT KANGOO EXPRESS 1.6 EMOTION SCE L/18</t>
  </si>
  <si>
    <t>AF631TX</t>
  </si>
  <si>
    <t>FIAT UNO 1.4 5 PTAS ATTRACTIVE</t>
  </si>
  <si>
    <t>CHRYSLER JEEP RENEGADE 1.8 4X2 SPORT AT</t>
  </si>
  <si>
    <t>AF656AR</t>
  </si>
  <si>
    <t>CHEVROLET ONIX 1.2 PLUS LT TECH L/19</t>
  </si>
  <si>
    <t>AF345BK</t>
  </si>
  <si>
    <t>VOLKSWAGEN AMAROK 20TD 4X2 DC COMFORT. 180HP L/17</t>
  </si>
  <si>
    <t>AG335YY</t>
  </si>
  <si>
    <t>PEUGEOT 308 1.6 HDI ALLURE NAV</t>
  </si>
  <si>
    <t>AC550EC</t>
  </si>
  <si>
    <t>AD542RF</t>
  </si>
  <si>
    <t>fsoloneski@sancorseguros.com</t>
  </si>
  <si>
    <t>AE377QH</t>
  </si>
  <si>
    <t>PEUGEOT PARTNER 1.6 HDI CONFORT PLC AB L10/17</t>
  </si>
  <si>
    <t>NWD168</t>
  </si>
  <si>
    <t>AC334WE</t>
  </si>
  <si>
    <t>CHEVROLET TRACKER 1.2 TURBO PREMIER AT6</t>
  </si>
  <si>
    <t>AE558JE</t>
  </si>
  <si>
    <t>FORD KA 1.5 S+</t>
  </si>
  <si>
    <t>AD321HG</t>
  </si>
  <si>
    <t>RENAULT SANDERO II 1.6 16V INTENS L/19</t>
  </si>
  <si>
    <t>AG100AL</t>
  </si>
  <si>
    <t>AD066TF</t>
  </si>
  <si>
    <t>VOLKSWAGEN VOYAGE 1.6 L/17 TRENDLINE</t>
  </si>
  <si>
    <t>AD166DG</t>
  </si>
  <si>
    <t>VOLKSWAGEN AMAROK 20TD 4X4 DC HIGHLINE 180HP A L17</t>
  </si>
  <si>
    <t>NYE687</t>
  </si>
  <si>
    <t>RENAULT KANGOO 2 EXPRESS 1.6 CONFORT 1 PLC AA  PEDIR NUEVAMENTE</t>
  </si>
  <si>
    <t>JUB941</t>
  </si>
  <si>
    <t>AD672CI</t>
  </si>
  <si>
    <t>PEUGEOT 208 1.5 5P ACTIVE</t>
  </si>
  <si>
    <t>AB119QC</t>
  </si>
  <si>
    <t>FORD FIESTA 1.6 5P TITANIUM</t>
  </si>
  <si>
    <t>JWU772</t>
  </si>
  <si>
    <t>CHEVROLET MONTANA 1.2 TURBO PREMIER AT6</t>
  </si>
  <si>
    <t>AH040WO</t>
  </si>
  <si>
    <t>VOLKSWAGEN SAVEIRO 1.6 L/15 C/DOBLE PACK HIGH</t>
  </si>
  <si>
    <t>OSP655</t>
  </si>
  <si>
    <t>PEUGEOT 208 1.5 5P ALLURE NAV TOUCH</t>
  </si>
  <si>
    <t>OQS450</t>
  </si>
  <si>
    <t>FIAT MOBI EASY</t>
  </si>
  <si>
    <t>AD753HW</t>
  </si>
  <si>
    <t>HONDA HR-V 1.8 LX CVT L/19</t>
  </si>
  <si>
    <t>AD437WG</t>
  </si>
  <si>
    <t>HONDA CIVIC 2.0 EXL L/17</t>
  </si>
  <si>
    <t>AB921IJ</t>
  </si>
  <si>
    <t>FIAT PALIO 1.4 5 P ATTRACTIVE</t>
  </si>
  <si>
    <t>JMX210</t>
  </si>
  <si>
    <t>TOYOTA ETIOS 1.5 5 PTAS XLS 4AT</t>
  </si>
  <si>
    <t>AB307EX</t>
  </si>
  <si>
    <t>mcoiman@sancorseguros.com</t>
  </si>
  <si>
    <t>FIAT ARGO 1.3 DRIVE GSE PK CONECTIVI. L/21</t>
  </si>
  <si>
    <t>AF687XF</t>
  </si>
  <si>
    <t>HOS287</t>
  </si>
  <si>
    <t>rperez@sancorseguros.com</t>
  </si>
  <si>
    <t>VOLKSWAGEN GOL 1.6 3 P TRENDLINE LN PLUS</t>
  </si>
  <si>
    <t>IBB575</t>
  </si>
  <si>
    <t>CHRYSLER JEEP RENEGADE 1.8 4X2 SPORT</t>
  </si>
  <si>
    <t>AA412DV</t>
  </si>
  <si>
    <t>FIAT CRONOS 1.3 DRIVE L/22 CVT</t>
  </si>
  <si>
    <t>AF818KB</t>
  </si>
  <si>
    <t>TOYOTA HILUX SW4 TDI SRX AUT L/23</t>
  </si>
  <si>
    <t>AG406DW</t>
  </si>
  <si>
    <t>TOYOTA ETIOS 1.5 5 PTAS X 6MT L/18</t>
  </si>
  <si>
    <t>AF885GA</t>
  </si>
  <si>
    <t xml:space="preserve">FORD KA 1.5 S+ </t>
  </si>
  <si>
    <t>CHEVROLET PRISMA 1.4 LTZ L/17</t>
  </si>
  <si>
    <t>AC155PC</t>
  </si>
  <si>
    <t>FORD ECO SPORT 1.5 S L/18</t>
  </si>
  <si>
    <t>AD746CL</t>
  </si>
  <si>
    <t>AC372LB</t>
  </si>
  <si>
    <t>VOLKSWAGEN GOL 1.6 5 P TRENDLINE L/19</t>
  </si>
  <si>
    <t>AE197ZC</t>
  </si>
  <si>
    <t>AF772GM</t>
  </si>
  <si>
    <t>RENAULT CLIO MIO 1.2 5 P DYNAMIQUE</t>
  </si>
  <si>
    <t>PJZ552</t>
  </si>
  <si>
    <t>AA922EY</t>
  </si>
  <si>
    <t>VOLKSWAGEN POLO 1.6 L/18 HIGHLINE 5 P</t>
  </si>
  <si>
    <t>AD144IQ</t>
  </si>
  <si>
    <t>AB120DW</t>
  </si>
  <si>
    <t>AD134RQ</t>
  </si>
  <si>
    <t xml:space="preserve">PEUGEOT 208 L/23 1.6 ACTIVE PACK TIPTRONIC </t>
  </si>
  <si>
    <t>AG467CE</t>
  </si>
  <si>
    <t>CHERY TIGGO 3 1.6 4X2 LUXURY L/17</t>
  </si>
  <si>
    <t>AC944BQ</t>
  </si>
  <si>
    <t>TOYOTA HILUX L/20 2.4 DC 4X2 TDI DX</t>
  </si>
  <si>
    <t>AD459NJ</t>
  </si>
  <si>
    <t>TOYOTA COROLLA 1.8 XEI L/14 CVT</t>
  </si>
  <si>
    <t>AA879DJ</t>
  </si>
  <si>
    <t>OVK607</t>
  </si>
  <si>
    <t>VOLKSWAGEN TAOS 1.4 250 TSI HIGHLINE AT L/23</t>
  </si>
  <si>
    <t>AG078YZ</t>
  </si>
  <si>
    <t>FIAT PALIO 1.6 5 P ESSENCE L/12</t>
  </si>
  <si>
    <t>MJO070</t>
  </si>
  <si>
    <t>FIAT CRONOS 1.3 DRIVE GSE PACK CONECTI.</t>
  </si>
  <si>
    <t>AD764YX</t>
  </si>
  <si>
    <t>VOLKSWAGEN SAVEIRO 1.6 L/10</t>
  </si>
  <si>
    <t>MUD035</t>
  </si>
  <si>
    <t>AMAROK | LUCAS, LA PASARON AL LUNES PERO NO TENGO LA ORDEN NUEVA</t>
  </si>
  <si>
    <t>AF828EE</t>
  </si>
  <si>
    <t xml:space="preserve">VOLKSWAGEN POLO 1.6 L/23 MSI TRACK </t>
  </si>
  <si>
    <t>AG049WF</t>
  </si>
  <si>
    <t xml:space="preserve">VOLKSWAGEN GOL TREND 1.6 5 P L/13 </t>
  </si>
  <si>
    <t>PEM051</t>
  </si>
  <si>
    <t xml:space="preserve">FORD FOCUS L/14 2.0 5 P TITANIUM </t>
  </si>
  <si>
    <t xml:space="preserve">VOLKSWAGEN GOL TREND 1.6 5 P SPORTLINE </t>
  </si>
  <si>
    <t>AA052BI</t>
  </si>
  <si>
    <t>AUDI A4 2.0 T L/12 AMBITION MULTITRONIC</t>
  </si>
  <si>
    <t>MYL207</t>
  </si>
  <si>
    <t>TOYOTA ETIOS 1.5 4 PTAS X 6MT L/18</t>
  </si>
  <si>
    <t>AE897WG</t>
  </si>
  <si>
    <t>dtoledo@sancorseguros.com</t>
  </si>
  <si>
    <t>VOLKSWAGEN GOLF VII 2.0 GTI</t>
  </si>
  <si>
    <t>AB343KV</t>
  </si>
  <si>
    <t>NISSAN KICKS 1.6 EXCLUSIVE CVT</t>
  </si>
  <si>
    <t>AD463NB</t>
  </si>
  <si>
    <t>AD782YU</t>
  </si>
  <si>
    <t>PASSAT 2.0 TDI ADVANCE L/11</t>
  </si>
  <si>
    <t>LZC338</t>
  </si>
  <si>
    <t>TOYOTA COROLLA CROSS 2.0 XLI CVT</t>
  </si>
  <si>
    <t>AF874RH</t>
  </si>
  <si>
    <t xml:space="preserve">CHEVROLET CRUZE 1.4 5 PTAS RS AT </t>
  </si>
  <si>
    <t>AF619VG</t>
  </si>
  <si>
    <t>VOLKSWAGEN T-CROSS 1.6 TRENDLINE</t>
  </si>
  <si>
    <t>AE410VI</t>
  </si>
  <si>
    <t>RENAULT SANDERO II 1.6 8V EXPRESSION PACK</t>
  </si>
  <si>
    <t>AD667IP</t>
  </si>
  <si>
    <t>RENAULT KANGOO 2 EXPRESS 1.6 CONFORT 1 PLC L/14</t>
  </si>
  <si>
    <t>OEK462</t>
  </si>
  <si>
    <t>TOYOTA ETIOS 1.5 4 PTAS X 6MT</t>
  </si>
  <si>
    <t>AC479XX</t>
  </si>
  <si>
    <t xml:space="preserve">RENAULT DUSTER 1.6 4X2 INTENS L/21 CVT </t>
  </si>
  <si>
    <t>AG339WL</t>
  </si>
  <si>
    <t>VOLKSWAGEN TIGUAN ALLSPACE 1.4T TRENDLINE AUT</t>
  </si>
  <si>
    <t>AD716DJ</t>
  </si>
  <si>
    <t>FORD RANGER 2.0 TDI DC 4X2 L/23 XL 6MT</t>
  </si>
  <si>
    <t>AG229LI</t>
  </si>
  <si>
    <t>FORD ECO SPORT 1.4 TDCI XL PLUS</t>
  </si>
  <si>
    <t>FOC550</t>
  </si>
  <si>
    <t>AE631DW</t>
  </si>
  <si>
    <t>OCM381</t>
  </si>
  <si>
    <t>HONDA CIVIC 1.8 EXS L/12</t>
  </si>
  <si>
    <t>NAB106</t>
  </si>
  <si>
    <t>PEUGEOT 208 L/24 1.6 ALLURE AT</t>
  </si>
  <si>
    <t>FIAT STRADA 1.4 WORKING L/14 DC</t>
  </si>
  <si>
    <t xml:space="preserve">NISSAN MARCH 1.6 ADVANCE PURE DRIVE </t>
  </si>
  <si>
    <t>CITROEN C 4 CACTUS 1.6 THP SHINE AT6 BT</t>
  </si>
  <si>
    <t>AD894CO</t>
  </si>
  <si>
    <t xml:space="preserve">RENAULT CLIO MIO 1.2 5 P DYNAMIQUE </t>
  </si>
  <si>
    <t>AA670RT</t>
  </si>
  <si>
    <t>VOLKSWAGEN AMAROK 20TD 4X2 DC TRENDLINE</t>
  </si>
  <si>
    <t>MZE002</t>
  </si>
  <si>
    <t xml:space="preserve">MERCEDES BENZ SPRINTER 415 FURGON 3665 MIXTO 4+1 </t>
  </si>
  <si>
    <t>CHEVROLET ONIX 1.4 JOY PLUS L/22</t>
  </si>
  <si>
    <t>AF712KP</t>
  </si>
  <si>
    <t>CHEVROLET AVEO 1.6 LS G3</t>
  </si>
  <si>
    <t>KUX233</t>
  </si>
  <si>
    <t>CHEVROLET CRUZE 1.8 4 PTAS LTZ</t>
  </si>
  <si>
    <t>NMK986</t>
  </si>
  <si>
    <t>LTT523</t>
  </si>
  <si>
    <t>TOYOTA COROLLA 1.8 SE-G L/17 CVT</t>
  </si>
  <si>
    <t>AB715TX</t>
  </si>
  <si>
    <t>FIAT SIENA 1.4 ELX ACTIVE</t>
  </si>
  <si>
    <t>HDH843</t>
  </si>
  <si>
    <t>CHEVROLET TRACKER 1.2 TURBO LTZ AT6 L/22</t>
  </si>
  <si>
    <t>AF769GA</t>
  </si>
  <si>
    <t>AA451RX</t>
  </si>
  <si>
    <t>PEUGEOT 208 L/20 1.6 ALLURE</t>
  </si>
  <si>
    <t>AE551BV</t>
  </si>
  <si>
    <t>PEUGEOT 308 1.6 ALLURE</t>
  </si>
  <si>
    <t>MIN290</t>
  </si>
  <si>
    <t>PEUGEOT 208 L/22 1.6 ROADTRIP TIPTRONIC</t>
  </si>
  <si>
    <t>AF844GA</t>
  </si>
  <si>
    <t>PEUGEOT 208 L/23 1.6 ALLURE PACK TIPTRONIC</t>
  </si>
  <si>
    <t>AG045OK</t>
  </si>
  <si>
    <t>FORD ECO SPORT 1.6 XLS L/07</t>
  </si>
  <si>
    <t>KAL566</t>
  </si>
  <si>
    <t>FIAT CRONOS 1.3 GSE STILE L/23</t>
  </si>
  <si>
    <t>AG438WW</t>
  </si>
  <si>
    <t>PEUGEOT 2008 1.6 ACTIVE</t>
  </si>
  <si>
    <t>AA769IS</t>
  </si>
  <si>
    <t>CITROEN C 3 AIRCROSS 1.0T 200 SHINE 7 AS.BT L/24</t>
  </si>
  <si>
    <t>AG911XW</t>
  </si>
  <si>
    <t>VOLKSWAGEN GOL 1.4 3 P POWER</t>
  </si>
  <si>
    <t>LMW101</t>
  </si>
  <si>
    <t>FIAT MOBI LIKE L/21</t>
  </si>
  <si>
    <t>AF005ZK</t>
  </si>
  <si>
    <t>AG549OV</t>
  </si>
  <si>
    <t xml:space="preserve">CHEVROLET PRISMA 1.4 LS JOY L/17 </t>
  </si>
  <si>
    <t>AC823OZ</t>
  </si>
  <si>
    <t xml:space="preserve">TOYOTA HILUX L/21 2.4 DC 4X2 TDI SR AT6 </t>
  </si>
  <si>
    <t>AG670IC</t>
  </si>
  <si>
    <t>AE992JO</t>
  </si>
  <si>
    <t>ebmediaciones@gmail.com</t>
  </si>
  <si>
    <t>AG306SX</t>
  </si>
  <si>
    <t xml:space="preserve">VOLKSWAGEN POLO 1.6 L/22 MSI TREND </t>
  </si>
  <si>
    <t>AF573KG</t>
  </si>
  <si>
    <t>CHEVROLET PRISMA 1.4 LS JOY L/17</t>
  </si>
  <si>
    <t>PEUGEOT 408 2.0 ALLURE + NAV</t>
  </si>
  <si>
    <t>MEJ166</t>
  </si>
  <si>
    <t xml:space="preserve">TOYOTA HILUX SW4 TDI SRX AUT L/16 </t>
  </si>
  <si>
    <t>AD728RI</t>
  </si>
  <si>
    <t>TOYOTA HILUX L/21 2.8 DC 4X4 TDI SRX AT6</t>
  </si>
  <si>
    <t>AE855KR</t>
  </si>
  <si>
    <t>TOYOTA ETIOS 1.5 4 PTAS XLS 4AT L/18</t>
  </si>
  <si>
    <t>AD888AY</t>
  </si>
  <si>
    <t>CHEVROLET AGILE 1.4 LTZ L/14</t>
  </si>
  <si>
    <t>ODH135</t>
  </si>
  <si>
    <t>Ford Ecosport</t>
  </si>
  <si>
    <t>JFI581</t>
  </si>
  <si>
    <t>PEUGEOT 207 COMPACT 1.4 3 P XR//ACTIVE</t>
  </si>
  <si>
    <t>NVA587</t>
  </si>
  <si>
    <t>CHEVROLET PRISMA 1.4 LT L/17</t>
  </si>
  <si>
    <t>AB403CV</t>
  </si>
  <si>
    <t>AG618VO</t>
  </si>
  <si>
    <t>CHEVROLET CORSA 2 1.8 5 P CD ABS</t>
  </si>
  <si>
    <t>ISW969</t>
  </si>
  <si>
    <t>MQC643</t>
  </si>
  <si>
    <t>CITROEN PICASSO 1.6 L/08 EXCLUSIVE</t>
  </si>
  <si>
    <t>KKH118</t>
  </si>
  <si>
    <t>VOLKSWAGEN VOYAGE 1.6 | En consulta con Alfre</t>
  </si>
  <si>
    <t>TOYOTA YARIS 1.5 5 PTAS S CVT L/22 | CAMBIO DE FECHA</t>
  </si>
  <si>
    <t>AG934FO</t>
  </si>
  <si>
    <t xml:space="preserve">FORD RANGER 2.2 TDI DC 4X2 L/16 XL </t>
  </si>
  <si>
    <t xml:space="preserve">VOLKSWAGEN SURAN 1.6 HIGHLINE L/15 </t>
  </si>
  <si>
    <t>AD590UX</t>
  </si>
  <si>
    <t xml:space="preserve">TOYOTA ETIOS 1.5 5 PTAS X 6MT L/18 </t>
  </si>
  <si>
    <t>AD366YW</t>
  </si>
  <si>
    <t xml:space="preserve">VOLKSWAGEN SAVEIRO 1.6 L/15 C/DOBLE PACK </t>
  </si>
  <si>
    <t>TOYOTA ETIOS 1.5 4 PTAS XLS</t>
  </si>
  <si>
    <t>AA242MV</t>
  </si>
  <si>
    <t>AG601CB</t>
  </si>
  <si>
    <t xml:space="preserve">VOLKSWAGEN VENTO 2.5 170 HP ADVANCE </t>
  </si>
  <si>
    <t>JCH829</t>
  </si>
  <si>
    <t xml:space="preserve">VOLKSWAGEN VIRTUS 1.6 MSI TRENDLINE </t>
  </si>
  <si>
    <t xml:space="preserve"> FIAT PALIO 1.4 5 P ATTRACTIVE L/14</t>
  </si>
  <si>
    <t>AB915AT</t>
  </si>
  <si>
    <t>CHEVROLET CRUZE 1.4 4 PTAS LTZ AT</t>
  </si>
  <si>
    <t>AC927YS</t>
  </si>
  <si>
    <t>PEUGEOT 408 1.6 HDI ALLURE NAV | TENGO EL NUMERO DEL ASESOR</t>
  </si>
  <si>
    <t>AB005FZ</t>
  </si>
  <si>
    <t>RENAULT CAPTUR 2.0 INTENS</t>
  </si>
  <si>
    <t>AC134FH</t>
  </si>
  <si>
    <t>AG968SE</t>
  </si>
  <si>
    <t>AG504JR</t>
  </si>
  <si>
    <t>NISSAN SENTRA 2.0 ADVANCE L/20</t>
  </si>
  <si>
    <t>AF695YV</t>
  </si>
  <si>
    <t xml:space="preserve">RENAULT DUSTER OROCH 1.6 OUTSIDER </t>
  </si>
  <si>
    <t>AD631HJ</t>
  </si>
  <si>
    <t>AG102WZ</t>
  </si>
  <si>
    <t xml:space="preserve"> NISSAN PICK-UP FRONTIER L/19 2.3 DC 4X2 S </t>
  </si>
  <si>
    <t>AD993IY</t>
  </si>
  <si>
    <t xml:space="preserve">CHEVROLET TRACKER 1.2 TURBO AT6 L/22 </t>
  </si>
  <si>
    <t>AG003CJ</t>
  </si>
  <si>
    <t>MERCEDES BENZ C 300 AMG L/19</t>
  </si>
  <si>
    <t>AE076QN</t>
  </si>
  <si>
    <t>RENAULT KANGOO 2 1.6 EX. 2 PLC CON. 5 AS L/14</t>
  </si>
  <si>
    <t>AA404OO</t>
  </si>
  <si>
    <t>RENAULT LOGAN II 1.6 8V AUTHENTIQUE PLUS</t>
  </si>
  <si>
    <t>AB540FR</t>
  </si>
  <si>
    <t>pmicchia@ext.sancorseguros.com</t>
  </si>
  <si>
    <t>NTB600</t>
  </si>
  <si>
    <t xml:space="preserve">CHRYSLER JOURNEY 2.4 SXT 3 FILAS L/11 FULL </t>
  </si>
  <si>
    <t>AC464WB</t>
  </si>
  <si>
    <t xml:space="preserve">CHEVROLET ONIX 1.4 LS JOY + L/17 </t>
  </si>
  <si>
    <t>AC583FE</t>
  </si>
  <si>
    <t>PEUGEOT 301 1.6 ALLURE</t>
  </si>
  <si>
    <t>AD627OV</t>
  </si>
  <si>
    <t>CHEVROLET PRISMA 1.4 LS JOY L/17 ( esto ya estaba resuelto)</t>
  </si>
  <si>
    <t>PEUGEOT 207 1.6 RC</t>
  </si>
  <si>
    <t>HTP845</t>
  </si>
  <si>
    <t xml:space="preserve"> CHEVROLET SPIN 1.8 LT 5 AS MY LINK </t>
  </si>
  <si>
    <t>AB647NA</t>
  </si>
  <si>
    <t>AA154ZL</t>
  </si>
  <si>
    <t xml:space="preserve">VOLKSWAGEN T-CROSS 1.6 TRENDLINE </t>
  </si>
  <si>
    <t xml:space="preserve">RENAULT CLIO MIO 1.2 5 P DYNAMIQUE SAT </t>
  </si>
  <si>
    <t>AA790PP</t>
  </si>
  <si>
    <t>TOYOTA COROLLA 1.8 XEI L/11 PACK</t>
  </si>
  <si>
    <t>KSL118</t>
  </si>
  <si>
    <t>FIAT TORO 1.8MPI FREEDOM 4X2 AT L/21</t>
  </si>
  <si>
    <t>AF488CH</t>
  </si>
  <si>
    <t>VOLKSWAGEN HIGH UP! 3P MPI</t>
  </si>
  <si>
    <t>AC499ZE</t>
  </si>
  <si>
    <t xml:space="preserve">CHEVROLET CELTA 1.4 5 PTAS LT AB ABS </t>
  </si>
  <si>
    <t>MVU173</t>
  </si>
  <si>
    <t xml:space="preserve">CHEVROLET ONIX 1.0T PLUS LTZ L/21 </t>
  </si>
  <si>
    <t>AF413XX</t>
  </si>
  <si>
    <t>TOYOTA COROLLA 1.8 XLI L/11</t>
  </si>
  <si>
    <t>LND635</t>
  </si>
  <si>
    <t xml:space="preserve">PEUGEOT 208 L/20 1.6 FELINE TIPTRONIC </t>
  </si>
  <si>
    <t>AE466IR</t>
  </si>
  <si>
    <t xml:space="preserve">RENAULT CLIO MIO 1.2 5 P EXPRESSION PK2 </t>
  </si>
  <si>
    <t>MYS521</t>
  </si>
  <si>
    <t xml:space="preserve">CHEVROLET ONIX 1.4 LTZ L/17 (le pedi inspeccion intermedia) </t>
  </si>
  <si>
    <t>AC459SX</t>
  </si>
  <si>
    <t xml:space="preserve">CHRYSLER JEEP COMPASS 2.4 SPORT AUT </t>
  </si>
  <si>
    <t>NFN806</t>
  </si>
  <si>
    <t>AA751DR</t>
  </si>
  <si>
    <t>FORD ECO SPORT 1.6 SE L/13</t>
  </si>
  <si>
    <t>NPD274</t>
  </si>
  <si>
    <t>RENAULT DUSTER 1.6 4X2 PRIVILEGE L/15</t>
  </si>
  <si>
    <t>AD740BG</t>
  </si>
  <si>
    <t xml:space="preserve">RENAULT KANGOO EXPRESS 1.6 EMOTION SCE </t>
  </si>
  <si>
    <t>AF352EK</t>
  </si>
  <si>
    <t>TOYOTA COROLLA 2.0 XEI L/20 CVT</t>
  </si>
  <si>
    <t>AF742FL</t>
  </si>
  <si>
    <t>AG271JR</t>
  </si>
  <si>
    <t>AG856TE</t>
  </si>
  <si>
    <t xml:space="preserve">NISSAN NOTE 1.6 EXCLUSIVE PURE DRIVE CVT </t>
  </si>
  <si>
    <t>AA087ED</t>
  </si>
  <si>
    <t xml:space="preserve">PEUGEOT PARTNER 1.6 HDI CONFORT 5 PLAZAS </t>
  </si>
  <si>
    <t xml:space="preserve">RENAULT DUSTER 1.6 4X2 EXPRESSION L/15 </t>
  </si>
  <si>
    <t>AD090JB</t>
  </si>
  <si>
    <t>TOYOTA COROLLA 1.8 XEI L/08</t>
  </si>
  <si>
    <t>IBZ795</t>
  </si>
  <si>
    <t xml:space="preserve"> FORD RANGER 3.0 TDI DC 4X4 L/23 LTD+ V6 </t>
  </si>
  <si>
    <t>AH073WI</t>
  </si>
  <si>
    <t>RENAULT SANDERO STEPWAY PH2 1.6 INTENS L/23</t>
  </si>
  <si>
    <t>AG563ZR</t>
  </si>
  <si>
    <t xml:space="preserve"> FIAT CRONOS 1.8 PRECISION L/21 AUT </t>
  </si>
  <si>
    <t>AF089UE</t>
  </si>
  <si>
    <t>TOYOTA YARIS 1.5 4 PTAS XLS PACK CVT L/22</t>
  </si>
  <si>
    <t>AG889UJ</t>
  </si>
  <si>
    <t xml:space="preserve">NISSAN MARCH 1.6 ADVANCE MEDIA-TECH AUT </t>
  </si>
  <si>
    <t>AE354OD</t>
  </si>
  <si>
    <t>AG192TG</t>
  </si>
  <si>
    <t>AA858BW</t>
  </si>
  <si>
    <t xml:space="preserve">CHEVROLET TRACKER 1.2 TURBO PREMIER AT6 </t>
  </si>
  <si>
    <t>AF527HP</t>
  </si>
  <si>
    <t>RENAULT DUSTER 1.6 4X2 DYNAMIQUE L/15</t>
  </si>
  <si>
    <t>PFG415</t>
  </si>
  <si>
    <t>AH160EL</t>
  </si>
  <si>
    <t>NDC458</t>
  </si>
  <si>
    <t>FORD FIESTA 1.6 5P SE (KD)</t>
  </si>
  <si>
    <t>AA378SE</t>
  </si>
  <si>
    <t>PEUGEOT 308 1.6 HDI ALLURE PACK</t>
  </si>
  <si>
    <t>AD054BY</t>
  </si>
  <si>
    <t>PEUGEOT 208 L/23 1.2 LIKE PACK</t>
  </si>
  <si>
    <t>AF906EK</t>
  </si>
  <si>
    <t>VOLKSWAGEN AMAROK 20TD 4X4 DC ULTIMATE AT</t>
  </si>
  <si>
    <t>AB241KY</t>
  </si>
  <si>
    <t>AD657FG</t>
  </si>
  <si>
    <t xml:space="preserve">FIAT FIORINO FURGON 1.4 ENDURANCE </t>
  </si>
  <si>
    <t>AF369PG</t>
  </si>
  <si>
    <t xml:space="preserve">VOLKSWAGEN POLO 1.6 L/18 TRENDLINE 5 P </t>
  </si>
  <si>
    <t>AE261AA</t>
  </si>
  <si>
    <t xml:space="preserve">VOLKSWAGEN VENTO 1.4TSI COMFORTLINE </t>
  </si>
  <si>
    <t>AC368BQ</t>
  </si>
  <si>
    <t xml:space="preserve">TOYOTA HILUX L/16 2.8 DC 4X4 TDI SRX </t>
  </si>
  <si>
    <t>AA220NX</t>
  </si>
  <si>
    <t>BMW 320I SEDAN EXECUTIVE L/13</t>
  </si>
  <si>
    <t>OZI127</t>
  </si>
  <si>
    <t>AD238WQ</t>
  </si>
  <si>
    <t>VOLKSWAGEN AMAROK 30TD 4X4 DC AT  (este te avise por wp que franco no fue)</t>
  </si>
  <si>
    <t>AG602XB</t>
  </si>
  <si>
    <t>AE683EB</t>
  </si>
  <si>
    <t xml:space="preserve">CHRYSLER JEEP RENEGADE 1.8 4X2 SPORT AT </t>
  </si>
  <si>
    <t>AC833HQ</t>
  </si>
  <si>
    <t>HONDA CITY 1.5 EXL AUT</t>
  </si>
  <si>
    <t>KLD900</t>
  </si>
  <si>
    <t xml:space="preserve">VOLKSWAGEN VOYAGE 1.6 L/17 TRENDLINE </t>
  </si>
  <si>
    <t>AA502MR</t>
  </si>
  <si>
    <t xml:space="preserve">RENAULT DUSTER 2.0 4X2 PRIVILEGE L/15 </t>
  </si>
  <si>
    <t>AB532FR</t>
  </si>
  <si>
    <t xml:space="preserve">NISSAN PICK-UP FRONTIER L/19 2.3 DC 4X2 X-GEAR </t>
  </si>
  <si>
    <t>AF268CR</t>
  </si>
  <si>
    <t>ODV149</t>
  </si>
  <si>
    <t>AE764WB</t>
  </si>
  <si>
    <t xml:space="preserve">CITROEN BERLINGO FURGON 1.4I BUSINESS </t>
  </si>
  <si>
    <t>NOR485</t>
  </si>
  <si>
    <t xml:space="preserve">RENAULT LOGAN II 1.6 8V AUTHENTIQUE </t>
  </si>
  <si>
    <t>AA999DF</t>
  </si>
  <si>
    <t>AF920SV</t>
  </si>
  <si>
    <t>CHEVROLET ONIX 1.2 LT L/19</t>
  </si>
  <si>
    <t>AE093YZ</t>
  </si>
  <si>
    <t xml:space="preserve">RENAULT CLIO 2 F2 1.2 5 P. AUTHENTIQ PK II </t>
  </si>
  <si>
    <t>LCJ283</t>
  </si>
  <si>
    <t>CHEVROLET COBALT 1.8 LT</t>
  </si>
  <si>
    <t>MRP585</t>
  </si>
  <si>
    <t>CHEVROLET ONIX 1.2 LT TECH L/19</t>
  </si>
  <si>
    <t>AE247IX</t>
  </si>
  <si>
    <t xml:space="preserve">TOYOTA HILUX L/16 2.8 DC 4X4 TDI SRX AUT </t>
  </si>
  <si>
    <t>AA885DK</t>
  </si>
  <si>
    <t xml:space="preserve"> PEUGEOT 206 1.6 5 PTAS XT L/04 PREMIUM </t>
  </si>
  <si>
    <t>GJX870</t>
  </si>
  <si>
    <t>AB959II</t>
  </si>
  <si>
    <t>LLX946</t>
  </si>
  <si>
    <t>lbarboza@ext.sancorseguros.com</t>
  </si>
  <si>
    <t>AA345NI</t>
  </si>
  <si>
    <t>RENAULT KWID</t>
  </si>
  <si>
    <t>ad419oy</t>
  </si>
  <si>
    <t>AD987XJ</t>
  </si>
  <si>
    <t>AC915LL</t>
  </si>
  <si>
    <t>VOLKSWAGEN SURAN 1.6 HIGHLINE L/10</t>
  </si>
  <si>
    <t>JVB936</t>
  </si>
  <si>
    <t>VOLKSWAGEN BORA 1.9 TDI TRENDLINE L/07</t>
  </si>
  <si>
    <t>KHC324</t>
  </si>
  <si>
    <t>VOLKSWAGEN POLO 1.6 L/18 COM. 5 P</t>
  </si>
  <si>
    <t>AE261JH</t>
  </si>
  <si>
    <t>AE820DY</t>
  </si>
  <si>
    <t>CHRYSLER JOURNEY 2.4 SXT 3 FILAS L/11 FULL</t>
  </si>
  <si>
    <t>HONDA FIT 1.5 EX 5 PTAS AUT</t>
  </si>
  <si>
    <t>FKL815</t>
  </si>
  <si>
    <t xml:space="preserve">FORD FOCUS L/08 1.8 5 P TREND TD PLUS </t>
  </si>
  <si>
    <t>MNN768</t>
  </si>
  <si>
    <t xml:space="preserve">VOLKSWAGEN POLO 1.6 L/18 HIGHLINE 5 P </t>
  </si>
  <si>
    <t>AE105HQ</t>
  </si>
  <si>
    <t>hrorpizikian@sancorseguros.com</t>
  </si>
  <si>
    <t>RENAULT LOGAN II 1.6 8V AUTHENTIQUE</t>
  </si>
  <si>
    <t>AD818KV</t>
  </si>
  <si>
    <t>TOYOTA YARIS 1.5 5 PTAS XLS</t>
  </si>
  <si>
    <t>AD330BB</t>
  </si>
  <si>
    <t>TOYOTA COROLLA 2.0 XEI L/23 CVT</t>
  </si>
  <si>
    <t>AG414VX</t>
  </si>
  <si>
    <t>lfalabella@sancorseguros.com</t>
  </si>
  <si>
    <t xml:space="preserve"> FIAT GRAND SIENA 1.4 ATTRACTIVE</t>
  </si>
  <si>
    <t>MAR093</t>
  </si>
  <si>
    <t>HONDA CIVIC 1.8 LXS AUT</t>
  </si>
  <si>
    <t>GXJ963</t>
  </si>
  <si>
    <t xml:space="preserve"> TOYOTA ETIOS 1.5 5 PTAS XLS 4AT L/18 </t>
  </si>
  <si>
    <t>AB562EJ</t>
  </si>
  <si>
    <t xml:space="preserve">TOYOTA HILUX L/12 3.0 DC 4X2 TDI SR </t>
  </si>
  <si>
    <t>OYV657</t>
  </si>
  <si>
    <t xml:space="preserve"> RENAULT KANGOO EXPRESS 1.5 DCI CONFORT 5 AS L/18</t>
  </si>
  <si>
    <t>CITROEN C 3 1.6 VTI LIVE</t>
  </si>
  <si>
    <t>AC104NZ</t>
  </si>
  <si>
    <t>AC970QN</t>
  </si>
  <si>
    <t xml:space="preserve">RENAULT LOGAN II 1.6 16V INTENS L/19 </t>
  </si>
  <si>
    <t>AH011QY</t>
  </si>
  <si>
    <t>AB090MA</t>
  </si>
  <si>
    <t>NISSAN PICK-UP FRONTIER L/19 2.3 DC 4X2 X-GEAR</t>
  </si>
  <si>
    <t xml:space="preserve">RENAULT DUSTER 1.6 4X2 PRIVILEGE L/15 </t>
  </si>
  <si>
    <t>AC907XS</t>
  </si>
  <si>
    <t xml:space="preserve"> FIAT ARGO 1.3 DRIVE GSE PK CONECTIVI. L/21 </t>
  </si>
  <si>
    <t>RENAULT CLIO MIO 1.2 5 P CONFORT PLUS</t>
  </si>
  <si>
    <t>NKA107</t>
  </si>
  <si>
    <t>PIK058</t>
  </si>
  <si>
    <t>RENAULT KWID 1.0 ICONIC</t>
  </si>
  <si>
    <t>AC806HO</t>
  </si>
  <si>
    <t>PMY062</t>
  </si>
  <si>
    <t xml:space="preserve">PEUGEOT PARTNER 1.4 PRESENCE L/10 </t>
  </si>
  <si>
    <t>AB373VT</t>
  </si>
  <si>
    <t xml:space="preserve">CITROEN C 4 LOUNGE 1.6 THP TENDANCE AT </t>
  </si>
  <si>
    <t>PHG781</t>
  </si>
  <si>
    <t>VOLKSWAGEN AMAROK 30TD 4X4 DC AT 258HP EXTRE.</t>
  </si>
  <si>
    <t>AE643JS</t>
  </si>
  <si>
    <t xml:space="preserve">FORD ECO SPORT 1.5 TITANIUM L/18 </t>
  </si>
  <si>
    <t>AD412NK</t>
  </si>
  <si>
    <t>FIAT STRADA 1.4 FIRE FREEDOM CD</t>
  </si>
  <si>
    <t>AG256ZI</t>
  </si>
  <si>
    <t>AF622EW</t>
  </si>
  <si>
    <t xml:space="preserve">CHEVROLET TRACKER 1.8 4X4 LTZ+ AUT </t>
  </si>
  <si>
    <t>POF885</t>
  </si>
  <si>
    <t xml:space="preserve">RENAULT DUSTER 1.6 4X2 DYNAMIQUE L/15 </t>
  </si>
  <si>
    <t>AD063ZN</t>
  </si>
  <si>
    <t>NYI601</t>
  </si>
  <si>
    <t xml:space="preserve">FIAT FIORINO FURGON 1.4 EVO CONFORT </t>
  </si>
  <si>
    <t>AB628IM</t>
  </si>
  <si>
    <t>RENAULT KANGOO 1.6 SCE ZEN L/18</t>
  </si>
  <si>
    <t>AF638SL</t>
  </si>
  <si>
    <t>HONDA CIVIC EXS 1.8 AUT</t>
  </si>
  <si>
    <t>IVH677</t>
  </si>
  <si>
    <t>AD992WV</t>
  </si>
  <si>
    <t>KXK820</t>
  </si>
  <si>
    <t>RENAULT SANDERO II 1.6 16V PRIVILEGE</t>
  </si>
  <si>
    <t>AB004IA</t>
  </si>
  <si>
    <t>NWP573</t>
  </si>
  <si>
    <t>AF365VC</t>
  </si>
  <si>
    <t>FORD KA 1.5 S+ L/18</t>
  </si>
  <si>
    <t>AD003OF</t>
  </si>
  <si>
    <t xml:space="preserve">RENAULT SANDERO II 1.6 16V INTENS L/23 </t>
  </si>
  <si>
    <t>AG581EM</t>
  </si>
  <si>
    <t xml:space="preserve">CITROEN BERLINGO MULTISPACE 1.6 HDI XTR </t>
  </si>
  <si>
    <t>AC675UV</t>
  </si>
  <si>
    <t>LUH361</t>
  </si>
  <si>
    <t xml:space="preserve">VOLKSWAGEN VOYAGE 1.6 COMFORTLINE PL. </t>
  </si>
  <si>
    <t>KJK157</t>
  </si>
  <si>
    <t xml:space="preserve">TOYOTA HILUX SW4 TDI SRX AUT L/21 </t>
  </si>
  <si>
    <t>AF835YQ</t>
  </si>
  <si>
    <t xml:space="preserve">PEUGEOT 207 COMPACT 1.4 5 P XS//ALLURE </t>
  </si>
  <si>
    <t>MNA903</t>
  </si>
  <si>
    <t>TOYOTA ETIOS 1.5 5 PTAS XLS 6MT L/18</t>
  </si>
  <si>
    <t>AE411OB</t>
  </si>
  <si>
    <t>AB395IA</t>
  </si>
  <si>
    <t>PEUGEOT 206 1.4 5 PTAS GENERA. PLUS PK.EL.</t>
  </si>
  <si>
    <t>LBN500</t>
  </si>
  <si>
    <t xml:space="preserve">VOLKSWAGEN AMAROK 20TD 4X2 DC COM 180HP L17 (esperando que la migren) </t>
  </si>
  <si>
    <t>OQB724</t>
  </si>
  <si>
    <t xml:space="preserve">TOYOTA ETIOS 1.5 5 PTAS XLS 4AT L/18 </t>
  </si>
  <si>
    <t xml:space="preserve">FORD FIESTA 1.6 4 PTAS MAX EDG PLU </t>
  </si>
  <si>
    <t>FNO153</t>
  </si>
  <si>
    <t xml:space="preserve"> TOYOTA HILUX L/12 3.0 DC 4X2 TDI SR</t>
  </si>
  <si>
    <t>PEUGEOT 307 1.6 5 P. XT</t>
  </si>
  <si>
    <t>HLB683</t>
  </si>
  <si>
    <t>RENAULT SANDERO STEPWAY PH2 1.6 INTENS CVT L/2 (esperando carta de hallazgo)</t>
  </si>
  <si>
    <t>AG060EJ</t>
  </si>
  <si>
    <t xml:space="preserve">RENAULT SANDERO II 1.6 16V LIFE L/23 </t>
  </si>
  <si>
    <t>AG077BM</t>
  </si>
  <si>
    <t>FORD MAVERICK 2.5 2WD LARIAT HYBRID ECVT</t>
  </si>
  <si>
    <t>AG690EE</t>
  </si>
  <si>
    <t>AB198ZU</t>
  </si>
  <si>
    <t>CHRYSLER JEEP COMPASS 1.3T 270 LONGITUDE AT6</t>
  </si>
  <si>
    <t>AF577FF</t>
  </si>
  <si>
    <t>RENAULT CAPTUR 1.6 INTENS CVT</t>
  </si>
  <si>
    <t>AD558BY</t>
  </si>
  <si>
    <t xml:space="preserve">RENAULT LOGAN II 1.6 16V LIFE L/19 </t>
  </si>
  <si>
    <t>AG235LO</t>
  </si>
  <si>
    <t>CHEVROLET PRISMA 1.4 LT</t>
  </si>
  <si>
    <t>LTV985</t>
  </si>
  <si>
    <t xml:space="preserve"> VOLKSWAGEN SURAN 1.6 HIGHLINE L/10 </t>
  </si>
  <si>
    <t xml:space="preserve">PEUGEOT 208 1.6 5P FELINE PK CUIR </t>
  </si>
  <si>
    <t>OLH789</t>
  </si>
  <si>
    <t xml:space="preserve">FIAT CRONOS 1.3 DRIVE GSE PACK CONECTI. </t>
  </si>
  <si>
    <t>AE008EJ</t>
  </si>
  <si>
    <t xml:space="preserve">FIAT PUNTO 1.6 SPORTING L/13 </t>
  </si>
  <si>
    <t>MZD799</t>
  </si>
  <si>
    <t>JGZ400</t>
  </si>
  <si>
    <t>VOLKSWAGEN TAOS 1.4 250 TSI HIGHLINE AT L/24 BITONO</t>
  </si>
  <si>
    <t>AG531YT</t>
  </si>
  <si>
    <t>TOYOTA ETIOS 1.5 4 PTAS PLATINUM 4AT L/18</t>
  </si>
  <si>
    <t>AF880TQ</t>
  </si>
  <si>
    <t>CITROEN C 3 1.5I TENDANCE PACK SECURE</t>
  </si>
  <si>
    <t>NHM554</t>
  </si>
  <si>
    <t>TOYOTA COROLLA 1.8 XEI L/11 PACK AUT</t>
  </si>
  <si>
    <t>KGG327</t>
  </si>
  <si>
    <t xml:space="preserve">VOLKSWAGEN UP! 5 PTAS PEPPER TSI </t>
  </si>
  <si>
    <t>AB896ZR</t>
  </si>
  <si>
    <t>FIAT PALIO WE ADVENTURE 1.6</t>
  </si>
  <si>
    <t>JRO483</t>
  </si>
  <si>
    <t xml:space="preserve">RENAULT KWID 1.0 ICONIC BITONO L/25 </t>
  </si>
  <si>
    <t>AH109CX</t>
  </si>
  <si>
    <t>HONDA CRV 2.4 4X4 EXL</t>
  </si>
  <si>
    <t>AB552MV</t>
  </si>
  <si>
    <t>RENAULT SANDERO STEPWAY PH2 1.6 INTENS L/19</t>
  </si>
  <si>
    <t>AE443TU</t>
  </si>
  <si>
    <t xml:space="preserve">CITROEN C 4 CACTUS 1.6 VTI FEEL PK </t>
  </si>
  <si>
    <t>AE659IL</t>
  </si>
  <si>
    <t xml:space="preserve">FIAT CRONOS 1.8 PRECISION L/21 AUT </t>
  </si>
  <si>
    <t>AE588VB</t>
  </si>
  <si>
    <t>PEUGEOT PARTNER PATA. 1.6HDI (pendiente )</t>
  </si>
  <si>
    <t>AC934SS</t>
  </si>
  <si>
    <t>AG641ON</t>
  </si>
  <si>
    <t xml:space="preserve">CITROEN C 4 LOUNGE 1.6 HDI FEEL PK </t>
  </si>
  <si>
    <t>AC748SG</t>
  </si>
  <si>
    <t xml:space="preserve">CITROEN C 4 LOUNGE 2.0 I TENDANCE </t>
  </si>
  <si>
    <t xml:space="preserve">HONDA HR-V 1.8 EXL CVT (cargado, esperando alta taller)  </t>
  </si>
  <si>
    <t>PMV647</t>
  </si>
  <si>
    <t>NISSAN KICKS 1.6 ADVANCE CVT (cargado, esperando alta taller)</t>
  </si>
  <si>
    <t>AD371SC</t>
  </si>
  <si>
    <t>CHEVROLET PRISMA 1.4 LT L/17 (Cargado, esperando alta taller)</t>
  </si>
  <si>
    <t>AE093DC</t>
  </si>
  <si>
    <t xml:space="preserve">TOYOTA COROLLA 2.0 XLI L/20 CVT </t>
  </si>
  <si>
    <t>AE436JM</t>
  </si>
  <si>
    <t>AC622JX</t>
  </si>
  <si>
    <t>MQK426</t>
  </si>
  <si>
    <t>CHEVROLET TRACKER 1.8 4X4 LTZ AUT PREMIER L/17</t>
  </si>
  <si>
    <t>AD635XC</t>
  </si>
  <si>
    <t xml:space="preserve">FIAT MOBI EASY </t>
  </si>
  <si>
    <t>AC479OD</t>
  </si>
  <si>
    <t>AA988FC</t>
  </si>
  <si>
    <t>AG984IH</t>
  </si>
  <si>
    <t>AD103YG</t>
  </si>
  <si>
    <t>TOYOTA YARIS 1.5 5 PTAS XLS CVT L/22</t>
  </si>
  <si>
    <t>AG897FT</t>
  </si>
  <si>
    <t>CHEVROLET TRACKER 1.8 LTZ 4X2</t>
  </si>
  <si>
    <t>AC023RU</t>
  </si>
  <si>
    <t>NAX225</t>
  </si>
  <si>
    <t>FIAT UNO 1.4 5 PTAS ATTRACTIVE PACK ELE</t>
  </si>
  <si>
    <t>MAB836</t>
  </si>
  <si>
    <t>AB351CT</t>
  </si>
  <si>
    <t>AA917GC</t>
  </si>
  <si>
    <t>AF541PM</t>
  </si>
  <si>
    <t>CITROEN C 3 1.6 VTI EXCLUSIVE</t>
  </si>
  <si>
    <t>NNM921</t>
  </si>
  <si>
    <t>CITROEN C 4 LOUNGE 1.6 HDI TENDANCE (esperando alta taller)</t>
  </si>
  <si>
    <t>PLB579</t>
  </si>
  <si>
    <t>AC808IW</t>
  </si>
  <si>
    <t>KIA CAM. KIA CAMION K 2500 AA</t>
  </si>
  <si>
    <t>AH047NG</t>
  </si>
  <si>
    <t>RENAULT CLIO MIO 1.2 3 P EXPRESSION</t>
  </si>
  <si>
    <t>AA102LJ</t>
  </si>
  <si>
    <t>AC078FA</t>
  </si>
  <si>
    <t>PEUGEOT 208 L/23 1.6 ACTIVE PACK TIPTRONIC</t>
  </si>
  <si>
    <t>AG430AB</t>
  </si>
  <si>
    <t>VOLKSWAGEN VOYAGE 1.6 L/13 HIGHLINE</t>
  </si>
  <si>
    <t>OAL103</t>
  </si>
  <si>
    <t>OVI828</t>
  </si>
  <si>
    <t>AE202AM</t>
  </si>
  <si>
    <t xml:space="preserve">FORD RANGER 3.2 TDI DC 4X2 L/16 XLT </t>
  </si>
  <si>
    <t>AA671ZV</t>
  </si>
  <si>
    <t xml:space="preserve">CHEVROLET CRUZE 1.4 4 PTAS LT AT </t>
  </si>
  <si>
    <t>AF893VQ</t>
  </si>
  <si>
    <t xml:space="preserve"> FORD FIESTA 1.6 5P SE POWER. (KD) </t>
  </si>
  <si>
    <t>AC651AX</t>
  </si>
  <si>
    <t xml:space="preserve">FORD RANGER 3.2 TDI DC 4X4 L/19 XLS </t>
  </si>
  <si>
    <t>AF576RZ</t>
  </si>
  <si>
    <t>AE688IJ</t>
  </si>
  <si>
    <t xml:space="preserve">FIAT PALIO 1.4 5 P ATTRACTIVE L/12  </t>
  </si>
  <si>
    <t>NCY176</t>
  </si>
  <si>
    <t xml:space="preserve">CITROEN BERLINGO MULTISPACE 1.6I SX </t>
  </si>
  <si>
    <t>KYD299</t>
  </si>
  <si>
    <t xml:space="preserve">PEUGEOT PARTNER 1.4 CONFORT PLC L/10 </t>
  </si>
  <si>
    <t>INF675</t>
  </si>
  <si>
    <t>PEUGEOT 308 1.6 ALLURE NAV  (Cargado, esperando alta taller)</t>
  </si>
  <si>
    <t>MER466</t>
  </si>
  <si>
    <t>MVG575</t>
  </si>
  <si>
    <t>LIFAN FOISON 1.3 CARGO</t>
  </si>
  <si>
    <t>AC530KK</t>
  </si>
  <si>
    <t xml:space="preserve">FORD ECO SPORT 1.6 S L/13 </t>
  </si>
  <si>
    <t>PDM029</t>
  </si>
  <si>
    <t>VOLKSWAGEN AMAROK 20TD 4X2 DC COMFORT. 180HP A L/17</t>
  </si>
  <si>
    <t>AG704KG</t>
  </si>
  <si>
    <t>CHRYSLER JEEP RENEGADE 1.3T 4X2 SERIE-S AT (cargado, esperando alta taller)</t>
  </si>
  <si>
    <t>AG650UO</t>
  </si>
  <si>
    <t xml:space="preserve">VOLKSWAGEN AMAROK 20TD 4X2 DC TRENDLINE 140HP L17 </t>
  </si>
  <si>
    <t>AG324CE</t>
  </si>
  <si>
    <t>AE352LT</t>
  </si>
  <si>
    <t>RENAULT CLIO 2 F2 1.2 5 P. AUTHENTIQ PK II</t>
  </si>
  <si>
    <t>LET293</t>
  </si>
  <si>
    <t>AB901RO</t>
  </si>
  <si>
    <t>VOLKSWAGEN UP! 3 PTAS HIGH</t>
  </si>
  <si>
    <t>OIQ555</t>
  </si>
  <si>
    <t>AF404NP</t>
  </si>
  <si>
    <t xml:space="preserve">VOLKSWAGEN NIVUS 200 TSI COMFORTLINE AT </t>
  </si>
  <si>
    <t xml:space="preserve">FIAT PALIO 1.4 5 P ATTRACTIVE L/12 </t>
  </si>
  <si>
    <t>OEI964</t>
  </si>
  <si>
    <t>CITROEN C 3 AIRCROSS 1.0T 200 SHINE BT L/24</t>
  </si>
  <si>
    <t>AG853EQ</t>
  </si>
  <si>
    <t>AB195FB</t>
  </si>
  <si>
    <t>AH069LT</t>
  </si>
  <si>
    <t xml:space="preserve">PEUGEOT 208 1.5 5P ALLURE NAV TOUCH </t>
  </si>
  <si>
    <t>OGP446</t>
  </si>
  <si>
    <t>CITROEN BERLINGO FURGON 1.6 HDI BUSINESS (me dijo emi que la carga alfre)</t>
  </si>
  <si>
    <t>AC328AM</t>
  </si>
  <si>
    <t>PEUGEOT 2008 1.6 SPORT THP</t>
  </si>
  <si>
    <t>AB879ST</t>
  </si>
  <si>
    <t>PEUGEOT 208 1.6 5P ALLURE</t>
  </si>
  <si>
    <t>AD130FM</t>
  </si>
  <si>
    <t xml:space="preserve">PEUGEOT 208 L/23 1.6 STYLE TIPTRONIC </t>
  </si>
  <si>
    <t>AF995VI</t>
  </si>
  <si>
    <t xml:space="preserve">GEELY EMGRAND X7 SPORT 2.4 GT EXECUT. AT </t>
  </si>
  <si>
    <t>AC643HF</t>
  </si>
  <si>
    <t>VOLKSWAGEN AMAROK V6 30TD 4X4 DC AT COMFORT L/24</t>
  </si>
  <si>
    <t>AG427PT</t>
  </si>
  <si>
    <t xml:space="preserve">CHEVROLET CRUZE 2.0 D 4 PTAS LT AUT </t>
  </si>
  <si>
    <t>MTU464</t>
  </si>
  <si>
    <t>AD272YW</t>
  </si>
  <si>
    <t>mocampos@sancorseguros.com</t>
  </si>
  <si>
    <t>RENAULT DUSTER 1.6 4X2 CONFORT</t>
  </si>
  <si>
    <t>MGJ325</t>
  </si>
  <si>
    <t>FIAT CRONOS 1.8 PRECISION AUT</t>
  </si>
  <si>
    <t>AC748TL</t>
  </si>
  <si>
    <t>AC036HH</t>
  </si>
  <si>
    <t>AD694BR</t>
  </si>
  <si>
    <t>CHEVROLET ONIX 1.0T PREMIER II AT L/19</t>
  </si>
  <si>
    <t>AE564NW</t>
  </si>
  <si>
    <t>CHEVROLET PRISMA 1.4 N LTZ (esperando que la migren)</t>
  </si>
  <si>
    <t>AA029BN</t>
  </si>
  <si>
    <t xml:space="preserve">RENAULT SANDERO II 1.6 16V LIFE L/19 </t>
  </si>
  <si>
    <t>AF006CY</t>
  </si>
  <si>
    <t>AF723RN</t>
  </si>
  <si>
    <t>CHEVROLET P-UP S10 2.8TD DC 4X4 LT L/14</t>
  </si>
  <si>
    <t>OCR078</t>
  </si>
  <si>
    <t>CITROEN C 3 1.2 PURETECH FEEL DESIGN (No tengo nada)</t>
  </si>
  <si>
    <t>AG180QL</t>
  </si>
  <si>
    <t>RENAULT DUSTER 1.6 4X2 PRIVILEGE L/15 (esperando info auto)</t>
  </si>
  <si>
    <t xml:space="preserve"> TOYOTA ETIOS 1.5 5 PTAS XLS PACK 6MT   (cargado, esperando alta taller)</t>
  </si>
  <si>
    <t>AG002BR</t>
  </si>
  <si>
    <t xml:space="preserve">FIAT PALIO 1.4 5 P ATTRACTIVE L/14 </t>
  </si>
  <si>
    <t>AB238LD</t>
  </si>
  <si>
    <t>CHEVROLET SONIC 1.6 5 PTAS LTZ</t>
  </si>
  <si>
    <t>MAB638</t>
  </si>
  <si>
    <t xml:space="preserve">FIAT CRONOS 1.3 DRIVE L/22 S-DESIGN </t>
  </si>
  <si>
    <t>AF581XA</t>
  </si>
  <si>
    <t>TOYOTA ETIOS 1.5 5 PTAS XS 6MT</t>
  </si>
  <si>
    <t>AC206UP</t>
  </si>
  <si>
    <t>AG640WK</t>
  </si>
  <si>
    <t>RENAULT KANGOO EX. 1.6 CONFORT SCE 5 AS L/18</t>
  </si>
  <si>
    <t>AE381RQ</t>
  </si>
  <si>
    <t>HONDA FIT 1.4 LXL 5 PTAS L/09//L/13</t>
  </si>
  <si>
    <t>KQM493</t>
  </si>
  <si>
    <t>HONDA HR-V 1.8 LX CVT</t>
  </si>
  <si>
    <t>AC051IL</t>
  </si>
  <si>
    <t>AF522LB</t>
  </si>
  <si>
    <t>AF706YC</t>
  </si>
  <si>
    <t>TOYOTA COROLLA 1.8 XEI L/14</t>
  </si>
  <si>
    <t>OWD289</t>
  </si>
  <si>
    <t>FORD FOCUS L/14 2.0 5 P TITANIUM AUT</t>
  </si>
  <si>
    <t>NYG103</t>
  </si>
  <si>
    <t>AE820AB</t>
  </si>
  <si>
    <t>AE989QX</t>
  </si>
  <si>
    <t>AD279NE</t>
  </si>
  <si>
    <t>VOLKSWAGEN GOL 1.6 5 P TREND CUP</t>
  </si>
  <si>
    <t>OHH382</t>
  </si>
  <si>
    <t>VOLKSWAGEN VIRTUS 1.4 GTS 250 TSI</t>
  </si>
  <si>
    <t>AE696DA</t>
  </si>
  <si>
    <t>AD771AH</t>
  </si>
  <si>
    <t>RENAULT CLIO MIO 1.2 5 P EXPRESSION PK2</t>
  </si>
  <si>
    <t>TOYOTA COROLLA 1.8 SE-G L/14 CVT</t>
  </si>
  <si>
    <t>OBK846</t>
  </si>
  <si>
    <t>RENAULT SANDERO 1.6 16V CONFORT</t>
  </si>
  <si>
    <t>IKE688</t>
  </si>
  <si>
    <t>AE805DV</t>
  </si>
  <si>
    <t>PEUGEOT 308 1.6 HDI ROLAND GARROS L/18</t>
  </si>
  <si>
    <t>AD090HN</t>
  </si>
  <si>
    <t>PEUGEOT 208 L/23 1.6 ROADTRIP TIPTRONIC</t>
  </si>
  <si>
    <t>AG261EE</t>
  </si>
  <si>
    <t>HONDA FIT 1.5 EXL 5 PTAS AUT L/17</t>
  </si>
  <si>
    <t>AB715CV</t>
  </si>
  <si>
    <t>AG764NI</t>
  </si>
  <si>
    <t>AA929LM</t>
  </si>
  <si>
    <t>RENAULT SANDERO STEPWAY II 1.6 PRIVILEGE (Cargado, esperando alta taller)</t>
  </si>
  <si>
    <t>AC561XN</t>
  </si>
  <si>
    <t>CHEVROLET ONIX 1.4 ACTIV L/17 (cargado, esperando alta taller)</t>
  </si>
  <si>
    <t>AB618EI</t>
  </si>
  <si>
    <t>OMH782</t>
  </si>
  <si>
    <t>AF138LC</t>
  </si>
  <si>
    <t>HONDA FIT 1.5 EX 5 PTAS</t>
  </si>
  <si>
    <t>GTM487</t>
  </si>
  <si>
    <t>VOLKSWAGEN POLO 1.6 L/16 COM. 4 P</t>
  </si>
  <si>
    <t>AE434QC</t>
  </si>
  <si>
    <t>CITROEN C 3 AIRCROSS 1.6 SHINE (cargado, esperando alta taller)</t>
  </si>
  <si>
    <t>AB462AJ</t>
  </si>
  <si>
    <t>AD594GX</t>
  </si>
  <si>
    <t>RENAULT SANDERO II 1.6 16V ZEN L/19</t>
  </si>
  <si>
    <t>AF290NR</t>
  </si>
  <si>
    <t>AE221SJ</t>
  </si>
  <si>
    <t>OZP762</t>
  </si>
  <si>
    <t xml:space="preserve"> FIAT FASTBACK 1.3 T 270 AT6 ABARTH  (Cargado, esperando alta taller)</t>
  </si>
  <si>
    <t>AH241HI</t>
  </si>
  <si>
    <t>CHEVROLET MERIVA 1.8 GLS</t>
  </si>
  <si>
    <t>LNU988</t>
  </si>
  <si>
    <t xml:space="preserve">NISSAN NOTE 1.6 SENSE PURE DRIVE </t>
  </si>
  <si>
    <t>AA489JI</t>
  </si>
  <si>
    <t>CITROEN C 3 PICASSO 1.6VTI TENDANCE L/14</t>
  </si>
  <si>
    <t>NWC535</t>
  </si>
  <si>
    <t>OOG072</t>
  </si>
  <si>
    <t xml:space="preserve">VH FORD </t>
  </si>
  <si>
    <t>sbj987</t>
  </si>
  <si>
    <t xml:space="preserve">TOYOTA COROLLA 1.8 XEI L/14 PACK CVT </t>
  </si>
  <si>
    <t>AA233SJ</t>
  </si>
  <si>
    <t>AA719OM</t>
  </si>
  <si>
    <t>AD740AC</t>
  </si>
  <si>
    <t xml:space="preserve">PEUGEOT 208 L/20 1.6 STYLE </t>
  </si>
  <si>
    <t>AF613NO</t>
  </si>
  <si>
    <t>AG701FE</t>
  </si>
  <si>
    <t>AD363GZ</t>
  </si>
  <si>
    <t>PFN670</t>
  </si>
  <si>
    <t>CITROEN C 4 CACTUS 1.6 THP SHINE AT L/23</t>
  </si>
  <si>
    <t>AG497BL</t>
  </si>
  <si>
    <t>FIAT ARGO 1.8 PRECISION L/21</t>
  </si>
  <si>
    <t>AE796FI</t>
  </si>
  <si>
    <t>FIAT MOBI TREEKKING</t>
  </si>
  <si>
    <t>AG848AV</t>
  </si>
  <si>
    <t>PEUGEOT 408 1.6 THP FELINE TIPTRONIC</t>
  </si>
  <si>
    <t>PCV212</t>
  </si>
  <si>
    <t>RENAULT KANGOO 1.6 SCE ZEN L/18 (esperando que la migren)</t>
  </si>
  <si>
    <t>RENAULT SANDERO STEPWAY PH2 1.6 ZEN L19</t>
  </si>
  <si>
    <t>AF731UG</t>
  </si>
  <si>
    <t>AG523XU</t>
  </si>
  <si>
    <t>AF784KC</t>
  </si>
  <si>
    <t>AF813JP</t>
  </si>
  <si>
    <t>AE989WL</t>
  </si>
  <si>
    <t>AF904BF</t>
  </si>
  <si>
    <t>CHEVROLET ONIX 1.4 ACTIV L/17</t>
  </si>
  <si>
    <t>AD896OF</t>
  </si>
  <si>
    <t>AD888HP</t>
  </si>
  <si>
    <t xml:space="preserve">CHEVROLET TRACKER 1.2 MT RURAL 5 PTAS </t>
  </si>
  <si>
    <t>AG557OD</t>
  </si>
  <si>
    <t>FORD KA 1.5 SE</t>
  </si>
  <si>
    <t>AB162FV</t>
  </si>
  <si>
    <t xml:space="preserve">FIAT PALIO 1.4 5 P ATTRACTIVE L/14 TOP </t>
  </si>
  <si>
    <t>AC259KF</t>
  </si>
  <si>
    <t>OQK322</t>
  </si>
  <si>
    <t>FIAT CRONOS 1.3 GSE DRIVE PACK PLUS L/23 (Cargado, esperando alta taller)</t>
  </si>
  <si>
    <t>AG254ZA</t>
  </si>
  <si>
    <t xml:space="preserve">RENAULT LOGAN II 1.6 8V AUTHENTIQUE PLUS </t>
  </si>
  <si>
    <t>AD407BI</t>
  </si>
  <si>
    <t>CITROEN C 3 1.6 VTI FEEL BT</t>
  </si>
  <si>
    <t>AD258TZ</t>
  </si>
  <si>
    <t>AC832PB</t>
  </si>
  <si>
    <t>PEUGEOT 208 L/20 1.2 LIKE</t>
  </si>
  <si>
    <t>AF305CW</t>
  </si>
  <si>
    <t xml:space="preserve">PEUGEOT 208 1.6 5P ALLURE TOUCH </t>
  </si>
  <si>
    <t>OQZ946</t>
  </si>
  <si>
    <t>RENAULT CLIO MIO 1.2 5 P CONFORT PLUS ABCP</t>
  </si>
  <si>
    <t>NKL649</t>
  </si>
  <si>
    <t>AF587DI</t>
  </si>
  <si>
    <t>VOLKSWAGEN GOL TREND 1.6 3 P L/13 HIGHLINE</t>
  </si>
  <si>
    <t>PJZ604</t>
  </si>
  <si>
    <t xml:space="preserve">HONDA FIT 1.5 EX 5 PTAS L/09//L/13 </t>
  </si>
  <si>
    <t>IPN404</t>
  </si>
  <si>
    <t>AH288BJ</t>
  </si>
  <si>
    <t>CHEVROLET ONIX 1.4 LTZ AUT L/17</t>
  </si>
  <si>
    <t>AC481DZ</t>
  </si>
  <si>
    <t>AE937XV</t>
  </si>
  <si>
    <t>HONDA HR-V 1.8 EX CVT L/21</t>
  </si>
  <si>
    <t>AE846VO</t>
  </si>
  <si>
    <t>JIQ622</t>
  </si>
  <si>
    <t>AC290CD</t>
  </si>
  <si>
    <t>AD042AC</t>
  </si>
  <si>
    <t>PEUGEOT 208 L/23 1.6 STYLE</t>
  </si>
  <si>
    <t>AG002AQ</t>
  </si>
  <si>
    <t>CHEVROLET P-UP S10 2.8TD DC 4X4 LTZ AT L/24 (esperando fotos)</t>
  </si>
  <si>
    <t>AH127YQ</t>
  </si>
  <si>
    <t>LGE526</t>
  </si>
  <si>
    <t>VOLKSWAGEN AMAROK 20TD 4X2 DC TREND.180 HP</t>
  </si>
  <si>
    <t>AA466TE</t>
  </si>
  <si>
    <t>FORD ECO SPORT 1.5 FREESTYLE L/18</t>
  </si>
  <si>
    <t>AD168GY</t>
  </si>
  <si>
    <t>AB743FY</t>
  </si>
  <si>
    <t>AF205FO</t>
  </si>
  <si>
    <t>RENAULT SANDERO STEPWAY 1.6 CONFORT</t>
  </si>
  <si>
    <t>KLK031</t>
  </si>
  <si>
    <t>AE804SH</t>
  </si>
  <si>
    <t>AE243LU</t>
  </si>
  <si>
    <t>TOYOTA YARIS 1.5 5 PTAS XLS L/20</t>
  </si>
  <si>
    <t>AE619FI</t>
  </si>
  <si>
    <t>CHEVROLET TRACKER 1.8 LTZ+ 4X4 AUT PREM L/17</t>
  </si>
  <si>
    <t>AD037YC</t>
  </si>
  <si>
    <t>AA845WK</t>
  </si>
  <si>
    <t>RENAULT SYMBOL 1.6 16V PACK</t>
  </si>
  <si>
    <t>LGV495</t>
  </si>
  <si>
    <t xml:space="preserve">FORD FIESTA 1.6 4P SE PLUS POWER. (KD) </t>
  </si>
  <si>
    <t>AB691XQ</t>
  </si>
  <si>
    <t xml:space="preserve">FORD RANGER 3.2 TDI DC 4X4 L/16 LTD </t>
  </si>
  <si>
    <t>AA616KE</t>
  </si>
  <si>
    <t xml:space="preserve"> FORD RANGER 3.2 TDI DC 4X4 L/19 XLS  (Cargado, esperando alta taller) </t>
  </si>
  <si>
    <t>AF845CD</t>
  </si>
  <si>
    <t>VOLKSWAGEN AMAROK V6 30TD 4X4 DC AT 258HP EXTREME</t>
  </si>
  <si>
    <t>AG321NM</t>
  </si>
  <si>
    <t>AA498XZ</t>
  </si>
  <si>
    <t xml:space="preserve">VOLKSWAGEN GOL TREND 1.6 3 P L/13 </t>
  </si>
  <si>
    <t>CHEVROLET ONIX 1.4 LT</t>
  </si>
  <si>
    <t>PBQ084</t>
  </si>
  <si>
    <t xml:space="preserve">CHEVROLET PRISMA 1.4 LS JOY + L/17 </t>
  </si>
  <si>
    <t>AC083KD</t>
  </si>
  <si>
    <t xml:space="preserve">RENAULT CLIO MIO 1.2 5 P CONFORT </t>
  </si>
  <si>
    <t>NGA917</t>
  </si>
  <si>
    <t>PEUGEOT 208 1.5 5P ACTIVE (Cargado, esperando alta taller)</t>
  </si>
  <si>
    <t>NED599</t>
  </si>
  <si>
    <t>AG183AL</t>
  </si>
  <si>
    <t>AC820OI</t>
  </si>
  <si>
    <t>VOLKSWAGEN TAOS 1.4 250 TSI COMFORTLINE TIP.</t>
  </si>
  <si>
    <t>AF712PG</t>
  </si>
  <si>
    <t>TOYOTA COROLLA 1.8 XLI L/17</t>
  </si>
  <si>
    <t>AD335YB</t>
  </si>
  <si>
    <t>AA778CW</t>
  </si>
  <si>
    <t>AC072GB</t>
  </si>
  <si>
    <t xml:space="preserve">CHEVROLET PRISMA 1.4 LTZ AUT L/17 (cargado, esperando alta taller) </t>
  </si>
  <si>
    <t>AC924ID</t>
  </si>
  <si>
    <t xml:space="preserve">VOLKSWAGEN SURAN 1.6 HIGHLINE L/10 </t>
  </si>
  <si>
    <t>JBF399</t>
  </si>
  <si>
    <t xml:space="preserve"> CHEVROLET PRISMA 1.4 LTZ L/13 </t>
  </si>
  <si>
    <t>PQA873</t>
  </si>
  <si>
    <t>AF483QO</t>
  </si>
  <si>
    <t>AF739TV</t>
  </si>
  <si>
    <t>CHRYSLER JEEP RENEGADE 1.8 4X2 SPORT L/22 AT</t>
  </si>
  <si>
    <t>AH046ID</t>
  </si>
  <si>
    <t>AG092KN</t>
  </si>
  <si>
    <t xml:space="preserve">RENAULT SANDERO II 1.6 16V PRIVILEGE </t>
  </si>
  <si>
    <t>AC385HP</t>
  </si>
  <si>
    <t>AF960XA</t>
  </si>
  <si>
    <t xml:space="preserve">TOYOTA COROLLA 1.8 SE-G L/08 AUT </t>
  </si>
  <si>
    <t>JGF807</t>
  </si>
  <si>
    <t>CITROEN C 4 LOUNGE 1.6 THP FEEL L/18 AT6</t>
  </si>
  <si>
    <t>AD504XY</t>
  </si>
  <si>
    <t xml:space="preserve"> RENAULT SANDERO STEPWAY 1.6 SL </t>
  </si>
  <si>
    <t xml:space="preserve">RENAULT DUSTER OROCH 2.0 DYNAMIQUE </t>
  </si>
  <si>
    <t>AC272VN</t>
  </si>
  <si>
    <t>RENAULT CLIO MIO 1.2 5 P EXPRESSION PK1</t>
  </si>
  <si>
    <t>MIV517</t>
  </si>
  <si>
    <t xml:space="preserve">VOLKSWAGEN VENTO 1.4TSI HIGHLINE DSG </t>
  </si>
  <si>
    <t>AA735DX</t>
  </si>
  <si>
    <t>AE187HT</t>
  </si>
  <si>
    <t>FIAT FASTBACK 1.3 T 270 AT6 ABARTH</t>
  </si>
  <si>
    <t>AG938IB</t>
  </si>
  <si>
    <t>PEUGEOT 208 1.6 5P FELINE PK CUIR (Cargado, esperando alta de taller)</t>
  </si>
  <si>
    <t>OTH726</t>
  </si>
  <si>
    <t>VOLKSWAGEN POLO 1.6 L/18 COM. 5 P PLUS TIP</t>
  </si>
  <si>
    <t>AD143UH</t>
  </si>
  <si>
    <t>FORD TERRITORY 1.5T TITANIUM</t>
  </si>
  <si>
    <t>AF873OO</t>
  </si>
  <si>
    <t>VOLKSWAGEN AMAROK 20TD 4X2 DC TRENDLINE OVE</t>
  </si>
  <si>
    <t>LDL000</t>
  </si>
  <si>
    <t>AC699TQ</t>
  </si>
  <si>
    <t>RENAULT SANDERO STEPWAY II 1.6 RIP CURL</t>
  </si>
  <si>
    <t>AA292BU</t>
  </si>
  <si>
    <t>CITROEN C 3 AIRCROSS 1.6 SHINE AT</t>
  </si>
  <si>
    <t>AC612SP</t>
  </si>
  <si>
    <t>TOYOTA HILUX L/24 2.8 DC 4X4 TDI SRX AT6</t>
  </si>
  <si>
    <t>AH189CT</t>
  </si>
  <si>
    <t>CHEVROLET PRISMA 1.4 LTZ AUT L/17</t>
  </si>
  <si>
    <t>FIAT TORO 1.8MPI FREEDOM 4X2 AT</t>
  </si>
  <si>
    <t>AD824CU</t>
  </si>
  <si>
    <t>PEUGEOT 208 L/20 1.6 ALLURE TIPTRONIC (No tengo nada)</t>
  </si>
  <si>
    <t>AE434YH</t>
  </si>
  <si>
    <t>CHEVROLET P-UP S10 2.8TD DC 4X2 LS L/21 (Cargado, esperando alta taller)</t>
  </si>
  <si>
    <t>AG789PV</t>
  </si>
  <si>
    <t>FIAT SIENA 1.4 EL | NO EMITIR ORDEN HASTA AVISO DE GESTOR</t>
  </si>
  <si>
    <t>AC594EM</t>
  </si>
  <si>
    <t>HONDA CITY 1.5 EXL  (Cargado, esperando alta de taller)</t>
  </si>
  <si>
    <t>NBX471</t>
  </si>
  <si>
    <t>AC583LA</t>
  </si>
  <si>
    <t>AC113WH</t>
  </si>
  <si>
    <t>AA121GV</t>
  </si>
  <si>
    <t>FORD FIESTA 1.6 4 PTAS MAX AMB</t>
  </si>
  <si>
    <t>IDW576</t>
  </si>
  <si>
    <t>FORD ECO SPORT 1.6 S L/13</t>
  </si>
  <si>
    <t>NUS037</t>
  </si>
  <si>
    <t>VOLKSWAGEN AMAROK 20TD 4X2 DC COM 180HP A L17</t>
  </si>
  <si>
    <t>AE973RG</t>
  </si>
  <si>
    <t>AF769GK</t>
  </si>
  <si>
    <t>CITROEN C 4 CACTUS 1.6 VTI FEEL L/23 AT</t>
  </si>
  <si>
    <t>AG848MH</t>
  </si>
  <si>
    <t>CHEVROLET ONIX 1.0T PLUS PREMIER II AT L/19</t>
  </si>
  <si>
    <t>AE190TU</t>
  </si>
  <si>
    <t>TOYOTA COROLLA 1.8 XRS L/12</t>
  </si>
  <si>
    <t>LGI568</t>
  </si>
  <si>
    <t xml:space="preserve">CHEVROLET CLASSIC 1.4 4 PTAS LT SPIRIT </t>
  </si>
  <si>
    <t>MHS345</t>
  </si>
  <si>
    <t>AF005XZ</t>
  </si>
  <si>
    <t>AE024YM</t>
  </si>
  <si>
    <t>AA456EU</t>
  </si>
  <si>
    <t xml:space="preserve">FORD ECO SPORT 1.5 TDCI SE L/13 </t>
  </si>
  <si>
    <t>OVR739</t>
  </si>
  <si>
    <t>AC973NK</t>
  </si>
  <si>
    <t>AA730CV</t>
  </si>
  <si>
    <t>AA986DU</t>
  </si>
  <si>
    <t>AD387ZI</t>
  </si>
  <si>
    <t>PEUGEOT 408 2.0 ALLURE NAV</t>
  </si>
  <si>
    <t>OUS842</t>
  </si>
  <si>
    <t>PEUGEOT 408 2.0 ALLURE + NAV   (Cargado, esperando alta taller)</t>
  </si>
  <si>
    <t>OMJ326</t>
  </si>
  <si>
    <t>AC420SK</t>
  </si>
  <si>
    <t>PGM938</t>
  </si>
  <si>
    <t xml:space="preserve">CITROEN C 3 AIRCROSS 1.6 SX HIGH TECH </t>
  </si>
  <si>
    <t>MKQ272</t>
  </si>
  <si>
    <t>HYUNDAI I 10 1.2 GLS SEGURIDAD L/11</t>
  </si>
  <si>
    <t>JUE432</t>
  </si>
  <si>
    <t>AG110UV</t>
  </si>
  <si>
    <t xml:space="preserve"> TOYOTA COROLLA 1.8 XEI L/17 PACK CVT </t>
  </si>
  <si>
    <t>AC872XL</t>
  </si>
  <si>
    <t>FIAT PULSE 1.3T ABARTH</t>
  </si>
  <si>
    <t>AH139TA</t>
  </si>
  <si>
    <t>AF742ID</t>
  </si>
  <si>
    <t>VOLKSWAGEN AMAROK 20TD 4X4 DC HIGHLINE 180HP PK</t>
  </si>
  <si>
    <t>OPB277</t>
  </si>
  <si>
    <t>VOLKSWAGEN T-CROSS 1.0 200 TSI HIGHLINE TIP.</t>
  </si>
  <si>
    <t>AF354SA</t>
  </si>
  <si>
    <t>TOYOTA COROLLA CROSS 2.0 XLI CVT L/24</t>
  </si>
  <si>
    <t>AG618YN</t>
  </si>
  <si>
    <t>FORD FOCUS L/16 2.0 5 P TITANIUM</t>
  </si>
  <si>
    <t>AD421QT</t>
  </si>
  <si>
    <t>PEUGEOT 308 2.0 FELINE</t>
  </si>
  <si>
    <t>LKM921</t>
  </si>
  <si>
    <t>AG312SA</t>
  </si>
  <si>
    <t>FORD ECO SPORT 1.6 XLS L/07 | PASAR LUEGO DE 9:45 POR FAVOR</t>
  </si>
  <si>
    <t>AD045TT</t>
  </si>
  <si>
    <t>CHEVROLET ONIX 1.4 LTZ AUT</t>
  </si>
  <si>
    <t>PQM509</t>
  </si>
  <si>
    <t>AD099NK</t>
  </si>
  <si>
    <t>VOLKSWAGEN SURAN 1.6 HIGHLINE L/15</t>
  </si>
  <si>
    <t>PEI218</t>
  </si>
  <si>
    <t>PEUGEOT 2008 1.6 FELINE</t>
  </si>
  <si>
    <t>AD451JL</t>
  </si>
  <si>
    <t>FIAT SIENA 1.4 EL (Esperando alta taller)</t>
  </si>
  <si>
    <t>AB497CF</t>
  </si>
  <si>
    <t>VOLKSWAGEN GOL 1.6 3 P TREND L/13 HIGHLINE</t>
  </si>
  <si>
    <t>NYR577</t>
  </si>
  <si>
    <t>PHG630</t>
  </si>
  <si>
    <t>VOLKSWAGEN UP! 5 PTAS HIGH (cargado, esperando alta para avanzar)</t>
  </si>
  <si>
    <t>AB792WK</t>
  </si>
  <si>
    <t>VOLKSWAGEN SAVEIRO 1.6 L/17 SAFETY</t>
  </si>
  <si>
    <t>AC541ZW</t>
  </si>
  <si>
    <t>VOLKSWAGEN AMAROK 30TD 4X4 DC AT 258HP COMFOR</t>
  </si>
  <si>
    <t>AF947PB</t>
  </si>
  <si>
    <t>AB628KP</t>
  </si>
  <si>
    <t>AA714YP</t>
  </si>
  <si>
    <t>RENAULT SANDERO II 1.6 16V LIFE L/23</t>
  </si>
  <si>
    <t>AG412YA</t>
  </si>
  <si>
    <t>TOYOTA HILUX L/23 2.8 DC 4X4 TDI SRX AT6</t>
  </si>
  <si>
    <t>AH162IM</t>
  </si>
  <si>
    <t>AF941ZJ</t>
  </si>
  <si>
    <t>AG778HX</t>
  </si>
  <si>
    <t>POS049</t>
  </si>
  <si>
    <t>FIAT CRONOS 1.3 DRIVE GSE PACK CONECTI. L/21 (Cargado, esperando alta taller)</t>
  </si>
  <si>
    <t>AE959SM</t>
  </si>
  <si>
    <t>CHEVROLET AGILE 1.4 LS</t>
  </si>
  <si>
    <t>ITU728</t>
  </si>
  <si>
    <t>AF180WZ</t>
  </si>
  <si>
    <t>AF896PK</t>
  </si>
  <si>
    <t>AA577NP</t>
  </si>
  <si>
    <t>TOYOTA HILUX SW4 TDI SRX AUT L/16</t>
  </si>
  <si>
    <t>AB190YJ</t>
  </si>
  <si>
    <t>MCR899</t>
  </si>
  <si>
    <t xml:space="preserve"> CITROEN BERLINGO FURGON 1.6 HDI FULL </t>
  </si>
  <si>
    <t>JCM271</t>
  </si>
  <si>
    <t>RENAULT FLUENCE 2.0 LUXE L/15 PACK CUERO</t>
  </si>
  <si>
    <t>AC095VA</t>
  </si>
  <si>
    <t>CITROEN C 3 1.2 PURETECH FEEL DESIGN</t>
  </si>
  <si>
    <t>RENAULT SANDERO STEPWAY PH2 1.6 INTENS L19</t>
  </si>
  <si>
    <t>AF665ER</t>
  </si>
  <si>
    <t>CHEVROLET CRUZE 1.4 5 PTAS RS AT</t>
  </si>
  <si>
    <t>AF323XE</t>
  </si>
  <si>
    <t>FIAT CRONOS 1.3 PRECISION CVT L/22</t>
  </si>
  <si>
    <t>AH069JQ</t>
  </si>
  <si>
    <t xml:space="preserve">RENAULT CLIO 2 F2 1.2 3 P. PACK PLUS </t>
  </si>
  <si>
    <t>JTQ134</t>
  </si>
  <si>
    <t>AG853EG</t>
  </si>
  <si>
    <t>RENAULT SANDERO 1.6 16V PRIVILEGE</t>
  </si>
  <si>
    <t>NWY781</t>
  </si>
  <si>
    <t>AH049NI</t>
  </si>
  <si>
    <t>AD569RZ</t>
  </si>
  <si>
    <t>CHRYSLER JEEP RENEGADE 1.8 4X2 SPORT PLUS</t>
  </si>
  <si>
    <t>AC207TH</t>
  </si>
  <si>
    <t>CITROEN BASALT 1.6 VTI FEEL</t>
  </si>
  <si>
    <t>AH261VZ</t>
  </si>
  <si>
    <t>VOLKSWAGEN FOX 1.6 5 P. CONNECT L/18</t>
  </si>
  <si>
    <t>AD882MR</t>
  </si>
  <si>
    <t>TOYOTA COROLLA 1.8 XRS L/12 (Cargado, esperando alta taller)</t>
  </si>
  <si>
    <t>FIAT TORO 1.8MPI FREEDOM 4X2 AT L/19 (esperando confirmacion de la lona)</t>
  </si>
  <si>
    <t>AE062ZQ</t>
  </si>
  <si>
    <t>CITROEN C 3 1.4 HDI EXCLUSIVE (este dijo lucas que lo esta resolviendo con alfre)</t>
  </si>
  <si>
    <t>FNL955</t>
  </si>
  <si>
    <t>NISSAN MARCH 1.6 ACTIVE PURE DRIVE</t>
  </si>
  <si>
    <t>AA456EO</t>
  </si>
  <si>
    <t xml:space="preserve"> FIAT TORO 1.8MPI FREEDOM 4X2 AT L/19 </t>
  </si>
  <si>
    <t>AE611FN</t>
  </si>
  <si>
    <t>RENAULT LOGAN II 1.6 16V INTENS L/19</t>
  </si>
  <si>
    <t>AF689VP</t>
  </si>
  <si>
    <t>AB005EP</t>
  </si>
  <si>
    <t>OVV142</t>
  </si>
  <si>
    <t>CHEVROLET SPIN 1.8 LTZ 7 AS ACTIV AUT L/19</t>
  </si>
  <si>
    <t>AD638OZ</t>
  </si>
  <si>
    <t>AC373ND</t>
  </si>
  <si>
    <t>AD054RC</t>
  </si>
  <si>
    <t>FIAT SIENA 1.4 ATTRACTIVE ACTIVE</t>
  </si>
  <si>
    <t>KUX211</t>
  </si>
  <si>
    <t xml:space="preserve">CHEVROLET TRACKER 1.8 4X2 LTZ </t>
  </si>
  <si>
    <t>PJP288</t>
  </si>
  <si>
    <t>VOLKSWAGEN AMAROK 20TD 4X2 DC TREN 140HP L17</t>
  </si>
  <si>
    <t>AG204OB</t>
  </si>
  <si>
    <t>AF458XX</t>
  </si>
  <si>
    <t>CITROEN C 4 CACTUS 1.6 VTI FEEL</t>
  </si>
  <si>
    <t>AE649CR</t>
  </si>
  <si>
    <t>AC386NS</t>
  </si>
  <si>
    <t>CITROEN C 3 1.6 VTI FEEL PACK DESIGN AUT</t>
  </si>
  <si>
    <t>AG352ZN</t>
  </si>
  <si>
    <t>AD583XP</t>
  </si>
  <si>
    <t>CITROEN BERLINGO FURGON 1.6 HDI BUSINESS MIXTO</t>
  </si>
  <si>
    <t>AD705WF</t>
  </si>
  <si>
    <t>RENAULT DUSTER 1.6 4X2 ZEN L/21</t>
  </si>
  <si>
    <t>AF128DQ</t>
  </si>
  <si>
    <t>TOYOTA ETIOS 1.5 5 PTAS PLATINUM 4AT</t>
  </si>
  <si>
    <t>AB101OH</t>
  </si>
  <si>
    <t>NXH369</t>
  </si>
  <si>
    <t>AH015FP</t>
  </si>
  <si>
    <t>CHERY QQ 1.1 LIGHT</t>
  </si>
  <si>
    <t>JLP013</t>
  </si>
  <si>
    <t>20/5/2025</t>
  </si>
  <si>
    <t>TOYOTA COROLLA 1.8 SE-G L/11</t>
  </si>
  <si>
    <t>MBW058</t>
  </si>
  <si>
    <t>VOLKSWAGEN GOLF VII 1.4 TSI VARIANT HIGHL DSG</t>
  </si>
  <si>
    <t>AC256QW</t>
  </si>
  <si>
    <t>AC604ND</t>
  </si>
  <si>
    <t>FORD RANGER 3.2 TDI DC 4X4 L/19 LTD AT</t>
  </si>
  <si>
    <t>AD840NR</t>
  </si>
  <si>
    <t>CITROEN C 3 1.6 VTI FIRST EDITION AUT L/22</t>
  </si>
  <si>
    <t>AG530IH</t>
  </si>
  <si>
    <t>RENAULT CAPTUR 2.0 ZEN</t>
  </si>
  <si>
    <t>AD471JW</t>
  </si>
  <si>
    <t>FORD KA 1.5 FREESTYLE SEL L/18</t>
  </si>
  <si>
    <t>AE597SZ</t>
  </si>
  <si>
    <t>HYUNDAI CRETA 1.5 SAFETY</t>
  </si>
  <si>
    <t>AG911WU</t>
  </si>
  <si>
    <t>AG489JF</t>
  </si>
  <si>
    <t>AF225CX</t>
  </si>
  <si>
    <t>OTL899</t>
  </si>
  <si>
    <t>cmattioli@sancorseguros.com</t>
  </si>
  <si>
    <t>JLY219</t>
  </si>
  <si>
    <t>CHRYSLER JEEP COMPASS 1.3T 270 LIMITED PLUS</t>
  </si>
  <si>
    <t>AG968GC</t>
  </si>
  <si>
    <t>RENAULT KANGOO 2 1.6 EX. 2 PLC GRAN. CON. L/14</t>
  </si>
  <si>
    <t>PAE782</t>
  </si>
  <si>
    <t>FORD RANGER 2.0 TDI DC 4X4 L/23 XL 6MT</t>
  </si>
  <si>
    <t>AG825NV</t>
  </si>
  <si>
    <t>TOYOTA YARIS 1.5 4 PTAS XLS PACK CVT</t>
  </si>
  <si>
    <t>AE196DY</t>
  </si>
  <si>
    <t>VOLKSWAGEN VENTO 2.0 T SPORTLINE DSG L/11</t>
  </si>
  <si>
    <t>NOY801</t>
  </si>
  <si>
    <t>FORD ECO SPORT 1.6 SE L/13 (Esperando datos para dar de alta)</t>
  </si>
  <si>
    <t>AA590EF</t>
  </si>
  <si>
    <t>CHEVROLET SONIC 1.6 5 PTAS LTZ L/15</t>
  </si>
  <si>
    <t>AA451UF</t>
  </si>
  <si>
    <t>NISSAN MARCH 1.6 SENSE PURE DRIVE</t>
  </si>
  <si>
    <t>AD464XP</t>
  </si>
  <si>
    <t>AB130EN</t>
  </si>
  <si>
    <t>VOLKSWAGEN VENTO 2.0 T GLI DSG L/23</t>
  </si>
  <si>
    <t>AG193OH</t>
  </si>
  <si>
    <t>FIAT DUCATO 2.3 TD MAXICARGO L4H2 TA</t>
  </si>
  <si>
    <t>AE738KH</t>
  </si>
  <si>
    <t>VOLKSWAGEN AMAROK 30TD 4X4 DC AT 258HP HIGHLI (ausente)</t>
  </si>
  <si>
    <t>AF577JR</t>
  </si>
  <si>
    <t>TOYOTA HIACE 2.8 FURGON L1H1 L/23</t>
  </si>
  <si>
    <t>AG750ST</t>
  </si>
  <si>
    <t xml:space="preserve">PEUGEOT 208 L/23 1.6 ACTIVE PACK </t>
  </si>
  <si>
    <t>AG467ZC</t>
  </si>
  <si>
    <t xml:space="preserve">TOYOTA COROLLA 1.8 XEI L/20 CVT HYBRID </t>
  </si>
  <si>
    <t>AF521JQ</t>
  </si>
  <si>
    <t>TOYOTA ETIOS 1.5 5 PTAS PLATINUM 4AT (cargado, esperando alta taller)</t>
  </si>
  <si>
    <t>TOYOTA COROLLA CROSS 1.8 XEI HV E-CVT</t>
  </si>
  <si>
    <t>AG498QE</t>
  </si>
  <si>
    <t>CHEVROLET PRISMA 1.4 LTZ AUT L/13</t>
  </si>
  <si>
    <t>OQO087</t>
  </si>
  <si>
    <t>PEUGEOT 208 L/20 1.6 FELINE TIPTRONIC (cargado, esperando confirmacion taller)</t>
  </si>
  <si>
    <t>CHEVROLET ONIX 1.4 LTZ</t>
  </si>
  <si>
    <t>AA316AN</t>
  </si>
  <si>
    <t>VOLKSWAGEN GOL 1.6 5 P TREND</t>
  </si>
  <si>
    <t>LCJ569</t>
  </si>
  <si>
    <t>AG405WP</t>
  </si>
  <si>
    <t>NISSAN TIIDA 1.8 5 PTAS TEKNA</t>
  </si>
  <si>
    <t>KSL654</t>
  </si>
  <si>
    <t>AG077FN</t>
  </si>
  <si>
    <t>KLN920</t>
  </si>
  <si>
    <t>AG912GH</t>
  </si>
  <si>
    <t>FIAT CRONOS 1.3 DRIVE GSE</t>
  </si>
  <si>
    <t>AD757VM</t>
  </si>
  <si>
    <t>CHEVROLET ONIX 1.4 LS JOY + L/17</t>
  </si>
  <si>
    <t>AB9591H</t>
  </si>
  <si>
    <t>AE488RU</t>
  </si>
  <si>
    <t>CITROEN C 3 1.5I ORIGINE PACK ZENITH</t>
  </si>
  <si>
    <t>OVD088</t>
  </si>
  <si>
    <t>AF635YI</t>
  </si>
  <si>
    <t>AA141RX</t>
  </si>
  <si>
    <t>AA437LE</t>
  </si>
  <si>
    <t>HONDA HR-V 1.8 EX CVT L/19</t>
  </si>
  <si>
    <t>AD778OF</t>
  </si>
  <si>
    <t>TOYOTA HILUX L/21 2.4 DC 4X2 TDI SR AT6</t>
  </si>
  <si>
    <t>AF859BW</t>
  </si>
  <si>
    <t>RENAULT DUSTER 2.0 4X4 LUXE NAV</t>
  </si>
  <si>
    <t>MPX678</t>
  </si>
  <si>
    <t>VOLKSWAGEN TAOS 1.4 250 TSI COMFORTLINE AT L/24</t>
  </si>
  <si>
    <t>AG815SC</t>
  </si>
  <si>
    <t>VOLKSWAGEN THE BEETLE 2.0 TSI SPORT DSG (ya le hable)</t>
  </si>
  <si>
    <t>AD923YH</t>
  </si>
  <si>
    <t xml:space="preserve">FIAT SIENA 1.4 ATTRACTIVE ACTIVE | NUEVA DIRECCION, IR DE NUEVO </t>
  </si>
  <si>
    <t>VOLKSWAGEN AMAROK 30TD 4X4 DC AT 258HP HIGHLI (ya le hable)</t>
  </si>
  <si>
    <t>PEUGEOT 308 1.6 THP GTI S FRANCHE</t>
  </si>
  <si>
    <t>AB402UI</t>
  </si>
  <si>
    <t>VOLKSWAGEN T-CROSS 1.0 170 TSI L/24</t>
  </si>
  <si>
    <t>AG973MU</t>
  </si>
  <si>
    <t>FIAT PALIO 1.6 5 P SPORTING L/12</t>
  </si>
  <si>
    <t>NUZ737</t>
  </si>
  <si>
    <t>FIAT 500 1.4 LOUNGE AUT</t>
  </si>
  <si>
    <t>AD015NZ</t>
  </si>
  <si>
    <t>AH346BU</t>
  </si>
  <si>
    <t>AG199KM</t>
  </si>
  <si>
    <t>CITROEN C 3 PICASSO 1.6I EXCLUSIVE MY WAY</t>
  </si>
  <si>
    <t>MAR670</t>
  </si>
  <si>
    <t>CHEVROLET ONIX 1.4 JOY PLUS BLACK L/19  (ya le hable)</t>
  </si>
  <si>
    <t>AE185HH</t>
  </si>
  <si>
    <t>PEUGEOT 2008 1.6 FELINE TIPTRONIC L/22</t>
  </si>
  <si>
    <t>AG023PM</t>
  </si>
  <si>
    <t>AD238WH</t>
  </si>
  <si>
    <t>AG159TJ</t>
  </si>
  <si>
    <t>NISSAN KICKS 1.6 ADVANCE CVT L/21</t>
  </si>
  <si>
    <t>AF279BV</t>
  </si>
  <si>
    <t>AB623DI</t>
  </si>
  <si>
    <t>AE834EW</t>
  </si>
  <si>
    <t>RENAULT DUSTER OROCH 2.0 OUTSIDER PLUS</t>
  </si>
  <si>
    <t>AE273OZ</t>
  </si>
  <si>
    <t>AE128BU</t>
  </si>
  <si>
    <t>CHEVROLET ONIX 1.2 PLUS LT TECH ONSTAR L/19</t>
  </si>
  <si>
    <t>AE207FV</t>
  </si>
  <si>
    <t>AE918NM</t>
  </si>
  <si>
    <t>AG620OU</t>
  </si>
  <si>
    <t>CHERY QQ 1.1 CONFORT</t>
  </si>
  <si>
    <t>NSD357</t>
  </si>
  <si>
    <t>CITROEN C 4 CACTUS 1.6 THP SHINE AT L/23 (Cargado, esperando alta taller)</t>
  </si>
  <si>
    <t>AG897HP</t>
  </si>
  <si>
    <t>POLO  |(esperando datos para cargarla)</t>
  </si>
  <si>
    <t>JVZ935</t>
  </si>
  <si>
    <t>NYX917</t>
  </si>
  <si>
    <t>VEHÍCULO IGNORADO AUTOMÓVIL (consultando con gestora )</t>
  </si>
  <si>
    <t xml:space="preserve">TOYOTA YARIS 1.5 4 PTAS XLS PACK CVT L/20 </t>
  </si>
  <si>
    <t>AE468DM</t>
  </si>
  <si>
    <t>VOLKSWAGEN T-CROSS 1.0 200 TSI TRENDLINE AT L/24</t>
  </si>
  <si>
    <t>AH069LZ</t>
  </si>
  <si>
    <t>TOYOTA HILUX L/23 2.8 DC 4X4 TDI SRX AT6 (esperando confirmacion d mano de obra)</t>
  </si>
  <si>
    <t>AG506JA</t>
  </si>
  <si>
    <t xml:space="preserve">PEUGEOT 208 L/20 1.6 ACTIVE TIPTRONIC </t>
  </si>
  <si>
    <t>AE963IP</t>
  </si>
  <si>
    <t>LVH583</t>
  </si>
  <si>
    <t>VOLKSWAGEN SAVEIRO 1.6 L/15 C/DOBLE POWER</t>
  </si>
  <si>
    <t>OPK490</t>
  </si>
  <si>
    <t>GEELY EMGRAND X7 SPORT 2.4 GT EXECUT. AT</t>
  </si>
  <si>
    <t>FORD RANGER 3.2 TDI DC 4X4 L/12 XLT LIM.AT</t>
  </si>
  <si>
    <t>OZB063</t>
  </si>
  <si>
    <t>PEUGEOT 208 L/20 1.6 STYLE</t>
  </si>
  <si>
    <t>AG100XF</t>
  </si>
  <si>
    <t>AE519XD</t>
  </si>
  <si>
    <t>AD495GH</t>
  </si>
  <si>
    <t>GUB983</t>
  </si>
  <si>
    <t>VOLKSWAGEN NIVUS 170 TSI MT</t>
  </si>
  <si>
    <t>AG693KB</t>
  </si>
  <si>
    <t>AA481XQ</t>
  </si>
  <si>
    <t>FIAT TORO 2.0TDI FREEDOM 4X4 AT  (duplicado)))</t>
  </si>
  <si>
    <t>AC441CX</t>
  </si>
  <si>
    <t xml:space="preserve">RENAULT SANDERO 1.6 8V AUTHENTIQUE PACK </t>
  </si>
  <si>
    <t>NLX538</t>
  </si>
  <si>
    <t>CHEVROLET PRISMA 1.4 LTZ L/13 (cargado, esperando alta taller)</t>
  </si>
  <si>
    <t>AA839FE</t>
  </si>
  <si>
    <t>VOLKSWAGEN TIGUAN ALLSPACE 1.4T 250 AUT</t>
  </si>
  <si>
    <t>AE337OO</t>
  </si>
  <si>
    <t>PEUGEOT 208 1.5 5P ACTIVE (Cargado, esperando alta de taller)</t>
  </si>
  <si>
    <t>NQY003</t>
  </si>
  <si>
    <t xml:space="preserve">CITROEN C 3 1.6 VTI FEEL PACK AUT L/22 </t>
  </si>
  <si>
    <t>AG979JR</t>
  </si>
  <si>
    <t xml:space="preserve">DS AUTOMOBILES DS3 1.6 THP SPORT CHIC </t>
  </si>
  <si>
    <t>AB084OD</t>
  </si>
  <si>
    <t xml:space="preserve"> FIAT TORO 2.0TDI RANCH 4X4 AT L/22 </t>
  </si>
  <si>
    <t>AG002AJ</t>
  </si>
  <si>
    <t>AD138BR</t>
  </si>
  <si>
    <t xml:space="preserve">FORD BRONCO 2.0T SPORT WILDTRAK </t>
  </si>
  <si>
    <t>AF481EJ</t>
  </si>
  <si>
    <t>FORD KA 1.5 SE AUT L/18 (Cargado, esperando alta de taller)</t>
  </si>
  <si>
    <t>AD659TB</t>
  </si>
  <si>
    <t>VOLKSWAGEN GOL TREND 1.6 5 P L/17 COMFORT</t>
  </si>
  <si>
    <t>AB312II</t>
  </si>
  <si>
    <t xml:space="preserve">FIAT TORO 1.8MPI FREEDOM 4X2 AT L/19 </t>
  </si>
  <si>
    <t>AE872DR</t>
  </si>
  <si>
    <t xml:space="preserve">RENAULT DUSTER 1.6 4X2 CONFORT PLUS </t>
  </si>
  <si>
    <t>NDR367</t>
  </si>
  <si>
    <t>NQW953</t>
  </si>
  <si>
    <t>AA769QK</t>
  </si>
  <si>
    <t>AE879BG</t>
  </si>
  <si>
    <t xml:space="preserve"> RENAULT LOGAN II 1.6 16V LIFE L/19 </t>
  </si>
  <si>
    <t>AH183WP</t>
  </si>
  <si>
    <t>VOLKSWAGEN SAVEIRO 1.6 L/13 C/EXT SAFETY</t>
  </si>
  <si>
    <t>PDM648</t>
  </si>
  <si>
    <t>AA481PE</t>
  </si>
  <si>
    <t xml:space="preserve"> TOYOTA HILUX L/16 2.4 DC 4X2 TDI DX (Cargado, esperando alta de taller)</t>
  </si>
  <si>
    <t>AC253HM</t>
  </si>
  <si>
    <t>AG405XZ</t>
  </si>
  <si>
    <t>HONDA PCX 150 (cargado, esperando info auto para cerrar)</t>
  </si>
  <si>
    <t>A061OKL</t>
  </si>
  <si>
    <t>CITROEN C 3 1.5I TENDANCE</t>
  </si>
  <si>
    <t>MIF345</t>
  </si>
  <si>
    <t>FORD ECO SPORT 2.0 TITANIUM AUT L/18 (No tengo nada)</t>
  </si>
  <si>
    <t>AE099ND</t>
  </si>
  <si>
    <t xml:space="preserve"> RENAULT SANDERO 1.6 16V GT LINE   (Lucas no llego a hacerla)</t>
  </si>
  <si>
    <t>NSJ500</t>
  </si>
  <si>
    <t xml:space="preserve"> CHEVROLET PRISMA 1.4 LTZ L/17  (Cargado, esperando alta taller)</t>
  </si>
  <si>
    <t>AD003PD</t>
  </si>
  <si>
    <t xml:space="preserve">CITROEN C4 2.0 HDI EXCLUSIVE 5 PTAS </t>
  </si>
  <si>
    <t>JYA830</t>
  </si>
  <si>
    <t>VOLKSWAGEN FOX 1.6 5 P. COMFORTLINE L/10 (Cargado, esperando alta taller)</t>
  </si>
  <si>
    <t>JRF502</t>
  </si>
  <si>
    <t xml:space="preserve">TOYOTA ETIOS 1.5 5 PTAS XLS PACK 4AT </t>
  </si>
  <si>
    <t>AF646SY</t>
  </si>
  <si>
    <t xml:space="preserve">RENAULT KANGOO 1.6 SCE STEPWAY L/18 </t>
  </si>
  <si>
    <t>AE914EU</t>
  </si>
  <si>
    <t>RENAULT SANDERO II 1.6 16V LIFE L/19 (dijo emi que la cargaba alfre)</t>
  </si>
  <si>
    <t>AF671OS</t>
  </si>
  <si>
    <t xml:space="preserve">VOLKSWAGEN AMAROK 20TD 4X2 DC COMFORT. 180HP A L/17 </t>
  </si>
  <si>
    <t>VOLKSWAGEN UP! 5 PTAS CROSS</t>
  </si>
  <si>
    <t>AD709AQ</t>
  </si>
  <si>
    <t>CITROEN C 4 LOUNGE 1.6 THP TENDANCE AT</t>
  </si>
  <si>
    <t>NRQ990</t>
  </si>
  <si>
    <t>AC800ET</t>
  </si>
  <si>
    <t>FIAT CRONOS 1.3 GSE STILE L/23 (Lucas no llego a hacerla)</t>
  </si>
  <si>
    <t>AG148YR</t>
  </si>
  <si>
    <t xml:space="preserve">PEUGEOT 206 1.9 5 PTAS D X-LINE </t>
  </si>
  <si>
    <t>GCQ837</t>
  </si>
  <si>
    <t>AA176KM</t>
  </si>
  <si>
    <t>TOYOTA COROLLA 1.8 XEI L/14 (a la espera de la carta de hallazgo)</t>
  </si>
  <si>
    <t xml:space="preserve">TOYOTA YARIS 1.5 5 PTAS XLS L/22 </t>
  </si>
  <si>
    <t>AG263YO</t>
  </si>
  <si>
    <t>VOLKSWAGEN AMAROK 20TD 4X2 DC HIGHLINE 180HP</t>
  </si>
  <si>
    <t>OIT996</t>
  </si>
  <si>
    <t>AC567IK</t>
  </si>
  <si>
    <t>AF224XZ</t>
  </si>
  <si>
    <t>AA237UN</t>
  </si>
  <si>
    <t xml:space="preserve">RENAULT KANGOO EXPRESS 1.6 SCE L/24 (cargado, esperando alta taller) </t>
  </si>
  <si>
    <t>AG880AN</t>
  </si>
  <si>
    <t>OBK910</t>
  </si>
  <si>
    <t xml:space="preserve">FORD FIESTA 1.6 5 PTAS AMBIEN. </t>
  </si>
  <si>
    <t>FMR438</t>
  </si>
  <si>
    <t>AG199GG</t>
  </si>
  <si>
    <t>AD632JC</t>
  </si>
  <si>
    <t xml:space="preserve"> CHRYSLER JEEP RENEGADE 1.8 4X2 SPORT </t>
  </si>
  <si>
    <t>AD634YA</t>
  </si>
  <si>
    <t xml:space="preserve"> TOYOTA ETIOS 1.5 5 PTAS XLS PACK 4AT </t>
  </si>
  <si>
    <t>AG533PH</t>
  </si>
  <si>
    <t>AF128DT</t>
  </si>
  <si>
    <t xml:space="preserve">NISSAN VERSA 1.6 EXCLUSIVE PURE DRIVE AUT </t>
  </si>
  <si>
    <t>AB972PX</t>
  </si>
  <si>
    <t xml:space="preserve"> FIAT PALIO WE ADVENTURE 1.6 LOCKER  (no tengo nada)</t>
  </si>
  <si>
    <t>AA594SC</t>
  </si>
  <si>
    <t xml:space="preserve">CHRYSLER JEEP RENEGADE 1.8 4X2 SPORT </t>
  </si>
  <si>
    <t>AB073OU</t>
  </si>
  <si>
    <t>VOLKSWAGEN POLO 1.6 L/18 TRENDLINE 5 P</t>
  </si>
  <si>
    <t>AD296OH</t>
  </si>
  <si>
    <t xml:space="preserve">TOYOTA COROLLA 1.8 SE-G L/17 CVT </t>
  </si>
  <si>
    <t>AC924YL</t>
  </si>
  <si>
    <t>FORD FOCUS L/16 2.0 5 P SE PLUS POWER   (no me paso nada)</t>
  </si>
  <si>
    <t>AA841PY</t>
  </si>
  <si>
    <t>AF249FG</t>
  </si>
  <si>
    <t xml:space="preserve">CHEVROLET CLASSIC 1.4 4 PTAS LS AA </t>
  </si>
  <si>
    <t>NCV121</t>
  </si>
  <si>
    <t>TOYOTA COROLLA 1.8 XEI L/11</t>
  </si>
  <si>
    <t>MLH316</t>
  </si>
  <si>
    <t>VOLKSWAGEN FOX 1.6 5 P. TRENDLINE L/15  |hipólito Yrigoyen 339 OJO DIRECCION</t>
  </si>
  <si>
    <t>OVA694</t>
  </si>
  <si>
    <t>PMS814</t>
  </si>
  <si>
    <t xml:space="preserve"> FORD RANGER 2.2 TDI DC 4X2 L/19 XL </t>
  </si>
  <si>
    <t>AF643EB</t>
  </si>
  <si>
    <t>FIAT ARGO 1.8 PRECISION AT</t>
  </si>
  <si>
    <t>AD492GA</t>
  </si>
  <si>
    <t xml:space="preserve">FORD FOCUS L/08 1.8 5 P GHIA TD </t>
  </si>
  <si>
    <t>MTT796</t>
  </si>
  <si>
    <t>AF812YY</t>
  </si>
  <si>
    <t>AF218OG</t>
  </si>
  <si>
    <t>TOYOTA ETIOS 1.5 5 PTAS CROSS 6MT | NO EMITIR ORDEN HASTA QUE AVISEN</t>
  </si>
  <si>
    <t>AA602CC</t>
  </si>
  <si>
    <t>AG419WR</t>
  </si>
  <si>
    <t>VOLKSWAGEN TAOS 1.4 250 TSI HIGHLINE AT L/24 ( a la espera de la carta de hallazgo)</t>
  </si>
  <si>
    <t>AG502GN</t>
  </si>
  <si>
    <t>PEUGEOT 208 1.6 5P ACTIVE | RECOORDINADA x 2</t>
  </si>
  <si>
    <t>AC134EU</t>
  </si>
  <si>
    <t>VOLKSWAGEN T-CROSS 1.0 200 TSI HIGHLINE TIP</t>
  </si>
  <si>
    <t xml:space="preserve">CHEVROLET MERIVA 1.8 GL PLUS AB </t>
  </si>
  <si>
    <t>HLM266</t>
  </si>
  <si>
    <t>AC816GS</t>
  </si>
  <si>
    <t>FORD FIESTA 1.6 5P S (KD) (Cargado, esperando alta taller)</t>
  </si>
  <si>
    <t>OTP128</t>
  </si>
  <si>
    <t xml:space="preserve">RENAULT LOGAN II 1.6 16V PRIVILEGE </t>
  </si>
  <si>
    <t>AD037TX</t>
  </si>
  <si>
    <t>AD037TV</t>
  </si>
  <si>
    <t>AA260GX</t>
  </si>
  <si>
    <t xml:space="preserve">CHEVROLET CRUZE 1.4 5 PTAS LTZ AT </t>
  </si>
  <si>
    <t>AF140EP</t>
  </si>
  <si>
    <t xml:space="preserve">CHEVROLET CORSA 1.4 4 P GLS L/09 </t>
  </si>
  <si>
    <t>ICK983</t>
  </si>
  <si>
    <t xml:space="preserve">TOYOTA COROLLA CROSS 2.0 SEG CVT L/25 </t>
  </si>
  <si>
    <t>AH228OB</t>
  </si>
  <si>
    <t>AC479DQ</t>
  </si>
  <si>
    <t>AF065VK</t>
  </si>
  <si>
    <t xml:space="preserve">CITROEN C 4 LOUNGE 1.6 THP FEEL PACK </t>
  </si>
  <si>
    <t>AC104KV</t>
  </si>
  <si>
    <t xml:space="preserve">CITROEN C 3 1.6I EXCLUSIVE L/08 </t>
  </si>
  <si>
    <t>LJV926</t>
  </si>
  <si>
    <t xml:space="preserve">FORD ECO SPORT 1.6 FREESTYLE L/13 </t>
  </si>
  <si>
    <t>PBR060</t>
  </si>
  <si>
    <t>AA923GP</t>
  </si>
  <si>
    <t>VOLKSWAGEN TAOS 1.4 250 TSI HERO BI TONO</t>
  </si>
  <si>
    <t>AF693FT</t>
  </si>
  <si>
    <t>AF820GM</t>
  </si>
  <si>
    <t>AA993JW</t>
  </si>
  <si>
    <t xml:space="preserve"> FIAT CRONOS 1.3 DRIVE GSE S-DESIGN </t>
  </si>
  <si>
    <t>AF576EA</t>
  </si>
  <si>
    <t>RENAULT LOGAN II 1.6 16V LIFE L/19   (Cargado, esperando alta taller)</t>
  </si>
  <si>
    <t>AF152TY</t>
  </si>
  <si>
    <t>CITROEN JUMPER 2.3 HDI FURGON M</t>
  </si>
  <si>
    <t>PKB353</t>
  </si>
  <si>
    <t xml:space="preserve">FIAT TORO 2.0TDI FREEDOM 4X4 AT </t>
  </si>
  <si>
    <t>CHEVROLET ONIX 1.4 LT (Cargado, esperando alta taller)</t>
  </si>
  <si>
    <t>MYX661</t>
  </si>
  <si>
    <t>POI559</t>
  </si>
  <si>
    <t>AA582LG</t>
  </si>
  <si>
    <t xml:space="preserve">VOLKSWAGEN FOX CROSSFOX 1.6 HIGHLINE L/10 </t>
  </si>
  <si>
    <t>OKH523</t>
  </si>
  <si>
    <t xml:space="preserve">CHEVROLET CLASSIC 1.4 4 PTAS LT </t>
  </si>
  <si>
    <t>KME661</t>
  </si>
  <si>
    <t>TOYOTA YARIS 1.5 4 PTAS XLS CVT L/20  (Esperando que lo migren</t>
  </si>
  <si>
    <t>AE619FC</t>
  </si>
  <si>
    <t>PEUGEOT 208 L/23 1.6 ROADTRIP</t>
  </si>
  <si>
    <t>AG226YS</t>
  </si>
  <si>
    <t xml:space="preserve">TOYOTA HILUX L/21 2.4 DC 4X4 TDI DX </t>
  </si>
  <si>
    <t>AF801YL</t>
  </si>
  <si>
    <t>AD491CK</t>
  </si>
  <si>
    <t>CITROEN C 3 1.4I SX L/08</t>
  </si>
  <si>
    <t>IFL792</t>
  </si>
  <si>
    <t xml:space="preserve"> CHEVROLET AGILE 1.4 LTZ SPIRIT </t>
  </si>
  <si>
    <t>MBE344</t>
  </si>
  <si>
    <t>VOLKSWAGEN FOX 1.6 3 P. COMFORTLINE L/10</t>
  </si>
  <si>
    <t>MKO877</t>
  </si>
  <si>
    <t>RENAULT SANDERO STEPWAY II 1.6 RIP CURL | Dijo Alfred que te paso las cosas</t>
  </si>
  <si>
    <t>AA212PF</t>
  </si>
  <si>
    <t>MERCEDES BENZ S 600</t>
  </si>
  <si>
    <t>SEW975</t>
  </si>
  <si>
    <t>CHRYSLER JEEP COMPASS 2.0TD LIMITED PLUS AT9</t>
  </si>
  <si>
    <t>AE419IL</t>
  </si>
  <si>
    <t xml:space="preserve">PEUGEOT 208 L/23 1.6 ALLURE PACK </t>
  </si>
  <si>
    <t>AF839HU</t>
  </si>
  <si>
    <t xml:space="preserve">PEUGEOT PARTNER PATA. 1.6 VTC PLUS L10/17 </t>
  </si>
  <si>
    <t>LVR333</t>
  </si>
  <si>
    <t xml:space="preserve">VOLKSWAGEN VOYAGE 1.6 COMFORTLINE </t>
  </si>
  <si>
    <t>LPG098</t>
  </si>
  <si>
    <t>AH256ZD</t>
  </si>
  <si>
    <t>OWO101</t>
  </si>
  <si>
    <t>FIAT MOBI EASY PACK TOP</t>
  </si>
  <si>
    <t>AC742ZS</t>
  </si>
  <si>
    <t xml:space="preserve"> CHEVROLET ONIX 1.4 LS JOY + L/17 </t>
  </si>
  <si>
    <t>AD638IH</t>
  </si>
  <si>
    <t xml:space="preserve">FORD FIESTA 1.6 4 PTAS MAX AMB AUT </t>
  </si>
  <si>
    <t>HYY835</t>
  </si>
  <si>
    <t>AE281TZ</t>
  </si>
  <si>
    <t>AA207CI</t>
  </si>
  <si>
    <t xml:space="preserve">PEUGEOT 207 COMPACT 1.6 3 P XT//FELINE </t>
  </si>
  <si>
    <t>LPO205</t>
  </si>
  <si>
    <t xml:space="preserve">VOLKSWAGEN UP! 5 PTAS HIGH I-MOTION </t>
  </si>
  <si>
    <t>PNP897</t>
  </si>
  <si>
    <t>AA984MT</t>
  </si>
  <si>
    <t xml:space="preserve">FIAT CRONOS 1.3 DRIVE L/22 CVT </t>
  </si>
  <si>
    <t>AF615QP</t>
  </si>
  <si>
    <t>AG592AZ</t>
  </si>
  <si>
    <t>POW293</t>
  </si>
  <si>
    <t>AD298WO</t>
  </si>
  <si>
    <t xml:space="preserve">HONDA FIT 1.4 LX 5 PTAS AUT L/09 </t>
  </si>
  <si>
    <t>IAR093</t>
  </si>
  <si>
    <t xml:space="preserve">FORD FOCUS L/16 2.0 4 P SE PLUS POWER </t>
  </si>
  <si>
    <t>AD684XE</t>
  </si>
  <si>
    <t>VOLKSWAGEN SAVEIRO 1.6 L/17 C/DOBLE PACK HIGH</t>
  </si>
  <si>
    <t>AF205FR</t>
  </si>
  <si>
    <t>AG907EY</t>
  </si>
  <si>
    <t>RENAULT SANDERO II 1.6 16V LIFE L/19 (esperando denuncia, ya esta cargado)</t>
  </si>
  <si>
    <t>AF665EB</t>
  </si>
  <si>
    <t>AH075ZB</t>
  </si>
  <si>
    <t>AF383ZD</t>
  </si>
  <si>
    <t xml:space="preserve">RENAULT CLIO MIO 1.2 5 P CONFORT PACK </t>
  </si>
  <si>
    <t>OLD892</t>
  </si>
  <si>
    <t>AG679ID</t>
  </si>
  <si>
    <t xml:space="preserve"> CITROEN C 3 AIRCROSS 1.6 EXCLUSIVE </t>
  </si>
  <si>
    <t>LVB819</t>
  </si>
  <si>
    <t xml:space="preserve">VOLKSWAGEN SURAN 1.6 COMFORTLINE L/15 </t>
  </si>
  <si>
    <t>AA934AK</t>
  </si>
  <si>
    <t>AB892MK</t>
  </si>
  <si>
    <t>AC126GG</t>
  </si>
  <si>
    <t>HONDA FIT 1.4 LXL 5 PTAS L/09//L/13 (esperando foto de la unidad para cerrar)</t>
  </si>
  <si>
    <t>PNB547</t>
  </si>
  <si>
    <t>AC250AY</t>
  </si>
  <si>
    <t>MPP958</t>
  </si>
  <si>
    <t>AH122RE</t>
  </si>
  <si>
    <t>AF351WJ</t>
  </si>
  <si>
    <t>AB875WZ</t>
  </si>
  <si>
    <t xml:space="preserve">TOYOTA YARIS 1.5 5 PTAS S CVT L/20 </t>
  </si>
  <si>
    <t>AF541PD</t>
  </si>
  <si>
    <t>AD889UF</t>
  </si>
  <si>
    <t>NXK494</t>
  </si>
  <si>
    <t xml:space="preserve">CHEVROLET ONIX 1.2 PLUS LT L/19  (esperando datos para darlo de alta) </t>
  </si>
  <si>
    <t>AE231DG</t>
  </si>
  <si>
    <t>VOLKSWAGEN GOL TREND 1.6 5 P L/13 PK 1</t>
  </si>
  <si>
    <t>MEK145</t>
  </si>
  <si>
    <t>AA889VM</t>
  </si>
  <si>
    <t xml:space="preserve"> NISSAN NOTE 1.6 SENSE PURE DRIVE </t>
  </si>
  <si>
    <t xml:space="preserve">FORD RANGER 2.0 TDI DC 4X4 L/23 LTD </t>
  </si>
  <si>
    <t xml:space="preserve">VOLKSWAGEN SURAN 1.6 COMFORTLINE </t>
  </si>
  <si>
    <t>LVB340</t>
  </si>
  <si>
    <t xml:space="preserve">FORD RANGER 2.5 SC 4X2 L/16 XL SAFETY </t>
  </si>
  <si>
    <t>AD183IY</t>
  </si>
  <si>
    <t>VOLKSWAGEN SAVEIRO 1.6 L/15 C/DOBLE POWER (esperando alta taller)</t>
  </si>
  <si>
    <t>PHT297</t>
  </si>
  <si>
    <t xml:space="preserve">TOYOTA YARIS 1.5 4 PTAS XLS CVT L/22 </t>
  </si>
  <si>
    <t>AF278BP</t>
  </si>
  <si>
    <t>AA281LY</t>
  </si>
  <si>
    <t>VOLKSWAGEN GOL TREND 1.6 5 P PK 3 I MOTION</t>
  </si>
  <si>
    <t>KOZ654</t>
  </si>
  <si>
    <t>VOLKSWAGEN UP! 3 PTAS MOVE</t>
  </si>
  <si>
    <t>AB891KY</t>
  </si>
  <si>
    <t>AB438OB</t>
  </si>
  <si>
    <t>AG425MZ</t>
  </si>
  <si>
    <t>CHEVROLET SPARK 1.2 LT</t>
  </si>
  <si>
    <t>NKD804</t>
  </si>
  <si>
    <t>HONDA FIT 1.4 LX 5 PTAS L/09</t>
  </si>
  <si>
    <t>IMT079</t>
  </si>
  <si>
    <t>AB213WI</t>
  </si>
  <si>
    <t>PEUGEOT 208 L/23 1.6 ROADTRIP | OJO QUE CAMBIARON DE DIRECCION LUCAS</t>
  </si>
  <si>
    <t>AG431YB</t>
  </si>
  <si>
    <t xml:space="preserve">PEUGEOT PARTNER PATA. 1.6 VTC PLUS L10/17 (cargado, esperando confirmacion) </t>
  </si>
  <si>
    <t>AA150XT</t>
  </si>
  <si>
    <t>AE407XB</t>
  </si>
  <si>
    <t xml:space="preserve"> VOLKSWAGEN FOX 1.6 5 P. CONNECT L/18  (Esperando fotos)</t>
  </si>
  <si>
    <t>AD932PU</t>
  </si>
  <si>
    <t>VOLKSWAGEN FOX 1.6 5 P. CONNECT L/18  (Esperando fotos)</t>
  </si>
  <si>
    <t xml:space="preserve">CHEVROLET SONIC 1.6 4 PTAS LT L/15 </t>
  </si>
  <si>
    <t>AA459RN</t>
  </si>
  <si>
    <t>AF362DO</t>
  </si>
  <si>
    <t xml:space="preserve">VOLKSWAGEN VIRTUS 1.6 MSI COMFORTLINE </t>
  </si>
  <si>
    <t>AD430SS</t>
  </si>
  <si>
    <t xml:space="preserve">TOYOTA YARIS 1.5 5 PTAS S CVT L/22 </t>
  </si>
  <si>
    <t>AF362DG</t>
  </si>
  <si>
    <t>MXN529</t>
  </si>
  <si>
    <t xml:space="preserve"> TOYOTA ETIOS 1.5 5 PTAS PLATINUM 4AT </t>
  </si>
  <si>
    <t>AC873OG</t>
  </si>
  <si>
    <t xml:space="preserve"> TOYOTA HILUX SW4 TDI SRX AUT L/21 </t>
  </si>
  <si>
    <t>AE602AM</t>
  </si>
  <si>
    <t xml:space="preserve">VOLKSWAGEN GOL 1.6 5 P TRENDLINE L/19 </t>
  </si>
  <si>
    <t>AE394GL</t>
  </si>
  <si>
    <t>KPB783</t>
  </si>
  <si>
    <t>AE675HZ</t>
  </si>
  <si>
    <t>AH077BG</t>
  </si>
  <si>
    <t>AA471FB</t>
  </si>
  <si>
    <t>RENAULT DUSTER 1.6 4X2 CONFORT PLUS (esperando respuesta nico)</t>
  </si>
  <si>
    <t>MZO795</t>
  </si>
  <si>
    <t xml:space="preserve"> FIAT CRONOS 1.3 ATTRACTIVE L/22 </t>
  </si>
  <si>
    <t>AF922WI</t>
  </si>
  <si>
    <t>DS AUTOMOBILES DS7 2.0 HDI CROSSBACK SO CHIC (la carga alfre dijo emi)</t>
  </si>
  <si>
    <t>AE308VC</t>
  </si>
  <si>
    <t>AB411DQ</t>
  </si>
  <si>
    <t xml:space="preserve">RENAULT KANGOO EXPRESS 1.6 SCE L/24 </t>
  </si>
  <si>
    <t>AH125QP</t>
  </si>
  <si>
    <t>FORD RANGER 2.0 TDI DC 4X4 L/23 XLT 10AT</t>
  </si>
  <si>
    <t>AG997MT</t>
  </si>
  <si>
    <t>PJZ994</t>
  </si>
  <si>
    <t xml:space="preserve">FIAT UNO FIRE 1.3 5 PTAS L/06 </t>
  </si>
  <si>
    <t>HRN236</t>
  </si>
  <si>
    <t>CHEVROLET TRACKER 1.8 4X2 LTZ PREMIER L/17</t>
  </si>
  <si>
    <t>AD094TA</t>
  </si>
  <si>
    <t>CHEVROLET PRISMA 1.4 LT L/13 (ya hable)</t>
  </si>
  <si>
    <t>NWW681</t>
  </si>
  <si>
    <t xml:space="preserve"> VOLKSWAGEN SURAN 1.6 COMFORTLINE L/15 </t>
  </si>
  <si>
    <t>AA806HL</t>
  </si>
  <si>
    <t>AA303ML</t>
  </si>
  <si>
    <t xml:space="preserve"> VOLKSWAGEN GOL 1.6 5 P TRENDLINE L/19 (Cargado, esperando alta taller)</t>
  </si>
  <si>
    <t>AD472KP</t>
  </si>
  <si>
    <t>AC854ZS</t>
  </si>
  <si>
    <t>NISSAN VERSA 1.6 SENSE L/23</t>
  </si>
  <si>
    <t>AG140FY</t>
  </si>
  <si>
    <t>AC925EX</t>
  </si>
  <si>
    <t xml:space="preserve">TOYOTA YARIS 1.5 5 PTAS XLS PACK CVT </t>
  </si>
  <si>
    <t>AE102HF</t>
  </si>
  <si>
    <t xml:space="preserve">TOYOTA YARIS 1.5 5 PTAS S CVT L/22 (esperando migracion) </t>
  </si>
  <si>
    <t>PEUGEOT 308 1.6 THP FELINE</t>
  </si>
  <si>
    <t>AA359HM</t>
  </si>
  <si>
    <t xml:space="preserve"> HONDA FIT 1.4 LXL 5 PTAS L/09//L/13 (esperando foto)</t>
  </si>
  <si>
    <t xml:space="preserve">PEUGEOT 207 COMPACT 1.4 4 P XR//ACTIVE </t>
  </si>
  <si>
    <t>NII527</t>
  </si>
  <si>
    <t xml:space="preserve">TOYOTA COROLLA 2.0 SE-G L/20 CVT </t>
  </si>
  <si>
    <t>AE096VK</t>
  </si>
  <si>
    <t>NISSAN PICK-UP FRONTIER L/19 2.3 DC 4X4 LE</t>
  </si>
  <si>
    <t>AE879GW</t>
  </si>
  <si>
    <t xml:space="preserve"> VOLKSWAGEN GOL TREND 1.6 5 P L/17 TRENDLINE</t>
  </si>
  <si>
    <t>AG912GQ</t>
  </si>
  <si>
    <t xml:space="preserve"> FORD BRONCO 2.0T SPORT WILDTRAK </t>
  </si>
  <si>
    <t>AG589VQ</t>
  </si>
  <si>
    <t>AF462ZW</t>
  </si>
  <si>
    <t>AA621OJ</t>
  </si>
  <si>
    <t>HONDA WR-V 1.5 EXL CVT (Cargado, en consulta por presupuesto elevado)</t>
  </si>
  <si>
    <t>AD425LI</t>
  </si>
  <si>
    <t>KCM476</t>
  </si>
  <si>
    <t>TOYOTA YARIS 1.5 5 PTAS XLS L/22 ( a la espera de la carta de hallazgo)</t>
  </si>
  <si>
    <t>AF652WI</t>
  </si>
  <si>
    <t xml:space="preserve">CITROEN C 3 AIRCROSS 1.6 EXCLUSIVE </t>
  </si>
  <si>
    <t>LVB061</t>
  </si>
  <si>
    <t>AD233RJ</t>
  </si>
  <si>
    <t>PEUGEOT 207 COMPACT 1.4 HDI 5 P.XS//ALLURE</t>
  </si>
  <si>
    <t>NYA142</t>
  </si>
  <si>
    <t>AE439ZZ</t>
  </si>
  <si>
    <t>AG968GM</t>
  </si>
  <si>
    <t xml:space="preserve">FIAT MOBI EASY PACK TOP </t>
  </si>
  <si>
    <t>AC071WQ</t>
  </si>
  <si>
    <t xml:space="preserve">VOLKSWAGEN FOX CROSSFOX 1.6 TRENDLINE </t>
  </si>
  <si>
    <t>GAH451</t>
  </si>
  <si>
    <t xml:space="preserve"> FIAT CRONOS 1.3 GSE STILE L/23   (cargado, esperando confirmacion taller)</t>
  </si>
  <si>
    <t>AG592AL</t>
  </si>
  <si>
    <t xml:space="preserve">VOLKSWAGEN GOL TREND 1.6 5 P PK 1 PL. </t>
  </si>
  <si>
    <t>IZF014</t>
  </si>
  <si>
    <t>CHEVROLET EQUINOX 1.5T AWD AT6 PREMIER L/22</t>
  </si>
  <si>
    <t>AF997ZB</t>
  </si>
  <si>
    <t>AD317VW</t>
  </si>
  <si>
    <t>AE372HG</t>
  </si>
  <si>
    <t xml:space="preserve">RENAULT CLIO 2 F2 1.2 5 P. PACK PLUS </t>
  </si>
  <si>
    <t>IDE019</t>
  </si>
  <si>
    <t>AUDI A3 SEDAN 1.4T L/14 S-TRONIC  (cargado, esperando alta taller)</t>
  </si>
  <si>
    <t>AA477CV</t>
  </si>
  <si>
    <t>RENAULT DUSTER 1.6 4X2 DYNAMIQUE L/15 (no me paso nada)</t>
  </si>
  <si>
    <t>AA819NL</t>
  </si>
  <si>
    <t>CHEVROLET CLASSIC 1.4 4 PTAS LT  (esperando que acuerde con taller)</t>
  </si>
  <si>
    <t>JKM850</t>
  </si>
  <si>
    <t>MNI596</t>
  </si>
  <si>
    <t>CITROEN C 4 LOUNGE 1.6 THP EXCLUSIVE AUT</t>
  </si>
  <si>
    <t>NLN594</t>
  </si>
  <si>
    <t>HONDA CIVIC 1.7 EX AUT</t>
  </si>
  <si>
    <t>DQB823</t>
  </si>
  <si>
    <t>NQE102</t>
  </si>
  <si>
    <t xml:space="preserve">RENAULT DUSTER OROCH 2.0 PRIVILEGE </t>
  </si>
  <si>
    <t>AC269NV</t>
  </si>
  <si>
    <t>TOYOTA HILUX SW4 TDI SRX AUT L/16 (ya le hable)</t>
  </si>
  <si>
    <t>AD021BC</t>
  </si>
  <si>
    <t xml:space="preserve">FORD KA 1.5 SEL </t>
  </si>
  <si>
    <t>AD274KR</t>
  </si>
  <si>
    <t>AD954IN</t>
  </si>
  <si>
    <t xml:space="preserve"> TOYOTA HILUX L/20 2.4 DC 4X2 TDI DX </t>
  </si>
  <si>
    <t>AE585BH</t>
  </si>
  <si>
    <t>CHEVROLET P-UP S10 2.8TD DC 4X2 HC L/17</t>
  </si>
  <si>
    <t>AB388AG</t>
  </si>
  <si>
    <t>AMAROK (me dijo que lo espere que me pasaba y no me paso nada) (CARGADO 24/5)</t>
  </si>
  <si>
    <t>ORN193</t>
  </si>
  <si>
    <t>TOYOTA ETIOS 1.5 5 PTAS X 6MT L/18 (Cargado, esperando alta de taller)</t>
  </si>
  <si>
    <t>PLA6659398</t>
  </si>
  <si>
    <t>PEUGEOT PARTNER PATA. 1.4 L10/17 (Pedirle nuevamente datos a emi)</t>
  </si>
  <si>
    <t>JPP879</t>
  </si>
  <si>
    <t>AA805HL</t>
  </si>
  <si>
    <t xml:space="preserve">TOYOTA COROLLA 2.0 XEI L/23 CVT </t>
  </si>
  <si>
    <t>AG475SC</t>
  </si>
  <si>
    <t>AG708HM</t>
  </si>
  <si>
    <t>RENAULT KANGOO 1.6 SCE STEPWAY L/18 (cargado, no puedo abrir presupuesto)</t>
  </si>
  <si>
    <t>AG954BH</t>
  </si>
  <si>
    <t xml:space="preserve">FORD FIESTA 1.6 5P TITANIUM (KD) </t>
  </si>
  <si>
    <t>MHO180</t>
  </si>
  <si>
    <t>FIAT QUBO FIORINO 1.4 DYNAMIC  esperando fotos)</t>
  </si>
  <si>
    <t>FORD FIESTA 1.6 5 PTAS ONE AMBIEN. PLUS (Cargado, esperando alta de taller)</t>
  </si>
  <si>
    <t>JPC015</t>
  </si>
  <si>
    <t>AH237KZ</t>
  </si>
  <si>
    <t xml:space="preserve">CITROEN BERLINGO FURGON 1.6 HDI BUSINESS MIXTO  (esperando fotos) </t>
  </si>
  <si>
    <t>AB847WY</t>
  </si>
  <si>
    <t xml:space="preserve">CITROEN C 4 LOUNGE 1.6 HDI EXCLU.PK.SELECT </t>
  </si>
  <si>
    <t>NOY991</t>
  </si>
  <si>
    <t>AF114IY</t>
  </si>
  <si>
    <t xml:space="preserve"> TOYOTA HILUX L/21 2.4 DC 4X2 TDI SR </t>
  </si>
  <si>
    <t xml:space="preserve">VOLKSWAGEN GOL 1.4 5 P POWER </t>
  </si>
  <si>
    <t xml:space="preserve">RENAULT SANDERO II 1.6 16V ZEN L/19 </t>
  </si>
  <si>
    <t>AF752QQ</t>
  </si>
  <si>
    <t>IJW325</t>
  </si>
  <si>
    <t>VOLKSWAGEN TAOS 1.4 250 TSI HIGHLINE TIP.</t>
  </si>
  <si>
    <t>AF580OJ</t>
  </si>
  <si>
    <t>MTI006</t>
  </si>
  <si>
    <t>AC445IK</t>
  </si>
  <si>
    <t>AF264PO</t>
  </si>
  <si>
    <t>PEUGEOT PARTNER 1.6 HDI CONFORT PLC AB L10/17 (ESPERANDO FOTOS)</t>
  </si>
  <si>
    <t>AE322JR</t>
  </si>
  <si>
    <t>AA220FC</t>
  </si>
  <si>
    <t>fhcampo@sancorseguros.com</t>
  </si>
  <si>
    <t>NISSAN KICKS 1.6 SENSE MT L/21</t>
  </si>
  <si>
    <t>AG984CU</t>
  </si>
  <si>
    <t xml:space="preserve">VOLKSWAGEN AMAROK V6 30TD 4X4 DC AT 258HP EXTREME </t>
  </si>
  <si>
    <t>AF077PI</t>
  </si>
  <si>
    <t>PEUGEOT 2008 1.6 ALLURE TIPTRONIC  | ERA DEL 19</t>
  </si>
  <si>
    <t>AA542LI</t>
  </si>
  <si>
    <t>AA377ZW</t>
  </si>
  <si>
    <t>AF889IG</t>
  </si>
  <si>
    <t>CITROEN C 4 LOUNGE 1.6 THP FEEL AT6  (esperando fotos)</t>
  </si>
  <si>
    <t>AC013IZ</t>
  </si>
  <si>
    <t>PHQ303</t>
  </si>
  <si>
    <t xml:space="preserve"> CHEVROLET CRUZE 1.4 5 PTAS LT AT  (cargado, esperando alta taller)</t>
  </si>
  <si>
    <t>AF649UL</t>
  </si>
  <si>
    <t xml:space="preserve">CHEVROLET TRACKER 1.2 TURBO AT6 </t>
  </si>
  <si>
    <t>AF429FB</t>
  </si>
  <si>
    <t xml:space="preserve">FIAT CRONOS 1.3 ATTRACTIVE L/22 </t>
  </si>
  <si>
    <t>VOLKSWAGEN GOL TREND 1.6 5 P L/17 SPORTLINE</t>
  </si>
  <si>
    <t>PPT105</t>
  </si>
  <si>
    <t>VOLKSWAGEN GOL 1.4 3 P POWER  (cargado, esperando alta taller)</t>
  </si>
  <si>
    <t>LHG567</t>
  </si>
  <si>
    <t>FIAT TORO 2.0TDI FREEDOM 4X4 AT</t>
  </si>
  <si>
    <t>AD345VE</t>
  </si>
  <si>
    <t xml:space="preserve">FORD KUGA 2.0 TITANIUM 4X4 AUT L/17 </t>
  </si>
  <si>
    <t>AB311WJ</t>
  </si>
  <si>
    <t xml:space="preserve">CITROEN C 4 LOUNGE 1.6 THP TENDANCE AT | PASAR NUEVAMENTE </t>
  </si>
  <si>
    <t>FIAT 500 1.4 SPORT MEX</t>
  </si>
  <si>
    <t>LUC114</t>
  </si>
  <si>
    <t xml:space="preserve">VOLKSWAGEN FOX 1.6 5 P. TRENDLINE L/15 </t>
  </si>
  <si>
    <t>PEUGEOT 408 2.0 ALLURE</t>
  </si>
  <si>
    <t>NKR583</t>
  </si>
  <si>
    <t xml:space="preserve">FIAT PUNTO 1.4 ATTRACTIVE L/13 </t>
  </si>
  <si>
    <t>NBQ240</t>
  </si>
  <si>
    <t>AG104RH</t>
  </si>
  <si>
    <t>TOYOTA ETIOS 1.5 4 PTAS XLS 4AT L/18 (ya le hable)</t>
  </si>
  <si>
    <t>AF400HO</t>
  </si>
  <si>
    <t xml:space="preserve">RENAULT SANDERO II 1.6 8V EXPRESSION </t>
  </si>
  <si>
    <t>AB311SR</t>
  </si>
  <si>
    <t>MITSUBISHI OUTLANDER 2.4 GLS AUT TC L/2009</t>
  </si>
  <si>
    <t>NDC218</t>
  </si>
  <si>
    <t xml:space="preserve">PEUGEOT 308 1.6 HDI ALLURE NAV </t>
  </si>
  <si>
    <t>MWZ366</t>
  </si>
  <si>
    <t>FIAT CRONOS 1.8 PRECISION L/21 PACK PREMIUM (ya hable)</t>
  </si>
  <si>
    <t>AF222JH</t>
  </si>
  <si>
    <t>HONDA CRV 2.4 4X2 LX AUT L/07</t>
  </si>
  <si>
    <t>JPC171</t>
  </si>
  <si>
    <t>CHEVROLET CLASSIC 1.4 4 PTAS LT</t>
  </si>
  <si>
    <t xml:space="preserve">CHRYSLER JEEP RENEGADE 1.8 4X2 LONGITUDE AT </t>
  </si>
  <si>
    <t>AC873AU</t>
  </si>
  <si>
    <t>RENAULT SANDERO STEPWAY II 1.6 DYNAMIQUE (ya le hable)</t>
  </si>
  <si>
    <t>PEUGEOT 408 1.6 HDI ALLURE NAV (Esperando alta)</t>
  </si>
  <si>
    <t>AB892FX</t>
  </si>
  <si>
    <t>NISSAN PICK-UP FRONTIER L/22 2.3 DC 4X4 PRO-4X</t>
  </si>
  <si>
    <t>AF920KL</t>
  </si>
  <si>
    <t>AC283KG</t>
  </si>
  <si>
    <t>FIAT SIENA 1.4 FIRE AA</t>
  </si>
  <si>
    <t>MVB794</t>
  </si>
  <si>
    <t>VOLKSWAGEN FOX 1.6 5 P. COMFORTLINE L/10 PACK</t>
  </si>
  <si>
    <t>LQQ861</t>
  </si>
  <si>
    <t>AC554UA</t>
  </si>
  <si>
    <t>FORD RANGER 2.5 DC 4X2 L/19 XLT (zona peligrosa)</t>
  </si>
  <si>
    <t>AF121SH</t>
  </si>
  <si>
    <t>PEUGEOT 207 COMPACT 1.4 5 P XS//ALLURE (esperando alta taller)</t>
  </si>
  <si>
    <t>PGW473</t>
  </si>
  <si>
    <t>AB628NM</t>
  </si>
  <si>
    <t>FORD FIESTA 1.6 5P SE POWER. (KD)</t>
  </si>
  <si>
    <t>AB146RO</t>
  </si>
  <si>
    <t>AG781NL</t>
  </si>
  <si>
    <t xml:space="preserve">PEUGEOT 206 1.9 5 PTAS XRD CONFORT L/04 </t>
  </si>
  <si>
    <t>FBT464</t>
  </si>
  <si>
    <t xml:space="preserve">RENAULT DUSTER OROCH 1.6 EMOTION SCE </t>
  </si>
  <si>
    <t>AG227HP</t>
  </si>
  <si>
    <t>PEUGEOT 308 1.6 ALLURE NAV (nunca me respondio ni mensaje ni llamada)</t>
  </si>
  <si>
    <t>NFH035</t>
  </si>
  <si>
    <t>RENAULT KANGOO 2 EXPRESS 1.6 CON. 2 PLC 5AS L/14   (se recoordino para el 22/5)</t>
  </si>
  <si>
    <t>OXE662</t>
  </si>
  <si>
    <t>CHEVROLET SPIN 1.3 TD LTZ 7 AS</t>
  </si>
  <si>
    <t>NKW693</t>
  </si>
  <si>
    <t>VOLKSWAGEN AMAROK 20TD 4X4 DC ULTIMATE AT  | Solo actualizacion de valores</t>
  </si>
  <si>
    <t>FIAT IDEA 1.6 ESSENCE</t>
  </si>
  <si>
    <t>KDS696</t>
  </si>
  <si>
    <t>VOLKSWAGEN FOX CROSSFOX 1.6 TRENDLINE | (Esperando alta taller)</t>
  </si>
  <si>
    <t>AD607ZU</t>
  </si>
  <si>
    <t>CHEVROLET CELTA 1.4 3 PTAS LT</t>
  </si>
  <si>
    <t>KJU241</t>
  </si>
  <si>
    <t xml:space="preserve">FIAT CRONOS 1.3 DRIVE GSE PACK CONECTI. L/21 </t>
  </si>
  <si>
    <t>AF245MC</t>
  </si>
  <si>
    <t xml:space="preserve">TOYOTA COROLLA 1.8 XEI L/11 PACK AUT </t>
  </si>
  <si>
    <t>MFW511</t>
  </si>
  <si>
    <t xml:space="preserve">CHRYSLER RAM 1500 5.7 D/CAB 4X4 LARAMIE </t>
  </si>
  <si>
    <t>AC474GJ</t>
  </si>
  <si>
    <t xml:space="preserve">RENAULT FLUENCE 1.6 DYNAMIQUE L/15 PACK </t>
  </si>
  <si>
    <t>PQQ347</t>
  </si>
  <si>
    <t>AF335YX</t>
  </si>
  <si>
    <t xml:space="preserve">PEUGEOT 3008 1.6 GT LINE TIPTRONIC L/17 </t>
  </si>
  <si>
    <t>AB999AR</t>
  </si>
  <si>
    <t>FORD FIESTA 1.6 4 PTAS MAX EDG PLU</t>
  </si>
  <si>
    <t>AE346XY</t>
  </si>
  <si>
    <t>VOLKSWAGEN TAOS 1.4 250 TSI HIGHLINE AT L/24</t>
  </si>
  <si>
    <t>AH232CH</t>
  </si>
  <si>
    <t>FORD KA 1.5 SE L/18 (ver con nico)</t>
  </si>
  <si>
    <t>AE083PT</t>
  </si>
  <si>
    <t>PEUGEOT 2008 1.6 ALLURE TIPTRONIC</t>
  </si>
  <si>
    <r>
      <rPr>
        <sz val="11"/>
        <color rgb="FF000000"/>
        <rFont val="Aptos Narrow"/>
        <scheme val="minor"/>
      </rPr>
      <t xml:space="preserve">PEUGEOT 208 L/22 1.6 ROADTRIP TIPTRONIC | </t>
    </r>
    <r>
      <rPr>
        <b/>
        <sz val="11"/>
        <color rgb="FF000000"/>
        <rFont val="Aptos Narrow"/>
        <scheme val="minor"/>
      </rPr>
      <t>INGRESO A CLEAS</t>
    </r>
  </si>
  <si>
    <t>AF885WY</t>
  </si>
  <si>
    <t>AG519NO</t>
  </si>
  <si>
    <t>AC507UT</t>
  </si>
  <si>
    <t>RENAULT FLUENCE 2.0 LUXE</t>
  </si>
  <si>
    <t>MEM330</t>
  </si>
  <si>
    <r>
      <rPr>
        <sz val="11"/>
        <color rgb="FF000000"/>
        <rFont val="Aptos Narrow"/>
        <scheme val="minor"/>
      </rPr>
      <t>CHEVROLET ONIX 1.4 LT |</t>
    </r>
    <r>
      <rPr>
        <b/>
        <sz val="11"/>
        <color rgb="FF000000"/>
        <rFont val="Aptos Narrow"/>
        <scheme val="minor"/>
      </rPr>
      <t xml:space="preserve"> JAI ES UN CLEAS</t>
    </r>
  </si>
  <si>
    <t>AA102HN</t>
  </si>
  <si>
    <t xml:space="preserve">RENAULT KANGOO EXPRESS 1.6 SCE L/24 5 AS. </t>
  </si>
  <si>
    <t>AG905SJ</t>
  </si>
  <si>
    <t>PEUGEOT 408 1.6 ACTIVE</t>
  </si>
  <si>
    <t>PKX923</t>
  </si>
  <si>
    <t xml:space="preserve">PEUGEOT 208 1.6 GT (esperando carta de hallazgo) </t>
  </si>
  <si>
    <t>AA586AV</t>
  </si>
  <si>
    <t>MPI885</t>
  </si>
  <si>
    <t>AUDI A4 2.0 T L/16 190HP S-TRONIC</t>
  </si>
  <si>
    <t>AE267ZT</t>
  </si>
  <si>
    <t xml:space="preserve">CHEVROLET EQUINOX 1.5T AWD AT6 PREMIER </t>
  </si>
  <si>
    <t>AD549LA</t>
  </si>
  <si>
    <t xml:space="preserve">CITROEN C 4 LOUNGE 1.6 THP EXCLUSIVE AUT </t>
  </si>
  <si>
    <t xml:space="preserve">RENAULT LOGAN 1.6 8V AUTHENTIQUE PACK I </t>
  </si>
  <si>
    <t>MUQ848</t>
  </si>
  <si>
    <t xml:space="preserve">VOLKSWAGEN GOL TREND 1.6 5 P L/17 SPORTLINE </t>
  </si>
  <si>
    <t xml:space="preserve"> HONDA FIT 1.5 EX 5 PTAS</t>
  </si>
  <si>
    <t>GSR352</t>
  </si>
  <si>
    <t>RENAULT LOGAN II 1.6 16V LIFE L/19</t>
  </si>
  <si>
    <t>AH128TK</t>
  </si>
  <si>
    <t>AH128SP</t>
  </si>
  <si>
    <t xml:space="preserve">VOLKSWAGEN GOL 1.6 5 P COMFORTLINE L/19 </t>
  </si>
  <si>
    <t>AE142NR</t>
  </si>
  <si>
    <t>AD095CQ</t>
  </si>
  <si>
    <t>PBK308</t>
  </si>
  <si>
    <t>MMM588</t>
  </si>
  <si>
    <t>AB256AO</t>
  </si>
  <si>
    <t>AG295TX</t>
  </si>
  <si>
    <t>PEUGEOT 208 ALLURE PLUS 1.6 HDI</t>
  </si>
  <si>
    <t>AC706IC</t>
  </si>
  <si>
    <t>PEUGEOT 206 1.6 3 PTAS XS PREMIUM</t>
  </si>
  <si>
    <t>GKH092</t>
  </si>
  <si>
    <t>CITROEN PICASSO 2.0 HDI</t>
  </si>
  <si>
    <t>FZW015</t>
  </si>
  <si>
    <t>AD482WL</t>
  </si>
  <si>
    <t xml:space="preserve"> VOLKSWAGEN GOL TREND 1.6 5 P PK 1 PL. </t>
  </si>
  <si>
    <t>FORD FOCUS L/16 2.0 4 P TITANIUM</t>
  </si>
  <si>
    <t>AA229NX</t>
  </si>
  <si>
    <t xml:space="preserve"> FORD RANGER 2.0 TDI DC 4X4 L/23 XLT 10AT </t>
  </si>
  <si>
    <t>FORD KA 1.5 SE+</t>
  </si>
  <si>
    <t>AB652RP</t>
  </si>
  <si>
    <t xml:space="preserve">FIAT FIORINO FURGON 1.4 EVO </t>
  </si>
  <si>
    <t>OIE887</t>
  </si>
  <si>
    <t>AF661CL</t>
  </si>
  <si>
    <t>FIAT UNO 1.4 5 PTAS ATTRACTIVE (esperando migracion)</t>
  </si>
  <si>
    <t>OBU314</t>
  </si>
  <si>
    <t>AD689BN</t>
  </si>
  <si>
    <t>HYUNDAI HB20 1.6 5 PTAS PLATINUM SAFETY 6AT</t>
  </si>
  <si>
    <t>AH189AD</t>
  </si>
  <si>
    <t xml:space="preserve">CHEVROLET ONIX 1.4 ACTIV L/17 </t>
  </si>
  <si>
    <t>AD992OK</t>
  </si>
  <si>
    <t>AD209RG</t>
  </si>
  <si>
    <t xml:space="preserve">RENAULT SANDERO STEPWAY II 1.6 PRIVILEGE </t>
  </si>
  <si>
    <t>AC134LX</t>
  </si>
  <si>
    <t>KOA303</t>
  </si>
  <si>
    <t xml:space="preserve">FORD FIESTA 1.6 5P SE (KD) </t>
  </si>
  <si>
    <t>OMH257</t>
  </si>
  <si>
    <t>FIAT GRAND SIENA 1.4 ATTRACTIVE</t>
  </si>
  <si>
    <t>MFJ115</t>
  </si>
  <si>
    <t>AA271EQ</t>
  </si>
  <si>
    <t>FIAT CRONOS 1.3 DRIVE GSE PACK CONECTI. L/21  (Lucas dice que no la tiene el)</t>
  </si>
  <si>
    <t>AE870WC</t>
  </si>
  <si>
    <t>TOYOTA COROLLA CROSS 2.0 XEI CVT</t>
  </si>
  <si>
    <t>AF406YZ</t>
  </si>
  <si>
    <t>VOLKSWAGEN DODGE 1500</t>
  </si>
  <si>
    <t>SJS246</t>
  </si>
  <si>
    <t xml:space="preserve">FORD RANGER 2.0 TDI DC 4X2 L/23 XLS 6MT </t>
  </si>
  <si>
    <t>AG519OI</t>
  </si>
  <si>
    <t>FIAT TORO 2.0TDI ULTRA 4X4 AT L/21</t>
  </si>
  <si>
    <t>AF460QL</t>
  </si>
  <si>
    <t>NISSAN PICK-UP FRONTIER L/19 2.3 DC 4X4 LE AT</t>
  </si>
  <si>
    <t>AE298PP</t>
  </si>
  <si>
    <t xml:space="preserve">CHEVROLET ONIX 1.4 JOY BLACK L/19 (Cargado, esperando alta taller) </t>
  </si>
  <si>
    <t>AF146JW</t>
  </si>
  <si>
    <t>FIAT QUBO FIORINO 1.4 ACTIVE</t>
  </si>
  <si>
    <t>NKG977</t>
  </si>
  <si>
    <t>PEUGEOT 208 L/20 1.6 LIKE PACK</t>
  </si>
  <si>
    <t>AF336VW</t>
  </si>
  <si>
    <t xml:space="preserve">TOYOTA COROLLA 1.8 XLI L/11 </t>
  </si>
  <si>
    <t>NISSAN TIIDA 1.8 5 PTAS VISIA</t>
  </si>
  <si>
    <t>KPR167</t>
  </si>
  <si>
    <t>PEUGEOT 208 1.5 5P ALLURE | STRO  DE CESAR</t>
  </si>
  <si>
    <t>NMG083</t>
  </si>
  <si>
    <t>AG448JW</t>
  </si>
  <si>
    <t>VOLKSWAGEN VOYAGE 1.6 COMFORTLINE PL.AB</t>
  </si>
  <si>
    <t>JLT576</t>
  </si>
  <si>
    <t xml:space="preserve">PEUGEOT 207 COMPACT 1.4 4 P XR//ACTIVE (esperando datos para enviar orden) </t>
  </si>
  <si>
    <t>KWA852</t>
  </si>
  <si>
    <t>PHB668</t>
  </si>
  <si>
    <t>AF580NV</t>
  </si>
  <si>
    <t>FORD RANGER 2.5 DC 4X2 L/19 XLT</t>
  </si>
  <si>
    <t>HCE583</t>
  </si>
  <si>
    <t>AE012CY</t>
  </si>
  <si>
    <t>FIAT MOBI EASY  (Esperando alta taller)</t>
  </si>
  <si>
    <t>AA961BL</t>
  </si>
  <si>
    <t>PEUGEOT 208 L/20 1.6 ALLURE TIPTRONIC</t>
  </si>
  <si>
    <t>AE459WC</t>
  </si>
  <si>
    <t>SUZUKI FUN 1.4 5 PTAS</t>
  </si>
  <si>
    <t>EPW130</t>
  </si>
  <si>
    <t>SUZUKI FUN 1.4 5 PTAS | PUSE LA FECHA PORQUE ESPERO ASIGNACION EN NOVA</t>
  </si>
  <si>
    <t>FTO640</t>
  </si>
  <si>
    <t>AA203FY</t>
  </si>
  <si>
    <t>PNK673</t>
  </si>
  <si>
    <t>AA886AI</t>
  </si>
  <si>
    <t>FIAT SIENA 1.4 EL</t>
  </si>
  <si>
    <t>VOLKSWAGEN SAVEIRO 1.6 L/18 C/DOB CROSS</t>
  </si>
  <si>
    <t>AD469HL</t>
  </si>
  <si>
    <t xml:space="preserve">RENAULT CLIO MIO 1.2 5 P CONFORT PLUS </t>
  </si>
  <si>
    <t>NMU661</t>
  </si>
  <si>
    <t xml:space="preserve">TOYOTA COROLLA 2.0 XEI L/20 CVT </t>
  </si>
  <si>
    <t>AF276SI</t>
  </si>
  <si>
    <t>AG388JB</t>
  </si>
  <si>
    <t xml:space="preserve"> TOYOTA HILUX L/21 2.8 DC 4X4 TDI SRV AT6 </t>
  </si>
  <si>
    <t>AF877TO</t>
  </si>
  <si>
    <t>AC792LQ</t>
  </si>
  <si>
    <t>AE965MU</t>
  </si>
  <si>
    <t xml:space="preserve">TOYOTA HILUX L/16 2.8 DC 4X4 TDI SRV (no me paso nada) </t>
  </si>
  <si>
    <t>AD538BO</t>
  </si>
  <si>
    <t xml:space="preserve">FORD KA 1.5 SEL (cargado esperando denuncia) </t>
  </si>
  <si>
    <t>AC103RD</t>
  </si>
  <si>
    <t xml:space="preserve">RENAULT KWID 1.0 ICONIC (Esperando que la migren) </t>
  </si>
  <si>
    <t>AD309TD</t>
  </si>
  <si>
    <t xml:space="preserve">VOLKSWAGEN UP! 5 PTAS HIGH (Cargado, esperando alta taller) </t>
  </si>
  <si>
    <t>AD485BP</t>
  </si>
  <si>
    <t>FORD KA 1.5 SEL+</t>
  </si>
  <si>
    <t>AC685NM</t>
  </si>
  <si>
    <t>PEUGEOT 208 1.6 5P FELINE PK CUIR</t>
  </si>
  <si>
    <t>PNN766</t>
  </si>
  <si>
    <t xml:space="preserve">FIAT ARGO 1.3 DRIVE GSE PK CONECTIVI. L/21 </t>
  </si>
  <si>
    <t>AF877EU</t>
  </si>
  <si>
    <t xml:space="preserve">VOLKSWAGEN FOX 1.6 5 P. TRENDLINE L/17 </t>
  </si>
  <si>
    <t>AB268CO</t>
  </si>
  <si>
    <t xml:space="preserve">FORD ECO SPORT 2.0 TITANIUM AUT L/18 </t>
  </si>
  <si>
    <t xml:space="preserve">TOYOTA HILUX L/21 2.8 DC 4X4 TDI CONQUEST AT6 </t>
  </si>
  <si>
    <t>AF204EY</t>
  </si>
  <si>
    <t>AE831TJ</t>
  </si>
  <si>
    <t xml:space="preserve">PEUGEOT PARTNER PATA. 1.6 VTC PLUS L10/17 (no me paso nada) </t>
  </si>
  <si>
    <t>MSX322</t>
  </si>
  <si>
    <t>AG323YH</t>
  </si>
  <si>
    <t>TOYOTA ETIOS 1.5 5 PTAS AIBO</t>
  </si>
  <si>
    <t>AG377KP</t>
  </si>
  <si>
    <t>AH197LD</t>
  </si>
  <si>
    <t>AB119QZ</t>
  </si>
  <si>
    <t>TOYOTA HILUX L/16 2.8 DC 4X4 TDI SRV</t>
  </si>
  <si>
    <t>AD167PP</t>
  </si>
  <si>
    <t>MERCEDES BENZ SPRINTER 411 STREET FURGON 3250 V2</t>
  </si>
  <si>
    <t>AB984RW</t>
  </si>
  <si>
    <t>MERCEDES BENZ SPRINTER 311 FURGON 3250 V2 STREET</t>
  </si>
  <si>
    <t>AE704GS</t>
  </si>
  <si>
    <t>AF566TR</t>
  </si>
  <si>
    <t xml:space="preserve"> FORD RANGER 2.0 TDI DC 4X2 L/23 XLS 6MT </t>
  </si>
  <si>
    <t>CHEVROLET CELTA 1.4 5 PTAS ADVANTAGE PACK (esperando acuerdo)</t>
  </si>
  <si>
    <t>OJE038</t>
  </si>
  <si>
    <t>CITROEN C 4 LOUNGE 1.6 THP EXCLUSIVE AUT.PK.SEL</t>
  </si>
  <si>
    <t>NMA543</t>
  </si>
  <si>
    <t>AD603QS</t>
  </si>
  <si>
    <t>RENAULT CAPTUR 1.6 LIFE</t>
  </si>
  <si>
    <t>AD193HU</t>
  </si>
  <si>
    <t xml:space="preserve">CHEVROLET CELTA 1.4 5 PTAS ADVANTAGE (no me paso nada) </t>
  </si>
  <si>
    <t>OSP516</t>
  </si>
  <si>
    <t>PEUGEOT PARTNER 1.6 CONFORT 5 PLAZAS</t>
  </si>
  <si>
    <t>AF533PE</t>
  </si>
  <si>
    <t>FORD KA 1.5 SE AUT L/18</t>
  </si>
  <si>
    <t>AE576UV</t>
  </si>
  <si>
    <t>FIAT PALIO 1.4 5 P FIRE L/09 CONFORT</t>
  </si>
  <si>
    <t>PHR227</t>
  </si>
  <si>
    <t>CHEVROLET CORSA 1.6 3 P BASE L/08</t>
  </si>
  <si>
    <t>GAP003</t>
  </si>
  <si>
    <t>TOYOTA YARIS 1.5 4 PTAS XLS CVT L/22</t>
  </si>
  <si>
    <t>AG374YF</t>
  </si>
  <si>
    <t>CITROEN C 3 AIRCROSS 1.5 LIVE</t>
  </si>
  <si>
    <t>AA015XV</t>
  </si>
  <si>
    <t xml:space="preserve">TOYOTA YARIS 1.5 5 PTAS XLS CVT L/22 </t>
  </si>
  <si>
    <t>AG222BO</t>
  </si>
  <si>
    <t xml:space="preserve">NISSAN PICK-UP FRONTIER L/24 2.3 DC 4X4 X-GEAR </t>
  </si>
  <si>
    <t>AH194WU</t>
  </si>
  <si>
    <t>KCP527</t>
  </si>
  <si>
    <t>CITROEN C 4 CACTUS 1.6 VTI X-SERIES</t>
  </si>
  <si>
    <t>AF212NO</t>
  </si>
  <si>
    <t>VOLKSWAGEN AMAROK 20TD 4X2 DC HIGHLINE 180HP  -</t>
  </si>
  <si>
    <t>LFD007</t>
  </si>
  <si>
    <t xml:space="preserve">CITROEN C 3 1.6 VTI FEEL PACK DESIGN AUT </t>
  </si>
  <si>
    <t>AG599US</t>
  </si>
  <si>
    <t>VOLKSWAGEN AMAROK 20TD 4X2 DC HIGHLINE 180HP A L17</t>
  </si>
  <si>
    <t>AE113SX</t>
  </si>
  <si>
    <t>AA345LZ</t>
  </si>
  <si>
    <t xml:space="preserve">CITROEN C 4 CACTUS 1.6 VTI FEEL + L/23 AT  - </t>
  </si>
  <si>
    <t>AG561ML</t>
  </si>
  <si>
    <t>VOLKSWAGEN GOL TREND 1.6 5 P</t>
  </si>
  <si>
    <t>LBK095</t>
  </si>
  <si>
    <t>FORD FORD ECO SPORT 1.6 XL PLUS (esperando documentacion)</t>
  </si>
  <si>
    <t>JMK496</t>
  </si>
  <si>
    <t>TOYOTA ETIOS 1.5 5 PTAS XLS PACK 4AT</t>
  </si>
  <si>
    <t>AF186RS</t>
  </si>
  <si>
    <t xml:space="preserve">VOLKSWAGEN GOL 1.6 5 P TRENDLINE L/19 (no me paso nada) </t>
  </si>
  <si>
    <t>AA498XM</t>
  </si>
  <si>
    <t>AA704PV</t>
  </si>
  <si>
    <t>PEUGEOT 208 L/23 1.6 ALLURE PACK</t>
  </si>
  <si>
    <t>AF901JG</t>
  </si>
  <si>
    <t>AC348OX</t>
  </si>
  <si>
    <t xml:space="preserve">FORD FOCUS L/08 2.0 5 P GHIA (no me paso nada) </t>
  </si>
  <si>
    <t>IOR426</t>
  </si>
  <si>
    <t xml:space="preserve"> VOLKSWAGEN VENTO 2.0 T SPORTLINE L/11 (esperando que la migren)</t>
  </si>
  <si>
    <t>NQE658</t>
  </si>
  <si>
    <t>AD062QT</t>
  </si>
  <si>
    <t>AE511UH</t>
  </si>
  <si>
    <t>JXG457</t>
  </si>
  <si>
    <t>AE842TF</t>
  </si>
  <si>
    <t>AH113ET</t>
  </si>
  <si>
    <t>FIAT QUBO 1.4 DYNAMIC</t>
  </si>
  <si>
    <t>LZP741</t>
  </si>
  <si>
    <t>AC176FQ</t>
  </si>
  <si>
    <t>CHEVROLET ONIX 1.4 ACTIV L/17 -</t>
  </si>
  <si>
    <t>AC884BR</t>
  </si>
  <si>
    <t>RENAULT KANGOO EX. 1.6 CONFORT SCE 5 AS L/18 (Esperando acuerdo firmado)</t>
  </si>
  <si>
    <t>AC763EG</t>
  </si>
  <si>
    <t>PEUGEOT 208 L/20 1.6 ACTIVE TIPTRONIC (cargado, esperando confirmacion)</t>
  </si>
  <si>
    <t>NEW467</t>
  </si>
  <si>
    <t>LYC176</t>
  </si>
  <si>
    <t xml:space="preserve">BAIC U5 PLUS - </t>
  </si>
  <si>
    <t>AH166FW</t>
  </si>
  <si>
    <t>VOLKSWAGEN GOL TREND 1.6 5 P L/13 - (Esperando alta de taller "carama")</t>
  </si>
  <si>
    <t>MDW989</t>
  </si>
  <si>
    <t>AG406BI</t>
  </si>
  <si>
    <t>RENAULT KANGOO 2 1.6 EX. 2 PLC CON.5AS PACK -</t>
  </si>
  <si>
    <t>AC305KC</t>
  </si>
  <si>
    <t>CHRYSLER JEEP RENEGADE 1.8 4X2 SPORT PLUS A</t>
  </si>
  <si>
    <t>AC097EI</t>
  </si>
  <si>
    <t>AG742JP</t>
  </si>
  <si>
    <t>FIAT STRADA 1.4 FIRE FREEDOM CD -</t>
  </si>
  <si>
    <t>AB700BE</t>
  </si>
  <si>
    <t>FIAT 500 1.4 SPORT MEX -</t>
  </si>
  <si>
    <t>VOLKSWAGEN GOL 1.8 3 P MI DUBLIN FULL   (Esperando acuerdo firmado)</t>
  </si>
  <si>
    <t>EXE871</t>
  </si>
  <si>
    <t>VOLKSWAGEN AMAROK V6 30TD 4X4 DC AT 258HP EXTREM</t>
  </si>
  <si>
    <t>AE666SL</t>
  </si>
  <si>
    <t>VOLKSWAGEN UP! 5 PTAS MOVE</t>
  </si>
  <si>
    <t>AA865DN</t>
  </si>
  <si>
    <t>RENAULT DUSTER 2.0 4X4 PRIVILEGE</t>
  </si>
  <si>
    <t>LDG070</t>
  </si>
  <si>
    <t>AD193HL</t>
  </si>
  <si>
    <t xml:space="preserve">VOLKSWAGEN GOL 1.9 5 P SD DUBLIN DH AA </t>
  </si>
  <si>
    <t>DZP879</t>
  </si>
  <si>
    <t>PEUGEOT 208 1.6 5P ACTIVE</t>
  </si>
  <si>
    <t>AD728MI</t>
  </si>
  <si>
    <t>AA729QP</t>
  </si>
  <si>
    <t>CHEVROLET CLASSIC 1.4 4 PTAS LS ABS AB (Esperando acuerdo firmado)</t>
  </si>
  <si>
    <t>AA330HW</t>
  </si>
  <si>
    <t>RENAULT DUSTER 2.0 4X4 PRIVILEGE  (no me paso nada)</t>
  </si>
  <si>
    <t>LBX129</t>
  </si>
  <si>
    <t xml:space="preserve">FORD RANGER 2.0 TDI DC 4X4 L/23 LTD 10AT </t>
  </si>
  <si>
    <t>AG176GC</t>
  </si>
  <si>
    <t>OAL502</t>
  </si>
  <si>
    <t xml:space="preserve">FORD MONDEO 2.0 TITANIUM ECOBOOST L/17 </t>
  </si>
  <si>
    <t>AC149DK</t>
  </si>
  <si>
    <t>CHEVROLET PRISMA 1.4 LS JOY + L/17</t>
  </si>
  <si>
    <t>CHRYSLER JEEP RENEGADE 1.8 4X2 SPORT L/24 AT</t>
  </si>
  <si>
    <t>AH075YL</t>
  </si>
  <si>
    <t>AC339PC</t>
  </si>
  <si>
    <t>OOO675</t>
  </si>
  <si>
    <t>AA966DG</t>
  </si>
  <si>
    <t xml:space="preserve">RENAULT CLIO 2 F2 1.2 5 P. CAMPUS PACK II </t>
  </si>
  <si>
    <t>LUL223</t>
  </si>
  <si>
    <t>AC368IK</t>
  </si>
  <si>
    <t xml:space="preserve">FIAT CRONOS 1.3 GSE STILE L/23 </t>
  </si>
  <si>
    <t>VOLKSWAGEN GOL TREND 1.6 5 P L/17 HIGHLINE -(cargado, esperando rpta lucas)</t>
  </si>
  <si>
    <t>AC260QC</t>
  </si>
  <si>
    <t>AE042AW</t>
  </si>
  <si>
    <t>FORD RANGER 3.2 TDI DC 4X2 L/16 XLT</t>
  </si>
  <si>
    <t>AA813XR</t>
  </si>
  <si>
    <t>AE570QD</t>
  </si>
  <si>
    <t xml:space="preserve">RENAULT LOGAN II puse asi para que lo veas, no hay que hacer nada  supuestamente </t>
  </si>
  <si>
    <t>AF399YU</t>
  </si>
  <si>
    <t>CITROEN C 4 GRAND PICASSO 1.6THP FEEL PACK AUT</t>
  </si>
  <si>
    <t>AB234JX</t>
  </si>
  <si>
    <t xml:space="preserve">VOLKSWAGEN GOL TREND 1.6 5 P L/17 HIGHLINE </t>
  </si>
  <si>
    <t>AC218JS</t>
  </si>
  <si>
    <t>RENAULT KWID 1.0 OUTSIDER</t>
  </si>
  <si>
    <t>AF027CU</t>
  </si>
  <si>
    <t xml:space="preserve">VOLKSWAGEN GOL TREND 1.6 5 P L/13 HIGHLINE </t>
  </si>
  <si>
    <t>PLB378</t>
  </si>
  <si>
    <t>FIAT IDEA 1.4 ATTRACTIVE TOP</t>
  </si>
  <si>
    <t>MBB458</t>
  </si>
  <si>
    <t>CITROEN C 3 PICASSO 1.6I SX</t>
  </si>
  <si>
    <t>MIV199</t>
  </si>
  <si>
    <t xml:space="preserve">RENAULT ALASKAN 2.3 TDI ICONIC 4X4 AT </t>
  </si>
  <si>
    <t>AF528DE</t>
  </si>
  <si>
    <t>HYUNDAI HB20 1.6 5 PTAS COMFORT PLUS 6AT</t>
  </si>
  <si>
    <t>AH001KC</t>
  </si>
  <si>
    <t>AA713LK</t>
  </si>
  <si>
    <t xml:space="preserve">CHRYSLER RAM RAMPAGE 2.0 T D/CAB 4X4 REBEL AT </t>
  </si>
  <si>
    <t>AH080TN</t>
  </si>
  <si>
    <t>RENAULT KANGOO EXPRESS RL 1.0 (pedi valores por wp 3/7)</t>
  </si>
  <si>
    <t>GBW906</t>
  </si>
  <si>
    <t>AB087XS</t>
  </si>
  <si>
    <t>FORD FOCUS L/16 2.0 5 P SE (no esta desarmado)</t>
  </si>
  <si>
    <t>AC435MT</t>
  </si>
  <si>
    <t>CITROEN C 3 1.6 VTI FEEL AUT BT (Esperando carta de hallazgo)</t>
  </si>
  <si>
    <t>AD015NR</t>
  </si>
  <si>
    <t>AG216AS</t>
  </si>
  <si>
    <t>IVECO EUROCARGO 170 E 22 CC  (pendiente numero de chasis)</t>
  </si>
  <si>
    <t>NNX957</t>
  </si>
  <si>
    <t>ACOPLADO CORMETAL  (volvi a reclamar 3/7 me dijo que lo armaba y me lo pasaba)</t>
  </si>
  <si>
    <t>AF075YO</t>
  </si>
  <si>
    <t xml:space="preserve">TOYOTA ETIOS 1.5 5 PTAS XLS 4AT </t>
  </si>
  <si>
    <t>AA922EJ</t>
  </si>
  <si>
    <t xml:space="preserve">CHEVROLET TRACKER 1.8 4X4 LTZ AUT PREMIER L/17  </t>
  </si>
  <si>
    <t>AD959CO</t>
  </si>
  <si>
    <t>MIB199</t>
  </si>
  <si>
    <t xml:space="preserve">CHEVROLET CRUZE 1.4 4 PTAS LT (esperando confirmacion gestora) </t>
  </si>
  <si>
    <t xml:space="preserve">CHEVROLET ONIX 1.4 LS JOY + L/17 (Esperando datos para dar de alta) </t>
  </si>
  <si>
    <t>AB959IH</t>
  </si>
  <si>
    <t>KEA269</t>
  </si>
  <si>
    <t>VOLKSWAGEN GOL 1.6 3 P TREND L/13 PACK 1</t>
  </si>
  <si>
    <t>OCX618</t>
  </si>
  <si>
    <t>RENAULT KANGOO EXPRESS 1.6 CONFORT SCE L/18 (sin orden en sistema se reclama)</t>
  </si>
  <si>
    <t xml:space="preserve">PEUGEOT 2008 1.6 ACTIVE </t>
  </si>
  <si>
    <t xml:space="preserve">CHEVROLET TRACKER 1.2 TURBO LTZ AT6 </t>
  </si>
  <si>
    <t>AE597QZ</t>
  </si>
  <si>
    <t xml:space="preserve"> TOYOTA YARIS 1.5 5 PTAS S CVT L/20 </t>
  </si>
  <si>
    <t>FORD RANGER 2.2 TDI DC 4X2 L/19 XL (Reclamado 26/6)</t>
  </si>
  <si>
    <t>AE761UH</t>
  </si>
  <si>
    <t>AD731OL</t>
  </si>
  <si>
    <t>AG484IG</t>
  </si>
  <si>
    <t>VOLKSWAGEN SAVEIRO 1.6 L/15 C/DOBLE POWER  (reclamada 30/6)</t>
  </si>
  <si>
    <t>AF460OV</t>
  </si>
  <si>
    <t xml:space="preserve"> TOYOTA HILUX L/21 2.8 DC 4X2 TDI SRX AT6 </t>
  </si>
  <si>
    <t>AF569BN</t>
  </si>
  <si>
    <t xml:space="preserve">CHEVROLET CRUZE 1.4 5 PTAS LTZ+ PLUS AT </t>
  </si>
  <si>
    <t>AC700BD</t>
  </si>
  <si>
    <t xml:space="preserve"> VOLKSWAGEN AMAROK V6 30TD 4X4 DC AT 224HP EXTREME</t>
  </si>
  <si>
    <t>AE171XK</t>
  </si>
  <si>
    <t xml:space="preserve">TOYOTA ETIOS 1.5 4 PTAS XLS 6MT </t>
  </si>
  <si>
    <t>AC757KZ</t>
  </si>
  <si>
    <t>AA142SZ</t>
  </si>
  <si>
    <t>FIAT QUBO 1.4 ACTIVE (Esperando que la migren)</t>
  </si>
  <si>
    <t>NQH582</t>
  </si>
  <si>
    <t>RENAULT SANDERO II 1.6 8V AUTHENTIQUE (esperando que ande orion, me tira error)</t>
  </si>
  <si>
    <t>CITROEN C 3 PICASSO 1.6I EXCLUSIVE</t>
  </si>
  <si>
    <t>LWI924</t>
  </si>
  <si>
    <t>AB521EB</t>
  </si>
  <si>
    <t>FIAT DUCATO 2.3 JTD FURGON MAXICARGO</t>
  </si>
  <si>
    <t>AB836PX</t>
  </si>
  <si>
    <t>TOYOTA COROLLA 2.0 XEI L/20</t>
  </si>
  <si>
    <t>AE561HK</t>
  </si>
  <si>
    <t xml:space="preserve"> AE696DA</t>
  </si>
  <si>
    <t>CITROEN BERLINGO MULTISPACE 1.6 HDI XTR</t>
  </si>
  <si>
    <t>AA640KD</t>
  </si>
  <si>
    <t>FIAT PALIO 1.6 5 P ESSENCE L/14</t>
  </si>
  <si>
    <t>OWX975</t>
  </si>
  <si>
    <t>AE362ML</t>
  </si>
  <si>
    <t>FIAT CRONOS 1.3 GSE LIKE L/23</t>
  </si>
  <si>
    <t>AG925KQ</t>
  </si>
  <si>
    <t>LRK779</t>
  </si>
  <si>
    <t>AG789VV</t>
  </si>
  <si>
    <t>road king 3ed tridem (A la espera de valores del taller, ya hable) reclamado 3/7</t>
  </si>
  <si>
    <t>AD988LV</t>
  </si>
  <si>
    <t>FIAT TORO 1.8MPI FREEDOM 4X2 AT L/24</t>
  </si>
  <si>
    <t>AG968SU</t>
  </si>
  <si>
    <t>RENAULT CLIO 2 F2 1.2 3 P. AUTHENTIQ PK I</t>
  </si>
  <si>
    <t>LDG081</t>
  </si>
  <si>
    <t>TOYOTA COROLLA CROSS 1.8 SEG HEV E-CVT L/25</t>
  </si>
  <si>
    <t>AH292NA</t>
  </si>
  <si>
    <t>RENAULT KANGOO EXPRESS 1.6 CONFORT SCE 5 AS L/18  (reclamada 30/6)</t>
  </si>
  <si>
    <t>AF938OL</t>
  </si>
  <si>
    <t xml:space="preserve">TOYOTA COROLLA CROSS 2.0 SEG CVT </t>
  </si>
  <si>
    <t>AF107AJ</t>
  </si>
  <si>
    <t>AC529HK</t>
  </si>
  <si>
    <t xml:space="preserve"> RENAULT KANGOO EXPRESS 1.6 CONFORT SCE L/18</t>
  </si>
  <si>
    <t>RENAULT ALASKAN 2.3 TDI INTENS 4X2</t>
  </si>
  <si>
    <t>AF938LA</t>
  </si>
  <si>
    <t>CHEVROLET TRACKER 1.2 MT RURAL 5 PTAS</t>
  </si>
  <si>
    <t>AF530KW</t>
  </si>
  <si>
    <t>RENAULT KANGOO EX. 1.6 EMOTION SCE 5 AS L/18</t>
  </si>
  <si>
    <t>AF944QX</t>
  </si>
  <si>
    <t>ITROEN C 3 AIRCROSS 1.6 FEEL</t>
  </si>
  <si>
    <t>VOLKSWAGEN GOL 1.6 3 P TREND L/13 PACK 1  (no me paso nada)</t>
  </si>
  <si>
    <t>varagon@ext.sancorseguros.com</t>
  </si>
  <si>
    <t>TOYOTA ETIOS 1.5 4 PTAS XLS 6MT L/18</t>
  </si>
  <si>
    <t>AD408KU</t>
  </si>
  <si>
    <t>TOYOTA YARIS 1.5 5 PTAS XLS PACK CVT</t>
  </si>
  <si>
    <t>AD891ZW</t>
  </si>
  <si>
    <t>RENAULT SANDERO STEPWAY 1.6 PRIVILEGE PLUS(Cargado, esperando alta taller)</t>
  </si>
  <si>
    <t>NII087</t>
  </si>
  <si>
    <t>FORD ECO SPORT 1.6 XL PLUS L/07</t>
  </si>
  <si>
    <t>IUX933</t>
  </si>
  <si>
    <t>MTY340</t>
  </si>
  <si>
    <t>FIAT CRONOS 1.3 DRIVE PACK PLUS</t>
  </si>
  <si>
    <t xml:space="preserve"> FORD FOCUS L/14 2.0 5 P TITANIUM</t>
  </si>
  <si>
    <t>SUZUKI FUN 1.4 5</t>
  </si>
  <si>
    <t>PAL332</t>
  </si>
  <si>
    <t>NGA925</t>
  </si>
  <si>
    <t>TOYOTA HIACE 2.8 FURGON L2H2</t>
  </si>
  <si>
    <t>AE980FH</t>
  </si>
  <si>
    <t>VOLKSWAGEN GOL 1.6 3 P TREND L/13</t>
  </si>
  <si>
    <t>PPX942</t>
  </si>
  <si>
    <t>RENAULT KANGOO 2 EXPRESS 1.6 CONFORT 1 PLC</t>
  </si>
  <si>
    <t>KWB941</t>
  </si>
  <si>
    <t>SUZUKI FUN 1.4 3 PTAS L/N</t>
  </si>
  <si>
    <t>FZK001</t>
  </si>
  <si>
    <t>TOYOTA ETIOS 1.5 4 PTAS XLS PACK 4AT</t>
  </si>
  <si>
    <t>AG016TM</t>
  </si>
  <si>
    <t>RENAULT KANGOO EXPRESS 1.6 SCE L/24</t>
  </si>
  <si>
    <t>AG539LR</t>
  </si>
  <si>
    <t>CITROEN C 3 AIRCROSS 1.6 SHINE (esperando alta taller)</t>
  </si>
  <si>
    <t>AA751YM</t>
  </si>
  <si>
    <t>TOYOTA ETIOS 1.5 4 PTAS XLS 4AT L/18 (JAI AMPLIACION QUE PEDISTE)</t>
  </si>
  <si>
    <t>CITROEN C 4 1.6 I 5 PTAS X PACK CONNECT</t>
  </si>
  <si>
    <t>JKN048</t>
  </si>
  <si>
    <t>TOYOTA ETIOS 1.5 5 PTAS XS</t>
  </si>
  <si>
    <t>PCB883</t>
  </si>
  <si>
    <t xml:space="preserve"> VOLKSWAGEN UP! 5 PTAS HIGH</t>
  </si>
  <si>
    <t>PEM404</t>
  </si>
  <si>
    <t>CITROEN BERLINGO MULTISPACE 1.9 D 2PL FULL</t>
  </si>
  <si>
    <t>GAL509</t>
  </si>
  <si>
    <t>FORD FOCUS L/14 2.0 5 P SE PLUS</t>
  </si>
  <si>
    <t>NIX352</t>
  </si>
  <si>
    <t>TOYOTA COROLLA 1.8 XEI L/14 (reclamado 11/7) - (14/7 ahi me la paso)</t>
  </si>
  <si>
    <t>AA135QV</t>
  </si>
  <si>
    <t>FORD FIESTA 1.6 4P TITANIUM (KD) L/18 (esperando respuesta de alfredo)</t>
  </si>
  <si>
    <t>PJU665</t>
  </si>
  <si>
    <t>VOLKSWAGEN AMAROK 20TD 4X4 DC HIGHLINE 180HP PK AT</t>
  </si>
  <si>
    <t>AB378UF</t>
  </si>
  <si>
    <t>TOYOTA YARIS 1.5 4 PTAS XS(esperando que emi me confirme mano de obra)</t>
  </si>
  <si>
    <t>AD787HR</t>
  </si>
  <si>
    <t>FORD RANGER 2.5 SC 4X2 L/16 XL SAFETY (cargado, esperando confirmacion taller)</t>
  </si>
  <si>
    <t>AA648VP</t>
  </si>
  <si>
    <t xml:space="preserve">FIAT ARGO 1.3 DRIVE GSE </t>
  </si>
  <si>
    <t>AC576RP</t>
  </si>
  <si>
    <t>TOYOTA HILUX L/20 2.4 SC 4X2 TDI DX</t>
  </si>
  <si>
    <t>AF391GZ</t>
  </si>
  <si>
    <t>AD533FE</t>
  </si>
  <si>
    <t>VOLKSWAGEN T-CROSS 1.0 200 TSI COMFORTLINE TIP</t>
  </si>
  <si>
    <t>AF305FP</t>
  </si>
  <si>
    <t>CHEVROLET CRUZE 1.8 4 PTAS LT</t>
  </si>
  <si>
    <t>CITROEN BASALT 1.0 T200 1ST EDITION</t>
  </si>
  <si>
    <t>AH230IQ</t>
  </si>
  <si>
    <t>AF987EC</t>
  </si>
  <si>
    <t>TOYOTA HILUX L/12 3.0 DC 4X4 TDI SRV</t>
  </si>
  <si>
    <t>NOP989</t>
  </si>
  <si>
    <t>TOYOTA YARIS 1.5 5 PTAS S CVT L/22  (esperando que emi me confirme mano de obra)</t>
  </si>
  <si>
    <t>AG547DF</t>
  </si>
  <si>
    <t xml:space="preserve">AG739XQ </t>
  </si>
  <si>
    <t>CHEVROLET CRUZE 1.4 4 PTAS PREMIER AT</t>
  </si>
  <si>
    <t>AE115XL</t>
  </si>
  <si>
    <t xml:space="preserve">TOYOTA ETIOS 1.5 5 PTAS XLS 6MT  </t>
  </si>
  <si>
    <t>AB642QD</t>
  </si>
  <si>
    <t>AE944WG</t>
  </si>
  <si>
    <t>OVY205</t>
  </si>
  <si>
    <t>NISSAN KICKS 1.6 EXCLUSIVE CVT L/22</t>
  </si>
  <si>
    <t>AG495VU</t>
  </si>
  <si>
    <t>FIAT CRONOS 1.3 PRECISION CVT L/22 (Esperando respuesta gestora)</t>
  </si>
  <si>
    <t>AE657BJ</t>
  </si>
  <si>
    <t>AD333XS</t>
  </si>
  <si>
    <t>VOLKSWAGEN SURAN 1.6 TRENDLINE L/10</t>
  </si>
  <si>
    <t>MIM415</t>
  </si>
  <si>
    <t>HONDA CRV 2.4 4X4 EXL AUT L/12</t>
  </si>
  <si>
    <t>MYC586</t>
  </si>
  <si>
    <t>AG408XC</t>
  </si>
  <si>
    <t>AC290FD</t>
  </si>
  <si>
    <t>CHEVROLET ONIX 1.4 LTZ L/17  (Esperando que lo migren)</t>
  </si>
  <si>
    <t>AC897IB</t>
  </si>
  <si>
    <t>2008 1.0 T 200 ACTIVE CVT</t>
  </si>
  <si>
    <t>AH374IP</t>
  </si>
  <si>
    <t>FORD TERRITORY 1.8T TITANIUM (reclamado 7/7)</t>
  </si>
  <si>
    <t>AG851NC</t>
  </si>
  <si>
    <t>AF908MS</t>
  </si>
  <si>
    <t>CHERY QQ 1.0 CONFORT SECURITY</t>
  </si>
  <si>
    <t>AA121CL</t>
  </si>
  <si>
    <t>AF010KY</t>
  </si>
  <si>
    <t xml:space="preserve">CITROEN JUMPER 2.2 HDI FURGON L2 H2 </t>
  </si>
  <si>
    <t>AF036NK</t>
  </si>
  <si>
    <t>FORD RANGER 2.2 TDI DC 4X2 L/19 XL (reclamado 11/7 - avise en notion)</t>
  </si>
  <si>
    <t xml:space="preserve">TOYOTA YARIS 1.5 5 PTAS XS CVT </t>
  </si>
  <si>
    <t>FORD ECO SPORT 2.0 TITANIUM AUT L/18</t>
  </si>
  <si>
    <t xml:space="preserve"> TOYOTA YARIS 1.5 5 PTAS S CVT</t>
  </si>
  <si>
    <t>AD657ML</t>
  </si>
  <si>
    <t>AA287TC</t>
  </si>
  <si>
    <t>ENAULT KANGOO EXPRESS 1.6 CONFORT SCE L/18</t>
  </si>
  <si>
    <t>AD508XX</t>
  </si>
  <si>
    <t>FIAT CRONOS 1.3 DRIVE L/22 (Emiliano esta en consulta con alfredo)</t>
  </si>
  <si>
    <t>AF241RO</t>
  </si>
  <si>
    <t>AB737HK</t>
  </si>
  <si>
    <t>AF084VT</t>
  </si>
  <si>
    <t>RENAULT DUSTER 1.3T 4X2 ICONIC CVT L/23</t>
  </si>
  <si>
    <t>AG446DD</t>
  </si>
  <si>
    <t xml:space="preserve">VOLKSWAGEN POLO 1.6 L/18 COM. 5 P </t>
  </si>
  <si>
    <t>AE121AR</t>
  </si>
  <si>
    <t>AC490QW</t>
  </si>
  <si>
    <t>VOLKSWAGEN POLO 1.9 SD (RECLAMO DE TERCERO IP X  FOTOS Y OFRECER)</t>
  </si>
  <si>
    <t>FSJ388</t>
  </si>
  <si>
    <t>PEUGEOT 307 1.6 5 P. XS L/N</t>
  </si>
  <si>
    <t>GPF910</t>
  </si>
  <si>
    <t>VOLKSWAGEN VENTO 2.0 T GLI DSG L/19</t>
  </si>
  <si>
    <t>AE157SR</t>
  </si>
  <si>
    <t>AF106ZR</t>
  </si>
  <si>
    <t xml:space="preserve">NISSAN KICKS 1.6 EXCLUSIVE CVT L/22 </t>
  </si>
  <si>
    <t xml:space="preserve"> NPC959</t>
  </si>
  <si>
    <t>AG719PZ</t>
  </si>
  <si>
    <t>TOYOTA ETIOS 1.5 5 PTAS XLS 4AT L/18 (No me paso nada)</t>
  </si>
  <si>
    <t>AC965YX</t>
  </si>
  <si>
    <t>AD894QN</t>
  </si>
  <si>
    <t>FORD RANGER 2.8 TDI DC 4X2 L/04 XLT</t>
  </si>
  <si>
    <t>EYR494</t>
  </si>
  <si>
    <t>ccastelao@ext.sancorseguros.com</t>
  </si>
  <si>
    <t xml:space="preserve">RENAULT KANGOO EXPRESS 1.6 CONFORT SCE </t>
  </si>
  <si>
    <t>AF224YW</t>
  </si>
  <si>
    <t>VOLKSWAGEN GOL TREND 1.6 5 P L/13 HIGHLINE</t>
  </si>
  <si>
    <t>PAT799</t>
  </si>
  <si>
    <t>AE270UG</t>
  </si>
  <si>
    <t>AG480OW</t>
  </si>
  <si>
    <t>OWV910</t>
  </si>
  <si>
    <t xml:space="preserve"> Chevrolet Classic (esperando que lo migren)</t>
  </si>
  <si>
    <t>KYK368</t>
  </si>
  <si>
    <t>VOLKSWAGEN FOX 1.6 3 P. COMFORTLINE L/10 PACK</t>
  </si>
  <si>
    <t>JMK438</t>
  </si>
  <si>
    <t>PEUGEOT 2008 1.6 ALLURE L/19 (Esperando datos para dar de alta y enviar orden)</t>
  </si>
  <si>
    <t>AE028DH</t>
  </si>
  <si>
    <t>VOLKSWAGEN T-CROSS 1.0 200 TSI COMFORTLINE TIP.</t>
  </si>
  <si>
    <t>AG167NS</t>
  </si>
  <si>
    <t>RENAULT LOGAN II 1.6 16V PRIVILEGE PLUS</t>
  </si>
  <si>
    <t>AB389ES</t>
  </si>
  <si>
    <t>AE535SL</t>
  </si>
  <si>
    <t>CHRYSLER JEEP COMPASS 1.3T 270 SERIE-S AT6 L/24</t>
  </si>
  <si>
    <t>AH128YU</t>
  </si>
  <si>
    <t>CITROEN C 4 CACTUS 1.6 VTI FEEL PK</t>
  </si>
  <si>
    <t>AF007IC</t>
  </si>
  <si>
    <t>AD778RU</t>
  </si>
  <si>
    <t>CHEVROLET TRACKER 1.2 TURBO AT6</t>
  </si>
  <si>
    <t>AG385ZU</t>
  </si>
  <si>
    <t>AF567GF</t>
  </si>
  <si>
    <t>AB069IR</t>
  </si>
  <si>
    <t>CHEVROLET CRUZE 1.4 4 PTAS LT (acordando emi)</t>
  </si>
  <si>
    <t>PEUGEOT PARTNER 1.6 CONFORT (No me paso nada)</t>
  </si>
  <si>
    <t>AC386HK</t>
  </si>
  <si>
    <t>PEUGEOT 308 1.6 THP SPORT TIPTRONIC</t>
  </si>
  <si>
    <t>NLV287</t>
  </si>
  <si>
    <t xml:space="preserve"> PEUGEOT PARTNER 1.6 HDI CONFORT PLC AB L10/17</t>
  </si>
  <si>
    <t>AC832SC</t>
  </si>
  <si>
    <t>FIAT SIENA 1.4 FIRE WAY II (No me paso nada)</t>
  </si>
  <si>
    <t>NCB781</t>
  </si>
  <si>
    <t>AE102AR</t>
  </si>
  <si>
    <t xml:space="preserve">VOLKSWAGEN GOL 1.6 5 P TREND L/13 PK 1 </t>
  </si>
  <si>
    <t>MDM332</t>
  </si>
  <si>
    <t>OOF886</t>
  </si>
  <si>
    <t>CHEVROLET CRUZE 1.4 5 PTAS LT AT</t>
  </si>
  <si>
    <t>AF377RL</t>
  </si>
  <si>
    <t>CITROEN C 4 CACTUS 1.6 THP NOIR AT L/23</t>
  </si>
  <si>
    <t>AG585NO</t>
  </si>
  <si>
    <t>TOYOTA COROLLA CROSS 1.8 SEG HEV E-CVT L/24 (reclamado 28/7 )</t>
  </si>
  <si>
    <t>AG872BE</t>
  </si>
  <si>
    <t xml:space="preserve">FORD ECO SPORT 1.5 SE L/18 </t>
  </si>
  <si>
    <t>AE403WX</t>
  </si>
  <si>
    <t xml:space="preserve">RENAULT KANGOO 2 EXPRESS 1.6 CON. 2 PLC 5AS L/14 </t>
  </si>
  <si>
    <t>OMK663</t>
  </si>
  <si>
    <t>TOYOTA ETIOS 1.5 4 PTAS XLS 6MT (me lo paso el 21/7, en consulta en notion)</t>
  </si>
  <si>
    <t>AA203FYM</t>
  </si>
  <si>
    <t>AE794RG</t>
  </si>
  <si>
    <t xml:space="preserve">VOLKSWAGEN SURAN CROSS 1.6 HIGHLINE L/14 </t>
  </si>
  <si>
    <t>OKQ675</t>
  </si>
  <si>
    <t>FIAT GRAND SIENA 1.4 ATTRACTIVE L/14  (Emi esta renegociando, estaba mal el presu)</t>
  </si>
  <si>
    <t>AC170XE</t>
  </si>
  <si>
    <t>VOLKSWAGEN AMAROK 20TD 4X4 DC HIG.180HP A L17</t>
  </si>
  <si>
    <t>AE931ZT</t>
  </si>
  <si>
    <t>AB692IV</t>
  </si>
  <si>
    <t xml:space="preserve"> PEUGEOT PARTNER 1.6 HDI CONFORT PLC L10/17 </t>
  </si>
  <si>
    <t>KAW673</t>
  </si>
  <si>
    <t>FIAT LINEA ABSOLUTE</t>
  </si>
  <si>
    <t>NPU566</t>
  </si>
  <si>
    <t xml:space="preserve">VOLKSWAGEN NIVUS 200 TSI HIGHLINE AT </t>
  </si>
  <si>
    <t>AF428UN</t>
  </si>
  <si>
    <t>NXT078</t>
  </si>
  <si>
    <t>AF901UC</t>
  </si>
  <si>
    <t>AC441KV</t>
  </si>
  <si>
    <t>AC901KZ</t>
  </si>
  <si>
    <t>VOLKSWAGEN AMAROK 30TD 4X4 DC AT 258HP EXTRE. (me tira error)</t>
  </si>
  <si>
    <t>AD296IQ</t>
  </si>
  <si>
    <t>FIAT MOBI WAY (me la paso 17/7)</t>
  </si>
  <si>
    <t>FIAT PUNTO 1.4 ATTRACTIVE L/13 TOP (no me paso nada)</t>
  </si>
  <si>
    <t>PGT431</t>
  </si>
  <si>
    <t>AG335ZJ</t>
  </si>
  <si>
    <t>PBU674</t>
  </si>
  <si>
    <t xml:space="preserve">CITROEN C 3 1.6 VTI FEEL AUT BT </t>
  </si>
  <si>
    <t>AD460ZS</t>
  </si>
  <si>
    <t>TOYOTA YARIS 1.5 5 PTAS S CVT L/20</t>
  </si>
  <si>
    <t>HONDA CIVIC 1.8 EXS L/12 AUT</t>
  </si>
  <si>
    <t>NJK963</t>
  </si>
  <si>
    <t>AE501PA</t>
  </si>
  <si>
    <t>LLU785</t>
  </si>
  <si>
    <t xml:space="preserve">VOLKSWAGEN GOL TREND 1.6 5 P L/13 PK 1 </t>
  </si>
  <si>
    <t xml:space="preserve"> RENAULT SANDERO STEPWAY II 1.6 PRIVILEGE </t>
  </si>
  <si>
    <t>PBO804</t>
  </si>
  <si>
    <t>AG708FL</t>
  </si>
  <si>
    <t>VOLKSWAGEN GOL TREND 1.6 5 P PK 3</t>
  </si>
  <si>
    <t>IWL613</t>
  </si>
  <si>
    <t xml:space="preserve">TOYOTA HILUX L/24 2.8 DC 4X4 TDI SR AT6 </t>
  </si>
  <si>
    <t>AH184EK</t>
  </si>
  <si>
    <t>OKK514</t>
  </si>
  <si>
    <t>CITROEN JUMPY 1.6 HDI BUSINESS L3 (25/7 cierro con catalogo)</t>
  </si>
  <si>
    <t>AF404ZD</t>
  </si>
  <si>
    <t>CHRYSLER JEEP RENEGADE 1.8 4X2 SPORT AT (esperando confirmacion de taller)</t>
  </si>
  <si>
    <t>AD437MU</t>
  </si>
  <si>
    <t>VOLKSWAGEN NIVUS 200 TSI HIGHLINE AT HERO  (no me paso nada)</t>
  </si>
  <si>
    <t>AE780BW</t>
  </si>
  <si>
    <t>AA199CT</t>
  </si>
  <si>
    <t>PEUGEOT 208 1.5 5P ALLURE NAV</t>
  </si>
  <si>
    <t>MTP352</t>
  </si>
  <si>
    <t>jsperoni@ext.sancorseguros.com</t>
  </si>
  <si>
    <t>RENAULT CLIO MIO 1.2 3 P CONFORT PLUS ABCP</t>
  </si>
  <si>
    <t>NTI579</t>
  </si>
  <si>
    <t>TOYOTA HILUX SW4 TDI SR L/16</t>
  </si>
  <si>
    <t>AD645TG</t>
  </si>
  <si>
    <t>AD859BR</t>
  </si>
  <si>
    <t xml:space="preserve">PEUGEOT 208 L/20 1.6 STYLE TIPTRONIC </t>
  </si>
  <si>
    <t>AG068CA</t>
  </si>
  <si>
    <t>CHRYSLER RAM RAMPAGE 2.0 T D/CAB 4X4 R/T AT  (me la paso 17/7)</t>
  </si>
  <si>
    <t>AG480KA</t>
  </si>
  <si>
    <t>AF620CZ</t>
  </si>
  <si>
    <t>OLC323</t>
  </si>
  <si>
    <t>MOTOMEL 150 STRATO ALPINO (Pedido a taller)</t>
  </si>
  <si>
    <t>A139KVO</t>
  </si>
  <si>
    <t xml:space="preserve">CHRYSLER JEEP RENEGADE 1.8 4X2 SPORT  </t>
  </si>
  <si>
    <t>AB248DA</t>
  </si>
  <si>
    <t>AA865AT</t>
  </si>
  <si>
    <t>AB186QI</t>
  </si>
  <si>
    <t>AH128WZ</t>
  </si>
  <si>
    <t>PEUGEOT 208 L/23 1.6 ACTIVE PACK TIPTRONIC (reclamado 23/7)</t>
  </si>
  <si>
    <t>AF951DM</t>
  </si>
  <si>
    <t>AG437DQ</t>
  </si>
  <si>
    <t>AA261TZ</t>
  </si>
  <si>
    <t>VOLKSWAGEN GOL TREND 1.6 5 P PK 2</t>
  </si>
  <si>
    <t>IVI168</t>
  </si>
  <si>
    <t>FORD ECO SPORT 1.6 SE L/13 (reclamado 23/7)</t>
  </si>
  <si>
    <t>NGF396</t>
  </si>
  <si>
    <t>NZD250</t>
  </si>
  <si>
    <t>FORD RANGER 2.0 TDI DC 4X4 L/23 XLT 10AT (esperando que la migren)</t>
  </si>
  <si>
    <t>AG697ME</t>
  </si>
  <si>
    <t xml:space="preserve"> VOLKSWAGEN GOL TREND 1.6 5 P L/13 PK 3 </t>
  </si>
  <si>
    <t>NGG683</t>
  </si>
  <si>
    <t>PEUGEOT 208 L/23 1.6 ACTIVE PACK TIPTRONIC  (no me paso nada)</t>
  </si>
  <si>
    <t>PHS522</t>
  </si>
  <si>
    <t>RENAULT SANDERO STEPWAY PH2 1.6 INTENS L/19 (esperando alta taller)</t>
  </si>
  <si>
    <t>AF331QS</t>
  </si>
  <si>
    <t>FIAT TORO 2.0TDI VOLCANO 4X4 AT L/21</t>
  </si>
  <si>
    <t>AF576ZW</t>
  </si>
  <si>
    <t>AF321ZW</t>
  </si>
  <si>
    <t>AF187TF</t>
  </si>
  <si>
    <t>TOYOTA ETIOS 1.5 5 PTAS XLS PACK 4AT (reclamado6/8) ( me lo paso 7/8)</t>
  </si>
  <si>
    <t>AG049WS</t>
  </si>
  <si>
    <t>AD688KC</t>
  </si>
  <si>
    <t>FIAT MOBI LIKE L/21 (esperando alta taller)</t>
  </si>
  <si>
    <t>AF056BE</t>
  </si>
  <si>
    <t xml:space="preserve">RENAULT SANDERO STEPWAY PH2 1.6 INTENS L/23 </t>
  </si>
  <si>
    <t>AG704VM</t>
  </si>
  <si>
    <t xml:space="preserve">CITROEN BERLINGO FURGON 1.6I BUSINESS </t>
  </si>
  <si>
    <t>AE254VI</t>
  </si>
  <si>
    <t>TOYOTA ETIOS 1.5 5 PTAS XLS PACK 4AT   (no me paso nada)</t>
  </si>
  <si>
    <t>AG062QO</t>
  </si>
  <si>
    <t>TOYOTA YARIS 1.5 5 PTAS S CVT L/22 (no me paso nada)</t>
  </si>
  <si>
    <t>CITROEN C 4 1.6 I 5 PTAS X PACK LOOK   (no me paso nada)</t>
  </si>
  <si>
    <t>LGW684</t>
  </si>
  <si>
    <t>AE540ZD</t>
  </si>
  <si>
    <t>AH163VG</t>
  </si>
  <si>
    <t>VER SI SE ENCUENTRA EN ZONA NUESTRA</t>
  </si>
  <si>
    <t>CHEVROLET SPIN 1.8 ACTIVE 7 AS AUT L/21</t>
  </si>
  <si>
    <t>OZM177</t>
  </si>
  <si>
    <t>MITSUBISHI L200. 2.4 DI-D D/C 4X4 H. POWER AT</t>
  </si>
  <si>
    <t>AE958LX</t>
  </si>
  <si>
    <t>FIAT CRONOS 1.3 DRIVE GSE (no me paso nada)</t>
  </si>
  <si>
    <t>AE104ST</t>
  </si>
  <si>
    <t>FIAT PULSE 1.3 DRIVE CVT (no me paso nada)</t>
  </si>
  <si>
    <t>AH005BU</t>
  </si>
  <si>
    <t>FORD RANGER 3.2 TDI DC 4X2 L/19 XLS</t>
  </si>
  <si>
    <t>AF045RH</t>
  </si>
  <si>
    <t>NISSAN KICKS 1.6 ADVANCE PLUS CVT L/22</t>
  </si>
  <si>
    <t>AG288QI</t>
  </si>
  <si>
    <t>AG163WG</t>
  </si>
  <si>
    <t>VOLKSWAGEN GOL TREND 1.6 5 P L/13 HIGHLINE  (no me paso nada)</t>
  </si>
  <si>
    <t xml:space="preserve">PEUGEOT 408 1.6 ACTIVE </t>
  </si>
  <si>
    <t>VOLKSWAGEN UP! 5 PTAS HIGH (cargado, esperando confirmacion en notion)</t>
  </si>
  <si>
    <t xml:space="preserve">FORD KA 1.5 S L/18 </t>
  </si>
  <si>
    <t>HONDA CITY 1.5 EXL AUT (dijo lucas que le dijiste que no vaya)</t>
  </si>
  <si>
    <t>OJQ421</t>
  </si>
  <si>
    <t>TOYOTA HIACE 2.8 FURGON L2H2  (cargado, esperando confirmacion en notion)</t>
  </si>
  <si>
    <t>FORD FIESTA 1.6 5P S (KD)  (no me paso nada)</t>
  </si>
  <si>
    <t>OIJ049</t>
  </si>
  <si>
    <t>AA683VG</t>
  </si>
  <si>
    <t>CHRYSLER JEEP RENEGADE 1.8 4X2 LONGITUDE AT  (no me paso nada)</t>
  </si>
  <si>
    <t>AE952PG</t>
  </si>
  <si>
    <t>AD485AW</t>
  </si>
  <si>
    <t xml:space="preserve">RENAULT KANGOO EXPRESS 1.6 CONFORT SCE 5 AS L/18 </t>
  </si>
  <si>
    <t>AE769IN</t>
  </si>
  <si>
    <t>PEUGEOT 208 1.6 5P FELINE PK CUIR   (reclamado 28/7 )</t>
  </si>
  <si>
    <t>OMH972</t>
  </si>
  <si>
    <t>RENAULT SANDERO STEPWAY 1.6 PRIVILEGE</t>
  </si>
  <si>
    <t>MGW308</t>
  </si>
  <si>
    <t>RENAULT CLIO 2 1.9 RND 4 PTAS AA</t>
  </si>
  <si>
    <t>DXH737</t>
  </si>
  <si>
    <t>FIAT STRADA 1.4 FIRE ENDURANCE CD</t>
  </si>
  <si>
    <t>AE888VP</t>
  </si>
  <si>
    <t>VOLKSWAGEN FOX 1.6 5 P. COMFORTLINE L/10 PACK  (reclamado 28/7 )</t>
  </si>
  <si>
    <t>KSQ812</t>
  </si>
  <si>
    <t>FORD KA 1.0 FLY VIRAL L/11 (no me paso nada)</t>
  </si>
  <si>
    <t>LTS467</t>
  </si>
  <si>
    <t>AG169RR</t>
  </si>
  <si>
    <t>RENAULT KWID 1.0 ICONIC (no me paso nada)</t>
  </si>
  <si>
    <t>AD254PI</t>
  </si>
  <si>
    <t>FORD FOCUS L/08 2.0 4 P GHIA EXE</t>
  </si>
  <si>
    <t>MAC540</t>
  </si>
  <si>
    <t>AE751CN</t>
  </si>
  <si>
    <t>CITROEN BERLINGO FURGON 1.6 HDI BUSINESS L/23</t>
  </si>
  <si>
    <t>AG704KF</t>
  </si>
  <si>
    <t>FORD RANGER 2.0 TDI DC 4X2 L/23 XL 6MT  (No me paso nada)</t>
  </si>
  <si>
    <t>AG648LU</t>
  </si>
  <si>
    <t xml:space="preserve">RENAULT SANDERO STEPWAY PH2 1.6 ZEN L19 </t>
  </si>
  <si>
    <t>AF263JD</t>
  </si>
  <si>
    <t>FORD KA 1.6 FLY VIRAL L/11</t>
  </si>
  <si>
    <t>LIV365</t>
  </si>
  <si>
    <t xml:space="preserve">VOLKSWAGEN GOL TREND 1.6 5 P L/17 TRENDLINE </t>
  </si>
  <si>
    <t>AC742CX</t>
  </si>
  <si>
    <t xml:space="preserve">PEUGEOT PARTNER 1.6 HDI CONFORT L/23 </t>
  </si>
  <si>
    <t>AG611SN</t>
  </si>
  <si>
    <t xml:space="preserve">FORD RANGER 2.5 DC 4X2 L/14 XL SAFETY </t>
  </si>
  <si>
    <t>NXI487</t>
  </si>
  <si>
    <t>FIAT SIENA 1.4 FIRE WAY II</t>
  </si>
  <si>
    <t>AG381RM</t>
  </si>
  <si>
    <t>AH365PE</t>
  </si>
  <si>
    <t>AF171JB</t>
  </si>
  <si>
    <t xml:space="preserve">PEUGEOT 207 COMPACT 1.6 3 P XT PRE.//GRIFE </t>
  </si>
  <si>
    <t>JBY561</t>
  </si>
  <si>
    <t>AA506XY</t>
  </si>
  <si>
    <t>CHRYSLER JEEP RENEGADE 1.8 4X2 LONGITUDE AT  (esperando que la migren)</t>
  </si>
  <si>
    <t>AE364FD</t>
  </si>
  <si>
    <t>VOLKSWAGEN AMAROK 20TD 4X4 DC HIGHLINE 180HP PK AT (reclamado 31/7)</t>
  </si>
  <si>
    <t>OPI642</t>
  </si>
  <si>
    <t>VOLKSWAGEN POLO 1.6 L/23 MSI TRACK  (ya lo tengo)</t>
  </si>
  <si>
    <t>AG805WJ</t>
  </si>
  <si>
    <t>AF215UR</t>
  </si>
  <si>
    <t>AUDI A3 1.4T FSI L/13 (reclamado 31/7)</t>
  </si>
  <si>
    <t>MSP666</t>
  </si>
  <si>
    <t>LXK562</t>
  </si>
  <si>
    <t>VOLKSWAGEN FOX 1.6 CROSSFOX HIGHLINE L/10 (No me paso nada)</t>
  </si>
  <si>
    <t>LQP837</t>
  </si>
  <si>
    <t xml:space="preserve">VOLKSWAGEN SAVEIRO 1.6 L/10 C/EXT (No me paso nada) </t>
  </si>
  <si>
    <t>JMK529</t>
  </si>
  <si>
    <t>NNF882</t>
  </si>
  <si>
    <t>VOLKSWAGEN AMAROK 20TD 4X4 DC HIGHLINE 180HP</t>
  </si>
  <si>
    <t>OZR985</t>
  </si>
  <si>
    <t>AD238GQ</t>
  </si>
  <si>
    <t>TOYOTA HILUX SW4 TDI SRX AUT L/23   (reclamado6/8)</t>
  </si>
  <si>
    <t>AF989VV</t>
  </si>
  <si>
    <t xml:space="preserve"> CHEVROLET MONTANA 1.2 TURBO LTZ AT6  (reclamado6/8)</t>
  </si>
  <si>
    <t>AG792OS</t>
  </si>
  <si>
    <t>RENAULT CLIO MIO 1.2 WORK</t>
  </si>
  <si>
    <t>AA734CS</t>
  </si>
  <si>
    <t>AG249JQ</t>
  </si>
  <si>
    <t>RENAULT DUSTER 1.6 4X2 INTENS L/24</t>
  </si>
  <si>
    <t>AG611RW</t>
  </si>
  <si>
    <t>TOYOTA HILUX L/16 2.4 DC 4X4 TDI DX  (no me paso nada)</t>
  </si>
  <si>
    <t>AE099NC</t>
  </si>
  <si>
    <t>NHI742</t>
  </si>
  <si>
    <t>TOYOTA HILUX L/20 2.4 DC 4X2 TDI DX (no me paso nada)</t>
  </si>
  <si>
    <t>AE361FG</t>
  </si>
  <si>
    <t>VOLKSWAGEN GOL 1.6 3 P FORMAT/POWER</t>
  </si>
  <si>
    <t>IKU844</t>
  </si>
  <si>
    <t>FIAT MOBI LIKE L/21 (reclamado6/8) ( me lo paso 7/8)</t>
  </si>
  <si>
    <t>AF425CR</t>
  </si>
  <si>
    <t xml:space="preserve">FIAT SIENA 1.4 FIRE AA </t>
  </si>
  <si>
    <t>MAO689</t>
  </si>
  <si>
    <t>HONDA FIT 1.5 EX 5 PTAS L/09//L/13 (esperando que lo migren)</t>
  </si>
  <si>
    <t>JIV034</t>
  </si>
  <si>
    <t>NISSAN NOTE 1.6 SENSE PURE DRIVE</t>
  </si>
  <si>
    <t>AA370ZS</t>
  </si>
  <si>
    <t>FIAT SIENA 1.3 FIRE 16V</t>
  </si>
  <si>
    <t>AB474ZA</t>
  </si>
  <si>
    <t>AA040AK</t>
  </si>
  <si>
    <t>VOLKSWAGEN UP! 5 PTAS WHITE</t>
  </si>
  <si>
    <t>OPG053</t>
  </si>
  <si>
    <t>FORD KA 1.5 SE L/18  (No me paso nada)</t>
  </si>
  <si>
    <t xml:space="preserve">RENAULT SANDERO STEPWAY II 1.6 DYNAMIQUE </t>
  </si>
  <si>
    <t>AB949HY</t>
  </si>
  <si>
    <t>PEUGEOT 208 L/23 1.6 STYLE TIPTRONIC</t>
  </si>
  <si>
    <t xml:space="preserve">FIAT CRONOS 1.3 DRIVE GSE S-DESIGN </t>
  </si>
  <si>
    <t>RENAULT KANGOO 2 EXPRESS 1.6 CON. 2 PLC 5AS L/14 (reclamado 31/7)</t>
  </si>
  <si>
    <t>AC291BW</t>
  </si>
  <si>
    <t>TOYOTA YARIS 1.5 5 PTAS XLS CVT L/22  (reclamado 11/8)</t>
  </si>
  <si>
    <t>AF568QC</t>
  </si>
  <si>
    <t>FIAT CRONOS 1.3 GSE DRIVE PACK PLUS L/23  (reclamado 31/7)</t>
  </si>
  <si>
    <t>AH296CS</t>
  </si>
  <si>
    <t>AA241OQ</t>
  </si>
  <si>
    <t>RENAULT CLIO 2 1.9 RND 4 PTAS AA (No tengo foto, me dijo que ya te aviso)</t>
  </si>
  <si>
    <t>CHEVROLET CELTA 1.4 5 PTAS LS AA</t>
  </si>
  <si>
    <t>LZQ672</t>
  </si>
  <si>
    <t>PEUGEOT 208 1.6 5P FELINE PK CUIR  (te lo deje en notion)</t>
  </si>
  <si>
    <t>AG722EA</t>
  </si>
  <si>
    <t>RENAULT SANDERO II 1.6 16V PRIVILEGE (No me paso nada)</t>
  </si>
  <si>
    <t>AB133MD</t>
  </si>
  <si>
    <t>FIAT CRONOS 1.3 PRECISION CVT L/22  (reclamado 11/8)</t>
  </si>
  <si>
    <t>AH054TF</t>
  </si>
  <si>
    <t xml:space="preserve"> PEUGEOT 208</t>
  </si>
  <si>
    <t>MXE983</t>
  </si>
  <si>
    <t>TOYOTA COROLLA 1.8 XEI L/14 PACK CVT</t>
  </si>
  <si>
    <t>FORD RANGER 3.2 TDI DC 4X4 L/12 XLT LIM.AT (falta solo tapizado de puerta)</t>
  </si>
  <si>
    <t>PEUGEOT 207 COMPACT 1.4 4 P XS//ALLURE   (No me paso nada)</t>
  </si>
  <si>
    <t>OGZ764</t>
  </si>
  <si>
    <t>AH371IL</t>
  </si>
  <si>
    <t>AA423BJ</t>
  </si>
  <si>
    <t>amarco@sancorseguros.com</t>
  </si>
  <si>
    <t>FIAT CRONOS 1.8 PRECISION L/21 (reclamado6/8)</t>
  </si>
  <si>
    <t>AE967HD</t>
  </si>
  <si>
    <t>AD488DD</t>
  </si>
  <si>
    <t>FORD TRANSIT 2.2 TDI FURGON LARGO L/22 TE</t>
  </si>
  <si>
    <t>AG711LP</t>
  </si>
  <si>
    <t>VOLKSWAGEN TAOS 1.4 250 TSI COMFORTLINE AT L/23</t>
  </si>
  <si>
    <t>AG257IX</t>
  </si>
  <si>
    <t>RENAULT CLIO MIO 1.2 3 P EXPRESSION PK1 (Me lo paso 14/8 pero esta mal)</t>
  </si>
  <si>
    <t>MJM174</t>
  </si>
  <si>
    <t>HYUNDAI H100 TRUCK 1.0 GLS TURBO</t>
  </si>
  <si>
    <t>JDC017</t>
  </si>
  <si>
    <t>VOLKSWAGEN GOL 1.6 3 P TREND L/13 PACK 1 (dijo emi que esta al final no fue)</t>
  </si>
  <si>
    <t>NVB983</t>
  </si>
  <si>
    <t>AG628JQ</t>
  </si>
  <si>
    <t>TOYOTA HILUX L/21 2.8 DC 4X4 TDI SR (reclamado 11/8)</t>
  </si>
  <si>
    <t>AE619GI</t>
  </si>
  <si>
    <t>AA160BD</t>
  </si>
  <si>
    <t xml:space="preserve">TOYOTA COROLLA CROSS 2.0 SEG CVT L/24 </t>
  </si>
  <si>
    <t>AG647TE</t>
  </si>
  <si>
    <t>TOYOTA ETIOS 1.5 5 PTAS XLS 4AT L/18  (esta duplicado)</t>
  </si>
  <si>
    <t>AB985BU</t>
  </si>
  <si>
    <t xml:space="preserve"> CITROEN C 4 LOUNGE 2.0 I TENDANCE PK  (esperando que la migren)</t>
  </si>
  <si>
    <t>PHY563</t>
  </si>
  <si>
    <t>AE501PL</t>
  </si>
  <si>
    <t>glezcano@sancorseguros.com</t>
  </si>
  <si>
    <t>VOLKSWAGEN GOL 1.6 5 P TREND L/13 PK 1</t>
  </si>
  <si>
    <t>NZF534</t>
  </si>
  <si>
    <t>FORD RANGER 3.2 TDI DC 4X2 L/16 XLT ( no pidio nada)</t>
  </si>
  <si>
    <t>VOLKSWAGEN TAOS 1.4 250 TSI COMFORTLINE AT L/23  (reclamado 11/8)</t>
  </si>
  <si>
    <r>
      <rPr>
        <sz val="11"/>
        <color rgb="FFFFFFFF"/>
        <rFont val="Aptos Narrow"/>
        <scheme val="minor"/>
      </rPr>
      <t xml:space="preserve">PEUGEOT 208 L/23 1.6 ACTIVE PACK </t>
    </r>
    <r>
      <rPr>
        <b/>
        <sz val="11"/>
        <color rgb="FFFF0000"/>
        <rFont val="Aptos Narrow"/>
        <scheme val="minor"/>
      </rPr>
      <t>(INGRESO A CLEAS)</t>
    </r>
  </si>
  <si>
    <t>AF853RW</t>
  </si>
  <si>
    <t>AC681PR</t>
  </si>
  <si>
    <t>AD274TP</t>
  </si>
  <si>
    <t>AE507SP</t>
  </si>
  <si>
    <t>AB073OG</t>
  </si>
  <si>
    <t>FORD KA 1.0 FLY PLUS</t>
  </si>
  <si>
    <t>HGZ857</t>
  </si>
  <si>
    <r>
      <rPr>
        <sz val="11"/>
        <color rgb="FF000000"/>
        <rFont val="Aptos Narrow"/>
        <scheme val="minor"/>
      </rPr>
      <t xml:space="preserve">CITROEN C 4 CACTUS 1.6 | </t>
    </r>
    <r>
      <rPr>
        <b/>
        <sz val="11"/>
        <color rgb="FFFF0000"/>
        <rFont val="Aptos Narrow"/>
        <scheme val="minor"/>
      </rPr>
      <t>PIDE LA GESTORA NO LIBERAR ORDEN</t>
    </r>
  </si>
  <si>
    <t>AE535SR</t>
  </si>
  <si>
    <t>AD794BV</t>
  </si>
  <si>
    <t>AE875BJ</t>
  </si>
  <si>
    <t>PEUGEOT 307 2.0 5 P. XS PREMIUM CUERO L/N</t>
  </si>
  <si>
    <t>IWL907</t>
  </si>
  <si>
    <t xml:space="preserve">VOLKSWAGEN POLO COMFORTLINE 1.6 MSI 110CV </t>
  </si>
  <si>
    <t>AD687IX</t>
  </si>
  <si>
    <t xml:space="preserve">TOYOTA ETIOS 1.5 4 PTAS XS </t>
  </si>
  <si>
    <t>NMP615</t>
  </si>
  <si>
    <t>VOLKSWAGEN AMAROK 20TD 4X4 DC COMFORT. 180HP L17</t>
  </si>
  <si>
    <t>AB436SI</t>
  </si>
  <si>
    <t>VOLKSWAGEN VOYAGE 1.6</t>
  </si>
  <si>
    <t>NXF913</t>
  </si>
  <si>
    <t xml:space="preserve"> CHEVROLET TRACKER 1.2 TURBO AT6 L/22 </t>
  </si>
  <si>
    <t>AG767XO</t>
  </si>
  <si>
    <t>AC943IK</t>
  </si>
  <si>
    <t>FORD KA 1.5 FREESTYLE SE L/18</t>
  </si>
  <si>
    <t>AE030SH</t>
  </si>
  <si>
    <t>AG231ZX</t>
  </si>
  <si>
    <t>AD002KI</t>
  </si>
  <si>
    <t>PEUGEOT 207 COMPACT 1.4 4 P XS//ALLURE</t>
  </si>
  <si>
    <t>JLB296</t>
  </si>
  <si>
    <t>FIAT TORO 2.0TDI VOLCANO 4X4 AT (siniestro 2003712018 )</t>
  </si>
  <si>
    <t>AF305DM</t>
  </si>
  <si>
    <t>CHRYSLER JEEP RENEGADE 1.8 4X2 SPORT L/22</t>
  </si>
  <si>
    <t>AF810OL</t>
  </si>
  <si>
    <t>CHEVROLET TRACKER 1.8 LTZ+ 4X4 AUT</t>
  </si>
  <si>
    <t>AB628EP</t>
  </si>
  <si>
    <t>VOLKSWAGEN POLO 1.6 COMFORTLINE</t>
  </si>
  <si>
    <t>PEUGEOT 208 L/23 1.6 ACTIVE PACK (no me paso nada)</t>
  </si>
  <si>
    <t>AG224DD</t>
  </si>
  <si>
    <t>FIAT CRONOS 1.3 DRIVE GSE S-DESIGN  (reclamado 19/8 )</t>
  </si>
  <si>
    <t xml:space="preserve">VOLKSWAGEN NIVUS 170 TSI MT </t>
  </si>
  <si>
    <t>AG687AO</t>
  </si>
  <si>
    <t>FORD RANGER 2.5 DC 4X2 L/19 XLT    (reclamado 19/8 )</t>
  </si>
  <si>
    <t>AE257EO</t>
  </si>
  <si>
    <t>PEUGEOT PARTNER PATA. 1.9 D FULL 2PLC</t>
  </si>
  <si>
    <t>FXE782</t>
  </si>
  <si>
    <t>CHEVROLET ONIX 1.0T LT</t>
  </si>
  <si>
    <t>AH437JQ</t>
  </si>
  <si>
    <t>VOLKSWAGEN AMAROK 30TD 4X4 DC AT 224HP COMFOR</t>
  </si>
  <si>
    <t>AE074XD</t>
  </si>
  <si>
    <t>EPG163</t>
  </si>
  <si>
    <t>TOYOTA ETIOS 1.5 4 PTAS XLS (no me paso nada) reclamado nuevamente 18/8</t>
  </si>
  <si>
    <t>NTP303</t>
  </si>
  <si>
    <t>TOYOTA COROLLA CROSS 2.0 SEG CVT</t>
  </si>
  <si>
    <t xml:space="preserve">FIAT UNO 1.4 5 PTAS ATTRACTIVE PACK ELE </t>
  </si>
  <si>
    <t>KZH873</t>
  </si>
  <si>
    <t>TOYOTA ETIOS 1.5 5 PTAS XLS 6MT L/18  (reclamado 26/8)</t>
  </si>
  <si>
    <t>AE035GY</t>
  </si>
  <si>
    <t>RENAULT KWID 1.0 INTENS</t>
  </si>
  <si>
    <t>AC525NZ</t>
  </si>
  <si>
    <t xml:space="preserve">CHEVROLET CELTA 1.4 5 PTAS ADVANTAGE </t>
  </si>
  <si>
    <t>OJQ281</t>
  </si>
  <si>
    <t>VOLKSWAGEN GOL 1.6 5 P TREND L/17 COMFORT</t>
  </si>
  <si>
    <t>AB315XJ</t>
  </si>
  <si>
    <t>VOLKSWAGEN AMAROK 20TD 4X2 DC TRENDLINE L/24</t>
  </si>
  <si>
    <t>AH078JF</t>
  </si>
  <si>
    <t>CITROEN JUMPY 1.5 HDI (no me paso nada)</t>
  </si>
  <si>
    <t>AG880RH</t>
  </si>
  <si>
    <t>PEUGEOT 207 COMPACT 1.6 5 P XS//ALLURE</t>
  </si>
  <si>
    <t>KGZ129</t>
  </si>
  <si>
    <t xml:space="preserve">FIAT TORO 2.0TDI FREEDOM 4X4 AT L/21 </t>
  </si>
  <si>
    <t>AG113EV</t>
  </si>
  <si>
    <t>AB759UP</t>
  </si>
  <si>
    <t xml:space="preserve">RENAULT KARDIAN 1.6 EVOLUTION 156 MT </t>
  </si>
  <si>
    <t>AG872KJ</t>
  </si>
  <si>
    <t xml:space="preserve">RENAULT LOGAN II 1.6 16V ZEN L/19 </t>
  </si>
  <si>
    <t>AE174FJ</t>
  </si>
  <si>
    <t xml:space="preserve">FIAT TORO 2.0TDI FREEDOM 4X2 </t>
  </si>
  <si>
    <t>AC128LW</t>
  </si>
  <si>
    <t>AG697KD</t>
  </si>
  <si>
    <t>RENAULT KANGOO 2 1.6.EXPRESS 1 PLC CON. AA</t>
  </si>
  <si>
    <t>JZS468</t>
  </si>
  <si>
    <t>CHRYSLER RAM RAMPAGE 2.0 T D/CAB 4X4 REBEL AT</t>
  </si>
  <si>
    <t>AG507ZX</t>
  </si>
  <si>
    <t>AD830LP</t>
  </si>
  <si>
    <t>AD363JH</t>
  </si>
  <si>
    <t>AD120IJ</t>
  </si>
  <si>
    <t>OSC913</t>
  </si>
  <si>
    <t>AA979WA</t>
  </si>
  <si>
    <t>LKL731</t>
  </si>
  <si>
    <t>FORD KA 1.5 S+ L/18    (reclamado 19/8 )</t>
  </si>
  <si>
    <t>AE478AF</t>
  </si>
  <si>
    <t>FIAT FASTBACK 1.3 T 270 AT6</t>
  </si>
  <si>
    <t>AH320WC</t>
  </si>
  <si>
    <t xml:space="preserve">VOLKSWAGEN GOL TREND 1.6 5 P L/13 PK 2 </t>
  </si>
  <si>
    <t>LCU670</t>
  </si>
  <si>
    <t xml:space="preserve"> CITROEN BERLINGO FURGON 1.6 HDI SEGURIDAD </t>
  </si>
  <si>
    <t>LWM900</t>
  </si>
  <si>
    <t>AB959SL</t>
  </si>
  <si>
    <t xml:space="preserve"> CITROEN C 4 LOUNGE 1.6 THP FEEL L/18 PACK </t>
  </si>
  <si>
    <t>AD015NV</t>
  </si>
  <si>
    <t xml:space="preserve">FORD TRANSIT 2.2 TDI FURGON LARGO L/22 TE </t>
  </si>
  <si>
    <t>AG151JP</t>
  </si>
  <si>
    <t xml:space="preserve">TOYOTA COROLLA 1.8 XLI L/17 CVT  (no me paso nada)  </t>
  </si>
  <si>
    <t>AD003WQ</t>
  </si>
  <si>
    <t>OXI933</t>
  </si>
  <si>
    <t>PFO310</t>
  </si>
  <si>
    <t>VOLKSWAGEN UP! 5 PTAS WHITE (esperando para ver como avanzar con el 50%)</t>
  </si>
  <si>
    <t xml:space="preserve"> VOLKSWAGEN TAOS 1.4 250 TSI HIGHLINE AT L/23  (no me paso nada)</t>
  </si>
  <si>
    <t>AG142UF</t>
  </si>
  <si>
    <t>AG954HD</t>
  </si>
  <si>
    <t>PEUGEOT 208 L/20 1.6 FELINE TIPTRONIC (esperando alta taller)</t>
  </si>
  <si>
    <t>AE926MQ</t>
  </si>
  <si>
    <t>HYUNDAI CRETA 1.6 STYLE AT</t>
  </si>
  <si>
    <t>AE996WC</t>
  </si>
  <si>
    <t>RENAULT CAPTUR 2.0 ZEN  (no me paso nada)</t>
  </si>
  <si>
    <t>AD818IW</t>
  </si>
  <si>
    <t>PMF261</t>
  </si>
  <si>
    <t>AF671OR</t>
  </si>
  <si>
    <t>CHEVROLET ONIX 1.4 LTZ L/17 (no me paso nada)</t>
  </si>
  <si>
    <t>CHEVROLET PRISMA 1.4 LTZ L/17 (no me paso nada)</t>
  </si>
  <si>
    <t>AB357ER</t>
  </si>
  <si>
    <t>FORD KA 1.5 S L/18 (vio un corolla, no un ka. Esperando confirmacion)</t>
  </si>
  <si>
    <t>AE578CW</t>
  </si>
  <si>
    <t>CITROEN C 4 CACTUS 1.6 VTI FEEL PK (no me paso nada)</t>
  </si>
  <si>
    <t>AE369FV</t>
  </si>
  <si>
    <t>FORD KA 1.6 FLY VIRAL L/11 (Esperando alta taller)</t>
  </si>
  <si>
    <t>LRQ813</t>
  </si>
  <si>
    <t>AA406OK</t>
  </si>
  <si>
    <t>FORD KA 1.5 SE AUT L/18  (reclamado 26/8)</t>
  </si>
  <si>
    <t>AE098OM</t>
  </si>
  <si>
    <t xml:space="preserve">VOLKSWAGEN VENTO 1.4TSI COMFORT.AQ TIP. L/18  </t>
  </si>
  <si>
    <t>AE144BD</t>
  </si>
  <si>
    <t>TOYOTA COROLLA 1.8 SE-G L/11 AUT</t>
  </si>
  <si>
    <t>NQD108</t>
  </si>
  <si>
    <t>VOLKSWAGEN GOL TREND 1.6 5 P (Se paso para el 20/8)</t>
  </si>
  <si>
    <t>PEUGEOT 208 L/24 1.0 T 200 GT CVT</t>
  </si>
  <si>
    <t>AG965RB</t>
  </si>
  <si>
    <t>AE594DM</t>
  </si>
  <si>
    <t>VOLKSWAGEN SURAN CROSS 1.6 HIGH (este me dijo emi que taller no le responde)</t>
  </si>
  <si>
    <t>VOLKSWAGEN GOL 1.6 5 P COMFORTLINE L/19</t>
  </si>
  <si>
    <t>AD549UL</t>
  </si>
  <si>
    <t>TOYOTA ETIOS 1.5 5 PTAS XS 6MT (reclamado 26/8)</t>
  </si>
  <si>
    <t>AA051TY</t>
  </si>
  <si>
    <t>Toyota corolla 1.8 xei l/14 pack</t>
  </si>
  <si>
    <t>Obd655</t>
  </si>
  <si>
    <t>AD417BD</t>
  </si>
  <si>
    <t>OSS079</t>
  </si>
  <si>
    <t>AH316BS</t>
  </si>
  <si>
    <t>AC187SG</t>
  </si>
  <si>
    <t>FORD MAVERICK 2.0T 2WD XLT AT8</t>
  </si>
  <si>
    <t>AF809UY</t>
  </si>
  <si>
    <t>PEUGEOT 208 L/20 1.2 LIKE (en consulta si proveen neumaticos)</t>
  </si>
  <si>
    <t>AF442FK</t>
  </si>
  <si>
    <t>PEUGEOT 2008 1.6 FELINE (no me paso nada)</t>
  </si>
  <si>
    <t>AA033DX</t>
  </si>
  <si>
    <t>VOLKSWAGEN SURAN 1.6 HIGHLINE L/14</t>
  </si>
  <si>
    <t>MUY321</t>
  </si>
  <si>
    <t>OSH981</t>
  </si>
  <si>
    <t>PEUGEOT BOXER 2.2 HDI FURGON PREMIUM MH</t>
  </si>
  <si>
    <t>AF737GJ</t>
  </si>
  <si>
    <t>PEUGEOT 208 1.5 5P ALLURE</t>
  </si>
  <si>
    <t>OLY798</t>
  </si>
  <si>
    <t xml:space="preserve">PEUGEOT 208 1.5 5P ALLURE </t>
  </si>
  <si>
    <t>AG232EH</t>
  </si>
  <si>
    <t>FIAT CRONOS 1.3 DRIVE L/22 CVT (reclamado 26/8)</t>
  </si>
  <si>
    <t>mdambrosio@ext.sancorseguros.com</t>
  </si>
  <si>
    <t>PFD219</t>
  </si>
  <si>
    <t xml:space="preserve">CITROEN C 3 1.6 VTI EXCLUSIVE PACK MY WAY </t>
  </si>
  <si>
    <t>NSM710</t>
  </si>
  <si>
    <t>AF975CN</t>
  </si>
  <si>
    <t>MERCEDES BENZ C 250 CGI  (hablado con Alfre, cotizando por wp)</t>
  </si>
  <si>
    <t>LCN742</t>
  </si>
  <si>
    <t>CHRYSLER JEEP RENEGADE 1.8 4X2 SPORT L/24 AT  (no me paso nada)</t>
  </si>
  <si>
    <t>RENAULT SANDERO STEPWAY 1.6 CONFORT L/11</t>
  </si>
  <si>
    <t>LLC699</t>
  </si>
  <si>
    <t xml:space="preserve">VOLKSWAGEN GOL TREND 1.6 5 P L/17 TRENDLINE  (no me paso nada) </t>
  </si>
  <si>
    <t>AA507LE</t>
  </si>
  <si>
    <t xml:space="preserve">CHRYSLER JEEP RENEGADE 1.3T 4X2 SERIE-S L/24 AT </t>
  </si>
  <si>
    <t>AH019KR</t>
  </si>
  <si>
    <t>NISSAN PICK-UP FRONTIER L/19 2.3 DC 4X4 XE</t>
  </si>
  <si>
    <t>AD620EP</t>
  </si>
  <si>
    <t>DAR DE BAJA</t>
  </si>
  <si>
    <t>PBF226</t>
  </si>
  <si>
    <t>AG388YT</t>
  </si>
  <si>
    <t>TOYOTA HILUX L/21 2.8 DC 4X2 TDI SRX AT6</t>
  </si>
  <si>
    <t xml:space="preserve">FORD FIESTA 1.6 5P S (KD) (no me paso nada) </t>
  </si>
  <si>
    <t>OZG557</t>
  </si>
  <si>
    <t>RENAULT CLIO 2 F2 1.2 3 P. AUTHENTIQ PK I (esperando alta taller)</t>
  </si>
  <si>
    <t>LXQ531</t>
  </si>
  <si>
    <t>LMR678</t>
  </si>
  <si>
    <t>AD311NJ</t>
  </si>
  <si>
    <t>AA559NR</t>
  </si>
  <si>
    <t>FORD FIESTA 1.6 5P S (KD)  (a la espera de carta de halazgo actualizada)</t>
  </si>
  <si>
    <t>AA928KP</t>
  </si>
  <si>
    <t>PEUGEOT 208 L/22 1.6 ROADTRIP TIPTRONIC (esperando alta taller)</t>
  </si>
  <si>
    <t>AG257SD</t>
  </si>
  <si>
    <t>CHEVROLET CLASSIC 1.4 4 PTAS LT PACK  (esperando que la migren)</t>
  </si>
  <si>
    <t>MII919</t>
  </si>
  <si>
    <t>AC829IU</t>
  </si>
  <si>
    <t>AF879KO</t>
  </si>
  <si>
    <t>RENAULT LOGAN 1.6 8V BASE</t>
  </si>
  <si>
    <t>IDM901</t>
  </si>
  <si>
    <t>27/8/2025</t>
  </si>
  <si>
    <t xml:space="preserve">RENAULT SANDERO STEPWAY II 1.6 VOLCOM </t>
  </si>
  <si>
    <t>LZC598</t>
  </si>
  <si>
    <t xml:space="preserve">VOLKSWAGEN SURAN 1.6 TRENDLINE L/10 </t>
  </si>
  <si>
    <t>LBK660</t>
  </si>
  <si>
    <t>AF192FE</t>
  </si>
  <si>
    <t xml:space="preserve">TOYOTA ETIOS 1.5 4 PTAS X 6MT L/18 </t>
  </si>
  <si>
    <t>AG602YY</t>
  </si>
  <si>
    <t>RENAULT CLIO MIO 1.2 5 P DYNAMIQUE (esperando informacion nico)</t>
  </si>
  <si>
    <t>AA336UO</t>
  </si>
  <si>
    <t>RENAULT KANGOO EXPRESS 1.5 DCI CON. L/18</t>
  </si>
  <si>
    <t>AD549ME</t>
  </si>
  <si>
    <t>CHEVROLET P-UP S10 2.8TD DC 4X4 Z71 AT</t>
  </si>
  <si>
    <t>AG368YE</t>
  </si>
  <si>
    <t>IVECO DAILY 35.10 CHASIS D/CAB</t>
  </si>
  <si>
    <t>DSW190</t>
  </si>
  <si>
    <t>VOLKSWAGEN AMAROK 30TD 4X4 DC AT 258HP EXTRE. (a la espera de confirmacion)</t>
  </si>
  <si>
    <t>AG549PV</t>
  </si>
  <si>
    <t>VOLKSWAGEN POLO 1.6 L/18 TRENDLINE 5 P (esperando alta taller )</t>
  </si>
  <si>
    <t>AC661WE</t>
  </si>
  <si>
    <t>RENAULT CLIO MIO 1.2 3 P CONFORT PLUS</t>
  </si>
  <si>
    <t>NQN923</t>
  </si>
  <si>
    <t>VOLKSWAGEN GOL 1.6 5 P TREND L/17 (Fue ausente) (dijo emi que fue ausente)</t>
  </si>
  <si>
    <t>AE159TN</t>
  </si>
  <si>
    <t>TOYOTA YARIS 1.5 5 PTAS S CVT L/20 (no me paso nada)</t>
  </si>
  <si>
    <t>AE877WZ</t>
  </si>
  <si>
    <t>FORD ECO SPORT 1.6 FREESTYLE L/13 (no me paso nada)</t>
  </si>
  <si>
    <t>PNG260</t>
  </si>
  <si>
    <t>PEUGEOT PARTNER 1.6 HDI CONFORT 5 PLAZAS (en consulta con lucas)</t>
  </si>
  <si>
    <t>PEUGEOT BOXER 2.2 HDI CHASIS PREMIUM CC</t>
  </si>
  <si>
    <t>AD245NK</t>
  </si>
  <si>
    <t>VOLKSWAGEN SURAN CROSS 1.6 HIGHLINE  (ESPERANDO RESPUESTA RPSTERO)</t>
  </si>
  <si>
    <t>AC582JX</t>
  </si>
  <si>
    <t>RENAULT SANDERO 1.6 8V PACK L/11</t>
  </si>
  <si>
    <t>KTJ737</t>
  </si>
  <si>
    <t xml:space="preserve">IVECO STRALIS HI WAY 600 S44T 3200 EURO.6X2 </t>
  </si>
  <si>
    <t>AF395YG</t>
  </si>
  <si>
    <t>CHRYSLER JEEP RENEGADE 1.8 4X2 SPORT L/24 AT (me lo paso, estaba mal)</t>
  </si>
  <si>
    <t>AF781GA</t>
  </si>
  <si>
    <t>PEUGEOT PARTNER PATA. 1.6HDI VTC PL L10/17  (no me paso nada)</t>
  </si>
  <si>
    <t>AF384CV</t>
  </si>
  <si>
    <t>CHEVROLET CLASSIC 1.4 4 PTAS LS</t>
  </si>
  <si>
    <t>JWZ583</t>
  </si>
  <si>
    <t xml:space="preserve">RENAULT KANGOO 2 1.6 AUTHENTIQUE 1 PLC </t>
  </si>
  <si>
    <t xml:space="preserve">MUF813 </t>
  </si>
  <si>
    <t>RENAULT CLIO MIO 1.2 5 P EXPRESSION PK1  (reclamado)</t>
  </si>
  <si>
    <t xml:space="preserve">MDQ258 </t>
  </si>
  <si>
    <t>RENAULT SANDERO STEPWAY PH2 1.6 INTENS CVT L/23</t>
  </si>
  <si>
    <t>AG658AX</t>
  </si>
  <si>
    <t>vlongo@sancorseguros.com</t>
  </si>
  <si>
    <t>RENAULT MEGANE F/2 5P 1.6 AUTHENTIQ PK (esperando datos para cargarlo)</t>
  </si>
  <si>
    <t>FSL350</t>
  </si>
  <si>
    <t>CHEVROLET TRACKER 1.8 LTZ+ 4X4 AUT (lo cargue yo, lo envia alfre)</t>
  </si>
  <si>
    <t>FIAT FIORINO FURGON 1.4 EVO (Esperando alta taller)</t>
  </si>
  <si>
    <t>OYR751</t>
  </si>
  <si>
    <t xml:space="preserve">AF257ZP </t>
  </si>
  <si>
    <t xml:space="preserve">AG881AQ </t>
  </si>
  <si>
    <t>VOLKSWAGEN AMAROK 20TD 4X2 DC COMFORT. 180HP A L/17 (esperando alta )</t>
  </si>
  <si>
    <t xml:space="preserve">AF750VQ </t>
  </si>
  <si>
    <t>TOYOTA ETIOS 1.5 5 PTAS XLS PACK 4AT  (me paso uno de zento pero no es de este)</t>
  </si>
  <si>
    <t xml:space="preserve">AG335ZJ </t>
  </si>
  <si>
    <t xml:space="preserve">AF086QJ </t>
  </si>
  <si>
    <t xml:space="preserve">AE270MB </t>
  </si>
  <si>
    <t>RENAULT FLUENCE 2.0 LUXE (Esperando fotos de previa)</t>
  </si>
  <si>
    <t>MIS599</t>
  </si>
  <si>
    <t>CHEVROLET SPIN 1.8 LTZ 5 AS ACTIV</t>
  </si>
  <si>
    <t>AB522JU</t>
  </si>
  <si>
    <t>TOYOTA ETIOS 1.5 5 PTAS X 6MT L/18 (no me paso nada)</t>
  </si>
  <si>
    <t>AG096XF</t>
  </si>
  <si>
    <t>gmarotta@sancorseguros.com</t>
  </si>
  <si>
    <t>FORD ECOSPORT SE 1.5L  (Esperando que la migren)</t>
  </si>
  <si>
    <t>AAB966GT</t>
  </si>
  <si>
    <t>FIAT CRONOS 1.3 GSE DRIVE PACK PLUS L/23  (no me paso nada)</t>
  </si>
  <si>
    <t>AG872ZB</t>
  </si>
  <si>
    <t>FORD FIESTA CLX 1.6 5 PTAS SPORT</t>
  </si>
  <si>
    <t>DLI561</t>
  </si>
  <si>
    <t>AF179XI</t>
  </si>
  <si>
    <t>VOLKSWAGEN T-CROSS 1.0 200 TSI HIGHLINE TIP  (reclamado 19/9 )</t>
  </si>
  <si>
    <t>AF487XJ</t>
  </si>
  <si>
    <t>AE001FZ</t>
  </si>
  <si>
    <t>CHEVROLET COBALT 1.8 LTZ</t>
  </si>
  <si>
    <t>NKV860</t>
  </si>
  <si>
    <t>VOLKSWAGEN AMAROK 20TD 4X4 DC TREND.140HP L17</t>
  </si>
  <si>
    <t>AF737MJ</t>
  </si>
  <si>
    <t>AC149IS</t>
  </si>
  <si>
    <t>TOYOTA ETIOS 1.5 4 PTAS XLS 4AT (esperando que lo migren)</t>
  </si>
  <si>
    <t>AC235WE</t>
  </si>
  <si>
    <t>TOYOTA YARIS 1.5 4 PTAS XLS PACK CVT L/20</t>
  </si>
  <si>
    <t>AE653KO</t>
  </si>
  <si>
    <t>FIAT CRONOS 1.3 DRIVE GSE S-DESIGN  (no me paso nada)</t>
  </si>
  <si>
    <t>AE642ZR</t>
  </si>
  <si>
    <t>FIAT CRONOS 1.3 DRIVE GSE (reclamado 15/9 )</t>
  </si>
  <si>
    <t>AD422EE</t>
  </si>
  <si>
    <t>CHRYSLER JEEP RENEGADE 1.8 4X2 LONGITUDE AT</t>
  </si>
  <si>
    <t>AE177KX</t>
  </si>
  <si>
    <t>AG732HN</t>
  </si>
  <si>
    <t>VOLKSWAGEN VENTO 1.4TSI COMFORT.AQ TIP. L/18  (no me paso nada)</t>
  </si>
  <si>
    <t>PHJ797</t>
  </si>
  <si>
    <t>RENAULT KANGOO 2 1.6 EXPRESS 1 PLC CON. L/14 (esperando confirmacion nico)</t>
  </si>
  <si>
    <t>AC466OL</t>
  </si>
  <si>
    <t>NISSAN KICKS 1.6 EXCLUSIVE CVT L/22 (Esperando que me responda el taller)</t>
  </si>
  <si>
    <t>FORD FIESTA 1.6 4 PTAS ONE MAX AMB PLUS</t>
  </si>
  <si>
    <t>JSV409</t>
  </si>
  <si>
    <t xml:space="preserve">FIAT PUNTO 1.6 ESSENCE L/13 </t>
  </si>
  <si>
    <t>OQG201</t>
  </si>
  <si>
    <t xml:space="preserve">CITROEN C 4 CACTUS 1.6 VTI FEEL + L/23 AT </t>
  </si>
  <si>
    <t>AG321DU</t>
  </si>
  <si>
    <t>TOYOTA ETIOS 1.5 5 PTAS CROSS ( A la espera de fotos de previa para avanzar)</t>
  </si>
  <si>
    <t>OXQ096</t>
  </si>
  <si>
    <t>FORD ECO SPORT 1.6 XLS PLUS L/10 (no me paso nada)</t>
  </si>
  <si>
    <t>JYR126</t>
  </si>
  <si>
    <t>CITROEN C 3 AIRCROSS 1.6 VTI FEEL PACK L/24</t>
  </si>
  <si>
    <t>AH399CM</t>
  </si>
  <si>
    <t>NISSAN PICK-UP FRONTIER L/22 2.3 DC 4X4 PLAT.AT</t>
  </si>
  <si>
    <t>AF594SV</t>
  </si>
  <si>
    <t>TOYOTA ETIOS 1.5 5 PTAS CROSS (hablando con nico, muchos eventos)</t>
  </si>
  <si>
    <t>PEUGEOT 2008 1.6 ALLURE L/19</t>
  </si>
  <si>
    <t xml:space="preserve"> VOLKSWAGEN SURAN 1.6 TRENDLINE L/10 </t>
  </si>
  <si>
    <t>LXY473</t>
  </si>
  <si>
    <t xml:space="preserve">MERCEDES BENZ SPRINTER 415 FURGON 3665 V1 </t>
  </si>
  <si>
    <t>PJL949</t>
  </si>
  <si>
    <t xml:space="preserve">VOLKSWAGEN GOL TREND 1.6 5 P L/17 </t>
  </si>
  <si>
    <t>AD090BL</t>
  </si>
  <si>
    <t>VOLKSWAGEN SURAN 1.6 TRACK</t>
  </si>
  <si>
    <t>AD079FA</t>
  </si>
  <si>
    <t xml:space="preserve">FIAT PULSE 1.3T ABARTH  </t>
  </si>
  <si>
    <t>AH150CT</t>
  </si>
  <si>
    <t>HYUNDAI TUCSON 2.0 4X2 AUT SUNROOF L/19</t>
  </si>
  <si>
    <t>AD572ZY</t>
  </si>
  <si>
    <t>IPA365</t>
  </si>
  <si>
    <t>RENAULT SANDERO STEPWAY PH2 1.6 INTENS L19 (Esperando alta)</t>
  </si>
  <si>
    <t>AF468JT</t>
  </si>
  <si>
    <t>AC315YB</t>
  </si>
  <si>
    <t>PIE643</t>
  </si>
  <si>
    <t xml:space="preserve">VOLKSWAGEN GOL COUNTRY 1.6 COMFORTLINE </t>
  </si>
  <si>
    <t>ENZ281</t>
  </si>
  <si>
    <t>PEUGEOT PARTNER 1.4 CONFORT PLC L/10</t>
  </si>
  <si>
    <t>KMS790</t>
  </si>
  <si>
    <t>AG995XC</t>
  </si>
  <si>
    <t>DS AUTOMOBILES DS7 1.6 THP CROSSBACK BASTILLE AT8 L/23 (no me paso nada)</t>
  </si>
  <si>
    <t>AG573RS</t>
  </si>
  <si>
    <t>PEUGEOT 207 COMPACT 1.4 5 P XS//ALLURE  ( no me paso nada) reclamada</t>
  </si>
  <si>
    <t>PPP496</t>
  </si>
  <si>
    <t xml:space="preserve">CITROEN C 4 LOUNGE 2.0 I TENDANCE PK </t>
  </si>
  <si>
    <t>AA252CY</t>
  </si>
  <si>
    <t>FIAT PALIO WE ADVENTURE 1.8</t>
  </si>
  <si>
    <t>IYD618</t>
  </si>
  <si>
    <t>PHX827</t>
  </si>
  <si>
    <t>FIAT STILO 1.8 8V EMOTION ABS</t>
  </si>
  <si>
    <t>FBY982</t>
  </si>
  <si>
    <t xml:space="preserve">CHEVROLET CLASSIC 1.4 3 PTAS CARGO </t>
  </si>
  <si>
    <t>JIS488</t>
  </si>
  <si>
    <t>AC542LT</t>
  </si>
  <si>
    <t>AF712ND</t>
  </si>
  <si>
    <t>AG199GJ</t>
  </si>
  <si>
    <t>FIAT PALIO 1.4 5 P ATTRACT L/14</t>
  </si>
  <si>
    <t>AC287TV</t>
  </si>
  <si>
    <t>HONDA HR-V 1.8 EXL CVT L/19</t>
  </si>
  <si>
    <t>AE187GK</t>
  </si>
  <si>
    <t xml:space="preserve">TOYOTA HILUX L/21 2.8 DC 4X4 TDI SR </t>
  </si>
  <si>
    <t>TOYOTA HILUX SW4 TDI SRX AUT L/16  ( no me paso nada) reclamada</t>
  </si>
  <si>
    <t>AD179FS</t>
  </si>
  <si>
    <t>RENAULT LOGAN 1.6 8V PACK L/10</t>
  </si>
  <si>
    <t>JZY553</t>
  </si>
  <si>
    <t xml:space="preserve">CHEVROLET CRUZE 1.4 4 PTAS LT </t>
  </si>
  <si>
    <t>AG792QZ</t>
  </si>
  <si>
    <t>AG851JP</t>
  </si>
  <si>
    <t>IIK679</t>
  </si>
  <si>
    <t xml:space="preserve">TOYOTA RAV 4 2.5 5 P L/16 4X4 VX AUT </t>
  </si>
  <si>
    <t>AC397GY</t>
  </si>
  <si>
    <t>NCK409</t>
  </si>
  <si>
    <t>CHEVROLET CLASSIC 1.4 4 PTAS LS (no me paso nada)</t>
  </si>
  <si>
    <t>AA345NN</t>
  </si>
  <si>
    <t>CHEVROLET PRISMA 1.4 LTZ L/17  (no me paso nada)</t>
  </si>
  <si>
    <t>AC918JL</t>
  </si>
  <si>
    <t>VW VOYAGE 1.6 L/13</t>
  </si>
  <si>
    <t>NFB595</t>
  </si>
  <si>
    <t>AF798JQ</t>
  </si>
  <si>
    <t>OMP845</t>
  </si>
  <si>
    <t>AD818JZ</t>
  </si>
  <si>
    <t>AD647QE</t>
  </si>
  <si>
    <t>CHEVROLET ONIX 1.0T LTZ L/21</t>
  </si>
  <si>
    <t>AG693TG</t>
  </si>
  <si>
    <t>FIAT ARGO 1.3 DRIVE MT L/25</t>
  </si>
  <si>
    <t>AH437UL</t>
  </si>
  <si>
    <t>AF891BT</t>
  </si>
  <si>
    <t>TOYOTA ETIOS 1.5 5 PTAS X 6MT</t>
  </si>
  <si>
    <t>AB326IV</t>
  </si>
  <si>
    <t>AF262DG</t>
  </si>
  <si>
    <t>AA595IY</t>
  </si>
  <si>
    <t>AE040WI</t>
  </si>
  <si>
    <t xml:space="preserve"> FIAT FIORINO FURGON 1.4 ENDURANCE </t>
  </si>
  <si>
    <t>AG732MV</t>
  </si>
  <si>
    <t xml:space="preserve"> VOLKSWAGEN AMAROK V6 30TD 4X4 DC  (cotizando con nuematico diez)</t>
  </si>
  <si>
    <t>AF530NI</t>
  </si>
  <si>
    <t>PEUGEOT 208 L/20 1.6 ACTIVE TIPTRONIC   (no me paso nada)</t>
  </si>
  <si>
    <t>AE425QV</t>
  </si>
  <si>
    <t>FIAT SIENA 1.4 FIRE   (no me paso nada)</t>
  </si>
  <si>
    <t>NOC701</t>
  </si>
  <si>
    <t>PEUGEOT PARTNER PATA. 1.6 VTC PLUS L10/17 (No me paso nada)</t>
  </si>
  <si>
    <t>AB586AR</t>
  </si>
  <si>
    <t xml:space="preserve"> IVECO STRALIS HI WAY 600 S44T 3200 EURO.6X2</t>
  </si>
  <si>
    <t>TOYOTA COROLLA 1.8 SE-G L/11 AUT (no me paso nada)</t>
  </si>
  <si>
    <t>CHEVROLET PRISMA 1.4 LS JOY L/17 (consultando con nicolas)</t>
  </si>
  <si>
    <t>AF402GE</t>
  </si>
  <si>
    <t>NRB363</t>
  </si>
  <si>
    <t>FIAT SIENA 1.3 FIRE 16V (esperando acuerdo)</t>
  </si>
  <si>
    <t>EZI505</t>
  </si>
  <si>
    <t>AA215WN</t>
  </si>
  <si>
    <t>AD541PO</t>
  </si>
  <si>
    <t>CHEVROLET ONIX 1.4 JOY PLUS L/19 (no me paso nada)</t>
  </si>
  <si>
    <t>AE281WC</t>
  </si>
  <si>
    <t>KYMCO X TOWN 250</t>
  </si>
  <si>
    <t>A126OZE</t>
  </si>
  <si>
    <t>AF847PB</t>
  </si>
  <si>
    <t>FORD KA 1.5 FREESTYLE SEL AT6 L/18  (No me paso nada)</t>
  </si>
  <si>
    <t>AD915KU</t>
  </si>
  <si>
    <t>RENAULT CLIO 2 F2 1.2 5 P. AUTHENTIQ PK II  (No me paso nada)</t>
  </si>
  <si>
    <t>LDX388</t>
  </si>
  <si>
    <t>FIAT DOBLO 1.4 ACTIVE (volvi a consultar, no me responde)</t>
  </si>
  <si>
    <t>NSH423</t>
  </si>
  <si>
    <t>PEUGEOT 208 L/24 1.0 T200 ALLURE PK CVT  (No me paso nada)</t>
  </si>
  <si>
    <t>AH054II</t>
  </si>
  <si>
    <t>AD631HR</t>
  </si>
  <si>
    <t>FIAT PALIO 1.4 5 P ATTRACT L/14  (No me paso nada)</t>
  </si>
  <si>
    <t>FORD RANGER 3.2 TDI DC 4X4 L/19 XLS</t>
  </si>
  <si>
    <t>AF092HT</t>
  </si>
  <si>
    <t>PEM249</t>
  </si>
  <si>
    <t>TOYOTA COROLLA 1.8 XLI L/14 CVT  (No me paso nada)</t>
  </si>
  <si>
    <t>PQG397</t>
  </si>
  <si>
    <t xml:space="preserve">VOLKSWAGEN AMAROK 20TD 4X4 DC TRENDLINE 180HP </t>
  </si>
  <si>
    <t>AA273AZ</t>
  </si>
  <si>
    <t>PEUGEOT 208 L/24 1.6 ALLURE PK</t>
  </si>
  <si>
    <t>AG641OA</t>
  </si>
  <si>
    <t xml:space="preserve"> CHEVROLET ONIX 1.4 LT L/17</t>
  </si>
  <si>
    <t>AC668NV</t>
  </si>
  <si>
    <t xml:space="preserve">AUDI A1 1.4T AMBITION </t>
  </si>
  <si>
    <t>ONP139</t>
  </si>
  <si>
    <t xml:space="preserve"> FIAT CRONOS 1.3 DRIVE L/22 CVT</t>
  </si>
  <si>
    <t>AF539BN</t>
  </si>
  <si>
    <t>AF402LH</t>
  </si>
  <si>
    <t>AC742ZG</t>
  </si>
  <si>
    <t>AG844YI</t>
  </si>
  <si>
    <t>FORD FIESTA 1.6 5P S (KD) (No me paso nada)</t>
  </si>
  <si>
    <t>AH382CN</t>
  </si>
  <si>
    <t xml:space="preserve">VOLKSWAGEN POLO 1.4 GTS 250 TSI L/23 </t>
  </si>
  <si>
    <t>PFG167</t>
  </si>
  <si>
    <t>VOLKSWAGEN GOL 1.6 5 P TREND L/17 TRENDLINE</t>
  </si>
  <si>
    <t>AC714NX</t>
  </si>
  <si>
    <t>AA007WN</t>
  </si>
  <si>
    <t>FORD ECO SPORT 1.5 TDCI SE L/13</t>
  </si>
  <si>
    <t>PIE150</t>
  </si>
  <si>
    <t>Ford K (no me paso nada)</t>
  </si>
  <si>
    <t>MIZ486</t>
  </si>
  <si>
    <t xml:space="preserve">HONDA WR-V 1.5 EXL CVT (Esperando que la migren) </t>
  </si>
  <si>
    <t>AE855ML</t>
  </si>
  <si>
    <t xml:space="preserve">RENAULT KWID 1.0 ZEN </t>
  </si>
  <si>
    <t>AC875BA</t>
  </si>
  <si>
    <t>AE860BD</t>
  </si>
  <si>
    <t>AG799MD</t>
  </si>
  <si>
    <t>AE332SG</t>
  </si>
  <si>
    <t>AF531AW</t>
  </si>
  <si>
    <t xml:space="preserve">FORD TERRITORY 1.8T TITANIUM L/25 </t>
  </si>
  <si>
    <t>AH874AN</t>
  </si>
  <si>
    <t>abaez@sancorseguros.com</t>
  </si>
  <si>
    <t>CHRYSLER JEEP COMPASS 2.4 (hablando con nico, en denuncia es un 206)</t>
  </si>
  <si>
    <t>AD855VI</t>
  </si>
  <si>
    <t xml:space="preserve">FORD RANGER 3.2 TDI DC 4X2 L/12 XLT (Esperando alta taller) </t>
  </si>
  <si>
    <t>PPF006</t>
  </si>
  <si>
    <t xml:space="preserve"> VOLKSWAGEN POLO 1.6 L/18 COM. 5 P</t>
  </si>
  <si>
    <t xml:space="preserve">HONDA CIVIC 1.8 EXS L/12 </t>
  </si>
  <si>
    <t>NGM078</t>
  </si>
  <si>
    <t xml:space="preserve">FORD RANGER 3.2 TDI DC 4X2 L/16 XLS </t>
  </si>
  <si>
    <t>AA801BP</t>
  </si>
  <si>
    <t>AB202OM</t>
  </si>
  <si>
    <t>AB492YL</t>
  </si>
  <si>
    <t>TOYOTA HILUX SW4 TDI SRX AUT L/16 (A la espera de respuesta de Alfredo)</t>
  </si>
  <si>
    <t>RENAULT KANGOO EX. 1.5 DCI CONFORT 5 AS L/18</t>
  </si>
  <si>
    <t>AD311DF</t>
  </si>
  <si>
    <t>AG599EU</t>
  </si>
  <si>
    <t>AH135YJ</t>
  </si>
  <si>
    <t>VOLKSWAGEN GOL 1.9 5 P SD (esperando carta de hallazgo para que emi acuerde)</t>
  </si>
  <si>
    <t>DTA139</t>
  </si>
  <si>
    <t>CITROEN PICASSO 1.6 L/08</t>
  </si>
  <si>
    <t>KCW195</t>
  </si>
  <si>
    <t>FIAT CRONOS 1.3 DRIVE L/22 (no me paso nada)</t>
  </si>
  <si>
    <t>AF723XM</t>
  </si>
  <si>
    <t xml:space="preserve">FORD RANGER 2.2 TDI DC 4X4 L/19 XL (CLEAS FAVORABLE) </t>
  </si>
  <si>
    <t>AE721EB</t>
  </si>
  <si>
    <t>OWK473</t>
  </si>
  <si>
    <t>AB909IC</t>
  </si>
  <si>
    <t>TOYOTA COROLLA CROSS 1.8 SEG HEV E-CVT L/24</t>
  </si>
  <si>
    <t>AD475XJ</t>
  </si>
  <si>
    <t>AH106BW</t>
  </si>
  <si>
    <t>AE954CW</t>
  </si>
  <si>
    <t>AE715XD</t>
  </si>
  <si>
    <t>PFZ127</t>
  </si>
  <si>
    <t>FORD TRANSIT 2.2 TDI FURGON MEDIO L/15</t>
  </si>
  <si>
    <t>AD379DW</t>
  </si>
  <si>
    <t>AB659IC</t>
  </si>
  <si>
    <t>AC850GT</t>
  </si>
  <si>
    <t>CHRYSLER JEEP COMPASS 2.4 SPORT 4X2 MT6</t>
  </si>
  <si>
    <t>CHEVROLET AGILE 1.4 LTZ</t>
  </si>
  <si>
    <t>LCR832</t>
  </si>
  <si>
    <t>AH075VV</t>
  </si>
  <si>
    <t xml:space="preserve">FORD KA 1.5 SE </t>
  </si>
  <si>
    <t>AC327RH</t>
  </si>
  <si>
    <t>AA790PN</t>
  </si>
  <si>
    <t xml:space="preserve">: RENAULT CLIO MIO 1.2 5 P DYNAMIQUE SAT </t>
  </si>
  <si>
    <t>JAI NO MANDAR ORDEN HASTA QUE AVISE GESTOR Mandar informes pero no OT</t>
  </si>
  <si>
    <t>PFK502</t>
  </si>
  <si>
    <t>AG184QI</t>
  </si>
  <si>
    <t>FIAT PALIO 1.4 5 P ATTRACT L/12</t>
  </si>
  <si>
    <t>AH172UB</t>
  </si>
  <si>
    <t>AG035EJ</t>
  </si>
  <si>
    <t>CITROEN PICASSO 2.0 EXCLUSIVE</t>
  </si>
  <si>
    <t>FKP001</t>
  </si>
  <si>
    <t>FORD FIESTA 1.6 5P TITANIUM L/14 (KD) (esperando que lo migren)</t>
  </si>
  <si>
    <t>OJI149</t>
  </si>
  <si>
    <t>AD306KN</t>
  </si>
  <si>
    <t>JOH477</t>
  </si>
  <si>
    <t>PEUGEOT 208 1.6 5P FELINE TIPTRONIC</t>
  </si>
  <si>
    <t>AE221EW</t>
  </si>
  <si>
    <t>OHM798</t>
  </si>
  <si>
    <t>CHEVROLET TRACKER 1.2 TURBO PREMIER AT6 (17/10 no me paso nada)</t>
  </si>
  <si>
    <t>AE570LO</t>
  </si>
  <si>
    <t>VOLKSWAGEN POLO 1.6 L/22 MSI TREND  (no me paso nada)</t>
  </si>
  <si>
    <t>AF505QP</t>
  </si>
  <si>
    <t>CHEVROLET SPIN 1.8 LT 5 AS MY LINK (ZONA PELIGROSA)</t>
  </si>
  <si>
    <t>PFV637</t>
  </si>
  <si>
    <t>NISSAN KICKS 1.6 ADVANCE</t>
  </si>
  <si>
    <t>AE090FV</t>
  </si>
  <si>
    <t>AF957FE</t>
  </si>
  <si>
    <t>AF665JW</t>
  </si>
  <si>
    <t>AD567TD</t>
  </si>
  <si>
    <t>AG062VV</t>
  </si>
  <si>
    <t xml:space="preserve">PEUGEOT 208 L/24 1.0 T 200 ALLURE PK CVT </t>
  </si>
  <si>
    <t>AH118UQ</t>
  </si>
  <si>
    <t xml:space="preserve">FIAT CRONOS 1.3 DRIVE GSE </t>
  </si>
  <si>
    <t xml:space="preserve"> TOYOTA ETIOS 1.5 4 PTAS XLS PACK 4AT (no me paso nada) </t>
  </si>
  <si>
    <t>AF820NN</t>
  </si>
  <si>
    <t>RENAULT KANGOO 2 1.6 EXPRESS 1 PLC CON. L/14</t>
  </si>
  <si>
    <t>AB123KL</t>
  </si>
  <si>
    <t>FORD ECO SPORT 1.5 FREESTYLE L/18  (no me paso nada)</t>
  </si>
  <si>
    <t>AD664SU</t>
  </si>
  <si>
    <t>CHEVROLET PRISMA 1.4 LT L/17  (no me paso nada)</t>
  </si>
  <si>
    <t>AD865IQ</t>
  </si>
  <si>
    <t xml:space="preserve">vcingolani@sancorseguros.com </t>
  </si>
  <si>
    <t xml:space="preserve">VOLKSWAGEN GOL TREND 1.6 5 P PK 1 </t>
  </si>
  <si>
    <t>KOI537</t>
  </si>
  <si>
    <t>NXF715</t>
  </si>
  <si>
    <t>TOYOTA COROLLA 1.8 XLI L/14 CVT</t>
  </si>
  <si>
    <t>AB338KO</t>
  </si>
  <si>
    <t>FIAT ARGO 1.8 PRECISION</t>
  </si>
  <si>
    <t>AC548TV</t>
  </si>
  <si>
    <t>PEUGEOT PARTNER 1.6 HDI                           (HABLAR CON NICO ES UN CLIO)</t>
  </si>
  <si>
    <t>AA621RJ</t>
  </si>
  <si>
    <t>AF283OO</t>
  </si>
  <si>
    <t>TOYOTA ETIOS 1.5 4 PTAS XS</t>
  </si>
  <si>
    <t xml:space="preserve">CITROEN C 4 CACTUS 1.6 THP SHINE AT6 BT </t>
  </si>
  <si>
    <t>AE851WQ</t>
  </si>
  <si>
    <t xml:space="preserve">RENAULT KWID 1.0 ICONIC OUTSIDER L/25 </t>
  </si>
  <si>
    <t>AH603NH</t>
  </si>
  <si>
    <t>RENAULT SANDERO 1.6 8V (ME PASO DATOS PARA DAR DE ALTA 22/10)</t>
  </si>
  <si>
    <t>LLI304</t>
  </si>
  <si>
    <t>SUZUKI FUN 1.0 3 PTAS AA</t>
  </si>
  <si>
    <t>EJN245</t>
  </si>
  <si>
    <t>CHEVROLET ONIX 1.2 PLUS LT L/19</t>
  </si>
  <si>
    <t>AF329OW</t>
  </si>
  <si>
    <t>LXU955</t>
  </si>
  <si>
    <t>PEUGEOT EXPERT 1.6 HDI PREMIUM 6AS</t>
  </si>
  <si>
    <t>AF292ZM</t>
  </si>
  <si>
    <t>AH097NJ</t>
  </si>
  <si>
    <t>AD090BJ</t>
  </si>
  <si>
    <t xml:space="preserve">VOLKSWAGEN VENTO 1.4TSI HIGHLINE 250 (esperando carta de hallazgo) </t>
  </si>
  <si>
    <t>AF567FA</t>
  </si>
  <si>
    <t>RENAULT KANGOO 2 EXPRESS 1.5 D CONF. 1 PLC L/14</t>
  </si>
  <si>
    <t>OQM313</t>
  </si>
  <si>
    <t xml:space="preserve">FORD RANGER 2.2 TDI DC 4X2 L/19 XL </t>
  </si>
  <si>
    <t>AF835YY</t>
  </si>
  <si>
    <t>AC459RV</t>
  </si>
  <si>
    <t>FIAT ARGO 1.8 HGT</t>
  </si>
  <si>
    <t>AD469YH</t>
  </si>
  <si>
    <t>CHEVROLET TRACKER 1.8 AWD LTZ+</t>
  </si>
  <si>
    <t>AC014IV</t>
  </si>
  <si>
    <t>PEUGEOT 208 1.6 5P FELINE (ESPERANDO ALTA TALLER)</t>
  </si>
  <si>
    <t>AC363QV</t>
  </si>
  <si>
    <t>AC866JZ</t>
  </si>
  <si>
    <t>AF111PB</t>
  </si>
  <si>
    <t>TOYOTA HILUX L/21 2.4 DC 4X2 TDI DX</t>
  </si>
  <si>
    <t>AG201VL</t>
  </si>
  <si>
    <t>TOYOTA ETIOS 1.5 4 PTAS XS 6MT</t>
  </si>
  <si>
    <t>AC650YC</t>
  </si>
  <si>
    <t>AE998GG</t>
  </si>
  <si>
    <t>AD266UW</t>
  </si>
  <si>
    <t>RENAULT SCENIC RT 1.9 TDI ABS AB (No me paso nada)</t>
  </si>
  <si>
    <t>DTZ011</t>
  </si>
  <si>
    <t>RENAULT LOGAN II 1.6 16V LIFE L/19 OJO NO DEJAR ORDEN</t>
  </si>
  <si>
    <t>AE409QD</t>
  </si>
  <si>
    <t>AF870EV</t>
  </si>
  <si>
    <t>TOYOTA COROLLA 1.8 XEI L/17 CVT</t>
  </si>
  <si>
    <t>AD961JR</t>
  </si>
  <si>
    <t>AG126EV</t>
  </si>
  <si>
    <t>AF419UP</t>
  </si>
  <si>
    <t xml:space="preserve">TOYOTA HILUX L/23 2.8 DC 4X4 TDI SRX AT6 </t>
  </si>
  <si>
    <t>AG302KA</t>
  </si>
  <si>
    <t>RENAULT KANGOO 2 EXPRESS 1.6 CONFORT 1 PLC AA</t>
  </si>
  <si>
    <t>KPT655</t>
  </si>
  <si>
    <t>CITROEN C 3 1.6 VTI FEEL AUT BT (consultando reparacion de llanta)</t>
  </si>
  <si>
    <t>AC089LD</t>
  </si>
  <si>
    <t>AF587ZJ</t>
  </si>
  <si>
    <t>AD417LT</t>
  </si>
  <si>
    <t>AF881ZR</t>
  </si>
  <si>
    <t>AD499WG</t>
  </si>
  <si>
    <t>CHEVROLET CORSA 2 1.8 4 P GL AA DH (no me paso nada)</t>
  </si>
  <si>
    <t>GJT791</t>
  </si>
  <si>
    <t>AC785XF</t>
  </si>
  <si>
    <t xml:space="preserve"> RENAULT CLIO MIO 1.2 5 P CONFORT PACK SAT (en consulta con nico)</t>
  </si>
  <si>
    <t>POR873</t>
  </si>
  <si>
    <t>CHEVROLET AGILE 1.4 LS L/14</t>
  </si>
  <si>
    <t>AA361WG</t>
  </si>
  <si>
    <t>CHRYSLER RAM 1500 5.7 D/CAB 4X4 LARAMIE</t>
  </si>
  <si>
    <t>AF187LY</t>
  </si>
  <si>
    <t>AH584DF</t>
  </si>
  <si>
    <t xml:space="preserve"> NISSAN MARCH 1.6 ADVANCE PURE DRIVE </t>
  </si>
  <si>
    <t>AD681PY</t>
  </si>
  <si>
    <t xml:space="preserve">RENAULT ALASKAN 2.3 TDI ICONIC 4X4 </t>
  </si>
  <si>
    <t>AE773XK</t>
  </si>
  <si>
    <t>AF333EK</t>
  </si>
  <si>
    <t>GCH527</t>
  </si>
  <si>
    <t>OSZ493</t>
  </si>
  <si>
    <t>TOYOTA YARIS 1.5 5 PTAS S CVT</t>
  </si>
  <si>
    <t>AD187IP</t>
  </si>
  <si>
    <t xml:space="preserve">FIAT PALIO 1.4 5 P FIRE L/14 CONFORT SE </t>
  </si>
  <si>
    <t>OXT670</t>
  </si>
  <si>
    <t>AB004IE</t>
  </si>
  <si>
    <t xml:space="preserve">TOYOTA HILUX L/16 2.8 DC 4X2 TDI SRV AT6 </t>
  </si>
  <si>
    <t>AD320KV</t>
  </si>
  <si>
    <t>AH134XM</t>
  </si>
  <si>
    <t>RENAULT CLIO 2 F2 1.2 5 P. AUTHENTIQ PK II (hablando con nicolas)</t>
  </si>
  <si>
    <t>VOLKSWAGEN TIGUAN ALLSPACE 1.4T TRENDLINE (Esperando que la migren)</t>
  </si>
  <si>
    <t>AG316UK</t>
  </si>
  <si>
    <t>AE753NR</t>
  </si>
  <si>
    <t>Amarok</t>
  </si>
  <si>
    <t>Ad580bu</t>
  </si>
  <si>
    <t xml:space="preserve">Hilux </t>
  </si>
  <si>
    <t xml:space="preserve">Corolla </t>
  </si>
  <si>
    <t>AE668WO</t>
  </si>
  <si>
    <t xml:space="preserve">Etios </t>
  </si>
  <si>
    <t>AF571RD</t>
  </si>
  <si>
    <t xml:space="preserve">Argo </t>
  </si>
  <si>
    <t>AD462PZ</t>
  </si>
  <si>
    <t>Master (pedirle a nicolas denuncia y cobertura)</t>
  </si>
  <si>
    <t>AD311DX</t>
  </si>
  <si>
    <t>Cactus</t>
  </si>
  <si>
    <t>AE394DF</t>
  </si>
  <si>
    <t xml:space="preserve">Linea </t>
  </si>
  <si>
    <t>Peugeot 208</t>
  </si>
  <si>
    <t>AG576JA</t>
  </si>
  <si>
    <t>Mobi</t>
  </si>
  <si>
    <t>AH688PQ</t>
  </si>
  <si>
    <t>Cruce</t>
  </si>
  <si>
    <t>AC957IB</t>
  </si>
  <si>
    <t xml:space="preserve">Kangoo </t>
  </si>
  <si>
    <t>Ford la</t>
  </si>
  <si>
    <t>AD144FL</t>
  </si>
  <si>
    <t>Ford Ka</t>
  </si>
  <si>
    <t>NJV440</t>
  </si>
  <si>
    <t>Fiat Moni (no me paso nada)</t>
  </si>
  <si>
    <t>AH668PQ</t>
  </si>
  <si>
    <t>AG009FS</t>
  </si>
  <si>
    <t>SURAN (esperando que la migren)</t>
  </si>
  <si>
    <t>OOF913</t>
  </si>
  <si>
    <t>Gol Trend (no me paso nada)</t>
  </si>
  <si>
    <t>OUF611</t>
  </si>
  <si>
    <t>Peugeot 208 (no me paso nada)</t>
  </si>
  <si>
    <t>AG721PU</t>
  </si>
  <si>
    <t>Taos (Esperando confirmacion taller)</t>
  </si>
  <si>
    <t>AF346ZW</t>
  </si>
  <si>
    <t>Territorio (no me paso nada)</t>
  </si>
  <si>
    <t>AG409HK</t>
  </si>
  <si>
    <t>Bronco  (no me paso nada)</t>
  </si>
  <si>
    <t xml:space="preserve">Gol </t>
  </si>
  <si>
    <t>NBE426</t>
  </si>
  <si>
    <t>Toro</t>
  </si>
  <si>
    <t>AG679CO</t>
  </si>
  <si>
    <t>RENAULT LOGAN 1.6 8V EXPRESSION PKCONF II</t>
  </si>
  <si>
    <t>MWX424</t>
  </si>
  <si>
    <t>VOLKSWAGEN AMAROK 20TD 4X4 DC TRENDLINE 180HP</t>
  </si>
  <si>
    <t xml:space="preserve">RENAULT LOGAN II 1.6 16V PRIVILEGE PLUS </t>
  </si>
  <si>
    <t>PCL787</t>
  </si>
  <si>
    <t xml:space="preserve"> PEUGEOT PARTNER 1.6 HDI CONFORT L/23 </t>
  </si>
  <si>
    <t xml:space="preserve"> RENAULT DUSTER 2.0 4X2 PRIVILEGE </t>
  </si>
  <si>
    <t>LIF277</t>
  </si>
  <si>
    <t>AG070NG</t>
  </si>
  <si>
    <t>AA006TR</t>
  </si>
  <si>
    <t xml:space="preserve">VOLKSWAGEN AMAROK V6 30TD 4X4 DC AT 258HP </t>
  </si>
  <si>
    <t>AF581XW</t>
  </si>
  <si>
    <t>FORD FIESTA 1.6 5P S PLUS (KD)</t>
  </si>
  <si>
    <t>PDU630</t>
  </si>
  <si>
    <t>VOLKSWAGEN POLO 1.6 L/23 MSI</t>
  </si>
  <si>
    <t>AG894QL</t>
  </si>
  <si>
    <t>AD675YA</t>
  </si>
  <si>
    <t>AF775UN</t>
  </si>
  <si>
    <t>CHEVROLET SPIN 1.8 LTZ 5 AS (no me paso nada)</t>
  </si>
  <si>
    <t>VOLKSWAGEN AMAROK 20TD 4X2 DC HIGHLINE 180HP PK</t>
  </si>
  <si>
    <t>PAK482</t>
  </si>
  <si>
    <t xml:space="preserve"> TOYOTA COROLLA 2.0 XEI L/23 CVT</t>
  </si>
  <si>
    <t>AH001SU</t>
  </si>
  <si>
    <t xml:space="preserve">TOYOTA HILUX L/21 2.8 DC 4X2 TDI SRX AT6 </t>
  </si>
  <si>
    <t>AE389VR</t>
  </si>
  <si>
    <t>AG535LO</t>
  </si>
  <si>
    <t>FORD FOCUS L/16 2.0 5 P SE (viendo con alfredo, inundado)</t>
  </si>
  <si>
    <t>PPX993</t>
  </si>
  <si>
    <t xml:space="preserve">mriggeri@sancorseguros.com </t>
  </si>
  <si>
    <t>AE278TO</t>
  </si>
  <si>
    <t>AD375QA</t>
  </si>
  <si>
    <t>AE723FM</t>
  </si>
  <si>
    <t>VOLKSWAGEN VOYAGE 1.6 L/17 TRENDLINE  (no me paso nada)</t>
  </si>
  <si>
    <t>FORD FOCUS L/08 1.6 5 P TREND</t>
  </si>
  <si>
    <t>LVK330</t>
  </si>
  <si>
    <t>VOLKSWAGEN GOL 1.6 5 P TREND L/17 TRENDLINE (no me paso nada)</t>
  </si>
  <si>
    <t>AE169XE</t>
  </si>
  <si>
    <t>AF424XZ</t>
  </si>
  <si>
    <t>OYQ135</t>
  </si>
  <si>
    <t>FIAT FIORINO FURGON FIRE CONFORT (no me paso nada)</t>
  </si>
  <si>
    <t>NYS244</t>
  </si>
  <si>
    <t>PEUGEOT 208 L/24 1.0 T200 GT CVT</t>
  </si>
  <si>
    <t>AG893KD</t>
  </si>
  <si>
    <t>PIB496</t>
  </si>
  <si>
    <t>AA362WB</t>
  </si>
  <si>
    <t>FIAT TORO 2.0TDI FREEDOM 4X2</t>
  </si>
  <si>
    <t>VOLKSWAGEN GOL TREND 1.6 5 P (Esperando carta de hallazgo)</t>
  </si>
  <si>
    <t>AD476ON</t>
  </si>
  <si>
    <t>MERCEDES BENZ SPRINTER 414 FURGON 4325 V2 TE</t>
  </si>
  <si>
    <t>AG979WF</t>
  </si>
  <si>
    <t>AG005YJ</t>
  </si>
  <si>
    <t>RENAULT KANGOO EXPRESS 1.6 SCE L/24  (no me paso nada)</t>
  </si>
  <si>
    <t>AG410FE</t>
  </si>
  <si>
    <t>AF286EV</t>
  </si>
  <si>
    <t>VOLKSWAGEN AMAROK V6 30TD 4X4 DC AT 224HP EXTREME</t>
  </si>
  <si>
    <t>AD745YN</t>
  </si>
  <si>
    <t>AE917CQ</t>
  </si>
  <si>
    <t>AE055WW</t>
  </si>
  <si>
    <t>AA503QL</t>
  </si>
  <si>
    <t>FORD KA 1.5 S L/18 (no me paso nada)</t>
  </si>
  <si>
    <t>AG466SI</t>
  </si>
  <si>
    <t>VOLKSWAGEN POLO 1.6 L/18 HIGHLINE 5 P TIP (no me paso nada)</t>
  </si>
  <si>
    <t>AF042VF</t>
  </si>
  <si>
    <t>FIAT DOBLO 1.4 ACTIVE HIGH SECURITY (me paso presupuesto 12/11)</t>
  </si>
  <si>
    <t>OFC685</t>
  </si>
  <si>
    <t>AB078FY</t>
  </si>
  <si>
    <t>msasso@sancorseguros.com</t>
  </si>
  <si>
    <t xml:space="preserve">TOYOTA HILUX L/20 2.4 DC 4X2 TDI DX (esperando alta taller) </t>
  </si>
  <si>
    <t>AF984TJ</t>
  </si>
  <si>
    <t>FORD MAVERICK 2.0T 4WD LARIAT AT8(no me paso nada)</t>
  </si>
  <si>
    <t>AF430OJ</t>
  </si>
  <si>
    <t>BAIC BJ30 HYBRID 4X2</t>
  </si>
  <si>
    <t>AH717MK</t>
  </si>
  <si>
    <t>AF618CD</t>
  </si>
  <si>
    <t>AB011YI</t>
  </si>
  <si>
    <t xml:space="preserve">RENAULT DUSTER 2.0 4X2 LUXE NAV </t>
  </si>
  <si>
    <t xml:space="preserve"> FIAT CRONOS 1.3 DRIVE PACK PLUS L/25 CVT </t>
  </si>
  <si>
    <t>AH631CK</t>
  </si>
  <si>
    <t xml:space="preserve">PEUGEOT PARTNER 1.6 HDI CONFORT L/23  (lo esta hablando con nico) </t>
  </si>
  <si>
    <t xml:space="preserve"> PEUGEOT 207 COMPACT 1.6 5 P XS//ALLURE </t>
  </si>
  <si>
    <t>KUZ883</t>
  </si>
  <si>
    <t>AD157VI</t>
  </si>
  <si>
    <t>Golf Trendline</t>
  </si>
  <si>
    <t>AB433LP</t>
  </si>
  <si>
    <t>TOYOTA CH-R 1.8 HYBRID</t>
  </si>
  <si>
    <t>AE119QD</t>
  </si>
  <si>
    <t>KXV232</t>
  </si>
  <si>
    <t>HONDA FIT 1.5 EXL 5 PTAS AUT L/09//L/13</t>
  </si>
  <si>
    <t>NRT847</t>
  </si>
  <si>
    <t>AE579YN</t>
  </si>
  <si>
    <t xml:space="preserve">FORD RANGER 2.2 TDI SC 4X4 L/19 XL </t>
  </si>
  <si>
    <t>AF734VH</t>
  </si>
  <si>
    <t>RENAULT KANGOO EXPRESS 1.6 CONFORT SCE L/18  (Esperando alta taller)</t>
  </si>
  <si>
    <t>AF902IV</t>
  </si>
  <si>
    <t>AC782EW</t>
  </si>
  <si>
    <t>AA941ID</t>
  </si>
  <si>
    <t>VOLKSWAGEN GOL 1.6 3 P TREND L/17</t>
  </si>
  <si>
    <t>AB268HN</t>
  </si>
  <si>
    <t>AF761NY</t>
  </si>
  <si>
    <t>RENAULT KWID 1.0 ICONIC BITONO L/25 (RECLAMADO)</t>
  </si>
  <si>
    <t xml:space="preserve"> VOLKSWAGEN T-CROSS 1.0 200 TSI HIGHLINE </t>
  </si>
  <si>
    <t xml:space="preserve"> RENAULT LOGAN II 1.6 8V AUTHENTIQUE PLUS </t>
  </si>
  <si>
    <t>PPV213</t>
  </si>
  <si>
    <t>AD868EN</t>
  </si>
  <si>
    <t>VOLKSWAGEN POLO 1.4 GTS 250 TSI</t>
  </si>
  <si>
    <t>AE734DK</t>
  </si>
  <si>
    <t>PEUGEOT 4008 2.0 ALLURE 4X4</t>
  </si>
  <si>
    <t>NGT196</t>
  </si>
  <si>
    <t>cavillegas@sancorseguros.com</t>
  </si>
  <si>
    <t>AF625AM</t>
  </si>
  <si>
    <t xml:space="preserve">CHEVROLET CRUZE 1.8 4 PTAS LTZ (INUNDADO, VERLO CON ALFREDO) </t>
  </si>
  <si>
    <t xml:space="preserve">CHEVROLET ONIX 1.0T PREMIER II AT L/19 </t>
  </si>
  <si>
    <t>AE629VA</t>
  </si>
  <si>
    <t>VOLKSWAGEN FOX 1.6 3 P. HIGHLINE L/10 (consultando con nico)</t>
  </si>
  <si>
    <t>OUK555</t>
  </si>
  <si>
    <t>PCV784</t>
  </si>
  <si>
    <t>RENAULT SCENIC RT 1.9 TDI ABS AB</t>
  </si>
  <si>
    <t xml:space="preserve">FIAT CRONOS 1.3 PRECISION CVT L/22 </t>
  </si>
  <si>
    <t>AF508VL</t>
  </si>
  <si>
    <t xml:space="preserve">RENAULT DUSTER 1.6 4X2 EXPRESSION (esperando que la migren) </t>
  </si>
  <si>
    <t>AE735YJ</t>
  </si>
  <si>
    <t>DS AUTOMOBILES DS4 1.6 THP PERFORMANCE LINE 215 AT8</t>
  </si>
  <si>
    <t>AF899SQ</t>
  </si>
  <si>
    <t xml:space="preserve">CHEVROLET SPIN 1.8 LTZ 5 AS ACTIV AUT </t>
  </si>
  <si>
    <t>AA097ZN</t>
  </si>
  <si>
    <t>MERCEDES BENZ SPRINTER 516 FURGON 4325 L (estimacion reclamada 28/11)</t>
  </si>
  <si>
    <t>AF162PA</t>
  </si>
  <si>
    <t>PEUGEOT 208 L/24 1.0 T200 GT CVT - FACTURO CUANDO SE MANDE ORDEN</t>
  </si>
  <si>
    <t>AG404BM</t>
  </si>
  <si>
    <t>LKS761</t>
  </si>
  <si>
    <t xml:space="preserve">VOLKSWAGEN GOLF 1.6 COMFORTLINE </t>
  </si>
  <si>
    <t>EJR345</t>
  </si>
  <si>
    <t>AG249KZ</t>
  </si>
  <si>
    <t>AH389FW</t>
  </si>
  <si>
    <t xml:space="preserve">glgomez@sancorseguros.com </t>
  </si>
  <si>
    <t>JRK588</t>
  </si>
  <si>
    <t>VOLKSWAGEN GOL 1.6 5 P TRENDLINE L/19 (esperando alta taller)</t>
  </si>
  <si>
    <t>AE459SK</t>
  </si>
  <si>
    <t xml:space="preserve">PEUGEOT 208 L/20 1.6 ALLURE TIPTRONIC (esperando que la migren) </t>
  </si>
  <si>
    <t>AE883JD</t>
  </si>
  <si>
    <t>NWD217</t>
  </si>
  <si>
    <t>AD984IH</t>
  </si>
  <si>
    <t>AD753FC</t>
  </si>
  <si>
    <t>AG002FQ</t>
  </si>
  <si>
    <t xml:space="preserve">RENAULT KANGOO 2 1.6 AUTHENTIQUE 2 PLC PLUS </t>
  </si>
  <si>
    <t>LRH970</t>
  </si>
  <si>
    <t>CITROEN C 4 LOUNGE 2.0 I FEEL PK</t>
  </si>
  <si>
    <t>AA438TK</t>
  </si>
  <si>
    <t>AE515SL</t>
  </si>
  <si>
    <t xml:space="preserve">FIAT PALIO 1.4 5 P FIRE L/09 TOP </t>
  </si>
  <si>
    <t>AA312HS</t>
  </si>
  <si>
    <t>TOYOTA HILUX SW4 TDI SRX AUT L/16  (reclamado 26/11)</t>
  </si>
  <si>
    <t>AE148KP</t>
  </si>
  <si>
    <t>AF427DT</t>
  </si>
  <si>
    <t xml:space="preserve">PEUGEOT 208 L/20 1.6 ALLURE TIPTRONIC </t>
  </si>
  <si>
    <t xml:space="preserve">VOLKSWAGEN AMAROK 20TD 4X2 DC HIGHLINE 180HP PK </t>
  </si>
  <si>
    <t>AH103OT</t>
  </si>
  <si>
    <t>VOLKSWAGEN FOX 1.6 3 P. HIGHLINE L/10</t>
  </si>
  <si>
    <t>AF545SP</t>
  </si>
  <si>
    <t xml:space="preserve"> TOYOTA COROLLA CROSS 2.0 SEG CVT </t>
  </si>
  <si>
    <t>AF945IF</t>
  </si>
  <si>
    <t>AD474ZC</t>
  </si>
  <si>
    <t>AD170RU</t>
  </si>
  <si>
    <t>AD624EH</t>
  </si>
  <si>
    <t>AB321ER</t>
  </si>
  <si>
    <t>RENAULT SANDERO STEPWAY PH2 1.6 INTENS L19 (reclamado 26/11)</t>
  </si>
  <si>
    <t>AF901JV</t>
  </si>
  <si>
    <t>AD802RM</t>
  </si>
  <si>
    <t>AG881FO</t>
  </si>
  <si>
    <t xml:space="preserve">VOLKSWAGEN GOL 1.6 5 P TREND L/13 PK 1 (No me paso nada) </t>
  </si>
  <si>
    <t>PHD211</t>
  </si>
  <si>
    <t xml:space="preserve"> FIAT CRONOS 1.3 DRIVE L/22  (esperando alta taller, lo cargaron mal)  </t>
  </si>
  <si>
    <t>FORD MAVERICK | JAI, ES SOLO PARA MANDAR ORDEN, DEPOSITO FRANQUICIA</t>
  </si>
  <si>
    <t xml:space="preserve">FORD TERRITORY 1.8T TITANIUM  (No me paso nada) </t>
  </si>
  <si>
    <t>AF704DA</t>
  </si>
  <si>
    <t xml:space="preserve">CHEVROLET SPIN 1.8 LTZ 5 AS ACTIV </t>
  </si>
  <si>
    <t>AG467TX</t>
  </si>
  <si>
    <t>GDF646</t>
  </si>
  <si>
    <t xml:space="preserve"> TOYOTA HILUX L/21 2.8 DC 4X4 TDI SR  (reclamado 26/11)</t>
  </si>
  <si>
    <t>AF584KI</t>
  </si>
  <si>
    <t>AC928IZ</t>
  </si>
  <si>
    <t>marslopez@sancorseguros.com</t>
  </si>
  <si>
    <t>Chevrolet Onix</t>
  </si>
  <si>
    <t>AA292GJ</t>
  </si>
  <si>
    <t>TOYOTA HILUX L/16 2.8 DC 4X4 TDI SRX AUT  (reclamado 26/11)</t>
  </si>
  <si>
    <t>AA158QD</t>
  </si>
  <si>
    <t>AD015OX</t>
  </si>
  <si>
    <t>AG796TO</t>
  </si>
  <si>
    <t>AA259FH</t>
  </si>
  <si>
    <t xml:space="preserve">RENAULT DUSTER 2.0 4X2 PRIVILEGE (No me paso nada) </t>
  </si>
  <si>
    <t>AH025HU</t>
  </si>
  <si>
    <t xml:space="preserve">TOYOTA COROLLA 1.8 XEI L/17 (No me paso nada) </t>
  </si>
  <si>
    <t>AE514UP</t>
  </si>
  <si>
    <t>VOLKSWAGEN TAOS 1.4 250 TSI COMFORTLINE AT L/24 (DUPLICADO)</t>
  </si>
  <si>
    <t>AG756ME</t>
  </si>
  <si>
    <t>VOLKSWAGEN BORA 2.0 TDI TRENDLINE (en consulta con nico, error en Orion)</t>
  </si>
  <si>
    <t>LZS432</t>
  </si>
  <si>
    <t xml:space="preserve">MERCEDES BENZ SPRINTER 313 FURGON 3550 V2 </t>
  </si>
  <si>
    <t>HIQ554</t>
  </si>
  <si>
    <t>AB373VO</t>
  </si>
  <si>
    <t xml:space="preserve"> RENAULT DUSTER 1.6 4X2 PRIVILEGE L/15 </t>
  </si>
  <si>
    <t>AB029JL</t>
  </si>
  <si>
    <t xml:space="preserve"> CHRYSLER RAM RAMPAGE 2.0 T D/CAB 4X4 REBEL AT</t>
  </si>
  <si>
    <t>AH167JA</t>
  </si>
  <si>
    <t>AF684YL</t>
  </si>
  <si>
    <t>AA409PV</t>
  </si>
  <si>
    <t>FIAT IDEA 1.4 ATTRACTIVE</t>
  </si>
  <si>
    <t>PJI638</t>
  </si>
  <si>
    <t>AG854RA</t>
  </si>
  <si>
    <t>AG160IC</t>
  </si>
  <si>
    <t>AG368VQ</t>
  </si>
  <si>
    <t>AMAROK 20TD 4X2 DC TREN 140HP  L17</t>
  </si>
  <si>
    <t>AC768HP</t>
  </si>
  <si>
    <t>AC200QK</t>
  </si>
  <si>
    <t xml:space="preserve"> TOYOTA HILUX L/20 2.8 DC 4X4 TDI SRV AT6 </t>
  </si>
  <si>
    <t>AE369JA</t>
  </si>
  <si>
    <t xml:space="preserve">TOYOTA COROLLA CROSS 2.0 XEI CVT (me lo paso) </t>
  </si>
  <si>
    <t>FORD RANGER 2.5 SC 4X2 L/16 XL SAFETY</t>
  </si>
  <si>
    <t>AA998TO</t>
  </si>
  <si>
    <t>VOLKSWAGEN AMAROK 30TD 4X4 DC (ya la vimos en notion, por eso ya se envio)</t>
  </si>
  <si>
    <t>AG979VJ</t>
  </si>
  <si>
    <t xml:space="preserve"> RENAULT CLIO MIO 1.2 5 P DYNAMIQUE </t>
  </si>
  <si>
    <t>KLE200</t>
  </si>
  <si>
    <t>AD589IF</t>
  </si>
  <si>
    <t>AB475XY</t>
  </si>
  <si>
    <t xml:space="preserve">CITROEN C 4 LOUNGE 1.6 HDI FEEL PK L/18 </t>
  </si>
  <si>
    <t>AC313VY</t>
  </si>
  <si>
    <t xml:space="preserve"> VOLKSWAGEN FOX 1.6 5 P. HIGHLINE L/10 </t>
  </si>
  <si>
    <t>LAX996</t>
  </si>
  <si>
    <t>AB119XF</t>
  </si>
  <si>
    <t>FIAT CRONOS 1.8 PRECISION L/21 PACK STYLE</t>
  </si>
  <si>
    <t>AF293BX</t>
  </si>
  <si>
    <t>RENAULT CLIO MIO 1.2 5 P CONFORT PACK SAT</t>
  </si>
  <si>
    <t>AA459FK</t>
  </si>
  <si>
    <t xml:space="preserve">TOYOTA ETIOS 1.5 4 PTAS XLS PACK 4AT </t>
  </si>
  <si>
    <t>AF755TC</t>
  </si>
  <si>
    <t>AD997DE</t>
  </si>
  <si>
    <t xml:space="preserve">FIAT CRONOS 1.3 DRIVE PACK PLUS L/25 CVT </t>
  </si>
  <si>
    <t>FORD FOCUS L/16 1.6 4 P S</t>
  </si>
  <si>
    <t>AC549UM</t>
  </si>
  <si>
    <t>AD188IQ</t>
  </si>
  <si>
    <t>OMD453</t>
  </si>
  <si>
    <t>LDG363</t>
  </si>
  <si>
    <t>CHEVROLET CRUZE 1.8 4 PTAS LTZ AUT</t>
  </si>
  <si>
    <t>PJU857</t>
  </si>
  <si>
    <t>AF638ZG</t>
  </si>
  <si>
    <t>AF242OU</t>
  </si>
  <si>
    <t>AC879MB</t>
  </si>
  <si>
    <t>OFG534</t>
  </si>
  <si>
    <t>AE076MJ</t>
  </si>
  <si>
    <t>AH167NE</t>
  </si>
  <si>
    <t xml:space="preserve">VOLKSWAGEN POLO 1.6 L/18 TRENDLINE 5 P (pendiente carta de hallazgo) </t>
  </si>
  <si>
    <t>AE058KT</t>
  </si>
  <si>
    <t xml:space="preserve">CHEVROLET P-UP S10 2.8TD DC 4X4 LT L/14 </t>
  </si>
  <si>
    <t xml:space="preserve">RENAULT KWID 1.0 INTENS </t>
  </si>
  <si>
    <t>AD221CQ</t>
  </si>
  <si>
    <t xml:space="preserve">VW GOL 1,6 </t>
  </si>
  <si>
    <t>EAG390</t>
  </si>
  <si>
    <t>AG491QW</t>
  </si>
  <si>
    <t>AF508KA</t>
  </si>
  <si>
    <t>AF320CC</t>
  </si>
  <si>
    <t>CHRYSLER JEEP COMPASS 1.3T 270 SPORT AT6</t>
  </si>
  <si>
    <t>AF995IP</t>
  </si>
  <si>
    <t>AE201PQ</t>
  </si>
  <si>
    <t>VOLKSWAGEN POLO 1.0 L/23 170 TSI HIGHLINE AUT</t>
  </si>
  <si>
    <t>AH308JB</t>
  </si>
  <si>
    <t>AF082EW</t>
  </si>
  <si>
    <t>AH535XE</t>
  </si>
  <si>
    <t>AF423IG</t>
  </si>
  <si>
    <t>KYMCO LIKE 125</t>
  </si>
  <si>
    <t>A173FDM</t>
  </si>
  <si>
    <t>OYU398</t>
  </si>
  <si>
    <t>AH222AY</t>
  </si>
  <si>
    <t>TOYOTA COROLLA 1.8 XEI L/08 PACK</t>
  </si>
  <si>
    <t>IQS443</t>
  </si>
  <si>
    <t>VOLKSWAGEN GOLF VII 1.4 TSI HIGHLINE DSG</t>
  </si>
  <si>
    <t>AC842SL</t>
  </si>
  <si>
    <t>OTH390</t>
  </si>
  <si>
    <t>MYT264</t>
  </si>
  <si>
    <t>AG652MM</t>
  </si>
  <si>
    <t xml:space="preserve">FIAT PALIO 1.4 5 P FIRE L/14 TOP SEGUR. </t>
  </si>
  <si>
    <t>PON530</t>
  </si>
  <si>
    <t>AA734IV</t>
  </si>
  <si>
    <t xml:space="preserve">CITROEN PICASSO 1.6 L/08 EXCLUSIVE </t>
  </si>
  <si>
    <t>LAB585</t>
  </si>
  <si>
    <t xml:space="preserve">TOYOTA HILUX L/20 2.4 DC 4X2 TDI DX </t>
  </si>
  <si>
    <t>AF148HG</t>
  </si>
  <si>
    <t xml:space="preserve"> PEUGEOT 208 L/20 1.6 ALLURE TIPTRONIC </t>
  </si>
  <si>
    <t>VOLKSWAGEN GOL 1.6 5 P TRENDLINE L/19 TIP   (no me paso nada)</t>
  </si>
  <si>
    <t>AE958SW</t>
  </si>
  <si>
    <t>FORD RANGER 2.5 SC 4X2 L/14 XL SAFETY</t>
  </si>
  <si>
    <t>OQO790</t>
  </si>
  <si>
    <t>TOYOTA YARIS 1.5 5 PTAS CVT</t>
  </si>
  <si>
    <t>AB180YK</t>
  </si>
  <si>
    <t>CHEVROLET CRUZE 1.8 4 PTAS LTZ AUT (esperando alta taller)</t>
  </si>
  <si>
    <t>PEUGEOT 208 1.6 5P FELINE PK CUIR (no me paso nada)</t>
  </si>
  <si>
    <t>NBD950</t>
  </si>
  <si>
    <t xml:space="preserve">CHEVROLET CRUZE 1.4 5 PTAS LTZ AT  (no me paso nada) </t>
  </si>
  <si>
    <t>AC427PB</t>
  </si>
  <si>
    <t>FIAT FIORINO FURGON 1.3 ENDURANCE</t>
  </si>
  <si>
    <t>AH898MF</t>
  </si>
  <si>
    <t>AA885BW</t>
  </si>
  <si>
    <t>CHRYSLER RAM 1500 5.7 D/CAB 4X4 LARAMIE L/22</t>
  </si>
  <si>
    <t>AG712RS</t>
  </si>
  <si>
    <t>AF647UE</t>
  </si>
  <si>
    <t>RENAULT SANDERO II 1.6 16V PRIVILEGE PACK (no me paso nada)</t>
  </si>
  <si>
    <t>OXT165</t>
  </si>
  <si>
    <t xml:space="preserve">FIAT SIENA 1.4 EL  (no me paso nada) </t>
  </si>
  <si>
    <t>PBF063</t>
  </si>
  <si>
    <t>TOYOTA ETIOS 1.5 5 PTAS XLS (no me paso nada)</t>
  </si>
  <si>
    <t>NXD473</t>
  </si>
  <si>
    <t>TOYOTA ETIOS 1.5 4 PTAS XLS 6MT (no me paso nada)</t>
  </si>
  <si>
    <t>AG880XB</t>
  </si>
  <si>
    <t>FORD RANGER 2.2 TDI DC 4X2 L/16 XL  (no me paso nada)</t>
  </si>
  <si>
    <t xml:space="preserve"> VOLKSWAGEN GOL TREND 1.6 5 P L/17 TRENDLINE </t>
  </si>
  <si>
    <t>FIAT PULSE 1.3 DRIVE</t>
  </si>
  <si>
    <t>AF406YT</t>
  </si>
  <si>
    <t>Ford Focus</t>
  </si>
  <si>
    <t>KEI558</t>
  </si>
  <si>
    <t>AC614CK</t>
  </si>
  <si>
    <t xml:space="preserve">FIAT TORO 2.0TDI VOLCANO 4X4 AT (esperando que la migren) </t>
  </si>
  <si>
    <t>VOLKSWAGEN POLO 1.4 GTS 250 TSI (no me paso nada)</t>
  </si>
  <si>
    <t xml:space="preserve">VOLKSWAGEN UP! 3 PTAS HIGH (no me paso nada) </t>
  </si>
  <si>
    <t>AC709CW</t>
  </si>
  <si>
    <t>TOYOTA ETIOS 1.5 5 PTAS XLS PACK 4AT (no me paso nada)</t>
  </si>
  <si>
    <t>AC739NL</t>
  </si>
  <si>
    <t>AE076FB</t>
  </si>
  <si>
    <t xml:space="preserve">AF899SQ </t>
  </si>
  <si>
    <t xml:space="preserve">ETIOS 1.5 4 PTAS | SI NO ESTA EL MAIL TODAVIA AVISAR  (esperando que la migren) </t>
  </si>
  <si>
    <t>OHB077</t>
  </si>
  <si>
    <t>PEUGEOT 308 1.6 HDI ACTIVE</t>
  </si>
  <si>
    <t>MHO718</t>
  </si>
  <si>
    <t>TOYOTA HILUX L/23 2.8 DC 4X4 TDI SRX AT6 (esperando carta de hallazgo)</t>
  </si>
  <si>
    <t>FORD RANGER RAPTOR 3.0 T DC 4X4 AUT L/23 (RECLAMADA)</t>
  </si>
  <si>
    <t>AG980BB</t>
  </si>
  <si>
    <t>TOYOTA COROLLA CROSS 1.8 SEG HV E-CVT</t>
  </si>
  <si>
    <t>AG965EZ</t>
  </si>
  <si>
    <t>AG243MX</t>
  </si>
  <si>
    <t>RENAULT KANGOO 1.5 DCI STEPWAY L/18</t>
  </si>
  <si>
    <t>AE142YW</t>
  </si>
  <si>
    <t>CITROEN JUMPER 2.2 HDI FURGON L2 H1</t>
  </si>
  <si>
    <t>AC499ZV</t>
  </si>
  <si>
    <t>CHERY TIGGO 2.0 4X2 CONFORT L/13</t>
  </si>
  <si>
    <t>PGE202</t>
  </si>
  <si>
    <t>AUDI A3 1.4T FSI L/13 (ME LO PASO)</t>
  </si>
  <si>
    <t>AA402BO</t>
  </si>
  <si>
    <t>TOYOTA COROLLA 1.8 SE-G L/23 CVT HYBRID</t>
  </si>
  <si>
    <t>AG955AB</t>
  </si>
  <si>
    <t xml:space="preserve">RENAULT KANGOO EXPRESS 1.5 DCI CON. L/18  (no me paso nada) </t>
  </si>
  <si>
    <t>AF884VZ</t>
  </si>
  <si>
    <t>AA797RJ</t>
  </si>
  <si>
    <t>PEUGEOT PARTNER 1.4 CONFORT 5 PLAZAS</t>
  </si>
  <si>
    <t>AA345TA</t>
  </si>
  <si>
    <t xml:space="preserve">NISSAN X-TRAIL 2.5 4X4 EXCLUSIVE CVT L/21  (no me paso nada) </t>
  </si>
  <si>
    <t>AE850PB</t>
  </si>
  <si>
    <t xml:space="preserve">FORD TRANSIT 2.2 TDI FURGON MEDIO L/20 TE </t>
  </si>
  <si>
    <t>AE347DM</t>
  </si>
  <si>
    <t>CHEVROLET TRACKER 1.8 4X4 LTZ AUT</t>
  </si>
  <si>
    <t>AB851PF</t>
  </si>
  <si>
    <t>AB172KI</t>
  </si>
  <si>
    <t>AF400IG</t>
  </si>
  <si>
    <t>AE460BG</t>
  </si>
  <si>
    <t xml:space="preserve">MERCEDES BENZ C L 710-37/42  (no me paso nada) </t>
  </si>
  <si>
    <t>MJA188</t>
  </si>
  <si>
    <t>AE104EN</t>
  </si>
  <si>
    <t xml:space="preserve"> PEUGEOT 208 1.6 5P FELINE PK CUIR  (me lo paso)</t>
  </si>
  <si>
    <t>NWM437</t>
  </si>
  <si>
    <t>PEUGEOT 308 1.6 HDI FELINE | COORDINADA PARA EL 26/12 , ESPERANDO DERIV</t>
  </si>
  <si>
    <t>PEUGEOT 308 1.6 THP FELINE  (RECLAMADA)</t>
  </si>
  <si>
    <t>AC036KY</t>
  </si>
  <si>
    <t>FORD TERRITORY 1.8T  | APLICAR SOLO $430000 DE FRANQUICIA (RECLAMADA)</t>
  </si>
  <si>
    <t>CHEVROLET TRACKER 1.2 TURBO PREMIER AT6 L/22 (No me paso nada)</t>
  </si>
  <si>
    <t>AF743TZ</t>
  </si>
  <si>
    <t>RENAULT LOGAN II 1.6 16V ZEN L/19</t>
  </si>
  <si>
    <t>AG603TF</t>
  </si>
  <si>
    <t>CITROEN BERLINGO FURGON 1.6 HDI BUSINESS| LUNES REASIGNAN</t>
  </si>
  <si>
    <t>AF411JA</t>
  </si>
  <si>
    <t>AA316AD</t>
  </si>
  <si>
    <t xml:space="preserve"> TOYOTA ETIOS 1.5 4 PTAS X 6MT L/18 </t>
  </si>
  <si>
    <t>AE819YK</t>
  </si>
  <si>
    <t xml:space="preserve"> HONDA FIT 1.5 EXL 5 PTAS AUT L/09//L/13 </t>
  </si>
  <si>
    <t>MGX854</t>
  </si>
  <si>
    <t>PEUGEOT 208 L/24 1.6 ALLURE (No me paso nada)</t>
  </si>
  <si>
    <t>AG862SZ</t>
  </si>
  <si>
    <t xml:space="preserve">VOLKSWAGEN VOYAGE 1.6 L/13 </t>
  </si>
  <si>
    <t>MTS100</t>
  </si>
  <si>
    <t>PEUGEOT 208 L/23 1.6 ACTIVE PACK (me lo paso)</t>
  </si>
  <si>
    <t>AG475NL</t>
  </si>
  <si>
    <t>AA590EE</t>
  </si>
  <si>
    <t>HONDA ELITE 125</t>
  </si>
  <si>
    <t>A123QNO</t>
  </si>
  <si>
    <t>CHEVROLET SPIN 1.8 LT 5 AS MY LINK (No me paso nada)</t>
  </si>
  <si>
    <t>AG306JW</t>
  </si>
  <si>
    <t xml:space="preserve"> VOLKSWAGEN GOL TREND 1.6 3 P L/13  (No me paso nada)</t>
  </si>
  <si>
    <t>OOV971</t>
  </si>
  <si>
    <t>VOLKSWAGEN GOL TREND 1.6 3 P L/13  (No me paso nada)</t>
  </si>
  <si>
    <t>AH329MX</t>
  </si>
  <si>
    <t>ovega@sancorseguros.com</t>
  </si>
  <si>
    <t>A208KLY</t>
  </si>
  <si>
    <t>PEUGEOT PARTNER PATA. 1.6 L17</t>
  </si>
  <si>
    <t>AE852KC</t>
  </si>
  <si>
    <t>KYMCO LIKE 125 (No me paso nada)</t>
  </si>
  <si>
    <t>CITROEN C 3 AIRCROSS 1.6 VTI FEEL PACK L/24 (No me paso nada)</t>
  </si>
  <si>
    <t>FIAT CRONOS 1.3 GSE STILE L/23 (RECLAMADA)</t>
  </si>
  <si>
    <t>AG241BJ</t>
  </si>
  <si>
    <t>CHEVROLET SPIN 1.8 ACTIVE 7 AS AUT L/21 (esperando respuesta emi, vio una pcx)</t>
  </si>
  <si>
    <t>AH022QV</t>
  </si>
  <si>
    <t>AC891KO</t>
  </si>
  <si>
    <t xml:space="preserve"> CITROEN BERLINGO MULTISPACE 1.6I SX </t>
  </si>
  <si>
    <t>IYW897</t>
  </si>
  <si>
    <t>AA063LL</t>
  </si>
  <si>
    <t>AC984TY</t>
  </si>
  <si>
    <t>AA475VR</t>
  </si>
  <si>
    <t>FIAT TORO 1.3T FREEDOM 4X2 AT L/24</t>
  </si>
  <si>
    <t>AH200PM</t>
  </si>
  <si>
    <t>AE053TG</t>
  </si>
  <si>
    <t>FIAT CRONOS 1.3 GSE DRIVE PACK PLUS L/23  | CAMBIO FECHA, ESPERANDO AUS</t>
  </si>
  <si>
    <t>AF999CB</t>
  </si>
  <si>
    <t>FIAT CRONOS 1.3 GSE DRIVE PACK PLUS L/23 CVT</t>
  </si>
  <si>
    <t>AG963UM</t>
  </si>
  <si>
    <t>VOLKSWAGEN POLO 1.6 L/18 TRENDLINE 5 P (no me paso nada)</t>
  </si>
  <si>
    <t>AD993BX</t>
  </si>
  <si>
    <t>AH463DG</t>
  </si>
  <si>
    <t>BAJAJ DOMINAR 400 TOURER</t>
  </si>
  <si>
    <t>A181MYE</t>
  </si>
  <si>
    <t xml:space="preserve"> PEUGEOT 308 1.6 THP FELINE TIPTRONIC  (ESPERANDO ALTA TALLER)</t>
  </si>
  <si>
    <t>AD416RB</t>
  </si>
  <si>
    <t>AH038FN</t>
  </si>
  <si>
    <t>AF158SB</t>
  </si>
  <si>
    <t xml:space="preserve"> FIAT CRONOS 1.3 DRIVE L/22 S-DESIGN </t>
  </si>
  <si>
    <t>AF701ID</t>
  </si>
  <si>
    <t>PEUGEOT 5008 2.0 HDI ALLURE PLUS TIP. L17 (avisar sobre poliza)</t>
  </si>
  <si>
    <t>AE219UV</t>
  </si>
  <si>
    <t>AE900IU</t>
  </si>
  <si>
    <t>AG371SC</t>
  </si>
  <si>
    <t>mgunther@sancorseguros.com</t>
  </si>
  <si>
    <t>AG781NT</t>
  </si>
  <si>
    <t>AC897QS</t>
  </si>
  <si>
    <t>FORD TERRITORY 1.5T TITANIUM (Esperando confirmacion franquicia)</t>
  </si>
  <si>
    <t>TOYOTA ETIOS 1.5 4 PTAS PLATINUM</t>
  </si>
  <si>
    <t>AB869PS</t>
  </si>
  <si>
    <t>JZH045</t>
  </si>
  <si>
    <t>FIAT 500X 1.4 POP STAR</t>
  </si>
  <si>
    <t>AC973DO</t>
  </si>
  <si>
    <t>AE540TV</t>
  </si>
  <si>
    <t>AF894WZ</t>
  </si>
  <si>
    <t>MERCEDES BENZ GLC 300 4MATIC AMG LINE</t>
  </si>
  <si>
    <t>AB411UA</t>
  </si>
  <si>
    <t>AB876FI</t>
  </si>
  <si>
    <t>VOLKSWAGEN GOL 1.6 5 P TREND L/13 PK 1 (ESPERANDO ALTA TALLER)</t>
  </si>
  <si>
    <t>OUX686</t>
  </si>
  <si>
    <t>HONDA CITY 1.5 LX</t>
  </si>
  <si>
    <t>LLC706</t>
  </si>
  <si>
    <t xml:space="preserve"> VOLKSWAGEN GOL 1.6 5 P TRENDLINE L/19 </t>
  </si>
  <si>
    <t xml:space="preserve">TOYOTA ETIOS 1.5 4 PTAS PLATINUM </t>
  </si>
  <si>
    <t>AF964DL</t>
  </si>
  <si>
    <t>AF230YQ</t>
  </si>
  <si>
    <t>RENAULT CLIO MIO 1.2 WORK (no me paso nada)</t>
  </si>
  <si>
    <t>AA734IL</t>
  </si>
  <si>
    <t>AF761LH</t>
  </si>
  <si>
    <t>PEUGEOT 207 COMPACT 1.4 HDI 5 P.XT//FELINE (no me paso nada)</t>
  </si>
  <si>
    <t>LZN876</t>
  </si>
  <si>
    <t>AG409II</t>
  </si>
  <si>
    <t>AD399TZ</t>
  </si>
  <si>
    <t>HJP879</t>
  </si>
  <si>
    <t>AC967QA</t>
  </si>
  <si>
    <t>NRK863</t>
  </si>
  <si>
    <t>LIB054</t>
  </si>
  <si>
    <t xml:space="preserve">HYUNDAI TUCSON 2.0 4X4 GLS FULL AUT L/10 </t>
  </si>
  <si>
    <t>JOA434</t>
  </si>
  <si>
    <t xml:space="preserve"> CHEVROLET CLASSIC 1.4 4 PTAS LS ABS AB </t>
  </si>
  <si>
    <t>PIP840</t>
  </si>
  <si>
    <t>VOLKSWAGEN FOX 1.6 3 P. HIGHLINE L/10 ( esta repetida en la planilla)</t>
  </si>
  <si>
    <t>MCJ296</t>
  </si>
  <si>
    <t>VOLKSWAGEN GOL TREND 1.6 3 P L/13 (no me paso nada)</t>
  </si>
  <si>
    <t>OSI190</t>
  </si>
  <si>
    <t>HONDA CRV 2.4 4X2 LX AUT L/12 (esperando respuesta nico)</t>
  </si>
  <si>
    <t>OOO252</t>
  </si>
  <si>
    <t>PIE123</t>
  </si>
  <si>
    <t>FORD FOCUS L/16 2.0 4 P SE PLUS (no me paso nada)</t>
  </si>
  <si>
    <t>AC638KB</t>
  </si>
  <si>
    <t xml:space="preserve">FIAT CRONOS 1.3 GSE DRIVE PACK PLUS L/23 (ERROR AL DAR DE ALTA) </t>
  </si>
  <si>
    <t>AH379WF</t>
  </si>
  <si>
    <t>RENAULT SCENIC RXE 2.0 ABS| PEDIDA NUEVAMENTE A GESTOR</t>
  </si>
  <si>
    <t>DOO751</t>
  </si>
  <si>
    <t>CITROEN BERLINGO FURGON 1.6 HDI BUSINESS L/23 (reclamado)</t>
  </si>
  <si>
    <t>AH008NT</t>
  </si>
  <si>
    <t>PBW842</t>
  </si>
  <si>
    <t>NISSAN VERSA 1.6 ADVANCE PURE DRIVE A L17  (reclamado)</t>
  </si>
  <si>
    <t>AB654EA</t>
  </si>
  <si>
    <t>RENAULT ALASKAN 2.3 TDI ICONIC 4X4</t>
  </si>
  <si>
    <t>AF889KW</t>
  </si>
  <si>
    <t>FIAT ARGO 1.8 PRECISION  (reclamado)</t>
  </si>
  <si>
    <t>AC541EP</t>
  </si>
  <si>
    <t>NMW230</t>
  </si>
  <si>
    <t xml:space="preserve">FIAT FIORINO FURGON 1.4 EVO TOP (reclamado) </t>
  </si>
  <si>
    <t>AD042ES</t>
  </si>
  <si>
    <t>FIAT MOBI EASY PACK TOP (no me paso nada)</t>
  </si>
  <si>
    <t>AD828CG</t>
  </si>
  <si>
    <t>FORD RANGER 3.0 TDI DC 4X4 L/23 XLS V6 10AT</t>
  </si>
  <si>
    <t>AG489PO</t>
  </si>
  <si>
    <t>RENAULT KWID 1.0 ICONIC BITONO L/25  (no me paso nada)</t>
  </si>
  <si>
    <t>AH122RF</t>
  </si>
  <si>
    <t>FIAT STRADA 1.3 FIRE FLY FREEDOM CD  (reclamado)</t>
  </si>
  <si>
    <t>AH113RN</t>
  </si>
  <si>
    <t>RENAULT SANDERO STEPWAY II 1.6 PRIVILEGE  (la dejo aca hasta que alfre la pase)</t>
  </si>
  <si>
    <t>VOLKSWAGEN GOL 1.6 5 P TRENDLINE L/19 (ya se emitio orden)</t>
  </si>
  <si>
    <t>VEHÍCULO IGNORADO AUTOMÓVIL (esperando que la migren)</t>
  </si>
  <si>
    <t>NPC918</t>
  </si>
  <si>
    <t>FIAT CRONOS 1.3 GSE LIKE L/23 (reclamado)</t>
  </si>
  <si>
    <t>AH584FH</t>
  </si>
  <si>
    <t>TOYOTA ETIOS 1.5 4 PTAS X 6MT L/18  (PREGUNTAR A EMILIANO)</t>
  </si>
  <si>
    <t xml:space="preserve">VOLKSWAGEN POLO 1.0 170 TSI COMFORTLINE </t>
  </si>
  <si>
    <t>AH172UC</t>
  </si>
  <si>
    <t>FIAT CRONOS 1.3 GSE DRIVE PACK PLUS L/23 (me lo paso)</t>
  </si>
  <si>
    <t>AG175NK</t>
  </si>
  <si>
    <t>AE879AS</t>
  </si>
  <si>
    <t>AC457UK</t>
  </si>
  <si>
    <t>VOLKSWAGEN VENTO 2.5 170 HP ADVANCE PLUS TIP</t>
  </si>
  <si>
    <t>OPP197</t>
  </si>
  <si>
    <t>PEUGEOT 207 COMPACT 1.6 5 P XT//FELINE</t>
  </si>
  <si>
    <t>HXV310</t>
  </si>
  <si>
    <t>TOYOTA HILUX L/16 2.8 DC 4X2 TDI SRV</t>
  </si>
  <si>
    <t>AD417JY</t>
  </si>
  <si>
    <t xml:space="preserve">VOLKSWAGEN POLO 1.6 L/18 HIGHLINE 5 P TIP  ( no me paso nada) </t>
  </si>
  <si>
    <t xml:space="preserve">VEHÍCULO IGNORADO (esperando confirmacion gestor) </t>
  </si>
  <si>
    <t>OSM773</t>
  </si>
  <si>
    <t>FIAT MOBI EASY PACK TOP  (reclamado)</t>
  </si>
  <si>
    <t>AA956AF</t>
  </si>
  <si>
    <t>FIAT CRONOS 1.3 GSE DRIVE PACK PLUS L/23 (no me paso nada)</t>
  </si>
  <si>
    <t>AG409HE</t>
  </si>
  <si>
    <t xml:space="preserve">CITROEN BERLINGO FURGON 1.4I BUSINESS MIXT </t>
  </si>
  <si>
    <t>AA506FJ</t>
  </si>
  <si>
    <t xml:space="preserve">VOLKSWAGEN GOL TREND 1.6 5 P  ( no me paso nada) </t>
  </si>
  <si>
    <t>LYX603</t>
  </si>
  <si>
    <t xml:space="preserve">VEHÍCULO IGNORADO AUTOMÓVIL </t>
  </si>
  <si>
    <t>AD813TM</t>
  </si>
  <si>
    <t>VOLKSWAGEN AMAROK 20TD 4X4 DC HIGHLINE 180HP A L17 (no me paso nada)</t>
  </si>
  <si>
    <t>AG257MZ</t>
  </si>
  <si>
    <t>TOYOTA COROLLA 1.8 XEI L/11 PACK (me lo paso)</t>
  </si>
  <si>
    <t>FIAT CRONOS 1.3 GSE DRIVE PACK PLUS L/23  (reclamado)</t>
  </si>
  <si>
    <t>AF912ZS</t>
  </si>
  <si>
    <t>AE125HK</t>
  </si>
  <si>
    <t>AF790WM</t>
  </si>
  <si>
    <t>CHRYSLER JEEP COMPASS 2.4 LONGITUDE AT6 4X2</t>
  </si>
  <si>
    <t>AD624ID</t>
  </si>
  <si>
    <t>AD490HA</t>
  </si>
  <si>
    <t>AG750HZ</t>
  </si>
  <si>
    <t>AD787BG</t>
  </si>
  <si>
    <t>FIAT DOBLO 1.4 CARGO ACTIVE (no le saco foto al numero de chasis)</t>
  </si>
  <si>
    <t>OPB299</t>
  </si>
  <si>
    <t xml:space="preserve">TOYOTA COROLLA CROSS 1.8 SEG HV E-CVT  </t>
  </si>
  <si>
    <t>AF146VR</t>
  </si>
  <si>
    <t>RENAULT CLIO MIO 1.2 3 P CONFORT</t>
  </si>
  <si>
    <t>NKA790</t>
  </si>
  <si>
    <t>RENAULT R 19 RTTD 4 PTAS</t>
  </si>
  <si>
    <t>RSA519</t>
  </si>
  <si>
    <t>AF832OG</t>
  </si>
  <si>
    <t>FIAT TORO 2.0TDI FREEDOM 4X4</t>
  </si>
  <si>
    <t>AA260EI</t>
  </si>
  <si>
    <t>CHEVROLET AGILE 1.4 LTZ SPIRIT</t>
  </si>
  <si>
    <t>LQZ693</t>
  </si>
  <si>
    <t>AF003EP</t>
  </si>
  <si>
    <t>AD666YX</t>
  </si>
  <si>
    <t>TOYOTA COROLLA 1.8 XLI L/17 CVT  (ME LO PASO 3/2)</t>
  </si>
  <si>
    <t>AD970RD</t>
  </si>
  <si>
    <t>NISSAN NOTE 1.6 EXCLUSIVE PURE DRIVE CVT</t>
  </si>
  <si>
    <t>AD943IO</t>
  </si>
  <si>
    <t>RENAULT LOGAN II 1.6 16V INTENS CVT L/19</t>
  </si>
  <si>
    <t>AE627AN</t>
  </si>
  <si>
    <t>TOYOTA HILUX L/12 2.5 DC 4X4 TD DX PACK</t>
  </si>
  <si>
    <t>OMM068</t>
  </si>
  <si>
    <t>OIJ450</t>
  </si>
  <si>
    <t>AG405WR</t>
  </si>
  <si>
    <t xml:space="preserve"> FIAT CRONOS 1.3 GSE DRIVE PACK PLUS L/23 </t>
  </si>
  <si>
    <t xml:space="preserve">HYUNDAI TUCSON 2.0 4X4 TD EXCLU. AUT L/16 </t>
  </si>
  <si>
    <t>AB091YC</t>
  </si>
  <si>
    <t xml:space="preserve">VOLKSWAGEN GOL TREND 1.6 3 P L/13  ( no me paso nada) </t>
  </si>
  <si>
    <t>OEW540</t>
  </si>
  <si>
    <t>CITROEN C 3 1.6I SX L/08</t>
  </si>
  <si>
    <t>IYI649</t>
  </si>
  <si>
    <t>CHEVROLET ONIX 1.0T PLUS PREMIER II AT L/24</t>
  </si>
  <si>
    <t>AH100DS</t>
  </si>
  <si>
    <t>ACOPLADO PLAYO (las tiene alfre)</t>
  </si>
  <si>
    <t>CHB690</t>
  </si>
  <si>
    <t>MERCEDES BENZ C LS 1634-45/51   (las tiene alfre)</t>
  </si>
  <si>
    <t>FXL035</t>
  </si>
  <si>
    <t>AC822UZ</t>
  </si>
  <si>
    <t>AD998ZW</t>
  </si>
  <si>
    <t xml:space="preserve">PEUGEOT 208 L/23 1.6 ALLURE PACK ( no me paso nada) </t>
  </si>
  <si>
    <t>PEUGEOT 208 L/24 1.6 ALLURE   (me lo paso)</t>
  </si>
  <si>
    <t>RENAULT CLIO MIO 1.2 3 P CONFORT PACK SAT</t>
  </si>
  <si>
    <t>AA996RP</t>
  </si>
  <si>
    <t>vcingolani@sancorseguros.com</t>
  </si>
  <si>
    <t>AC715GW</t>
  </si>
  <si>
    <t>FIAT CRONOS 1.3 DRIVE PACK PLUS L/25</t>
  </si>
  <si>
    <t>FIAT CRONOS 1.3 PRECISION CVT L/22 (esperando que lo migren)</t>
  </si>
  <si>
    <t>AF553LE</t>
  </si>
  <si>
    <t>AA699ER</t>
  </si>
  <si>
    <t>AG405OJ</t>
  </si>
  <si>
    <t>AE937XJ</t>
  </si>
  <si>
    <t>AF025ZK</t>
  </si>
  <si>
    <t>AB421NK</t>
  </si>
  <si>
    <t>FORD ECO SPORT 1.6 FREESTYLE L/13 (no le saco foto al numero de chasis)</t>
  </si>
  <si>
    <t>MQG057</t>
  </si>
  <si>
    <t>AG859XL</t>
  </si>
  <si>
    <t>AD089XB</t>
  </si>
  <si>
    <t xml:space="preserve">RENAULT DUSTER 2.0 4X4 LUXE NAV ( no me paso nada) </t>
  </si>
  <si>
    <t>NGT612</t>
  </si>
  <si>
    <t>IRS264</t>
  </si>
  <si>
    <t>MMI170</t>
  </si>
  <si>
    <t>AC644GJ</t>
  </si>
  <si>
    <t>AE312RI</t>
  </si>
  <si>
    <t>TOYOTA YARIS 1.5 4 PTAS XLS L/22</t>
  </si>
  <si>
    <t>AF423EB</t>
  </si>
  <si>
    <t>NFE586</t>
  </si>
  <si>
    <t xml:space="preserve">FORD RANGER 2.0 TDI DC 4X2 L/23 XLT 10AT </t>
  </si>
  <si>
    <t>AG787BH</t>
  </si>
  <si>
    <t>AE003NZ</t>
  </si>
  <si>
    <t>PJC499</t>
  </si>
  <si>
    <t>AG063CV</t>
  </si>
  <si>
    <t>PEUGEOT 308 1.6 HDI FELINE (esperando que la migren)</t>
  </si>
  <si>
    <t>AC897JZ</t>
  </si>
  <si>
    <t>AH296CB</t>
  </si>
  <si>
    <t>NISSAN VERSA 1.6 ADVANCE PURE DRIVE A L17</t>
  </si>
  <si>
    <t>AB508EE</t>
  </si>
  <si>
    <t xml:space="preserve">CHEVROLET CLASSIC 1.4 4 PTAS LS ABS AB </t>
  </si>
  <si>
    <t>PDM675</t>
  </si>
  <si>
    <t xml:space="preserve">CHEVROLET PRISMA 1.4 LT L/13 (no me paso nada) </t>
  </si>
  <si>
    <t>PCP467</t>
  </si>
  <si>
    <t>FORD ECO SPORT 1.5 TDCI SE L/18</t>
  </si>
  <si>
    <t>AC832GB</t>
  </si>
  <si>
    <t xml:space="preserve">RENAULT MEGANE RT 5 PTAS TD AB ABS  (no me paso nada) </t>
  </si>
  <si>
    <t>CPX932</t>
  </si>
  <si>
    <t>AF541PP</t>
  </si>
  <si>
    <t xml:space="preserve">VOLKSWAGEN POLO 1.6 L/18 COM. 5 P PLUS TIP </t>
  </si>
  <si>
    <t xml:space="preserve">FORD RANGER RAPTOR 3.0 T DC 4X4 AUT L/23 (me lo paso) </t>
  </si>
  <si>
    <t>AG431AH</t>
  </si>
  <si>
    <t xml:space="preserve">VOLKSWAGEN T-CROSS 1.0 200 TSI TRENDLINE AT L/24 (no me paso nada) </t>
  </si>
  <si>
    <t>AH031BR</t>
  </si>
  <si>
    <t>AE022QV</t>
  </si>
  <si>
    <t>AD703XD</t>
  </si>
  <si>
    <t>AC438IE</t>
  </si>
  <si>
    <t>PEUGEOT 208 1.5 5P ALLURE NAV TOUCH  (esperando rsta electricista)</t>
  </si>
  <si>
    <t>NTB189</t>
  </si>
  <si>
    <t xml:space="preserve"> CITROEN C 3 AIRCROSS 1.6 TENDANCE L/14 </t>
  </si>
  <si>
    <t>ONI154</t>
  </si>
  <si>
    <t>AF258GC</t>
  </si>
  <si>
    <t>OQI567</t>
  </si>
  <si>
    <t xml:space="preserve">CHEVROLET TRACKER 1.2 TURBO LTZ AT6 L/22 </t>
  </si>
  <si>
    <t>AF794GD</t>
  </si>
  <si>
    <t xml:space="preserve"> RENAULT LOGAN II 1.6 16V INTENS L/19 </t>
  </si>
  <si>
    <t>OIZ468</t>
  </si>
  <si>
    <t>NED090</t>
  </si>
  <si>
    <t>CHRYSLER JEEP RENEGADE 1.3T 4X2 SERIE-S L/24 AT</t>
  </si>
  <si>
    <t>AH001KF</t>
  </si>
  <si>
    <t>AC113UX</t>
  </si>
  <si>
    <t xml:space="preserve">CHERY TIGGO 5 2.0 4X2 LUXURY CVT L/17 (no me paso nada) </t>
  </si>
  <si>
    <t>AC579YR</t>
  </si>
  <si>
    <t xml:space="preserve">CHEVROLET ONIX 1.4 LTZ AUT L/17 (no me paso nada) </t>
  </si>
  <si>
    <t>AB411XY</t>
  </si>
  <si>
    <t xml:space="preserve">PEUGEOT PARTNER 1.6 HDI CONFORT PLC AB L10/17 (reclamado) </t>
  </si>
  <si>
    <t xml:space="preserve">TOYOTA HILUX 4X2 DC SR 2.4 TDI 6M/T (Esperando que emi hable con alfre) </t>
  </si>
  <si>
    <t>AC957IR</t>
  </si>
  <si>
    <t xml:space="preserve">FIAT CRONOS 1.3 GSE DRIVE PACK PLUS L/23 (esperando que acuerde) </t>
  </si>
  <si>
    <t>AG524MI</t>
  </si>
  <si>
    <t xml:space="preserve">TOYOTA ETIOS 1.5 5 PTAS XLS PACK 6MT </t>
  </si>
  <si>
    <t>AF685CD</t>
  </si>
  <si>
    <t>AE674EF</t>
  </si>
  <si>
    <t>AE008NR</t>
  </si>
  <si>
    <t xml:space="preserve">TOYOTA COROLLA 1.8 XEI L/11  (no me paso nada) </t>
  </si>
  <si>
    <t>MEX341</t>
  </si>
  <si>
    <t>FORD FIESTA 1.6 5P SE PLUS POWER. (KD)</t>
  </si>
  <si>
    <t>AB568HA</t>
  </si>
  <si>
    <t>AF018UC</t>
  </si>
  <si>
    <t>TOYOTA HILUX L/12 3.0 DC 4X4 TDI SR</t>
  </si>
  <si>
    <t>MZP963</t>
  </si>
  <si>
    <t xml:space="preserve">HONDA HR-V 1.8 EXL CVT (no me paso nada) </t>
  </si>
  <si>
    <t xml:space="preserve"> VOLKSWAGEN GOL 1.4 3 P POWER</t>
  </si>
  <si>
    <t>FIAT PULSE 1.3 DRIVE (esperando que lucas renegocie)</t>
  </si>
  <si>
    <t>AF810AR</t>
  </si>
  <si>
    <t>TOYOTA YARIS 1.5 5 PTAS XS CVT (las tiene alfre)</t>
  </si>
  <si>
    <t>AC019BA</t>
  </si>
  <si>
    <t xml:space="preserve">NISSAN VERSA 1.6 ADVANCE PURE DRIVE A L17 </t>
  </si>
  <si>
    <t>VOLKSWAGEN POLO 1.0 L/23 170 TSI HIGHLINE AUT  (las tiene alfre)</t>
  </si>
  <si>
    <t>AG630JU</t>
  </si>
  <si>
    <t>TOYOTA ETIOS 1.5 4 PTAS XLS 4AT L/18  (ME LO PASO 3/2)</t>
  </si>
  <si>
    <t>AF208CE</t>
  </si>
  <si>
    <t xml:space="preserve">CHEVROLET TRACKER 1.2 TURBO MT5 L/22 </t>
  </si>
  <si>
    <t>AG704LP</t>
  </si>
  <si>
    <t>NHG727</t>
  </si>
  <si>
    <t xml:space="preserve">CHEVROLET SPIN 1.8 LTZ 5 AS </t>
  </si>
  <si>
    <t xml:space="preserve"> VOLKSWAGEN AMAROK 20TD 4X2 DC COMFORT. 180HP L/17</t>
  </si>
  <si>
    <t>AG302KZ</t>
  </si>
  <si>
    <t>AD531SG</t>
  </si>
  <si>
    <t>FORD TERRITORY 1.8T TITANIUM L/25 (no me paso nada)</t>
  </si>
  <si>
    <t>AH168DM</t>
  </si>
  <si>
    <t>DFSK TRUCK EC 31</t>
  </si>
  <si>
    <t>AG863AQ</t>
  </si>
  <si>
    <t>CITROEN C 3 AIRCROSS 1.6</t>
  </si>
  <si>
    <t>NGK093</t>
  </si>
  <si>
    <t>TOYOTA ETIOS 1.5 5 PTAS XLS PACK 4AT (cotizan con sobreprecio)</t>
  </si>
  <si>
    <t xml:space="preserve">VOLKSWAGEN GOL TREND 1.6 5 P </t>
  </si>
  <si>
    <t>OLT894</t>
  </si>
  <si>
    <t xml:space="preserve">CHEVROLET CELTA 1.4 5 PTAS LS AA ( no me paso nada) </t>
  </si>
  <si>
    <t>LCG014</t>
  </si>
  <si>
    <t xml:space="preserve">CHEVROLET CRUZE 1.4 5 PTAS LT AT </t>
  </si>
  <si>
    <t>AF977JH</t>
  </si>
  <si>
    <t>AF349VX</t>
  </si>
  <si>
    <t>AG240XX</t>
  </si>
  <si>
    <t>AE053RL</t>
  </si>
  <si>
    <t>PGX232</t>
  </si>
  <si>
    <t xml:space="preserve">HONDA HR-V 1.8 EX CVT L/21 (no me paso nada) </t>
  </si>
  <si>
    <t>FORD RANGER 2.0 TDI DC 4X4 L/23 XLT 10AT  (ME LO PASO 3/2)</t>
  </si>
  <si>
    <t>AG815ZC</t>
  </si>
  <si>
    <t xml:space="preserve"> RENAULT KANGOO 1.5 DCI STEPWAY L/18 </t>
  </si>
  <si>
    <t>AF756YY</t>
  </si>
  <si>
    <t>AG213WK</t>
  </si>
  <si>
    <t xml:space="preserve">RENAULT KANGOO EXPRESS 1.6 (Cargado, esperando acuerdo renault) </t>
  </si>
  <si>
    <t>AF644QS</t>
  </si>
  <si>
    <t>PGZ612</t>
  </si>
  <si>
    <t>AA921MA</t>
  </si>
  <si>
    <t>OMS194</t>
  </si>
  <si>
    <t xml:space="preserve">TOYOTA HILUX L/21 2.4 DC 4X2 TDI DX (me lo paso 20/2) </t>
  </si>
  <si>
    <t>AE939OI</t>
  </si>
  <si>
    <t xml:space="preserve">TOYOTA HILUX L/24 2.8 DC 4X4 TDI SRX AT6 (esperando que lo migren) </t>
  </si>
  <si>
    <t>AG451CF</t>
  </si>
  <si>
    <t>PEUGEOT 206 1.9 5 PTAS D X-LINE</t>
  </si>
  <si>
    <t>GVD933</t>
  </si>
  <si>
    <t xml:space="preserve"> PEUGEOT 208 1.5 5P ALLURE NAV TOUCH </t>
  </si>
  <si>
    <t>AA993JK</t>
  </si>
  <si>
    <t xml:space="preserve">CHEVROLET CELTA 1.4 5 PTAS LS AA </t>
  </si>
  <si>
    <t>AF315KP</t>
  </si>
  <si>
    <t>marcolombo@ext.sancorseguros.com</t>
  </si>
  <si>
    <t>PIV997</t>
  </si>
  <si>
    <t>AG561VZ</t>
  </si>
  <si>
    <t xml:space="preserve">FIAT GRAND SIENA 1.6 ESSENCE II HI.TECH </t>
  </si>
  <si>
    <t>OIA382</t>
  </si>
  <si>
    <t xml:space="preserve"> PEUGEOT 408 2.0 FELINE</t>
  </si>
  <si>
    <t>PFV679</t>
  </si>
  <si>
    <t>AC052NJ</t>
  </si>
  <si>
    <t>MINI COOPER CHILI</t>
  </si>
  <si>
    <t>JHZ552</t>
  </si>
  <si>
    <t xml:space="preserve">TOYOTA ETIOS 1.5 4 PTAS XLS (en consulta por alta taller) </t>
  </si>
  <si>
    <t>NXD639</t>
  </si>
  <si>
    <t>IAW751</t>
  </si>
  <si>
    <t>AA217NS</t>
  </si>
  <si>
    <t>AC991GE</t>
  </si>
  <si>
    <t xml:space="preserve">NISSAN X-TRAIL 2.5 4X4 EXCLUSIVE CVT L/21 </t>
  </si>
  <si>
    <t xml:space="preserve">VOLKSWAGEN FOX 1.6 5 P. TRENDLINE L/10 </t>
  </si>
  <si>
    <t>KTK283</t>
  </si>
  <si>
    <t xml:space="preserve">TOYOTA YARIS 1.5 5 PTAS S CVT L/22 (Veo </t>
  </si>
  <si>
    <t>AH383CP</t>
  </si>
  <si>
    <t xml:space="preserve"> A LA ESPERA DE DOCUMENTACION PARA CARGAR</t>
  </si>
  <si>
    <t>AC610TE</t>
  </si>
  <si>
    <t>RENAULT DUSTER 1.6 4X2 PRIVILEGE L/15  (no me paso nada reclamado 24/2)</t>
  </si>
  <si>
    <t>AD695AV</t>
  </si>
  <si>
    <t>AF990GL</t>
  </si>
  <si>
    <t>FORD MONDEO 2.0 SEL ECOBOOST AUT</t>
  </si>
  <si>
    <t>AE196FN</t>
  </si>
  <si>
    <t xml:space="preserve"> TOYOTA YARIS 1.5 5 PTAS XLS PACK CVT L/22 </t>
  </si>
  <si>
    <t>AG486PQ</t>
  </si>
  <si>
    <t>AG947GG</t>
  </si>
  <si>
    <t xml:space="preserve">TOYOTA ETIOS 1.5 4 PTAS XLS 6MT (preguntar sobre mano de obra) </t>
  </si>
  <si>
    <t>AB338IH</t>
  </si>
  <si>
    <t>FIAT CRONOS 1.3 PRECISION (ES PARA RECOORDINAR, LO HABLAMOS POR TEL)</t>
  </si>
  <si>
    <t>AH548IX</t>
  </si>
  <si>
    <t>CHEVROLET ONIX 1.0T PREMIER II AT L/19 (negociando con ivan)</t>
  </si>
  <si>
    <t>DS AUTOMOBILES DS3 1.6 THP SPORT CHIC</t>
  </si>
  <si>
    <t>MXT675</t>
  </si>
  <si>
    <t>AG114DK</t>
  </si>
  <si>
    <t>PEUGEOT 208 L/20 1.6 ALLURE TIPTRONIC (esperando confirmacion valores)</t>
  </si>
  <si>
    <t>AF687KB</t>
  </si>
  <si>
    <t xml:space="preserve">RENAULT SANDERO II 2.0 16V RS  (no me paso nada) </t>
  </si>
  <si>
    <t>PDM700</t>
  </si>
  <si>
    <t>MERCEDES BENZ C LS 1634-45/51</t>
  </si>
  <si>
    <t>EKX266</t>
  </si>
  <si>
    <t xml:space="preserve">FIAT PULSE 1.3 DRIVE </t>
  </si>
  <si>
    <t>PKD216</t>
  </si>
  <si>
    <t>FIAT CRONOS 1.3 PRECISION  (ES PARA RECOORDINAR, LO HABLAMOS POR TEL)</t>
  </si>
  <si>
    <t>PEUGEOT 2008 1.0 T 200 ALLURE CVT</t>
  </si>
  <si>
    <t>AH593OT</t>
  </si>
  <si>
    <t xml:space="preserve">FORD TERRITORY 1.8T TITANIUM   (no me paso nada) </t>
  </si>
  <si>
    <t>AG366HA</t>
  </si>
  <si>
    <t xml:space="preserve">CHEVROLET CLASSIC 1.4 4 PTAS LS ABS AB  (no me paso nada) </t>
  </si>
  <si>
    <t>AA437CX</t>
  </si>
  <si>
    <t xml:space="preserve">RENAULT FLUENCE 2.0 PRIVILEGE   (no me paso nada) </t>
  </si>
  <si>
    <t>JYS022</t>
  </si>
  <si>
    <t xml:space="preserve">RENAULT LOGAN II 1.6 16V LIFE L/19  (Cargado, esperando acuerdo renault) </t>
  </si>
  <si>
    <t>AF505YP</t>
  </si>
  <si>
    <t xml:space="preserve">TOYOTA COROLLA CROSS 2.0 XEI CVT L/24 </t>
  </si>
  <si>
    <t>AG602YF</t>
  </si>
  <si>
    <t xml:space="preserve">FORD FIESTA 1.6 5P TITANIUM L/14 (KD) </t>
  </si>
  <si>
    <t>MPY644</t>
  </si>
  <si>
    <r>
      <rPr>
        <sz val="11"/>
        <color rgb="FF000000"/>
        <rFont val="Aptos Narrow"/>
        <scheme val="minor"/>
      </rPr>
      <t>TOYOTA HILUX L/21 2.8 DC 4X4 TDI SRX AT6</t>
    </r>
    <r>
      <rPr>
        <b/>
        <sz val="11"/>
        <color rgb="FF000000"/>
        <rFont val="Aptos Narrow"/>
        <scheme val="minor"/>
      </rPr>
      <t xml:space="preserve"> RECOORDINADA</t>
    </r>
  </si>
  <si>
    <t>AG009EL</t>
  </si>
  <si>
    <t xml:space="preserve">TOYOTA HILUX L/23 2.8 DC 4X4 TDI SRX AT6 (No me paso nada) </t>
  </si>
  <si>
    <t xml:space="preserve">FIAT 500X 1.4 POP STAR (en consulta con alfre) </t>
  </si>
  <si>
    <t xml:space="preserve">TOYOTA YARIS 1.5 4 PTAS XLS L/22  (no me paso nada) </t>
  </si>
  <si>
    <t>PJP096</t>
  </si>
  <si>
    <t>AA488YR</t>
  </si>
  <si>
    <t xml:space="preserve">TOYOTA COROLLA CROSS 1.8 SEG HV E-CVT  (no me paso nada) </t>
  </si>
  <si>
    <t>AF712RB</t>
  </si>
  <si>
    <t>AB599LD</t>
  </si>
  <si>
    <t xml:space="preserve">CHEVROLET CELTA 1.4 3 PTAS LS AA (esperando cobertura) </t>
  </si>
  <si>
    <t>LTQ578</t>
  </si>
  <si>
    <t>AC638TI</t>
  </si>
  <si>
    <t xml:space="preserve"> VOLKSWAGEN GOL TREND 1.6 3 P L/13 </t>
  </si>
  <si>
    <t>NNC242</t>
  </si>
  <si>
    <t xml:space="preserve">glezcano@sancorseguros.com </t>
  </si>
  <si>
    <t>AH900HE</t>
  </si>
  <si>
    <t>OIZ561</t>
  </si>
  <si>
    <t>AD933IY</t>
  </si>
  <si>
    <t>AD167AF</t>
  </si>
  <si>
    <t>RENAULT SANDERO 1.6 8V PACK L/11 - si</t>
  </si>
  <si>
    <t>LCD137</t>
  </si>
  <si>
    <t>AF908KM</t>
  </si>
  <si>
    <t>AG796JI</t>
  </si>
  <si>
    <t>OSP526</t>
  </si>
  <si>
    <t xml:space="preserve">CHEVROLET SPIN 1.8 ACTIVE 7 AS AUT L/21 </t>
  </si>
  <si>
    <t>AG345RN</t>
  </si>
  <si>
    <t xml:space="preserve">RENAULT KWID 1.0 INTENS (no me paso nada) </t>
  </si>
  <si>
    <t>AC164UQ</t>
  </si>
  <si>
    <t>AF402EX</t>
  </si>
  <si>
    <t>AC879QC</t>
  </si>
  <si>
    <t xml:space="preserve">FIAT FIORINO FURGON 1.3 ENDURANCE  (no me paso nada) </t>
  </si>
  <si>
    <t>AF622FZ</t>
  </si>
  <si>
    <t xml:space="preserve">CITROEN C 3 AIRCROSS 1.6 FEEL (no me paso nada) </t>
  </si>
  <si>
    <t>AE192VS</t>
  </si>
  <si>
    <t>AB798NU</t>
  </si>
  <si>
    <t>RENAULT SANDERO II 1.6 8V EXPRESSION (me lo paso)</t>
  </si>
  <si>
    <t>VOLKSWAGEN AMAROK V6 30TD 4X4 DC AT 224HP -si</t>
  </si>
  <si>
    <t>AC677GJ</t>
  </si>
  <si>
    <t xml:space="preserve">VOLKSWAGEN POLO 1.6 L/16 COM. 4 P TIP. </t>
  </si>
  <si>
    <t>AC659DX</t>
  </si>
  <si>
    <t xml:space="preserve">FORD KA 1.5 SEL (no me paso nada) </t>
  </si>
  <si>
    <t xml:space="preserve">PEUGEOT 308 1.6 HDI FELINE - (esperando que lo migren) </t>
  </si>
  <si>
    <t xml:space="preserve">VOLKSWAGEN NIVUS 200 TSI HIGHLINE AT L/25 (no me paso nada) </t>
  </si>
  <si>
    <t>AH032JZ</t>
  </si>
  <si>
    <t>HONDA CRV 2.4 4X2 LX AUT L/12</t>
  </si>
  <si>
    <t xml:space="preserve">CITROEN C 4 LOUNGE 2.0 I FEEL PK (no me paso nada) </t>
  </si>
  <si>
    <t>gmoscato@sancorseguros.com</t>
  </si>
  <si>
    <t>FIAT CRONOS 1.3 DRIVE L/22 (me lo paso 24/2)</t>
  </si>
  <si>
    <t>AF483QS</t>
  </si>
  <si>
    <t>VOLKSWAGEN FOX 1.6 CROSSFOX HIGHLINE L/10</t>
  </si>
  <si>
    <t>MUY540</t>
  </si>
  <si>
    <t xml:space="preserve">FORD TRANSIT 2.2 TDI FURGON MEDIO L/15 (no me paso nada) </t>
  </si>
  <si>
    <t>CONTACTADO</t>
  </si>
  <si>
    <t>CHEVROLET ONIX 1.4 LTZ AUT L/17 (esperando nuevo presupuesto 23/2)</t>
  </si>
  <si>
    <t>AG416DL</t>
  </si>
  <si>
    <t>AG106LO</t>
  </si>
  <si>
    <t>AG170BC</t>
  </si>
  <si>
    <t>KBQ223</t>
  </si>
  <si>
    <t>AF998KA</t>
  </si>
  <si>
    <t xml:space="preserve">PEUGEOT 208 L/20 1.6 FELINE TIPTRONIC(esperando respuesta) </t>
  </si>
  <si>
    <t>CITROEN C 4 LOUNGE 1.6 HDI FEEL PK</t>
  </si>
  <si>
    <t>AB201ZH</t>
  </si>
  <si>
    <t xml:space="preserve">FORD FOCUS L/16 2.0 4 P TITANIUM POWER (esperando respuesta) </t>
  </si>
  <si>
    <t>AC566BV</t>
  </si>
  <si>
    <t>FORD FIESTA 1.6 5P S (KD)   (me lo paso 24/2)</t>
  </si>
  <si>
    <t>PHR244</t>
  </si>
  <si>
    <t xml:space="preserve">ENAULT KANGOO 1.6 SCE STEPWAY L/18 - </t>
  </si>
  <si>
    <t>AG799TB</t>
  </si>
  <si>
    <t>PEUGEOT 208 1.6 5P FELINE PK CUIR (preguntado a nico)</t>
  </si>
  <si>
    <t>AB368PT</t>
  </si>
  <si>
    <t xml:space="preserve">FIAT FIORINO FURGON 1.4 EVO (esperando para dar de alta) </t>
  </si>
  <si>
    <t>POC828</t>
  </si>
  <si>
    <t xml:space="preserve">TOYOTA YARIS 1.5 5 PTAS XLS CVT L/20 (esperando respuesta) </t>
  </si>
  <si>
    <t>AB339EO</t>
  </si>
  <si>
    <t>OSY762</t>
  </si>
  <si>
    <t xml:space="preserve"> PEUGEOT 208 L/20 1.6 ACTIVE</t>
  </si>
  <si>
    <t>AE939MO</t>
  </si>
  <si>
    <t>PENDIENTE PRESUPUESTO</t>
  </si>
  <si>
    <t>JMEV EASY 3  (reclamada )</t>
  </si>
  <si>
    <t>AH759EV</t>
  </si>
  <si>
    <t xml:space="preserve">RENAULT SANDERO II 1.6 8V AUTHENTIQUE (esperando alta de taller) </t>
  </si>
  <si>
    <t>AB195BU</t>
  </si>
  <si>
    <t xml:space="preserve">RENAULT SANDERO II 1.6 8V  (Cargado, esperando acuerdo renault) </t>
  </si>
  <si>
    <t>AB892LQ</t>
  </si>
  <si>
    <t>AA786DA</t>
  </si>
  <si>
    <t>FORD BRONCO 2.0T SPORT BADLANDS L/25</t>
  </si>
  <si>
    <t>AI016DF</t>
  </si>
  <si>
    <t>CHEVROLET CRUZE 1.4 4 PTAS LT AT</t>
  </si>
  <si>
    <t>AF882CH</t>
  </si>
  <si>
    <t>RENAULT SCENIC RXE 2.0 ABS</t>
  </si>
  <si>
    <t>PEUGEOT 208 L/24 1.0 T200 ALLURE PK CVT  (reclamada )</t>
  </si>
  <si>
    <t>AH608ZD</t>
  </si>
  <si>
    <t>AA010YS</t>
  </si>
  <si>
    <t>AG226SX</t>
  </si>
  <si>
    <t>AH472IS</t>
  </si>
  <si>
    <t>AG099MC</t>
  </si>
  <si>
    <t>AD257XG</t>
  </si>
  <si>
    <t xml:space="preserve"> RENAULT KWID 1.0 ICONIC OUTSIDER L/25 </t>
  </si>
  <si>
    <t>AH883VO</t>
  </si>
  <si>
    <t>AF463GS</t>
  </si>
  <si>
    <t>AH883VH</t>
  </si>
  <si>
    <t xml:space="preserve"> FORD RANGER 2.2 TDI DC 4X4 L/19 XL </t>
  </si>
  <si>
    <t>AG027IH</t>
  </si>
  <si>
    <t xml:space="preserve">FORD MONDEO 2.0 SEL ECOBOOST AUT </t>
  </si>
  <si>
    <t>AG731SX</t>
  </si>
  <si>
    <t>VOLKSWAGEN AMAROK 20TD 4X4 DC HIG.180HP PK (NO ME PASO NADA)</t>
  </si>
  <si>
    <t>NMB057</t>
  </si>
  <si>
    <t>IP COORDINADA</t>
  </si>
  <si>
    <t xml:space="preserve">FIAT MOBI EASY  (No me paso nada) </t>
  </si>
  <si>
    <t>AE217CE</t>
  </si>
  <si>
    <t>RENAULT KANGOO EX. 1.6 PROFESIONAL SCE L/18  (NO ME PASO NADA)</t>
  </si>
  <si>
    <t>AD662BH</t>
  </si>
  <si>
    <t>TOYOTA ETIOS 1.5 4 PTAS XLS PACK 6MT (NO ME PASO NADA)</t>
  </si>
  <si>
    <t>AG022ZM</t>
  </si>
  <si>
    <t>LICITANDO REPUESTOS</t>
  </si>
  <si>
    <t>VOLKSWAGEN AMAROK 20TD 4X2 DC HIG.180HP A L17  (reclamada )</t>
  </si>
  <si>
    <t>AG182VA</t>
  </si>
  <si>
    <t>TOYOTA COROLLA 1.8 XEI L/11 PACK AUT (NO ME PASO NADA)</t>
  </si>
  <si>
    <t>MKB665</t>
  </si>
  <si>
    <t>FORD RANGER 3.2 TDI DC 4X2 L/12 XLS</t>
  </si>
  <si>
    <t>AE011BE</t>
  </si>
  <si>
    <t>AF186RK</t>
  </si>
  <si>
    <t>TOYOTA COROLLA 1.8 XEI L/17 (Cargado, esperando convenio)</t>
  </si>
  <si>
    <t>AB812RA</t>
  </si>
  <si>
    <t>ZANELLA MOTOS RZ 650</t>
  </si>
  <si>
    <t>A170XQG</t>
  </si>
  <si>
    <t>TOYOTA YARIS 1.5 5 PTAS S CVT L/22  (me lo paso )</t>
  </si>
  <si>
    <t>AG311QD</t>
  </si>
  <si>
    <t xml:space="preserve">RENAULT CLIO MIO 1.2 5 P DYNAMIQUE SAT (me lo paso esperando que la migren) </t>
  </si>
  <si>
    <t>AA790PQ</t>
  </si>
  <si>
    <t>AC311JY</t>
  </si>
  <si>
    <t xml:space="preserve">RENAULT MASTER 2.3 DCI FURGON L1H1 AA </t>
  </si>
  <si>
    <t>AE553ES</t>
  </si>
  <si>
    <t>HYUNDAI TUCSON 2.0 4X4 TD EXCLU. AUT L/16  (NO ME PASO NADA)</t>
  </si>
  <si>
    <t>TOYOTA COROLLA 1.8 XEI L/17 PACK</t>
  </si>
  <si>
    <t>AD622HN</t>
  </si>
  <si>
    <t>MYJ990</t>
  </si>
  <si>
    <t>PEUGEOT 208 L/20 1.6 ALLURE TIPTRONIC (NO ME PASO NADA)</t>
  </si>
  <si>
    <t>AF010DE</t>
  </si>
  <si>
    <t xml:space="preserve">RENAULT SANDERO 1.6 16V PRIVILEGE  (No me paso nada) </t>
  </si>
  <si>
    <t>CHEVROLET CRUZE 1.4  (reclama 80 veces, no me la pasa) (en mauro duranti)</t>
  </si>
  <si>
    <t>AF885GX</t>
  </si>
  <si>
    <t xml:space="preserve">TOYOTA ETIOS 1.5 4 PTAS XLS 4AT L/18 </t>
  </si>
  <si>
    <t xml:space="preserve"> FIAT CRONOS 1.8 PRECISION L/21 (no me paso nada, reclamada) </t>
  </si>
  <si>
    <t>AH871LH</t>
  </si>
  <si>
    <t xml:space="preserve">NISSAN MARCH 1.6 ACTIVE PURE DRIVE (esperando datos para dar de alta) </t>
  </si>
  <si>
    <t>AD054CR</t>
  </si>
  <si>
    <t>AE378XQ</t>
  </si>
  <si>
    <t xml:space="preserve">VOLKSWAGEN VOYAGE 1.6 (no me paso nada, reclamada) </t>
  </si>
  <si>
    <t>LDO703</t>
  </si>
  <si>
    <t>PEUGEOT PARTNER 1.6 HDI CONFORT L/23</t>
  </si>
  <si>
    <t>VOLKSWAGEN GOLF VII 1.4 TSI COMFORTLINE</t>
  </si>
  <si>
    <t>AD480WW</t>
  </si>
  <si>
    <t>AD499NR</t>
  </si>
  <si>
    <t>CHEVROLET ONIX 1.0T LT L/25</t>
  </si>
  <si>
    <t>AH790CH</t>
  </si>
  <si>
    <t xml:space="preserve">RENAULT SANDERO STEPWAY II 1.6 EXPRESSION </t>
  </si>
  <si>
    <t>AD725SB</t>
  </si>
  <si>
    <t>NVM886</t>
  </si>
  <si>
    <t xml:space="preserve">FORD TRANSIT 2.2 TDI FURGON MEDIO L/15 ( en consulta con lucas) </t>
  </si>
  <si>
    <t>AB416AS</t>
  </si>
  <si>
    <t>FORD ECO SPORT 2.0 TITANIUM AUT L/13</t>
  </si>
  <si>
    <t>OMK412</t>
  </si>
  <si>
    <t xml:space="preserve">VOLKSWAGEN AMAROK 30TD 4X4 DC AT 258HP (no me paso nada, reclamada) </t>
  </si>
  <si>
    <t xml:space="preserve">TOYOTA YARIS 1.5 5 PTAS XS L/22   (No me paso nada) </t>
  </si>
  <si>
    <t>AF409BF</t>
  </si>
  <si>
    <t>PMC458</t>
  </si>
  <si>
    <t>AD421VO</t>
  </si>
  <si>
    <t>AD975GN</t>
  </si>
  <si>
    <t>AD832ZC</t>
  </si>
  <si>
    <t xml:space="preserve">CHEVROLET P-UP S10 2.8TD DC 4X4 HC AT L/21 </t>
  </si>
  <si>
    <t>AE701TS</t>
  </si>
  <si>
    <t>VOLKSWAGEN POLO 1.0 170 TSI COMFORTLINE AUT</t>
  </si>
  <si>
    <t xml:space="preserve">VOLKSWAGEN POLO 1.6 L/23 MSI TRACK   (No me paso nada) </t>
  </si>
  <si>
    <t>AH560FM</t>
  </si>
  <si>
    <t xml:space="preserve">CITROEN BERLINGO MULTISPACE 1.6I XTR   (No me paso nada) </t>
  </si>
  <si>
    <t>AD484WL</t>
  </si>
  <si>
    <t>VOLKSWAGEN T-CROSS 1.0 200 TSI TRENDLINE AT L/24 (reclamada )</t>
  </si>
  <si>
    <t>AH113XY</t>
  </si>
  <si>
    <t>AC515DN</t>
  </si>
  <si>
    <t>AG890LR</t>
  </si>
  <si>
    <t>FIAT IDEA 1.4 ELX TOP</t>
  </si>
  <si>
    <t>HNY498</t>
  </si>
  <si>
    <t xml:space="preserve">CHEVROLET ONIX 1.4 LT L/17  (No me paso nada) </t>
  </si>
  <si>
    <t>AA722YF</t>
  </si>
  <si>
    <t xml:space="preserve">FIAT CRONOS 1.8 PRECISION L/21  (No me paso nada) </t>
  </si>
  <si>
    <t>AE773XD</t>
  </si>
  <si>
    <t>AH346VU</t>
  </si>
  <si>
    <t xml:space="preserve">RENAULT OROCH 2.0 OUTSIDER (no me paso nada) </t>
  </si>
  <si>
    <t>AA649BS</t>
  </si>
  <si>
    <t>PENDIENTE  COORDINACION</t>
  </si>
  <si>
    <t>CHRYSLER RAM RAMPAGE 2.0 T D/CAB 4X4 LARAMIE AT</t>
  </si>
  <si>
    <t>AH342KR</t>
  </si>
  <si>
    <t>AE165DT</t>
  </si>
  <si>
    <t>MSJ593</t>
  </si>
  <si>
    <t>AF610IQ</t>
  </si>
  <si>
    <t>AF858XV</t>
  </si>
  <si>
    <t>VOLKSWAGEN GOL 1.6 3 P FORMAT/POWER DH AA</t>
  </si>
  <si>
    <t>EVU672</t>
  </si>
  <si>
    <t>OKG589</t>
  </si>
  <si>
    <t>MXJ310</t>
  </si>
  <si>
    <t>AE427UJ</t>
  </si>
  <si>
    <t>AH365QU</t>
  </si>
  <si>
    <t>AF612MM</t>
  </si>
  <si>
    <t>MRW399</t>
  </si>
  <si>
    <t>AB747TQ</t>
  </si>
  <si>
    <t>AG175NX</t>
  </si>
  <si>
    <t>AB949UJ</t>
  </si>
  <si>
    <t xml:space="preserve"> RENAULT SANDERO II 1.6 16V LIFE L/23 </t>
  </si>
  <si>
    <t>AG192IT</t>
  </si>
  <si>
    <t>FIAT IDEA ADVENTURE 1.6</t>
  </si>
  <si>
    <t>KIU035</t>
  </si>
  <si>
    <t>AC691CD</t>
  </si>
  <si>
    <t xml:space="preserve">HONDA FIT 1.4 LXL 5 PTAS AUT L/09//L/13 </t>
  </si>
  <si>
    <t>KYF946</t>
  </si>
  <si>
    <t xml:space="preserve">RENAULT KANGOO 1.5 DCI STEPWAY L/18 </t>
  </si>
  <si>
    <t>AF799BY</t>
  </si>
  <si>
    <t>AB461QB</t>
  </si>
  <si>
    <t>AA266EA</t>
  </si>
  <si>
    <t>KTM739</t>
  </si>
  <si>
    <t>AE294WO</t>
  </si>
  <si>
    <t>PKY728</t>
  </si>
  <si>
    <t>FORD TERRITORY 1.8T TITANIUM L/25</t>
  </si>
  <si>
    <t>AH914VG</t>
  </si>
  <si>
    <t>PIN417</t>
  </si>
  <si>
    <t>AG800EV</t>
  </si>
  <si>
    <t>AH856FQ</t>
  </si>
  <si>
    <t>AB239DU</t>
  </si>
  <si>
    <t>DERIVACIONES TOTALES 2026</t>
  </si>
  <si>
    <t>GESTORES</t>
  </si>
  <si>
    <t>ESTADOS</t>
  </si>
  <si>
    <t>TIPOS DE IP</t>
  </si>
  <si>
    <t>R ARIN</t>
  </si>
  <si>
    <t>E CHIMENTO</t>
  </si>
  <si>
    <t>C. CRIBARI</t>
  </si>
  <si>
    <t>EN CONSULTA CON CIA</t>
  </si>
  <si>
    <t>E DZYHAJLO</t>
  </si>
  <si>
    <t>rcardozo@sancorseguros.com</t>
  </si>
  <si>
    <t>G DICLEMENTE</t>
  </si>
  <si>
    <t>IP REALIZADA</t>
  </si>
  <si>
    <t>IP RECLAMADA A PERITO 1</t>
  </si>
  <si>
    <t>P CASTILLO</t>
  </si>
  <si>
    <t>IP RECLAMADA A PERITO 2</t>
  </si>
  <si>
    <t>J NEIRA</t>
  </si>
  <si>
    <t>IP RECLAMADA A PERITO 3</t>
  </si>
  <si>
    <t>IP RECLAMADA A PERITO 4</t>
  </si>
  <si>
    <t>sjsanchez@sancorseguros.com</t>
  </si>
  <si>
    <t>IP RECLAMADA A PERITO 5</t>
  </si>
  <si>
    <t>REVISAR MAIL - SIN RESOLVER</t>
  </si>
  <si>
    <t>REVISAR MAIL - RESUELTO</t>
  </si>
  <si>
    <t>PENDIENTE DE OFRECIMIENTO</t>
  </si>
  <si>
    <t>ESPERANDO RESPUESTA 3°</t>
  </si>
  <si>
    <t>PENDIENTE NEGOCIACION</t>
  </si>
  <si>
    <t>pquinones@sancorseguros.com</t>
  </si>
  <si>
    <t>lcoiman@sancorseguros.com</t>
  </si>
  <si>
    <t>nzelikowicz@sancorseguros.com</t>
  </si>
  <si>
    <t>thernandez@sancorseguros.com</t>
  </si>
  <si>
    <t>jrigalli@sancorseguros.com</t>
  </si>
  <si>
    <t>rfucci@ext.sancorseguros.com</t>
  </si>
  <si>
    <t>imolinas@sancorseguros.com</t>
  </si>
  <si>
    <t>AOliveri@sancorseguros.com</t>
  </si>
  <si>
    <t>mgalli@sancorseguros.com</t>
  </si>
  <si>
    <t>agambuli@sancorseguros.com</t>
  </si>
  <si>
    <t>aartman@sancorseguros.com</t>
  </si>
  <si>
    <t>esepulveda@sancorseguros.com</t>
  </si>
  <si>
    <t>jcurutchet@sancorseguros.com</t>
  </si>
  <si>
    <t>mglass@sancorseguros.com</t>
  </si>
  <si>
    <t>jrolla@sancorseguros.com</t>
  </si>
  <si>
    <t>PROMEDIOS GENERALES 2025</t>
  </si>
  <si>
    <t xml:space="preserve"> </t>
  </si>
  <si>
    <t>INGRESO a FACTURACION</t>
  </si>
  <si>
    <t>TOTAL DE INSPECCIONES</t>
  </si>
  <si>
    <t>TOTAL DE DEMORAS</t>
  </si>
  <si>
    <t>PROMEDIOS GENERALES 2024</t>
  </si>
  <si>
    <t>Nombre</t>
  </si>
  <si>
    <t>Marca</t>
  </si>
  <si>
    <t>Telefono</t>
  </si>
  <si>
    <t>Mail</t>
  </si>
  <si>
    <t>Observaciones</t>
  </si>
  <si>
    <t>PENETI SOCIDAD ANONIMA</t>
  </si>
  <si>
    <t>RENAULT</t>
  </si>
  <si>
    <t>siniestros@repuestospenenti.com.ar</t>
  </si>
  <si>
    <t>TAURINO S.R.L</t>
  </si>
  <si>
    <t>MUILTIMARCA</t>
  </si>
  <si>
    <t>repuestos@taurinoweb.com</t>
  </si>
  <si>
    <t xml:space="preserve"> COLLINS AUTOMOTORES S.A</t>
  </si>
  <si>
    <t>MULTIMARCA</t>
  </si>
  <si>
    <t>repuesto@collins.com.ar</t>
  </si>
  <si>
    <t>REPUESTOS SAN JOSE</t>
  </si>
  <si>
    <t>1167265647 - 1167265647</t>
  </si>
  <si>
    <t>sanjoserep@hotmail.com</t>
  </si>
  <si>
    <t>CAVESE SA</t>
  </si>
  <si>
    <t>TOYOTA</t>
  </si>
  <si>
    <t>RSCALISE@CABALLITOAUTOMOTORES.COM</t>
  </si>
  <si>
    <t>ACCESORIOS &amp; REPUESTOS S.R.L</t>
  </si>
  <si>
    <t>DRUIZ@TOYOTAWARNES.COM.AR</t>
  </si>
  <si>
    <t>AUTO PRANA S.A</t>
  </si>
  <si>
    <t>meaguiar@prana.com.ar</t>
  </si>
  <si>
    <t>GRANDOTE S.A.</t>
  </si>
  <si>
    <t>NISSAN</t>
  </si>
  <si>
    <t>REPUESTOS.NISSAN.SF@AUTOFERRO.COM</t>
  </si>
  <si>
    <t>Solo originales Nissan</t>
  </si>
  <si>
    <t>Giama Detroit 1925 S.A.</t>
  </si>
  <si>
    <t>JEEP</t>
  </si>
  <si>
    <t>ecueva@giama.com.ar</t>
  </si>
  <si>
    <t>CHRYSLER</t>
  </si>
  <si>
    <t>DODGE</t>
  </si>
  <si>
    <t>RAM</t>
  </si>
  <si>
    <t>FIAT</t>
  </si>
  <si>
    <t>PANAMER</t>
  </si>
  <si>
    <t>MARCELO.BALLEJOS@PANAMER.COM</t>
  </si>
  <si>
    <t>MOPAR Original</t>
  </si>
  <si>
    <t>KADIRA S.A</t>
  </si>
  <si>
    <t>hector.angulo@kadira.com.ar</t>
  </si>
  <si>
    <t>EUGENIO CENTRO AUTOMOTORES</t>
  </si>
  <si>
    <t>eugenio.huirse@centroautomotores.com</t>
  </si>
  <si>
    <t>DALIAN</t>
  </si>
  <si>
    <t>FAMLY</t>
  </si>
  <si>
    <t>nicolasbiassini@dalian.com.ar -  Repuestos@dalian.com.ar</t>
  </si>
  <si>
    <t>LYFAN</t>
  </si>
  <si>
    <t>JETOUR</t>
  </si>
  <si>
    <t>FAW</t>
  </si>
  <si>
    <t>KYC</t>
  </si>
  <si>
    <t>GEELY</t>
  </si>
  <si>
    <t>CHANGAN</t>
  </si>
  <si>
    <t>NISSAN KADIRA</t>
  </si>
  <si>
    <t>fernando.tuller@kadira.com.ar</t>
  </si>
  <si>
    <t>TOULON S.A.</t>
  </si>
  <si>
    <t>PEUGEOT</t>
  </si>
  <si>
    <t>pablo.ruiz@toulon.com.ar</t>
  </si>
  <si>
    <t>elias.cardozo@toulon.com.ar</t>
  </si>
  <si>
    <t>gustavo.sbruzzi@toulon.com.ar</t>
  </si>
  <si>
    <t>jeferepuestos@toulon.com.ar</t>
  </si>
  <si>
    <t>CITROEN</t>
  </si>
  <si>
    <t>repuestos_ml@toulon.com.ar</t>
  </si>
  <si>
    <t>licitacionescitroen@citroentoulon.com.ar</t>
  </si>
  <si>
    <t>franco.bazan@citroentoulon.com.ar</t>
  </si>
  <si>
    <t>Catenaro</t>
  </si>
  <si>
    <t>LIFAN</t>
  </si>
  <si>
    <t>LORRAINE</t>
  </si>
  <si>
    <t>HONDA</t>
  </si>
  <si>
    <t>repuestos@lorrainesca.com.ar</t>
  </si>
  <si>
    <t>Mercedes-Benz Simone</t>
  </si>
  <si>
    <t>SMART</t>
  </si>
  <si>
    <t>jmanolio@mbsimone.com.ar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</si>
</sst>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\ #,##0;[Red]\-&quot;$&quot;\ #,##0"/>
    <numFmt numFmtId="164" formatCode="&quot;$&quot;#,##0;[Red]\-&quot;$&quot;#,##0"/>
    <numFmt numFmtId="165" formatCode="dd/mm/yy;@"/>
    <numFmt numFmtId="166" formatCode="&quot;$&quot;\ #,##0"/>
    <numFmt numFmtId="167" formatCode="&quot;$&quot;\ #,##0.00"/>
    <numFmt numFmtId="168" formatCode="dd/mm/yyyy;@"/>
    <numFmt numFmtId="169" formatCode="0.0"/>
  </numFmts>
  <fonts count="44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0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1"/>
      <color theme="0" tint="-4.9989318521683403E-2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trike/>
      <sz val="11"/>
      <color theme="0" tint="-4.9989318521683403E-2"/>
      <name val="Aptos Narrow"/>
      <family val="2"/>
      <scheme val="minor"/>
    </font>
    <font>
      <b/>
      <strike/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b/>
      <strike/>
      <sz val="11"/>
      <color rgb="FF000000"/>
      <name val="Aptos Narrow"/>
      <family val="2"/>
      <scheme val="minor"/>
    </font>
    <font>
      <b/>
      <strike/>
      <sz val="11"/>
      <color theme="0"/>
      <name val="Aptos Narrow"/>
      <family val="2"/>
      <scheme val="minor"/>
    </font>
    <font>
      <strike/>
      <sz val="11"/>
      <color theme="0"/>
      <name val="Aptos Narrow"/>
      <family val="2"/>
      <scheme val="minor"/>
    </font>
    <font>
      <i/>
      <strike/>
      <sz val="11"/>
      <color rgb="FFF2F2F2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0000"/>
      <name val="Aptos Narrow"/>
      <scheme val="minor"/>
    </font>
    <font>
      <b/>
      <sz val="11"/>
      <color rgb="FFFF0000"/>
      <name val="Aptos Narrow"/>
      <scheme val="minor"/>
    </font>
    <font>
      <b/>
      <sz val="11"/>
      <color theme="1"/>
      <name val="Aptos Narrow"/>
      <scheme val="minor"/>
    </font>
    <font>
      <sz val="11"/>
      <color rgb="FFFFFFFF"/>
      <name val="Aptos Narrow"/>
      <scheme val="minor"/>
    </font>
    <font>
      <sz val="11"/>
      <color rgb="FF000000"/>
      <name val="Aptos Narrow"/>
      <scheme val="minor"/>
    </font>
    <font>
      <b/>
      <u/>
      <sz val="11"/>
      <color rgb="FFFF0000"/>
      <name val="Aptos Narrow"/>
      <family val="2"/>
      <scheme val="minor"/>
    </font>
    <font>
      <b/>
      <sz val="11"/>
      <color rgb="FF3B3B3B"/>
      <name val="Aptos Narrow"/>
      <family val="2"/>
      <scheme val="minor"/>
    </font>
    <font>
      <sz val="11"/>
      <color rgb="FFFF0000"/>
      <name val="Aptos Narrow"/>
      <scheme val="minor"/>
    </font>
    <font>
      <b/>
      <i/>
      <sz val="11"/>
      <color theme="0"/>
      <name val="Aptos Narrow"/>
      <family val="2"/>
      <scheme val="minor"/>
    </font>
    <font>
      <b/>
      <i/>
      <sz val="11"/>
      <color rgb="FF00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b/>
      <u/>
      <sz val="11"/>
      <color theme="0"/>
      <name val="Aptos Narrow"/>
      <family val="2"/>
      <scheme val="minor"/>
    </font>
    <font>
      <sz val="12"/>
      <color rgb="FF222222"/>
      <name val="Arial"/>
      <charset val="1"/>
    </font>
  </fonts>
  <fills count="31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E28A"/>
        <bgColor indexed="64"/>
      </patternFill>
    </fill>
    <fill>
      <patternFill patternType="solid">
        <fgColor rgb="FFFFEEBA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3B3B3B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61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D8C37"/>
        <bgColor indexed="64"/>
      </patternFill>
    </fill>
    <fill>
      <patternFill patternType="solid">
        <fgColor rgb="FFF5767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8080"/>
        <bgColor indexed="64"/>
      </patternFill>
    </fill>
  </fills>
  <borders count="6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0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2" fillId="2" borderId="2" xfId="0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4" fillId="6" borderId="4" xfId="0" applyFont="1" applyFill="1" applyBorder="1" applyAlignment="1">
      <alignment horizontal="center"/>
    </xf>
    <xf numFmtId="0" fontId="4" fillId="7" borderId="6" xfId="0" applyFont="1" applyFill="1" applyBorder="1" applyAlignment="1">
      <alignment horizontal="center"/>
    </xf>
    <xf numFmtId="0" fontId="4" fillId="6" borderId="6" xfId="0" applyFont="1" applyFill="1" applyBorder="1" applyAlignment="1">
      <alignment horizontal="center"/>
    </xf>
    <xf numFmtId="6" fontId="0" fillId="6" borderId="2" xfId="0" applyNumberFormat="1" applyFill="1" applyBorder="1" applyAlignment="1">
      <alignment horizontal="center"/>
    </xf>
    <xf numFmtId="6" fontId="0" fillId="7" borderId="10" xfId="0" applyNumberFormat="1" applyFill="1" applyBorder="1" applyAlignment="1">
      <alignment horizontal="center"/>
    </xf>
    <xf numFmtId="6" fontId="0" fillId="6" borderId="10" xfId="0" applyNumberFormat="1" applyFill="1" applyBorder="1" applyAlignment="1">
      <alignment horizontal="center"/>
    </xf>
    <xf numFmtId="0" fontId="3" fillId="8" borderId="8" xfId="0" applyFont="1" applyFill="1" applyBorder="1" applyAlignment="1">
      <alignment horizontal="center"/>
    </xf>
    <xf numFmtId="6" fontId="3" fillId="8" borderId="11" xfId="0" applyNumberFormat="1" applyFont="1" applyFill="1" applyBorder="1" applyAlignment="1">
      <alignment horizontal="center"/>
    </xf>
    <xf numFmtId="6" fontId="3" fillId="8" borderId="9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1" xfId="0" applyBorder="1" applyAlignment="1">
      <alignment vertical="center"/>
    </xf>
    <xf numFmtId="0" fontId="12" fillId="20" borderId="0" xfId="0" applyFont="1" applyFill="1"/>
    <xf numFmtId="0" fontId="12" fillId="0" borderId="0" xfId="0" applyFont="1"/>
    <xf numFmtId="165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5" borderId="0" xfId="0" applyFill="1" applyAlignment="1">
      <alignment vertical="center"/>
    </xf>
    <xf numFmtId="0" fontId="0" fillId="0" borderId="3" xfId="0" applyBorder="1" applyAlignment="1">
      <alignment vertical="center"/>
    </xf>
    <xf numFmtId="0" fontId="9" fillId="0" borderId="1" xfId="1" applyBorder="1" applyAlignment="1">
      <alignment vertical="center"/>
    </xf>
    <xf numFmtId="0" fontId="10" fillId="8" borderId="1" xfId="0" applyFont="1" applyFill="1" applyBorder="1" applyAlignment="1">
      <alignment horizontal="center" vertical="center"/>
    </xf>
    <xf numFmtId="166" fontId="15" fillId="8" borderId="1" xfId="0" applyNumberFormat="1" applyFont="1" applyFill="1" applyBorder="1" applyAlignment="1">
      <alignment horizontal="center" vertical="center"/>
    </xf>
    <xf numFmtId="0" fontId="6" fillId="14" borderId="13" xfId="0" applyFont="1" applyFill="1" applyBorder="1" applyAlignment="1">
      <alignment horizontal="center" vertical="center"/>
    </xf>
    <xf numFmtId="0" fontId="0" fillId="14" borderId="14" xfId="0" applyFill="1" applyBorder="1" applyAlignment="1">
      <alignment horizontal="center" vertical="center"/>
    </xf>
    <xf numFmtId="0" fontId="6" fillId="15" borderId="15" xfId="0" applyFont="1" applyFill="1" applyBorder="1" applyAlignment="1">
      <alignment horizontal="center" vertical="center"/>
    </xf>
    <xf numFmtId="0" fontId="0" fillId="15" borderId="16" xfId="0" applyFill="1" applyBorder="1" applyAlignment="1">
      <alignment horizontal="center" vertical="center"/>
    </xf>
    <xf numFmtId="0" fontId="0" fillId="14" borderId="16" xfId="0" applyFill="1" applyBorder="1" applyAlignment="1">
      <alignment horizontal="center" vertical="center"/>
    </xf>
    <xf numFmtId="0" fontId="6" fillId="15" borderId="17" xfId="0" applyFont="1" applyFill="1" applyBorder="1" applyAlignment="1">
      <alignment horizontal="center" vertical="center"/>
    </xf>
    <xf numFmtId="0" fontId="0" fillId="15" borderId="18" xfId="0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166" fontId="13" fillId="16" borderId="1" xfId="0" applyNumberFormat="1" applyFont="1" applyFill="1" applyBorder="1" applyAlignment="1">
      <alignment horizontal="center" vertical="center"/>
    </xf>
    <xf numFmtId="0" fontId="13" fillId="23" borderId="1" xfId="0" applyFont="1" applyFill="1" applyBorder="1" applyAlignment="1">
      <alignment horizontal="center" vertical="center"/>
    </xf>
    <xf numFmtId="166" fontId="13" fillId="23" borderId="1" xfId="0" applyNumberFormat="1" applyFont="1" applyFill="1" applyBorder="1" applyAlignment="1">
      <alignment horizontal="center" vertical="center"/>
    </xf>
    <xf numFmtId="0" fontId="17" fillId="21" borderId="1" xfId="0" applyFont="1" applyFill="1" applyBorder="1" applyAlignment="1">
      <alignment horizontal="center" vertical="center"/>
    </xf>
    <xf numFmtId="166" fontId="17" fillId="21" borderId="1" xfId="0" applyNumberFormat="1" applyFont="1" applyFill="1" applyBorder="1" applyAlignment="1">
      <alignment horizontal="center" vertical="center"/>
    </xf>
    <xf numFmtId="0" fontId="17" fillId="22" borderId="1" xfId="0" applyFont="1" applyFill="1" applyBorder="1" applyAlignment="1">
      <alignment horizontal="center" vertical="center"/>
    </xf>
    <xf numFmtId="166" fontId="17" fillId="22" borderId="1" xfId="0" applyNumberFormat="1" applyFont="1" applyFill="1" applyBorder="1" applyAlignment="1">
      <alignment horizontal="center" vertical="center"/>
    </xf>
    <xf numFmtId="166" fontId="15" fillId="21" borderId="1" xfId="0" applyNumberFormat="1" applyFont="1" applyFill="1" applyBorder="1" applyAlignment="1">
      <alignment horizontal="center" vertical="center"/>
    </xf>
    <xf numFmtId="0" fontId="3" fillId="24" borderId="1" xfId="0" applyFont="1" applyFill="1" applyBorder="1" applyAlignment="1">
      <alignment horizontal="center"/>
    </xf>
    <xf numFmtId="167" fontId="3" fillId="24" borderId="1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166" fontId="15" fillId="0" borderId="0" xfId="0" applyNumberFormat="1" applyFont="1" applyAlignment="1">
      <alignment horizontal="center" vertical="center"/>
    </xf>
    <xf numFmtId="167" fontId="3" fillId="10" borderId="1" xfId="0" applyNumberFormat="1" applyFont="1" applyFill="1" applyBorder="1" applyAlignment="1">
      <alignment vertical="center"/>
    </xf>
    <xf numFmtId="0" fontId="3" fillId="21" borderId="3" xfId="0" applyFont="1" applyFill="1" applyBorder="1" applyAlignment="1">
      <alignment horizontal="center" vertical="center"/>
    </xf>
    <xf numFmtId="166" fontId="3" fillId="10" borderId="1" xfId="0" applyNumberFormat="1" applyFont="1" applyFill="1" applyBorder="1" applyAlignment="1">
      <alignment horizontal="center" vertical="center"/>
    </xf>
    <xf numFmtId="166" fontId="13" fillId="23" borderId="12" xfId="0" applyNumberFormat="1" applyFont="1" applyFill="1" applyBorder="1" applyAlignment="1">
      <alignment horizontal="center" vertical="center"/>
    </xf>
    <xf numFmtId="166" fontId="17" fillId="22" borderId="3" xfId="0" applyNumberFormat="1" applyFont="1" applyFill="1" applyBorder="1" applyAlignment="1">
      <alignment horizontal="center" vertical="center"/>
    </xf>
    <xf numFmtId="0" fontId="17" fillId="21" borderId="2" xfId="0" applyFont="1" applyFill="1" applyBorder="1" applyAlignment="1">
      <alignment horizontal="center" vertical="center"/>
    </xf>
    <xf numFmtId="0" fontId="17" fillId="21" borderId="11" xfId="0" applyFont="1" applyFill="1" applyBorder="1" applyAlignment="1">
      <alignment horizontal="center" vertical="center"/>
    </xf>
    <xf numFmtId="165" fontId="3" fillId="4" borderId="12" xfId="0" applyNumberFormat="1" applyFont="1" applyFill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8" fontId="3" fillId="4" borderId="1" xfId="0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0" fontId="3" fillId="8" borderId="6" xfId="0" applyFont="1" applyFill="1" applyBorder="1" applyAlignment="1">
      <alignment horizontal="center"/>
    </xf>
    <xf numFmtId="6" fontId="3" fillId="8" borderId="10" xfId="0" applyNumberFormat="1" applyFont="1" applyFill="1" applyBorder="1" applyAlignment="1">
      <alignment horizontal="center"/>
    </xf>
    <xf numFmtId="0" fontId="2" fillId="0" borderId="0" xfId="0" applyFont="1"/>
    <xf numFmtId="166" fontId="2" fillId="0" borderId="0" xfId="0" applyNumberFormat="1" applyFont="1"/>
    <xf numFmtId="166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66" fontId="20" fillId="0" borderId="0" xfId="0" applyNumberFormat="1" applyFont="1" applyAlignment="1">
      <alignment vertical="center"/>
    </xf>
    <xf numFmtId="0" fontId="22" fillId="3" borderId="37" xfId="0" applyFont="1" applyFill="1" applyBorder="1"/>
    <xf numFmtId="0" fontId="23" fillId="3" borderId="52" xfId="0" applyFont="1" applyFill="1" applyBorder="1" applyAlignment="1">
      <alignment horizontal="center" vertical="center"/>
    </xf>
    <xf numFmtId="6" fontId="23" fillId="3" borderId="30" xfId="0" applyNumberFormat="1" applyFont="1" applyFill="1" applyBorder="1" applyAlignment="1">
      <alignment horizontal="center" vertical="center"/>
    </xf>
    <xf numFmtId="0" fontId="22" fillId="5" borderId="23" xfId="0" applyFont="1" applyFill="1" applyBorder="1"/>
    <xf numFmtId="0" fontId="23" fillId="5" borderId="12" xfId="0" applyFont="1" applyFill="1" applyBorder="1" applyAlignment="1">
      <alignment horizontal="center" vertical="center"/>
    </xf>
    <xf numFmtId="6" fontId="23" fillId="5" borderId="30" xfId="0" applyNumberFormat="1" applyFont="1" applyFill="1" applyBorder="1" applyAlignment="1">
      <alignment horizontal="center" vertical="center"/>
    </xf>
    <xf numFmtId="0" fontId="22" fillId="3" borderId="23" xfId="0" applyFont="1" applyFill="1" applyBorder="1"/>
    <xf numFmtId="0" fontId="23" fillId="3" borderId="12" xfId="0" applyFont="1" applyFill="1" applyBorder="1" applyAlignment="1">
      <alignment horizontal="center" vertical="center"/>
    </xf>
    <xf numFmtId="6" fontId="23" fillId="3" borderId="28" xfId="0" applyNumberFormat="1" applyFont="1" applyFill="1" applyBorder="1" applyAlignment="1">
      <alignment horizontal="center" vertical="center"/>
    </xf>
    <xf numFmtId="0" fontId="24" fillId="5" borderId="53" xfId="0" applyFont="1" applyFill="1" applyBorder="1"/>
    <xf numFmtId="0" fontId="23" fillId="5" borderId="54" xfId="0" applyFont="1" applyFill="1" applyBorder="1" applyAlignment="1">
      <alignment horizontal="center" vertical="center"/>
    </xf>
    <xf numFmtId="6" fontId="23" fillId="5" borderId="49" xfId="0" applyNumberFormat="1" applyFont="1" applyFill="1" applyBorder="1" applyAlignment="1">
      <alignment horizontal="center" vertical="center"/>
    </xf>
    <xf numFmtId="0" fontId="22" fillId="5" borderId="48" xfId="0" applyFont="1" applyFill="1" applyBorder="1"/>
    <xf numFmtId="0" fontId="23" fillId="5" borderId="8" xfId="0" applyFont="1" applyFill="1" applyBorder="1" applyAlignment="1">
      <alignment horizontal="center" vertical="center"/>
    </xf>
    <xf numFmtId="0" fontId="23" fillId="5" borderId="50" xfId="0" applyFont="1" applyFill="1" applyBorder="1" applyAlignment="1">
      <alignment horizontal="center" vertical="center"/>
    </xf>
    <xf numFmtId="0" fontId="23" fillId="0" borderId="23" xfId="0" applyFont="1" applyBorder="1"/>
    <xf numFmtId="0" fontId="23" fillId="5" borderId="47" xfId="0" applyFont="1" applyFill="1" applyBorder="1" applyAlignment="1">
      <alignment horizontal="center" vertical="center"/>
    </xf>
    <xf numFmtId="0" fontId="23" fillId="5" borderId="31" xfId="0" applyFont="1" applyFill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5" borderId="34" xfId="0" applyFont="1" applyFill="1" applyBorder="1" applyAlignment="1">
      <alignment horizontal="center" vertical="center"/>
    </xf>
    <xf numFmtId="0" fontId="25" fillId="17" borderId="33" xfId="0" applyFont="1" applyFill="1" applyBorder="1" applyAlignment="1">
      <alignment horizontal="center"/>
    </xf>
    <xf numFmtId="0" fontId="26" fillId="10" borderId="49" xfId="0" applyFont="1" applyFill="1" applyBorder="1" applyAlignment="1">
      <alignment horizontal="center" vertical="center"/>
    </xf>
    <xf numFmtId="6" fontId="26" fillId="10" borderId="51" xfId="0" applyNumberFormat="1" applyFont="1" applyFill="1" applyBorder="1" applyAlignment="1">
      <alignment horizontal="center" vertical="center"/>
    </xf>
    <xf numFmtId="6" fontId="26" fillId="10" borderId="49" xfId="0" applyNumberFormat="1" applyFont="1" applyFill="1" applyBorder="1" applyAlignment="1">
      <alignment horizontal="center" vertical="center"/>
    </xf>
    <xf numFmtId="0" fontId="9" fillId="3" borderId="1" xfId="1" applyFill="1" applyBorder="1"/>
    <xf numFmtId="0" fontId="2" fillId="4" borderId="11" xfId="0" applyFont="1" applyFill="1" applyBorder="1" applyAlignment="1">
      <alignment horizontal="center" vertical="center"/>
    </xf>
    <xf numFmtId="167" fontId="2" fillId="4" borderId="11" xfId="0" applyNumberFormat="1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167" fontId="2" fillId="12" borderId="1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167" fontId="3" fillId="4" borderId="11" xfId="0" applyNumberFormat="1" applyFont="1" applyFill="1" applyBorder="1" applyAlignment="1">
      <alignment horizontal="center" vertical="center"/>
    </xf>
    <xf numFmtId="0" fontId="2" fillId="25" borderId="49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8" fillId="25" borderId="1" xfId="0" applyFont="1" applyFill="1" applyBorder="1" applyAlignment="1">
      <alignment horizontal="center" vertical="center"/>
    </xf>
    <xf numFmtId="0" fontId="5" fillId="0" borderId="0" xfId="0" applyFont="1"/>
    <xf numFmtId="0" fontId="28" fillId="0" borderId="1" xfId="0" applyFont="1" applyBorder="1" applyAlignment="1">
      <alignment vertical="center"/>
    </xf>
    <xf numFmtId="14" fontId="0" fillId="0" borderId="12" xfId="0" applyNumberFormat="1" applyBorder="1" applyAlignment="1">
      <alignment horizontal="center" vertical="center"/>
    </xf>
    <xf numFmtId="166" fontId="8" fillId="0" borderId="0" xfId="0" applyNumberFormat="1" applyFont="1" applyAlignment="1">
      <alignment horizontal="center" vertical="center"/>
    </xf>
    <xf numFmtId="0" fontId="2" fillId="25" borderId="12" xfId="0" applyFont="1" applyFill="1" applyBorder="1" applyAlignment="1">
      <alignment horizontal="center" vertical="center"/>
    </xf>
    <xf numFmtId="0" fontId="16" fillId="12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/>
    </xf>
    <xf numFmtId="0" fontId="15" fillId="11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8" borderId="2" xfId="0" applyFont="1" applyFill="1" applyBorder="1" applyAlignment="1">
      <alignment horizontal="center" vertical="center"/>
    </xf>
    <xf numFmtId="6" fontId="0" fillId="0" borderId="0" xfId="0" applyNumberFormat="1" applyAlignment="1">
      <alignment horizontal="center"/>
    </xf>
    <xf numFmtId="6" fontId="3" fillId="0" borderId="0" xfId="0" applyNumberFormat="1" applyFont="1" applyAlignment="1">
      <alignment horizontal="center"/>
    </xf>
    <xf numFmtId="0" fontId="4" fillId="6" borderId="1" xfId="0" applyFont="1" applyFill="1" applyBorder="1" applyAlignment="1">
      <alignment horizontal="center"/>
    </xf>
    <xf numFmtId="6" fontId="0" fillId="6" borderId="1" xfId="0" applyNumberForma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6" fontId="0" fillId="7" borderId="1" xfId="0" applyNumberForma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6" fontId="3" fillId="8" borderId="1" xfId="0" applyNumberFormat="1" applyFont="1" applyFill="1" applyBorder="1" applyAlignment="1">
      <alignment horizontal="center"/>
    </xf>
    <xf numFmtId="166" fontId="0" fillId="0" borderId="12" xfId="0" applyNumberFormat="1" applyBorder="1" applyAlignment="1">
      <alignment horizontal="center" vertical="center"/>
    </xf>
    <xf numFmtId="166" fontId="0" fillId="5" borderId="0" xfId="0" applyNumberFormat="1" applyFill="1" applyAlignment="1">
      <alignment horizontal="center" vertical="center"/>
    </xf>
    <xf numFmtId="14" fontId="3" fillId="4" borderId="31" xfId="0" applyNumberFormat="1" applyFont="1" applyFill="1" applyBorder="1" applyAlignment="1">
      <alignment vertical="center"/>
    </xf>
    <xf numFmtId="166" fontId="3" fillId="4" borderId="12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1" fillId="0" borderId="1" xfId="0" applyFont="1" applyBorder="1" applyAlignment="1">
      <alignment vertical="center"/>
    </xf>
    <xf numFmtId="168" fontId="0" fillId="0" borderId="12" xfId="0" applyNumberFormat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0" fontId="0" fillId="26" borderId="58" xfId="0" applyFill="1" applyBorder="1" applyAlignment="1">
      <alignment horizontal="center" vertical="center"/>
    </xf>
    <xf numFmtId="0" fontId="0" fillId="2" borderId="58" xfId="0" applyFill="1" applyBorder="1" applyAlignment="1">
      <alignment horizontal="center" vertical="center"/>
    </xf>
    <xf numFmtId="0" fontId="0" fillId="26" borderId="42" xfId="0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33" fillId="0" borderId="1" xfId="0" applyFont="1" applyBorder="1" applyAlignment="1">
      <alignment vertical="center"/>
    </xf>
    <xf numFmtId="0" fontId="0" fillId="2" borderId="57" xfId="0" applyFill="1" applyBorder="1" applyAlignment="1">
      <alignment horizontal="center" vertical="center"/>
    </xf>
    <xf numFmtId="0" fontId="0" fillId="2" borderId="62" xfId="0" applyFill="1" applyBorder="1" applyAlignment="1">
      <alignment horizontal="center" vertical="center"/>
    </xf>
    <xf numFmtId="0" fontId="0" fillId="2" borderId="63" xfId="0" applyFill="1" applyBorder="1" applyAlignment="1">
      <alignment horizontal="center" vertical="center"/>
    </xf>
    <xf numFmtId="14" fontId="28" fillId="4" borderId="31" xfId="0" applyNumberFormat="1" applyFont="1" applyFill="1" applyBorder="1" applyAlignment="1">
      <alignment vertical="center"/>
    </xf>
    <xf numFmtId="165" fontId="28" fillId="0" borderId="1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34" fillId="0" borderId="1" xfId="1" applyFont="1" applyBorder="1" applyAlignment="1">
      <alignment vertical="center"/>
    </xf>
    <xf numFmtId="168" fontId="28" fillId="0" borderId="1" xfId="0" applyNumberFormat="1" applyFont="1" applyBorder="1" applyAlignment="1">
      <alignment horizontal="center" vertical="center"/>
    </xf>
    <xf numFmtId="14" fontId="28" fillId="0" borderId="1" xfId="0" applyNumberFormat="1" applyFont="1" applyBorder="1" applyAlignment="1">
      <alignment horizontal="center" vertical="center"/>
    </xf>
    <xf numFmtId="165" fontId="28" fillId="0" borderId="12" xfId="0" applyNumberFormat="1" applyFont="1" applyBorder="1" applyAlignment="1">
      <alignment horizontal="center" vertical="center"/>
    </xf>
    <xf numFmtId="0" fontId="28" fillId="0" borderId="12" xfId="0" applyFont="1" applyBorder="1" applyAlignment="1">
      <alignment horizontal="center" vertical="center"/>
    </xf>
    <xf numFmtId="166" fontId="28" fillId="0" borderId="12" xfId="0" applyNumberFormat="1" applyFont="1" applyBorder="1" applyAlignment="1">
      <alignment horizontal="center" vertical="center"/>
    </xf>
    <xf numFmtId="0" fontId="28" fillId="5" borderId="0" xfId="0" applyFont="1" applyFill="1" applyAlignment="1">
      <alignment vertical="center"/>
    </xf>
    <xf numFmtId="0" fontId="28" fillId="0" borderId="3" xfId="0" applyFont="1" applyBorder="1" applyAlignment="1">
      <alignment vertical="center"/>
    </xf>
    <xf numFmtId="2" fontId="0" fillId="0" borderId="0" xfId="0" applyNumberFormat="1"/>
    <xf numFmtId="0" fontId="9" fillId="0" borderId="0" xfId="1"/>
    <xf numFmtId="1" fontId="11" fillId="0" borderId="0" xfId="0" applyNumberFormat="1" applyFont="1" applyFill="1" applyBorder="1" applyAlignment="1">
      <alignment horizontal="center" vertical="center"/>
    </xf>
    <xf numFmtId="1" fontId="11" fillId="0" borderId="0" xfId="0" applyNumberFormat="1" applyFont="1" applyFill="1" applyBorder="1" applyAlignment="1">
      <alignment horizontal="center" vertical="center" wrapText="1"/>
    </xf>
    <xf numFmtId="1" fontId="11" fillId="27" borderId="0" xfId="0" applyNumberFormat="1" applyFont="1" applyFill="1" applyBorder="1" applyAlignment="1">
      <alignment horizontal="center" vertical="center"/>
    </xf>
    <xf numFmtId="1" fontId="11" fillId="27" borderId="1" xfId="0" applyNumberFormat="1" applyFont="1" applyFill="1" applyBorder="1" applyAlignment="1">
      <alignment horizontal="center" vertical="center"/>
    </xf>
    <xf numFmtId="14" fontId="3" fillId="4" borderId="26" xfId="0" applyNumberFormat="1" applyFont="1" applyFill="1" applyBorder="1" applyAlignment="1">
      <alignment horizontal="center" vertical="center"/>
    </xf>
    <xf numFmtId="169" fontId="2" fillId="0" borderId="1" xfId="0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  <xf numFmtId="0" fontId="5" fillId="8" borderId="1" xfId="0" applyFont="1" applyFill="1" applyBorder="1"/>
    <xf numFmtId="2" fontId="2" fillId="27" borderId="49" xfId="0" applyNumberFormat="1" applyFont="1" applyFill="1" applyBorder="1" applyAlignment="1">
      <alignment horizontal="center" vertical="center"/>
    </xf>
    <xf numFmtId="0" fontId="2" fillId="0" borderId="59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2" fontId="2" fillId="0" borderId="60" xfId="0" applyNumberFormat="1" applyFont="1" applyBorder="1" applyAlignment="1">
      <alignment horizontal="center"/>
    </xf>
    <xf numFmtId="2" fontId="2" fillId="0" borderId="23" xfId="0" applyNumberFormat="1" applyFont="1" applyBorder="1" applyAlignment="1">
      <alignment horizontal="center"/>
    </xf>
    <xf numFmtId="2" fontId="3" fillId="8" borderId="44" xfId="0" applyNumberFormat="1" applyFont="1" applyFill="1" applyBorder="1" applyAlignment="1">
      <alignment horizontal="center"/>
    </xf>
    <xf numFmtId="0" fontId="5" fillId="8" borderId="58" xfId="0" applyFont="1" applyFill="1" applyBorder="1"/>
    <xf numFmtId="2" fontId="2" fillId="28" borderId="45" xfId="0" applyNumberFormat="1" applyFont="1" applyFill="1" applyBorder="1" applyAlignment="1">
      <alignment horizontal="center"/>
    </xf>
    <xf numFmtId="0" fontId="0" fillId="28" borderId="41" xfId="0" applyFill="1" applyBorder="1"/>
    <xf numFmtId="0" fontId="0" fillId="28" borderId="42" xfId="0" applyFill="1" applyBorder="1"/>
    <xf numFmtId="169" fontId="0" fillId="0" borderId="1" xfId="0" applyNumberFormat="1" applyBorder="1"/>
    <xf numFmtId="169" fontId="0" fillId="0" borderId="2" xfId="0" applyNumberFormat="1" applyBorder="1"/>
    <xf numFmtId="169" fontId="0" fillId="0" borderId="58" xfId="0" applyNumberFormat="1" applyBorder="1"/>
    <xf numFmtId="169" fontId="0" fillId="0" borderId="62" xfId="0" applyNumberFormat="1" applyBorder="1"/>
    <xf numFmtId="2" fontId="2" fillId="0" borderId="44" xfId="0" applyNumberFormat="1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58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62" xfId="0" applyFont="1" applyBorder="1" applyAlignment="1">
      <alignment horizontal="center"/>
    </xf>
    <xf numFmtId="0" fontId="2" fillId="0" borderId="30" xfId="0" applyFont="1" applyBorder="1" applyAlignment="1">
      <alignment horizontal="center" vertical="center"/>
    </xf>
    <xf numFmtId="2" fontId="2" fillId="27" borderId="33" xfId="0" applyNumberFormat="1" applyFont="1" applyFill="1" applyBorder="1" applyAlignment="1">
      <alignment horizontal="center" vertical="center"/>
    </xf>
    <xf numFmtId="2" fontId="2" fillId="0" borderId="65" xfId="0" applyNumberFormat="1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5" fillId="8" borderId="11" xfId="0" applyFont="1" applyFill="1" applyBorder="1"/>
    <xf numFmtId="169" fontId="0" fillId="0" borderId="44" xfId="0" applyNumberFormat="1" applyFont="1" applyBorder="1" applyAlignment="1">
      <alignment horizontal="center"/>
    </xf>
    <xf numFmtId="169" fontId="0" fillId="0" borderId="66" xfId="0" applyNumberFormat="1" applyFont="1" applyBorder="1" applyAlignment="1">
      <alignment horizontal="center"/>
    </xf>
    <xf numFmtId="169" fontId="0" fillId="0" borderId="45" xfId="0" applyNumberFormat="1" applyFont="1" applyBorder="1" applyAlignment="1">
      <alignment horizontal="center"/>
    </xf>
    <xf numFmtId="0" fontId="2" fillId="0" borderId="43" xfId="0" applyFont="1" applyBorder="1" applyAlignment="1">
      <alignment horizontal="center" vertical="center"/>
    </xf>
    <xf numFmtId="0" fontId="36" fillId="0" borderId="1" xfId="0" applyFont="1" applyBorder="1" applyAlignment="1">
      <alignment vertical="center"/>
    </xf>
    <xf numFmtId="14" fontId="37" fillId="4" borderId="31" xfId="0" applyNumberFormat="1" applyFont="1" applyFill="1" applyBorder="1" applyAlignment="1">
      <alignment vertical="center"/>
    </xf>
    <xf numFmtId="1" fontId="38" fillId="0" borderId="0" xfId="0" applyNumberFormat="1" applyFont="1" applyFill="1" applyBorder="1" applyAlignment="1">
      <alignment horizontal="center" vertical="center"/>
    </xf>
    <xf numFmtId="1" fontId="38" fillId="0" borderId="0" xfId="0" applyNumberFormat="1" applyFont="1" applyFill="1" applyBorder="1" applyAlignment="1">
      <alignment horizontal="center" vertical="center" wrapText="1"/>
    </xf>
    <xf numFmtId="0" fontId="39" fillId="0" borderId="1" xfId="0" applyFont="1" applyBorder="1" applyAlignment="1">
      <alignment vertical="center"/>
    </xf>
    <xf numFmtId="165" fontId="39" fillId="0" borderId="1" xfId="0" applyNumberFormat="1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1" applyFont="1" applyBorder="1" applyAlignment="1">
      <alignment vertical="center"/>
    </xf>
    <xf numFmtId="168" fontId="39" fillId="0" borderId="1" xfId="0" applyNumberFormat="1" applyFont="1" applyBorder="1" applyAlignment="1">
      <alignment horizontal="center" vertical="center"/>
    </xf>
    <xf numFmtId="0" fontId="39" fillId="0" borderId="12" xfId="0" applyFont="1" applyBorder="1" applyAlignment="1">
      <alignment horizontal="center" vertical="center"/>
    </xf>
    <xf numFmtId="166" fontId="39" fillId="0" borderId="12" xfId="0" applyNumberFormat="1" applyFont="1" applyBorder="1" applyAlignment="1">
      <alignment horizontal="center" vertical="center"/>
    </xf>
    <xf numFmtId="0" fontId="39" fillId="5" borderId="0" xfId="0" applyFont="1" applyFill="1" applyAlignment="1">
      <alignment vertical="center"/>
    </xf>
    <xf numFmtId="0" fontId="39" fillId="0" borderId="3" xfId="0" applyFont="1" applyBorder="1" applyAlignment="1">
      <alignment vertical="center"/>
    </xf>
    <xf numFmtId="1" fontId="28" fillId="0" borderId="0" xfId="0" applyNumberFormat="1" applyFont="1" applyFill="1" applyBorder="1" applyAlignment="1">
      <alignment horizontal="center" vertical="center"/>
    </xf>
    <xf numFmtId="1" fontId="28" fillId="0" borderId="0" xfId="0" applyNumberFormat="1" applyFont="1" applyFill="1" applyBorder="1" applyAlignment="1">
      <alignment horizontal="center" vertical="center" wrapText="1"/>
    </xf>
    <xf numFmtId="169" fontId="0" fillId="0" borderId="43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 vertical="center"/>
    </xf>
    <xf numFmtId="0" fontId="41" fillId="0" borderId="1" xfId="1" applyFont="1" applyBorder="1" applyAlignment="1">
      <alignment vertical="center"/>
    </xf>
    <xf numFmtId="168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66" fontId="2" fillId="0" borderId="12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10" fontId="0" fillId="29" borderId="49" xfId="0" applyNumberFormat="1" applyFill="1" applyBorder="1"/>
    <xf numFmtId="10" fontId="0" fillId="0" borderId="49" xfId="0" applyNumberFormat="1" applyBorder="1"/>
    <xf numFmtId="0" fontId="0" fillId="2" borderId="52" xfId="0" applyFill="1" applyBorder="1" applyAlignment="1">
      <alignment horizontal="center" vertical="center"/>
    </xf>
    <xf numFmtId="0" fontId="0" fillId="26" borderId="12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6" borderId="54" xfId="0" applyFill="1" applyBorder="1" applyAlignment="1">
      <alignment horizontal="center" vertical="center"/>
    </xf>
    <xf numFmtId="169" fontId="0" fillId="0" borderId="31" xfId="0" applyNumberFormat="1" applyFont="1" applyBorder="1" applyAlignment="1">
      <alignment horizontal="center"/>
    </xf>
    <xf numFmtId="169" fontId="0" fillId="0" borderId="34" xfId="0" applyNumberFormat="1" applyFont="1" applyBorder="1" applyAlignment="1">
      <alignment horizontal="center"/>
    </xf>
    <xf numFmtId="169" fontId="0" fillId="0" borderId="64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" fontId="11" fillId="0" borderId="0" xfId="0" applyNumberFormat="1" applyFont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4" fontId="42" fillId="4" borderId="31" xfId="0" applyNumberFormat="1" applyFont="1" applyFill="1" applyBorder="1" applyAlignment="1">
      <alignment vertical="center"/>
    </xf>
    <xf numFmtId="0" fontId="30" fillId="0" borderId="1" xfId="0" applyFont="1" applyBorder="1" applyAlignment="1">
      <alignment vertical="center" wrapText="1"/>
    </xf>
    <xf numFmtId="14" fontId="0" fillId="0" borderId="1" xfId="0" applyNumberFormat="1" applyBorder="1" applyAlignment="1">
      <alignment vertical="center"/>
    </xf>
    <xf numFmtId="10" fontId="0" fillId="29" borderId="28" xfId="0" applyNumberFormat="1" applyFill="1" applyBorder="1"/>
    <xf numFmtId="10" fontId="0" fillId="29" borderId="68" xfId="0" applyNumberFormat="1" applyFill="1" applyBorder="1"/>
    <xf numFmtId="0" fontId="2" fillId="0" borderId="1" xfId="0" applyFont="1" applyBorder="1" applyAlignment="1">
      <alignment vertical="center" wrapText="1"/>
    </xf>
    <xf numFmtId="0" fontId="0" fillId="0" borderId="0" xfId="0" applyFill="1" applyBorder="1"/>
    <xf numFmtId="0" fontId="43" fillId="0" borderId="0" xfId="0" applyFont="1" applyBorder="1" applyAlignment="1">
      <alignment wrapText="1"/>
    </xf>
    <xf numFmtId="166" fontId="0" fillId="5" borderId="0" xfId="0" applyNumberFormat="1" applyFill="1" applyBorder="1" applyAlignment="1">
      <alignment horizontal="center" vertical="center"/>
    </xf>
    <xf numFmtId="0" fontId="9" fillId="3" borderId="1" xfId="1" applyFill="1" applyBorder="1" applyAlignment="1">
      <alignment wrapText="1"/>
    </xf>
    <xf numFmtId="10" fontId="0" fillId="0" borderId="68" xfId="0" applyNumberFormat="1" applyFill="1" applyBorder="1"/>
    <xf numFmtId="10" fontId="0" fillId="0" borderId="49" xfId="0" applyNumberFormat="1" applyFill="1" applyBorder="1"/>
    <xf numFmtId="10" fontId="0" fillId="6" borderId="28" xfId="0" applyNumberFormat="1" applyFill="1" applyBorder="1"/>
    <xf numFmtId="10" fontId="0" fillId="30" borderId="68" xfId="0" applyNumberFormat="1" applyFill="1" applyBorder="1"/>
    <xf numFmtId="6" fontId="0" fillId="6" borderId="5" xfId="0" applyNumberFormat="1" applyFill="1" applyBorder="1" applyAlignment="1">
      <alignment horizontal="center"/>
    </xf>
    <xf numFmtId="6" fontId="0" fillId="6" borderId="7" xfId="0" applyNumberFormat="1" applyFill="1" applyBorder="1" applyAlignment="1">
      <alignment horizontal="center"/>
    </xf>
    <xf numFmtId="0" fontId="5" fillId="8" borderId="1" xfId="0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6" fontId="0" fillId="7" borderId="7" xfId="0" applyNumberFormat="1" applyFill="1" applyBorder="1" applyAlignment="1">
      <alignment horizontal="center"/>
    </xf>
    <xf numFmtId="0" fontId="2" fillId="0" borderId="26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/>
    </xf>
    <xf numFmtId="0" fontId="2" fillId="0" borderId="4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12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 vertical="center"/>
    </xf>
    <xf numFmtId="0" fontId="0" fillId="2" borderId="44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6" borderId="45" xfId="0" applyFill="1" applyBorder="1" applyAlignment="1">
      <alignment horizontal="center"/>
    </xf>
    <xf numFmtId="0" fontId="0" fillId="26" borderId="67" xfId="0" applyFill="1" applyBorder="1" applyAlignment="1">
      <alignment horizontal="center"/>
    </xf>
    <xf numFmtId="0" fontId="0" fillId="26" borderId="44" xfId="0" applyFill="1" applyBorder="1" applyAlignment="1">
      <alignment horizontal="center"/>
    </xf>
    <xf numFmtId="0" fontId="0" fillId="26" borderId="3" xfId="0" applyFill="1" applyBorder="1" applyAlignment="1">
      <alignment horizontal="center"/>
    </xf>
    <xf numFmtId="0" fontId="0" fillId="26" borderId="44" xfId="0" applyFill="1" applyBorder="1" applyAlignment="1">
      <alignment horizontal="center" vertical="center"/>
    </xf>
    <xf numFmtId="0" fontId="0" fillId="26" borderId="3" xfId="0" applyFill="1" applyBorder="1" applyAlignment="1">
      <alignment horizontal="center" vertical="center"/>
    </xf>
    <xf numFmtId="0" fontId="2" fillId="0" borderId="3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3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0" fillId="2" borderId="43" xfId="0" applyFill="1" applyBorder="1" applyAlignment="1">
      <alignment horizontal="center"/>
    </xf>
    <xf numFmtId="0" fontId="0" fillId="2" borderId="59" xfId="0" applyFill="1" applyBorder="1" applyAlignment="1">
      <alignment horizontal="center"/>
    </xf>
    <xf numFmtId="0" fontId="0" fillId="2" borderId="60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2" fillId="0" borderId="45" xfId="0" applyFont="1" applyBorder="1" applyAlignment="1">
      <alignment horizontal="center"/>
    </xf>
    <xf numFmtId="0" fontId="2" fillId="0" borderId="56" xfId="0" applyFont="1" applyBorder="1" applyAlignment="1">
      <alignment horizontal="center"/>
    </xf>
    <xf numFmtId="166" fontId="0" fillId="0" borderId="1" xfId="0" applyNumberFormat="1" applyBorder="1" applyAlignment="1">
      <alignment horizontal="center" vertical="center"/>
    </xf>
    <xf numFmtId="166" fontId="0" fillId="0" borderId="58" xfId="0" applyNumberFormat="1" applyBorder="1" applyAlignment="1">
      <alignment horizontal="center" vertical="center"/>
    </xf>
    <xf numFmtId="0" fontId="2" fillId="25" borderId="33" xfId="0" applyFont="1" applyFill="1" applyBorder="1" applyAlignment="1">
      <alignment horizontal="center" vertical="center"/>
    </xf>
    <xf numFmtId="0" fontId="2" fillId="25" borderId="24" xfId="0" applyFont="1" applyFill="1" applyBorder="1" applyAlignment="1">
      <alignment horizontal="center" vertical="center"/>
    </xf>
    <xf numFmtId="0" fontId="0" fillId="26" borderId="40" xfId="0" applyFill="1" applyBorder="1" applyAlignment="1">
      <alignment horizontal="center"/>
    </xf>
    <xf numFmtId="0" fontId="0" fillId="26" borderId="54" xfId="0" applyFill="1" applyBorder="1" applyAlignment="1">
      <alignment horizontal="center"/>
    </xf>
    <xf numFmtId="0" fontId="3" fillId="19" borderId="33" xfId="0" applyFont="1" applyFill="1" applyBorder="1" applyAlignment="1">
      <alignment horizontal="center"/>
    </xf>
    <xf numFmtId="0" fontId="3" fillId="19" borderId="51" xfId="0" applyFont="1" applyFill="1" applyBorder="1" applyAlignment="1">
      <alignment horizontal="center"/>
    </xf>
    <xf numFmtId="166" fontId="5" fillId="10" borderId="27" xfId="0" applyNumberFormat="1" applyFont="1" applyFill="1" applyBorder="1" applyAlignment="1">
      <alignment horizontal="center" vertical="center"/>
    </xf>
    <xf numFmtId="166" fontId="5" fillId="10" borderId="36" xfId="0" applyNumberFormat="1" applyFont="1" applyFill="1" applyBorder="1" applyAlignment="1">
      <alignment horizontal="center" vertical="center"/>
    </xf>
    <xf numFmtId="0" fontId="3" fillId="17" borderId="52" xfId="0" applyFont="1" applyFill="1" applyBorder="1" applyAlignment="1">
      <alignment horizontal="center" vertical="center"/>
    </xf>
    <xf numFmtId="0" fontId="3" fillId="17" borderId="59" xfId="0" applyFont="1" applyFill="1" applyBorder="1" applyAlignment="1">
      <alignment horizontal="center" vertical="center"/>
    </xf>
    <xf numFmtId="0" fontId="0" fillId="2" borderId="48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2" fillId="0" borderId="47" xfId="0" applyFont="1" applyBorder="1" applyAlignment="1">
      <alignment horizontal="center"/>
    </xf>
    <xf numFmtId="0" fontId="0" fillId="26" borderId="23" xfId="0" applyFill="1" applyBorder="1" applyAlignment="1">
      <alignment horizontal="center" vertical="center"/>
    </xf>
    <xf numFmtId="0" fontId="0" fillId="26" borderId="1" xfId="0" applyFill="1" applyBorder="1" applyAlignment="1">
      <alignment horizontal="center" vertical="center"/>
    </xf>
    <xf numFmtId="0" fontId="2" fillId="7" borderId="44" xfId="0" applyFont="1" applyFill="1" applyBorder="1" applyAlignment="1">
      <alignment horizontal="center"/>
    </xf>
    <xf numFmtId="0" fontId="2" fillId="7" borderId="47" xfId="0" applyFont="1" applyFill="1" applyBorder="1" applyAlignment="1">
      <alignment horizontal="center"/>
    </xf>
    <xf numFmtId="166" fontId="0" fillId="7" borderId="1" xfId="0" applyNumberFormat="1" applyFill="1" applyBorder="1" applyAlignment="1">
      <alignment horizontal="center" vertical="center"/>
    </xf>
    <xf numFmtId="166" fontId="0" fillId="7" borderId="58" xfId="0" applyNumberFormat="1" applyFill="1" applyBorder="1" applyAlignment="1">
      <alignment horizontal="center" vertical="center"/>
    </xf>
    <xf numFmtId="0" fontId="0" fillId="2" borderId="61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0" fillId="26" borderId="23" xfId="0" applyFill="1" applyBorder="1" applyAlignment="1">
      <alignment horizontal="center"/>
    </xf>
    <xf numFmtId="0" fontId="0" fillId="26" borderId="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6" borderId="12" xfId="0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6" fontId="35" fillId="25" borderId="2" xfId="0" applyNumberFormat="1" applyFont="1" applyFill="1" applyBorder="1" applyAlignment="1">
      <alignment horizontal="center"/>
    </xf>
    <xf numFmtId="0" fontId="0" fillId="2" borderId="37" xfId="0" applyFill="1" applyBorder="1" applyAlignment="1">
      <alignment horizontal="center"/>
    </xf>
    <xf numFmtId="0" fontId="0" fillId="2" borderId="52" xfId="0" applyFill="1" applyBorder="1" applyAlignment="1">
      <alignment horizontal="center"/>
    </xf>
    <xf numFmtId="0" fontId="2" fillId="0" borderId="26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/>
    </xf>
    <xf numFmtId="0" fontId="0" fillId="18" borderId="12" xfId="0" applyFill="1" applyBorder="1" applyAlignment="1">
      <alignment horizontal="center" wrapText="1"/>
    </xf>
    <xf numFmtId="0" fontId="0" fillId="18" borderId="3" xfId="0" applyFill="1" applyBorder="1" applyAlignment="1">
      <alignment horizontal="center" wrapText="1"/>
    </xf>
    <xf numFmtId="0" fontId="2" fillId="0" borderId="4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18" borderId="12" xfId="0" applyFill="1" applyBorder="1" applyAlignment="1">
      <alignment horizontal="center"/>
    </xf>
    <xf numFmtId="0" fontId="0" fillId="18" borderId="3" xfId="0" applyFill="1" applyBorder="1" applyAlignment="1">
      <alignment horizontal="center"/>
    </xf>
    <xf numFmtId="0" fontId="11" fillId="7" borderId="43" xfId="0" applyFont="1" applyFill="1" applyBorder="1" applyAlignment="1">
      <alignment horizontal="center"/>
    </xf>
    <xf numFmtId="0" fontId="11" fillId="7" borderId="55" xfId="0" applyFont="1" applyFill="1" applyBorder="1" applyAlignment="1">
      <alignment horizontal="center"/>
    </xf>
    <xf numFmtId="166" fontId="0" fillId="7" borderId="11" xfId="0" applyNumberFormat="1" applyFill="1" applyBorder="1" applyAlignment="1">
      <alignment horizontal="center" vertical="center"/>
    </xf>
    <xf numFmtId="166" fontId="0" fillId="7" borderId="57" xfId="0" applyNumberFormat="1" applyFill="1" applyBorder="1" applyAlignment="1">
      <alignment horizontal="center" vertical="center"/>
    </xf>
    <xf numFmtId="6" fontId="2" fillId="0" borderId="33" xfId="0" applyNumberFormat="1" applyFont="1" applyBorder="1" applyAlignment="1">
      <alignment horizontal="center"/>
    </xf>
    <xf numFmtId="6" fontId="2" fillId="0" borderId="24" xfId="0" applyNumberFormat="1" applyFont="1" applyBorder="1" applyAlignment="1">
      <alignment horizontal="center"/>
    </xf>
    <xf numFmtId="6" fontId="3" fillId="8" borderId="6" xfId="0" applyNumberFormat="1" applyFont="1" applyFill="1" applyBorder="1" applyAlignment="1">
      <alignment horizontal="center"/>
    </xf>
    <xf numFmtId="6" fontId="3" fillId="8" borderId="7" xfId="0" applyNumberFormat="1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27" fillId="17" borderId="46" xfId="0" applyFont="1" applyFill="1" applyBorder="1" applyAlignment="1">
      <alignment horizontal="center"/>
    </xf>
    <xf numFmtId="0" fontId="27" fillId="17" borderId="0" xfId="0" applyFont="1" applyFill="1" applyAlignment="1">
      <alignment horizontal="center"/>
    </xf>
    <xf numFmtId="0" fontId="13" fillId="16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6" fontId="0" fillId="7" borderId="6" xfId="0" applyNumberFormat="1" applyFill="1" applyBorder="1" applyAlignment="1">
      <alignment horizontal="center"/>
    </xf>
    <xf numFmtId="6" fontId="0" fillId="7" borderId="7" xfId="0" applyNumberFormat="1" applyFill="1" applyBorder="1" applyAlignment="1">
      <alignment horizontal="center"/>
    </xf>
    <xf numFmtId="0" fontId="13" fillId="2" borderId="2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/>
    </xf>
    <xf numFmtId="0" fontId="14" fillId="13" borderId="1" xfId="0" applyFont="1" applyFill="1" applyBorder="1" applyAlignment="1">
      <alignment horizontal="center"/>
    </xf>
    <xf numFmtId="6" fontId="0" fillId="6" borderId="6" xfId="0" applyNumberFormat="1" applyFill="1" applyBorder="1" applyAlignment="1">
      <alignment horizontal="center"/>
    </xf>
    <xf numFmtId="6" fontId="0" fillId="6" borderId="7" xfId="0" applyNumberFormat="1" applyFill="1" applyBorder="1" applyAlignment="1">
      <alignment horizontal="center"/>
    </xf>
    <xf numFmtId="0" fontId="13" fillId="2" borderId="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1" fillId="17" borderId="33" xfId="0" applyFont="1" applyFill="1" applyBorder="1" applyAlignment="1">
      <alignment horizontal="center"/>
    </xf>
    <xf numFmtId="0" fontId="21" fillId="17" borderId="51" xfId="0" applyFont="1" applyFill="1" applyBorder="1" applyAlignment="1">
      <alignment horizontal="center"/>
    </xf>
    <xf numFmtId="0" fontId="21" fillId="17" borderId="24" xfId="0" applyFont="1" applyFill="1" applyBorder="1" applyAlignment="1">
      <alignment horizontal="center"/>
    </xf>
    <xf numFmtId="6" fontId="0" fillId="6" borderId="4" xfId="0" applyNumberFormat="1" applyFill="1" applyBorder="1" applyAlignment="1">
      <alignment horizontal="center"/>
    </xf>
    <xf numFmtId="6" fontId="0" fillId="6" borderId="5" xfId="0" applyNumberFormat="1" applyFill="1" applyBorder="1" applyAlignment="1">
      <alignment horizontal="center"/>
    </xf>
    <xf numFmtId="0" fontId="22" fillId="5" borderId="26" xfId="0" applyFont="1" applyFill="1" applyBorder="1" applyAlignment="1">
      <alignment horizontal="center" vertical="center"/>
    </xf>
    <xf numFmtId="0" fontId="22" fillId="5" borderId="29" xfId="0" applyFont="1" applyFill="1" applyBorder="1" applyAlignment="1">
      <alignment horizontal="center" vertical="center"/>
    </xf>
    <xf numFmtId="0" fontId="22" fillId="5" borderId="46" xfId="0" applyFont="1" applyFill="1" applyBorder="1" applyAlignment="1">
      <alignment horizontal="center" vertical="center"/>
    </xf>
    <xf numFmtId="0" fontId="22" fillId="5" borderId="0" xfId="0" applyFont="1" applyFill="1" applyAlignment="1">
      <alignment horizontal="center" vertical="center"/>
    </xf>
    <xf numFmtId="0" fontId="22" fillId="5" borderId="28" xfId="0" applyFont="1" applyFill="1" applyBorder="1" applyAlignment="1">
      <alignment horizontal="center" vertical="center"/>
    </xf>
    <xf numFmtId="0" fontId="22" fillId="5" borderId="32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9" borderId="19" xfId="0" applyFont="1" applyFill="1" applyBorder="1" applyAlignment="1">
      <alignment horizontal="center" vertical="center"/>
    </xf>
    <xf numFmtId="0" fontId="5" fillId="9" borderId="20" xfId="0" applyFont="1" applyFill="1" applyBorder="1" applyAlignment="1">
      <alignment horizontal="center" vertical="center"/>
    </xf>
    <xf numFmtId="0" fontId="5" fillId="9" borderId="21" xfId="0" applyFont="1" applyFill="1" applyBorder="1" applyAlignment="1">
      <alignment horizontal="center" vertical="center"/>
    </xf>
    <xf numFmtId="0" fontId="5" fillId="9" borderId="22" xfId="0" applyFont="1" applyFill="1" applyBorder="1" applyAlignment="1">
      <alignment horizontal="center" vertical="center"/>
    </xf>
    <xf numFmtId="0" fontId="3" fillId="24" borderId="12" xfId="0" applyFont="1" applyFill="1" applyBorder="1" applyAlignment="1">
      <alignment horizontal="center" vertical="center"/>
    </xf>
    <xf numFmtId="0" fontId="3" fillId="24" borderId="3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2" fillId="12" borderId="12" xfId="0" applyFont="1" applyFill="1" applyBorder="1" applyAlignment="1">
      <alignment horizontal="center"/>
    </xf>
    <xf numFmtId="0" fontId="2" fillId="12" borderId="3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 vertical="center"/>
    </xf>
    <xf numFmtId="0" fontId="18" fillId="22" borderId="4" xfId="0" applyFont="1" applyFill="1" applyBorder="1" applyAlignment="1">
      <alignment horizontal="center" vertical="center"/>
    </xf>
    <xf numFmtId="0" fontId="18" fillId="22" borderId="5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horizontal="center" vertical="center"/>
    </xf>
    <xf numFmtId="0" fontId="3" fillId="19" borderId="37" xfId="0" applyFont="1" applyFill="1" applyBorder="1" applyAlignment="1">
      <alignment horizontal="center" vertical="center"/>
    </xf>
    <xf numFmtId="0" fontId="3" fillId="19" borderId="38" xfId="0" applyFont="1" applyFill="1" applyBorder="1" applyAlignment="1">
      <alignment horizontal="center" vertical="center"/>
    </xf>
    <xf numFmtId="0" fontId="3" fillId="19" borderId="39" xfId="0" applyFont="1" applyFill="1" applyBorder="1" applyAlignment="1">
      <alignment horizontal="center" vertical="center"/>
    </xf>
    <xf numFmtId="0" fontId="3" fillId="19" borderId="40" xfId="0" applyFont="1" applyFill="1" applyBorder="1" applyAlignment="1">
      <alignment horizontal="center" vertical="center"/>
    </xf>
    <xf numFmtId="0" fontId="3" fillId="19" borderId="41" xfId="0" applyFont="1" applyFill="1" applyBorder="1" applyAlignment="1">
      <alignment horizontal="center" vertical="center"/>
    </xf>
    <xf numFmtId="0" fontId="3" fillId="19" borderId="42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10" borderId="12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  <xf numFmtId="0" fontId="18" fillId="22" borderId="12" xfId="0" applyFont="1" applyFill="1" applyBorder="1" applyAlignment="1">
      <alignment horizontal="center" vertical="center"/>
    </xf>
    <xf numFmtId="0" fontId="18" fillId="22" borderId="3" xfId="0" applyFont="1" applyFill="1" applyBorder="1" applyAlignment="1">
      <alignment horizontal="center" vertical="center"/>
    </xf>
    <xf numFmtId="0" fontId="3" fillId="19" borderId="26" xfId="0" applyFont="1" applyFill="1" applyBorder="1" applyAlignment="1">
      <alignment horizontal="center" vertical="center"/>
    </xf>
    <xf numFmtId="0" fontId="3" fillId="19" borderId="29" xfId="0" applyFont="1" applyFill="1" applyBorder="1" applyAlignment="1">
      <alignment horizontal="center" vertical="center"/>
    </xf>
    <xf numFmtId="0" fontId="3" fillId="19" borderId="35" xfId="0" applyFont="1" applyFill="1" applyBorder="1" applyAlignment="1">
      <alignment horizontal="center" vertical="center"/>
    </xf>
    <xf numFmtId="0" fontId="3" fillId="19" borderId="27" xfId="0" applyFont="1" applyFill="1" applyBorder="1" applyAlignment="1">
      <alignment horizontal="center" vertical="center"/>
    </xf>
    <xf numFmtId="0" fontId="3" fillId="19" borderId="25" xfId="0" applyFont="1" applyFill="1" applyBorder="1" applyAlignment="1">
      <alignment horizontal="center" vertical="center"/>
    </xf>
    <xf numFmtId="0" fontId="3" fillId="19" borderId="36" xfId="0" applyFont="1" applyFill="1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877"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rgb="FFFFB3B3"/>
        </patternFill>
      </fill>
    </dxf>
    <dxf>
      <font>
        <b/>
        <i val="0"/>
        <color theme="1"/>
      </font>
      <fill>
        <patternFill patternType="solid">
          <bgColor rgb="FFFFC619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2" tint="-0.749992370372631"/>
        </patternFill>
      </fill>
    </dxf>
    <dxf>
      <font>
        <color theme="0"/>
      </font>
      <fill>
        <patternFill patternType="solid">
          <bgColor theme="3" tint="0.499984740745262"/>
        </patternFill>
      </fill>
    </dxf>
    <dxf>
      <font>
        <color theme="1"/>
      </font>
      <fill>
        <patternFill patternType="solid">
          <bgColor rgb="FFFFEEBA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FF9E9E"/>
        </patternFill>
      </fill>
    </dxf>
    <dxf>
      <font>
        <color theme="1"/>
      </font>
      <fill>
        <patternFill patternType="solid">
          <bgColor rgb="FFFC5656"/>
        </patternFill>
      </fill>
    </dxf>
    <dxf>
      <font>
        <color theme="1"/>
      </font>
      <fill>
        <patternFill patternType="solid">
          <bgColor rgb="FFFF0505"/>
        </patternFill>
      </fill>
    </dxf>
    <dxf>
      <font>
        <color theme="0"/>
      </font>
      <fill>
        <patternFill patternType="solid">
          <bgColor theme="1" tint="0.249977111117893"/>
        </patternFill>
      </fill>
    </dxf>
    <dxf>
      <font>
        <color theme="0"/>
      </font>
      <fill>
        <patternFill patternType="solid">
          <bgColor theme="1" tint="0.249977111117893"/>
        </patternFill>
      </fill>
    </dxf>
    <dxf>
      <font>
        <color theme="0"/>
      </font>
      <fill>
        <patternFill patternType="solid">
          <bgColor theme="1" tint="0.34998626667073579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theme="2" tint="-9.9978637043366805E-2"/>
        </patternFill>
      </fill>
    </dxf>
    <dxf>
      <font>
        <b/>
        <i val="0"/>
        <color theme="1"/>
      </font>
      <fill>
        <patternFill patternType="solid">
          <bgColor theme="1" tint="0.499984740745262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rgb="FFFFB3B3"/>
        </patternFill>
      </fill>
    </dxf>
    <dxf>
      <font>
        <b/>
        <i val="0"/>
        <color theme="1"/>
      </font>
      <fill>
        <patternFill patternType="solid">
          <bgColor rgb="FFFFC619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2" tint="-0.749992370372631"/>
        </patternFill>
      </fill>
    </dxf>
    <dxf>
      <font>
        <color theme="0"/>
      </font>
      <fill>
        <patternFill patternType="solid">
          <bgColor theme="3" tint="0.499984740745262"/>
        </patternFill>
      </fill>
    </dxf>
    <dxf>
      <font>
        <color theme="1"/>
      </font>
      <fill>
        <patternFill patternType="solid">
          <bgColor rgb="FFFFEEBA"/>
        </patternFill>
      </fill>
    </dxf>
    <dxf>
      <font>
        <color theme="0"/>
      </font>
      <fill>
        <patternFill patternType="solid">
          <bgColor theme="1" tint="0.249977111117893"/>
        </patternFill>
      </fill>
    </dxf>
    <dxf>
      <font>
        <color theme="1"/>
      </font>
      <fill>
        <patternFill patternType="solid">
          <bgColor rgb="FFFF9E9E"/>
        </patternFill>
      </fill>
    </dxf>
    <dxf>
      <font>
        <color theme="1"/>
      </font>
      <fill>
        <patternFill patternType="solid">
          <bgColor rgb="FFFC5656"/>
        </patternFill>
      </fill>
    </dxf>
    <dxf>
      <font>
        <color theme="1"/>
      </font>
      <fill>
        <patternFill patternType="solid">
          <bgColor rgb="FFFF0505"/>
        </patternFill>
      </fill>
    </dxf>
    <dxf>
      <font>
        <color theme="0"/>
      </font>
      <fill>
        <patternFill patternType="solid">
          <bgColor theme="1" tint="0.249977111117893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0"/>
      </font>
      <fill>
        <patternFill patternType="solid">
          <bgColor theme="1" tint="0.34998626667073579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theme="2" tint="-9.9978637043366805E-2"/>
        </patternFill>
      </fill>
    </dxf>
    <dxf>
      <font>
        <b/>
        <i val="0"/>
        <color theme="1"/>
      </font>
      <fill>
        <patternFill patternType="solid">
          <bgColor theme="1" tint="0.499984740745262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rgb="FFFFB3B3"/>
        </patternFill>
      </fill>
    </dxf>
    <dxf>
      <font>
        <b/>
        <i val="0"/>
        <color theme="1"/>
      </font>
      <fill>
        <patternFill patternType="solid">
          <bgColor rgb="FFFFC619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2" tint="-0.749992370372631"/>
        </patternFill>
      </fill>
    </dxf>
    <dxf>
      <font>
        <color theme="0"/>
      </font>
      <fill>
        <patternFill patternType="solid">
          <bgColor theme="3" tint="0.499984740745262"/>
        </patternFill>
      </fill>
    </dxf>
    <dxf>
      <font>
        <color theme="1"/>
      </font>
      <fill>
        <patternFill patternType="solid">
          <bgColor rgb="FFFFEEBA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FF9E9E"/>
        </patternFill>
      </fill>
    </dxf>
    <dxf>
      <font>
        <color theme="1"/>
      </font>
      <fill>
        <patternFill patternType="solid">
          <bgColor rgb="FFFC5656"/>
        </patternFill>
      </fill>
    </dxf>
    <dxf>
      <font>
        <color theme="1"/>
      </font>
      <fill>
        <patternFill patternType="solid">
          <bgColor rgb="FFFF0505"/>
        </patternFill>
      </fill>
    </dxf>
    <dxf>
      <font>
        <color theme="0"/>
      </font>
      <fill>
        <patternFill patternType="solid">
          <bgColor theme="1" tint="0.249977111117893"/>
        </patternFill>
      </fill>
    </dxf>
    <dxf>
      <font>
        <color theme="0"/>
      </font>
      <fill>
        <patternFill patternType="solid">
          <bgColor theme="1" tint="0.249977111117893"/>
        </patternFill>
      </fill>
    </dxf>
    <dxf>
      <font>
        <color theme="0"/>
      </font>
      <fill>
        <patternFill patternType="solid">
          <bgColor theme="1" tint="0.34998626667073579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theme="2" tint="-9.9978637043366805E-2"/>
        </patternFill>
      </fill>
    </dxf>
    <dxf>
      <font>
        <b/>
        <i val="0"/>
        <color theme="1"/>
      </font>
      <fill>
        <patternFill patternType="solid">
          <bgColor theme="1" tint="0.499984740745262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rgb="FFFFB3B3"/>
        </patternFill>
      </fill>
    </dxf>
    <dxf>
      <font>
        <b/>
        <i val="0"/>
        <color theme="1"/>
      </font>
      <fill>
        <patternFill patternType="solid">
          <bgColor rgb="FFFFC619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2" tint="-0.749992370372631"/>
        </patternFill>
      </fill>
    </dxf>
    <dxf>
      <font>
        <color theme="0"/>
      </font>
      <fill>
        <patternFill patternType="solid">
          <bgColor theme="3" tint="0.499984740745262"/>
        </patternFill>
      </fill>
    </dxf>
    <dxf>
      <font>
        <color theme="1"/>
      </font>
      <fill>
        <patternFill patternType="solid">
          <bgColor rgb="FFFFEEBA"/>
        </patternFill>
      </fill>
    </dxf>
    <dxf>
      <font>
        <color theme="0"/>
      </font>
      <fill>
        <patternFill patternType="solid">
          <bgColor theme="1" tint="0.249977111117893"/>
        </patternFill>
      </fill>
    </dxf>
    <dxf>
      <font>
        <color theme="1"/>
      </font>
      <fill>
        <patternFill patternType="solid">
          <bgColor rgb="FFFF9E9E"/>
        </patternFill>
      </fill>
    </dxf>
    <dxf>
      <font>
        <color theme="1"/>
      </font>
      <fill>
        <patternFill patternType="solid">
          <bgColor rgb="FFFC5656"/>
        </patternFill>
      </fill>
    </dxf>
    <dxf>
      <font>
        <color theme="1"/>
      </font>
      <fill>
        <patternFill patternType="solid">
          <bgColor rgb="FFFF0505"/>
        </patternFill>
      </fill>
    </dxf>
    <dxf>
      <font>
        <color theme="0"/>
      </font>
      <fill>
        <patternFill patternType="solid">
          <bgColor theme="1" tint="0.249977111117893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0"/>
      </font>
      <fill>
        <patternFill patternType="solid">
          <bgColor theme="1" tint="0.34998626667073579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theme="2" tint="-9.9978637043366805E-2"/>
        </patternFill>
      </fill>
    </dxf>
    <dxf>
      <font>
        <b/>
        <i val="0"/>
        <color theme="1"/>
      </font>
      <fill>
        <patternFill patternType="solid">
          <bgColor theme="1" tint="0.499984740745262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1"/>
      </font>
      <fill>
        <patternFill patternType="solid">
          <bgColor rgb="FFFFEEBA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rgb="FFFFB3B3"/>
        </patternFill>
      </fill>
    </dxf>
    <dxf>
      <font>
        <b/>
        <i val="0"/>
        <color theme="1"/>
      </font>
      <fill>
        <patternFill patternType="solid">
          <bgColor rgb="FFFFC619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2" tint="-0.749992370372631"/>
        </patternFill>
      </fill>
    </dxf>
    <dxf>
      <font>
        <color theme="0"/>
      </font>
      <fill>
        <patternFill patternType="solid">
          <bgColor theme="3" tint="0.499984740745262"/>
        </patternFill>
      </fill>
    </dxf>
    <dxf>
      <font>
        <color theme="0"/>
      </font>
      <fill>
        <patternFill patternType="solid">
          <bgColor theme="1" tint="0.249977111117893"/>
        </patternFill>
      </fill>
    </dxf>
    <dxf>
      <font>
        <color theme="1"/>
      </font>
      <fill>
        <patternFill patternType="solid">
          <bgColor rgb="FFFF9E9E"/>
        </patternFill>
      </fill>
    </dxf>
    <dxf>
      <font>
        <color theme="1"/>
      </font>
      <fill>
        <patternFill patternType="solid">
          <bgColor rgb="FFFC5656"/>
        </patternFill>
      </fill>
    </dxf>
    <dxf>
      <font>
        <color theme="1"/>
      </font>
      <fill>
        <patternFill patternType="solid">
          <bgColor rgb="FFFF0505"/>
        </patternFill>
      </fill>
    </dxf>
    <dxf>
      <font>
        <color theme="0"/>
      </font>
      <fill>
        <patternFill patternType="solid">
          <bgColor theme="1" tint="0.249977111117893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0"/>
      </font>
      <fill>
        <patternFill patternType="solid">
          <bgColor theme="1" tint="0.34998626667073579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theme="2" tint="-9.9978637043366805E-2"/>
        </patternFill>
      </fill>
    </dxf>
    <dxf>
      <font>
        <b/>
        <i val="0"/>
        <color theme="1"/>
      </font>
      <fill>
        <patternFill patternType="solid">
          <bgColor theme="1" tint="0.499984740745262"/>
        </patternFill>
      </fill>
    </dxf>
    <dxf>
      <font>
        <color theme="1"/>
      </font>
      <fill>
        <patternFill patternType="solid">
          <bgColor rgb="FFF57676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1"/>
      </font>
      <fill>
        <patternFill patternType="solid">
          <bgColor rgb="FFFFEEBA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rgb="FFFFB3B3"/>
        </patternFill>
      </fill>
    </dxf>
    <dxf>
      <font>
        <b/>
        <i val="0"/>
        <color theme="1"/>
      </font>
      <fill>
        <patternFill patternType="solid">
          <bgColor rgb="FFFFC619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2" tint="-0.749992370372631"/>
        </patternFill>
      </fill>
    </dxf>
    <dxf>
      <font>
        <color theme="0"/>
      </font>
      <fill>
        <patternFill patternType="solid">
          <bgColor theme="3" tint="0.499984740745262"/>
        </patternFill>
      </fill>
    </dxf>
    <dxf>
      <font>
        <color theme="0"/>
      </font>
      <fill>
        <patternFill patternType="solid">
          <bgColor theme="1" tint="0.249977111117893"/>
        </patternFill>
      </fill>
    </dxf>
    <dxf>
      <font>
        <color theme="1"/>
      </font>
      <fill>
        <patternFill patternType="solid">
          <bgColor rgb="FFFF9E9E"/>
        </patternFill>
      </fill>
    </dxf>
    <dxf>
      <font>
        <color theme="1"/>
      </font>
      <fill>
        <patternFill patternType="solid">
          <bgColor rgb="FFFC5656"/>
        </patternFill>
      </fill>
    </dxf>
    <dxf>
      <font>
        <color theme="1"/>
      </font>
      <fill>
        <patternFill patternType="solid">
          <bgColor rgb="FFFF0505"/>
        </patternFill>
      </fill>
    </dxf>
    <dxf>
      <font>
        <color theme="0"/>
      </font>
      <fill>
        <patternFill patternType="solid">
          <bgColor theme="1" tint="0.249977111117893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0"/>
      </font>
      <fill>
        <patternFill patternType="solid">
          <bgColor theme="1" tint="0.34998626667073579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theme="2" tint="-9.9978637043366805E-2"/>
        </patternFill>
      </fill>
    </dxf>
    <dxf>
      <font>
        <b/>
        <i val="0"/>
        <color theme="1"/>
      </font>
      <fill>
        <patternFill patternType="solid">
          <bgColor theme="1" tint="0.499984740745262"/>
        </patternFill>
      </fill>
    </dxf>
    <dxf>
      <font>
        <color theme="1"/>
      </font>
      <fill>
        <patternFill patternType="solid">
          <bgColor rgb="FFF57676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rgb="FFFFB3B3"/>
        </patternFill>
      </fill>
    </dxf>
    <dxf>
      <font>
        <b/>
        <i val="0"/>
        <color theme="1"/>
      </font>
      <fill>
        <patternFill patternType="solid">
          <bgColor rgb="FFFFC619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2" tint="-0.749992370372631"/>
        </patternFill>
      </fill>
    </dxf>
    <dxf>
      <font>
        <color theme="0"/>
      </font>
      <fill>
        <patternFill patternType="solid">
          <bgColor theme="3" tint="0.499984740745262"/>
        </patternFill>
      </fill>
    </dxf>
    <dxf>
      <font>
        <color theme="0"/>
      </font>
      <fill>
        <patternFill patternType="solid">
          <bgColor theme="1" tint="0.249977111117893"/>
        </patternFill>
      </fill>
    </dxf>
    <dxf>
      <font>
        <color theme="1"/>
      </font>
      <fill>
        <patternFill patternType="solid">
          <bgColor rgb="FFFF9E9E"/>
        </patternFill>
      </fill>
    </dxf>
    <dxf>
      <font>
        <color theme="1"/>
      </font>
      <fill>
        <patternFill patternType="solid">
          <bgColor rgb="FFFC5656"/>
        </patternFill>
      </fill>
    </dxf>
    <dxf>
      <font>
        <color theme="1"/>
      </font>
      <fill>
        <patternFill patternType="solid">
          <bgColor rgb="FFFF0505"/>
        </patternFill>
      </fill>
    </dxf>
    <dxf>
      <font>
        <color theme="0"/>
      </font>
      <fill>
        <patternFill patternType="solid">
          <bgColor theme="1" tint="0.249977111117893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0"/>
      </font>
      <fill>
        <patternFill patternType="solid">
          <bgColor theme="1" tint="0.34998626667073579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theme="2" tint="-9.9978637043366805E-2"/>
        </patternFill>
      </fill>
    </dxf>
    <dxf>
      <font>
        <b/>
        <i val="0"/>
        <color theme="1"/>
      </font>
      <fill>
        <patternFill patternType="solid">
          <bgColor theme="1" tint="0.499984740745262"/>
        </patternFill>
      </fill>
    </dxf>
    <dxf>
      <font>
        <color theme="1"/>
      </font>
      <fill>
        <patternFill patternType="solid">
          <bgColor rgb="FFF57676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rgb="FFFFB3B3"/>
        </patternFill>
      </fill>
    </dxf>
    <dxf>
      <font>
        <b/>
        <i val="0"/>
        <color theme="1"/>
      </font>
      <fill>
        <patternFill patternType="solid">
          <bgColor rgb="FFFFC619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2" tint="-0.749992370372631"/>
        </patternFill>
      </fill>
    </dxf>
    <dxf>
      <font>
        <color theme="0"/>
      </font>
      <fill>
        <patternFill patternType="solid">
          <bgColor theme="3" tint="0.499984740745262"/>
        </patternFill>
      </fill>
    </dxf>
    <dxf>
      <font>
        <color theme="0"/>
      </font>
      <fill>
        <patternFill patternType="solid">
          <bgColor theme="1" tint="0.249977111117893"/>
        </patternFill>
      </fill>
    </dxf>
    <dxf>
      <font>
        <color theme="1"/>
      </font>
      <fill>
        <patternFill patternType="solid">
          <bgColor rgb="FFFF9E9E"/>
        </patternFill>
      </fill>
    </dxf>
    <dxf>
      <font>
        <color theme="1"/>
      </font>
      <fill>
        <patternFill patternType="solid">
          <bgColor rgb="FFFC5656"/>
        </patternFill>
      </fill>
    </dxf>
    <dxf>
      <font>
        <color theme="1"/>
      </font>
      <fill>
        <patternFill patternType="solid">
          <bgColor rgb="FFFF0505"/>
        </patternFill>
      </fill>
    </dxf>
    <dxf>
      <font>
        <color theme="0"/>
      </font>
      <fill>
        <patternFill patternType="solid">
          <bgColor theme="1" tint="0.249977111117893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0"/>
      </font>
      <fill>
        <patternFill patternType="solid">
          <bgColor theme="1" tint="0.34998626667073579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theme="2" tint="-9.9978637043366805E-2"/>
        </patternFill>
      </fill>
    </dxf>
    <dxf>
      <font>
        <b/>
        <i val="0"/>
        <color theme="1"/>
      </font>
      <fill>
        <patternFill patternType="solid">
          <bgColor theme="1" tint="0.499984740745262"/>
        </patternFill>
      </fill>
    </dxf>
    <dxf>
      <font>
        <color theme="1"/>
      </font>
      <fill>
        <patternFill patternType="solid">
          <bgColor rgb="FFF57676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rgb="FFFFB3B3"/>
        </patternFill>
      </fill>
    </dxf>
    <dxf>
      <font>
        <b/>
        <i val="0"/>
        <color theme="1"/>
      </font>
      <fill>
        <patternFill patternType="solid">
          <bgColor rgb="FFFFC619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2" tint="-0.749992370372631"/>
        </patternFill>
      </fill>
    </dxf>
    <dxf>
      <font>
        <color theme="0"/>
      </font>
      <fill>
        <patternFill patternType="solid">
          <bgColor theme="3" tint="0.499984740745262"/>
        </patternFill>
      </fill>
    </dxf>
    <dxf>
      <font>
        <color theme="0"/>
      </font>
      <fill>
        <patternFill patternType="solid">
          <bgColor theme="1" tint="0.249977111117893"/>
        </patternFill>
      </fill>
    </dxf>
    <dxf>
      <font>
        <color theme="1"/>
      </font>
      <fill>
        <patternFill patternType="solid">
          <bgColor rgb="FFFF9E9E"/>
        </patternFill>
      </fill>
    </dxf>
    <dxf>
      <font>
        <color theme="1"/>
      </font>
      <fill>
        <patternFill patternType="solid">
          <bgColor rgb="FFFC5656"/>
        </patternFill>
      </fill>
    </dxf>
    <dxf>
      <font>
        <color theme="1"/>
      </font>
      <fill>
        <patternFill patternType="solid">
          <bgColor rgb="FFFF0505"/>
        </patternFill>
      </fill>
    </dxf>
    <dxf>
      <font>
        <color theme="0"/>
      </font>
      <fill>
        <patternFill patternType="solid">
          <bgColor theme="1" tint="0.249977111117893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0"/>
      </font>
      <fill>
        <patternFill patternType="solid">
          <bgColor theme="1" tint="0.34998626667073579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theme="2" tint="-9.9978637043366805E-2"/>
        </patternFill>
      </fill>
    </dxf>
    <dxf>
      <font>
        <b/>
        <i val="0"/>
        <color theme="1"/>
      </font>
      <fill>
        <patternFill patternType="solid">
          <bgColor theme="1" tint="0.499984740745262"/>
        </patternFill>
      </fill>
    </dxf>
    <dxf>
      <font>
        <color theme="1"/>
      </font>
      <fill>
        <patternFill patternType="solid">
          <bgColor rgb="FFF57676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rgb="FFFFB3B3"/>
        </patternFill>
      </fill>
    </dxf>
    <dxf>
      <font>
        <b/>
        <i val="0"/>
        <color theme="1"/>
      </font>
      <fill>
        <patternFill patternType="solid">
          <bgColor rgb="FFFFC619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2" tint="-0.749992370372631"/>
        </patternFill>
      </fill>
    </dxf>
    <dxf>
      <font>
        <color theme="0"/>
      </font>
      <fill>
        <patternFill patternType="solid">
          <bgColor theme="3" tint="0.499984740745262"/>
        </patternFill>
      </fill>
    </dxf>
    <dxf>
      <font>
        <color theme="0"/>
      </font>
      <fill>
        <patternFill patternType="solid">
          <bgColor theme="1" tint="0.249977111117893"/>
        </patternFill>
      </fill>
    </dxf>
    <dxf>
      <font>
        <color theme="1"/>
      </font>
      <fill>
        <patternFill patternType="solid">
          <bgColor rgb="FFFF9E9E"/>
        </patternFill>
      </fill>
    </dxf>
    <dxf>
      <font>
        <color theme="1"/>
      </font>
      <fill>
        <patternFill patternType="solid">
          <bgColor rgb="FFFC5656"/>
        </patternFill>
      </fill>
    </dxf>
    <dxf>
      <font>
        <color theme="1"/>
      </font>
      <fill>
        <patternFill patternType="solid">
          <bgColor rgb="FFFF0505"/>
        </patternFill>
      </fill>
    </dxf>
    <dxf>
      <font>
        <color theme="0"/>
      </font>
      <fill>
        <patternFill patternType="solid">
          <bgColor theme="1" tint="0.249977111117893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0"/>
      </font>
      <fill>
        <patternFill patternType="solid">
          <bgColor theme="1" tint="0.34998626667073579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theme="2" tint="-9.9978637043366805E-2"/>
        </patternFill>
      </fill>
    </dxf>
    <dxf>
      <font>
        <b/>
        <i val="0"/>
        <color theme="1"/>
      </font>
      <fill>
        <patternFill patternType="solid">
          <bgColor theme="1" tint="0.499984740745262"/>
        </patternFill>
      </fill>
    </dxf>
    <dxf>
      <font>
        <color theme="1"/>
      </font>
      <fill>
        <patternFill patternType="solid">
          <bgColor rgb="FFF57676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rgb="FFFFB3B3"/>
        </patternFill>
      </fill>
    </dxf>
    <dxf>
      <font>
        <b/>
        <i val="0"/>
        <color theme="1"/>
      </font>
      <fill>
        <patternFill patternType="solid">
          <bgColor rgb="FFFFC619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2" tint="-0.749992370372631"/>
        </patternFill>
      </fill>
    </dxf>
    <dxf>
      <font>
        <color theme="0"/>
      </font>
      <fill>
        <patternFill patternType="solid">
          <bgColor theme="3" tint="0.499984740745262"/>
        </patternFill>
      </fill>
    </dxf>
    <dxf>
      <font>
        <color theme="0"/>
      </font>
      <fill>
        <patternFill patternType="solid">
          <bgColor theme="1" tint="0.249977111117893"/>
        </patternFill>
      </fill>
    </dxf>
    <dxf>
      <font>
        <color theme="1"/>
      </font>
      <fill>
        <patternFill patternType="solid">
          <bgColor rgb="FFFF9E9E"/>
        </patternFill>
      </fill>
    </dxf>
    <dxf>
      <font>
        <color theme="1"/>
      </font>
      <fill>
        <patternFill patternType="solid">
          <bgColor rgb="FFFC5656"/>
        </patternFill>
      </fill>
    </dxf>
    <dxf>
      <font>
        <color theme="1"/>
      </font>
      <fill>
        <patternFill patternType="solid">
          <bgColor rgb="FFFF0505"/>
        </patternFill>
      </fill>
    </dxf>
    <dxf>
      <font>
        <color theme="0"/>
      </font>
      <fill>
        <patternFill patternType="solid">
          <bgColor theme="1" tint="0.249977111117893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0"/>
      </font>
      <fill>
        <patternFill patternType="solid">
          <bgColor theme="1" tint="0.34998626667073579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theme="2" tint="-9.9978637043366805E-2"/>
        </patternFill>
      </fill>
    </dxf>
    <dxf>
      <font>
        <b/>
        <i val="0"/>
        <color theme="1"/>
      </font>
      <fill>
        <patternFill patternType="solid">
          <bgColor theme="1" tint="0.499984740745262"/>
        </patternFill>
      </fill>
    </dxf>
    <dxf>
      <font>
        <color theme="1"/>
      </font>
      <fill>
        <patternFill patternType="solid">
          <bgColor rgb="FFF57676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rgb="FFFFB3B3"/>
        </patternFill>
      </fill>
    </dxf>
    <dxf>
      <font>
        <b/>
        <i val="0"/>
        <color theme="1"/>
      </font>
      <fill>
        <patternFill patternType="solid">
          <bgColor rgb="FFFFC619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2" tint="-0.749992370372631"/>
        </patternFill>
      </fill>
    </dxf>
    <dxf>
      <font>
        <color theme="0"/>
      </font>
      <fill>
        <patternFill patternType="solid">
          <bgColor theme="3" tint="0.499984740745262"/>
        </patternFill>
      </fill>
    </dxf>
    <dxf>
      <font>
        <color theme="0"/>
      </font>
      <fill>
        <patternFill patternType="solid">
          <bgColor theme="1" tint="0.249977111117893"/>
        </patternFill>
      </fill>
    </dxf>
    <dxf>
      <font>
        <color theme="1"/>
      </font>
      <fill>
        <patternFill patternType="solid">
          <bgColor rgb="FFFF9E9E"/>
        </patternFill>
      </fill>
    </dxf>
    <dxf>
      <font>
        <color theme="1"/>
      </font>
      <fill>
        <patternFill patternType="solid">
          <bgColor rgb="FFFC5656"/>
        </patternFill>
      </fill>
    </dxf>
    <dxf>
      <font>
        <color theme="1"/>
      </font>
      <fill>
        <patternFill patternType="solid">
          <bgColor rgb="FFFF0505"/>
        </patternFill>
      </fill>
    </dxf>
    <dxf>
      <font>
        <color theme="0"/>
      </font>
      <fill>
        <patternFill patternType="solid">
          <bgColor theme="1" tint="0.249977111117893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0"/>
      </font>
      <fill>
        <patternFill patternType="solid">
          <bgColor theme="1" tint="0.34998626667073579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theme="2" tint="-9.9978637043366805E-2"/>
        </patternFill>
      </fill>
    </dxf>
    <dxf>
      <font>
        <b/>
        <i val="0"/>
        <color theme="1"/>
      </font>
      <fill>
        <patternFill patternType="solid">
          <bgColor theme="1" tint="0.499984740745262"/>
        </patternFill>
      </fill>
    </dxf>
    <dxf>
      <font>
        <color theme="1"/>
      </font>
      <fill>
        <patternFill patternType="solid">
          <bgColor rgb="FFF57676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rgb="FFFFB3B3"/>
        </patternFill>
      </fill>
    </dxf>
    <dxf>
      <font>
        <b/>
        <i val="0"/>
        <color theme="1"/>
      </font>
      <fill>
        <patternFill patternType="solid">
          <bgColor rgb="FFFFC619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2" tint="-0.749992370372631"/>
        </patternFill>
      </fill>
    </dxf>
    <dxf>
      <font>
        <color theme="0"/>
      </font>
      <fill>
        <patternFill patternType="solid">
          <bgColor theme="3" tint="0.499984740745262"/>
        </patternFill>
      </fill>
    </dxf>
    <dxf>
      <font>
        <color theme="0"/>
      </font>
      <fill>
        <patternFill patternType="solid">
          <bgColor theme="1" tint="0.249977111117893"/>
        </patternFill>
      </fill>
    </dxf>
    <dxf>
      <font>
        <color theme="1"/>
      </font>
      <fill>
        <patternFill patternType="solid">
          <bgColor rgb="FFFF9E9E"/>
        </patternFill>
      </fill>
    </dxf>
    <dxf>
      <font>
        <color theme="1"/>
      </font>
      <fill>
        <patternFill patternType="solid">
          <bgColor rgb="FFFC5656"/>
        </patternFill>
      </fill>
    </dxf>
    <dxf>
      <font>
        <color theme="1"/>
      </font>
      <fill>
        <patternFill patternType="solid">
          <bgColor rgb="FFFF0505"/>
        </patternFill>
      </fill>
    </dxf>
    <dxf>
      <font>
        <color theme="0"/>
      </font>
      <fill>
        <patternFill patternType="solid">
          <bgColor theme="1" tint="0.249977111117893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0"/>
      </font>
      <fill>
        <patternFill patternType="solid">
          <bgColor theme="1" tint="0.34998626667073579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theme="2" tint="-9.9978637043366805E-2"/>
        </patternFill>
      </fill>
    </dxf>
    <dxf>
      <font>
        <b/>
        <i val="0"/>
        <color theme="1"/>
      </font>
      <fill>
        <patternFill patternType="solid">
          <bgColor theme="1" tint="0.499984740745262"/>
        </patternFill>
      </fill>
    </dxf>
    <dxf>
      <font>
        <color theme="1"/>
      </font>
      <fill>
        <patternFill patternType="solid">
          <bgColor rgb="FFF57676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rgb="FFFFB3B3"/>
        </patternFill>
      </fill>
    </dxf>
    <dxf>
      <font>
        <b/>
        <i val="0"/>
        <color theme="1"/>
      </font>
      <fill>
        <patternFill patternType="solid">
          <bgColor rgb="FFFFC619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2" tint="-0.749992370372631"/>
        </patternFill>
      </fill>
    </dxf>
    <dxf>
      <font>
        <color theme="0"/>
      </font>
      <fill>
        <patternFill patternType="solid">
          <bgColor theme="3" tint="0.499984740745262"/>
        </patternFill>
      </fill>
    </dxf>
    <dxf>
      <font>
        <color theme="0"/>
      </font>
      <fill>
        <patternFill patternType="solid">
          <bgColor theme="1" tint="0.249977111117893"/>
        </patternFill>
      </fill>
    </dxf>
    <dxf>
      <font>
        <color theme="1"/>
      </font>
      <fill>
        <patternFill patternType="solid">
          <bgColor rgb="FFFF9E9E"/>
        </patternFill>
      </fill>
    </dxf>
    <dxf>
      <font>
        <color theme="1"/>
      </font>
      <fill>
        <patternFill patternType="solid">
          <bgColor rgb="FFFC5656"/>
        </patternFill>
      </fill>
    </dxf>
    <dxf>
      <font>
        <color theme="1"/>
      </font>
      <fill>
        <patternFill patternType="solid">
          <bgColor rgb="FFFF0505"/>
        </patternFill>
      </fill>
    </dxf>
    <dxf>
      <font>
        <color theme="0"/>
      </font>
      <fill>
        <patternFill patternType="solid">
          <bgColor theme="1" tint="0.249977111117893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0"/>
      </font>
      <fill>
        <patternFill patternType="solid">
          <bgColor theme="1" tint="0.34998626667073579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theme="2" tint="-9.9978637043366805E-2"/>
        </patternFill>
      </fill>
    </dxf>
    <dxf>
      <font>
        <b/>
        <i val="0"/>
        <color theme="1"/>
      </font>
      <fill>
        <patternFill patternType="solid">
          <bgColor theme="1" tint="0.499984740745262"/>
        </patternFill>
      </fill>
    </dxf>
    <dxf>
      <font>
        <color theme="1"/>
      </font>
      <fill>
        <patternFill patternType="solid">
          <bgColor rgb="FFF57676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rgb="FFFFB3B3"/>
        </patternFill>
      </fill>
    </dxf>
    <dxf>
      <font>
        <b/>
        <i val="0"/>
        <color theme="1"/>
      </font>
      <fill>
        <patternFill patternType="solid">
          <bgColor rgb="FFFFC619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2" tint="-0.749992370372631"/>
        </patternFill>
      </fill>
    </dxf>
    <dxf>
      <font>
        <color theme="0"/>
      </font>
      <fill>
        <patternFill patternType="solid">
          <bgColor theme="3" tint="0.499984740745262"/>
        </patternFill>
      </fill>
    </dxf>
    <dxf>
      <font>
        <color theme="0"/>
      </font>
      <fill>
        <patternFill patternType="solid">
          <bgColor theme="1" tint="0.249977111117893"/>
        </patternFill>
      </fill>
    </dxf>
    <dxf>
      <font>
        <color theme="1"/>
      </font>
      <fill>
        <patternFill patternType="solid">
          <bgColor rgb="FFFF9E9E"/>
        </patternFill>
      </fill>
    </dxf>
    <dxf>
      <font>
        <color theme="1"/>
      </font>
      <fill>
        <patternFill patternType="solid">
          <bgColor rgb="FFFC5656"/>
        </patternFill>
      </fill>
    </dxf>
    <dxf>
      <font>
        <color theme="1"/>
      </font>
      <fill>
        <patternFill patternType="solid">
          <bgColor rgb="FFFF0505"/>
        </patternFill>
      </fill>
    </dxf>
    <dxf>
      <font>
        <color theme="0"/>
      </font>
      <fill>
        <patternFill patternType="solid">
          <bgColor theme="1" tint="0.249977111117893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0"/>
      </font>
      <fill>
        <patternFill patternType="solid">
          <bgColor theme="1" tint="0.34998626667073579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theme="2" tint="-9.9978637043366805E-2"/>
        </patternFill>
      </fill>
    </dxf>
    <dxf>
      <font>
        <b/>
        <i val="0"/>
        <color theme="1"/>
      </font>
      <fill>
        <patternFill patternType="solid">
          <bgColor theme="1" tint="0.499984740745262"/>
        </patternFill>
      </fill>
    </dxf>
    <dxf>
      <font>
        <color theme="1"/>
      </font>
      <fill>
        <patternFill patternType="solid">
          <bgColor rgb="FFF57676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rgb="FFFFB3B3"/>
        </patternFill>
      </fill>
    </dxf>
    <dxf>
      <font>
        <b/>
        <i val="0"/>
        <color theme="1"/>
      </font>
      <fill>
        <patternFill patternType="solid">
          <bgColor rgb="FFFFC619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2" tint="-0.749992370372631"/>
        </patternFill>
      </fill>
    </dxf>
    <dxf>
      <font>
        <color theme="0"/>
      </font>
      <fill>
        <patternFill patternType="solid">
          <bgColor theme="3" tint="0.499984740745262"/>
        </patternFill>
      </fill>
    </dxf>
    <dxf>
      <font>
        <color theme="0"/>
      </font>
      <fill>
        <patternFill patternType="solid">
          <bgColor theme="1" tint="0.249977111117893"/>
        </patternFill>
      </fill>
    </dxf>
    <dxf>
      <font>
        <color theme="1"/>
      </font>
      <fill>
        <patternFill patternType="solid">
          <bgColor rgb="FFFF9E9E"/>
        </patternFill>
      </fill>
    </dxf>
    <dxf>
      <font>
        <color theme="1"/>
      </font>
      <fill>
        <patternFill patternType="solid">
          <bgColor rgb="FFFC5656"/>
        </patternFill>
      </fill>
    </dxf>
    <dxf>
      <font>
        <color theme="1"/>
      </font>
      <fill>
        <patternFill patternType="solid">
          <bgColor rgb="FFFF0505"/>
        </patternFill>
      </fill>
    </dxf>
    <dxf>
      <font>
        <color theme="0"/>
      </font>
      <fill>
        <patternFill patternType="solid">
          <bgColor theme="1" tint="0.249977111117893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0"/>
      </font>
      <fill>
        <patternFill patternType="solid">
          <bgColor theme="1" tint="0.34998626667073579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theme="2" tint="-9.9978637043366805E-2"/>
        </patternFill>
      </fill>
    </dxf>
    <dxf>
      <font>
        <b/>
        <i val="0"/>
        <color theme="1"/>
      </font>
      <fill>
        <patternFill patternType="solid">
          <bgColor theme="1" tint="0.499984740745262"/>
        </patternFill>
      </fill>
    </dxf>
    <dxf>
      <font>
        <color theme="1"/>
      </font>
      <fill>
        <patternFill patternType="solid">
          <bgColor rgb="FFF57676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rgb="FFFFB3B3"/>
        </patternFill>
      </fill>
    </dxf>
    <dxf>
      <font>
        <b/>
        <i val="0"/>
        <color theme="1"/>
      </font>
      <fill>
        <patternFill patternType="solid">
          <bgColor rgb="FFFFC619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2" tint="-0.749992370372631"/>
        </patternFill>
      </fill>
    </dxf>
    <dxf>
      <font>
        <color theme="0"/>
      </font>
      <fill>
        <patternFill patternType="solid">
          <bgColor theme="3" tint="0.499984740745262"/>
        </patternFill>
      </fill>
    </dxf>
    <dxf>
      <font>
        <color theme="0"/>
      </font>
      <fill>
        <patternFill patternType="solid">
          <bgColor theme="1" tint="0.249977111117893"/>
        </patternFill>
      </fill>
    </dxf>
    <dxf>
      <font>
        <color theme="1"/>
      </font>
      <fill>
        <patternFill patternType="solid">
          <bgColor rgb="FFFF9E9E"/>
        </patternFill>
      </fill>
    </dxf>
    <dxf>
      <font>
        <color theme="1"/>
      </font>
      <fill>
        <patternFill patternType="solid">
          <bgColor rgb="FFFC5656"/>
        </patternFill>
      </fill>
    </dxf>
    <dxf>
      <font>
        <color theme="1"/>
      </font>
      <fill>
        <patternFill patternType="solid">
          <bgColor rgb="FFFF0505"/>
        </patternFill>
      </fill>
    </dxf>
    <dxf>
      <font>
        <color theme="0"/>
      </font>
      <fill>
        <patternFill patternType="solid">
          <bgColor theme="1" tint="0.249977111117893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0"/>
      </font>
      <fill>
        <patternFill patternType="solid">
          <bgColor theme="1" tint="0.34998626667073579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theme="2" tint="-9.9978637043366805E-2"/>
        </patternFill>
      </fill>
    </dxf>
    <dxf>
      <font>
        <b/>
        <i val="0"/>
        <color theme="1"/>
      </font>
      <fill>
        <patternFill patternType="solid">
          <bgColor theme="1" tint="0.499984740745262"/>
        </patternFill>
      </fill>
    </dxf>
    <dxf>
      <font>
        <color theme="1"/>
      </font>
      <fill>
        <patternFill patternType="solid">
          <bgColor rgb="FFF57676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rgb="FFFFB3B3"/>
        </patternFill>
      </fill>
    </dxf>
    <dxf>
      <font>
        <b/>
        <i val="0"/>
        <color theme="1"/>
      </font>
      <fill>
        <patternFill patternType="solid">
          <bgColor rgb="FFFFC619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2" tint="-0.749992370372631"/>
        </patternFill>
      </fill>
    </dxf>
    <dxf>
      <font>
        <color theme="0"/>
      </font>
      <fill>
        <patternFill patternType="solid">
          <bgColor theme="3" tint="0.499984740745262"/>
        </patternFill>
      </fill>
    </dxf>
    <dxf>
      <font>
        <color theme="0"/>
      </font>
      <fill>
        <patternFill patternType="solid">
          <bgColor theme="1" tint="0.249977111117893"/>
        </patternFill>
      </fill>
    </dxf>
    <dxf>
      <font>
        <color theme="1"/>
      </font>
      <fill>
        <patternFill patternType="solid">
          <bgColor rgb="FFFF9E9E"/>
        </patternFill>
      </fill>
    </dxf>
    <dxf>
      <font>
        <color theme="1"/>
      </font>
      <fill>
        <patternFill patternType="solid">
          <bgColor rgb="FFFC5656"/>
        </patternFill>
      </fill>
    </dxf>
    <dxf>
      <font>
        <color theme="1"/>
      </font>
      <fill>
        <patternFill patternType="solid">
          <bgColor rgb="FFFF0505"/>
        </patternFill>
      </fill>
    </dxf>
    <dxf>
      <font>
        <color theme="0"/>
      </font>
      <fill>
        <patternFill patternType="solid">
          <bgColor theme="1" tint="0.249977111117893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0"/>
      </font>
      <fill>
        <patternFill patternType="solid">
          <bgColor theme="1" tint="0.34998626667073579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theme="2" tint="-9.9978637043366805E-2"/>
        </patternFill>
      </fill>
    </dxf>
    <dxf>
      <font>
        <b/>
        <i val="0"/>
        <color theme="1"/>
      </font>
      <fill>
        <patternFill patternType="solid">
          <bgColor theme="1" tint="0.499984740745262"/>
        </patternFill>
      </fill>
    </dxf>
    <dxf>
      <font>
        <color theme="1"/>
      </font>
      <fill>
        <patternFill patternType="solid">
          <bgColor rgb="FFF57676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rgb="FFFFB3B3"/>
        </patternFill>
      </fill>
    </dxf>
    <dxf>
      <font>
        <b/>
        <i val="0"/>
        <color theme="1"/>
      </font>
      <fill>
        <patternFill patternType="solid">
          <bgColor rgb="FFFFC619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2" tint="-0.749992370372631"/>
        </patternFill>
      </fill>
    </dxf>
    <dxf>
      <font>
        <color theme="0"/>
      </font>
      <fill>
        <patternFill patternType="solid">
          <bgColor theme="3" tint="0.499984740745262"/>
        </patternFill>
      </fill>
    </dxf>
    <dxf>
      <font>
        <color theme="0"/>
      </font>
      <fill>
        <patternFill patternType="solid">
          <bgColor theme="1" tint="0.249977111117893"/>
        </patternFill>
      </fill>
    </dxf>
    <dxf>
      <font>
        <color theme="1"/>
      </font>
      <fill>
        <patternFill patternType="solid">
          <bgColor rgb="FFFF9E9E"/>
        </patternFill>
      </fill>
    </dxf>
    <dxf>
      <font>
        <color theme="1"/>
      </font>
      <fill>
        <patternFill patternType="solid">
          <bgColor rgb="FFFC5656"/>
        </patternFill>
      </fill>
    </dxf>
    <dxf>
      <font>
        <color theme="1"/>
      </font>
      <fill>
        <patternFill patternType="solid">
          <bgColor rgb="FFFF0505"/>
        </patternFill>
      </fill>
    </dxf>
    <dxf>
      <font>
        <color theme="0"/>
      </font>
      <fill>
        <patternFill patternType="solid">
          <bgColor theme="1" tint="0.249977111117893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0"/>
      </font>
      <fill>
        <patternFill patternType="solid">
          <bgColor theme="1" tint="0.34998626667073579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theme="2" tint="-9.9978637043366805E-2"/>
        </patternFill>
      </fill>
    </dxf>
    <dxf>
      <font>
        <b/>
        <i val="0"/>
        <color theme="1"/>
      </font>
      <fill>
        <patternFill patternType="solid">
          <bgColor theme="1" tint="0.499984740745262"/>
        </patternFill>
      </fill>
    </dxf>
    <dxf>
      <font>
        <color theme="1"/>
      </font>
      <fill>
        <patternFill patternType="solid">
          <bgColor rgb="FFF57676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rgb="FFFFB3B3"/>
        </patternFill>
      </fill>
    </dxf>
    <dxf>
      <font>
        <b/>
        <i val="0"/>
        <color theme="1"/>
      </font>
      <fill>
        <patternFill patternType="solid">
          <bgColor rgb="FFFFC619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2" tint="-0.749992370372631"/>
        </patternFill>
      </fill>
    </dxf>
    <dxf>
      <font>
        <color theme="0"/>
      </font>
      <fill>
        <patternFill patternType="solid">
          <bgColor theme="3" tint="0.499984740745262"/>
        </patternFill>
      </fill>
    </dxf>
    <dxf>
      <font>
        <color theme="0"/>
      </font>
      <fill>
        <patternFill patternType="solid">
          <bgColor theme="1" tint="0.249977111117893"/>
        </patternFill>
      </fill>
    </dxf>
    <dxf>
      <font>
        <color theme="1"/>
      </font>
      <fill>
        <patternFill patternType="solid">
          <bgColor rgb="FFFF9E9E"/>
        </patternFill>
      </fill>
    </dxf>
    <dxf>
      <font>
        <color theme="1"/>
      </font>
      <fill>
        <patternFill patternType="solid">
          <bgColor rgb="FFFC5656"/>
        </patternFill>
      </fill>
    </dxf>
    <dxf>
      <font>
        <color theme="1"/>
      </font>
      <fill>
        <patternFill patternType="solid">
          <bgColor rgb="FFFF0505"/>
        </patternFill>
      </fill>
    </dxf>
    <dxf>
      <font>
        <color theme="0"/>
      </font>
      <fill>
        <patternFill patternType="solid">
          <bgColor theme="1" tint="0.249977111117893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0"/>
      </font>
      <fill>
        <patternFill patternType="solid">
          <bgColor theme="1" tint="0.34998626667073579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theme="2" tint="-9.9978637043366805E-2"/>
        </patternFill>
      </fill>
    </dxf>
    <dxf>
      <font>
        <b/>
        <i val="0"/>
        <color theme="1"/>
      </font>
      <fill>
        <patternFill patternType="solid">
          <bgColor theme="1" tint="0.499984740745262"/>
        </patternFill>
      </fill>
    </dxf>
    <dxf>
      <font>
        <color theme="1"/>
      </font>
      <fill>
        <patternFill patternType="solid">
          <bgColor rgb="FFF57676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rgb="FFFFB3B3"/>
        </patternFill>
      </fill>
    </dxf>
    <dxf>
      <font>
        <b/>
        <i val="0"/>
        <color theme="1"/>
      </font>
      <fill>
        <patternFill patternType="solid">
          <bgColor rgb="FFFFC619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2" tint="-0.749992370372631"/>
        </patternFill>
      </fill>
    </dxf>
    <dxf>
      <font>
        <color theme="0"/>
      </font>
      <fill>
        <patternFill patternType="solid">
          <bgColor theme="3" tint="0.499984740745262"/>
        </patternFill>
      </fill>
    </dxf>
    <dxf>
      <font>
        <color theme="1"/>
      </font>
      <fill>
        <patternFill patternType="solid">
          <bgColor rgb="FFFFEEBA"/>
        </patternFill>
      </fill>
    </dxf>
    <dxf>
      <font>
        <color theme="0"/>
      </font>
      <fill>
        <patternFill patternType="solid">
          <bgColor theme="1" tint="0.249977111117893"/>
        </patternFill>
      </fill>
    </dxf>
    <dxf>
      <font>
        <color theme="1"/>
      </font>
      <fill>
        <patternFill patternType="solid">
          <bgColor rgb="FFFF9E9E"/>
        </patternFill>
      </fill>
    </dxf>
    <dxf>
      <font>
        <color theme="1"/>
      </font>
      <fill>
        <patternFill patternType="solid">
          <bgColor rgb="FFFC5656"/>
        </patternFill>
      </fill>
    </dxf>
    <dxf>
      <font>
        <color theme="1"/>
      </font>
      <fill>
        <patternFill patternType="solid">
          <bgColor rgb="FFFF0505"/>
        </patternFill>
      </fill>
    </dxf>
    <dxf>
      <font>
        <color theme="0"/>
      </font>
      <fill>
        <patternFill patternType="solid">
          <bgColor theme="1" tint="0.249977111117893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0"/>
      </font>
      <fill>
        <patternFill patternType="solid">
          <bgColor theme="1" tint="0.34998626667073579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theme="2" tint="-9.9978637043366805E-2"/>
        </patternFill>
      </fill>
    </dxf>
    <dxf>
      <font>
        <b/>
        <i val="0"/>
        <color theme="1"/>
      </font>
      <fill>
        <patternFill patternType="solid">
          <bgColor theme="1" tint="0.499984740745262"/>
        </patternFill>
      </fill>
    </dxf>
    <dxf>
      <font>
        <color theme="1"/>
      </font>
      <fill>
        <patternFill patternType="solid">
          <bgColor rgb="FFF57676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rgb="FFFFB3B3"/>
        </patternFill>
      </fill>
    </dxf>
    <dxf>
      <font>
        <b/>
        <i val="0"/>
        <color theme="1"/>
      </font>
      <fill>
        <patternFill patternType="solid">
          <bgColor rgb="FFFFC619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2" tint="-0.749992370372631"/>
        </patternFill>
      </fill>
    </dxf>
    <dxf>
      <font>
        <color theme="0"/>
      </font>
      <fill>
        <patternFill patternType="solid">
          <bgColor theme="3" tint="0.499984740745262"/>
        </patternFill>
      </fill>
    </dxf>
    <dxf>
      <font>
        <color theme="0"/>
      </font>
      <fill>
        <patternFill patternType="solid">
          <bgColor theme="1" tint="0.249977111117893"/>
        </patternFill>
      </fill>
    </dxf>
    <dxf>
      <font>
        <color theme="1"/>
      </font>
      <fill>
        <patternFill patternType="solid">
          <bgColor rgb="FFFF9E9E"/>
        </patternFill>
      </fill>
    </dxf>
    <dxf>
      <font>
        <color theme="1"/>
      </font>
      <fill>
        <patternFill patternType="solid">
          <bgColor rgb="FFFC5656"/>
        </patternFill>
      </fill>
    </dxf>
    <dxf>
      <font>
        <color theme="1"/>
      </font>
      <fill>
        <patternFill patternType="solid">
          <bgColor rgb="FFFF0505"/>
        </patternFill>
      </fill>
    </dxf>
    <dxf>
      <font>
        <color theme="0"/>
      </font>
      <fill>
        <patternFill patternType="solid">
          <bgColor theme="1" tint="0.249977111117893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0"/>
      </font>
      <fill>
        <patternFill patternType="solid">
          <bgColor theme="1" tint="0.34998626667073579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theme="2" tint="-9.9978637043366805E-2"/>
        </patternFill>
      </fill>
    </dxf>
    <dxf>
      <font>
        <b/>
        <i val="0"/>
        <color theme="1"/>
      </font>
      <fill>
        <patternFill patternType="solid">
          <bgColor theme="1" tint="0.499984740745262"/>
        </patternFill>
      </fill>
    </dxf>
    <dxf>
      <font>
        <color theme="1"/>
      </font>
      <fill>
        <patternFill patternType="solid">
          <bgColor rgb="FFF57676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rgb="FFFFB3B3"/>
        </patternFill>
      </fill>
    </dxf>
    <dxf>
      <font>
        <b/>
        <i val="0"/>
        <color theme="1"/>
      </font>
      <fill>
        <patternFill patternType="solid">
          <bgColor rgb="FFFFC619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2" tint="-0.749992370372631"/>
        </patternFill>
      </fill>
    </dxf>
    <dxf>
      <font>
        <color theme="0"/>
      </font>
      <fill>
        <patternFill patternType="solid">
          <bgColor theme="3" tint="0.499984740745262"/>
        </patternFill>
      </fill>
    </dxf>
    <dxf>
      <font>
        <color theme="0"/>
      </font>
      <fill>
        <patternFill patternType="solid">
          <bgColor theme="1" tint="0.249977111117893"/>
        </patternFill>
      </fill>
    </dxf>
    <dxf>
      <font>
        <color theme="1"/>
      </font>
      <fill>
        <patternFill patternType="solid">
          <bgColor rgb="FFFF9E9E"/>
        </patternFill>
      </fill>
    </dxf>
    <dxf>
      <font>
        <color theme="1"/>
      </font>
      <fill>
        <patternFill patternType="solid">
          <bgColor rgb="FFFC5656"/>
        </patternFill>
      </fill>
    </dxf>
    <dxf>
      <font>
        <color theme="1"/>
      </font>
      <fill>
        <patternFill patternType="solid">
          <bgColor rgb="FFFF0505"/>
        </patternFill>
      </fill>
    </dxf>
    <dxf>
      <font>
        <color theme="0"/>
      </font>
      <fill>
        <patternFill patternType="solid">
          <bgColor theme="1" tint="0.249977111117893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0"/>
      </font>
      <fill>
        <patternFill patternType="solid">
          <bgColor theme="1" tint="0.34998626667073579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theme="2" tint="-9.9978637043366805E-2"/>
        </patternFill>
      </fill>
    </dxf>
    <dxf>
      <font>
        <b/>
        <i val="0"/>
        <color theme="1"/>
      </font>
      <fill>
        <patternFill patternType="solid">
          <bgColor theme="1" tint="0.499984740745262"/>
        </patternFill>
      </fill>
    </dxf>
    <dxf>
      <font>
        <color theme="1"/>
      </font>
      <fill>
        <patternFill patternType="solid">
          <bgColor rgb="FFF57676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rgb="FFFFB3B3"/>
        </patternFill>
      </fill>
    </dxf>
    <dxf>
      <font>
        <b/>
        <i val="0"/>
        <color theme="1"/>
      </font>
      <fill>
        <patternFill patternType="solid">
          <bgColor rgb="FFFFC619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2" tint="-0.749992370372631"/>
        </patternFill>
      </fill>
    </dxf>
    <dxf>
      <font>
        <color theme="0"/>
      </font>
      <fill>
        <patternFill patternType="solid">
          <bgColor theme="3" tint="0.499984740745262"/>
        </patternFill>
      </fill>
    </dxf>
    <dxf>
      <font>
        <color theme="1"/>
      </font>
      <fill>
        <patternFill patternType="solid">
          <bgColor rgb="FFFFEEBA"/>
        </patternFill>
      </fill>
    </dxf>
    <dxf>
      <font>
        <color theme="0"/>
      </font>
      <fill>
        <patternFill patternType="solid">
          <bgColor theme="1" tint="0.249977111117893"/>
        </patternFill>
      </fill>
    </dxf>
    <dxf>
      <font>
        <color theme="1"/>
      </font>
      <fill>
        <patternFill patternType="solid">
          <bgColor rgb="FFFF9E9E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rgb="FFFFB3B3"/>
        </patternFill>
      </fill>
    </dxf>
    <dxf>
      <font>
        <b/>
        <i val="0"/>
        <color theme="1"/>
      </font>
      <fill>
        <patternFill patternType="solid">
          <bgColor rgb="FFFFC619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2" tint="-0.749992370372631"/>
        </patternFill>
      </fill>
    </dxf>
    <dxf>
      <font>
        <color theme="0"/>
      </font>
      <fill>
        <patternFill patternType="solid">
          <bgColor theme="3" tint="0.499984740745262"/>
        </patternFill>
      </fill>
    </dxf>
    <dxf>
      <font>
        <color theme="0"/>
      </font>
      <fill>
        <patternFill patternType="solid">
          <bgColor theme="1" tint="0.249977111117893"/>
        </patternFill>
      </fill>
    </dxf>
    <dxf>
      <font>
        <color theme="1"/>
      </font>
      <fill>
        <patternFill patternType="solid">
          <bgColor rgb="FFFF9E9E"/>
        </patternFill>
      </fill>
    </dxf>
    <dxf>
      <font>
        <color theme="1"/>
      </font>
      <fill>
        <patternFill patternType="solid">
          <bgColor rgb="FFFC5656"/>
        </patternFill>
      </fill>
    </dxf>
    <dxf>
      <font>
        <color theme="1"/>
      </font>
      <fill>
        <patternFill patternType="solid">
          <bgColor rgb="FFFF0505"/>
        </patternFill>
      </fill>
    </dxf>
    <dxf>
      <font>
        <color theme="0"/>
      </font>
      <fill>
        <patternFill patternType="solid">
          <bgColor theme="1" tint="0.249977111117893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0"/>
      </font>
      <fill>
        <patternFill patternType="solid">
          <bgColor theme="1" tint="0.34998626667073579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theme="2" tint="-9.9978637043366805E-2"/>
        </patternFill>
      </fill>
    </dxf>
    <dxf>
      <font>
        <b/>
        <i val="0"/>
        <color theme="1"/>
      </font>
      <fill>
        <patternFill patternType="solid">
          <bgColor theme="1" tint="0.499984740745262"/>
        </patternFill>
      </fill>
    </dxf>
    <dxf>
      <font>
        <color theme="1"/>
      </font>
      <fill>
        <patternFill patternType="solid">
          <bgColor rgb="FFF57676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1"/>
      </font>
      <fill>
        <patternFill patternType="solid">
          <bgColor rgb="FFFFEEBA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rgb="FFFFB3B3"/>
        </patternFill>
      </fill>
    </dxf>
    <dxf>
      <font>
        <b/>
        <i val="0"/>
        <color theme="1"/>
      </font>
      <fill>
        <patternFill patternType="solid">
          <bgColor rgb="FFFFC619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2" tint="-0.749992370372631"/>
        </patternFill>
      </fill>
    </dxf>
    <dxf>
      <font>
        <color theme="0"/>
      </font>
      <fill>
        <patternFill patternType="solid">
          <bgColor theme="3" tint="0.499984740745262"/>
        </patternFill>
      </fill>
    </dxf>
    <dxf>
      <font>
        <color theme="0"/>
      </font>
      <fill>
        <patternFill patternType="solid">
          <bgColor theme="1" tint="0.249977111117893"/>
        </patternFill>
      </fill>
    </dxf>
    <dxf>
      <font>
        <color theme="1"/>
      </font>
      <fill>
        <patternFill patternType="solid">
          <bgColor rgb="FFFF9E9E"/>
        </patternFill>
      </fill>
    </dxf>
    <dxf>
      <font>
        <color theme="1"/>
      </font>
      <fill>
        <patternFill patternType="solid">
          <bgColor rgb="FFFC5656"/>
        </patternFill>
      </fill>
    </dxf>
    <dxf>
      <font>
        <color theme="1"/>
      </font>
      <fill>
        <patternFill patternType="solid">
          <bgColor rgb="FFFF0505"/>
        </patternFill>
      </fill>
    </dxf>
    <dxf>
      <font>
        <color theme="0"/>
      </font>
      <fill>
        <patternFill patternType="solid">
          <bgColor theme="1" tint="0.249977111117893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0"/>
      </font>
      <fill>
        <patternFill patternType="solid">
          <bgColor theme="1" tint="0.34998626667073579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theme="2" tint="-9.9978637043366805E-2"/>
        </patternFill>
      </fill>
    </dxf>
    <dxf>
      <font>
        <b/>
        <i val="0"/>
        <color theme="1"/>
      </font>
      <fill>
        <patternFill patternType="solid">
          <bgColor theme="1" tint="0.499984740745262"/>
        </patternFill>
      </fill>
    </dxf>
    <dxf>
      <font>
        <color theme="1"/>
      </font>
      <fill>
        <patternFill patternType="solid">
          <bgColor rgb="FFF57676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rgb="FFFFB3B3"/>
        </patternFill>
      </fill>
    </dxf>
    <dxf>
      <font>
        <b/>
        <i val="0"/>
        <color theme="1"/>
      </font>
      <fill>
        <patternFill patternType="solid">
          <bgColor rgb="FFFFC619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2" tint="-0.749992370372631"/>
        </patternFill>
      </fill>
    </dxf>
    <dxf>
      <font>
        <color theme="0"/>
      </font>
      <fill>
        <patternFill patternType="solid">
          <bgColor theme="3" tint="0.499984740745262"/>
        </patternFill>
      </fill>
    </dxf>
    <dxf>
      <font>
        <color theme="1"/>
      </font>
      <fill>
        <patternFill patternType="solid">
          <bgColor rgb="FFFFEEBA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FF9E9E"/>
        </patternFill>
      </fill>
    </dxf>
    <dxf>
      <font>
        <color theme="1"/>
      </font>
      <fill>
        <patternFill patternType="solid">
          <bgColor rgb="FFFC5656"/>
        </patternFill>
      </fill>
    </dxf>
    <dxf>
      <font>
        <color theme="1"/>
      </font>
      <fill>
        <patternFill patternType="solid">
          <bgColor rgb="FFFF0505"/>
        </patternFill>
      </fill>
    </dxf>
    <dxf>
      <font>
        <color theme="0"/>
      </font>
      <fill>
        <patternFill patternType="solid">
          <bgColor theme="1" tint="0.249977111117893"/>
        </patternFill>
      </fill>
    </dxf>
    <dxf>
      <font>
        <color theme="0"/>
      </font>
      <fill>
        <patternFill patternType="solid">
          <bgColor theme="1" tint="0.249977111117893"/>
        </patternFill>
      </fill>
    </dxf>
    <dxf>
      <font>
        <color theme="0"/>
      </font>
      <fill>
        <patternFill patternType="solid">
          <bgColor theme="1" tint="0.34998626667073579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theme="2" tint="-9.9978637043366805E-2"/>
        </patternFill>
      </fill>
    </dxf>
    <dxf>
      <font>
        <b/>
        <i val="0"/>
        <color theme="1"/>
      </font>
      <fill>
        <patternFill patternType="solid">
          <bgColor theme="1" tint="0.499984740745262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rgb="FFFFB3B3"/>
        </patternFill>
      </fill>
    </dxf>
    <dxf>
      <font>
        <b/>
        <i val="0"/>
        <color theme="1"/>
      </font>
      <fill>
        <patternFill patternType="solid">
          <bgColor rgb="FFFFC619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2" tint="-0.749992370372631"/>
        </patternFill>
      </fill>
    </dxf>
    <dxf>
      <font>
        <color theme="0"/>
      </font>
      <fill>
        <patternFill patternType="solid">
          <bgColor theme="3" tint="0.499984740745262"/>
        </patternFill>
      </fill>
    </dxf>
    <dxf>
      <font>
        <color theme="1"/>
      </font>
      <fill>
        <patternFill patternType="solid">
          <bgColor rgb="FFFFEEBA"/>
        </patternFill>
      </fill>
    </dxf>
    <dxf>
      <font>
        <color theme="0"/>
      </font>
      <fill>
        <patternFill patternType="solid">
          <bgColor theme="1" tint="0.249977111117893"/>
        </patternFill>
      </fill>
    </dxf>
    <dxf>
      <font>
        <color theme="1"/>
      </font>
      <fill>
        <patternFill patternType="solid">
          <bgColor rgb="FFFF9E9E"/>
        </patternFill>
      </fill>
    </dxf>
    <dxf>
      <font>
        <color theme="1"/>
      </font>
      <fill>
        <patternFill patternType="solid">
          <bgColor rgb="FFFC5656"/>
        </patternFill>
      </fill>
    </dxf>
    <dxf>
      <font>
        <color theme="1"/>
      </font>
      <fill>
        <patternFill patternType="solid">
          <bgColor rgb="FFFF0505"/>
        </patternFill>
      </fill>
    </dxf>
    <dxf>
      <font>
        <color theme="0"/>
      </font>
      <fill>
        <patternFill patternType="solid">
          <bgColor theme="1" tint="0.249977111117893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0"/>
      </font>
      <fill>
        <patternFill patternType="solid">
          <bgColor theme="1" tint="0.34998626667073579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theme="2" tint="-9.9978637043366805E-2"/>
        </patternFill>
      </fill>
    </dxf>
    <dxf>
      <font>
        <b/>
        <i val="0"/>
        <color theme="1"/>
      </font>
      <fill>
        <patternFill patternType="solid">
          <bgColor theme="1" tint="0.499984740745262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rgb="FFFFB3B3"/>
        </patternFill>
      </fill>
    </dxf>
    <dxf>
      <font>
        <b/>
        <i val="0"/>
        <color theme="1"/>
      </font>
      <fill>
        <patternFill patternType="solid">
          <bgColor rgb="FFFFC619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2" tint="-0.749992370372631"/>
        </patternFill>
      </fill>
    </dxf>
    <dxf>
      <font>
        <color theme="0"/>
      </font>
      <fill>
        <patternFill patternType="solid">
          <bgColor theme="3" tint="0.499984740745262"/>
        </patternFill>
      </fill>
    </dxf>
    <dxf>
      <font>
        <color theme="1"/>
      </font>
      <fill>
        <patternFill patternType="solid">
          <bgColor rgb="FFFFEEBA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FF9E9E"/>
        </patternFill>
      </fill>
    </dxf>
    <dxf>
      <font>
        <color theme="1"/>
      </font>
      <fill>
        <patternFill patternType="solid">
          <bgColor rgb="FFFC5656"/>
        </patternFill>
      </fill>
    </dxf>
    <dxf>
      <font>
        <color theme="1"/>
      </font>
      <fill>
        <patternFill patternType="solid">
          <bgColor rgb="FFFF0505"/>
        </patternFill>
      </fill>
    </dxf>
    <dxf>
      <font>
        <color theme="0"/>
      </font>
      <fill>
        <patternFill patternType="solid">
          <bgColor theme="1" tint="0.249977111117893"/>
        </patternFill>
      </fill>
    </dxf>
    <dxf>
      <font>
        <color theme="0"/>
      </font>
      <fill>
        <patternFill patternType="solid">
          <bgColor theme="1" tint="0.249977111117893"/>
        </patternFill>
      </fill>
    </dxf>
    <dxf>
      <font>
        <color theme="0"/>
      </font>
      <fill>
        <patternFill patternType="solid">
          <bgColor theme="1" tint="0.34998626667073579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theme="2" tint="-9.9978637043366805E-2"/>
        </patternFill>
      </fill>
    </dxf>
    <dxf>
      <font>
        <b/>
        <i val="0"/>
        <color theme="1"/>
      </font>
      <fill>
        <patternFill patternType="solid">
          <bgColor theme="1" tint="0.499984740745262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rgb="FFFFB3B3"/>
        </patternFill>
      </fill>
    </dxf>
    <dxf>
      <font>
        <b/>
        <i val="0"/>
        <color theme="1"/>
      </font>
      <fill>
        <patternFill patternType="solid">
          <bgColor rgb="FFFFC619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2" tint="-0.749992370372631"/>
        </patternFill>
      </fill>
    </dxf>
    <dxf>
      <font>
        <color theme="0"/>
      </font>
      <fill>
        <patternFill patternType="solid">
          <bgColor theme="3" tint="0.499984740745262"/>
        </patternFill>
      </fill>
    </dxf>
    <dxf>
      <font>
        <color theme="1"/>
      </font>
      <fill>
        <patternFill patternType="solid">
          <bgColor rgb="FFFFEEBA"/>
        </patternFill>
      </fill>
    </dxf>
    <dxf>
      <font>
        <color theme="0"/>
      </font>
      <fill>
        <patternFill patternType="solid">
          <bgColor theme="1" tint="0.249977111117893"/>
        </patternFill>
      </fill>
    </dxf>
    <dxf>
      <font>
        <color theme="1"/>
      </font>
      <fill>
        <patternFill patternType="solid">
          <bgColor rgb="FFFF9E9E"/>
        </patternFill>
      </fill>
    </dxf>
    <dxf>
      <font>
        <color theme="1"/>
      </font>
      <fill>
        <patternFill patternType="solid">
          <bgColor rgb="FFFC5656"/>
        </patternFill>
      </fill>
    </dxf>
    <dxf>
      <font>
        <color theme="1"/>
      </font>
      <fill>
        <patternFill patternType="solid">
          <bgColor rgb="FFFF0505"/>
        </patternFill>
      </fill>
    </dxf>
    <dxf>
      <font>
        <color theme="0"/>
      </font>
      <fill>
        <patternFill patternType="solid">
          <bgColor theme="1" tint="0.249977111117893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0"/>
      </font>
      <fill>
        <patternFill patternType="solid">
          <bgColor theme="1" tint="0.34998626667073579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theme="2" tint="-9.9978637043366805E-2"/>
        </patternFill>
      </fill>
    </dxf>
    <dxf>
      <font>
        <b/>
        <i val="0"/>
        <color theme="1"/>
      </font>
      <fill>
        <patternFill patternType="solid">
          <bgColor theme="1" tint="0.499984740745262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rgb="FFFFB3B3"/>
        </patternFill>
      </fill>
    </dxf>
    <dxf>
      <font>
        <b/>
        <i val="0"/>
        <color theme="1"/>
      </font>
      <fill>
        <patternFill patternType="solid">
          <bgColor rgb="FFFFC619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2" tint="-0.749992370372631"/>
        </patternFill>
      </fill>
    </dxf>
    <dxf>
      <font>
        <color theme="0"/>
      </font>
      <fill>
        <patternFill patternType="solid">
          <bgColor theme="3" tint="0.499984740745262"/>
        </patternFill>
      </fill>
    </dxf>
    <dxf>
      <font>
        <color theme="1"/>
      </font>
      <fill>
        <patternFill patternType="solid">
          <bgColor rgb="FFFFEEBA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FF9E9E"/>
        </patternFill>
      </fill>
    </dxf>
    <dxf>
      <font>
        <color theme="1"/>
      </font>
      <fill>
        <patternFill patternType="solid">
          <bgColor rgb="FFFC5656"/>
        </patternFill>
      </fill>
    </dxf>
    <dxf>
      <font>
        <color theme="1"/>
      </font>
      <fill>
        <patternFill patternType="solid">
          <bgColor rgb="FFFF0505"/>
        </patternFill>
      </fill>
    </dxf>
    <dxf>
      <font>
        <color theme="0"/>
      </font>
      <fill>
        <patternFill patternType="solid">
          <bgColor theme="1" tint="0.249977111117893"/>
        </patternFill>
      </fill>
    </dxf>
    <dxf>
      <font>
        <color theme="0"/>
      </font>
      <fill>
        <patternFill patternType="solid">
          <bgColor theme="1" tint="0.249977111117893"/>
        </patternFill>
      </fill>
    </dxf>
    <dxf>
      <font>
        <color theme="0"/>
      </font>
      <fill>
        <patternFill patternType="solid">
          <bgColor theme="1" tint="0.34998626667073579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theme="2" tint="-9.9978637043366805E-2"/>
        </patternFill>
      </fill>
    </dxf>
    <dxf>
      <font>
        <b/>
        <i val="0"/>
        <color theme="1"/>
      </font>
      <fill>
        <patternFill patternType="solid">
          <bgColor theme="1" tint="0.499984740745262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rgb="FFFFB3B3"/>
        </patternFill>
      </fill>
    </dxf>
    <dxf>
      <font>
        <b/>
        <i val="0"/>
        <color theme="1"/>
      </font>
      <fill>
        <patternFill patternType="solid">
          <bgColor rgb="FFFFC619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2" tint="-0.749992370372631"/>
        </patternFill>
      </fill>
    </dxf>
    <dxf>
      <font>
        <color theme="0"/>
      </font>
      <fill>
        <patternFill patternType="solid">
          <bgColor theme="3" tint="0.499984740745262"/>
        </patternFill>
      </fill>
    </dxf>
    <dxf>
      <font>
        <color theme="1"/>
      </font>
      <fill>
        <patternFill patternType="solid">
          <bgColor rgb="FFFFEEBA"/>
        </patternFill>
      </fill>
    </dxf>
    <dxf>
      <font>
        <color theme="0"/>
      </font>
      <fill>
        <patternFill patternType="solid">
          <bgColor theme="1" tint="0.249977111117893"/>
        </patternFill>
      </fill>
    </dxf>
    <dxf>
      <font>
        <color theme="1"/>
      </font>
      <fill>
        <patternFill patternType="solid">
          <bgColor rgb="FFFF9E9E"/>
        </patternFill>
      </fill>
    </dxf>
    <dxf>
      <font>
        <color theme="1"/>
      </font>
      <fill>
        <patternFill patternType="solid">
          <bgColor rgb="FFFC5656"/>
        </patternFill>
      </fill>
    </dxf>
    <dxf>
      <font>
        <color theme="1"/>
      </font>
      <fill>
        <patternFill patternType="solid">
          <bgColor rgb="FFFF0505"/>
        </patternFill>
      </fill>
    </dxf>
    <dxf>
      <font>
        <color theme="0"/>
      </font>
      <fill>
        <patternFill patternType="solid">
          <bgColor theme="1" tint="0.249977111117893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0"/>
      </font>
      <fill>
        <patternFill patternType="solid">
          <bgColor theme="1" tint="0.34998626667073579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theme="2" tint="-9.9978637043366805E-2"/>
        </patternFill>
      </fill>
    </dxf>
    <dxf>
      <font>
        <b/>
        <i val="0"/>
        <color theme="1"/>
      </font>
      <fill>
        <patternFill patternType="solid">
          <bgColor theme="1" tint="0.499984740745262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rgb="FFFFB3B3"/>
        </patternFill>
      </fill>
    </dxf>
    <dxf>
      <font>
        <b/>
        <i val="0"/>
        <color theme="1"/>
      </font>
      <fill>
        <patternFill patternType="solid">
          <bgColor rgb="FFFFC619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2" tint="-0.749992370372631"/>
        </patternFill>
      </fill>
    </dxf>
    <dxf>
      <font>
        <color theme="0"/>
      </font>
      <fill>
        <patternFill patternType="solid">
          <bgColor theme="3" tint="0.499984740745262"/>
        </patternFill>
      </fill>
    </dxf>
    <dxf>
      <font>
        <color theme="1"/>
      </font>
      <fill>
        <patternFill patternType="solid">
          <bgColor rgb="FFFFEEBA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FF9E9E"/>
        </patternFill>
      </fill>
    </dxf>
    <dxf>
      <font>
        <color theme="1"/>
      </font>
      <fill>
        <patternFill patternType="solid">
          <bgColor rgb="FFFC5656"/>
        </patternFill>
      </fill>
    </dxf>
    <dxf>
      <font>
        <color theme="1"/>
      </font>
      <fill>
        <patternFill patternType="solid">
          <bgColor rgb="FFFF0505"/>
        </patternFill>
      </fill>
    </dxf>
    <dxf>
      <font>
        <color theme="0"/>
      </font>
      <fill>
        <patternFill patternType="solid">
          <bgColor theme="1" tint="0.249977111117893"/>
        </patternFill>
      </fill>
    </dxf>
    <dxf>
      <font>
        <color theme="0"/>
      </font>
      <fill>
        <patternFill patternType="solid">
          <bgColor theme="1" tint="0.249977111117893"/>
        </patternFill>
      </fill>
    </dxf>
    <dxf>
      <font>
        <color theme="0"/>
      </font>
      <fill>
        <patternFill patternType="solid">
          <bgColor theme="1" tint="0.34998626667073579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theme="2" tint="-9.9978637043366805E-2"/>
        </patternFill>
      </fill>
    </dxf>
    <dxf>
      <font>
        <b/>
        <i val="0"/>
        <color theme="1"/>
      </font>
      <fill>
        <patternFill patternType="solid">
          <bgColor theme="1" tint="0.499984740745262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rgb="FFFFB3B3"/>
        </patternFill>
      </fill>
    </dxf>
    <dxf>
      <font>
        <b/>
        <i val="0"/>
        <color theme="1"/>
      </font>
      <fill>
        <patternFill patternType="solid">
          <bgColor rgb="FFFFC619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2" tint="-0.749992370372631"/>
        </patternFill>
      </fill>
    </dxf>
    <dxf>
      <font>
        <color theme="0"/>
      </font>
      <fill>
        <patternFill patternType="solid">
          <bgColor theme="3" tint="0.499984740745262"/>
        </patternFill>
      </fill>
    </dxf>
    <dxf>
      <font>
        <color theme="1"/>
      </font>
      <fill>
        <patternFill patternType="solid">
          <bgColor rgb="FFFFEEBA"/>
        </patternFill>
      </fill>
    </dxf>
    <dxf>
      <font>
        <color theme="0"/>
      </font>
      <fill>
        <patternFill patternType="solid">
          <bgColor theme="1" tint="0.249977111117893"/>
        </patternFill>
      </fill>
    </dxf>
    <dxf>
      <font>
        <color theme="1"/>
      </font>
      <fill>
        <patternFill patternType="solid">
          <bgColor rgb="FFFF9E9E"/>
        </patternFill>
      </fill>
    </dxf>
    <dxf>
      <font>
        <color theme="1"/>
      </font>
      <fill>
        <patternFill patternType="solid">
          <bgColor rgb="FFFC5656"/>
        </patternFill>
      </fill>
    </dxf>
    <dxf>
      <font>
        <color theme="1"/>
      </font>
      <fill>
        <patternFill patternType="solid">
          <bgColor rgb="FFFF0505"/>
        </patternFill>
      </fill>
    </dxf>
    <dxf>
      <font>
        <color theme="0"/>
      </font>
      <fill>
        <patternFill patternType="solid">
          <bgColor theme="1" tint="0.249977111117893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0"/>
      </font>
      <fill>
        <patternFill patternType="solid">
          <bgColor theme="1" tint="0.34998626667073579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theme="2" tint="-9.9978637043366805E-2"/>
        </patternFill>
      </fill>
    </dxf>
    <dxf>
      <font>
        <b/>
        <i val="0"/>
        <color theme="1"/>
      </font>
      <fill>
        <patternFill patternType="solid">
          <bgColor theme="1" tint="0.499984740745262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rgb="FFFFB3B3"/>
        </patternFill>
      </fill>
    </dxf>
    <dxf>
      <font>
        <b/>
        <i val="0"/>
        <color theme="1"/>
      </font>
      <fill>
        <patternFill patternType="solid">
          <bgColor rgb="FFFFC619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2" tint="-0.749992370372631"/>
        </patternFill>
      </fill>
    </dxf>
    <dxf>
      <font>
        <color theme="0"/>
      </font>
      <fill>
        <patternFill patternType="solid">
          <bgColor theme="3" tint="0.499984740745262"/>
        </patternFill>
      </fill>
    </dxf>
    <dxf>
      <font>
        <color theme="1"/>
      </font>
      <fill>
        <patternFill patternType="solid">
          <bgColor rgb="FFFFEEBA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FF9E9E"/>
        </patternFill>
      </fill>
    </dxf>
    <dxf>
      <font>
        <color theme="1"/>
      </font>
      <fill>
        <patternFill patternType="solid">
          <bgColor rgb="FFFC5656"/>
        </patternFill>
      </fill>
    </dxf>
    <dxf>
      <font>
        <color theme="1"/>
      </font>
      <fill>
        <patternFill patternType="solid">
          <bgColor rgb="FFFF0505"/>
        </patternFill>
      </fill>
    </dxf>
    <dxf>
      <font>
        <color theme="0"/>
      </font>
      <fill>
        <patternFill patternType="solid">
          <bgColor theme="1" tint="0.249977111117893"/>
        </patternFill>
      </fill>
    </dxf>
    <dxf>
      <font>
        <color theme="0"/>
      </font>
      <fill>
        <patternFill patternType="solid">
          <bgColor theme="1" tint="0.249977111117893"/>
        </patternFill>
      </fill>
    </dxf>
    <dxf>
      <font>
        <color theme="0"/>
      </font>
      <fill>
        <patternFill patternType="solid">
          <bgColor theme="1" tint="0.34998626667073579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theme="2" tint="-9.9978637043366805E-2"/>
        </patternFill>
      </fill>
    </dxf>
    <dxf>
      <font>
        <b/>
        <i val="0"/>
        <color theme="1"/>
      </font>
      <fill>
        <patternFill patternType="solid">
          <bgColor theme="1" tint="0.499984740745262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rgb="FFFFB3B3"/>
        </patternFill>
      </fill>
    </dxf>
    <dxf>
      <font>
        <b/>
        <i val="0"/>
        <color theme="1"/>
      </font>
      <fill>
        <patternFill patternType="solid">
          <bgColor rgb="FFFFC619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2" tint="-0.749992370372631"/>
        </patternFill>
      </fill>
    </dxf>
    <dxf>
      <font>
        <color theme="0"/>
      </font>
      <fill>
        <patternFill patternType="solid">
          <bgColor theme="3" tint="0.499984740745262"/>
        </patternFill>
      </fill>
    </dxf>
    <dxf>
      <font>
        <color theme="1"/>
      </font>
      <fill>
        <patternFill patternType="solid">
          <bgColor rgb="FFFFEEBA"/>
        </patternFill>
      </fill>
    </dxf>
    <dxf>
      <font>
        <color theme="0"/>
      </font>
      <fill>
        <patternFill patternType="solid">
          <bgColor theme="1" tint="0.249977111117893"/>
        </patternFill>
      </fill>
    </dxf>
    <dxf>
      <font>
        <color theme="1"/>
      </font>
      <fill>
        <patternFill patternType="solid">
          <bgColor rgb="FFFF9E9E"/>
        </patternFill>
      </fill>
    </dxf>
    <dxf>
      <font>
        <color theme="1"/>
      </font>
      <fill>
        <patternFill patternType="solid">
          <bgColor rgb="FFFC5656"/>
        </patternFill>
      </fill>
    </dxf>
    <dxf>
      <font>
        <color theme="1"/>
      </font>
      <fill>
        <patternFill patternType="solid">
          <bgColor rgb="FFFF0505"/>
        </patternFill>
      </fill>
    </dxf>
    <dxf>
      <font>
        <color theme="0"/>
      </font>
      <fill>
        <patternFill patternType="solid">
          <bgColor theme="1" tint="0.249977111117893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0"/>
      </font>
      <fill>
        <patternFill patternType="solid">
          <bgColor theme="1" tint="0.34998626667073579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theme="2" tint="-9.9978637043366805E-2"/>
        </patternFill>
      </fill>
    </dxf>
    <dxf>
      <font>
        <b/>
        <i val="0"/>
        <color theme="1"/>
      </font>
      <fill>
        <patternFill patternType="solid">
          <bgColor theme="1" tint="0.499984740745262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rgb="FFFFB3B3"/>
        </patternFill>
      </fill>
    </dxf>
    <dxf>
      <font>
        <b/>
        <i val="0"/>
        <color theme="1"/>
      </font>
      <fill>
        <patternFill patternType="solid">
          <bgColor rgb="FFFFC619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2" tint="-0.749992370372631"/>
        </patternFill>
      </fill>
    </dxf>
    <dxf>
      <font>
        <color theme="0"/>
      </font>
      <fill>
        <patternFill patternType="solid">
          <bgColor theme="3" tint="0.499984740745262"/>
        </patternFill>
      </fill>
    </dxf>
    <dxf>
      <font>
        <color theme="1"/>
      </font>
      <fill>
        <patternFill patternType="solid">
          <bgColor rgb="FFFFEEBA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FF9E9E"/>
        </patternFill>
      </fill>
    </dxf>
    <dxf>
      <font>
        <color theme="1"/>
      </font>
      <fill>
        <patternFill patternType="solid">
          <bgColor rgb="FFFC5656"/>
        </patternFill>
      </fill>
    </dxf>
    <dxf>
      <font>
        <color theme="1"/>
      </font>
      <fill>
        <patternFill patternType="solid">
          <bgColor rgb="FFFF0505"/>
        </patternFill>
      </fill>
    </dxf>
    <dxf>
      <font>
        <color theme="0"/>
      </font>
      <fill>
        <patternFill patternType="solid">
          <bgColor theme="1" tint="0.249977111117893"/>
        </patternFill>
      </fill>
    </dxf>
    <dxf>
      <font>
        <color theme="0"/>
      </font>
      <fill>
        <patternFill patternType="solid">
          <bgColor theme="1" tint="0.249977111117893"/>
        </patternFill>
      </fill>
    </dxf>
    <dxf>
      <font>
        <color theme="0"/>
      </font>
      <fill>
        <patternFill patternType="solid">
          <bgColor theme="1" tint="0.34998626667073579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theme="2" tint="-9.9978637043366805E-2"/>
        </patternFill>
      </fill>
    </dxf>
    <dxf>
      <font>
        <b/>
        <i val="0"/>
        <color theme="1"/>
      </font>
      <fill>
        <patternFill patternType="solid">
          <bgColor theme="1" tint="0.499984740745262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rgb="FFFFB3B3"/>
        </patternFill>
      </fill>
    </dxf>
    <dxf>
      <font>
        <b/>
        <i val="0"/>
        <color theme="1"/>
      </font>
      <fill>
        <patternFill patternType="solid">
          <bgColor rgb="FFFFC619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2" tint="-0.749992370372631"/>
        </patternFill>
      </fill>
    </dxf>
    <dxf>
      <font>
        <color theme="0"/>
      </font>
      <fill>
        <patternFill patternType="solid">
          <bgColor theme="3" tint="0.499984740745262"/>
        </patternFill>
      </fill>
    </dxf>
    <dxf>
      <font>
        <color theme="1"/>
      </font>
      <fill>
        <patternFill patternType="solid">
          <bgColor rgb="FFFFEEBA"/>
        </patternFill>
      </fill>
    </dxf>
    <dxf>
      <font>
        <color theme="0"/>
      </font>
      <fill>
        <patternFill patternType="solid">
          <bgColor theme="1" tint="0.249977111117893"/>
        </patternFill>
      </fill>
    </dxf>
    <dxf>
      <font>
        <color theme="1"/>
      </font>
      <fill>
        <patternFill patternType="solid">
          <bgColor rgb="FFFF9E9E"/>
        </patternFill>
      </fill>
    </dxf>
    <dxf>
      <font>
        <color theme="1"/>
      </font>
      <fill>
        <patternFill patternType="solid">
          <bgColor rgb="FFFC5656"/>
        </patternFill>
      </fill>
    </dxf>
    <dxf>
      <font>
        <color theme="1"/>
      </font>
      <fill>
        <patternFill patternType="solid">
          <bgColor rgb="FFFF0505"/>
        </patternFill>
      </fill>
    </dxf>
    <dxf>
      <font>
        <color theme="0"/>
      </font>
      <fill>
        <patternFill patternType="solid">
          <bgColor theme="1" tint="0.249977111117893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0"/>
      </font>
      <fill>
        <patternFill patternType="solid">
          <bgColor theme="1" tint="0.34998626667073579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theme="2" tint="-9.9978637043366805E-2"/>
        </patternFill>
      </fill>
    </dxf>
    <dxf>
      <font>
        <b/>
        <i val="0"/>
        <color theme="1"/>
      </font>
      <fill>
        <patternFill patternType="solid">
          <bgColor theme="1" tint="0.499984740745262"/>
        </patternFill>
      </fill>
    </dxf>
  </dxfs>
  <tableStyles count="0" defaultTableStyle="TableStyleMedium2" defaultPivotStyle="PivotStyleMedium9"/>
  <colors>
    <mruColors>
      <color rgb="FFFF8080"/>
      <color rgb="FFF57676"/>
      <color rgb="FFED8C37"/>
      <color rgb="FFFFC619"/>
      <color rgb="FF3B3B3B"/>
      <color rgb="FFFF9D00"/>
      <color rgb="FFFFE28A"/>
      <color rgb="FFFFEEBA"/>
      <color rgb="FFC26411"/>
      <color rgb="FF595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2.xml.rels><?xml version="1.0" encoding="UTF-8" standalone="yes"?>
<Relationships xmlns="http://schemas.openxmlformats.org/package/2006/relationships"><Relationship Id="rId1827" Type="http://schemas.openxmlformats.org/officeDocument/2006/relationships/hyperlink" Target="mailto:pmalchiodi@sancorseguros.com" TargetMode="External"/><Relationship Id="rId3182" Type="http://schemas.openxmlformats.org/officeDocument/2006/relationships/hyperlink" Target="mailto:rmomartinez@sancorseguros.com" TargetMode="External"/><Relationship Id="rId3042" Type="http://schemas.openxmlformats.org/officeDocument/2006/relationships/hyperlink" Target="mailto:anunzio@sancorseguros.com" TargetMode="External"/><Relationship Id="rId170" Type="http://schemas.openxmlformats.org/officeDocument/2006/relationships/hyperlink" Target="mailto:abinau@sancorseguros.com" TargetMode="External"/><Relationship Id="rId987" Type="http://schemas.openxmlformats.org/officeDocument/2006/relationships/hyperlink" Target="mailto:rmomartinez@sancorseguros.com" TargetMode="External"/><Relationship Id="rId2668" Type="http://schemas.openxmlformats.org/officeDocument/2006/relationships/hyperlink" Target="mailto:lbarboza@ext.sancorseguros.com" TargetMode="External"/><Relationship Id="rId2875" Type="http://schemas.openxmlformats.org/officeDocument/2006/relationships/hyperlink" Target="mailto:lbarboza@ext.sancorseguros.com" TargetMode="External"/><Relationship Id="rId847" Type="http://schemas.openxmlformats.org/officeDocument/2006/relationships/hyperlink" Target="mailto:mocampos@sancorseguros.com" TargetMode="External"/><Relationship Id="rId1477" Type="http://schemas.openxmlformats.org/officeDocument/2006/relationships/hyperlink" Target="mailto:lbarboza@ext.sancorseguros.com" TargetMode="External"/><Relationship Id="rId1684" Type="http://schemas.openxmlformats.org/officeDocument/2006/relationships/hyperlink" Target="mailto:camgonzalez@sancorseguros.com" TargetMode="External"/><Relationship Id="rId1891" Type="http://schemas.openxmlformats.org/officeDocument/2006/relationships/hyperlink" Target="mailto:rfernandez@sancorseguros.com" TargetMode="External"/><Relationship Id="rId2528" Type="http://schemas.openxmlformats.org/officeDocument/2006/relationships/hyperlink" Target="mailto:dbenitez@sancorseguros.com" TargetMode="External"/><Relationship Id="rId2735" Type="http://schemas.openxmlformats.org/officeDocument/2006/relationships/hyperlink" Target="mailto:mmaccarrone@ext.sancorseguros.com" TargetMode="External"/><Relationship Id="rId2942" Type="http://schemas.openxmlformats.org/officeDocument/2006/relationships/hyperlink" Target="mailto:mmaccarrone@ext.sancorseguros.com" TargetMode="External"/><Relationship Id="rId707" Type="http://schemas.openxmlformats.org/officeDocument/2006/relationships/hyperlink" Target="mailto:abinau@sancorseguros.com" TargetMode="External"/><Relationship Id="rId914" Type="http://schemas.openxmlformats.org/officeDocument/2006/relationships/hyperlink" Target="mailto:cvaldez@ext.sancorseguros.com" TargetMode="External"/><Relationship Id="rId1337" Type="http://schemas.openxmlformats.org/officeDocument/2006/relationships/hyperlink" Target="mailto:rmomartinez@sancorseguros.com" TargetMode="External"/><Relationship Id="rId1544" Type="http://schemas.openxmlformats.org/officeDocument/2006/relationships/hyperlink" Target="mailto:fhcampo@sancorseguros.com" TargetMode="External"/><Relationship Id="rId1751" Type="http://schemas.openxmlformats.org/officeDocument/2006/relationships/hyperlink" Target="mailto:mevangelista@sancorseguros.com" TargetMode="External"/><Relationship Id="rId2802" Type="http://schemas.openxmlformats.org/officeDocument/2006/relationships/hyperlink" Target="mailto:mascallia@sancorseguros.com" TargetMode="External"/><Relationship Id="rId43" Type="http://schemas.openxmlformats.org/officeDocument/2006/relationships/hyperlink" Target="mailto:abinau@sancorseguros.com" TargetMode="External"/><Relationship Id="rId1404" Type="http://schemas.openxmlformats.org/officeDocument/2006/relationships/hyperlink" Target="mailto:gleguizamon@ext.sancorseguros.com" TargetMode="External"/><Relationship Id="rId1611" Type="http://schemas.openxmlformats.org/officeDocument/2006/relationships/hyperlink" Target="mailto:camgonzalez@sancorseguros.com" TargetMode="External"/><Relationship Id="rId3369" Type="http://schemas.openxmlformats.org/officeDocument/2006/relationships/hyperlink" Target="mailto:mmaccarrone@ext.sancorseguros.com" TargetMode="External"/><Relationship Id="rId3576" Type="http://schemas.openxmlformats.org/officeDocument/2006/relationships/hyperlink" Target="mailto:mdambrosio@ext.sancorseguros.com" TargetMode="External"/><Relationship Id="rId497" Type="http://schemas.openxmlformats.org/officeDocument/2006/relationships/hyperlink" Target="mailto:mmaccarrone@ext.sancorseguros.com" TargetMode="External"/><Relationship Id="rId2178" Type="http://schemas.openxmlformats.org/officeDocument/2006/relationships/hyperlink" Target="mailto:mkester@sancorseguros.com" TargetMode="External"/><Relationship Id="rId2385" Type="http://schemas.openxmlformats.org/officeDocument/2006/relationships/hyperlink" Target="mailto:gmgutierrez@ext.sancorseguros.com" TargetMode="External"/><Relationship Id="rId3229" Type="http://schemas.openxmlformats.org/officeDocument/2006/relationships/hyperlink" Target="mailto:gmgutierrez@ext.sancorseguros.com" TargetMode="External"/><Relationship Id="rId357" Type="http://schemas.openxmlformats.org/officeDocument/2006/relationships/hyperlink" Target="mailto:czardain@sancorseguros.com" TargetMode="External"/><Relationship Id="rId1194" Type="http://schemas.openxmlformats.org/officeDocument/2006/relationships/hyperlink" Target="mailto:rmomartinez@sancorseguros.com" TargetMode="External"/><Relationship Id="rId2038" Type="http://schemas.openxmlformats.org/officeDocument/2006/relationships/hyperlink" Target="mailto:jsandoval@sancorseguros.com" TargetMode="External"/><Relationship Id="rId2592" Type="http://schemas.openxmlformats.org/officeDocument/2006/relationships/hyperlink" Target="mailto:bdemiguel@sancorseguros.com" TargetMode="External"/><Relationship Id="rId3436" Type="http://schemas.openxmlformats.org/officeDocument/2006/relationships/hyperlink" Target="mailto:fsantorum@sancorseguros.com" TargetMode="External"/><Relationship Id="rId217" Type="http://schemas.openxmlformats.org/officeDocument/2006/relationships/hyperlink" Target="mailto:jboulle@sancorseguros.com" TargetMode="External"/><Relationship Id="rId564" Type="http://schemas.openxmlformats.org/officeDocument/2006/relationships/hyperlink" Target="mailto:gleguizamon@ext.sancorseguros.com" TargetMode="External"/><Relationship Id="rId771" Type="http://schemas.openxmlformats.org/officeDocument/2006/relationships/hyperlink" Target="mailto:mascallia@sancorseguros.com" TargetMode="External"/><Relationship Id="rId2245" Type="http://schemas.openxmlformats.org/officeDocument/2006/relationships/hyperlink" Target="mailto:bdemiguel@sancorseguros.com" TargetMode="External"/><Relationship Id="rId2452" Type="http://schemas.openxmlformats.org/officeDocument/2006/relationships/hyperlink" Target="mailto:mascallia@sancorseguros.com" TargetMode="External"/><Relationship Id="rId3503" Type="http://schemas.openxmlformats.org/officeDocument/2006/relationships/hyperlink" Target="mailto:abinau@sancorseguros.com" TargetMode="External"/><Relationship Id="rId424" Type="http://schemas.openxmlformats.org/officeDocument/2006/relationships/hyperlink" Target="mailto:jsandoval@sancorseguros.com" TargetMode="External"/><Relationship Id="rId631" Type="http://schemas.openxmlformats.org/officeDocument/2006/relationships/hyperlink" Target="mailto:cpavon@sancorseguros.com" TargetMode="External"/><Relationship Id="rId1054" Type="http://schemas.openxmlformats.org/officeDocument/2006/relationships/hyperlink" Target="mailto:gleguizamon@ext.sancorseguros.com" TargetMode="External"/><Relationship Id="rId1261" Type="http://schemas.openxmlformats.org/officeDocument/2006/relationships/hyperlink" Target="mailto:cpavon@sancorseguros.com" TargetMode="External"/><Relationship Id="rId2105" Type="http://schemas.openxmlformats.org/officeDocument/2006/relationships/hyperlink" Target="mailto:bdemiguel@sancorseguros.com" TargetMode="External"/><Relationship Id="rId2312" Type="http://schemas.openxmlformats.org/officeDocument/2006/relationships/hyperlink" Target="mailto:mmaccarrone@ext.sancorseguros.com" TargetMode="External"/><Relationship Id="rId1121" Type="http://schemas.openxmlformats.org/officeDocument/2006/relationships/hyperlink" Target="mailto:rmomartinez@sancorseguros.com" TargetMode="External"/><Relationship Id="rId3086" Type="http://schemas.openxmlformats.org/officeDocument/2006/relationships/hyperlink" Target="mailto:mascallia@sancorseguros.com" TargetMode="External"/><Relationship Id="rId3293" Type="http://schemas.openxmlformats.org/officeDocument/2006/relationships/hyperlink" Target="mailto:pmalchiodi@sancorseguros.com" TargetMode="External"/><Relationship Id="rId1938" Type="http://schemas.openxmlformats.org/officeDocument/2006/relationships/hyperlink" Target="mailto:rfernandez@sancorseguros.com" TargetMode="External"/><Relationship Id="rId3153" Type="http://schemas.openxmlformats.org/officeDocument/2006/relationships/hyperlink" Target="mailto:mascallia@sancorseguros.com" TargetMode="External"/><Relationship Id="rId3360" Type="http://schemas.openxmlformats.org/officeDocument/2006/relationships/hyperlink" Target="mailto:lbarboza@ext.sancorseguros.com" TargetMode="External"/><Relationship Id="rId281" Type="http://schemas.openxmlformats.org/officeDocument/2006/relationships/hyperlink" Target="mailto:camgonzalez@sancorseguros.com" TargetMode="External"/><Relationship Id="rId3013" Type="http://schemas.openxmlformats.org/officeDocument/2006/relationships/hyperlink" Target="mailto:miiglesias@ext.sancorseguros.com" TargetMode="External"/><Relationship Id="rId141" Type="http://schemas.openxmlformats.org/officeDocument/2006/relationships/hyperlink" Target="mailto:mkester@sancorseguros.com" TargetMode="External"/><Relationship Id="rId3220" Type="http://schemas.openxmlformats.org/officeDocument/2006/relationships/hyperlink" Target="mailto:mascallia@sancorseguros.com" TargetMode="External"/><Relationship Id="rId7" Type="http://schemas.openxmlformats.org/officeDocument/2006/relationships/hyperlink" Target="mailto:mkester@sancorseguros.com" TargetMode="External"/><Relationship Id="rId2779" Type="http://schemas.openxmlformats.org/officeDocument/2006/relationships/hyperlink" Target="mailto:camgonzalez@sancorseguros.com" TargetMode="External"/><Relationship Id="rId2986" Type="http://schemas.openxmlformats.org/officeDocument/2006/relationships/hyperlink" Target="mailto:mkester@sancorseguros.com" TargetMode="External"/><Relationship Id="rId958" Type="http://schemas.openxmlformats.org/officeDocument/2006/relationships/hyperlink" Target="mailto:mizzo@ext.sancorseguros.com" TargetMode="External"/><Relationship Id="rId1588" Type="http://schemas.openxmlformats.org/officeDocument/2006/relationships/hyperlink" Target="mailto:gmgutierrez@ext.sancorseguros.com" TargetMode="External"/><Relationship Id="rId1795" Type="http://schemas.openxmlformats.org/officeDocument/2006/relationships/hyperlink" Target="mailto:mascallia@sancorseguros.com" TargetMode="External"/><Relationship Id="rId2639" Type="http://schemas.openxmlformats.org/officeDocument/2006/relationships/hyperlink" Target="mailto:cvaldez@ext.sancorseguros.com" TargetMode="External"/><Relationship Id="rId2846" Type="http://schemas.openxmlformats.org/officeDocument/2006/relationships/hyperlink" Target="mailto:anunzio@sancorseguros.com" TargetMode="External"/><Relationship Id="rId87" Type="http://schemas.openxmlformats.org/officeDocument/2006/relationships/hyperlink" Target="mailto:mizzo@ext.sancorseguros.com" TargetMode="External"/><Relationship Id="rId818" Type="http://schemas.openxmlformats.org/officeDocument/2006/relationships/hyperlink" Target="mailto:pgirardin@sancorseguros.com" TargetMode="External"/><Relationship Id="rId1448" Type="http://schemas.openxmlformats.org/officeDocument/2006/relationships/hyperlink" Target="mailto:milmartinez@ext.sancorseguros.com" TargetMode="External"/><Relationship Id="rId1655" Type="http://schemas.openxmlformats.org/officeDocument/2006/relationships/hyperlink" Target="mailto:dtoledo@sancorseguros.com" TargetMode="External"/><Relationship Id="rId2706" Type="http://schemas.openxmlformats.org/officeDocument/2006/relationships/hyperlink" Target="mailto:lbarboza@ext.sancorseguros.com" TargetMode="External"/><Relationship Id="rId1308" Type="http://schemas.openxmlformats.org/officeDocument/2006/relationships/hyperlink" Target="mailto:dtoledo@sancorseguros.com" TargetMode="External"/><Relationship Id="rId1862" Type="http://schemas.openxmlformats.org/officeDocument/2006/relationships/hyperlink" Target="mailto:mevangelista@sancorseguros.com" TargetMode="External"/><Relationship Id="rId2913" Type="http://schemas.openxmlformats.org/officeDocument/2006/relationships/hyperlink" Target="mailto:gleguizamon@ext.sancorseguros.com" TargetMode="External"/><Relationship Id="rId1515" Type="http://schemas.openxmlformats.org/officeDocument/2006/relationships/hyperlink" Target="mailto:dtoledo@sancorseguros.com" TargetMode="External"/><Relationship Id="rId1722" Type="http://schemas.openxmlformats.org/officeDocument/2006/relationships/hyperlink" Target="mailto:mascallia@sancorseguros.com" TargetMode="External"/><Relationship Id="rId14" Type="http://schemas.openxmlformats.org/officeDocument/2006/relationships/hyperlink" Target="mailto:fsantorum@sancorseguros.com" TargetMode="External"/><Relationship Id="rId2289" Type="http://schemas.openxmlformats.org/officeDocument/2006/relationships/hyperlink" Target="mailto:camgonzalez@sancorseguros.com" TargetMode="External"/><Relationship Id="rId2496" Type="http://schemas.openxmlformats.org/officeDocument/2006/relationships/hyperlink" Target="mailto:cvaldez@ext.sancorseguros.com" TargetMode="External"/><Relationship Id="rId3547" Type="http://schemas.openxmlformats.org/officeDocument/2006/relationships/hyperlink" Target="mailto:mizzo@ext.sancorseguros.com" TargetMode="External"/><Relationship Id="rId468" Type="http://schemas.openxmlformats.org/officeDocument/2006/relationships/hyperlink" Target="mailto:camgonzalez@sancorseguros.com" TargetMode="External"/><Relationship Id="rId675" Type="http://schemas.openxmlformats.org/officeDocument/2006/relationships/hyperlink" Target="mailto:pmalchiodi@sancorseguros.com" TargetMode="External"/><Relationship Id="rId882" Type="http://schemas.openxmlformats.org/officeDocument/2006/relationships/hyperlink" Target="mailto:gpachao@sancorseguros.com" TargetMode="External"/><Relationship Id="rId1098" Type="http://schemas.openxmlformats.org/officeDocument/2006/relationships/hyperlink" Target="mailto:lbarboza@ext.sancorseguros.com" TargetMode="External"/><Relationship Id="rId2149" Type="http://schemas.openxmlformats.org/officeDocument/2006/relationships/hyperlink" Target="mailto:lbarboza@ext.sancorseguros.com" TargetMode="External"/><Relationship Id="rId2356" Type="http://schemas.openxmlformats.org/officeDocument/2006/relationships/hyperlink" Target="mailto:lbarboza@ext.sancorseguros.com" TargetMode="External"/><Relationship Id="rId2563" Type="http://schemas.openxmlformats.org/officeDocument/2006/relationships/hyperlink" Target="mailto:cvaldez@ext.sancorseguros.com" TargetMode="External"/><Relationship Id="rId2770" Type="http://schemas.openxmlformats.org/officeDocument/2006/relationships/hyperlink" Target="mailto:fsantorum@sancorseguros.com" TargetMode="External"/><Relationship Id="rId3407" Type="http://schemas.openxmlformats.org/officeDocument/2006/relationships/hyperlink" Target="mailto:rmomartinez@sancorseguros.com" TargetMode="External"/><Relationship Id="rId3614" Type="http://schemas.openxmlformats.org/officeDocument/2006/relationships/hyperlink" Target="mailto:amrodriguez@sancorseguros.com" TargetMode="External"/><Relationship Id="rId328" Type="http://schemas.openxmlformats.org/officeDocument/2006/relationships/hyperlink" Target="mailto:mizzo@ext.sancorseguros.com" TargetMode="External"/><Relationship Id="rId535" Type="http://schemas.openxmlformats.org/officeDocument/2006/relationships/hyperlink" Target="mailto:pmalchiodi@sancorseguros.com" TargetMode="External"/><Relationship Id="rId742" Type="http://schemas.openxmlformats.org/officeDocument/2006/relationships/hyperlink" Target="mailto:mizzo@ext.sancorseguros.com" TargetMode="External"/><Relationship Id="rId1165" Type="http://schemas.openxmlformats.org/officeDocument/2006/relationships/hyperlink" Target="mailto:abinau@sancorseguros.com" TargetMode="External"/><Relationship Id="rId1372" Type="http://schemas.openxmlformats.org/officeDocument/2006/relationships/hyperlink" Target="mailto:mizzo@ext.sancorseguros.com" TargetMode="External"/><Relationship Id="rId2009" Type="http://schemas.openxmlformats.org/officeDocument/2006/relationships/hyperlink" Target="mailto:czardain@sancorseguros.com" TargetMode="External"/><Relationship Id="rId2216" Type="http://schemas.openxmlformats.org/officeDocument/2006/relationships/hyperlink" Target="mailto:gmgutierrez@ext.sancorseguros.com" TargetMode="External"/><Relationship Id="rId2423" Type="http://schemas.openxmlformats.org/officeDocument/2006/relationships/hyperlink" Target="mailto:gpachao@sancorseguros.com" TargetMode="External"/><Relationship Id="rId2630" Type="http://schemas.openxmlformats.org/officeDocument/2006/relationships/hyperlink" Target="mailto:rmomartinez@sancorseguros.com" TargetMode="External"/><Relationship Id="rId602" Type="http://schemas.openxmlformats.org/officeDocument/2006/relationships/hyperlink" Target="mailto:pmicchia@ext.sancorseguros.com" TargetMode="External"/><Relationship Id="rId1025" Type="http://schemas.openxmlformats.org/officeDocument/2006/relationships/hyperlink" Target="mailto:vloray@ext.sancorseguros.com" TargetMode="External"/><Relationship Id="rId1232" Type="http://schemas.openxmlformats.org/officeDocument/2006/relationships/hyperlink" Target="mailto:mizzo@ext.sancorseguros.com" TargetMode="External"/><Relationship Id="rId3197" Type="http://schemas.openxmlformats.org/officeDocument/2006/relationships/hyperlink" Target="mailto:fsantorum@sancorseguros.com" TargetMode="External"/><Relationship Id="rId3057" Type="http://schemas.openxmlformats.org/officeDocument/2006/relationships/hyperlink" Target="mailto:milmartinez@ext.sancorseguros.com" TargetMode="External"/><Relationship Id="rId185" Type="http://schemas.openxmlformats.org/officeDocument/2006/relationships/hyperlink" Target="mailto:fsantorum@sancorseguros.com" TargetMode="External"/><Relationship Id="rId1909" Type="http://schemas.openxmlformats.org/officeDocument/2006/relationships/hyperlink" Target="mailto:rfernandez@sancorseguros.com" TargetMode="External"/><Relationship Id="rId3264" Type="http://schemas.openxmlformats.org/officeDocument/2006/relationships/hyperlink" Target="mailto:anunzio@sancorseguros.com" TargetMode="External"/><Relationship Id="rId3471" Type="http://schemas.openxmlformats.org/officeDocument/2006/relationships/hyperlink" Target="mailto:gleguizamon@ext.sancorseguros.com" TargetMode="External"/><Relationship Id="rId392" Type="http://schemas.openxmlformats.org/officeDocument/2006/relationships/hyperlink" Target="mailto:mascallia@sancorseguros.com" TargetMode="External"/><Relationship Id="rId2073" Type="http://schemas.openxmlformats.org/officeDocument/2006/relationships/hyperlink" Target="mailto:abinau@sancorseguros.com" TargetMode="External"/><Relationship Id="rId2280" Type="http://schemas.openxmlformats.org/officeDocument/2006/relationships/hyperlink" Target="mailto:gleguizamon@ext.sancorseguros.com" TargetMode="External"/><Relationship Id="rId3124" Type="http://schemas.openxmlformats.org/officeDocument/2006/relationships/hyperlink" Target="mailto:mascallia@sancorseguros.com" TargetMode="External"/><Relationship Id="rId3331" Type="http://schemas.openxmlformats.org/officeDocument/2006/relationships/hyperlink" Target="mailto:rfernandez@sancorseguros.com" TargetMode="External"/><Relationship Id="rId252" Type="http://schemas.openxmlformats.org/officeDocument/2006/relationships/hyperlink" Target="mailto:dbenitez@sancorseguros.com" TargetMode="External"/><Relationship Id="rId2140" Type="http://schemas.openxmlformats.org/officeDocument/2006/relationships/hyperlink" Target="mailto:miiglesias@ext.sancorseguros.com" TargetMode="External"/><Relationship Id="rId112" Type="http://schemas.openxmlformats.org/officeDocument/2006/relationships/hyperlink" Target="mailto:mascallia@sancorseguros.com" TargetMode="External"/><Relationship Id="rId1699" Type="http://schemas.openxmlformats.org/officeDocument/2006/relationships/hyperlink" Target="mailto:mizzo@ext.sancorseguros.com" TargetMode="External"/><Relationship Id="rId2000" Type="http://schemas.openxmlformats.org/officeDocument/2006/relationships/hyperlink" Target="mailto:mizzo@ext.sancorseguros.com" TargetMode="External"/><Relationship Id="rId2957" Type="http://schemas.openxmlformats.org/officeDocument/2006/relationships/hyperlink" Target="mailto:bdemiguel@sancorseguros.com" TargetMode="External"/><Relationship Id="rId929" Type="http://schemas.openxmlformats.org/officeDocument/2006/relationships/hyperlink" Target="mailto:mmaccarrone@ext.sancorseguros.com" TargetMode="External"/><Relationship Id="rId1559" Type="http://schemas.openxmlformats.org/officeDocument/2006/relationships/hyperlink" Target="mailto:cvaldez@ext.sancorseguros.com" TargetMode="External"/><Relationship Id="rId1766" Type="http://schemas.openxmlformats.org/officeDocument/2006/relationships/hyperlink" Target="mailto:cvaldez@ext.sancorseguros.com" TargetMode="External"/><Relationship Id="rId1973" Type="http://schemas.openxmlformats.org/officeDocument/2006/relationships/hyperlink" Target="mailto:gleguizamon@ext.sancorseguros.com" TargetMode="External"/><Relationship Id="rId2817" Type="http://schemas.openxmlformats.org/officeDocument/2006/relationships/hyperlink" Target="mailto:bdemiguel@sancorseguros.com" TargetMode="External"/><Relationship Id="rId58" Type="http://schemas.openxmlformats.org/officeDocument/2006/relationships/hyperlink" Target="mailto:cvaldez@ext.sancorseguros.com" TargetMode="External"/><Relationship Id="rId1419" Type="http://schemas.openxmlformats.org/officeDocument/2006/relationships/hyperlink" Target="mailto:cvaldez@ext.sancorseguros.com" TargetMode="External"/><Relationship Id="rId1626" Type="http://schemas.openxmlformats.org/officeDocument/2006/relationships/hyperlink" Target="mailto:dtoledo@sancorseguros.com" TargetMode="External"/><Relationship Id="rId1833" Type="http://schemas.openxmlformats.org/officeDocument/2006/relationships/hyperlink" Target="mailto:camgonzalez@sancorseguros.com" TargetMode="External"/><Relationship Id="rId1900" Type="http://schemas.openxmlformats.org/officeDocument/2006/relationships/hyperlink" Target="mailto:cvaldez@ext.sancorseguros.com" TargetMode="External"/><Relationship Id="rId579" Type="http://schemas.openxmlformats.org/officeDocument/2006/relationships/hyperlink" Target="mailto:rmomartinez@sancorseguros.com" TargetMode="External"/><Relationship Id="rId786" Type="http://schemas.openxmlformats.org/officeDocument/2006/relationships/hyperlink" Target="mailto:mizzo@ext.sancorseguros.com" TargetMode="External"/><Relationship Id="rId993" Type="http://schemas.openxmlformats.org/officeDocument/2006/relationships/hyperlink" Target="mailto:mizzo@ext.sancorseguros.com" TargetMode="External"/><Relationship Id="rId2467" Type="http://schemas.openxmlformats.org/officeDocument/2006/relationships/hyperlink" Target="mailto:fsantorum@sancorseguros.com" TargetMode="External"/><Relationship Id="rId2674" Type="http://schemas.openxmlformats.org/officeDocument/2006/relationships/hyperlink" Target="mailto:mascallia@sancorseguros.com" TargetMode="External"/><Relationship Id="rId3518" Type="http://schemas.openxmlformats.org/officeDocument/2006/relationships/hyperlink" Target="mailto:mmaccarrone@ext.sancorseguros.com" TargetMode="External"/><Relationship Id="rId439" Type="http://schemas.openxmlformats.org/officeDocument/2006/relationships/hyperlink" Target="mailto:mizzo@ext.sancorseguros.com" TargetMode="External"/><Relationship Id="rId646" Type="http://schemas.openxmlformats.org/officeDocument/2006/relationships/hyperlink" Target="mailto:gleguizamon@ext.sancorseguros.com" TargetMode="External"/><Relationship Id="rId1069" Type="http://schemas.openxmlformats.org/officeDocument/2006/relationships/hyperlink" Target="mailto:dtoledo@sancorseguros.com" TargetMode="External"/><Relationship Id="rId1276" Type="http://schemas.openxmlformats.org/officeDocument/2006/relationships/hyperlink" Target="mailto:mmaccarrone@ext.sancorseguros.com" TargetMode="External"/><Relationship Id="rId1483" Type="http://schemas.openxmlformats.org/officeDocument/2006/relationships/hyperlink" Target="mailto:cpavon@sancorseguros.com" TargetMode="External"/><Relationship Id="rId2327" Type="http://schemas.openxmlformats.org/officeDocument/2006/relationships/hyperlink" Target="mailto:mkester@sancorseguros.com" TargetMode="External"/><Relationship Id="rId2881" Type="http://schemas.openxmlformats.org/officeDocument/2006/relationships/hyperlink" Target="mailto:lbarboza@ext.sancorseguros.com" TargetMode="External"/><Relationship Id="rId506" Type="http://schemas.openxmlformats.org/officeDocument/2006/relationships/hyperlink" Target="mailto:bdemiguel@sancorseguros.com" TargetMode="External"/><Relationship Id="rId853" Type="http://schemas.openxmlformats.org/officeDocument/2006/relationships/hyperlink" Target="mailto:rmomartinez@sancorseguros.com" TargetMode="External"/><Relationship Id="rId1136" Type="http://schemas.openxmlformats.org/officeDocument/2006/relationships/hyperlink" Target="mailto:mmaccarrone@ext.sancorseguros.com" TargetMode="External"/><Relationship Id="rId1690" Type="http://schemas.openxmlformats.org/officeDocument/2006/relationships/hyperlink" Target="mailto:gmgutierrez@ext.sancorseguros.com" TargetMode="External"/><Relationship Id="rId2534" Type="http://schemas.openxmlformats.org/officeDocument/2006/relationships/hyperlink" Target="mailto:abinau@sancorseguros.com" TargetMode="External"/><Relationship Id="rId2741" Type="http://schemas.openxmlformats.org/officeDocument/2006/relationships/hyperlink" Target="mailto:milmartinez@ext.sancorseguros.com" TargetMode="External"/><Relationship Id="rId713" Type="http://schemas.openxmlformats.org/officeDocument/2006/relationships/hyperlink" Target="mailto:mmaccarrone@ext.sancorseguros.com" TargetMode="External"/><Relationship Id="rId920" Type="http://schemas.openxmlformats.org/officeDocument/2006/relationships/hyperlink" Target="mailto:rmomartinez@sancorseguros.com" TargetMode="External"/><Relationship Id="rId1343" Type="http://schemas.openxmlformats.org/officeDocument/2006/relationships/hyperlink" Target="mailto:lbarboza@ext.sancorseguros.com" TargetMode="External"/><Relationship Id="rId1550" Type="http://schemas.openxmlformats.org/officeDocument/2006/relationships/hyperlink" Target="mailto:gleguizamon@ext.sancorseguros.com" TargetMode="External"/><Relationship Id="rId2601" Type="http://schemas.openxmlformats.org/officeDocument/2006/relationships/hyperlink" Target="mailto:mizzo@ext.sancorseguros.com" TargetMode="External"/><Relationship Id="rId1203" Type="http://schemas.openxmlformats.org/officeDocument/2006/relationships/hyperlink" Target="mailto:mascallia@sancorseguros.com" TargetMode="External"/><Relationship Id="rId1410" Type="http://schemas.openxmlformats.org/officeDocument/2006/relationships/hyperlink" Target="mailto:lbarboza@ext.sancorseguros.com" TargetMode="External"/><Relationship Id="rId3168" Type="http://schemas.openxmlformats.org/officeDocument/2006/relationships/hyperlink" Target="mailto:bdemiguel@sancorseguros.com" TargetMode="External"/><Relationship Id="rId3375" Type="http://schemas.openxmlformats.org/officeDocument/2006/relationships/hyperlink" Target="mailto:pgirardin@sancorseguros.com" TargetMode="External"/><Relationship Id="rId3582" Type="http://schemas.openxmlformats.org/officeDocument/2006/relationships/hyperlink" Target="mailto:abinau@sancorseguros.com" TargetMode="External"/><Relationship Id="rId296" Type="http://schemas.openxmlformats.org/officeDocument/2006/relationships/hyperlink" Target="mailto:mizzo@ext.sancorseguros.com" TargetMode="External"/><Relationship Id="rId2184" Type="http://schemas.openxmlformats.org/officeDocument/2006/relationships/hyperlink" Target="mailto:lbarboza@ext.sancorseguros.com" TargetMode="External"/><Relationship Id="rId2391" Type="http://schemas.openxmlformats.org/officeDocument/2006/relationships/hyperlink" Target="mailto:mizzo@ext.sancorseguros.com" TargetMode="External"/><Relationship Id="rId3028" Type="http://schemas.openxmlformats.org/officeDocument/2006/relationships/hyperlink" Target="mailto:mmaccarrone@ext.sancorseguros.com" TargetMode="External"/><Relationship Id="rId3235" Type="http://schemas.openxmlformats.org/officeDocument/2006/relationships/hyperlink" Target="mailto:pgirardin@sancorseguros.com" TargetMode="External"/><Relationship Id="rId3442" Type="http://schemas.openxmlformats.org/officeDocument/2006/relationships/hyperlink" Target="mailto:cvaldez@ext.sancorseguros.com" TargetMode="External"/><Relationship Id="rId156" Type="http://schemas.openxmlformats.org/officeDocument/2006/relationships/hyperlink" Target="mailto:pasalcedo@sancorseguros.com" TargetMode="External"/><Relationship Id="rId363" Type="http://schemas.openxmlformats.org/officeDocument/2006/relationships/hyperlink" Target="mailto:anunzio@sancorseguros.com" TargetMode="External"/><Relationship Id="rId570" Type="http://schemas.openxmlformats.org/officeDocument/2006/relationships/hyperlink" Target="mailto:mizzo@ext.sancorseguros.com" TargetMode="External"/><Relationship Id="rId2044" Type="http://schemas.openxmlformats.org/officeDocument/2006/relationships/hyperlink" Target="mailto:cpavon@sancorseguros.com" TargetMode="External"/><Relationship Id="rId2251" Type="http://schemas.openxmlformats.org/officeDocument/2006/relationships/hyperlink" Target="mailto:cpavon@sancorseguros.com" TargetMode="External"/><Relationship Id="rId3302" Type="http://schemas.openxmlformats.org/officeDocument/2006/relationships/hyperlink" Target="mailto:bdemiguel@sancorseguros.com" TargetMode="External"/><Relationship Id="rId223" Type="http://schemas.openxmlformats.org/officeDocument/2006/relationships/hyperlink" Target="mailto:ludiaz@ext.sancorseguros.com" TargetMode="External"/><Relationship Id="rId430" Type="http://schemas.openxmlformats.org/officeDocument/2006/relationships/hyperlink" Target="mailto:fsoloneski@sancorseguros.com" TargetMode="External"/><Relationship Id="rId1060" Type="http://schemas.openxmlformats.org/officeDocument/2006/relationships/hyperlink" Target="mailto:mizzo@ext.sancorseguros.com" TargetMode="External"/><Relationship Id="rId2111" Type="http://schemas.openxmlformats.org/officeDocument/2006/relationships/hyperlink" Target="mailto:abinau@sancorseguros.com" TargetMode="External"/><Relationship Id="rId1877" Type="http://schemas.openxmlformats.org/officeDocument/2006/relationships/hyperlink" Target="mailto:rmomartinez@sancorseguros.com" TargetMode="External"/><Relationship Id="rId2928" Type="http://schemas.openxmlformats.org/officeDocument/2006/relationships/hyperlink" Target="mailto:vloray@ext.sancorseguros.com" TargetMode="External"/><Relationship Id="rId1737" Type="http://schemas.openxmlformats.org/officeDocument/2006/relationships/hyperlink" Target="mailto:lbarboza@ext.sancorseguros.com" TargetMode="External"/><Relationship Id="rId1944" Type="http://schemas.openxmlformats.org/officeDocument/2006/relationships/hyperlink" Target="mailto:mizzo@ext.sancorseguros.com" TargetMode="External"/><Relationship Id="rId3092" Type="http://schemas.openxmlformats.org/officeDocument/2006/relationships/hyperlink" Target="mailto:lbarboza@ext.sancorseguros.com" TargetMode="External"/><Relationship Id="rId29" Type="http://schemas.openxmlformats.org/officeDocument/2006/relationships/hyperlink" Target="mailto:cvaldez@ext.sancorseguros.com" TargetMode="External"/><Relationship Id="rId1804" Type="http://schemas.openxmlformats.org/officeDocument/2006/relationships/hyperlink" Target="mailto:bdemiguel@sancorseguros.com" TargetMode="External"/><Relationship Id="rId897" Type="http://schemas.openxmlformats.org/officeDocument/2006/relationships/hyperlink" Target="mailto:lbarboza@ext.sancorseguros.com" TargetMode="External"/><Relationship Id="rId2578" Type="http://schemas.openxmlformats.org/officeDocument/2006/relationships/hyperlink" Target="mailto:milmartinez@ext.sancorseguros.com" TargetMode="External"/><Relationship Id="rId2785" Type="http://schemas.openxmlformats.org/officeDocument/2006/relationships/hyperlink" Target="mailto:mevangelista@sancorseguros.com" TargetMode="External"/><Relationship Id="rId2992" Type="http://schemas.openxmlformats.org/officeDocument/2006/relationships/hyperlink" Target="mailto:fsantorum@sancorseguros.com" TargetMode="External"/><Relationship Id="rId3629" Type="http://schemas.openxmlformats.org/officeDocument/2006/relationships/hyperlink" Target="mailto:lbarboza@ext.sancorseguros.com" TargetMode="External"/><Relationship Id="rId757" Type="http://schemas.openxmlformats.org/officeDocument/2006/relationships/hyperlink" Target="mailto:amrodriguez@sancorseguros.com" TargetMode="External"/><Relationship Id="rId964" Type="http://schemas.openxmlformats.org/officeDocument/2006/relationships/hyperlink" Target="mailto:gpachao@sancorseguros.com" TargetMode="External"/><Relationship Id="rId1387" Type="http://schemas.openxmlformats.org/officeDocument/2006/relationships/hyperlink" Target="mailto:cvaldez@ext.sancorseguros.com" TargetMode="External"/><Relationship Id="rId1594" Type="http://schemas.openxmlformats.org/officeDocument/2006/relationships/hyperlink" Target="mailto:dtoledo@sancorseguros.com" TargetMode="External"/><Relationship Id="rId2438" Type="http://schemas.openxmlformats.org/officeDocument/2006/relationships/hyperlink" Target="mailto:gpachao@sancorseguros.com" TargetMode="External"/><Relationship Id="rId2645" Type="http://schemas.openxmlformats.org/officeDocument/2006/relationships/hyperlink" Target="mailto:jboulle@sancorseguros.com" TargetMode="External"/><Relationship Id="rId2852" Type="http://schemas.openxmlformats.org/officeDocument/2006/relationships/hyperlink" Target="mailto:mmaccarrone@ext.sancorseguros.com" TargetMode="External"/><Relationship Id="rId93" Type="http://schemas.openxmlformats.org/officeDocument/2006/relationships/hyperlink" Target="mailto:fsantorum@sancorseguros.com" TargetMode="External"/><Relationship Id="rId617" Type="http://schemas.openxmlformats.org/officeDocument/2006/relationships/hyperlink" Target="mailto:mkester@sancorseguros.com" TargetMode="External"/><Relationship Id="rId824" Type="http://schemas.openxmlformats.org/officeDocument/2006/relationships/hyperlink" Target="mailto:mizzo@ext.sancorseguros.com" TargetMode="External"/><Relationship Id="rId1247" Type="http://schemas.openxmlformats.org/officeDocument/2006/relationships/hyperlink" Target="mailto:bdemiguel@sancorseguros.com" TargetMode="External"/><Relationship Id="rId1454" Type="http://schemas.openxmlformats.org/officeDocument/2006/relationships/hyperlink" Target="mailto:mmaccarrone@ext.sancorseguros.com" TargetMode="External"/><Relationship Id="rId1661" Type="http://schemas.openxmlformats.org/officeDocument/2006/relationships/hyperlink" Target="mailto:mmaccarrone@ext.sancorseguros.com" TargetMode="External"/><Relationship Id="rId2505" Type="http://schemas.openxmlformats.org/officeDocument/2006/relationships/hyperlink" Target="mailto:cvaldez@ext.sancorseguros.com" TargetMode="External"/><Relationship Id="rId2712" Type="http://schemas.openxmlformats.org/officeDocument/2006/relationships/hyperlink" Target="mailto:jsperoni@ext.sancorseguros.com" TargetMode="External"/><Relationship Id="rId1107" Type="http://schemas.openxmlformats.org/officeDocument/2006/relationships/hyperlink" Target="mailto:cvaldez@ext.sancorseguros.com" TargetMode="External"/><Relationship Id="rId1314" Type="http://schemas.openxmlformats.org/officeDocument/2006/relationships/hyperlink" Target="mailto:gleguizamon@ext.sancorseguros.com" TargetMode="External"/><Relationship Id="rId1521" Type="http://schemas.openxmlformats.org/officeDocument/2006/relationships/hyperlink" Target="mailto:mmaccarrone@ext.sancorseguros.com" TargetMode="External"/><Relationship Id="rId3279" Type="http://schemas.openxmlformats.org/officeDocument/2006/relationships/hyperlink" Target="mailto:mdambrosio@ext.sancorseguros.com" TargetMode="External"/><Relationship Id="rId3486" Type="http://schemas.openxmlformats.org/officeDocument/2006/relationships/hyperlink" Target="mailto:gmgutierrez@ext.sancorseguros.com" TargetMode="External"/><Relationship Id="rId20" Type="http://schemas.openxmlformats.org/officeDocument/2006/relationships/hyperlink" Target="mailto:mizzo@ext.sancorseguros.com" TargetMode="External"/><Relationship Id="rId2088" Type="http://schemas.openxmlformats.org/officeDocument/2006/relationships/hyperlink" Target="mailto:mmaccarrone@ext.sancorseguros.com" TargetMode="External"/><Relationship Id="rId2295" Type="http://schemas.openxmlformats.org/officeDocument/2006/relationships/hyperlink" Target="mailto:milmartinez@ext.sancorseguros.com" TargetMode="External"/><Relationship Id="rId3139" Type="http://schemas.openxmlformats.org/officeDocument/2006/relationships/hyperlink" Target="mailto:mizzo@ext.sancorseguros.com" TargetMode="External"/><Relationship Id="rId3346" Type="http://schemas.openxmlformats.org/officeDocument/2006/relationships/hyperlink" Target="mailto:mascallia@sancorseguros.com" TargetMode="External"/><Relationship Id="rId267" Type="http://schemas.openxmlformats.org/officeDocument/2006/relationships/hyperlink" Target="mailto:cvaldez@ext.sancorseguros.com" TargetMode="External"/><Relationship Id="rId474" Type="http://schemas.openxmlformats.org/officeDocument/2006/relationships/hyperlink" Target="mailto:camgonzalez@sancorseguros.com" TargetMode="External"/><Relationship Id="rId2155" Type="http://schemas.openxmlformats.org/officeDocument/2006/relationships/hyperlink" Target="mailto:bdemiguel@sancorseguros.com" TargetMode="External"/><Relationship Id="rId3553" Type="http://schemas.openxmlformats.org/officeDocument/2006/relationships/hyperlink" Target="mailto:lbarboza@ext.sancorseguros.com" TargetMode="External"/><Relationship Id="rId127" Type="http://schemas.openxmlformats.org/officeDocument/2006/relationships/hyperlink" Target="mailto:gmgutierrez@ext.sancorseguros.com" TargetMode="External"/><Relationship Id="rId681" Type="http://schemas.openxmlformats.org/officeDocument/2006/relationships/hyperlink" Target="mailto:madecarvalho@sancorseguros.com" TargetMode="External"/><Relationship Id="rId2362" Type="http://schemas.openxmlformats.org/officeDocument/2006/relationships/hyperlink" Target="mailto:cvaldez@ext.sancorseguros.com" TargetMode="External"/><Relationship Id="rId3206" Type="http://schemas.openxmlformats.org/officeDocument/2006/relationships/hyperlink" Target="mailto:mkester@sancorseguros.com" TargetMode="External"/><Relationship Id="rId3413" Type="http://schemas.openxmlformats.org/officeDocument/2006/relationships/hyperlink" Target="mailto:abinau@sancorseguros.com" TargetMode="External"/><Relationship Id="rId3620" Type="http://schemas.openxmlformats.org/officeDocument/2006/relationships/hyperlink" Target="mailto:cvaldez@ext.sancorseguros.com" TargetMode="External"/><Relationship Id="rId334" Type="http://schemas.openxmlformats.org/officeDocument/2006/relationships/hyperlink" Target="mailto:cpavon@sancorseguros.com" TargetMode="External"/><Relationship Id="rId541" Type="http://schemas.openxmlformats.org/officeDocument/2006/relationships/hyperlink" Target="mailto:mascallia@sancorseguros.com" TargetMode="External"/><Relationship Id="rId1171" Type="http://schemas.openxmlformats.org/officeDocument/2006/relationships/hyperlink" Target="mailto:mmaccarrone@ext.sancorseguros.com" TargetMode="External"/><Relationship Id="rId2015" Type="http://schemas.openxmlformats.org/officeDocument/2006/relationships/hyperlink" Target="mailto:dtoledo@sancorseguros.com" TargetMode="External"/><Relationship Id="rId2222" Type="http://schemas.openxmlformats.org/officeDocument/2006/relationships/hyperlink" Target="mailto:madecarvalho@sancorseguros.com" TargetMode="External"/><Relationship Id="rId401" Type="http://schemas.openxmlformats.org/officeDocument/2006/relationships/hyperlink" Target="mailto:mascallia@sancorseguros.com" TargetMode="External"/><Relationship Id="rId1031" Type="http://schemas.openxmlformats.org/officeDocument/2006/relationships/hyperlink" Target="mailto:bdemiguel@sancorseguros.com" TargetMode="External"/><Relationship Id="rId1988" Type="http://schemas.openxmlformats.org/officeDocument/2006/relationships/hyperlink" Target="mailto:cvaldez@ext.sancorseguros.com" TargetMode="External"/><Relationship Id="rId1848" Type="http://schemas.openxmlformats.org/officeDocument/2006/relationships/hyperlink" Target="mailto:dtoledo@sancorseguros.com" TargetMode="External"/><Relationship Id="rId3063" Type="http://schemas.openxmlformats.org/officeDocument/2006/relationships/hyperlink" Target="mailto:rmomartinez@sancorseguros.com" TargetMode="External"/><Relationship Id="rId3270" Type="http://schemas.openxmlformats.org/officeDocument/2006/relationships/hyperlink" Target="mailto:rmomartinez@sancorseguros.com" TargetMode="External"/><Relationship Id="rId191" Type="http://schemas.openxmlformats.org/officeDocument/2006/relationships/hyperlink" Target="mailto:jsandoval@sancorseguros.com" TargetMode="External"/><Relationship Id="rId1708" Type="http://schemas.openxmlformats.org/officeDocument/2006/relationships/hyperlink" Target="mailto:cpavon@sancorseguros.com" TargetMode="External"/><Relationship Id="rId1915" Type="http://schemas.openxmlformats.org/officeDocument/2006/relationships/hyperlink" Target="mailto:jsandoval@sancorseguros.com" TargetMode="External"/><Relationship Id="rId3130" Type="http://schemas.openxmlformats.org/officeDocument/2006/relationships/hyperlink" Target="mailto:lbarboza@ext.sancorseguros.com" TargetMode="External"/><Relationship Id="rId2689" Type="http://schemas.openxmlformats.org/officeDocument/2006/relationships/hyperlink" Target="mailto:mmaccarrone@ext.sancorseguros.com" TargetMode="External"/><Relationship Id="rId2896" Type="http://schemas.openxmlformats.org/officeDocument/2006/relationships/hyperlink" Target="mailto:gleguizamon@ext.sancorseguros.com" TargetMode="External"/><Relationship Id="rId868" Type="http://schemas.openxmlformats.org/officeDocument/2006/relationships/hyperlink" Target="mailto:gleguizamon@ext.sancorseguros.com" TargetMode="External"/><Relationship Id="rId1498" Type="http://schemas.openxmlformats.org/officeDocument/2006/relationships/hyperlink" Target="mailto:dtoledo@sancorseguros.com" TargetMode="External"/><Relationship Id="rId2549" Type="http://schemas.openxmlformats.org/officeDocument/2006/relationships/hyperlink" Target="mailto:mascallia@sancorseguros.com" TargetMode="External"/><Relationship Id="rId2756" Type="http://schemas.openxmlformats.org/officeDocument/2006/relationships/hyperlink" Target="mailto:cvaldez@ext.sancorseguros.com" TargetMode="External"/><Relationship Id="rId2963" Type="http://schemas.openxmlformats.org/officeDocument/2006/relationships/hyperlink" Target="mailto:mascallia@sancorseguros.com" TargetMode="External"/><Relationship Id="rId728" Type="http://schemas.openxmlformats.org/officeDocument/2006/relationships/hyperlink" Target="mailto:gleguizamon@ext.sancorseguros.com" TargetMode="External"/><Relationship Id="rId935" Type="http://schemas.openxmlformats.org/officeDocument/2006/relationships/hyperlink" Target="mailto:milmartinez@ext.sancorseguros.com" TargetMode="External"/><Relationship Id="rId1358" Type="http://schemas.openxmlformats.org/officeDocument/2006/relationships/hyperlink" Target="mailto:bdemiguel@sancorseguros.com" TargetMode="External"/><Relationship Id="rId1565" Type="http://schemas.openxmlformats.org/officeDocument/2006/relationships/hyperlink" Target="mailto:lbarboza@ext.sancorseguros.com" TargetMode="External"/><Relationship Id="rId1772" Type="http://schemas.openxmlformats.org/officeDocument/2006/relationships/hyperlink" Target="mailto:mizzo@ext.sancorseguros.com" TargetMode="External"/><Relationship Id="rId2409" Type="http://schemas.openxmlformats.org/officeDocument/2006/relationships/hyperlink" Target="mailto:lbarboza@ext.sancorseguros.com" TargetMode="External"/><Relationship Id="rId2616" Type="http://schemas.openxmlformats.org/officeDocument/2006/relationships/hyperlink" Target="mailto:bdemiguel@sancorseguros.com" TargetMode="External"/><Relationship Id="rId64" Type="http://schemas.openxmlformats.org/officeDocument/2006/relationships/hyperlink" Target="mailto:mizzo@ext.sancorseguros.com" TargetMode="External"/><Relationship Id="rId1218" Type="http://schemas.openxmlformats.org/officeDocument/2006/relationships/hyperlink" Target="mailto:rmomartinez@sancorseguros.com" TargetMode="External"/><Relationship Id="rId1425" Type="http://schemas.openxmlformats.org/officeDocument/2006/relationships/hyperlink" Target="mailto:gleguizamon@ext.sancorseguros.com" TargetMode="External"/><Relationship Id="rId2823" Type="http://schemas.openxmlformats.org/officeDocument/2006/relationships/hyperlink" Target="mailto:pmalchiodi@sancorseguros.com" TargetMode="External"/><Relationship Id="rId1632" Type="http://schemas.openxmlformats.org/officeDocument/2006/relationships/hyperlink" Target="mailto:gleguizamon@ext.sancorseguros.com" TargetMode="External"/><Relationship Id="rId2199" Type="http://schemas.openxmlformats.org/officeDocument/2006/relationships/hyperlink" Target="mailto:cvaldez@ext.sancorseguros.com" TargetMode="External"/><Relationship Id="rId3597" Type="http://schemas.openxmlformats.org/officeDocument/2006/relationships/hyperlink" Target="mailto:cvaldez@ext.sancorseguros.com" TargetMode="External"/><Relationship Id="rId3457" Type="http://schemas.openxmlformats.org/officeDocument/2006/relationships/hyperlink" Target="mailto:fsantorum@sancorseguros.com" TargetMode="External"/><Relationship Id="rId378" Type="http://schemas.openxmlformats.org/officeDocument/2006/relationships/hyperlink" Target="mailto:ludiaz@ext.sancorseguros.com" TargetMode="External"/><Relationship Id="rId585" Type="http://schemas.openxmlformats.org/officeDocument/2006/relationships/hyperlink" Target="mailto:mmaccarrone@ext.sancorseguros.com" TargetMode="External"/><Relationship Id="rId792" Type="http://schemas.openxmlformats.org/officeDocument/2006/relationships/hyperlink" Target="mailto:rmomartinez@sancorseguros.com" TargetMode="External"/><Relationship Id="rId2059" Type="http://schemas.openxmlformats.org/officeDocument/2006/relationships/hyperlink" Target="mailto:bdemiguel@sancorseguros.com" TargetMode="External"/><Relationship Id="rId2266" Type="http://schemas.openxmlformats.org/officeDocument/2006/relationships/hyperlink" Target="mailto:cpavon@sancorseguros.com" TargetMode="External"/><Relationship Id="rId2473" Type="http://schemas.openxmlformats.org/officeDocument/2006/relationships/hyperlink" Target="mailto:mascallia@sancorseguros.com" TargetMode="External"/><Relationship Id="rId2680" Type="http://schemas.openxmlformats.org/officeDocument/2006/relationships/hyperlink" Target="mailto:pgirardin@sancorseguros.com" TargetMode="External"/><Relationship Id="rId3317" Type="http://schemas.openxmlformats.org/officeDocument/2006/relationships/hyperlink" Target="mailto:amrodriguez@sancorseguros.com" TargetMode="External"/><Relationship Id="rId3524" Type="http://schemas.openxmlformats.org/officeDocument/2006/relationships/hyperlink" Target="mailto:gmoscato@sancorseguros.com" TargetMode="External"/><Relationship Id="rId238" Type="http://schemas.openxmlformats.org/officeDocument/2006/relationships/hyperlink" Target="mailto:gpachao@sancorseguros.com" TargetMode="External"/><Relationship Id="rId445" Type="http://schemas.openxmlformats.org/officeDocument/2006/relationships/hyperlink" Target="mailto:mascallia@sancorseguros.com" TargetMode="External"/><Relationship Id="rId652" Type="http://schemas.openxmlformats.org/officeDocument/2006/relationships/hyperlink" Target="mailto:mizzo@ext.sancorseguros.com" TargetMode="External"/><Relationship Id="rId1075" Type="http://schemas.openxmlformats.org/officeDocument/2006/relationships/hyperlink" Target="mailto:gmgutierrez@ext.sancorseguros.com" TargetMode="External"/><Relationship Id="rId1282" Type="http://schemas.openxmlformats.org/officeDocument/2006/relationships/hyperlink" Target="mailto:mmaccarrone@ext.sancorseguros.com" TargetMode="External"/><Relationship Id="rId2126" Type="http://schemas.openxmlformats.org/officeDocument/2006/relationships/hyperlink" Target="mailto:jboulle@sancorseguros.com" TargetMode="External"/><Relationship Id="rId2333" Type="http://schemas.openxmlformats.org/officeDocument/2006/relationships/hyperlink" Target="mailto:mascallia@sancorseguros.com" TargetMode="External"/><Relationship Id="rId2540" Type="http://schemas.openxmlformats.org/officeDocument/2006/relationships/hyperlink" Target="mailto:cvaldez@ext.sancorseguros.com" TargetMode="External"/><Relationship Id="rId305" Type="http://schemas.openxmlformats.org/officeDocument/2006/relationships/hyperlink" Target="mailto:mizzo@ext.sancorseguros.com" TargetMode="External"/><Relationship Id="rId512" Type="http://schemas.openxmlformats.org/officeDocument/2006/relationships/hyperlink" Target="mailto:rmomartinez@sancorseguros.com" TargetMode="External"/><Relationship Id="rId1142" Type="http://schemas.openxmlformats.org/officeDocument/2006/relationships/hyperlink" Target="mailto:rmomartinez@sancorseguros.com" TargetMode="External"/><Relationship Id="rId2400" Type="http://schemas.openxmlformats.org/officeDocument/2006/relationships/hyperlink" Target="mailto:rmomartinez@sancorseguros.com" TargetMode="External"/><Relationship Id="rId1002" Type="http://schemas.openxmlformats.org/officeDocument/2006/relationships/hyperlink" Target="mailto:lbarboza@ext.sancorseguros.com" TargetMode="External"/><Relationship Id="rId1959" Type="http://schemas.openxmlformats.org/officeDocument/2006/relationships/hyperlink" Target="mailto:camgonzalez@sancorseguros.com" TargetMode="External"/><Relationship Id="rId3174" Type="http://schemas.openxmlformats.org/officeDocument/2006/relationships/hyperlink" Target="mailto:vloray@ext.sancorseguros.com" TargetMode="External"/><Relationship Id="rId1819" Type="http://schemas.openxmlformats.org/officeDocument/2006/relationships/hyperlink" Target="mailto:vloray@ext.sancorseguros.com" TargetMode="External"/><Relationship Id="rId3381" Type="http://schemas.openxmlformats.org/officeDocument/2006/relationships/hyperlink" Target="mailto:rfernandez@sancorseguros.com" TargetMode="External"/><Relationship Id="rId2190" Type="http://schemas.openxmlformats.org/officeDocument/2006/relationships/hyperlink" Target="mailto:fsantorum@sancorseguros.com" TargetMode="External"/><Relationship Id="rId3034" Type="http://schemas.openxmlformats.org/officeDocument/2006/relationships/hyperlink" Target="mailto:mizzo@ext.sancorseguros.com" TargetMode="External"/><Relationship Id="rId3241" Type="http://schemas.openxmlformats.org/officeDocument/2006/relationships/hyperlink" Target="mailto:rfernandez@sancorseguros.com" TargetMode="External"/><Relationship Id="rId162" Type="http://schemas.openxmlformats.org/officeDocument/2006/relationships/hyperlink" Target="mailto:gmgutierrez@ext.sancorseguros.com" TargetMode="External"/><Relationship Id="rId2050" Type="http://schemas.openxmlformats.org/officeDocument/2006/relationships/hyperlink" Target="mailto:bdemiguel@sancorseguros.com" TargetMode="External"/><Relationship Id="rId3101" Type="http://schemas.openxmlformats.org/officeDocument/2006/relationships/hyperlink" Target="mailto:lbarboza@ext.sancorseguros.com" TargetMode="External"/><Relationship Id="rId979" Type="http://schemas.openxmlformats.org/officeDocument/2006/relationships/hyperlink" Target="mailto:fsantorum@sancorseguros.com" TargetMode="External"/><Relationship Id="rId839" Type="http://schemas.openxmlformats.org/officeDocument/2006/relationships/hyperlink" Target="mailto:rmomartinez@sancorseguros.com" TargetMode="External"/><Relationship Id="rId1469" Type="http://schemas.openxmlformats.org/officeDocument/2006/relationships/hyperlink" Target="mailto:gmgutierrez@ext.sancorseguros.com" TargetMode="External"/><Relationship Id="rId2867" Type="http://schemas.openxmlformats.org/officeDocument/2006/relationships/hyperlink" Target="mailto:milmartinez@ext.sancorseguros.com" TargetMode="External"/><Relationship Id="rId1676" Type="http://schemas.openxmlformats.org/officeDocument/2006/relationships/hyperlink" Target="mailto:cpavon@sancorseguros.com" TargetMode="External"/><Relationship Id="rId1883" Type="http://schemas.openxmlformats.org/officeDocument/2006/relationships/hyperlink" Target="mailto:anunzio@sancorseguros.com" TargetMode="External"/><Relationship Id="rId2727" Type="http://schemas.openxmlformats.org/officeDocument/2006/relationships/hyperlink" Target="mailto:bdemiguel@sancorseguros.com" TargetMode="External"/><Relationship Id="rId2934" Type="http://schemas.openxmlformats.org/officeDocument/2006/relationships/hyperlink" Target="mailto:fsantorum@sancorseguros.com" TargetMode="External"/><Relationship Id="rId906" Type="http://schemas.openxmlformats.org/officeDocument/2006/relationships/hyperlink" Target="mailto:milmartinez@ext.sancorseguros.com" TargetMode="External"/><Relationship Id="rId1329" Type="http://schemas.openxmlformats.org/officeDocument/2006/relationships/hyperlink" Target="mailto:gmgutierrez@ext.sancorseguros.com" TargetMode="External"/><Relationship Id="rId1536" Type="http://schemas.openxmlformats.org/officeDocument/2006/relationships/hyperlink" Target="mailto:cpavon@sancorseguros.com" TargetMode="External"/><Relationship Id="rId1743" Type="http://schemas.openxmlformats.org/officeDocument/2006/relationships/hyperlink" Target="mailto:lbarboza@ext.sancorseguros.com" TargetMode="External"/><Relationship Id="rId1950" Type="http://schemas.openxmlformats.org/officeDocument/2006/relationships/hyperlink" Target="mailto:gmgutierrez@ext.sancorseguros.com" TargetMode="External"/><Relationship Id="rId35" Type="http://schemas.openxmlformats.org/officeDocument/2006/relationships/hyperlink" Target="mailto:rmomartinez@sancorseguros.com" TargetMode="External"/><Relationship Id="rId1603" Type="http://schemas.openxmlformats.org/officeDocument/2006/relationships/hyperlink" Target="mailto:mascallia@sancorseguros.com" TargetMode="External"/><Relationship Id="rId1810" Type="http://schemas.openxmlformats.org/officeDocument/2006/relationships/hyperlink" Target="mailto:mmaccarrone@ext.sancorseguros.com" TargetMode="External"/><Relationship Id="rId3568" Type="http://schemas.openxmlformats.org/officeDocument/2006/relationships/hyperlink" Target="mailto:pmalchiodi@sancorseguros.com" TargetMode="External"/><Relationship Id="rId489" Type="http://schemas.openxmlformats.org/officeDocument/2006/relationships/hyperlink" Target="mailto:mascallia@sancorseguros.com" TargetMode="External"/><Relationship Id="rId696" Type="http://schemas.openxmlformats.org/officeDocument/2006/relationships/hyperlink" Target="mailto:pmalchiodi@sancorseguros.com" TargetMode="External"/><Relationship Id="rId2377" Type="http://schemas.openxmlformats.org/officeDocument/2006/relationships/hyperlink" Target="mailto:mizzo@ext.sancorseguros.com" TargetMode="External"/><Relationship Id="rId2584" Type="http://schemas.openxmlformats.org/officeDocument/2006/relationships/hyperlink" Target="mailto:mizzo@ext.sancorseguros.com" TargetMode="External"/><Relationship Id="rId2791" Type="http://schemas.openxmlformats.org/officeDocument/2006/relationships/hyperlink" Target="mailto:mdambrosio@ext.sancorseguros.com" TargetMode="External"/><Relationship Id="rId3428" Type="http://schemas.openxmlformats.org/officeDocument/2006/relationships/hyperlink" Target="mailto:rmomartinez@sancorseguros.com" TargetMode="External"/><Relationship Id="rId3635" Type="http://schemas.openxmlformats.org/officeDocument/2006/relationships/hyperlink" Target="mailto:gmgutierrez@ext.sancorseguros.com" TargetMode="External"/><Relationship Id="rId349" Type="http://schemas.openxmlformats.org/officeDocument/2006/relationships/hyperlink" Target="mailto:jboulle@sancorseguros.com" TargetMode="External"/><Relationship Id="rId556" Type="http://schemas.openxmlformats.org/officeDocument/2006/relationships/hyperlink" Target="mailto:cpavon@sancorseguros.com" TargetMode="External"/><Relationship Id="rId763" Type="http://schemas.openxmlformats.org/officeDocument/2006/relationships/hyperlink" Target="mailto:cvaldez@ext.sancorseguros.com" TargetMode="External"/><Relationship Id="rId1186" Type="http://schemas.openxmlformats.org/officeDocument/2006/relationships/hyperlink" Target="mailto:milmartinez@ext.sancorseguros.com" TargetMode="External"/><Relationship Id="rId1393" Type="http://schemas.openxmlformats.org/officeDocument/2006/relationships/hyperlink" Target="mailto:madecarvalho@sancorseguros.com" TargetMode="External"/><Relationship Id="rId2237" Type="http://schemas.openxmlformats.org/officeDocument/2006/relationships/hyperlink" Target="mailto:gleguizamon@ext.sancorseguros.com" TargetMode="External"/><Relationship Id="rId2444" Type="http://schemas.openxmlformats.org/officeDocument/2006/relationships/hyperlink" Target="mailto:pmalchiodi@sancorseguros.com" TargetMode="External"/><Relationship Id="rId209" Type="http://schemas.openxmlformats.org/officeDocument/2006/relationships/hyperlink" Target="mailto:abinau@sancorseguros.com" TargetMode="External"/><Relationship Id="rId416" Type="http://schemas.openxmlformats.org/officeDocument/2006/relationships/hyperlink" Target="mailto:mascallia@sancorseguros.com" TargetMode="External"/><Relationship Id="rId970" Type="http://schemas.openxmlformats.org/officeDocument/2006/relationships/hyperlink" Target="mailto:lbarboza@ext.sancorseguros.com" TargetMode="External"/><Relationship Id="rId1046" Type="http://schemas.openxmlformats.org/officeDocument/2006/relationships/hyperlink" Target="mailto:camgonzalez@sancorseguros.com" TargetMode="External"/><Relationship Id="rId1253" Type="http://schemas.openxmlformats.org/officeDocument/2006/relationships/hyperlink" Target="mailto:rmomartinez@sancorseguros.com" TargetMode="External"/><Relationship Id="rId2651" Type="http://schemas.openxmlformats.org/officeDocument/2006/relationships/hyperlink" Target="mailto:cvaldez@ext.sancorseguros.com" TargetMode="External"/><Relationship Id="rId623" Type="http://schemas.openxmlformats.org/officeDocument/2006/relationships/hyperlink" Target="mailto:mizzo@ext.sancorseguros.com" TargetMode="External"/><Relationship Id="rId830" Type="http://schemas.openxmlformats.org/officeDocument/2006/relationships/hyperlink" Target="mailto:madecarvalho@sancorseguros.com" TargetMode="External"/><Relationship Id="rId1460" Type="http://schemas.openxmlformats.org/officeDocument/2006/relationships/hyperlink" Target="mailto:milmartinez@ext.sancorseguros.com" TargetMode="External"/><Relationship Id="rId2304" Type="http://schemas.openxmlformats.org/officeDocument/2006/relationships/hyperlink" Target="mailto:cvaldez@ext.sancorseguros.com" TargetMode="External"/><Relationship Id="rId2511" Type="http://schemas.openxmlformats.org/officeDocument/2006/relationships/hyperlink" Target="mailto:pmalchiodi@sancorseguros.com" TargetMode="External"/><Relationship Id="rId1113" Type="http://schemas.openxmlformats.org/officeDocument/2006/relationships/hyperlink" Target="mailto:mizzo@ext.sancorseguros.com" TargetMode="External"/><Relationship Id="rId1320" Type="http://schemas.openxmlformats.org/officeDocument/2006/relationships/hyperlink" Target="mailto:mascallia@sancorseguros.com" TargetMode="External"/><Relationship Id="rId3078" Type="http://schemas.openxmlformats.org/officeDocument/2006/relationships/hyperlink" Target="mailto:mizzo@ext.sancorseguros.com" TargetMode="External"/><Relationship Id="rId3285" Type="http://schemas.openxmlformats.org/officeDocument/2006/relationships/hyperlink" Target="mailto:mizzo@ext.sancorseguros.com" TargetMode="External"/><Relationship Id="rId3492" Type="http://schemas.openxmlformats.org/officeDocument/2006/relationships/hyperlink" Target="mailto:pmalchiodi@sancorseguros.com" TargetMode="External"/><Relationship Id="rId2094" Type="http://schemas.openxmlformats.org/officeDocument/2006/relationships/hyperlink" Target="mailto:cpavon@sancorseguros.com" TargetMode="External"/><Relationship Id="rId3145" Type="http://schemas.openxmlformats.org/officeDocument/2006/relationships/hyperlink" Target="mailto:lbarboza@ext.sancorseguros.com" TargetMode="External"/><Relationship Id="rId3352" Type="http://schemas.openxmlformats.org/officeDocument/2006/relationships/hyperlink" Target="mailto:mascallia@sancorseguros.com" TargetMode="External"/><Relationship Id="rId273" Type="http://schemas.openxmlformats.org/officeDocument/2006/relationships/hyperlink" Target="mailto:mmaccarrone@ext.sancorseguros.com" TargetMode="External"/><Relationship Id="rId480" Type="http://schemas.openxmlformats.org/officeDocument/2006/relationships/hyperlink" Target="mailto:bdemiguel@sancorseguros.com" TargetMode="External"/><Relationship Id="rId2161" Type="http://schemas.openxmlformats.org/officeDocument/2006/relationships/hyperlink" Target="mailto:mmaccarrone@ext.sancorseguros.com" TargetMode="External"/><Relationship Id="rId3005" Type="http://schemas.openxmlformats.org/officeDocument/2006/relationships/hyperlink" Target="mailto:lbarboza@ext.sancorseguros.com" TargetMode="External"/><Relationship Id="rId3212" Type="http://schemas.openxmlformats.org/officeDocument/2006/relationships/hyperlink" Target="mailto:madecarvalho@sancorseguros.com" TargetMode="External"/><Relationship Id="rId133" Type="http://schemas.openxmlformats.org/officeDocument/2006/relationships/hyperlink" Target="mailto:rmomartinez@sancorseguros.com" TargetMode="External"/><Relationship Id="rId340" Type="http://schemas.openxmlformats.org/officeDocument/2006/relationships/hyperlink" Target="mailto:abinau@sancorseguros.com" TargetMode="External"/><Relationship Id="rId2021" Type="http://schemas.openxmlformats.org/officeDocument/2006/relationships/hyperlink" Target="mailto:cpavon@sancorseguros.com" TargetMode="External"/><Relationship Id="rId200" Type="http://schemas.openxmlformats.org/officeDocument/2006/relationships/hyperlink" Target="mailto:abinau@sancorseguros.com" TargetMode="External"/><Relationship Id="rId2978" Type="http://schemas.openxmlformats.org/officeDocument/2006/relationships/hyperlink" Target="mailto:mmaccarrone@ext.sancorseguros.com" TargetMode="External"/><Relationship Id="rId1787" Type="http://schemas.openxmlformats.org/officeDocument/2006/relationships/hyperlink" Target="mailto:mmaccarrone@ext.sancorseguros.com" TargetMode="External"/><Relationship Id="rId1994" Type="http://schemas.openxmlformats.org/officeDocument/2006/relationships/hyperlink" Target="mailto:gleguizamon@ext.sancorseguros.com" TargetMode="External"/><Relationship Id="rId2838" Type="http://schemas.openxmlformats.org/officeDocument/2006/relationships/hyperlink" Target="mailto:mmaccarrone@ext.sancorseguros.com" TargetMode="External"/><Relationship Id="rId79" Type="http://schemas.openxmlformats.org/officeDocument/2006/relationships/hyperlink" Target="mailto:anunzio@sancorseguros.com" TargetMode="External"/><Relationship Id="rId1647" Type="http://schemas.openxmlformats.org/officeDocument/2006/relationships/hyperlink" Target="mailto:cvaldez@ext.sancorseguros.com" TargetMode="External"/><Relationship Id="rId1854" Type="http://schemas.openxmlformats.org/officeDocument/2006/relationships/hyperlink" Target="mailto:mkester@sancorseguros.com" TargetMode="External"/><Relationship Id="rId2905" Type="http://schemas.openxmlformats.org/officeDocument/2006/relationships/hyperlink" Target="mailto:pgirardin@sancorseguros.com" TargetMode="External"/><Relationship Id="rId1507" Type="http://schemas.openxmlformats.org/officeDocument/2006/relationships/hyperlink" Target="mailto:rfernandez@sancorseguros.com" TargetMode="External"/><Relationship Id="rId1714" Type="http://schemas.openxmlformats.org/officeDocument/2006/relationships/hyperlink" Target="mailto:cvaldez@ext.sancorseguros.com" TargetMode="External"/><Relationship Id="rId1921" Type="http://schemas.openxmlformats.org/officeDocument/2006/relationships/hyperlink" Target="mailto:vloray@ext.sancorseguros.com" TargetMode="External"/><Relationship Id="rId2488" Type="http://schemas.openxmlformats.org/officeDocument/2006/relationships/hyperlink" Target="mailto:mizzo@ext.sancorseguros.com" TargetMode="External"/><Relationship Id="rId1297" Type="http://schemas.openxmlformats.org/officeDocument/2006/relationships/hyperlink" Target="mailto:madecarvalho@sancorseguros.com" TargetMode="External"/><Relationship Id="rId2695" Type="http://schemas.openxmlformats.org/officeDocument/2006/relationships/hyperlink" Target="mailto:gleguizamon@ext.sancorseguros.com" TargetMode="External"/><Relationship Id="rId3539" Type="http://schemas.openxmlformats.org/officeDocument/2006/relationships/hyperlink" Target="mailto:pmalchiodi@sancorseguros.com" TargetMode="External"/><Relationship Id="rId667" Type="http://schemas.openxmlformats.org/officeDocument/2006/relationships/hyperlink" Target="mailto:mizzo@ext.sancorseguros.com" TargetMode="External"/><Relationship Id="rId874" Type="http://schemas.openxmlformats.org/officeDocument/2006/relationships/hyperlink" Target="mailto:mizzo@ext.sancorseguros.com" TargetMode="External"/><Relationship Id="rId2348" Type="http://schemas.openxmlformats.org/officeDocument/2006/relationships/hyperlink" Target="mailto:abinau@sancorseguros.com" TargetMode="External"/><Relationship Id="rId2555" Type="http://schemas.openxmlformats.org/officeDocument/2006/relationships/hyperlink" Target="mailto:mizzo@ext.sancorseguros.com" TargetMode="External"/><Relationship Id="rId2762" Type="http://schemas.openxmlformats.org/officeDocument/2006/relationships/hyperlink" Target="mailto:abinau@sancorseguros.com" TargetMode="External"/><Relationship Id="rId3606" Type="http://schemas.openxmlformats.org/officeDocument/2006/relationships/hyperlink" Target="mailto:lbarboza@ext.sancorseguros.com" TargetMode="External"/><Relationship Id="rId527" Type="http://schemas.openxmlformats.org/officeDocument/2006/relationships/hyperlink" Target="mailto:camgonzalez@sancorseguros.com" TargetMode="External"/><Relationship Id="rId734" Type="http://schemas.openxmlformats.org/officeDocument/2006/relationships/hyperlink" Target="mailto:gleguizamon@ext.sancorseguros.com" TargetMode="External"/><Relationship Id="rId941" Type="http://schemas.openxmlformats.org/officeDocument/2006/relationships/hyperlink" Target="mailto:gmgutierrez@ext.sancorseguros.com" TargetMode="External"/><Relationship Id="rId1157" Type="http://schemas.openxmlformats.org/officeDocument/2006/relationships/hyperlink" Target="mailto:gleguizamon@ext.sancorseguros.com" TargetMode="External"/><Relationship Id="rId1364" Type="http://schemas.openxmlformats.org/officeDocument/2006/relationships/hyperlink" Target="mailto:mmaccarrone@ext.sancorseguros.com" TargetMode="External"/><Relationship Id="rId1571" Type="http://schemas.openxmlformats.org/officeDocument/2006/relationships/hyperlink" Target="mailto:cvaldez@ext.sancorseguros.com" TargetMode="External"/><Relationship Id="rId2208" Type="http://schemas.openxmlformats.org/officeDocument/2006/relationships/hyperlink" Target="mailto:mmaccarrone@ext.sancorseguros.com" TargetMode="External"/><Relationship Id="rId2415" Type="http://schemas.openxmlformats.org/officeDocument/2006/relationships/hyperlink" Target="mailto:mmaccarrone@ext.sancorseguros.com" TargetMode="External"/><Relationship Id="rId2622" Type="http://schemas.openxmlformats.org/officeDocument/2006/relationships/hyperlink" Target="mailto:madecarvalho@sancorseguros.com" TargetMode="External"/><Relationship Id="rId70" Type="http://schemas.openxmlformats.org/officeDocument/2006/relationships/hyperlink" Target="mailto:abinau@sancorseguros.com" TargetMode="External"/><Relationship Id="rId801" Type="http://schemas.openxmlformats.org/officeDocument/2006/relationships/hyperlink" Target="mailto:anunzio@sancorseguros.com" TargetMode="External"/><Relationship Id="rId1017" Type="http://schemas.openxmlformats.org/officeDocument/2006/relationships/hyperlink" Target="mailto:rmomartinez@sancorseguros.com" TargetMode="External"/><Relationship Id="rId1224" Type="http://schemas.openxmlformats.org/officeDocument/2006/relationships/hyperlink" Target="mailto:camgonzalez@sancorseguros.com" TargetMode="External"/><Relationship Id="rId1431" Type="http://schemas.openxmlformats.org/officeDocument/2006/relationships/hyperlink" Target="mailto:mizzo@ext.sancorseguros.com" TargetMode="External"/><Relationship Id="rId3189" Type="http://schemas.openxmlformats.org/officeDocument/2006/relationships/hyperlink" Target="mailto:cvaldez@ext.sancorseguros.com" TargetMode="External"/><Relationship Id="rId3396" Type="http://schemas.openxmlformats.org/officeDocument/2006/relationships/hyperlink" Target="mailto:fsantorum@sancorseguros.com" TargetMode="External"/><Relationship Id="rId3049" Type="http://schemas.openxmlformats.org/officeDocument/2006/relationships/hyperlink" Target="mailto:camgonzalez@sancorseguros.com" TargetMode="External"/><Relationship Id="rId3256" Type="http://schemas.openxmlformats.org/officeDocument/2006/relationships/hyperlink" Target="mailto:cvaldez@ext.sancorseguros.com" TargetMode="External"/><Relationship Id="rId3463" Type="http://schemas.openxmlformats.org/officeDocument/2006/relationships/hyperlink" Target="mailto:pmalchiodi@sancorseguros.com" TargetMode="External"/><Relationship Id="rId177" Type="http://schemas.openxmlformats.org/officeDocument/2006/relationships/hyperlink" Target="mailto:ludiaz@ext.sancorseguros.com" TargetMode="External"/><Relationship Id="rId384" Type="http://schemas.openxmlformats.org/officeDocument/2006/relationships/hyperlink" Target="mailto:camgonzalez@sancorseguros.com" TargetMode="External"/><Relationship Id="rId591" Type="http://schemas.openxmlformats.org/officeDocument/2006/relationships/hyperlink" Target="mailto:amrodriguez@sancorseguros.com" TargetMode="External"/><Relationship Id="rId2065" Type="http://schemas.openxmlformats.org/officeDocument/2006/relationships/hyperlink" Target="mailto:mkester@sancorseguros.com" TargetMode="External"/><Relationship Id="rId2272" Type="http://schemas.openxmlformats.org/officeDocument/2006/relationships/hyperlink" Target="mailto:mizzo@ext.sancorseguros.com" TargetMode="External"/><Relationship Id="rId3116" Type="http://schemas.openxmlformats.org/officeDocument/2006/relationships/hyperlink" Target="mailto:lbarboza@ext.sancorseguros.com" TargetMode="External"/><Relationship Id="rId244" Type="http://schemas.openxmlformats.org/officeDocument/2006/relationships/hyperlink" Target="mailto:cpavon@sancorseguros.com" TargetMode="External"/><Relationship Id="rId1081" Type="http://schemas.openxmlformats.org/officeDocument/2006/relationships/hyperlink" Target="mailto:cvaldez@ext.sancorseguros.com" TargetMode="External"/><Relationship Id="rId3323" Type="http://schemas.openxmlformats.org/officeDocument/2006/relationships/hyperlink" Target="mailto:cvaldez@ext.sancorseguros.com" TargetMode="External"/><Relationship Id="rId3530" Type="http://schemas.openxmlformats.org/officeDocument/2006/relationships/hyperlink" Target="mailto:mascallia@sancorseguros.com" TargetMode="External"/><Relationship Id="rId451" Type="http://schemas.openxmlformats.org/officeDocument/2006/relationships/hyperlink" Target="mailto:milmartinez@ext.sancorseguros.com" TargetMode="External"/><Relationship Id="rId2132" Type="http://schemas.openxmlformats.org/officeDocument/2006/relationships/hyperlink" Target="mailto:pmalchiodi@sancorseguros.com" TargetMode="External"/><Relationship Id="rId104" Type="http://schemas.openxmlformats.org/officeDocument/2006/relationships/hyperlink" Target="mailto:czardain@sancorseguros.com" TargetMode="External"/><Relationship Id="rId311" Type="http://schemas.openxmlformats.org/officeDocument/2006/relationships/hyperlink" Target="mailto:cpavon@sancorseguros.com" TargetMode="External"/><Relationship Id="rId1898" Type="http://schemas.openxmlformats.org/officeDocument/2006/relationships/hyperlink" Target="mailto:cpavon@sancorseguros.com" TargetMode="External"/><Relationship Id="rId2949" Type="http://schemas.openxmlformats.org/officeDocument/2006/relationships/hyperlink" Target="mailto:lbarboza@ext.sancorseguros.com" TargetMode="External"/><Relationship Id="rId1758" Type="http://schemas.openxmlformats.org/officeDocument/2006/relationships/hyperlink" Target="mailto:bdemiguel@sancorseguros.com" TargetMode="External"/><Relationship Id="rId2809" Type="http://schemas.openxmlformats.org/officeDocument/2006/relationships/hyperlink" Target="mailto:mkester@sancorseguros.com" TargetMode="External"/><Relationship Id="rId1965" Type="http://schemas.openxmlformats.org/officeDocument/2006/relationships/hyperlink" Target="mailto:abinau@sancorseguros.com" TargetMode="External"/><Relationship Id="rId3180" Type="http://schemas.openxmlformats.org/officeDocument/2006/relationships/hyperlink" Target="mailto:mascallia@sancorseguros.com" TargetMode="External"/><Relationship Id="rId1618" Type="http://schemas.openxmlformats.org/officeDocument/2006/relationships/hyperlink" Target="mailto:cvaldez@ext.sancorseguros.com" TargetMode="External"/><Relationship Id="rId1825" Type="http://schemas.openxmlformats.org/officeDocument/2006/relationships/hyperlink" Target="mailto:anunzio@sancorseguros.com" TargetMode="External"/><Relationship Id="rId3040" Type="http://schemas.openxmlformats.org/officeDocument/2006/relationships/hyperlink" Target="mailto:pmalchiodi@sancorseguros.com" TargetMode="External"/><Relationship Id="rId2599" Type="http://schemas.openxmlformats.org/officeDocument/2006/relationships/hyperlink" Target="mailto:amrodriguez@sancorseguros.com" TargetMode="External"/><Relationship Id="rId778" Type="http://schemas.openxmlformats.org/officeDocument/2006/relationships/hyperlink" Target="mailto:jboulle@sancorseguros.com" TargetMode="External"/><Relationship Id="rId985" Type="http://schemas.openxmlformats.org/officeDocument/2006/relationships/hyperlink" Target="mailto:mascallia@sancorseguros.com" TargetMode="External"/><Relationship Id="rId2459" Type="http://schemas.openxmlformats.org/officeDocument/2006/relationships/hyperlink" Target="mailto:cpavon@sancorseguros.com" TargetMode="External"/><Relationship Id="rId2666" Type="http://schemas.openxmlformats.org/officeDocument/2006/relationships/hyperlink" Target="mailto:abinau@sancorseguros.com" TargetMode="External"/><Relationship Id="rId2873" Type="http://schemas.openxmlformats.org/officeDocument/2006/relationships/hyperlink" Target="mailto:pmalchiodi@sancorseguros.com" TargetMode="External"/><Relationship Id="rId638" Type="http://schemas.openxmlformats.org/officeDocument/2006/relationships/hyperlink" Target="mailto:mmaccarrone@ext.sancorseguros.com" TargetMode="External"/><Relationship Id="rId845" Type="http://schemas.openxmlformats.org/officeDocument/2006/relationships/hyperlink" Target="mailto:mmaccarrone@ext.sancorseguros.com" TargetMode="External"/><Relationship Id="rId1268" Type="http://schemas.openxmlformats.org/officeDocument/2006/relationships/hyperlink" Target="mailto:cpavon@sancorseguros.com" TargetMode="External"/><Relationship Id="rId1475" Type="http://schemas.openxmlformats.org/officeDocument/2006/relationships/hyperlink" Target="mailto:rmomartinez@sancorseguros.com" TargetMode="External"/><Relationship Id="rId1682" Type="http://schemas.openxmlformats.org/officeDocument/2006/relationships/hyperlink" Target="mailto:fsantorum@sancorseguros.com" TargetMode="External"/><Relationship Id="rId2319" Type="http://schemas.openxmlformats.org/officeDocument/2006/relationships/hyperlink" Target="mailto:madecarvalho@sancorseguros.com" TargetMode="External"/><Relationship Id="rId2526" Type="http://schemas.openxmlformats.org/officeDocument/2006/relationships/hyperlink" Target="mailto:pgirardin@sancorseguros.com" TargetMode="External"/><Relationship Id="rId2733" Type="http://schemas.openxmlformats.org/officeDocument/2006/relationships/hyperlink" Target="mailto:amrodriguez@sancorseguros.com" TargetMode="External"/><Relationship Id="rId705" Type="http://schemas.openxmlformats.org/officeDocument/2006/relationships/hyperlink" Target="mailto:mizzo@ext.sancorseguros.com" TargetMode="External"/><Relationship Id="rId1128" Type="http://schemas.openxmlformats.org/officeDocument/2006/relationships/hyperlink" Target="mailto:mizzo@ext.sancorseguros.com" TargetMode="External"/><Relationship Id="rId1335" Type="http://schemas.openxmlformats.org/officeDocument/2006/relationships/hyperlink" Target="mailto:jsandoval@sancorseguros.com" TargetMode="External"/><Relationship Id="rId1542" Type="http://schemas.openxmlformats.org/officeDocument/2006/relationships/hyperlink" Target="mailto:gmgutierrez@ext.sancorseguros.com" TargetMode="External"/><Relationship Id="rId2940" Type="http://schemas.openxmlformats.org/officeDocument/2006/relationships/hyperlink" Target="mailto:pgirardin@sancorseguros.com" TargetMode="External"/><Relationship Id="rId912" Type="http://schemas.openxmlformats.org/officeDocument/2006/relationships/hyperlink" Target="mailto:milmartinez@ext.sancorseguros.com" TargetMode="External"/><Relationship Id="rId2800" Type="http://schemas.openxmlformats.org/officeDocument/2006/relationships/hyperlink" Target="mailto:dtoledo@sancorseguros.com" TargetMode="External"/><Relationship Id="rId41" Type="http://schemas.openxmlformats.org/officeDocument/2006/relationships/hyperlink" Target="mailto:miiglesias@ext.sancorseguros.com" TargetMode="External"/><Relationship Id="rId1402" Type="http://schemas.openxmlformats.org/officeDocument/2006/relationships/hyperlink" Target="mailto:gmgutierrez@ext.sancorseguros.com" TargetMode="External"/><Relationship Id="rId288" Type="http://schemas.openxmlformats.org/officeDocument/2006/relationships/hyperlink" Target="mailto:mizzo@ext.sancorseguros.com" TargetMode="External"/><Relationship Id="rId3367" Type="http://schemas.openxmlformats.org/officeDocument/2006/relationships/hyperlink" Target="mailto:rmomartinez@sancorseguros.com" TargetMode="External"/><Relationship Id="rId3574" Type="http://schemas.openxmlformats.org/officeDocument/2006/relationships/hyperlink" Target="mailto:camgonzalez@sancorseguros.com" TargetMode="External"/><Relationship Id="rId495" Type="http://schemas.openxmlformats.org/officeDocument/2006/relationships/hyperlink" Target="mailto:gmgutierrez@ext.sancorseguros.com" TargetMode="External"/><Relationship Id="rId2176" Type="http://schemas.openxmlformats.org/officeDocument/2006/relationships/hyperlink" Target="mailto:mmaccarrone@ext.sancorseguros.com" TargetMode="External"/><Relationship Id="rId2383" Type="http://schemas.openxmlformats.org/officeDocument/2006/relationships/hyperlink" Target="mailto:camgonzalez@sancorseguros.com" TargetMode="External"/><Relationship Id="rId2590" Type="http://schemas.openxmlformats.org/officeDocument/2006/relationships/hyperlink" Target="mailto:abinau@sancorseguros.com" TargetMode="External"/><Relationship Id="rId3227" Type="http://schemas.openxmlformats.org/officeDocument/2006/relationships/hyperlink" Target="mailto:bdemiguel@sancorseguros.com" TargetMode="External"/><Relationship Id="rId3434" Type="http://schemas.openxmlformats.org/officeDocument/2006/relationships/hyperlink" Target="mailto:mascallia@sancorseguros.com" TargetMode="External"/><Relationship Id="rId3641" Type="http://schemas.openxmlformats.org/officeDocument/2006/relationships/hyperlink" Target="mailto:rmomartinez@sancorseguros.com" TargetMode="External"/><Relationship Id="rId148" Type="http://schemas.openxmlformats.org/officeDocument/2006/relationships/hyperlink" Target="mailto:gmgutierrez@ext.sancorseguros.com" TargetMode="External"/><Relationship Id="rId355" Type="http://schemas.openxmlformats.org/officeDocument/2006/relationships/hyperlink" Target="mailto:milmartinez@ext.sancorseguros.com" TargetMode="External"/><Relationship Id="rId562" Type="http://schemas.openxmlformats.org/officeDocument/2006/relationships/hyperlink" Target="mailto:cpavon@sancorseguros.com" TargetMode="External"/><Relationship Id="rId1192" Type="http://schemas.openxmlformats.org/officeDocument/2006/relationships/hyperlink" Target="mailto:gpachao@sancorseguros.com" TargetMode="External"/><Relationship Id="rId2036" Type="http://schemas.openxmlformats.org/officeDocument/2006/relationships/hyperlink" Target="mailto:mizzo@ext.sancorseguros.com" TargetMode="External"/><Relationship Id="rId2243" Type="http://schemas.openxmlformats.org/officeDocument/2006/relationships/hyperlink" Target="mailto:mizzo@ext.sancorseguros.com" TargetMode="External"/><Relationship Id="rId2450" Type="http://schemas.openxmlformats.org/officeDocument/2006/relationships/hyperlink" Target="mailto:abinau@sancorseguros.com" TargetMode="External"/><Relationship Id="rId3501" Type="http://schemas.openxmlformats.org/officeDocument/2006/relationships/hyperlink" Target="mailto:gleguizamon@ext.sancorseguros.com" TargetMode="External"/><Relationship Id="rId215" Type="http://schemas.openxmlformats.org/officeDocument/2006/relationships/hyperlink" Target="mailto:abinau@sancorseguros.com" TargetMode="External"/><Relationship Id="rId422" Type="http://schemas.openxmlformats.org/officeDocument/2006/relationships/hyperlink" Target="mailto:bdemiguel@sancorseguros.com" TargetMode="External"/><Relationship Id="rId1052" Type="http://schemas.openxmlformats.org/officeDocument/2006/relationships/hyperlink" Target="mailto:gleguizamon@ext.sancorseguros.com" TargetMode="External"/><Relationship Id="rId2103" Type="http://schemas.openxmlformats.org/officeDocument/2006/relationships/hyperlink" Target="mailto:gleguizamon@ext.sancorseguros.com" TargetMode="External"/><Relationship Id="rId2310" Type="http://schemas.openxmlformats.org/officeDocument/2006/relationships/hyperlink" Target="mailto:gpachao@sancorseguros.com" TargetMode="External"/><Relationship Id="rId1869" Type="http://schemas.openxmlformats.org/officeDocument/2006/relationships/hyperlink" Target="mailto:abinau@sancorseguros.com" TargetMode="External"/><Relationship Id="rId3084" Type="http://schemas.openxmlformats.org/officeDocument/2006/relationships/hyperlink" Target="mailto:lbarboza@ext.sancorseguros.com" TargetMode="External"/><Relationship Id="rId3291" Type="http://schemas.openxmlformats.org/officeDocument/2006/relationships/hyperlink" Target="mailto:pmalchiodi@sancorseguros.com" TargetMode="External"/><Relationship Id="rId1729" Type="http://schemas.openxmlformats.org/officeDocument/2006/relationships/hyperlink" Target="mailto:gmgutierrez@ext.sancorseguros.com" TargetMode="External"/><Relationship Id="rId1936" Type="http://schemas.openxmlformats.org/officeDocument/2006/relationships/hyperlink" Target="mailto:madecarvalho@sancorseguros.com" TargetMode="External"/><Relationship Id="rId3151" Type="http://schemas.openxmlformats.org/officeDocument/2006/relationships/hyperlink" Target="mailto:dtoledo@sancorseguros.com" TargetMode="External"/><Relationship Id="rId3011" Type="http://schemas.openxmlformats.org/officeDocument/2006/relationships/hyperlink" Target="mailto:mizzo@ext.sancorseguros.com" TargetMode="External"/><Relationship Id="rId5" Type="http://schemas.openxmlformats.org/officeDocument/2006/relationships/hyperlink" Target="mailto:mizzo@ext.sancorseguros.com" TargetMode="External"/><Relationship Id="rId889" Type="http://schemas.openxmlformats.org/officeDocument/2006/relationships/hyperlink" Target="mailto:gpachao@sancorseguros.com" TargetMode="External"/><Relationship Id="rId2777" Type="http://schemas.openxmlformats.org/officeDocument/2006/relationships/hyperlink" Target="mailto:mascallia@sancorseguros.com" TargetMode="External"/><Relationship Id="rId749" Type="http://schemas.openxmlformats.org/officeDocument/2006/relationships/hyperlink" Target="mailto:mizzo@ext.sancorseguros.com" TargetMode="External"/><Relationship Id="rId1379" Type="http://schemas.openxmlformats.org/officeDocument/2006/relationships/hyperlink" Target="mailto:cvaldez@ext.sancorseguros.com" TargetMode="External"/><Relationship Id="rId1586" Type="http://schemas.openxmlformats.org/officeDocument/2006/relationships/hyperlink" Target="mailto:czardain@sancorseguros.com" TargetMode="External"/><Relationship Id="rId2984" Type="http://schemas.openxmlformats.org/officeDocument/2006/relationships/hyperlink" Target="mailto:madecarvalho@sancorseguros.com" TargetMode="External"/><Relationship Id="rId609" Type="http://schemas.openxmlformats.org/officeDocument/2006/relationships/hyperlink" Target="mailto:mizzo@ext.sancorseguros.com" TargetMode="External"/><Relationship Id="rId956" Type="http://schemas.openxmlformats.org/officeDocument/2006/relationships/hyperlink" Target="mailto:cvaldez@ext.sancorseguros.com" TargetMode="External"/><Relationship Id="rId1239" Type="http://schemas.openxmlformats.org/officeDocument/2006/relationships/hyperlink" Target="mailto:lbarboza@ext.sancorseguros.com" TargetMode="External"/><Relationship Id="rId1793" Type="http://schemas.openxmlformats.org/officeDocument/2006/relationships/hyperlink" Target="mailto:fsantorum@sancorseguros.com" TargetMode="External"/><Relationship Id="rId2637" Type="http://schemas.openxmlformats.org/officeDocument/2006/relationships/hyperlink" Target="mailto:gleguizamon@ext.sancorseguros.com" TargetMode="External"/><Relationship Id="rId2844" Type="http://schemas.openxmlformats.org/officeDocument/2006/relationships/hyperlink" Target="mailto:mizzo@ext.sancorseguros.com" TargetMode="External"/><Relationship Id="rId85" Type="http://schemas.openxmlformats.org/officeDocument/2006/relationships/hyperlink" Target="mailto:pgirardin@sancorseguros.com" TargetMode="External"/><Relationship Id="rId816" Type="http://schemas.openxmlformats.org/officeDocument/2006/relationships/hyperlink" Target="mailto:milmartinez@ext.sancorseguros.com" TargetMode="External"/><Relationship Id="rId1446" Type="http://schemas.openxmlformats.org/officeDocument/2006/relationships/hyperlink" Target="mailto:dtoledo@sancorseguros.com" TargetMode="External"/><Relationship Id="rId1653" Type="http://schemas.openxmlformats.org/officeDocument/2006/relationships/hyperlink" Target="mailto:mmaccarrone@ext.sancorseguros.com" TargetMode="External"/><Relationship Id="rId1860" Type="http://schemas.openxmlformats.org/officeDocument/2006/relationships/hyperlink" Target="mailto:gmgutierrez@ext.sancorseguros.com" TargetMode="External"/><Relationship Id="rId2704" Type="http://schemas.openxmlformats.org/officeDocument/2006/relationships/hyperlink" Target="mailto:pgirardin@sancorseguros.com" TargetMode="External"/><Relationship Id="rId2911" Type="http://schemas.openxmlformats.org/officeDocument/2006/relationships/hyperlink" Target="mailto:anunzio@sancorseguros.com" TargetMode="External"/><Relationship Id="rId1306" Type="http://schemas.openxmlformats.org/officeDocument/2006/relationships/hyperlink" Target="mailto:gmgutierrez@ext.sancorseguros.com" TargetMode="External"/><Relationship Id="rId1513" Type="http://schemas.openxmlformats.org/officeDocument/2006/relationships/hyperlink" Target="mailto:milmartinez@ext.sancorseguros.com" TargetMode="External"/><Relationship Id="rId1720" Type="http://schemas.openxmlformats.org/officeDocument/2006/relationships/hyperlink" Target="mailto:anunzio@sancorseguros.com" TargetMode="External"/><Relationship Id="rId12" Type="http://schemas.openxmlformats.org/officeDocument/2006/relationships/hyperlink" Target="mailto:abinau@sancorseguros.com" TargetMode="External"/><Relationship Id="rId3478" Type="http://schemas.openxmlformats.org/officeDocument/2006/relationships/hyperlink" Target="mailto:gleguizamon@ext.sancorseguros.com" TargetMode="External"/><Relationship Id="rId399" Type="http://schemas.openxmlformats.org/officeDocument/2006/relationships/hyperlink" Target="mailto:mizzo@ext.sancorseguros.com" TargetMode="External"/><Relationship Id="rId2287" Type="http://schemas.openxmlformats.org/officeDocument/2006/relationships/hyperlink" Target="mailto:czardain@sancorseguros.com" TargetMode="External"/><Relationship Id="rId2494" Type="http://schemas.openxmlformats.org/officeDocument/2006/relationships/hyperlink" Target="mailto:vloray@ext.sancorseguros.com" TargetMode="External"/><Relationship Id="rId3338" Type="http://schemas.openxmlformats.org/officeDocument/2006/relationships/hyperlink" Target="mailto:mmaccarrone@ext.sancorseguros.com" TargetMode="External"/><Relationship Id="rId3545" Type="http://schemas.openxmlformats.org/officeDocument/2006/relationships/hyperlink" Target="mailto:cvaldez@ext.sancorseguros.com" TargetMode="External"/><Relationship Id="rId259" Type="http://schemas.openxmlformats.org/officeDocument/2006/relationships/hyperlink" Target="mailto:cpavon@sancorseguros.com" TargetMode="External"/><Relationship Id="rId466" Type="http://schemas.openxmlformats.org/officeDocument/2006/relationships/hyperlink" Target="mailto:rmomartinez@sancorseguros.com" TargetMode="External"/><Relationship Id="rId673" Type="http://schemas.openxmlformats.org/officeDocument/2006/relationships/hyperlink" Target="mailto:abinau@sancorseguros.com" TargetMode="External"/><Relationship Id="rId880" Type="http://schemas.openxmlformats.org/officeDocument/2006/relationships/hyperlink" Target="mailto:pgirardin@sancorseguros.com" TargetMode="External"/><Relationship Id="rId1096" Type="http://schemas.openxmlformats.org/officeDocument/2006/relationships/hyperlink" Target="mailto:milmartinez@ext.sancorseguros.com" TargetMode="External"/><Relationship Id="rId2147" Type="http://schemas.openxmlformats.org/officeDocument/2006/relationships/hyperlink" Target="mailto:mizzo@ext.sancorseguros.com" TargetMode="External"/><Relationship Id="rId2354" Type="http://schemas.openxmlformats.org/officeDocument/2006/relationships/hyperlink" Target="mailto:abinau@sancorseguros.com" TargetMode="External"/><Relationship Id="rId2561" Type="http://schemas.openxmlformats.org/officeDocument/2006/relationships/hyperlink" Target="mailto:rperez@sancorseguros.com" TargetMode="External"/><Relationship Id="rId3405" Type="http://schemas.openxmlformats.org/officeDocument/2006/relationships/hyperlink" Target="mailto:amrodriguez@sancorseguros.com" TargetMode="External"/><Relationship Id="rId119" Type="http://schemas.openxmlformats.org/officeDocument/2006/relationships/hyperlink" Target="mailto:bdemiguel@sancorseguros.com" TargetMode="External"/><Relationship Id="rId326" Type="http://schemas.openxmlformats.org/officeDocument/2006/relationships/hyperlink" Target="mailto:abinau@sancorseguros.com" TargetMode="External"/><Relationship Id="rId533" Type="http://schemas.openxmlformats.org/officeDocument/2006/relationships/hyperlink" Target="mailto:bdemiguel@sancorseguros.com" TargetMode="External"/><Relationship Id="rId1163" Type="http://schemas.openxmlformats.org/officeDocument/2006/relationships/hyperlink" Target="mailto:milmartinez@ext.sancorseguros.com" TargetMode="External"/><Relationship Id="rId1370" Type="http://schemas.openxmlformats.org/officeDocument/2006/relationships/hyperlink" Target="mailto:rmomartinez@sancorseguros.com" TargetMode="External"/><Relationship Id="rId2007" Type="http://schemas.openxmlformats.org/officeDocument/2006/relationships/hyperlink" Target="mailto:mmaccarrone@ext.sancorseguros.com" TargetMode="External"/><Relationship Id="rId2214" Type="http://schemas.openxmlformats.org/officeDocument/2006/relationships/hyperlink" Target="mailto:mevangelista@sancorseguros.com" TargetMode="External"/><Relationship Id="rId3612" Type="http://schemas.openxmlformats.org/officeDocument/2006/relationships/hyperlink" Target="mailto:vloray@ext.sancorseguros.com" TargetMode="External"/><Relationship Id="rId740" Type="http://schemas.openxmlformats.org/officeDocument/2006/relationships/hyperlink" Target="mailto:mizzo@ext.sancorseguros.com" TargetMode="External"/><Relationship Id="rId1023" Type="http://schemas.openxmlformats.org/officeDocument/2006/relationships/hyperlink" Target="mailto:cpavon@sancorseguros.com" TargetMode="External"/><Relationship Id="rId2421" Type="http://schemas.openxmlformats.org/officeDocument/2006/relationships/hyperlink" Target="mailto:rmomartinez@sancorseguros.com" TargetMode="External"/><Relationship Id="rId600" Type="http://schemas.openxmlformats.org/officeDocument/2006/relationships/hyperlink" Target="mailto:mizzo@ext.sancorseguros.com" TargetMode="External"/><Relationship Id="rId1230" Type="http://schemas.openxmlformats.org/officeDocument/2006/relationships/hyperlink" Target="mailto:milmartinez@ext.sancorseguros.com" TargetMode="External"/><Relationship Id="rId3195" Type="http://schemas.openxmlformats.org/officeDocument/2006/relationships/hyperlink" Target="mailto:milmartinez@ext.sancorseguros.com" TargetMode="External"/><Relationship Id="rId3055" Type="http://schemas.openxmlformats.org/officeDocument/2006/relationships/hyperlink" Target="mailto:madecarvalho@sancorseguros.com" TargetMode="External"/><Relationship Id="rId3262" Type="http://schemas.openxmlformats.org/officeDocument/2006/relationships/hyperlink" Target="mailto:fsantorum@sancorseguros.com" TargetMode="External"/><Relationship Id="rId183" Type="http://schemas.openxmlformats.org/officeDocument/2006/relationships/hyperlink" Target="mailto:abinau@sancorseguros.com" TargetMode="External"/><Relationship Id="rId390" Type="http://schemas.openxmlformats.org/officeDocument/2006/relationships/hyperlink" Target="mailto:camgonzalez@sancorseguros.com" TargetMode="External"/><Relationship Id="rId1907" Type="http://schemas.openxmlformats.org/officeDocument/2006/relationships/hyperlink" Target="mailto:mascallia@sancorseguros.com" TargetMode="External"/><Relationship Id="rId2071" Type="http://schemas.openxmlformats.org/officeDocument/2006/relationships/hyperlink" Target="mailto:anunzio@sancorseguros.com" TargetMode="External"/><Relationship Id="rId3122" Type="http://schemas.openxmlformats.org/officeDocument/2006/relationships/hyperlink" Target="mailto:pmalchiodi@sancorseguros.com" TargetMode="External"/><Relationship Id="rId250" Type="http://schemas.openxmlformats.org/officeDocument/2006/relationships/hyperlink" Target="mailto:jboulle@sancorseguros.com" TargetMode="External"/><Relationship Id="rId110" Type="http://schemas.openxmlformats.org/officeDocument/2006/relationships/hyperlink" Target="mailto:mkester@sancorseguros.com" TargetMode="External"/><Relationship Id="rId2888" Type="http://schemas.openxmlformats.org/officeDocument/2006/relationships/hyperlink" Target="mailto:abinau@sancorseguros.com" TargetMode="External"/><Relationship Id="rId1697" Type="http://schemas.openxmlformats.org/officeDocument/2006/relationships/hyperlink" Target="mailto:abinau@sancorseguros.com" TargetMode="External"/><Relationship Id="rId2748" Type="http://schemas.openxmlformats.org/officeDocument/2006/relationships/hyperlink" Target="mailto:mkester@sancorseguros.com" TargetMode="External"/><Relationship Id="rId2955" Type="http://schemas.openxmlformats.org/officeDocument/2006/relationships/hyperlink" Target="mailto:mizzo@ext.sancorseguros.com" TargetMode="External"/><Relationship Id="rId927" Type="http://schemas.openxmlformats.org/officeDocument/2006/relationships/hyperlink" Target="mailto:mmaccarrone@ext.sancorseguros.com" TargetMode="External"/><Relationship Id="rId1557" Type="http://schemas.openxmlformats.org/officeDocument/2006/relationships/hyperlink" Target="mailto:cpavon@sancorseguros.com" TargetMode="External"/><Relationship Id="rId1764" Type="http://schemas.openxmlformats.org/officeDocument/2006/relationships/hyperlink" Target="mailto:mizzo@ext.sancorseguros.com" TargetMode="External"/><Relationship Id="rId1971" Type="http://schemas.openxmlformats.org/officeDocument/2006/relationships/hyperlink" Target="mailto:camgonzalez@sancorseguros.com" TargetMode="External"/><Relationship Id="rId2608" Type="http://schemas.openxmlformats.org/officeDocument/2006/relationships/hyperlink" Target="mailto:pasalcedo@sancorseguros.com" TargetMode="External"/><Relationship Id="rId2815" Type="http://schemas.openxmlformats.org/officeDocument/2006/relationships/hyperlink" Target="mailto:rfernandez@sancorseguros.com" TargetMode="External"/><Relationship Id="rId56" Type="http://schemas.openxmlformats.org/officeDocument/2006/relationships/hyperlink" Target="mailto:cpavon@sancorseguros.com" TargetMode="External"/><Relationship Id="rId1417" Type="http://schemas.openxmlformats.org/officeDocument/2006/relationships/hyperlink" Target="mailto:cmattioli@sancorseguros.com" TargetMode="External"/><Relationship Id="rId1624" Type="http://schemas.openxmlformats.org/officeDocument/2006/relationships/hyperlink" Target="mailto:mizzo@ext.sancorseguros.com" TargetMode="External"/><Relationship Id="rId1831" Type="http://schemas.openxmlformats.org/officeDocument/2006/relationships/hyperlink" Target="mailto:madecarvalho@sancorseguros.com" TargetMode="External"/><Relationship Id="rId3589" Type="http://schemas.openxmlformats.org/officeDocument/2006/relationships/hyperlink" Target="mailto:madecarvalho@sancorseguros.com" TargetMode="External"/><Relationship Id="rId2398" Type="http://schemas.openxmlformats.org/officeDocument/2006/relationships/hyperlink" Target="mailto:madecarvalho@sancorseguros.com" TargetMode="External"/><Relationship Id="rId3449" Type="http://schemas.openxmlformats.org/officeDocument/2006/relationships/hyperlink" Target="mailto:mkester@sancorseguros.com" TargetMode="External"/><Relationship Id="rId577" Type="http://schemas.openxmlformats.org/officeDocument/2006/relationships/hyperlink" Target="mailto:gmgutierrez@ext.sancorseguros.com" TargetMode="External"/><Relationship Id="rId2258" Type="http://schemas.openxmlformats.org/officeDocument/2006/relationships/hyperlink" Target="mailto:mizzo@ext.sancorseguros.com" TargetMode="External"/><Relationship Id="rId784" Type="http://schemas.openxmlformats.org/officeDocument/2006/relationships/hyperlink" Target="mailto:mizzo@ext.sancorseguros.com" TargetMode="External"/><Relationship Id="rId991" Type="http://schemas.openxmlformats.org/officeDocument/2006/relationships/hyperlink" Target="mailto:rmomartinez@sancorseguros.com" TargetMode="External"/><Relationship Id="rId1067" Type="http://schemas.openxmlformats.org/officeDocument/2006/relationships/hyperlink" Target="mailto:mevangelista@sancorseguros.com" TargetMode="External"/><Relationship Id="rId2465" Type="http://schemas.openxmlformats.org/officeDocument/2006/relationships/hyperlink" Target="mailto:mkester@sancorseguros.com" TargetMode="External"/><Relationship Id="rId2672" Type="http://schemas.openxmlformats.org/officeDocument/2006/relationships/hyperlink" Target="mailto:mizzo@ext.sancorseguros.com" TargetMode="External"/><Relationship Id="rId3309" Type="http://schemas.openxmlformats.org/officeDocument/2006/relationships/hyperlink" Target="mailto:gmgutierrez@ext.sancorseguros.com" TargetMode="External"/><Relationship Id="rId3516" Type="http://schemas.openxmlformats.org/officeDocument/2006/relationships/hyperlink" Target="mailto:mmaccarrone@ext.sancorseguros.com" TargetMode="External"/><Relationship Id="rId437" Type="http://schemas.openxmlformats.org/officeDocument/2006/relationships/hyperlink" Target="mailto:mizzo@ext.sancorseguros.com" TargetMode="External"/><Relationship Id="rId644" Type="http://schemas.openxmlformats.org/officeDocument/2006/relationships/hyperlink" Target="mailto:mizzo@ext.sancorseguros.com" TargetMode="External"/><Relationship Id="rId851" Type="http://schemas.openxmlformats.org/officeDocument/2006/relationships/hyperlink" Target="mailto:bdemiguel@sancorseguros.com" TargetMode="External"/><Relationship Id="rId1274" Type="http://schemas.openxmlformats.org/officeDocument/2006/relationships/hyperlink" Target="mailto:gmgutierrez@ext.sancorseguros.com" TargetMode="External"/><Relationship Id="rId1481" Type="http://schemas.openxmlformats.org/officeDocument/2006/relationships/hyperlink" Target="mailto:gmgutierrez@ext.sancorseguros.com" TargetMode="External"/><Relationship Id="rId2118" Type="http://schemas.openxmlformats.org/officeDocument/2006/relationships/hyperlink" Target="mailto:gpachao@sancorseguros.com" TargetMode="External"/><Relationship Id="rId2325" Type="http://schemas.openxmlformats.org/officeDocument/2006/relationships/hyperlink" Target="mailto:madecarvalho@sancorseguros.com" TargetMode="External"/><Relationship Id="rId2532" Type="http://schemas.openxmlformats.org/officeDocument/2006/relationships/hyperlink" Target="mailto:anunzio@sancorseguros.com" TargetMode="External"/><Relationship Id="rId504" Type="http://schemas.openxmlformats.org/officeDocument/2006/relationships/hyperlink" Target="mailto:milmartinez@ext.sancorseguros.com" TargetMode="External"/><Relationship Id="rId711" Type="http://schemas.openxmlformats.org/officeDocument/2006/relationships/hyperlink" Target="mailto:cvaldez@ext.sancorseguros.com" TargetMode="External"/><Relationship Id="rId1134" Type="http://schemas.openxmlformats.org/officeDocument/2006/relationships/hyperlink" Target="mailto:cpavon@sancorseguros.com" TargetMode="External"/><Relationship Id="rId1341" Type="http://schemas.openxmlformats.org/officeDocument/2006/relationships/hyperlink" Target="mailto:cvaldez@ext.sancorseguros.com" TargetMode="External"/><Relationship Id="rId1201" Type="http://schemas.openxmlformats.org/officeDocument/2006/relationships/hyperlink" Target="mailto:mascallia@sancorseguros.com" TargetMode="External"/><Relationship Id="rId3099" Type="http://schemas.openxmlformats.org/officeDocument/2006/relationships/hyperlink" Target="mailto:mmaccarrone@ext.sancorseguros.com" TargetMode="External"/><Relationship Id="rId3166" Type="http://schemas.openxmlformats.org/officeDocument/2006/relationships/hyperlink" Target="mailto:madecarvalho@sancorseguros.com" TargetMode="External"/><Relationship Id="rId3373" Type="http://schemas.openxmlformats.org/officeDocument/2006/relationships/hyperlink" Target="mailto:gmgutierrez@ext.sancorseguros.com" TargetMode="External"/><Relationship Id="rId3580" Type="http://schemas.openxmlformats.org/officeDocument/2006/relationships/hyperlink" Target="mailto:mascallia@sancorseguros.com" TargetMode="External"/><Relationship Id="rId294" Type="http://schemas.openxmlformats.org/officeDocument/2006/relationships/hyperlink" Target="mailto:gmgutierrez@ext.sancorseguros.com" TargetMode="External"/><Relationship Id="rId2182" Type="http://schemas.openxmlformats.org/officeDocument/2006/relationships/hyperlink" Target="mailto:mizzo@ext.sancorseguros.com" TargetMode="External"/><Relationship Id="rId3026" Type="http://schemas.openxmlformats.org/officeDocument/2006/relationships/hyperlink" Target="mailto:madecarvalho@sancorseguros.com" TargetMode="External"/><Relationship Id="rId3233" Type="http://schemas.openxmlformats.org/officeDocument/2006/relationships/hyperlink" Target="mailto:rfernandez@sancorseguros.com" TargetMode="External"/><Relationship Id="rId154" Type="http://schemas.openxmlformats.org/officeDocument/2006/relationships/hyperlink" Target="mailto:abinau@sancorseguros.com" TargetMode="External"/><Relationship Id="rId361" Type="http://schemas.openxmlformats.org/officeDocument/2006/relationships/hyperlink" Target="mailto:mizzo@ext.sancorseguros.com" TargetMode="External"/><Relationship Id="rId2042" Type="http://schemas.openxmlformats.org/officeDocument/2006/relationships/hyperlink" Target="mailto:rmomartinez@sancorseguros.com" TargetMode="External"/><Relationship Id="rId3440" Type="http://schemas.openxmlformats.org/officeDocument/2006/relationships/hyperlink" Target="mailto:camgonzalez@sancorseguros.com" TargetMode="External"/><Relationship Id="rId2999" Type="http://schemas.openxmlformats.org/officeDocument/2006/relationships/hyperlink" Target="mailto:cvaldez@ext.sancorseguros.com" TargetMode="External"/><Relationship Id="rId3300" Type="http://schemas.openxmlformats.org/officeDocument/2006/relationships/hyperlink" Target="mailto:fsantorum@sancorseguros.com" TargetMode="External"/><Relationship Id="rId221" Type="http://schemas.openxmlformats.org/officeDocument/2006/relationships/hyperlink" Target="mailto:gleguizamon@ext.sancorseguros.com" TargetMode="External"/><Relationship Id="rId2859" Type="http://schemas.openxmlformats.org/officeDocument/2006/relationships/hyperlink" Target="mailto:mevangelista@sancorseguros.com" TargetMode="External"/><Relationship Id="rId1668" Type="http://schemas.openxmlformats.org/officeDocument/2006/relationships/hyperlink" Target="mailto:lbarboza@ext.sancorseguros.com" TargetMode="External"/><Relationship Id="rId1875" Type="http://schemas.openxmlformats.org/officeDocument/2006/relationships/hyperlink" Target="mailto:lbarboza@ext.sancorseguros.com" TargetMode="External"/><Relationship Id="rId2719" Type="http://schemas.openxmlformats.org/officeDocument/2006/relationships/hyperlink" Target="mailto:anunzio@sancorseguros.com" TargetMode="External"/><Relationship Id="rId1528" Type="http://schemas.openxmlformats.org/officeDocument/2006/relationships/hyperlink" Target="mailto:anunzio@sancorseguros.com" TargetMode="External"/><Relationship Id="rId2926" Type="http://schemas.openxmlformats.org/officeDocument/2006/relationships/hyperlink" Target="mailto:pmalchiodi@sancorseguros.com" TargetMode="External"/><Relationship Id="rId3090" Type="http://schemas.openxmlformats.org/officeDocument/2006/relationships/hyperlink" Target="mailto:gleguizamon@ext.sancorseguros.com" TargetMode="External"/><Relationship Id="rId1735" Type="http://schemas.openxmlformats.org/officeDocument/2006/relationships/hyperlink" Target="mailto:mizzo@ext.sancorseguros.com" TargetMode="External"/><Relationship Id="rId1942" Type="http://schemas.openxmlformats.org/officeDocument/2006/relationships/hyperlink" Target="mailto:cpavon@sancorseguros.com" TargetMode="External"/><Relationship Id="rId27" Type="http://schemas.openxmlformats.org/officeDocument/2006/relationships/hyperlink" Target="mailto:madecarvalho@sancorseguros.com" TargetMode="External"/><Relationship Id="rId1802" Type="http://schemas.openxmlformats.org/officeDocument/2006/relationships/hyperlink" Target="mailto:mizzo@ext.sancorseguros.com" TargetMode="External"/><Relationship Id="rId688" Type="http://schemas.openxmlformats.org/officeDocument/2006/relationships/hyperlink" Target="mailto:jsandoval@sancorseguros.com" TargetMode="External"/><Relationship Id="rId895" Type="http://schemas.openxmlformats.org/officeDocument/2006/relationships/hyperlink" Target="mailto:lbarboza@ext.sancorseguros.com" TargetMode="External"/><Relationship Id="rId2369" Type="http://schemas.openxmlformats.org/officeDocument/2006/relationships/hyperlink" Target="mailto:camgonzalez@sancorseguros.com" TargetMode="External"/><Relationship Id="rId2576" Type="http://schemas.openxmlformats.org/officeDocument/2006/relationships/hyperlink" Target="mailto:anunzio@sancorseguros.com" TargetMode="External"/><Relationship Id="rId2783" Type="http://schemas.openxmlformats.org/officeDocument/2006/relationships/hyperlink" Target="mailto:cvaldez@ext.sancorseguros.com" TargetMode="External"/><Relationship Id="rId2990" Type="http://schemas.openxmlformats.org/officeDocument/2006/relationships/hyperlink" Target="mailto:pasalcedo@sancorseguros.com" TargetMode="External"/><Relationship Id="rId3627" Type="http://schemas.openxmlformats.org/officeDocument/2006/relationships/hyperlink" Target="mailto:jboulle@sancorseguros.com" TargetMode="External"/><Relationship Id="rId548" Type="http://schemas.openxmlformats.org/officeDocument/2006/relationships/hyperlink" Target="mailto:rmomartinez@sancorseguros.com" TargetMode="External"/><Relationship Id="rId755" Type="http://schemas.openxmlformats.org/officeDocument/2006/relationships/hyperlink" Target="mailto:mizzo@ext.sancorseguros.com" TargetMode="External"/><Relationship Id="rId962" Type="http://schemas.openxmlformats.org/officeDocument/2006/relationships/hyperlink" Target="mailto:mascallia@sancorseguros.com" TargetMode="External"/><Relationship Id="rId1178" Type="http://schemas.openxmlformats.org/officeDocument/2006/relationships/hyperlink" Target="mailto:mascallia@sancorseguros.com" TargetMode="External"/><Relationship Id="rId1385" Type="http://schemas.openxmlformats.org/officeDocument/2006/relationships/hyperlink" Target="mailto:mascallia@sancorseguros.com" TargetMode="External"/><Relationship Id="rId1592" Type="http://schemas.openxmlformats.org/officeDocument/2006/relationships/hyperlink" Target="mailto:rmomartinez@sancorseguros.com" TargetMode="External"/><Relationship Id="rId2229" Type="http://schemas.openxmlformats.org/officeDocument/2006/relationships/hyperlink" Target="mailto:madecarvalho@sancorseguros.com" TargetMode="External"/><Relationship Id="rId2436" Type="http://schemas.openxmlformats.org/officeDocument/2006/relationships/hyperlink" Target="mailto:mizzo@ext.sancorseguros.com" TargetMode="External"/><Relationship Id="rId2643" Type="http://schemas.openxmlformats.org/officeDocument/2006/relationships/hyperlink" Target="mailto:pmalchiodi@sancorseguros.com" TargetMode="External"/><Relationship Id="rId2850" Type="http://schemas.openxmlformats.org/officeDocument/2006/relationships/hyperlink" Target="mailto:anunzio@sancorseguros.com" TargetMode="External"/><Relationship Id="rId91" Type="http://schemas.openxmlformats.org/officeDocument/2006/relationships/hyperlink" Target="mailto:milmartinez@ext.sancorseguros.com" TargetMode="External"/><Relationship Id="rId408" Type="http://schemas.openxmlformats.org/officeDocument/2006/relationships/hyperlink" Target="mailto:cvaldez@ext.sancorseguros.com" TargetMode="External"/><Relationship Id="rId615" Type="http://schemas.openxmlformats.org/officeDocument/2006/relationships/hyperlink" Target="mailto:mmaccarrone@ext.sancorseguros.com" TargetMode="External"/><Relationship Id="rId822" Type="http://schemas.openxmlformats.org/officeDocument/2006/relationships/hyperlink" Target="mailto:cpavon@sancorseguros.com" TargetMode="External"/><Relationship Id="rId1038" Type="http://schemas.openxmlformats.org/officeDocument/2006/relationships/hyperlink" Target="mailto:cvaldez@ext.sancorseguros.com" TargetMode="External"/><Relationship Id="rId1245" Type="http://schemas.openxmlformats.org/officeDocument/2006/relationships/hyperlink" Target="mailto:pmalchiodi@sancorseguros.com" TargetMode="External"/><Relationship Id="rId1452" Type="http://schemas.openxmlformats.org/officeDocument/2006/relationships/hyperlink" Target="mailto:mizzo@ext.sancorseguros.com" TargetMode="External"/><Relationship Id="rId2503" Type="http://schemas.openxmlformats.org/officeDocument/2006/relationships/hyperlink" Target="mailto:jboulle@sancorseguros.com" TargetMode="External"/><Relationship Id="rId1105" Type="http://schemas.openxmlformats.org/officeDocument/2006/relationships/hyperlink" Target="mailto:cvaldez@ext.sancorseguros.com" TargetMode="External"/><Relationship Id="rId1312" Type="http://schemas.openxmlformats.org/officeDocument/2006/relationships/hyperlink" Target="mailto:milmartinez@ext.sancorseguros.com" TargetMode="External"/><Relationship Id="rId2710" Type="http://schemas.openxmlformats.org/officeDocument/2006/relationships/hyperlink" Target="mailto:gleguizamon@ext.sancorseguros.com" TargetMode="External"/><Relationship Id="rId3277" Type="http://schemas.openxmlformats.org/officeDocument/2006/relationships/hyperlink" Target="mailto:cvaldez@ext.sancorseguros.com" TargetMode="External"/><Relationship Id="rId198" Type="http://schemas.openxmlformats.org/officeDocument/2006/relationships/hyperlink" Target="mailto:cpavon@sancorseguros.com" TargetMode="External"/><Relationship Id="rId2086" Type="http://schemas.openxmlformats.org/officeDocument/2006/relationships/hyperlink" Target="mailto:gleguizamon@ext.sancorseguros.com" TargetMode="External"/><Relationship Id="rId3484" Type="http://schemas.openxmlformats.org/officeDocument/2006/relationships/hyperlink" Target="mailto:pmalchiodi@sancorseguros.com" TargetMode="External"/><Relationship Id="rId2293" Type="http://schemas.openxmlformats.org/officeDocument/2006/relationships/hyperlink" Target="mailto:mkester@sancorseguros.com" TargetMode="External"/><Relationship Id="rId3137" Type="http://schemas.openxmlformats.org/officeDocument/2006/relationships/hyperlink" Target="mailto:abinau@sancorseguros.com" TargetMode="External"/><Relationship Id="rId3344" Type="http://schemas.openxmlformats.org/officeDocument/2006/relationships/hyperlink" Target="mailto:mizzo@ext.sancorseguros.com" TargetMode="External"/><Relationship Id="rId3551" Type="http://schemas.openxmlformats.org/officeDocument/2006/relationships/hyperlink" Target="mailto:mmaccarrone@ext.sancorseguros.com" TargetMode="External"/><Relationship Id="rId265" Type="http://schemas.openxmlformats.org/officeDocument/2006/relationships/hyperlink" Target="mailto:mizzo@ext.sancorseguros.com" TargetMode="External"/><Relationship Id="rId472" Type="http://schemas.openxmlformats.org/officeDocument/2006/relationships/hyperlink" Target="mailto:cvaldez@ext.sancorseguros.com" TargetMode="External"/><Relationship Id="rId2153" Type="http://schemas.openxmlformats.org/officeDocument/2006/relationships/hyperlink" Target="mailto:camgonzalez@sancorseguros.com" TargetMode="External"/><Relationship Id="rId2360" Type="http://schemas.openxmlformats.org/officeDocument/2006/relationships/hyperlink" Target="mailto:mizzo@ext.sancorseguros.com" TargetMode="External"/><Relationship Id="rId3204" Type="http://schemas.openxmlformats.org/officeDocument/2006/relationships/hyperlink" Target="mailto:pgirardin@sancorseguros.com" TargetMode="External"/><Relationship Id="rId3411" Type="http://schemas.openxmlformats.org/officeDocument/2006/relationships/hyperlink" Target="mailto:cvaldez@ext.sancorseguros.com" TargetMode="External"/><Relationship Id="rId125" Type="http://schemas.openxmlformats.org/officeDocument/2006/relationships/hyperlink" Target="mailto:mevangelista@sancorseguros.com" TargetMode="External"/><Relationship Id="rId332" Type="http://schemas.openxmlformats.org/officeDocument/2006/relationships/hyperlink" Target="mailto:mizzo@ext.sancorseguros.com" TargetMode="External"/><Relationship Id="rId2013" Type="http://schemas.openxmlformats.org/officeDocument/2006/relationships/hyperlink" Target="mailto:cpavon@sancorseguros.com" TargetMode="External"/><Relationship Id="rId2220" Type="http://schemas.openxmlformats.org/officeDocument/2006/relationships/hyperlink" Target="mailto:bdemiguel@sancorseguros.com" TargetMode="External"/><Relationship Id="rId1779" Type="http://schemas.openxmlformats.org/officeDocument/2006/relationships/hyperlink" Target="mailto:rmomartinez@sancorseguros.com" TargetMode="External"/><Relationship Id="rId1986" Type="http://schemas.openxmlformats.org/officeDocument/2006/relationships/hyperlink" Target="mailto:cpavon@sancorseguros.com" TargetMode="External"/><Relationship Id="rId1639" Type="http://schemas.openxmlformats.org/officeDocument/2006/relationships/hyperlink" Target="mailto:cvaldez@ext.sancorseguros.com" TargetMode="External"/><Relationship Id="rId1846" Type="http://schemas.openxmlformats.org/officeDocument/2006/relationships/hyperlink" Target="mailto:lbarboza@ext.sancorseguros.com" TargetMode="External"/><Relationship Id="rId3061" Type="http://schemas.openxmlformats.org/officeDocument/2006/relationships/hyperlink" Target="mailto:mmaccarrone@ext.sancorseguros.com" TargetMode="External"/><Relationship Id="rId1706" Type="http://schemas.openxmlformats.org/officeDocument/2006/relationships/hyperlink" Target="mailto:cvaldez@ext.sancorseguros.com" TargetMode="External"/><Relationship Id="rId1913" Type="http://schemas.openxmlformats.org/officeDocument/2006/relationships/hyperlink" Target="mailto:jsandoval@sancorseguros.com" TargetMode="External"/><Relationship Id="rId799" Type="http://schemas.openxmlformats.org/officeDocument/2006/relationships/hyperlink" Target="mailto:fsantorum@sancorseguros.com" TargetMode="External"/><Relationship Id="rId2687" Type="http://schemas.openxmlformats.org/officeDocument/2006/relationships/hyperlink" Target="mailto:rmomartinez@sancorseguros.com" TargetMode="External"/><Relationship Id="rId2894" Type="http://schemas.openxmlformats.org/officeDocument/2006/relationships/hyperlink" Target="mailto:rfernandez@sancorseguros.com" TargetMode="External"/><Relationship Id="rId659" Type="http://schemas.openxmlformats.org/officeDocument/2006/relationships/hyperlink" Target="mailto:camgonzalez@sancorseguros.com" TargetMode="External"/><Relationship Id="rId866" Type="http://schemas.openxmlformats.org/officeDocument/2006/relationships/hyperlink" Target="mailto:gmgutierrez@ext.sancorseguros.com" TargetMode="External"/><Relationship Id="rId1289" Type="http://schemas.openxmlformats.org/officeDocument/2006/relationships/hyperlink" Target="mailto:mizzo@ext.sancorseguros.com" TargetMode="External"/><Relationship Id="rId1496" Type="http://schemas.openxmlformats.org/officeDocument/2006/relationships/hyperlink" Target="mailto:mmaccarrone@ext.sancorseguros.com" TargetMode="External"/><Relationship Id="rId2547" Type="http://schemas.openxmlformats.org/officeDocument/2006/relationships/hyperlink" Target="mailto:mascallia@sancorseguros.com" TargetMode="External"/><Relationship Id="rId519" Type="http://schemas.openxmlformats.org/officeDocument/2006/relationships/hyperlink" Target="mailto:anunzio@sancorseguros.com" TargetMode="External"/><Relationship Id="rId1149" Type="http://schemas.openxmlformats.org/officeDocument/2006/relationships/hyperlink" Target="mailto:camgonzalez@sancorseguros.com" TargetMode="External"/><Relationship Id="rId1356" Type="http://schemas.openxmlformats.org/officeDocument/2006/relationships/hyperlink" Target="mailto:mizzo@ext.sancorseguros.com" TargetMode="External"/><Relationship Id="rId2754" Type="http://schemas.openxmlformats.org/officeDocument/2006/relationships/hyperlink" Target="mailto:lbarboza@ext.sancorseguros.com" TargetMode="External"/><Relationship Id="rId2961" Type="http://schemas.openxmlformats.org/officeDocument/2006/relationships/hyperlink" Target="mailto:lbarboza@ext.sancorseguros.com" TargetMode="External"/><Relationship Id="rId726" Type="http://schemas.openxmlformats.org/officeDocument/2006/relationships/hyperlink" Target="mailto:lbarboza@ext.sancorseguros.com" TargetMode="External"/><Relationship Id="rId933" Type="http://schemas.openxmlformats.org/officeDocument/2006/relationships/hyperlink" Target="mailto:mmaccarrone@ext.sancorseguros.com" TargetMode="External"/><Relationship Id="rId1009" Type="http://schemas.openxmlformats.org/officeDocument/2006/relationships/hyperlink" Target="mailto:vloray@ext.sancorseguros.com" TargetMode="External"/><Relationship Id="rId1563" Type="http://schemas.openxmlformats.org/officeDocument/2006/relationships/hyperlink" Target="mailto:mascallia@sancorseguros.com" TargetMode="External"/><Relationship Id="rId1770" Type="http://schemas.openxmlformats.org/officeDocument/2006/relationships/hyperlink" Target="mailto:cpavon@sancorseguros.com" TargetMode="External"/><Relationship Id="rId2407" Type="http://schemas.openxmlformats.org/officeDocument/2006/relationships/hyperlink" Target="mailto:mizzo@ext.sancorseguros.com" TargetMode="External"/><Relationship Id="rId2614" Type="http://schemas.openxmlformats.org/officeDocument/2006/relationships/hyperlink" Target="mailto:rmomartinez@sancorseguros.com" TargetMode="External"/><Relationship Id="rId2821" Type="http://schemas.openxmlformats.org/officeDocument/2006/relationships/hyperlink" Target="mailto:cvaldez@ext.sancorseguros.com" TargetMode="External"/><Relationship Id="rId62" Type="http://schemas.openxmlformats.org/officeDocument/2006/relationships/hyperlink" Target="mailto:mizzo@ext.sancorseguros.com" TargetMode="External"/><Relationship Id="rId1216" Type="http://schemas.openxmlformats.org/officeDocument/2006/relationships/hyperlink" Target="mailto:gmgutierrez@ext.sancorseguros.com" TargetMode="External"/><Relationship Id="rId1423" Type="http://schemas.openxmlformats.org/officeDocument/2006/relationships/hyperlink" Target="mailto:mmaccarrone@ext.sancorseguros.com" TargetMode="External"/><Relationship Id="rId1630" Type="http://schemas.openxmlformats.org/officeDocument/2006/relationships/hyperlink" Target="mailto:gleguizamon@ext.sancorseguros.com" TargetMode="External"/><Relationship Id="rId3388" Type="http://schemas.openxmlformats.org/officeDocument/2006/relationships/hyperlink" Target="mailto:abinau@sancorseguros.com" TargetMode="External"/><Relationship Id="rId3595" Type="http://schemas.openxmlformats.org/officeDocument/2006/relationships/hyperlink" Target="mailto:gmoscato@sancorseguros.com" TargetMode="External"/><Relationship Id="rId2197" Type="http://schemas.openxmlformats.org/officeDocument/2006/relationships/hyperlink" Target="mailto:dtoledo@sancorseguros.com" TargetMode="External"/><Relationship Id="rId3248" Type="http://schemas.openxmlformats.org/officeDocument/2006/relationships/hyperlink" Target="mailto:pgirardin@sancorseguros.com" TargetMode="External"/><Relationship Id="rId3455" Type="http://schemas.openxmlformats.org/officeDocument/2006/relationships/hyperlink" Target="mailto:lbarboza@ext.sancorseguros.com" TargetMode="External"/><Relationship Id="rId169" Type="http://schemas.openxmlformats.org/officeDocument/2006/relationships/hyperlink" Target="mailto:abinau@sancorseguros.com" TargetMode="External"/><Relationship Id="rId376" Type="http://schemas.openxmlformats.org/officeDocument/2006/relationships/hyperlink" Target="mailto:mizzo@ext.sancorseguros.com" TargetMode="External"/><Relationship Id="rId583" Type="http://schemas.openxmlformats.org/officeDocument/2006/relationships/hyperlink" Target="mailto:fsantorum@sancorseguros.com" TargetMode="External"/><Relationship Id="rId790" Type="http://schemas.openxmlformats.org/officeDocument/2006/relationships/hyperlink" Target="mailto:mascallia@sancorseguros.com" TargetMode="External"/><Relationship Id="rId2057" Type="http://schemas.openxmlformats.org/officeDocument/2006/relationships/hyperlink" Target="mailto:milmartinez@ext.sancorseguros.com" TargetMode="External"/><Relationship Id="rId2264" Type="http://schemas.openxmlformats.org/officeDocument/2006/relationships/hyperlink" Target="mailto:abinau@sancorseguros.com" TargetMode="External"/><Relationship Id="rId2471" Type="http://schemas.openxmlformats.org/officeDocument/2006/relationships/hyperlink" Target="mailto:gleguizamon@ext.sancorseguros.com" TargetMode="External"/><Relationship Id="rId3108" Type="http://schemas.openxmlformats.org/officeDocument/2006/relationships/hyperlink" Target="mailto:pasalcedo@sancorseguros.com" TargetMode="External"/><Relationship Id="rId3315" Type="http://schemas.openxmlformats.org/officeDocument/2006/relationships/hyperlink" Target="mailto:cvaldez@ext.sancorseguros.com" TargetMode="External"/><Relationship Id="rId3522" Type="http://schemas.openxmlformats.org/officeDocument/2006/relationships/hyperlink" Target="mailto:bdemiguel@sancorseguros.com" TargetMode="External"/><Relationship Id="rId236" Type="http://schemas.openxmlformats.org/officeDocument/2006/relationships/hyperlink" Target="mailto:mizzo@ext.sancorseguros.com" TargetMode="External"/><Relationship Id="rId443" Type="http://schemas.openxmlformats.org/officeDocument/2006/relationships/hyperlink" Target="mailto:cpavon@sancorseguros.com" TargetMode="External"/><Relationship Id="rId650" Type="http://schemas.openxmlformats.org/officeDocument/2006/relationships/hyperlink" Target="mailto:mascallia@sancorseguros.com" TargetMode="External"/><Relationship Id="rId1073" Type="http://schemas.openxmlformats.org/officeDocument/2006/relationships/hyperlink" Target="mailto:gmgutierrez@ext.sancorseguros.com" TargetMode="External"/><Relationship Id="rId1280" Type="http://schemas.openxmlformats.org/officeDocument/2006/relationships/hyperlink" Target="mailto:cpavon@sancorseguros.com" TargetMode="External"/><Relationship Id="rId2124" Type="http://schemas.openxmlformats.org/officeDocument/2006/relationships/hyperlink" Target="mailto:fsantorum@sancorseguros.com" TargetMode="External"/><Relationship Id="rId2331" Type="http://schemas.openxmlformats.org/officeDocument/2006/relationships/hyperlink" Target="mailto:vloray@ext.sancorseguros.com" TargetMode="External"/><Relationship Id="rId303" Type="http://schemas.openxmlformats.org/officeDocument/2006/relationships/hyperlink" Target="mailto:gleguizamon@ext.sancorseguros.com" TargetMode="External"/><Relationship Id="rId1140" Type="http://schemas.openxmlformats.org/officeDocument/2006/relationships/hyperlink" Target="mailto:czardain@sancorseguros.com" TargetMode="External"/><Relationship Id="rId510" Type="http://schemas.openxmlformats.org/officeDocument/2006/relationships/hyperlink" Target="mailto:gleguizamon@ext.sancorseguros.com" TargetMode="External"/><Relationship Id="rId1000" Type="http://schemas.openxmlformats.org/officeDocument/2006/relationships/hyperlink" Target="mailto:rmomartinez@sancorseguros.com" TargetMode="External"/><Relationship Id="rId1957" Type="http://schemas.openxmlformats.org/officeDocument/2006/relationships/hyperlink" Target="mailto:cpavon@sancorseguros.com" TargetMode="External"/><Relationship Id="rId1817" Type="http://schemas.openxmlformats.org/officeDocument/2006/relationships/hyperlink" Target="mailto:milmartinez@ext.sancorseguros.com" TargetMode="External"/><Relationship Id="rId3172" Type="http://schemas.openxmlformats.org/officeDocument/2006/relationships/hyperlink" Target="mailto:milmartinez@ext.sancorseguros.com" TargetMode="External"/><Relationship Id="rId3032" Type="http://schemas.openxmlformats.org/officeDocument/2006/relationships/hyperlink" Target="mailto:mmaccarrone@ext.sancorseguros.com" TargetMode="External"/><Relationship Id="rId160" Type="http://schemas.openxmlformats.org/officeDocument/2006/relationships/hyperlink" Target="mailto:bdemiguel@sancorseguros.com" TargetMode="External"/><Relationship Id="rId2798" Type="http://schemas.openxmlformats.org/officeDocument/2006/relationships/hyperlink" Target="mailto:pmalchiodi@sancorseguros.com" TargetMode="External"/><Relationship Id="rId977" Type="http://schemas.openxmlformats.org/officeDocument/2006/relationships/hyperlink" Target="mailto:rmomartinez@sancorseguros.com" TargetMode="External"/><Relationship Id="rId2658" Type="http://schemas.openxmlformats.org/officeDocument/2006/relationships/hyperlink" Target="mailto:bdemiguel@sancorseguros.com" TargetMode="External"/><Relationship Id="rId2865" Type="http://schemas.openxmlformats.org/officeDocument/2006/relationships/hyperlink" Target="mailto:pgirardin@sancorseguros.com" TargetMode="External"/><Relationship Id="rId837" Type="http://schemas.openxmlformats.org/officeDocument/2006/relationships/hyperlink" Target="mailto:mascallia@sancorseguros.com" TargetMode="External"/><Relationship Id="rId1467" Type="http://schemas.openxmlformats.org/officeDocument/2006/relationships/hyperlink" Target="mailto:mizzo@ext.sancorseguros.com" TargetMode="External"/><Relationship Id="rId1674" Type="http://schemas.openxmlformats.org/officeDocument/2006/relationships/hyperlink" Target="mailto:camgonzalez@sancorseguros.com" TargetMode="External"/><Relationship Id="rId1881" Type="http://schemas.openxmlformats.org/officeDocument/2006/relationships/hyperlink" Target="mailto:mizzo@ext.sancorseguros.com" TargetMode="External"/><Relationship Id="rId2518" Type="http://schemas.openxmlformats.org/officeDocument/2006/relationships/hyperlink" Target="mailto:milmartinez@ext.sancorseguros.com" TargetMode="External"/><Relationship Id="rId2725" Type="http://schemas.openxmlformats.org/officeDocument/2006/relationships/hyperlink" Target="mailto:mizzo@ext.sancorseguros.com" TargetMode="External"/><Relationship Id="rId2932" Type="http://schemas.openxmlformats.org/officeDocument/2006/relationships/hyperlink" Target="mailto:amrodriguez@sancorseguros.com" TargetMode="External"/><Relationship Id="rId904" Type="http://schemas.openxmlformats.org/officeDocument/2006/relationships/hyperlink" Target="mailto:milmartinez@ext.sancorseguros.com" TargetMode="External"/><Relationship Id="rId1327" Type="http://schemas.openxmlformats.org/officeDocument/2006/relationships/hyperlink" Target="mailto:cpavon@sancorseguros.com" TargetMode="External"/><Relationship Id="rId1534" Type="http://schemas.openxmlformats.org/officeDocument/2006/relationships/hyperlink" Target="mailto:cpavon@sancorseguros.com" TargetMode="External"/><Relationship Id="rId1741" Type="http://schemas.openxmlformats.org/officeDocument/2006/relationships/hyperlink" Target="mailto:cvaldez@ext.sancorseguros.com" TargetMode="External"/><Relationship Id="rId33" Type="http://schemas.openxmlformats.org/officeDocument/2006/relationships/hyperlink" Target="mailto:ludiaz@ext.sancorseguros.com" TargetMode="External"/><Relationship Id="rId1601" Type="http://schemas.openxmlformats.org/officeDocument/2006/relationships/hyperlink" Target="mailto:dtoledo@sancorseguros.com" TargetMode="External"/><Relationship Id="rId3499" Type="http://schemas.openxmlformats.org/officeDocument/2006/relationships/hyperlink" Target="mailto:gmoscato@sancorseguros.com" TargetMode="External"/><Relationship Id="rId3359" Type="http://schemas.openxmlformats.org/officeDocument/2006/relationships/hyperlink" Target="mailto:gmgutierrez@ext.sancorseguros.com" TargetMode="External"/><Relationship Id="rId3566" Type="http://schemas.openxmlformats.org/officeDocument/2006/relationships/hyperlink" Target="mailto:madecarvalho@sancorseguros.com" TargetMode="External"/><Relationship Id="rId487" Type="http://schemas.openxmlformats.org/officeDocument/2006/relationships/hyperlink" Target="mailto:mizzo@ext.sancorseguros.com" TargetMode="External"/><Relationship Id="rId694" Type="http://schemas.openxmlformats.org/officeDocument/2006/relationships/hyperlink" Target="mailto:hrorpizikian@sancorseguros.com" TargetMode="External"/><Relationship Id="rId2168" Type="http://schemas.openxmlformats.org/officeDocument/2006/relationships/hyperlink" Target="mailto:camgonzalez@sancorseguros.com" TargetMode="External"/><Relationship Id="rId2375" Type="http://schemas.openxmlformats.org/officeDocument/2006/relationships/hyperlink" Target="mailto:bdemiguel@sancorseguros.com" TargetMode="External"/><Relationship Id="rId3219" Type="http://schemas.openxmlformats.org/officeDocument/2006/relationships/hyperlink" Target="mailto:abinau@sancorseguros.com" TargetMode="External"/><Relationship Id="rId347" Type="http://schemas.openxmlformats.org/officeDocument/2006/relationships/hyperlink" Target="mailto:abinau@sancorseguros.com" TargetMode="External"/><Relationship Id="rId1184" Type="http://schemas.openxmlformats.org/officeDocument/2006/relationships/hyperlink" Target="mailto:gleguizamon@ext.sancorseguros.com" TargetMode="External"/><Relationship Id="rId2028" Type="http://schemas.openxmlformats.org/officeDocument/2006/relationships/hyperlink" Target="mailto:lbarboza@ext.sancorseguros.com" TargetMode="External"/><Relationship Id="rId2582" Type="http://schemas.openxmlformats.org/officeDocument/2006/relationships/hyperlink" Target="mailto:mmaccarrone@ext.sancorseguros.com" TargetMode="External"/><Relationship Id="rId3426" Type="http://schemas.openxmlformats.org/officeDocument/2006/relationships/hyperlink" Target="mailto:mascallia@sancorseguros.com" TargetMode="External"/><Relationship Id="rId3633" Type="http://schemas.openxmlformats.org/officeDocument/2006/relationships/hyperlink" Target="mailto:gleguizamon@ext.sancorseguros.com" TargetMode="External"/><Relationship Id="rId554" Type="http://schemas.openxmlformats.org/officeDocument/2006/relationships/hyperlink" Target="mailto:gmgutierrez@ext.sancorseguros.com" TargetMode="External"/><Relationship Id="rId761" Type="http://schemas.openxmlformats.org/officeDocument/2006/relationships/hyperlink" Target="mailto:bdemiguel@sancorseguros.com" TargetMode="External"/><Relationship Id="rId1391" Type="http://schemas.openxmlformats.org/officeDocument/2006/relationships/hyperlink" Target="mailto:madecarvalho@sancorseguros.com" TargetMode="External"/><Relationship Id="rId2235" Type="http://schemas.openxmlformats.org/officeDocument/2006/relationships/hyperlink" Target="mailto:lbarboza@ext.sancorseguros.com" TargetMode="External"/><Relationship Id="rId2442" Type="http://schemas.openxmlformats.org/officeDocument/2006/relationships/hyperlink" Target="mailto:abinau@sancorseguros.com" TargetMode="External"/><Relationship Id="rId207" Type="http://schemas.openxmlformats.org/officeDocument/2006/relationships/hyperlink" Target="mailto:abinau@sancorseguros.com" TargetMode="External"/><Relationship Id="rId414" Type="http://schemas.openxmlformats.org/officeDocument/2006/relationships/hyperlink" Target="mailto:cdalonso@sancorseguros.com" TargetMode="External"/><Relationship Id="rId621" Type="http://schemas.openxmlformats.org/officeDocument/2006/relationships/hyperlink" Target="mailto:vloray@ext.sancorseguros.com" TargetMode="External"/><Relationship Id="rId1044" Type="http://schemas.openxmlformats.org/officeDocument/2006/relationships/hyperlink" Target="mailto:cvaldez@ext.sancorseguros.com" TargetMode="External"/><Relationship Id="rId1251" Type="http://schemas.openxmlformats.org/officeDocument/2006/relationships/hyperlink" Target="mailto:fsantorum@sancorseguros.com" TargetMode="External"/><Relationship Id="rId2302" Type="http://schemas.openxmlformats.org/officeDocument/2006/relationships/hyperlink" Target="mailto:bdemiguel@sancorseguros.com" TargetMode="External"/><Relationship Id="rId1111" Type="http://schemas.openxmlformats.org/officeDocument/2006/relationships/hyperlink" Target="mailto:gleguizamon@ext.sancorseguros.com" TargetMode="External"/><Relationship Id="rId3076" Type="http://schemas.openxmlformats.org/officeDocument/2006/relationships/hyperlink" Target="mailto:mmaccarrone@ext.sancorseguros.com" TargetMode="External"/><Relationship Id="rId3283" Type="http://schemas.openxmlformats.org/officeDocument/2006/relationships/hyperlink" Target="mailto:vloray@ext.sancorseguros.com" TargetMode="External"/><Relationship Id="rId3490" Type="http://schemas.openxmlformats.org/officeDocument/2006/relationships/hyperlink" Target="mailto:pmalchiodi@sancorseguros.com" TargetMode="External"/><Relationship Id="rId1928" Type="http://schemas.openxmlformats.org/officeDocument/2006/relationships/hyperlink" Target="mailto:cpavon@sancorseguros.com" TargetMode="External"/><Relationship Id="rId2092" Type="http://schemas.openxmlformats.org/officeDocument/2006/relationships/hyperlink" Target="mailto:fsantorum@sancorseguros.com" TargetMode="External"/><Relationship Id="rId3143" Type="http://schemas.openxmlformats.org/officeDocument/2006/relationships/hyperlink" Target="mailto:madecarvalho@sancorseguros.com" TargetMode="External"/><Relationship Id="rId3350" Type="http://schemas.openxmlformats.org/officeDocument/2006/relationships/hyperlink" Target="mailto:abinau@sancorseguros.com" TargetMode="External"/><Relationship Id="rId271" Type="http://schemas.openxmlformats.org/officeDocument/2006/relationships/hyperlink" Target="mailto:cpavon@sancorseguros.com" TargetMode="External"/><Relationship Id="rId3003" Type="http://schemas.openxmlformats.org/officeDocument/2006/relationships/hyperlink" Target="mailto:cpavon@sancorseguros.com" TargetMode="External"/><Relationship Id="rId131" Type="http://schemas.openxmlformats.org/officeDocument/2006/relationships/hyperlink" Target="mailto:mascallia@sancorseguros.com" TargetMode="External"/><Relationship Id="rId3210" Type="http://schemas.openxmlformats.org/officeDocument/2006/relationships/hyperlink" Target="mailto:vloray@ext.sancorseguros.com" TargetMode="External"/><Relationship Id="rId2769" Type="http://schemas.openxmlformats.org/officeDocument/2006/relationships/hyperlink" Target="mailto:mmaccarrone@ext.sancorseguros.com" TargetMode="External"/><Relationship Id="rId2976" Type="http://schemas.openxmlformats.org/officeDocument/2006/relationships/hyperlink" Target="mailto:bdemiguel@sancorseguros.com" TargetMode="External"/><Relationship Id="rId948" Type="http://schemas.openxmlformats.org/officeDocument/2006/relationships/hyperlink" Target="mailto:cpavon@sancorseguros.com" TargetMode="External"/><Relationship Id="rId1578" Type="http://schemas.openxmlformats.org/officeDocument/2006/relationships/hyperlink" Target="mailto:mizzo@ext.sancorseguros.com" TargetMode="External"/><Relationship Id="rId1785" Type="http://schemas.openxmlformats.org/officeDocument/2006/relationships/hyperlink" Target="mailto:gleguizamon@ext.sancorseguros.com" TargetMode="External"/><Relationship Id="rId1992" Type="http://schemas.openxmlformats.org/officeDocument/2006/relationships/hyperlink" Target="mailto:lbarboza@ext.sancorseguros.com" TargetMode="External"/><Relationship Id="rId2629" Type="http://schemas.openxmlformats.org/officeDocument/2006/relationships/hyperlink" Target="mailto:dbenitez@sancorseguros.com" TargetMode="External"/><Relationship Id="rId2836" Type="http://schemas.openxmlformats.org/officeDocument/2006/relationships/hyperlink" Target="mailto:mascallia@sancorseguros.com" TargetMode="External"/><Relationship Id="rId77" Type="http://schemas.openxmlformats.org/officeDocument/2006/relationships/hyperlink" Target="mailto:camgonzalez@sancorseguros.com" TargetMode="External"/><Relationship Id="rId808" Type="http://schemas.openxmlformats.org/officeDocument/2006/relationships/hyperlink" Target="mailto:mascallia@sancorseguros.com" TargetMode="External"/><Relationship Id="rId1438" Type="http://schemas.openxmlformats.org/officeDocument/2006/relationships/hyperlink" Target="mailto:gmgutierrez@ext.sancorseguros.com" TargetMode="External"/><Relationship Id="rId1645" Type="http://schemas.openxmlformats.org/officeDocument/2006/relationships/hyperlink" Target="mailto:rmomartinez@sancorseguros.com" TargetMode="External"/><Relationship Id="rId1852" Type="http://schemas.openxmlformats.org/officeDocument/2006/relationships/hyperlink" Target="mailto:cvaldez@ext.sancorseguros.com" TargetMode="External"/><Relationship Id="rId2903" Type="http://schemas.openxmlformats.org/officeDocument/2006/relationships/hyperlink" Target="mailto:amrodriguez@sancorseguros.com" TargetMode="External"/><Relationship Id="rId1505" Type="http://schemas.openxmlformats.org/officeDocument/2006/relationships/hyperlink" Target="mailto:czardain@sancorseguros.com" TargetMode="External"/><Relationship Id="rId1712" Type="http://schemas.openxmlformats.org/officeDocument/2006/relationships/hyperlink" Target="mailto:mizzo@ext.sancorseguros.com" TargetMode="External"/><Relationship Id="rId598" Type="http://schemas.openxmlformats.org/officeDocument/2006/relationships/hyperlink" Target="mailto:cpavon@sancorseguros.com" TargetMode="External"/><Relationship Id="rId2279" Type="http://schemas.openxmlformats.org/officeDocument/2006/relationships/hyperlink" Target="mailto:glezcano@sancorseguros.com" TargetMode="External"/><Relationship Id="rId2486" Type="http://schemas.openxmlformats.org/officeDocument/2006/relationships/hyperlink" Target="mailto:mevangelista@sancorseguros.com" TargetMode="External"/><Relationship Id="rId2693" Type="http://schemas.openxmlformats.org/officeDocument/2006/relationships/hyperlink" Target="mailto:mkester@sancorseguros.com" TargetMode="External"/><Relationship Id="rId3537" Type="http://schemas.openxmlformats.org/officeDocument/2006/relationships/hyperlink" Target="mailto:mmaccarrone@ext.sancorseguros.com" TargetMode="External"/><Relationship Id="rId458" Type="http://schemas.openxmlformats.org/officeDocument/2006/relationships/hyperlink" Target="mailto:cvaldez@ext.sancorseguros.com" TargetMode="External"/><Relationship Id="rId665" Type="http://schemas.openxmlformats.org/officeDocument/2006/relationships/hyperlink" Target="mailto:rfernandez@sancorseguros.com" TargetMode="External"/><Relationship Id="rId872" Type="http://schemas.openxmlformats.org/officeDocument/2006/relationships/hyperlink" Target="mailto:mmaccarrone@ext.sancorseguros.com" TargetMode="External"/><Relationship Id="rId1088" Type="http://schemas.openxmlformats.org/officeDocument/2006/relationships/hyperlink" Target="mailto:dtoledo@sancorseguros.com" TargetMode="External"/><Relationship Id="rId1295" Type="http://schemas.openxmlformats.org/officeDocument/2006/relationships/hyperlink" Target="mailto:mizzo@ext.sancorseguros.com" TargetMode="External"/><Relationship Id="rId2139" Type="http://schemas.openxmlformats.org/officeDocument/2006/relationships/hyperlink" Target="mailto:lbarboza@ext.sancorseguros.com" TargetMode="External"/><Relationship Id="rId2346" Type="http://schemas.openxmlformats.org/officeDocument/2006/relationships/hyperlink" Target="mailto:milmartinez@ext.sancorseguros.com" TargetMode="External"/><Relationship Id="rId2553" Type="http://schemas.openxmlformats.org/officeDocument/2006/relationships/hyperlink" Target="mailto:pgirardin@sancorseguros.com" TargetMode="External"/><Relationship Id="rId2760" Type="http://schemas.openxmlformats.org/officeDocument/2006/relationships/hyperlink" Target="mailto:rmomartinez@sancorseguros.com" TargetMode="External"/><Relationship Id="rId3604" Type="http://schemas.openxmlformats.org/officeDocument/2006/relationships/hyperlink" Target="mailto:mizzo@ext.sancorseguros.com" TargetMode="External"/><Relationship Id="rId318" Type="http://schemas.openxmlformats.org/officeDocument/2006/relationships/hyperlink" Target="mailto:rmomartinez@sancorseguros.com" TargetMode="External"/><Relationship Id="rId525" Type="http://schemas.openxmlformats.org/officeDocument/2006/relationships/hyperlink" Target="mailto:cpavon@sancorseguros.com" TargetMode="External"/><Relationship Id="rId732" Type="http://schemas.openxmlformats.org/officeDocument/2006/relationships/hyperlink" Target="mailto:mascallia@sancorseguros.com" TargetMode="External"/><Relationship Id="rId1155" Type="http://schemas.openxmlformats.org/officeDocument/2006/relationships/hyperlink" Target="mailto:mmaccarrone@ext.sancorseguros.com" TargetMode="External"/><Relationship Id="rId1362" Type="http://schemas.openxmlformats.org/officeDocument/2006/relationships/hyperlink" Target="mailto:cvaldez@ext.sancorseguros.com" TargetMode="External"/><Relationship Id="rId2206" Type="http://schemas.openxmlformats.org/officeDocument/2006/relationships/hyperlink" Target="mailto:mizzo@ext.sancorseguros.com" TargetMode="External"/><Relationship Id="rId2413" Type="http://schemas.openxmlformats.org/officeDocument/2006/relationships/hyperlink" Target="mailto:mdambrosio@ext.sancorseguros.com" TargetMode="External"/><Relationship Id="rId2620" Type="http://schemas.openxmlformats.org/officeDocument/2006/relationships/hyperlink" Target="mailto:gpachao@sancorseguros.com" TargetMode="External"/><Relationship Id="rId1015" Type="http://schemas.openxmlformats.org/officeDocument/2006/relationships/hyperlink" Target="mailto:anunzio@sancorseguros.com" TargetMode="External"/><Relationship Id="rId1222" Type="http://schemas.openxmlformats.org/officeDocument/2006/relationships/hyperlink" Target="mailto:rmomartinez@sancorseguros.com" TargetMode="External"/><Relationship Id="rId3187" Type="http://schemas.openxmlformats.org/officeDocument/2006/relationships/hyperlink" Target="mailto:mizzo@ext.sancorseguros.com" TargetMode="External"/><Relationship Id="rId3394" Type="http://schemas.openxmlformats.org/officeDocument/2006/relationships/hyperlink" Target="mailto:mizzo@ext.sancorseguros.com" TargetMode="External"/><Relationship Id="rId3047" Type="http://schemas.openxmlformats.org/officeDocument/2006/relationships/hyperlink" Target="mailto:pgirardin@sancorseguros.com" TargetMode="External"/><Relationship Id="rId175" Type="http://schemas.openxmlformats.org/officeDocument/2006/relationships/hyperlink" Target="mailto:bdemiguel@sancorseguros.com" TargetMode="External"/><Relationship Id="rId3254" Type="http://schemas.openxmlformats.org/officeDocument/2006/relationships/hyperlink" Target="mailto:mdambrosio@ext.sancorseguros.com" TargetMode="External"/><Relationship Id="rId3461" Type="http://schemas.openxmlformats.org/officeDocument/2006/relationships/hyperlink" Target="mailto:pmalchiodi@sancorseguros.com" TargetMode="External"/><Relationship Id="rId382" Type="http://schemas.openxmlformats.org/officeDocument/2006/relationships/hyperlink" Target="mailto:gleguizamon@ext.sancorseguros.com" TargetMode="External"/><Relationship Id="rId2063" Type="http://schemas.openxmlformats.org/officeDocument/2006/relationships/hyperlink" Target="mailto:pmalchiodi@sancorseguros.com" TargetMode="External"/><Relationship Id="rId2270" Type="http://schemas.openxmlformats.org/officeDocument/2006/relationships/hyperlink" Target="mailto:jsandoval@sancorseguros.com" TargetMode="External"/><Relationship Id="rId3114" Type="http://schemas.openxmlformats.org/officeDocument/2006/relationships/hyperlink" Target="mailto:rfernandez@sancorseguros.com" TargetMode="External"/><Relationship Id="rId3321" Type="http://schemas.openxmlformats.org/officeDocument/2006/relationships/hyperlink" Target="mailto:mdambrosio@ext.sancorseguros.com" TargetMode="External"/><Relationship Id="rId242" Type="http://schemas.openxmlformats.org/officeDocument/2006/relationships/hyperlink" Target="mailto:abinau@sancorseguros.com" TargetMode="External"/><Relationship Id="rId2130" Type="http://schemas.openxmlformats.org/officeDocument/2006/relationships/hyperlink" Target="mailto:cvaldez@ext.sancorseguros.com" TargetMode="External"/><Relationship Id="rId102" Type="http://schemas.openxmlformats.org/officeDocument/2006/relationships/hyperlink" Target="mailto:ludiaz@ext.sancorseguros.com" TargetMode="External"/><Relationship Id="rId1689" Type="http://schemas.openxmlformats.org/officeDocument/2006/relationships/hyperlink" Target="mailto:cvaldez@ext.sancorseguros.com" TargetMode="External"/><Relationship Id="rId1896" Type="http://schemas.openxmlformats.org/officeDocument/2006/relationships/hyperlink" Target="mailto:cvaldez@ext.sancorseguros.com" TargetMode="External"/><Relationship Id="rId2947" Type="http://schemas.openxmlformats.org/officeDocument/2006/relationships/hyperlink" Target="mailto:mizzo@ext.sancorseguros.com" TargetMode="External"/><Relationship Id="rId919" Type="http://schemas.openxmlformats.org/officeDocument/2006/relationships/hyperlink" Target="mailto:dtoledo@sancorseguros.com" TargetMode="External"/><Relationship Id="rId1549" Type="http://schemas.openxmlformats.org/officeDocument/2006/relationships/hyperlink" Target="mailto:pmalchiodi@sancorseguros.com" TargetMode="External"/><Relationship Id="rId1756" Type="http://schemas.openxmlformats.org/officeDocument/2006/relationships/hyperlink" Target="mailto:mascallia@sancorseguros.com" TargetMode="External"/><Relationship Id="rId1963" Type="http://schemas.openxmlformats.org/officeDocument/2006/relationships/hyperlink" Target="mailto:gleguizamon@ext.sancorseguros.com" TargetMode="External"/><Relationship Id="rId2807" Type="http://schemas.openxmlformats.org/officeDocument/2006/relationships/hyperlink" Target="mailto:pmalchiodi@sancorseguros.com" TargetMode="External"/><Relationship Id="rId48" Type="http://schemas.openxmlformats.org/officeDocument/2006/relationships/hyperlink" Target="mailto:bdemiguel@sancorseguros.com" TargetMode="External"/><Relationship Id="rId1409" Type="http://schemas.openxmlformats.org/officeDocument/2006/relationships/hyperlink" Target="mailto:mmaccarrone@ext.sancorseguros.com" TargetMode="External"/><Relationship Id="rId1616" Type="http://schemas.openxmlformats.org/officeDocument/2006/relationships/hyperlink" Target="mailto:cvaldez@ext.sancorseguros.com" TargetMode="External"/><Relationship Id="rId1823" Type="http://schemas.openxmlformats.org/officeDocument/2006/relationships/hyperlink" Target="mailto:cpavon@sancorseguros.com" TargetMode="External"/><Relationship Id="rId2597" Type="http://schemas.openxmlformats.org/officeDocument/2006/relationships/hyperlink" Target="mailto:mizzo@ext.sancorseguros.com" TargetMode="External"/><Relationship Id="rId569" Type="http://schemas.openxmlformats.org/officeDocument/2006/relationships/hyperlink" Target="mailto:abinau@sancorseguros.com" TargetMode="External"/><Relationship Id="rId776" Type="http://schemas.openxmlformats.org/officeDocument/2006/relationships/hyperlink" Target="mailto:mkester@sancorseguros.com" TargetMode="External"/><Relationship Id="rId983" Type="http://schemas.openxmlformats.org/officeDocument/2006/relationships/hyperlink" Target="mailto:rmomartinez@sancorseguros.com" TargetMode="External"/><Relationship Id="rId1199" Type="http://schemas.openxmlformats.org/officeDocument/2006/relationships/hyperlink" Target="mailto:mizzo@ext.sancorseguros.com" TargetMode="External"/><Relationship Id="rId2457" Type="http://schemas.openxmlformats.org/officeDocument/2006/relationships/hyperlink" Target="mailto:gleguizamon@ext.sancorseguros.com" TargetMode="External"/><Relationship Id="rId2664" Type="http://schemas.openxmlformats.org/officeDocument/2006/relationships/hyperlink" Target="mailto:cvaldez@ext.sancorseguros.com" TargetMode="External"/><Relationship Id="rId3508" Type="http://schemas.openxmlformats.org/officeDocument/2006/relationships/hyperlink" Target="mailto:mascallia@sancorseguros.com" TargetMode="External"/><Relationship Id="rId429" Type="http://schemas.openxmlformats.org/officeDocument/2006/relationships/hyperlink" Target="mailto:mascallia@sancorseguros.com" TargetMode="External"/><Relationship Id="rId636" Type="http://schemas.openxmlformats.org/officeDocument/2006/relationships/hyperlink" Target="mailto:bdemiguel@sancorseguros.com" TargetMode="External"/><Relationship Id="rId1059" Type="http://schemas.openxmlformats.org/officeDocument/2006/relationships/hyperlink" Target="mailto:mascallia@sancorseguros.com" TargetMode="External"/><Relationship Id="rId1266" Type="http://schemas.openxmlformats.org/officeDocument/2006/relationships/hyperlink" Target="mailto:gmgutierrez@ext.sancorseguros.com" TargetMode="External"/><Relationship Id="rId1473" Type="http://schemas.openxmlformats.org/officeDocument/2006/relationships/hyperlink" Target="mailto:cvaldez@ext.sancorseguros.com" TargetMode="External"/><Relationship Id="rId2317" Type="http://schemas.openxmlformats.org/officeDocument/2006/relationships/hyperlink" Target="mailto:anunzio@sancorseguros.com" TargetMode="External"/><Relationship Id="rId2871" Type="http://schemas.openxmlformats.org/officeDocument/2006/relationships/hyperlink" Target="mailto:jsperoni@ext.sancorseguros.com" TargetMode="External"/><Relationship Id="rId843" Type="http://schemas.openxmlformats.org/officeDocument/2006/relationships/hyperlink" Target="mailto:cvaldez@ext.sancorseguros.com" TargetMode="External"/><Relationship Id="rId1126" Type="http://schemas.openxmlformats.org/officeDocument/2006/relationships/hyperlink" Target="mailto:milmartinez@ext.sancorseguros.com" TargetMode="External"/><Relationship Id="rId1680" Type="http://schemas.openxmlformats.org/officeDocument/2006/relationships/hyperlink" Target="mailto:mascallia@sancorseguros.com" TargetMode="External"/><Relationship Id="rId2524" Type="http://schemas.openxmlformats.org/officeDocument/2006/relationships/hyperlink" Target="mailto:mizzo@ext.sancorseguros.com" TargetMode="External"/><Relationship Id="rId2731" Type="http://schemas.openxmlformats.org/officeDocument/2006/relationships/hyperlink" Target="mailto:gleguizamon@ext.sancorseguros.com" TargetMode="External"/><Relationship Id="rId703" Type="http://schemas.openxmlformats.org/officeDocument/2006/relationships/hyperlink" Target="mailto:mmaccarrone@ext.sancorseguros.com" TargetMode="External"/><Relationship Id="rId910" Type="http://schemas.openxmlformats.org/officeDocument/2006/relationships/hyperlink" Target="mailto:cpavon@sancorseguros.com" TargetMode="External"/><Relationship Id="rId1333" Type="http://schemas.openxmlformats.org/officeDocument/2006/relationships/hyperlink" Target="mailto:cvaldez@ext.sancorseguros.com" TargetMode="External"/><Relationship Id="rId1540" Type="http://schemas.openxmlformats.org/officeDocument/2006/relationships/hyperlink" Target="mailto:lbarboza@ext.sancorseguros.com" TargetMode="External"/><Relationship Id="rId1400" Type="http://schemas.openxmlformats.org/officeDocument/2006/relationships/hyperlink" Target="mailto:bdemiguel@sancorseguros.com" TargetMode="External"/><Relationship Id="rId3298" Type="http://schemas.openxmlformats.org/officeDocument/2006/relationships/hyperlink" Target="mailto:dtoledo@sancorseguros.com" TargetMode="External"/><Relationship Id="rId3158" Type="http://schemas.openxmlformats.org/officeDocument/2006/relationships/hyperlink" Target="mailto:vloray@ext.sancorseguros.com" TargetMode="External"/><Relationship Id="rId3365" Type="http://schemas.openxmlformats.org/officeDocument/2006/relationships/hyperlink" Target="mailto:mascallia@sancorseguros.com" TargetMode="External"/><Relationship Id="rId3572" Type="http://schemas.openxmlformats.org/officeDocument/2006/relationships/hyperlink" Target="mailto:amrodriguez@sancorseguros.com" TargetMode="External"/><Relationship Id="rId286" Type="http://schemas.openxmlformats.org/officeDocument/2006/relationships/hyperlink" Target="mailto:abinau@sancorseguros.com" TargetMode="External"/><Relationship Id="rId493" Type="http://schemas.openxmlformats.org/officeDocument/2006/relationships/hyperlink" Target="mailto:cpavon@sancorseguros.com" TargetMode="External"/><Relationship Id="rId2174" Type="http://schemas.openxmlformats.org/officeDocument/2006/relationships/hyperlink" Target="mailto:hrorpizikian@sancorseguros.com" TargetMode="External"/><Relationship Id="rId2381" Type="http://schemas.openxmlformats.org/officeDocument/2006/relationships/hyperlink" Target="mailto:abinau@sancorseguros.com" TargetMode="External"/><Relationship Id="rId3018" Type="http://schemas.openxmlformats.org/officeDocument/2006/relationships/hyperlink" Target="mailto:dtoledo@sancorseguros.com" TargetMode="External"/><Relationship Id="rId3225" Type="http://schemas.openxmlformats.org/officeDocument/2006/relationships/hyperlink" Target="mailto:milmartinez@ext.sancorseguros.com" TargetMode="External"/><Relationship Id="rId3432" Type="http://schemas.openxmlformats.org/officeDocument/2006/relationships/hyperlink" Target="mailto:abinau@sancorseguros.com" TargetMode="External"/><Relationship Id="rId146" Type="http://schemas.openxmlformats.org/officeDocument/2006/relationships/hyperlink" Target="mailto:mmaccarrone@ext.sancorseguros.com" TargetMode="External"/><Relationship Id="rId353" Type="http://schemas.openxmlformats.org/officeDocument/2006/relationships/hyperlink" Target="mailto:mascallia@sancorseguros.com" TargetMode="External"/><Relationship Id="rId560" Type="http://schemas.openxmlformats.org/officeDocument/2006/relationships/hyperlink" Target="mailto:mascallia@sancorseguros.com" TargetMode="External"/><Relationship Id="rId1190" Type="http://schemas.openxmlformats.org/officeDocument/2006/relationships/hyperlink" Target="mailto:cpavon@sancorseguros.com" TargetMode="External"/><Relationship Id="rId2034" Type="http://schemas.openxmlformats.org/officeDocument/2006/relationships/hyperlink" Target="mailto:cpavon@sancorseguros.com" TargetMode="External"/><Relationship Id="rId2241" Type="http://schemas.openxmlformats.org/officeDocument/2006/relationships/hyperlink" Target="mailto:czardain@sancorseguros.com" TargetMode="External"/><Relationship Id="rId213" Type="http://schemas.openxmlformats.org/officeDocument/2006/relationships/hyperlink" Target="mailto:mizzo@ext.sancorseguros.com" TargetMode="External"/><Relationship Id="rId420" Type="http://schemas.openxmlformats.org/officeDocument/2006/relationships/hyperlink" Target="mailto:abinau@sancorseguros.com" TargetMode="External"/><Relationship Id="rId1050" Type="http://schemas.openxmlformats.org/officeDocument/2006/relationships/hyperlink" Target="mailto:fsantorum@sancorseguros.com" TargetMode="External"/><Relationship Id="rId2101" Type="http://schemas.openxmlformats.org/officeDocument/2006/relationships/hyperlink" Target="mailto:dtoledo@sancorseguros.com" TargetMode="External"/><Relationship Id="rId1867" Type="http://schemas.openxmlformats.org/officeDocument/2006/relationships/hyperlink" Target="mailto:madecarvalho@sancorseguros.com" TargetMode="External"/><Relationship Id="rId2918" Type="http://schemas.openxmlformats.org/officeDocument/2006/relationships/hyperlink" Target="mailto:milmartinez@ext.sancorseguros.com" TargetMode="External"/><Relationship Id="rId1727" Type="http://schemas.openxmlformats.org/officeDocument/2006/relationships/hyperlink" Target="mailto:mascallia@sancorseguros.com" TargetMode="External"/><Relationship Id="rId1934" Type="http://schemas.openxmlformats.org/officeDocument/2006/relationships/hyperlink" Target="mailto:cpavon@sancorseguros.com" TargetMode="External"/><Relationship Id="rId3082" Type="http://schemas.openxmlformats.org/officeDocument/2006/relationships/hyperlink" Target="mailto:mascallia@sancorseguros.com" TargetMode="External"/><Relationship Id="rId19" Type="http://schemas.openxmlformats.org/officeDocument/2006/relationships/hyperlink" Target="mailto:ludiaz@ext.sancorseguros.com" TargetMode="External"/><Relationship Id="rId3" Type="http://schemas.openxmlformats.org/officeDocument/2006/relationships/hyperlink" Target="mailto:cpavon@sancorseguros.com" TargetMode="External"/><Relationship Id="rId887" Type="http://schemas.openxmlformats.org/officeDocument/2006/relationships/hyperlink" Target="mailto:cpavon@sancorseguros.com" TargetMode="External"/><Relationship Id="rId2568" Type="http://schemas.openxmlformats.org/officeDocument/2006/relationships/hyperlink" Target="mailto:dtoledo@sancorseguros.com" TargetMode="External"/><Relationship Id="rId2775" Type="http://schemas.openxmlformats.org/officeDocument/2006/relationships/hyperlink" Target="mailto:mmaccarrone@ext.sancorseguros.com" TargetMode="External"/><Relationship Id="rId2982" Type="http://schemas.openxmlformats.org/officeDocument/2006/relationships/hyperlink" Target="mailto:mizzo@ext.sancorseguros.com" TargetMode="External"/><Relationship Id="rId3619" Type="http://schemas.openxmlformats.org/officeDocument/2006/relationships/hyperlink" Target="mailto:cvaldez@ext.sancorseguros.com" TargetMode="External"/><Relationship Id="rId747" Type="http://schemas.openxmlformats.org/officeDocument/2006/relationships/hyperlink" Target="mailto:anunzio@sancorseguros.com" TargetMode="External"/><Relationship Id="rId954" Type="http://schemas.openxmlformats.org/officeDocument/2006/relationships/hyperlink" Target="mailto:mascallia@sancorseguros.com" TargetMode="External"/><Relationship Id="rId1377" Type="http://schemas.openxmlformats.org/officeDocument/2006/relationships/hyperlink" Target="mailto:rmomartinez@sancorseguros.com" TargetMode="External"/><Relationship Id="rId1584" Type="http://schemas.openxmlformats.org/officeDocument/2006/relationships/hyperlink" Target="mailto:camgonzalez@sancorseguros.com" TargetMode="External"/><Relationship Id="rId1791" Type="http://schemas.openxmlformats.org/officeDocument/2006/relationships/hyperlink" Target="mailto:lbarboza@ext.sancorseguros.com" TargetMode="External"/><Relationship Id="rId2428" Type="http://schemas.openxmlformats.org/officeDocument/2006/relationships/hyperlink" Target="mailto:anunzio@sancorseguros.com" TargetMode="External"/><Relationship Id="rId2635" Type="http://schemas.openxmlformats.org/officeDocument/2006/relationships/hyperlink" Target="mailto:mmaccarrone@ext.sancorseguros.com" TargetMode="External"/><Relationship Id="rId2842" Type="http://schemas.openxmlformats.org/officeDocument/2006/relationships/hyperlink" Target="mailto:mizzo@ext.sancorseguros.com" TargetMode="External"/><Relationship Id="rId83" Type="http://schemas.openxmlformats.org/officeDocument/2006/relationships/hyperlink" Target="mailto:cpavon@sancorseguros.com" TargetMode="External"/><Relationship Id="rId607" Type="http://schemas.openxmlformats.org/officeDocument/2006/relationships/hyperlink" Target="mailto:bdemiguel@sancorseguros.com" TargetMode="External"/><Relationship Id="rId814" Type="http://schemas.openxmlformats.org/officeDocument/2006/relationships/hyperlink" Target="mailto:madecarvalho@sancorseguros.com" TargetMode="External"/><Relationship Id="rId1237" Type="http://schemas.openxmlformats.org/officeDocument/2006/relationships/hyperlink" Target="mailto:mizzo@ext.sancorseguros.com" TargetMode="External"/><Relationship Id="rId1444" Type="http://schemas.openxmlformats.org/officeDocument/2006/relationships/hyperlink" Target="mailto:camgonzalez@sancorseguros.com" TargetMode="External"/><Relationship Id="rId1651" Type="http://schemas.openxmlformats.org/officeDocument/2006/relationships/hyperlink" Target="mailto:mmaccarrone@ext.sancorseguros.com" TargetMode="External"/><Relationship Id="rId2702" Type="http://schemas.openxmlformats.org/officeDocument/2006/relationships/hyperlink" Target="mailto:dtoledo@sancorseguros.com" TargetMode="External"/><Relationship Id="rId1304" Type="http://schemas.openxmlformats.org/officeDocument/2006/relationships/hyperlink" Target="mailto:gmgutierrez@ext.sancorseguros.com" TargetMode="External"/><Relationship Id="rId1511" Type="http://schemas.openxmlformats.org/officeDocument/2006/relationships/hyperlink" Target="mailto:gleguizamon@ext.sancorseguros.com" TargetMode="External"/><Relationship Id="rId3269" Type="http://schemas.openxmlformats.org/officeDocument/2006/relationships/hyperlink" Target="mailto:rmomartinez@sancorseguros.com" TargetMode="External"/><Relationship Id="rId3476" Type="http://schemas.openxmlformats.org/officeDocument/2006/relationships/hyperlink" Target="mailto:cvaldez@ext.sancorseguros.com" TargetMode="External"/><Relationship Id="rId10" Type="http://schemas.openxmlformats.org/officeDocument/2006/relationships/hyperlink" Target="mailto:gleguizamon@ext.sancorseguros.com" TargetMode="External"/><Relationship Id="rId397" Type="http://schemas.openxmlformats.org/officeDocument/2006/relationships/hyperlink" Target="mailto:anunzio@sancorseguros.com" TargetMode="External"/><Relationship Id="rId2078" Type="http://schemas.openxmlformats.org/officeDocument/2006/relationships/hyperlink" Target="mailto:mizzo@ext.sancorseguros.com" TargetMode="External"/><Relationship Id="rId2285" Type="http://schemas.openxmlformats.org/officeDocument/2006/relationships/hyperlink" Target="mailto:cpavon@sancorseguros.com" TargetMode="External"/><Relationship Id="rId2492" Type="http://schemas.openxmlformats.org/officeDocument/2006/relationships/hyperlink" Target="mailto:dbenitez@sancorseguros.com" TargetMode="External"/><Relationship Id="rId3129" Type="http://schemas.openxmlformats.org/officeDocument/2006/relationships/hyperlink" Target="mailto:lbarboza@ext.sancorseguros.com" TargetMode="External"/><Relationship Id="rId3336" Type="http://schemas.openxmlformats.org/officeDocument/2006/relationships/hyperlink" Target="mailto:lbarboza@ext.sancorseguros.com" TargetMode="External"/><Relationship Id="rId257" Type="http://schemas.openxmlformats.org/officeDocument/2006/relationships/hyperlink" Target="mailto:cvaldez@ext.sancorseguros.com" TargetMode="External"/><Relationship Id="rId464" Type="http://schemas.openxmlformats.org/officeDocument/2006/relationships/hyperlink" Target="mailto:rperez@sancorseguros.com" TargetMode="External"/><Relationship Id="rId1094" Type="http://schemas.openxmlformats.org/officeDocument/2006/relationships/hyperlink" Target="mailto:gmgutierrez@ext.sancorseguros.com" TargetMode="External"/><Relationship Id="rId2145" Type="http://schemas.openxmlformats.org/officeDocument/2006/relationships/hyperlink" Target="mailto:abinau@sancorseguros.com" TargetMode="External"/><Relationship Id="rId3543" Type="http://schemas.openxmlformats.org/officeDocument/2006/relationships/hyperlink" Target="mailto:cvaldez@ext.sancorseguros.com" TargetMode="External"/><Relationship Id="rId117" Type="http://schemas.openxmlformats.org/officeDocument/2006/relationships/hyperlink" Target="mailto:bdemiguel@sancorseguros.com" TargetMode="External"/><Relationship Id="rId671" Type="http://schemas.openxmlformats.org/officeDocument/2006/relationships/hyperlink" Target="mailto:mkester@sancorseguros.com" TargetMode="External"/><Relationship Id="rId2352" Type="http://schemas.openxmlformats.org/officeDocument/2006/relationships/hyperlink" Target="mailto:mkester@sancorseguros.com" TargetMode="External"/><Relationship Id="rId3403" Type="http://schemas.openxmlformats.org/officeDocument/2006/relationships/hyperlink" Target="mailto:abinau@sancorseguros.com" TargetMode="External"/><Relationship Id="rId3610" Type="http://schemas.openxmlformats.org/officeDocument/2006/relationships/hyperlink" Target="mailto:pmalchiodi@sancorseguros.com" TargetMode="External"/><Relationship Id="rId324" Type="http://schemas.openxmlformats.org/officeDocument/2006/relationships/hyperlink" Target="mailto:milmartinez@ext.sancorseguros.com" TargetMode="External"/><Relationship Id="rId531" Type="http://schemas.openxmlformats.org/officeDocument/2006/relationships/hyperlink" Target="mailto:mizzo@ext.sancorseguros.com" TargetMode="External"/><Relationship Id="rId1161" Type="http://schemas.openxmlformats.org/officeDocument/2006/relationships/hyperlink" Target="mailto:mmaccarrone@ext.sancorseguros.com" TargetMode="External"/><Relationship Id="rId2005" Type="http://schemas.openxmlformats.org/officeDocument/2006/relationships/hyperlink" Target="mailto:bdemiguel@sancorseguros.com" TargetMode="External"/><Relationship Id="rId2212" Type="http://schemas.openxmlformats.org/officeDocument/2006/relationships/hyperlink" Target="mailto:dtoledo@sancorseguros.com" TargetMode="External"/><Relationship Id="rId1021" Type="http://schemas.openxmlformats.org/officeDocument/2006/relationships/hyperlink" Target="mailto:mizzo@ext.sancorseguros.com" TargetMode="External"/><Relationship Id="rId1978" Type="http://schemas.openxmlformats.org/officeDocument/2006/relationships/hyperlink" Target="mailto:mizzo@ext.sancorseguros.com" TargetMode="External"/><Relationship Id="rId3193" Type="http://schemas.openxmlformats.org/officeDocument/2006/relationships/hyperlink" Target="mailto:mmaccarrone@ext.sancorseguros.com" TargetMode="External"/><Relationship Id="rId1838" Type="http://schemas.openxmlformats.org/officeDocument/2006/relationships/hyperlink" Target="mailto:milmartinez@ext.sancorseguros.com" TargetMode="External"/><Relationship Id="rId3053" Type="http://schemas.openxmlformats.org/officeDocument/2006/relationships/hyperlink" Target="mailto:mascallia@sancorseguros.com" TargetMode="External"/><Relationship Id="rId3260" Type="http://schemas.openxmlformats.org/officeDocument/2006/relationships/hyperlink" Target="mailto:mkester@sancorseguros.com" TargetMode="External"/><Relationship Id="rId181" Type="http://schemas.openxmlformats.org/officeDocument/2006/relationships/hyperlink" Target="mailto:mizzo@ext.sancorseguros.com" TargetMode="External"/><Relationship Id="rId1905" Type="http://schemas.openxmlformats.org/officeDocument/2006/relationships/hyperlink" Target="mailto:madecarvalho@sancorseguros.com" TargetMode="External"/><Relationship Id="rId3120" Type="http://schemas.openxmlformats.org/officeDocument/2006/relationships/hyperlink" Target="mailto:pmalchiodi@sancorseguros.com" TargetMode="External"/><Relationship Id="rId998" Type="http://schemas.openxmlformats.org/officeDocument/2006/relationships/hyperlink" Target="mailto:dtoledo@sancorseguros.com" TargetMode="External"/><Relationship Id="rId2679" Type="http://schemas.openxmlformats.org/officeDocument/2006/relationships/hyperlink" Target="mailto:bdemiguel@sancorseguros.com" TargetMode="External"/><Relationship Id="rId2886" Type="http://schemas.openxmlformats.org/officeDocument/2006/relationships/hyperlink" Target="mailto:mcoiman@sancorseguros.com" TargetMode="External"/><Relationship Id="rId858" Type="http://schemas.openxmlformats.org/officeDocument/2006/relationships/hyperlink" Target="mailto:cvaldez@ext.sancorseguros.com" TargetMode="External"/><Relationship Id="rId1488" Type="http://schemas.openxmlformats.org/officeDocument/2006/relationships/hyperlink" Target="mailto:gleguizamon@ext.sancorseguros.com" TargetMode="External"/><Relationship Id="rId1695" Type="http://schemas.openxmlformats.org/officeDocument/2006/relationships/hyperlink" Target="mailto:mascallia@sancorseguros.com" TargetMode="External"/><Relationship Id="rId2539" Type="http://schemas.openxmlformats.org/officeDocument/2006/relationships/hyperlink" Target="mailto:bdemiguel@sancorseguros.com" TargetMode="External"/><Relationship Id="rId2746" Type="http://schemas.openxmlformats.org/officeDocument/2006/relationships/hyperlink" Target="mailto:cvaldez@ext.sancorseguros.com" TargetMode="External"/><Relationship Id="rId2953" Type="http://schemas.openxmlformats.org/officeDocument/2006/relationships/hyperlink" Target="mailto:gleguizamon@ext.sancorseguros.com" TargetMode="External"/><Relationship Id="rId718" Type="http://schemas.openxmlformats.org/officeDocument/2006/relationships/hyperlink" Target="mailto:czardain@sancorseguros.com" TargetMode="External"/><Relationship Id="rId925" Type="http://schemas.openxmlformats.org/officeDocument/2006/relationships/hyperlink" Target="mailto:anunzio@sancorseguros.com" TargetMode="External"/><Relationship Id="rId1348" Type="http://schemas.openxmlformats.org/officeDocument/2006/relationships/hyperlink" Target="mailto:pmalchiodi@sancorseguros.com" TargetMode="External"/><Relationship Id="rId1555" Type="http://schemas.openxmlformats.org/officeDocument/2006/relationships/hyperlink" Target="mailto:cvaldez@ext.sancorseguros.com" TargetMode="External"/><Relationship Id="rId1762" Type="http://schemas.openxmlformats.org/officeDocument/2006/relationships/hyperlink" Target="mailto:rmomartinez@sancorseguros.com" TargetMode="External"/><Relationship Id="rId2606" Type="http://schemas.openxmlformats.org/officeDocument/2006/relationships/hyperlink" Target="mailto:mizzo@ext.sancorseguros.com" TargetMode="External"/><Relationship Id="rId1208" Type="http://schemas.openxmlformats.org/officeDocument/2006/relationships/hyperlink" Target="mailto:anunzio@sancorseguros.com" TargetMode="External"/><Relationship Id="rId1415" Type="http://schemas.openxmlformats.org/officeDocument/2006/relationships/hyperlink" Target="mailto:gmgutierrez@ext.sancorseguros.com" TargetMode="External"/><Relationship Id="rId2813" Type="http://schemas.openxmlformats.org/officeDocument/2006/relationships/hyperlink" Target="mailto:mriggeri@sancorseguros.com" TargetMode="External"/><Relationship Id="rId54" Type="http://schemas.openxmlformats.org/officeDocument/2006/relationships/hyperlink" Target="mailto:mizzo@ext.sancorseguros.com" TargetMode="External"/><Relationship Id="rId1622" Type="http://schemas.openxmlformats.org/officeDocument/2006/relationships/hyperlink" Target="mailto:rmomartinez@sancorseguros.com" TargetMode="External"/><Relationship Id="rId2189" Type="http://schemas.openxmlformats.org/officeDocument/2006/relationships/hyperlink" Target="mailto:cpavon@sancorseguros.com" TargetMode="External"/><Relationship Id="rId3587" Type="http://schemas.openxmlformats.org/officeDocument/2006/relationships/hyperlink" Target="mailto:gleguizamon@ext.sancorseguros.com" TargetMode="External"/><Relationship Id="rId2396" Type="http://schemas.openxmlformats.org/officeDocument/2006/relationships/hyperlink" Target="mailto:mascallia@sancorseguros.com" TargetMode="External"/><Relationship Id="rId3447" Type="http://schemas.openxmlformats.org/officeDocument/2006/relationships/hyperlink" Target="mailto:fsantorum@sancorseguros.com" TargetMode="External"/><Relationship Id="rId368" Type="http://schemas.openxmlformats.org/officeDocument/2006/relationships/hyperlink" Target="mailto:abinau@sancorseguros.com" TargetMode="External"/><Relationship Id="rId575" Type="http://schemas.openxmlformats.org/officeDocument/2006/relationships/hyperlink" Target="mailto:mizzo@ext.sancorseguros.com" TargetMode="External"/><Relationship Id="rId782" Type="http://schemas.openxmlformats.org/officeDocument/2006/relationships/hyperlink" Target="mailto:dtoledo@sancorseguros.com" TargetMode="External"/><Relationship Id="rId2049" Type="http://schemas.openxmlformats.org/officeDocument/2006/relationships/hyperlink" Target="mailto:fsantorum@sancorseguros.com" TargetMode="External"/><Relationship Id="rId2256" Type="http://schemas.openxmlformats.org/officeDocument/2006/relationships/hyperlink" Target="mailto:mmaccarrone@ext.sancorseguros.com" TargetMode="External"/><Relationship Id="rId2463" Type="http://schemas.openxmlformats.org/officeDocument/2006/relationships/hyperlink" Target="mailto:mascallia@sancorseguros.com" TargetMode="External"/><Relationship Id="rId2670" Type="http://schemas.openxmlformats.org/officeDocument/2006/relationships/hyperlink" Target="mailto:mmaccarrone@ext.sancorseguros.com" TargetMode="External"/><Relationship Id="rId3307" Type="http://schemas.openxmlformats.org/officeDocument/2006/relationships/hyperlink" Target="mailto:rmomartinez@sancorseguros.com" TargetMode="External"/><Relationship Id="rId3514" Type="http://schemas.openxmlformats.org/officeDocument/2006/relationships/hyperlink" Target="mailto:vcingolani@sancorseguros.com" TargetMode="External"/><Relationship Id="rId228" Type="http://schemas.openxmlformats.org/officeDocument/2006/relationships/hyperlink" Target="mailto:mkester@sancorseguros.com" TargetMode="External"/><Relationship Id="rId435" Type="http://schemas.openxmlformats.org/officeDocument/2006/relationships/hyperlink" Target="mailto:milmartinez@ext.sancorseguros.com" TargetMode="External"/><Relationship Id="rId642" Type="http://schemas.openxmlformats.org/officeDocument/2006/relationships/hyperlink" Target="mailto:pmalchiodi@sancorseguros.com" TargetMode="External"/><Relationship Id="rId1065" Type="http://schemas.openxmlformats.org/officeDocument/2006/relationships/hyperlink" Target="mailto:cvaldez@ext.sancorseguros.com" TargetMode="External"/><Relationship Id="rId1272" Type="http://schemas.openxmlformats.org/officeDocument/2006/relationships/hyperlink" Target="mailto:mizzo@ext.sancorseguros.com" TargetMode="External"/><Relationship Id="rId2116" Type="http://schemas.openxmlformats.org/officeDocument/2006/relationships/hyperlink" Target="mailto:anunzio@sancorseguros.com" TargetMode="External"/><Relationship Id="rId2323" Type="http://schemas.openxmlformats.org/officeDocument/2006/relationships/hyperlink" Target="mailto:mascallia@sancorseguros.com" TargetMode="External"/><Relationship Id="rId2530" Type="http://schemas.openxmlformats.org/officeDocument/2006/relationships/hyperlink" Target="mailto:mdambrosio@ext.sancorseguros.com" TargetMode="External"/><Relationship Id="rId502" Type="http://schemas.openxmlformats.org/officeDocument/2006/relationships/hyperlink" Target="mailto:mizzo@ext.sancorseguros.com" TargetMode="External"/><Relationship Id="rId1132" Type="http://schemas.openxmlformats.org/officeDocument/2006/relationships/hyperlink" Target="mailto:mkester@sancorseguros.com" TargetMode="External"/><Relationship Id="rId3097" Type="http://schemas.openxmlformats.org/officeDocument/2006/relationships/hyperlink" Target="mailto:rmomartinez@sancorseguros.com" TargetMode="External"/><Relationship Id="rId1949" Type="http://schemas.openxmlformats.org/officeDocument/2006/relationships/hyperlink" Target="mailto:gpachao@sancorseguros.com" TargetMode="External"/><Relationship Id="rId3164" Type="http://schemas.openxmlformats.org/officeDocument/2006/relationships/hyperlink" Target="mailto:lbarboza@ext.sancorseguros.com" TargetMode="External"/><Relationship Id="rId292" Type="http://schemas.openxmlformats.org/officeDocument/2006/relationships/hyperlink" Target="mailto:dbenitez@sancorseguros.com" TargetMode="External"/><Relationship Id="rId1809" Type="http://schemas.openxmlformats.org/officeDocument/2006/relationships/hyperlink" Target="mailto:dbenitez@sancorseguros.com" TargetMode="External"/><Relationship Id="rId3371" Type="http://schemas.openxmlformats.org/officeDocument/2006/relationships/hyperlink" Target="mailto:lbarboza@ext.sancorseguros.com" TargetMode="External"/><Relationship Id="rId2180" Type="http://schemas.openxmlformats.org/officeDocument/2006/relationships/hyperlink" Target="mailto:cvaldez@ext.sancorseguros.com" TargetMode="External"/><Relationship Id="rId3024" Type="http://schemas.openxmlformats.org/officeDocument/2006/relationships/hyperlink" Target="mailto:gleguizamon@ext.sancorseguros.com" TargetMode="External"/><Relationship Id="rId3231" Type="http://schemas.openxmlformats.org/officeDocument/2006/relationships/hyperlink" Target="mailto:mizzo@ext.sancorseguros.com" TargetMode="External"/><Relationship Id="rId152" Type="http://schemas.openxmlformats.org/officeDocument/2006/relationships/hyperlink" Target="mailto:gmgutierrez@ext.sancorseguros.com" TargetMode="External"/><Relationship Id="rId2040" Type="http://schemas.openxmlformats.org/officeDocument/2006/relationships/hyperlink" Target="mailto:pmalchiodi@sancorseguros.com" TargetMode="External"/><Relationship Id="rId2997" Type="http://schemas.openxmlformats.org/officeDocument/2006/relationships/hyperlink" Target="mailto:jsperoni@ext.sancorseguros.com" TargetMode="External"/><Relationship Id="rId969" Type="http://schemas.openxmlformats.org/officeDocument/2006/relationships/hyperlink" Target="mailto:mascallia@sancorseguros.com" TargetMode="External"/><Relationship Id="rId1599" Type="http://schemas.openxmlformats.org/officeDocument/2006/relationships/hyperlink" Target="mailto:gleguizamon@ext.sancorseguros.com" TargetMode="External"/><Relationship Id="rId1459" Type="http://schemas.openxmlformats.org/officeDocument/2006/relationships/hyperlink" Target="mailto:mkester@sancorseguros.com" TargetMode="External"/><Relationship Id="rId2857" Type="http://schemas.openxmlformats.org/officeDocument/2006/relationships/hyperlink" Target="mailto:gpachao@sancorseguros.com" TargetMode="External"/><Relationship Id="rId98" Type="http://schemas.openxmlformats.org/officeDocument/2006/relationships/hyperlink" Target="mailto:czardain@sancorseguros.com" TargetMode="External"/><Relationship Id="rId829" Type="http://schemas.openxmlformats.org/officeDocument/2006/relationships/hyperlink" Target="mailto:camgonzalez@sancorseguros.com" TargetMode="External"/><Relationship Id="rId1666" Type="http://schemas.openxmlformats.org/officeDocument/2006/relationships/hyperlink" Target="mailto:amrodriguez@sancorseguros.com" TargetMode="External"/><Relationship Id="rId1873" Type="http://schemas.openxmlformats.org/officeDocument/2006/relationships/hyperlink" Target="mailto:cvaldez@ext.sancorseguros.com" TargetMode="External"/><Relationship Id="rId2717" Type="http://schemas.openxmlformats.org/officeDocument/2006/relationships/hyperlink" Target="mailto:lbarboza@ext.sancorseguros.com" TargetMode="External"/><Relationship Id="rId2924" Type="http://schemas.openxmlformats.org/officeDocument/2006/relationships/hyperlink" Target="mailto:dtoledo@sancorseguros.com" TargetMode="External"/><Relationship Id="rId1319" Type="http://schemas.openxmlformats.org/officeDocument/2006/relationships/hyperlink" Target="mailto:camgonzalez@sancorseguros.com" TargetMode="External"/><Relationship Id="rId1526" Type="http://schemas.openxmlformats.org/officeDocument/2006/relationships/hyperlink" Target="mailto:mizzo@ext.sancorseguros.com" TargetMode="External"/><Relationship Id="rId1733" Type="http://schemas.openxmlformats.org/officeDocument/2006/relationships/hyperlink" Target="mailto:cpavon@sancorseguros.com" TargetMode="External"/><Relationship Id="rId1940" Type="http://schemas.openxmlformats.org/officeDocument/2006/relationships/hyperlink" Target="mailto:jsandoval@sancorseguros.com" TargetMode="External"/><Relationship Id="rId25" Type="http://schemas.openxmlformats.org/officeDocument/2006/relationships/hyperlink" Target="mailto:ludiaz@ext.sancorseguros.com" TargetMode="External"/><Relationship Id="rId1800" Type="http://schemas.openxmlformats.org/officeDocument/2006/relationships/hyperlink" Target="mailto:rmomartinez@sancorseguros.com" TargetMode="External"/><Relationship Id="rId3558" Type="http://schemas.openxmlformats.org/officeDocument/2006/relationships/hyperlink" Target="mailto:vcingolani@sancorseguros.com" TargetMode="External"/><Relationship Id="rId479" Type="http://schemas.openxmlformats.org/officeDocument/2006/relationships/hyperlink" Target="mailto:abinau@sancorseguros.com" TargetMode="External"/><Relationship Id="rId686" Type="http://schemas.openxmlformats.org/officeDocument/2006/relationships/hyperlink" Target="mailto:mizzo@ext.sancorseguros.com" TargetMode="External"/><Relationship Id="rId893" Type="http://schemas.openxmlformats.org/officeDocument/2006/relationships/hyperlink" Target="mailto:rmomartinez@sancorseguros.com" TargetMode="External"/><Relationship Id="rId2367" Type="http://schemas.openxmlformats.org/officeDocument/2006/relationships/hyperlink" Target="mailto:vloray@ext.sancorseguros.com" TargetMode="External"/><Relationship Id="rId2574" Type="http://schemas.openxmlformats.org/officeDocument/2006/relationships/hyperlink" Target="mailto:mizzo@ext.sancorseguros.com" TargetMode="External"/><Relationship Id="rId2781" Type="http://schemas.openxmlformats.org/officeDocument/2006/relationships/hyperlink" Target="mailto:abinau@sancorseguros.com" TargetMode="External"/><Relationship Id="rId3418" Type="http://schemas.openxmlformats.org/officeDocument/2006/relationships/hyperlink" Target="mailto:cvaldez@ext.sancorseguros.com" TargetMode="External"/><Relationship Id="rId3625" Type="http://schemas.openxmlformats.org/officeDocument/2006/relationships/hyperlink" Target="mailto:pmalchiodi@sancorseguros.com" TargetMode="External"/><Relationship Id="rId339" Type="http://schemas.openxmlformats.org/officeDocument/2006/relationships/hyperlink" Target="mailto:mizzo@ext.sancorseguros.com" TargetMode="External"/><Relationship Id="rId546" Type="http://schemas.openxmlformats.org/officeDocument/2006/relationships/hyperlink" Target="mailto:mcoiman@sancorseguros.com" TargetMode="External"/><Relationship Id="rId753" Type="http://schemas.openxmlformats.org/officeDocument/2006/relationships/hyperlink" Target="mailto:anunzio@sancorseguros.com" TargetMode="External"/><Relationship Id="rId1176" Type="http://schemas.openxmlformats.org/officeDocument/2006/relationships/hyperlink" Target="mailto:mascallia@sancorseguros.com" TargetMode="External"/><Relationship Id="rId1383" Type="http://schemas.openxmlformats.org/officeDocument/2006/relationships/hyperlink" Target="mailto:gmgutierrez@ext.sancorseguros.com" TargetMode="External"/><Relationship Id="rId2227" Type="http://schemas.openxmlformats.org/officeDocument/2006/relationships/hyperlink" Target="mailto:dtoledo@sancorseguros.com" TargetMode="External"/><Relationship Id="rId2434" Type="http://schemas.openxmlformats.org/officeDocument/2006/relationships/hyperlink" Target="mailto:bdemiguel@sancorseguros.com" TargetMode="External"/><Relationship Id="rId406" Type="http://schemas.openxmlformats.org/officeDocument/2006/relationships/hyperlink" Target="mailto:cpavon@sancorseguros.com" TargetMode="External"/><Relationship Id="rId960" Type="http://schemas.openxmlformats.org/officeDocument/2006/relationships/hyperlink" Target="mailto:mizzo@ext.sancorseguros.com" TargetMode="External"/><Relationship Id="rId1036" Type="http://schemas.openxmlformats.org/officeDocument/2006/relationships/hyperlink" Target="mailto:rmomartinez@sancorseguros.com" TargetMode="External"/><Relationship Id="rId1243" Type="http://schemas.openxmlformats.org/officeDocument/2006/relationships/hyperlink" Target="mailto:rmomartinez@sancorseguros.com" TargetMode="External"/><Relationship Id="rId1590" Type="http://schemas.openxmlformats.org/officeDocument/2006/relationships/hyperlink" Target="mailto:bdemiguel@sancorseguros.com" TargetMode="External"/><Relationship Id="rId2641" Type="http://schemas.openxmlformats.org/officeDocument/2006/relationships/hyperlink" Target="mailto:mizzo@ext.sancorseguros.com" TargetMode="External"/><Relationship Id="rId613" Type="http://schemas.openxmlformats.org/officeDocument/2006/relationships/hyperlink" Target="mailto:mmaccarrone@ext.sancorseguros.com" TargetMode="External"/><Relationship Id="rId820" Type="http://schemas.openxmlformats.org/officeDocument/2006/relationships/hyperlink" Target="mailto:gmgutierrez@ext.sancorseguros.com" TargetMode="External"/><Relationship Id="rId1450" Type="http://schemas.openxmlformats.org/officeDocument/2006/relationships/hyperlink" Target="mailto:cvaldez@ext.sancorseguros.com" TargetMode="External"/><Relationship Id="rId2501" Type="http://schemas.openxmlformats.org/officeDocument/2006/relationships/hyperlink" Target="mailto:gmgutierrez@ext.sancorseguros.com" TargetMode="External"/><Relationship Id="rId1103" Type="http://schemas.openxmlformats.org/officeDocument/2006/relationships/hyperlink" Target="mailto:bdemiguel@sancorseguros.com" TargetMode="External"/><Relationship Id="rId1310" Type="http://schemas.openxmlformats.org/officeDocument/2006/relationships/hyperlink" Target="mailto:cpavon@sancorseguros.com" TargetMode="External"/><Relationship Id="rId3068" Type="http://schemas.openxmlformats.org/officeDocument/2006/relationships/hyperlink" Target="mailto:madecarvalho@sancorseguros.com" TargetMode="External"/><Relationship Id="rId3275" Type="http://schemas.openxmlformats.org/officeDocument/2006/relationships/hyperlink" Target="mailto:vloray@ext.sancorseguros.com" TargetMode="External"/><Relationship Id="rId3482" Type="http://schemas.openxmlformats.org/officeDocument/2006/relationships/hyperlink" Target="mailto:cvaldez@ext.sancorseguros.com" TargetMode="External"/><Relationship Id="rId196" Type="http://schemas.openxmlformats.org/officeDocument/2006/relationships/hyperlink" Target="mailto:ludiaz@ext.sancorseguros.com" TargetMode="External"/><Relationship Id="rId2084" Type="http://schemas.openxmlformats.org/officeDocument/2006/relationships/hyperlink" Target="mailto:pmalchiodi@sancorseguros.com" TargetMode="External"/><Relationship Id="rId2291" Type="http://schemas.openxmlformats.org/officeDocument/2006/relationships/hyperlink" Target="mailto:lbarboza@ext.sancorseguros.com" TargetMode="External"/><Relationship Id="rId3135" Type="http://schemas.openxmlformats.org/officeDocument/2006/relationships/hyperlink" Target="mailto:gleguizamon@ext.sancorseguros.com" TargetMode="External"/><Relationship Id="rId3342" Type="http://schemas.openxmlformats.org/officeDocument/2006/relationships/hyperlink" Target="mailto:pmalchiodi@sancorseguros.com" TargetMode="External"/><Relationship Id="rId263" Type="http://schemas.openxmlformats.org/officeDocument/2006/relationships/hyperlink" Target="mailto:gmgutierrez@ext.sancorseguros.com" TargetMode="External"/><Relationship Id="rId470" Type="http://schemas.openxmlformats.org/officeDocument/2006/relationships/hyperlink" Target="mailto:cvaldez@ext.sancorseguros.com" TargetMode="External"/><Relationship Id="rId2151" Type="http://schemas.openxmlformats.org/officeDocument/2006/relationships/hyperlink" Target="mailto:mascallia@sancorseguros.com" TargetMode="External"/><Relationship Id="rId3202" Type="http://schemas.openxmlformats.org/officeDocument/2006/relationships/hyperlink" Target="mailto:mascallia@sancorseguros.com" TargetMode="External"/><Relationship Id="rId123" Type="http://schemas.openxmlformats.org/officeDocument/2006/relationships/hyperlink" Target="mailto:gmgutierrez@ext.sancorseguros.com" TargetMode="External"/><Relationship Id="rId330" Type="http://schemas.openxmlformats.org/officeDocument/2006/relationships/hyperlink" Target="mailto:bdemiguel@sancorseguros.com" TargetMode="External"/><Relationship Id="rId2011" Type="http://schemas.openxmlformats.org/officeDocument/2006/relationships/hyperlink" Target="mailto:cpavon@sancorseguros.com" TargetMode="External"/><Relationship Id="rId2968" Type="http://schemas.openxmlformats.org/officeDocument/2006/relationships/hyperlink" Target="mailto:lbarboza@ext.sancorseguros.com" TargetMode="External"/><Relationship Id="rId1777" Type="http://schemas.openxmlformats.org/officeDocument/2006/relationships/hyperlink" Target="mailto:cpavon@sancorseguros.com" TargetMode="External"/><Relationship Id="rId1984" Type="http://schemas.openxmlformats.org/officeDocument/2006/relationships/hyperlink" Target="mailto:czardain@sancorseguros.com" TargetMode="External"/><Relationship Id="rId2828" Type="http://schemas.openxmlformats.org/officeDocument/2006/relationships/hyperlink" Target="mailto:mevangelista@sancorseguros.com" TargetMode="External"/><Relationship Id="rId69" Type="http://schemas.openxmlformats.org/officeDocument/2006/relationships/hyperlink" Target="mailto:madecarvalho@sancorseguros.com" TargetMode="External"/><Relationship Id="rId1637" Type="http://schemas.openxmlformats.org/officeDocument/2006/relationships/hyperlink" Target="mailto:cvaldez@ext.sancorseguros.com" TargetMode="External"/><Relationship Id="rId1844" Type="http://schemas.openxmlformats.org/officeDocument/2006/relationships/hyperlink" Target="mailto:rmomartinez@sancorseguros.com" TargetMode="External"/><Relationship Id="rId1704" Type="http://schemas.openxmlformats.org/officeDocument/2006/relationships/hyperlink" Target="mailto:fsantorum@sancorseguros.com" TargetMode="External"/><Relationship Id="rId1911" Type="http://schemas.openxmlformats.org/officeDocument/2006/relationships/hyperlink" Target="mailto:gmgutierrez@ext.sancorseguros.com" TargetMode="External"/><Relationship Id="rId797" Type="http://schemas.openxmlformats.org/officeDocument/2006/relationships/hyperlink" Target="mailto:anunzio@sancorseguros.com" TargetMode="External"/><Relationship Id="rId2478" Type="http://schemas.openxmlformats.org/officeDocument/2006/relationships/hyperlink" Target="mailto:gleguizamon@ext.sancorseguros.com" TargetMode="External"/><Relationship Id="rId1287" Type="http://schemas.openxmlformats.org/officeDocument/2006/relationships/hyperlink" Target="mailto:rmomartinez@sancorseguros.com" TargetMode="External"/><Relationship Id="rId2685" Type="http://schemas.openxmlformats.org/officeDocument/2006/relationships/hyperlink" Target="mailto:fsantorum@sancorseguros.com" TargetMode="External"/><Relationship Id="rId2892" Type="http://schemas.openxmlformats.org/officeDocument/2006/relationships/hyperlink" Target="mailto:gpachao@sancorseguros.com" TargetMode="External"/><Relationship Id="rId3529" Type="http://schemas.openxmlformats.org/officeDocument/2006/relationships/hyperlink" Target="mailto:gleguizamon@ext.sancorseguros.com" TargetMode="External"/><Relationship Id="rId657" Type="http://schemas.openxmlformats.org/officeDocument/2006/relationships/hyperlink" Target="mailto:mizzo@ext.sancorseguros.com" TargetMode="External"/><Relationship Id="rId864" Type="http://schemas.openxmlformats.org/officeDocument/2006/relationships/hyperlink" Target="mailto:mmaccarrone@ext.sancorseguros.com" TargetMode="External"/><Relationship Id="rId1494" Type="http://schemas.openxmlformats.org/officeDocument/2006/relationships/hyperlink" Target="mailto:mizzo@ext.sancorseguros.com" TargetMode="External"/><Relationship Id="rId2338" Type="http://schemas.openxmlformats.org/officeDocument/2006/relationships/hyperlink" Target="mailto:mizzo@ext.sancorseguros.com" TargetMode="External"/><Relationship Id="rId2545" Type="http://schemas.openxmlformats.org/officeDocument/2006/relationships/hyperlink" Target="mailto:mizzo@ext.sancorseguros.com" TargetMode="External"/><Relationship Id="rId2752" Type="http://schemas.openxmlformats.org/officeDocument/2006/relationships/hyperlink" Target="mailto:mevangelista@sancorseguros.com" TargetMode="External"/><Relationship Id="rId517" Type="http://schemas.openxmlformats.org/officeDocument/2006/relationships/hyperlink" Target="mailto:czardain@sancorseguros.com" TargetMode="External"/><Relationship Id="rId724" Type="http://schemas.openxmlformats.org/officeDocument/2006/relationships/hyperlink" Target="mailto:rfernandez@sancorseguros.com" TargetMode="External"/><Relationship Id="rId931" Type="http://schemas.openxmlformats.org/officeDocument/2006/relationships/hyperlink" Target="mailto:lbarboza@ext.sancorseguros.com" TargetMode="External"/><Relationship Id="rId1147" Type="http://schemas.openxmlformats.org/officeDocument/2006/relationships/hyperlink" Target="mailto:cvaldez@ext.sancorseguros.com" TargetMode="External"/><Relationship Id="rId1354" Type="http://schemas.openxmlformats.org/officeDocument/2006/relationships/hyperlink" Target="mailto:gmgutierrez@ext.sancorseguros.com" TargetMode="External"/><Relationship Id="rId1561" Type="http://schemas.openxmlformats.org/officeDocument/2006/relationships/hyperlink" Target="mailto:fsantorum@sancorseguros.com" TargetMode="External"/><Relationship Id="rId2405" Type="http://schemas.openxmlformats.org/officeDocument/2006/relationships/hyperlink" Target="mailto:mizzo@ext.sancorseguros.com" TargetMode="External"/><Relationship Id="rId2612" Type="http://schemas.openxmlformats.org/officeDocument/2006/relationships/hyperlink" Target="mailto:mmaccarrone@ext.sancorseguros.com" TargetMode="External"/><Relationship Id="rId60" Type="http://schemas.openxmlformats.org/officeDocument/2006/relationships/hyperlink" Target="mailto:mevangelista@sancorseguros.com" TargetMode="External"/><Relationship Id="rId1007" Type="http://schemas.openxmlformats.org/officeDocument/2006/relationships/hyperlink" Target="mailto:fsantorum@sancorseguros.com" TargetMode="External"/><Relationship Id="rId1214" Type="http://schemas.openxmlformats.org/officeDocument/2006/relationships/hyperlink" Target="mailto:cpavon@sancorseguros.com" TargetMode="External"/><Relationship Id="rId1421" Type="http://schemas.openxmlformats.org/officeDocument/2006/relationships/hyperlink" Target="mailto:mizzo@ext.sancorseguros.com" TargetMode="External"/><Relationship Id="rId3179" Type="http://schemas.openxmlformats.org/officeDocument/2006/relationships/hyperlink" Target="mailto:cvaldez@ext.sancorseguros.com" TargetMode="External"/><Relationship Id="rId3386" Type="http://schemas.openxmlformats.org/officeDocument/2006/relationships/hyperlink" Target="mailto:bdemiguel@sancorseguros.com" TargetMode="External"/><Relationship Id="rId3593" Type="http://schemas.openxmlformats.org/officeDocument/2006/relationships/hyperlink" Target="mailto:gmoscato@sancorseguros.com" TargetMode="External"/><Relationship Id="rId2195" Type="http://schemas.openxmlformats.org/officeDocument/2006/relationships/hyperlink" Target="mailto:pmalchiodi@sancorseguros.com" TargetMode="External"/><Relationship Id="rId3039" Type="http://schemas.openxmlformats.org/officeDocument/2006/relationships/hyperlink" Target="mailto:lbarboza@ext.sancorseguros.com" TargetMode="External"/><Relationship Id="rId3246" Type="http://schemas.openxmlformats.org/officeDocument/2006/relationships/hyperlink" Target="mailto:cvaldez@ext.sancorseguros.com" TargetMode="External"/><Relationship Id="rId3453" Type="http://schemas.openxmlformats.org/officeDocument/2006/relationships/hyperlink" Target="mailto:lbarboza@ext.sancorseguros.com" TargetMode="External"/><Relationship Id="rId167" Type="http://schemas.openxmlformats.org/officeDocument/2006/relationships/hyperlink" Target="mailto:mkester@sancorseguros.com" TargetMode="External"/><Relationship Id="rId374" Type="http://schemas.openxmlformats.org/officeDocument/2006/relationships/hyperlink" Target="mailto:cpavon@sancorseguros.com" TargetMode="External"/><Relationship Id="rId581" Type="http://schemas.openxmlformats.org/officeDocument/2006/relationships/hyperlink" Target="mailto:gleguizamon@ext.sancorseguros.com" TargetMode="External"/><Relationship Id="rId2055" Type="http://schemas.openxmlformats.org/officeDocument/2006/relationships/hyperlink" Target="mailto:jsandoval@sancorseguros.com" TargetMode="External"/><Relationship Id="rId2262" Type="http://schemas.openxmlformats.org/officeDocument/2006/relationships/hyperlink" Target="mailto:bdemiguel@sancorseguros.com" TargetMode="External"/><Relationship Id="rId3106" Type="http://schemas.openxmlformats.org/officeDocument/2006/relationships/hyperlink" Target="mailto:lbarboza@ext.sancorseguros.com" TargetMode="External"/><Relationship Id="rId234" Type="http://schemas.openxmlformats.org/officeDocument/2006/relationships/hyperlink" Target="mailto:mizzo@ext.sancorseguros.com" TargetMode="External"/><Relationship Id="rId3313" Type="http://schemas.openxmlformats.org/officeDocument/2006/relationships/hyperlink" Target="mailto:lbarboza@ext.sancorseguros.com" TargetMode="External"/><Relationship Id="rId3520" Type="http://schemas.openxmlformats.org/officeDocument/2006/relationships/hyperlink" Target="mailto:pmalchiodi@sancorseguros.com" TargetMode="External"/><Relationship Id="rId441" Type="http://schemas.openxmlformats.org/officeDocument/2006/relationships/hyperlink" Target="mailto:cpavon@sancorseguros.com" TargetMode="External"/><Relationship Id="rId1071" Type="http://schemas.openxmlformats.org/officeDocument/2006/relationships/hyperlink" Target="mailto:mizzo@ext.sancorseguros.com" TargetMode="External"/><Relationship Id="rId2122" Type="http://schemas.openxmlformats.org/officeDocument/2006/relationships/hyperlink" Target="mailto:jboulle@sancorseguros.com" TargetMode="External"/><Relationship Id="rId301" Type="http://schemas.openxmlformats.org/officeDocument/2006/relationships/hyperlink" Target="mailto:mascallia@sancorseguros.com" TargetMode="External"/><Relationship Id="rId1888" Type="http://schemas.openxmlformats.org/officeDocument/2006/relationships/hyperlink" Target="mailto:rperez@sancorseguros.com" TargetMode="External"/><Relationship Id="rId2939" Type="http://schemas.openxmlformats.org/officeDocument/2006/relationships/hyperlink" Target="mailto:lbarboza@ext.sancorseguros.com" TargetMode="External"/><Relationship Id="rId1748" Type="http://schemas.openxmlformats.org/officeDocument/2006/relationships/hyperlink" Target="mailto:fsantorum@sancorseguros.com" TargetMode="External"/><Relationship Id="rId1955" Type="http://schemas.openxmlformats.org/officeDocument/2006/relationships/hyperlink" Target="mailto:varagon@ext.sancorseguros.com" TargetMode="External"/><Relationship Id="rId3170" Type="http://schemas.openxmlformats.org/officeDocument/2006/relationships/hyperlink" Target="mailto:fsantorum@sancorseguros.com" TargetMode="External"/><Relationship Id="rId1608" Type="http://schemas.openxmlformats.org/officeDocument/2006/relationships/hyperlink" Target="mailto:cvaldez@ext.sancorseguros.com" TargetMode="External"/><Relationship Id="rId1815" Type="http://schemas.openxmlformats.org/officeDocument/2006/relationships/hyperlink" Target="mailto:mevangelista@sancorseguros.com" TargetMode="External"/><Relationship Id="rId3030" Type="http://schemas.openxmlformats.org/officeDocument/2006/relationships/hyperlink" Target="mailto:fsantorum@sancorseguros.com" TargetMode="External"/><Relationship Id="rId2589" Type="http://schemas.openxmlformats.org/officeDocument/2006/relationships/hyperlink" Target="mailto:jboulle@sancorseguros.com" TargetMode="External"/><Relationship Id="rId2796" Type="http://schemas.openxmlformats.org/officeDocument/2006/relationships/hyperlink" Target="mailto:mizzo@ext.sancorseguros.com" TargetMode="External"/><Relationship Id="rId768" Type="http://schemas.openxmlformats.org/officeDocument/2006/relationships/hyperlink" Target="mailto:madecarvalho@sancorseguros.com" TargetMode="External"/><Relationship Id="rId975" Type="http://schemas.openxmlformats.org/officeDocument/2006/relationships/hyperlink" Target="mailto:milmartinez@ext.sancorseguros.com" TargetMode="External"/><Relationship Id="rId1398" Type="http://schemas.openxmlformats.org/officeDocument/2006/relationships/hyperlink" Target="mailto:madecarvalho@sancorseguros.com" TargetMode="External"/><Relationship Id="rId2449" Type="http://schemas.openxmlformats.org/officeDocument/2006/relationships/hyperlink" Target="mailto:mmaccarrone@ext.sancorseguros.com" TargetMode="External"/><Relationship Id="rId2656" Type="http://schemas.openxmlformats.org/officeDocument/2006/relationships/hyperlink" Target="mailto:solivarez@ext.sancorseguros.com" TargetMode="External"/><Relationship Id="rId2863" Type="http://schemas.openxmlformats.org/officeDocument/2006/relationships/hyperlink" Target="mailto:bdemiguel@sancorseguros.com" TargetMode="External"/><Relationship Id="rId628" Type="http://schemas.openxmlformats.org/officeDocument/2006/relationships/hyperlink" Target="mailto:cpavon@sancorseguros.com" TargetMode="External"/><Relationship Id="rId835" Type="http://schemas.openxmlformats.org/officeDocument/2006/relationships/hyperlink" Target="mailto:camgonzalez@sancorseguros.com" TargetMode="External"/><Relationship Id="rId1258" Type="http://schemas.openxmlformats.org/officeDocument/2006/relationships/hyperlink" Target="mailto:mmaccarrone@ext.sancorseguros.com" TargetMode="External"/><Relationship Id="rId1465" Type="http://schemas.openxmlformats.org/officeDocument/2006/relationships/hyperlink" Target="mailto:camgonzalez@sancorseguros.com" TargetMode="External"/><Relationship Id="rId1672" Type="http://schemas.openxmlformats.org/officeDocument/2006/relationships/hyperlink" Target="mailto:rfernandez@sancorseguros.com" TargetMode="External"/><Relationship Id="rId2309" Type="http://schemas.openxmlformats.org/officeDocument/2006/relationships/hyperlink" Target="mailto:mkester@sancorseguros.com" TargetMode="External"/><Relationship Id="rId2516" Type="http://schemas.openxmlformats.org/officeDocument/2006/relationships/hyperlink" Target="mailto:lbarboza@ext.sancorseguros.com" TargetMode="External"/><Relationship Id="rId2723" Type="http://schemas.openxmlformats.org/officeDocument/2006/relationships/hyperlink" Target="mailto:mascallia@sancorseguros.com" TargetMode="External"/><Relationship Id="rId1118" Type="http://schemas.openxmlformats.org/officeDocument/2006/relationships/hyperlink" Target="mailto:bdemiguel@sancorseguros.com" TargetMode="External"/><Relationship Id="rId1325" Type="http://schemas.openxmlformats.org/officeDocument/2006/relationships/hyperlink" Target="mailto:gpachao@sancorseguros.com" TargetMode="External"/><Relationship Id="rId1532" Type="http://schemas.openxmlformats.org/officeDocument/2006/relationships/hyperlink" Target="mailto:gmgutierrez@ext.sancorseguros.com" TargetMode="External"/><Relationship Id="rId2930" Type="http://schemas.openxmlformats.org/officeDocument/2006/relationships/hyperlink" Target="mailto:mizzo@ext.sancorseguros.com" TargetMode="External"/><Relationship Id="rId902" Type="http://schemas.openxmlformats.org/officeDocument/2006/relationships/hyperlink" Target="mailto:dtoledo@sancorseguros.com" TargetMode="External"/><Relationship Id="rId3497" Type="http://schemas.openxmlformats.org/officeDocument/2006/relationships/hyperlink" Target="mailto:gleguizamon@ext.sancorseguros.com" TargetMode="External"/><Relationship Id="rId31" Type="http://schemas.openxmlformats.org/officeDocument/2006/relationships/hyperlink" Target="mailto:mascallia@sancorseguros.com" TargetMode="External"/><Relationship Id="rId2099" Type="http://schemas.openxmlformats.org/officeDocument/2006/relationships/hyperlink" Target="mailto:mizzo@ext.sancorseguros.com" TargetMode="External"/><Relationship Id="rId278" Type="http://schemas.openxmlformats.org/officeDocument/2006/relationships/hyperlink" Target="mailto:cpavon@sancorseguros.com" TargetMode="External"/><Relationship Id="rId3357" Type="http://schemas.openxmlformats.org/officeDocument/2006/relationships/hyperlink" Target="mailto:cpavon@sancorseguros.com" TargetMode="External"/><Relationship Id="rId3564" Type="http://schemas.openxmlformats.org/officeDocument/2006/relationships/hyperlink" Target="mailto:bdemiguel@sancorseguros.com" TargetMode="External"/><Relationship Id="rId485" Type="http://schemas.openxmlformats.org/officeDocument/2006/relationships/hyperlink" Target="mailto:cvaldez@ext.sancorseguros.com" TargetMode="External"/><Relationship Id="rId692" Type="http://schemas.openxmlformats.org/officeDocument/2006/relationships/hyperlink" Target="mailto:jboulle@sancorseguros.com" TargetMode="External"/><Relationship Id="rId2166" Type="http://schemas.openxmlformats.org/officeDocument/2006/relationships/hyperlink" Target="mailto:mizzo@ext.sancorseguros.com" TargetMode="External"/><Relationship Id="rId2373" Type="http://schemas.openxmlformats.org/officeDocument/2006/relationships/hyperlink" Target="mailto:cvaldez@ext.sancorseguros.com" TargetMode="External"/><Relationship Id="rId2580" Type="http://schemas.openxmlformats.org/officeDocument/2006/relationships/hyperlink" Target="mailto:rmomartinez@sancorseguros.com" TargetMode="External"/><Relationship Id="rId3217" Type="http://schemas.openxmlformats.org/officeDocument/2006/relationships/hyperlink" Target="mailto:lbarboza@ext.sancorseguros.com" TargetMode="External"/><Relationship Id="rId3424" Type="http://schemas.openxmlformats.org/officeDocument/2006/relationships/hyperlink" Target="mailto:msasso@sancorseguros.com" TargetMode="External"/><Relationship Id="rId3631" Type="http://schemas.openxmlformats.org/officeDocument/2006/relationships/hyperlink" Target="mailto:lbarboza@ext.sancorseguros.com" TargetMode="External"/><Relationship Id="rId138" Type="http://schemas.openxmlformats.org/officeDocument/2006/relationships/hyperlink" Target="mailto:solivarez@ext.sancorseguros.com" TargetMode="External"/><Relationship Id="rId345" Type="http://schemas.openxmlformats.org/officeDocument/2006/relationships/hyperlink" Target="mailto:mizzo@ext.sancorseguros.com" TargetMode="External"/><Relationship Id="rId552" Type="http://schemas.openxmlformats.org/officeDocument/2006/relationships/hyperlink" Target="mailto:mascallia@sancorseguros.com" TargetMode="External"/><Relationship Id="rId1182" Type="http://schemas.openxmlformats.org/officeDocument/2006/relationships/hyperlink" Target="mailto:rmomartinez@sancorseguros.com" TargetMode="External"/><Relationship Id="rId2026" Type="http://schemas.openxmlformats.org/officeDocument/2006/relationships/hyperlink" Target="mailto:pgirardin@sancorseguros.com" TargetMode="External"/><Relationship Id="rId2233" Type="http://schemas.openxmlformats.org/officeDocument/2006/relationships/hyperlink" Target="mailto:mascallia@sancorseguros.com" TargetMode="External"/><Relationship Id="rId2440" Type="http://schemas.openxmlformats.org/officeDocument/2006/relationships/hyperlink" Target="mailto:lbarboza@ext.sancorseguros.com" TargetMode="External"/><Relationship Id="rId205" Type="http://schemas.openxmlformats.org/officeDocument/2006/relationships/hyperlink" Target="mailto:ludiaz@ext.sancorseguros.com" TargetMode="External"/><Relationship Id="rId412" Type="http://schemas.openxmlformats.org/officeDocument/2006/relationships/hyperlink" Target="mailto:pmalchiodi@sancorseguros.com" TargetMode="External"/><Relationship Id="rId1042" Type="http://schemas.openxmlformats.org/officeDocument/2006/relationships/hyperlink" Target="mailto:cvaldez@ext.sancorseguros.com" TargetMode="External"/><Relationship Id="rId2300" Type="http://schemas.openxmlformats.org/officeDocument/2006/relationships/hyperlink" Target="mailto:camgonzalez@sancorseguros.com" TargetMode="External"/><Relationship Id="rId1999" Type="http://schemas.openxmlformats.org/officeDocument/2006/relationships/hyperlink" Target="mailto:pmalchiodi@sancorseguros.com" TargetMode="External"/><Relationship Id="rId1859" Type="http://schemas.openxmlformats.org/officeDocument/2006/relationships/hyperlink" Target="mailto:mizzo@ext.sancorseguros.com" TargetMode="External"/><Relationship Id="rId3074" Type="http://schemas.openxmlformats.org/officeDocument/2006/relationships/hyperlink" Target="mailto:mizzo@ext.sancorseguros.com" TargetMode="External"/><Relationship Id="rId1719" Type="http://schemas.openxmlformats.org/officeDocument/2006/relationships/hyperlink" Target="mailto:mizzo@ext.sancorseguros.com" TargetMode="External"/><Relationship Id="rId1926" Type="http://schemas.openxmlformats.org/officeDocument/2006/relationships/hyperlink" Target="mailto:cpavon@sancorseguros.com" TargetMode="External"/><Relationship Id="rId3281" Type="http://schemas.openxmlformats.org/officeDocument/2006/relationships/hyperlink" Target="mailto:gpachao@sancorseguros.com" TargetMode="External"/><Relationship Id="rId2090" Type="http://schemas.openxmlformats.org/officeDocument/2006/relationships/hyperlink" Target="mailto:mevangelista@sancorseguros.com" TargetMode="External"/><Relationship Id="rId3141" Type="http://schemas.openxmlformats.org/officeDocument/2006/relationships/hyperlink" Target="mailto:bdemiguel@sancorseguros.com" TargetMode="External"/><Relationship Id="rId3001" Type="http://schemas.openxmlformats.org/officeDocument/2006/relationships/hyperlink" Target="mailto:fsoloneski@sancorseguros.com" TargetMode="External"/><Relationship Id="rId879" Type="http://schemas.openxmlformats.org/officeDocument/2006/relationships/hyperlink" Target="mailto:mizzo@ext.sancorseguros.com" TargetMode="External"/><Relationship Id="rId2767" Type="http://schemas.openxmlformats.org/officeDocument/2006/relationships/hyperlink" Target="mailto:fsoloneski@sancorseguros.com" TargetMode="External"/><Relationship Id="rId739" Type="http://schemas.openxmlformats.org/officeDocument/2006/relationships/hyperlink" Target="mailto:amrodriguez@sancorseguros.com" TargetMode="External"/><Relationship Id="rId1369" Type="http://schemas.openxmlformats.org/officeDocument/2006/relationships/hyperlink" Target="mailto:milmartinez@ext.sancorseguros.com" TargetMode="External"/><Relationship Id="rId1576" Type="http://schemas.openxmlformats.org/officeDocument/2006/relationships/hyperlink" Target="mailto:milmartinez@ext.sancorseguros.com" TargetMode="External"/><Relationship Id="rId2974" Type="http://schemas.openxmlformats.org/officeDocument/2006/relationships/hyperlink" Target="mailto:cvaldez@ext.sancorseguros.com" TargetMode="External"/><Relationship Id="rId946" Type="http://schemas.openxmlformats.org/officeDocument/2006/relationships/hyperlink" Target="mailto:cvaldez@ext.sancorseguros.com" TargetMode="External"/><Relationship Id="rId1229" Type="http://schemas.openxmlformats.org/officeDocument/2006/relationships/hyperlink" Target="mailto:gleguizamon@ext.sancorseguros.com" TargetMode="External"/><Relationship Id="rId1783" Type="http://schemas.openxmlformats.org/officeDocument/2006/relationships/hyperlink" Target="mailto:gleguizamon@ext.sancorseguros.com" TargetMode="External"/><Relationship Id="rId1990" Type="http://schemas.openxmlformats.org/officeDocument/2006/relationships/hyperlink" Target="mailto:gmgutierrez@ext.sancorseguros.com" TargetMode="External"/><Relationship Id="rId2627" Type="http://schemas.openxmlformats.org/officeDocument/2006/relationships/hyperlink" Target="mailto:mascallia@sancorseguros.com" TargetMode="External"/><Relationship Id="rId2834" Type="http://schemas.openxmlformats.org/officeDocument/2006/relationships/hyperlink" Target="mailto:mascallia@sancorseguros.com" TargetMode="External"/><Relationship Id="rId75" Type="http://schemas.openxmlformats.org/officeDocument/2006/relationships/hyperlink" Target="mailto:ludiaz@ext.sancorseguros.com" TargetMode="External"/><Relationship Id="rId806" Type="http://schemas.openxmlformats.org/officeDocument/2006/relationships/hyperlink" Target="mailto:mkester@sancorseguros.com" TargetMode="External"/><Relationship Id="rId1436" Type="http://schemas.openxmlformats.org/officeDocument/2006/relationships/hyperlink" Target="mailto:mizzo@ext.sancorseguros.com" TargetMode="External"/><Relationship Id="rId1643" Type="http://schemas.openxmlformats.org/officeDocument/2006/relationships/hyperlink" Target="mailto:gleguizamon@ext.sancorseguros.com" TargetMode="External"/><Relationship Id="rId1850" Type="http://schemas.openxmlformats.org/officeDocument/2006/relationships/hyperlink" Target="mailto:rfernandez@sancorseguros.com" TargetMode="External"/><Relationship Id="rId2901" Type="http://schemas.openxmlformats.org/officeDocument/2006/relationships/hyperlink" Target="mailto:pgirardin@sancorseguros.com" TargetMode="External"/><Relationship Id="rId1503" Type="http://schemas.openxmlformats.org/officeDocument/2006/relationships/hyperlink" Target="mailto:pmalchiodi@sancorseguros.com" TargetMode="External"/><Relationship Id="rId1710" Type="http://schemas.openxmlformats.org/officeDocument/2006/relationships/hyperlink" Target="mailto:dtoledo@sancorseguros.com" TargetMode="External"/><Relationship Id="rId3468" Type="http://schemas.openxmlformats.org/officeDocument/2006/relationships/hyperlink" Target="mailto:madecarvalho@sancorseguros.com" TargetMode="External"/><Relationship Id="rId389" Type="http://schemas.openxmlformats.org/officeDocument/2006/relationships/hyperlink" Target="mailto:mascallia@sancorseguros.com" TargetMode="External"/><Relationship Id="rId596" Type="http://schemas.openxmlformats.org/officeDocument/2006/relationships/hyperlink" Target="mailto:fsantorum@sancorseguros.com" TargetMode="External"/><Relationship Id="rId2277" Type="http://schemas.openxmlformats.org/officeDocument/2006/relationships/hyperlink" Target="mailto:abinau@sancorseguros.com" TargetMode="External"/><Relationship Id="rId2484" Type="http://schemas.openxmlformats.org/officeDocument/2006/relationships/hyperlink" Target="mailto:gmarotta@sancorseguros.com" TargetMode="External"/><Relationship Id="rId2691" Type="http://schemas.openxmlformats.org/officeDocument/2006/relationships/hyperlink" Target="mailto:cvaldez@ext.sancorseguros.com" TargetMode="External"/><Relationship Id="rId3328" Type="http://schemas.openxmlformats.org/officeDocument/2006/relationships/hyperlink" Target="mailto:gpachao@sancorseguros.com" TargetMode="External"/><Relationship Id="rId3535" Type="http://schemas.openxmlformats.org/officeDocument/2006/relationships/hyperlink" Target="mailto:mmaccarrone@ext.sancorseguros.com" TargetMode="External"/><Relationship Id="rId249" Type="http://schemas.openxmlformats.org/officeDocument/2006/relationships/hyperlink" Target="mailto:camgonzalez@sancorseguros.com" TargetMode="External"/><Relationship Id="rId456" Type="http://schemas.openxmlformats.org/officeDocument/2006/relationships/hyperlink" Target="mailto:milmartinez@ext.sancorseguros.com" TargetMode="External"/><Relationship Id="rId663" Type="http://schemas.openxmlformats.org/officeDocument/2006/relationships/hyperlink" Target="mailto:mizzo@ext.sancorseguros.com" TargetMode="External"/><Relationship Id="rId870" Type="http://schemas.openxmlformats.org/officeDocument/2006/relationships/hyperlink" Target="mailto:camgonzalez@sancorseguros.com" TargetMode="External"/><Relationship Id="rId1086" Type="http://schemas.openxmlformats.org/officeDocument/2006/relationships/hyperlink" Target="mailto:lbarboza@ext.sancorseguros.com" TargetMode="External"/><Relationship Id="rId1293" Type="http://schemas.openxmlformats.org/officeDocument/2006/relationships/hyperlink" Target="mailto:pmalchiodi@sancorseguros.com" TargetMode="External"/><Relationship Id="rId2137" Type="http://schemas.openxmlformats.org/officeDocument/2006/relationships/hyperlink" Target="mailto:mizzo@ext.sancorseguros.com" TargetMode="External"/><Relationship Id="rId2344" Type="http://schemas.openxmlformats.org/officeDocument/2006/relationships/hyperlink" Target="mailto:lbarboza@ext.sancorseguros.com" TargetMode="External"/><Relationship Id="rId2551" Type="http://schemas.openxmlformats.org/officeDocument/2006/relationships/hyperlink" Target="mailto:rmomartinez@sancorseguros.com" TargetMode="External"/><Relationship Id="rId109" Type="http://schemas.openxmlformats.org/officeDocument/2006/relationships/hyperlink" Target="mailto:mevangelista@sancorseguros.com" TargetMode="External"/><Relationship Id="rId316" Type="http://schemas.openxmlformats.org/officeDocument/2006/relationships/hyperlink" Target="mailto:camgonzalez@sancorseguros.com" TargetMode="External"/><Relationship Id="rId523" Type="http://schemas.openxmlformats.org/officeDocument/2006/relationships/hyperlink" Target="mailto:mmaccarrone@ext.sancorseguros.com" TargetMode="External"/><Relationship Id="rId1153" Type="http://schemas.openxmlformats.org/officeDocument/2006/relationships/hyperlink" Target="mailto:cpavon@sancorseguros.com" TargetMode="External"/><Relationship Id="rId2204" Type="http://schemas.openxmlformats.org/officeDocument/2006/relationships/hyperlink" Target="mailto:mascallia@sancorseguros.com" TargetMode="External"/><Relationship Id="rId3602" Type="http://schemas.openxmlformats.org/officeDocument/2006/relationships/hyperlink" Target="mailto:rfernandez@sancorseguros.com" TargetMode="External"/><Relationship Id="rId730" Type="http://schemas.openxmlformats.org/officeDocument/2006/relationships/hyperlink" Target="mailto:mmaccarrone@ext.sancorseguros.com" TargetMode="External"/><Relationship Id="rId1013" Type="http://schemas.openxmlformats.org/officeDocument/2006/relationships/hyperlink" Target="mailto:mkester@sancorseguros.com" TargetMode="External"/><Relationship Id="rId1360" Type="http://schemas.openxmlformats.org/officeDocument/2006/relationships/hyperlink" Target="mailto:dtoledo@sancorseguros.com" TargetMode="External"/><Relationship Id="rId2411" Type="http://schemas.openxmlformats.org/officeDocument/2006/relationships/hyperlink" Target="mailto:camgonzalez@sancorseguros.com" TargetMode="External"/><Relationship Id="rId1220" Type="http://schemas.openxmlformats.org/officeDocument/2006/relationships/hyperlink" Target="mailto:milmartinez@ext.sancorseguros.com" TargetMode="External"/><Relationship Id="rId3185" Type="http://schemas.openxmlformats.org/officeDocument/2006/relationships/hyperlink" Target="mailto:bdemiguel@sancorseguros.com" TargetMode="External"/><Relationship Id="rId3392" Type="http://schemas.openxmlformats.org/officeDocument/2006/relationships/hyperlink" Target="mailto:gmgutierrez@ext.sancorseguros.com" TargetMode="External"/><Relationship Id="rId3045" Type="http://schemas.openxmlformats.org/officeDocument/2006/relationships/hyperlink" Target="mailto:mascallia@sancorseguros.com" TargetMode="External"/><Relationship Id="rId3252" Type="http://schemas.openxmlformats.org/officeDocument/2006/relationships/hyperlink" Target="mailto:camgonzalez@sancorseguros.com" TargetMode="External"/><Relationship Id="rId173" Type="http://schemas.openxmlformats.org/officeDocument/2006/relationships/hyperlink" Target="mailto:mizzo@ext.sancorseguros.com" TargetMode="External"/><Relationship Id="rId380" Type="http://schemas.openxmlformats.org/officeDocument/2006/relationships/hyperlink" Target="mailto:abinau@sancorseguros.com" TargetMode="External"/><Relationship Id="rId2061" Type="http://schemas.openxmlformats.org/officeDocument/2006/relationships/hyperlink" Target="mailto:cmattioli@sancorseguros.com" TargetMode="External"/><Relationship Id="rId3112" Type="http://schemas.openxmlformats.org/officeDocument/2006/relationships/hyperlink" Target="mailto:milmartinez@ext.sancorseguros.com" TargetMode="External"/><Relationship Id="rId240" Type="http://schemas.openxmlformats.org/officeDocument/2006/relationships/hyperlink" Target="mailto:mevangelista@sancorseguros.com" TargetMode="External"/><Relationship Id="rId100" Type="http://schemas.openxmlformats.org/officeDocument/2006/relationships/hyperlink" Target="mailto:fsantorum@sancorseguros.com" TargetMode="External"/><Relationship Id="rId2878" Type="http://schemas.openxmlformats.org/officeDocument/2006/relationships/hyperlink" Target="mailto:cavillegas@sancorseguros.com" TargetMode="External"/><Relationship Id="rId1687" Type="http://schemas.openxmlformats.org/officeDocument/2006/relationships/hyperlink" Target="mailto:milmartinez@ext.sancorseguros.com" TargetMode="External"/><Relationship Id="rId1894" Type="http://schemas.openxmlformats.org/officeDocument/2006/relationships/hyperlink" Target="mailto:milmartinez@ext.sancorseguros.com" TargetMode="External"/><Relationship Id="rId2738" Type="http://schemas.openxmlformats.org/officeDocument/2006/relationships/hyperlink" Target="mailto:mizzo@ext.sancorseguros.com" TargetMode="External"/><Relationship Id="rId2945" Type="http://schemas.openxmlformats.org/officeDocument/2006/relationships/hyperlink" Target="mailto:mmaccarrone@ext.sancorseguros.com" TargetMode="External"/><Relationship Id="rId917" Type="http://schemas.openxmlformats.org/officeDocument/2006/relationships/hyperlink" Target="mailto:bdemiguel@sancorseguros.com" TargetMode="External"/><Relationship Id="rId1547" Type="http://schemas.openxmlformats.org/officeDocument/2006/relationships/hyperlink" Target="mailto:pmalchiodi@sancorseguros.com" TargetMode="External"/><Relationship Id="rId1754" Type="http://schemas.openxmlformats.org/officeDocument/2006/relationships/hyperlink" Target="mailto:dtoledo@sancorseguros.com" TargetMode="External"/><Relationship Id="rId1961" Type="http://schemas.openxmlformats.org/officeDocument/2006/relationships/hyperlink" Target="mailto:mmaccarrone@ext.sancorseguros.com" TargetMode="External"/><Relationship Id="rId2805" Type="http://schemas.openxmlformats.org/officeDocument/2006/relationships/hyperlink" Target="mailto:gpachao@sancorseguros.com" TargetMode="External"/><Relationship Id="rId46" Type="http://schemas.openxmlformats.org/officeDocument/2006/relationships/hyperlink" Target="mailto:anunzio@sancorseguros.com" TargetMode="External"/><Relationship Id="rId1407" Type="http://schemas.openxmlformats.org/officeDocument/2006/relationships/hyperlink" Target="mailto:rmomartinez@sancorseguros.com" TargetMode="External"/><Relationship Id="rId1614" Type="http://schemas.openxmlformats.org/officeDocument/2006/relationships/hyperlink" Target="mailto:cpavon@sancorseguros.com" TargetMode="External"/><Relationship Id="rId1821" Type="http://schemas.openxmlformats.org/officeDocument/2006/relationships/hyperlink" Target="mailto:camgonzalez@sancorseguros.com" TargetMode="External"/><Relationship Id="rId3579" Type="http://schemas.openxmlformats.org/officeDocument/2006/relationships/hyperlink" Target="mailto:camgonzalez@sancorseguros.com" TargetMode="External"/><Relationship Id="rId2388" Type="http://schemas.openxmlformats.org/officeDocument/2006/relationships/hyperlink" Target="mailto:mkester@sancorseguros.com" TargetMode="External"/><Relationship Id="rId2595" Type="http://schemas.openxmlformats.org/officeDocument/2006/relationships/hyperlink" Target="mailto:mascallia@sancorseguros.com" TargetMode="External"/><Relationship Id="rId3439" Type="http://schemas.openxmlformats.org/officeDocument/2006/relationships/hyperlink" Target="mailto:mkester@sancorseguros.com" TargetMode="External"/><Relationship Id="rId567" Type="http://schemas.openxmlformats.org/officeDocument/2006/relationships/hyperlink" Target="mailto:mizzo@ext.sancorseguros.com" TargetMode="External"/><Relationship Id="rId1197" Type="http://schemas.openxmlformats.org/officeDocument/2006/relationships/hyperlink" Target="mailto:mizzo@ext.sancorseguros.com" TargetMode="External"/><Relationship Id="rId2248" Type="http://schemas.openxmlformats.org/officeDocument/2006/relationships/hyperlink" Target="mailto:gpachao@sancorseguros.com" TargetMode="External"/><Relationship Id="rId774" Type="http://schemas.openxmlformats.org/officeDocument/2006/relationships/hyperlink" Target="mailto:cpavon@sancorseguros.com" TargetMode="External"/><Relationship Id="rId981" Type="http://schemas.openxmlformats.org/officeDocument/2006/relationships/hyperlink" Target="mailto:madecarvalho@sancorseguros.com" TargetMode="External"/><Relationship Id="rId1057" Type="http://schemas.openxmlformats.org/officeDocument/2006/relationships/hyperlink" Target="mailto:milmartinez@ext.sancorseguros.com" TargetMode="External"/><Relationship Id="rId2455" Type="http://schemas.openxmlformats.org/officeDocument/2006/relationships/hyperlink" Target="mailto:milmartinez@ext.sancorseguros.com" TargetMode="External"/><Relationship Id="rId2662" Type="http://schemas.openxmlformats.org/officeDocument/2006/relationships/hyperlink" Target="mailto:bdemiguel@sancorseguros.com" TargetMode="External"/><Relationship Id="rId3506" Type="http://schemas.openxmlformats.org/officeDocument/2006/relationships/hyperlink" Target="mailto:cvaldez@ext.sancorseguros.com" TargetMode="External"/><Relationship Id="rId427" Type="http://schemas.openxmlformats.org/officeDocument/2006/relationships/hyperlink" Target="mailto:mmaccarrone@ext.sancorseguros.com" TargetMode="External"/><Relationship Id="rId634" Type="http://schemas.openxmlformats.org/officeDocument/2006/relationships/hyperlink" Target="mailto:bdemiguel@sancorseguros.com" TargetMode="External"/><Relationship Id="rId841" Type="http://schemas.openxmlformats.org/officeDocument/2006/relationships/hyperlink" Target="mailto:cvaldez@ext.sancorseguros.com" TargetMode="External"/><Relationship Id="rId1264" Type="http://schemas.openxmlformats.org/officeDocument/2006/relationships/hyperlink" Target="mailto:mmaccarrone@ext.sancorseguros.com" TargetMode="External"/><Relationship Id="rId1471" Type="http://schemas.openxmlformats.org/officeDocument/2006/relationships/hyperlink" Target="mailto:gleguizamon@ext.sancorseguros.com" TargetMode="External"/><Relationship Id="rId2108" Type="http://schemas.openxmlformats.org/officeDocument/2006/relationships/hyperlink" Target="mailto:bdemiguel@sancorseguros.com" TargetMode="External"/><Relationship Id="rId2315" Type="http://schemas.openxmlformats.org/officeDocument/2006/relationships/hyperlink" Target="mailto:lbarboza@ext.sancorseguros.com" TargetMode="External"/><Relationship Id="rId2522" Type="http://schemas.openxmlformats.org/officeDocument/2006/relationships/hyperlink" Target="mailto:madecarvalho@sancorseguros.com" TargetMode="External"/><Relationship Id="rId701" Type="http://schemas.openxmlformats.org/officeDocument/2006/relationships/hyperlink" Target="mailto:gleguizamon@ext.sancorseguros.com" TargetMode="External"/><Relationship Id="rId1124" Type="http://schemas.openxmlformats.org/officeDocument/2006/relationships/hyperlink" Target="mailto:camgonzalez@sancorseguros.com" TargetMode="External"/><Relationship Id="rId1331" Type="http://schemas.openxmlformats.org/officeDocument/2006/relationships/hyperlink" Target="mailto:dtoledo@sancorseguros.com" TargetMode="External"/><Relationship Id="rId3089" Type="http://schemas.openxmlformats.org/officeDocument/2006/relationships/hyperlink" Target="mailto:cvaldez@ext.sancorseguros.com" TargetMode="External"/><Relationship Id="rId3296" Type="http://schemas.openxmlformats.org/officeDocument/2006/relationships/hyperlink" Target="mailto:mmaccarrone@ext.sancorseguros.com" TargetMode="External"/><Relationship Id="rId3156" Type="http://schemas.openxmlformats.org/officeDocument/2006/relationships/hyperlink" Target="mailto:pasalcedo@sancorseguros.com" TargetMode="External"/><Relationship Id="rId3363" Type="http://schemas.openxmlformats.org/officeDocument/2006/relationships/hyperlink" Target="mailto:gmgutierrez@ext.sancorseguros.com" TargetMode="External"/><Relationship Id="rId284" Type="http://schemas.openxmlformats.org/officeDocument/2006/relationships/hyperlink" Target="mailto:cpavon@sancorseguros.com" TargetMode="External"/><Relationship Id="rId491" Type="http://schemas.openxmlformats.org/officeDocument/2006/relationships/hyperlink" Target="mailto:cpavon@sancorseguros.com" TargetMode="External"/><Relationship Id="rId2172" Type="http://schemas.openxmlformats.org/officeDocument/2006/relationships/hyperlink" Target="mailto:fsoloneski@sancorseguros.com" TargetMode="External"/><Relationship Id="rId3016" Type="http://schemas.openxmlformats.org/officeDocument/2006/relationships/hyperlink" Target="mailto:vloray@ext.sancorseguros.com" TargetMode="External"/><Relationship Id="rId3223" Type="http://schemas.openxmlformats.org/officeDocument/2006/relationships/hyperlink" Target="mailto:mmaccarrone@ext.sancorseguros.com" TargetMode="External"/><Relationship Id="rId3570" Type="http://schemas.openxmlformats.org/officeDocument/2006/relationships/hyperlink" Target="mailto:pmalchiodi@sancorseguros.com" TargetMode="External"/><Relationship Id="rId144" Type="http://schemas.openxmlformats.org/officeDocument/2006/relationships/hyperlink" Target="mailto:cpavon@sancorseguros.com" TargetMode="External"/><Relationship Id="rId3430" Type="http://schemas.openxmlformats.org/officeDocument/2006/relationships/hyperlink" Target="mailto:mascallia@sancorseguros.com" TargetMode="External"/><Relationship Id="rId351" Type="http://schemas.openxmlformats.org/officeDocument/2006/relationships/hyperlink" Target="mailto:rmomartinez@sancorseguros.com" TargetMode="External"/><Relationship Id="rId2032" Type="http://schemas.openxmlformats.org/officeDocument/2006/relationships/hyperlink" Target="mailto:abinau@sancorseguros.com" TargetMode="External"/><Relationship Id="rId2989" Type="http://schemas.openxmlformats.org/officeDocument/2006/relationships/hyperlink" Target="mailto:abinau@sancorseguros.com" TargetMode="External"/><Relationship Id="rId211" Type="http://schemas.openxmlformats.org/officeDocument/2006/relationships/hyperlink" Target="mailto:cpavon@sancorseguros.com" TargetMode="External"/><Relationship Id="rId1798" Type="http://schemas.openxmlformats.org/officeDocument/2006/relationships/hyperlink" Target="mailto:gmgutierrez@ext.sancorseguros.com" TargetMode="External"/><Relationship Id="rId2849" Type="http://schemas.openxmlformats.org/officeDocument/2006/relationships/hyperlink" Target="mailto:fsantorum@sancorseguros.com" TargetMode="External"/><Relationship Id="rId1658" Type="http://schemas.openxmlformats.org/officeDocument/2006/relationships/hyperlink" Target="mailto:anunzio@sancorseguros.com" TargetMode="External"/><Relationship Id="rId1865" Type="http://schemas.openxmlformats.org/officeDocument/2006/relationships/hyperlink" Target="mailto:bdemiguel@sancorseguros.com" TargetMode="External"/><Relationship Id="rId2709" Type="http://schemas.openxmlformats.org/officeDocument/2006/relationships/hyperlink" Target="mailto:abinau@sancorseguros.com" TargetMode="External"/><Relationship Id="rId1518" Type="http://schemas.openxmlformats.org/officeDocument/2006/relationships/hyperlink" Target="mailto:rfernandez@sancorseguros.com" TargetMode="External"/><Relationship Id="rId2916" Type="http://schemas.openxmlformats.org/officeDocument/2006/relationships/hyperlink" Target="mailto:milmartinez@ext.sancorseguros.com" TargetMode="External"/><Relationship Id="rId3080" Type="http://schemas.openxmlformats.org/officeDocument/2006/relationships/hyperlink" Target="mailto:lbarboza@ext.sancorseguros.com" TargetMode="External"/><Relationship Id="rId1725" Type="http://schemas.openxmlformats.org/officeDocument/2006/relationships/hyperlink" Target="mailto:lbarboza@ext.sancorseguros.com" TargetMode="External"/><Relationship Id="rId1932" Type="http://schemas.openxmlformats.org/officeDocument/2006/relationships/hyperlink" Target="mailto:mkester@sancorseguros.com" TargetMode="External"/><Relationship Id="rId17" Type="http://schemas.openxmlformats.org/officeDocument/2006/relationships/hyperlink" Target="mailto:rfernandez@sancorseguros.com" TargetMode="External"/><Relationship Id="rId2499" Type="http://schemas.openxmlformats.org/officeDocument/2006/relationships/hyperlink" Target="mailto:mkester@sancorseguros.com" TargetMode="External"/><Relationship Id="rId1" Type="http://schemas.openxmlformats.org/officeDocument/2006/relationships/hyperlink" Target="mailto:bdemiguel@sancorseguros.com" TargetMode="External"/><Relationship Id="rId678" Type="http://schemas.openxmlformats.org/officeDocument/2006/relationships/hyperlink" Target="mailto:mizzo@ext.sancorseguros.com" TargetMode="External"/><Relationship Id="rId885" Type="http://schemas.openxmlformats.org/officeDocument/2006/relationships/hyperlink" Target="mailto:mmaccarrone@ext.sancorseguros.com" TargetMode="External"/><Relationship Id="rId2359" Type="http://schemas.openxmlformats.org/officeDocument/2006/relationships/hyperlink" Target="mailto:pmalchiodi@sancorseguros.com" TargetMode="External"/><Relationship Id="rId2566" Type="http://schemas.openxmlformats.org/officeDocument/2006/relationships/hyperlink" Target="mailto:abinau@sancorseguros.com" TargetMode="External"/><Relationship Id="rId2773" Type="http://schemas.openxmlformats.org/officeDocument/2006/relationships/hyperlink" Target="mailto:cvaldez@ext.sancorseguros.com" TargetMode="External"/><Relationship Id="rId2980" Type="http://schemas.openxmlformats.org/officeDocument/2006/relationships/hyperlink" Target="mailto:mkester@sancorseguros.com" TargetMode="External"/><Relationship Id="rId3617" Type="http://schemas.openxmlformats.org/officeDocument/2006/relationships/hyperlink" Target="mailto:pmalchiodi@sancorseguros.com" TargetMode="External"/><Relationship Id="rId538" Type="http://schemas.openxmlformats.org/officeDocument/2006/relationships/hyperlink" Target="mailto:mizzo@ext.sancorseguros.com" TargetMode="External"/><Relationship Id="rId745" Type="http://schemas.openxmlformats.org/officeDocument/2006/relationships/hyperlink" Target="mailto:mkester@sancorseguros.com" TargetMode="External"/><Relationship Id="rId952" Type="http://schemas.openxmlformats.org/officeDocument/2006/relationships/hyperlink" Target="mailto:cpavon@sancorseguros.com" TargetMode="External"/><Relationship Id="rId1168" Type="http://schemas.openxmlformats.org/officeDocument/2006/relationships/hyperlink" Target="mailto:milmartinez@ext.sancorseguros.com" TargetMode="External"/><Relationship Id="rId1375" Type="http://schemas.openxmlformats.org/officeDocument/2006/relationships/hyperlink" Target="mailto:mizzo@ext.sancorseguros.com" TargetMode="External"/><Relationship Id="rId1582" Type="http://schemas.openxmlformats.org/officeDocument/2006/relationships/hyperlink" Target="mailto:rmomartinez@sancorseguros.com" TargetMode="External"/><Relationship Id="rId2219" Type="http://schemas.openxmlformats.org/officeDocument/2006/relationships/hyperlink" Target="mailto:milmartinez@ext.sancorseguros.com" TargetMode="External"/><Relationship Id="rId2426" Type="http://schemas.openxmlformats.org/officeDocument/2006/relationships/hyperlink" Target="mailto:pmalchiodi@sancorseguros.com" TargetMode="External"/><Relationship Id="rId2633" Type="http://schemas.openxmlformats.org/officeDocument/2006/relationships/hyperlink" Target="mailto:bdemiguel@sancorseguros.com" TargetMode="External"/><Relationship Id="rId81" Type="http://schemas.openxmlformats.org/officeDocument/2006/relationships/hyperlink" Target="mailto:cvaldez@ext.sancorseguros.com" TargetMode="External"/><Relationship Id="rId605" Type="http://schemas.openxmlformats.org/officeDocument/2006/relationships/hyperlink" Target="mailto:cvaldez@ext.sancorseguros.com" TargetMode="External"/><Relationship Id="rId812" Type="http://schemas.openxmlformats.org/officeDocument/2006/relationships/hyperlink" Target="mailto:jsandoval@sancorseguros.com" TargetMode="External"/><Relationship Id="rId1028" Type="http://schemas.openxmlformats.org/officeDocument/2006/relationships/hyperlink" Target="mailto:lbarboza@ext.sancorseguros.com" TargetMode="External"/><Relationship Id="rId1235" Type="http://schemas.openxmlformats.org/officeDocument/2006/relationships/hyperlink" Target="mailto:amrodriguez@sancorseguros.com" TargetMode="External"/><Relationship Id="rId1442" Type="http://schemas.openxmlformats.org/officeDocument/2006/relationships/hyperlink" Target="mailto:abinau@sancorseguros.com" TargetMode="External"/><Relationship Id="rId2840" Type="http://schemas.openxmlformats.org/officeDocument/2006/relationships/hyperlink" Target="mailto:mdambrosio@ext.sancorseguros.com" TargetMode="External"/><Relationship Id="rId1302" Type="http://schemas.openxmlformats.org/officeDocument/2006/relationships/hyperlink" Target="mailto:lbarboza@ext.sancorseguros.com" TargetMode="External"/><Relationship Id="rId2700" Type="http://schemas.openxmlformats.org/officeDocument/2006/relationships/hyperlink" Target="mailto:bdemiguel@sancorseguros.com" TargetMode="External"/><Relationship Id="rId3267" Type="http://schemas.openxmlformats.org/officeDocument/2006/relationships/hyperlink" Target="mailto:mmaccarrone@ext.sancorseguros.com" TargetMode="External"/><Relationship Id="rId188" Type="http://schemas.openxmlformats.org/officeDocument/2006/relationships/hyperlink" Target="mailto:madecarvalho@sancorseguros.com" TargetMode="External"/><Relationship Id="rId395" Type="http://schemas.openxmlformats.org/officeDocument/2006/relationships/hyperlink" Target="mailto:mevangelista@sancorseguros.com" TargetMode="External"/><Relationship Id="rId2076" Type="http://schemas.openxmlformats.org/officeDocument/2006/relationships/hyperlink" Target="mailto:mizzo@ext.sancorseguros.com" TargetMode="External"/><Relationship Id="rId3474" Type="http://schemas.openxmlformats.org/officeDocument/2006/relationships/hyperlink" Target="mailto:mmaccarrone@ext.sancorseguros.com" TargetMode="External"/><Relationship Id="rId2283" Type="http://schemas.openxmlformats.org/officeDocument/2006/relationships/hyperlink" Target="mailto:mascallia@sancorseguros.com" TargetMode="External"/><Relationship Id="rId2490" Type="http://schemas.openxmlformats.org/officeDocument/2006/relationships/hyperlink" Target="mailto:pmalchiodi@sancorseguros.com" TargetMode="External"/><Relationship Id="rId3127" Type="http://schemas.openxmlformats.org/officeDocument/2006/relationships/hyperlink" Target="mailto:mmaccarrone@ext.sancorseguros.com" TargetMode="External"/><Relationship Id="rId3334" Type="http://schemas.openxmlformats.org/officeDocument/2006/relationships/hyperlink" Target="mailto:gmgutierrez@ext.sancorseguros.com" TargetMode="External"/><Relationship Id="rId3541" Type="http://schemas.openxmlformats.org/officeDocument/2006/relationships/hyperlink" Target="mailto:gleguizamon@ext.sancorseguros.com" TargetMode="External"/><Relationship Id="rId255" Type="http://schemas.openxmlformats.org/officeDocument/2006/relationships/hyperlink" Target="mailto:mkester@sancorseguros.com" TargetMode="External"/><Relationship Id="rId462" Type="http://schemas.openxmlformats.org/officeDocument/2006/relationships/hyperlink" Target="mailto:mascallia@sancorseguros.com" TargetMode="External"/><Relationship Id="rId1092" Type="http://schemas.openxmlformats.org/officeDocument/2006/relationships/hyperlink" Target="mailto:camgonzalez@sancorseguros.com" TargetMode="External"/><Relationship Id="rId2143" Type="http://schemas.openxmlformats.org/officeDocument/2006/relationships/hyperlink" Target="mailto:abinau@sancorseguros.com" TargetMode="External"/><Relationship Id="rId2350" Type="http://schemas.openxmlformats.org/officeDocument/2006/relationships/hyperlink" Target="mailto:mizzo@ext.sancorseguros.com" TargetMode="External"/><Relationship Id="rId3401" Type="http://schemas.openxmlformats.org/officeDocument/2006/relationships/hyperlink" Target="mailto:vloray@ext.sancorseguros.com" TargetMode="External"/><Relationship Id="rId115" Type="http://schemas.openxmlformats.org/officeDocument/2006/relationships/hyperlink" Target="mailto:mascallia@sancorseguros.com" TargetMode="External"/><Relationship Id="rId322" Type="http://schemas.openxmlformats.org/officeDocument/2006/relationships/hyperlink" Target="mailto:mizzo@ext.sancorseguros.com" TargetMode="External"/><Relationship Id="rId2003" Type="http://schemas.openxmlformats.org/officeDocument/2006/relationships/hyperlink" Target="mailto:bdemiguel@sancorseguros.com" TargetMode="External"/><Relationship Id="rId2210" Type="http://schemas.openxmlformats.org/officeDocument/2006/relationships/hyperlink" Target="mailto:mizzo@ext.sancorseguros.com" TargetMode="External"/><Relationship Id="rId1769" Type="http://schemas.openxmlformats.org/officeDocument/2006/relationships/hyperlink" Target="mailto:fsantorum@sancorseguros.com" TargetMode="External"/><Relationship Id="rId1976" Type="http://schemas.openxmlformats.org/officeDocument/2006/relationships/hyperlink" Target="mailto:jboulle@sancorseguros.com" TargetMode="External"/><Relationship Id="rId3191" Type="http://schemas.openxmlformats.org/officeDocument/2006/relationships/hyperlink" Target="mailto:gpachao@sancorseguros.com" TargetMode="External"/><Relationship Id="rId1629" Type="http://schemas.openxmlformats.org/officeDocument/2006/relationships/hyperlink" Target="mailto:mascallia@sancorseguros.com" TargetMode="External"/><Relationship Id="rId1836" Type="http://schemas.openxmlformats.org/officeDocument/2006/relationships/hyperlink" Target="mailto:gleguizamon@ext.sancorseguros.com" TargetMode="External"/><Relationship Id="rId1903" Type="http://schemas.openxmlformats.org/officeDocument/2006/relationships/hyperlink" Target="mailto:cvaldez@ext.sancorseguros.com" TargetMode="External"/><Relationship Id="rId3051" Type="http://schemas.openxmlformats.org/officeDocument/2006/relationships/hyperlink" Target="mailto:mascallia@sancorseguros.com" TargetMode="External"/><Relationship Id="rId789" Type="http://schemas.openxmlformats.org/officeDocument/2006/relationships/hyperlink" Target="mailto:madecarvalho@sancorseguros.com" TargetMode="External"/><Relationship Id="rId996" Type="http://schemas.openxmlformats.org/officeDocument/2006/relationships/hyperlink" Target="mailto:fsantorum@sancorseguros.com" TargetMode="External"/><Relationship Id="rId2677" Type="http://schemas.openxmlformats.org/officeDocument/2006/relationships/hyperlink" Target="mailto:mizzo@ext.sancorseguros.com" TargetMode="External"/><Relationship Id="rId2884" Type="http://schemas.openxmlformats.org/officeDocument/2006/relationships/hyperlink" Target="mailto:milmartinez@ext.sancorseguros.com" TargetMode="External"/><Relationship Id="rId649" Type="http://schemas.openxmlformats.org/officeDocument/2006/relationships/hyperlink" Target="mailto:gmgutierrez@ext.sancorseguros.com" TargetMode="External"/><Relationship Id="rId856" Type="http://schemas.openxmlformats.org/officeDocument/2006/relationships/hyperlink" Target="mailto:miiglesias@ext.sancorseguros.com" TargetMode="External"/><Relationship Id="rId1279" Type="http://schemas.openxmlformats.org/officeDocument/2006/relationships/hyperlink" Target="mailto:cvaldez@ext.sancorseguros.com" TargetMode="External"/><Relationship Id="rId1486" Type="http://schemas.openxmlformats.org/officeDocument/2006/relationships/hyperlink" Target="mailto:cpavon@sancorseguros.com" TargetMode="External"/><Relationship Id="rId2537" Type="http://schemas.openxmlformats.org/officeDocument/2006/relationships/hyperlink" Target="mailto:mizzo@ext.sancorseguros.com" TargetMode="External"/><Relationship Id="rId509" Type="http://schemas.openxmlformats.org/officeDocument/2006/relationships/hyperlink" Target="mailto:rmomartinez@sancorseguros.com" TargetMode="External"/><Relationship Id="rId1139" Type="http://schemas.openxmlformats.org/officeDocument/2006/relationships/hyperlink" Target="mailto:cvaldez@ext.sancorseguros.com" TargetMode="External"/><Relationship Id="rId1346" Type="http://schemas.openxmlformats.org/officeDocument/2006/relationships/hyperlink" Target="mailto:mizzo@ext.sancorseguros.com" TargetMode="External"/><Relationship Id="rId1693" Type="http://schemas.openxmlformats.org/officeDocument/2006/relationships/hyperlink" Target="mailto:mizzo@ext.sancorseguros.com" TargetMode="External"/><Relationship Id="rId2744" Type="http://schemas.openxmlformats.org/officeDocument/2006/relationships/hyperlink" Target="mailto:pmalchiodi@sancorseguros.com" TargetMode="External"/><Relationship Id="rId2951" Type="http://schemas.openxmlformats.org/officeDocument/2006/relationships/hyperlink" Target="mailto:milmartinez@ext.sancorseguros.com" TargetMode="External"/><Relationship Id="rId716" Type="http://schemas.openxmlformats.org/officeDocument/2006/relationships/hyperlink" Target="mailto:vloray@ext.sancorseguros.com" TargetMode="External"/><Relationship Id="rId923" Type="http://schemas.openxmlformats.org/officeDocument/2006/relationships/hyperlink" Target="mailto:mascallia@sancorseguros.com" TargetMode="External"/><Relationship Id="rId1553" Type="http://schemas.openxmlformats.org/officeDocument/2006/relationships/hyperlink" Target="mailto:cvaldez@ext.sancorseguros.com" TargetMode="External"/><Relationship Id="rId1760" Type="http://schemas.openxmlformats.org/officeDocument/2006/relationships/hyperlink" Target="mailto:gmgutierrez@ext.sancorseguros.com" TargetMode="External"/><Relationship Id="rId2604" Type="http://schemas.openxmlformats.org/officeDocument/2006/relationships/hyperlink" Target="mailto:mkester@sancorseguros.com" TargetMode="External"/><Relationship Id="rId2811" Type="http://schemas.openxmlformats.org/officeDocument/2006/relationships/hyperlink" Target="mailto:jboulle@sancorseguros.com" TargetMode="External"/><Relationship Id="rId52" Type="http://schemas.openxmlformats.org/officeDocument/2006/relationships/hyperlink" Target="mailto:jboulle@sancorseguros.com" TargetMode="External"/><Relationship Id="rId1206" Type="http://schemas.openxmlformats.org/officeDocument/2006/relationships/hyperlink" Target="mailto:mascallia@sancorseguros.com" TargetMode="External"/><Relationship Id="rId1413" Type="http://schemas.openxmlformats.org/officeDocument/2006/relationships/hyperlink" Target="mailto:gmgutierrez@ext.sancorseguros.com" TargetMode="External"/><Relationship Id="rId1620" Type="http://schemas.openxmlformats.org/officeDocument/2006/relationships/hyperlink" Target="mailto:rmomartinez@sancorseguros.com" TargetMode="External"/><Relationship Id="rId3378" Type="http://schemas.openxmlformats.org/officeDocument/2006/relationships/hyperlink" Target="mailto:pasalcedo@sancorseguros.com" TargetMode="External"/><Relationship Id="rId3585" Type="http://schemas.openxmlformats.org/officeDocument/2006/relationships/hyperlink" Target="mailto:gleguizamon@ext.sancorseguros.com" TargetMode="External"/><Relationship Id="rId299" Type="http://schemas.openxmlformats.org/officeDocument/2006/relationships/hyperlink" Target="mailto:gleguizamon@ext.sancorseguros.com" TargetMode="External"/><Relationship Id="rId2187" Type="http://schemas.openxmlformats.org/officeDocument/2006/relationships/hyperlink" Target="mailto:milmartinez@ext.sancorseguros.com" TargetMode="External"/><Relationship Id="rId2394" Type="http://schemas.openxmlformats.org/officeDocument/2006/relationships/hyperlink" Target="mailto:mizzo@ext.sancorseguros.com" TargetMode="External"/><Relationship Id="rId3238" Type="http://schemas.openxmlformats.org/officeDocument/2006/relationships/hyperlink" Target="mailto:bdemiguel@sancorseguros.com" TargetMode="External"/><Relationship Id="rId3445" Type="http://schemas.openxmlformats.org/officeDocument/2006/relationships/hyperlink" Target="mailto:lbarboza@ext.sancorseguros.com" TargetMode="External"/><Relationship Id="rId159" Type="http://schemas.openxmlformats.org/officeDocument/2006/relationships/hyperlink" Target="mailto:mkester@sancorseguros.com" TargetMode="External"/><Relationship Id="rId366" Type="http://schemas.openxmlformats.org/officeDocument/2006/relationships/hyperlink" Target="mailto:mizzo@ext.sancorseguros.com" TargetMode="External"/><Relationship Id="rId573" Type="http://schemas.openxmlformats.org/officeDocument/2006/relationships/hyperlink" Target="mailto:mascallia@sancorseguros.com" TargetMode="External"/><Relationship Id="rId780" Type="http://schemas.openxmlformats.org/officeDocument/2006/relationships/hyperlink" Target="mailto:mizzo@ext.sancorseguros.com" TargetMode="External"/><Relationship Id="rId2047" Type="http://schemas.openxmlformats.org/officeDocument/2006/relationships/hyperlink" Target="mailto:cpavon@sancorseguros.com" TargetMode="External"/><Relationship Id="rId2254" Type="http://schemas.openxmlformats.org/officeDocument/2006/relationships/hyperlink" Target="mailto:mascallia@sancorseguros.com" TargetMode="External"/><Relationship Id="rId2461" Type="http://schemas.openxmlformats.org/officeDocument/2006/relationships/hyperlink" Target="mailto:mizzo@ext.sancorseguros.com" TargetMode="External"/><Relationship Id="rId3305" Type="http://schemas.openxmlformats.org/officeDocument/2006/relationships/hyperlink" Target="mailto:gleguizamon@ext.sancorseguros.com" TargetMode="External"/><Relationship Id="rId3512" Type="http://schemas.openxmlformats.org/officeDocument/2006/relationships/hyperlink" Target="mailto:cvaldez@ext.sancorseguros.com" TargetMode="External"/><Relationship Id="rId226" Type="http://schemas.openxmlformats.org/officeDocument/2006/relationships/hyperlink" Target="mailto:bdemiguel@sancorseguros.com" TargetMode="External"/><Relationship Id="rId433" Type="http://schemas.openxmlformats.org/officeDocument/2006/relationships/hyperlink" Target="mailto:mizzo@ext.sancorseguros.com" TargetMode="External"/><Relationship Id="rId1063" Type="http://schemas.openxmlformats.org/officeDocument/2006/relationships/hyperlink" Target="mailto:bdemiguel@sancorseguros.com" TargetMode="External"/><Relationship Id="rId1270" Type="http://schemas.openxmlformats.org/officeDocument/2006/relationships/hyperlink" Target="mailto:mascallia@sancorseguros.com" TargetMode="External"/><Relationship Id="rId2114" Type="http://schemas.openxmlformats.org/officeDocument/2006/relationships/hyperlink" Target="mailto:cpavon@sancorseguros.com" TargetMode="External"/><Relationship Id="rId640" Type="http://schemas.openxmlformats.org/officeDocument/2006/relationships/hyperlink" Target="mailto:camgonzalez@sancorseguros.com" TargetMode="External"/><Relationship Id="rId2321" Type="http://schemas.openxmlformats.org/officeDocument/2006/relationships/hyperlink" Target="mailto:mascallia@sancorseguros.com" TargetMode="External"/><Relationship Id="rId500" Type="http://schemas.openxmlformats.org/officeDocument/2006/relationships/hyperlink" Target="mailto:mascallia@sancorseguros.com" TargetMode="External"/><Relationship Id="rId1130" Type="http://schemas.openxmlformats.org/officeDocument/2006/relationships/hyperlink" Target="mailto:dtoledo@sancorseguros.com" TargetMode="External"/><Relationship Id="rId1947" Type="http://schemas.openxmlformats.org/officeDocument/2006/relationships/hyperlink" Target="mailto:cpavon@sancorseguros.com" TargetMode="External"/><Relationship Id="rId3095" Type="http://schemas.openxmlformats.org/officeDocument/2006/relationships/hyperlink" Target="mailto:bdemiguel@sancorseguros.com" TargetMode="External"/><Relationship Id="rId1807" Type="http://schemas.openxmlformats.org/officeDocument/2006/relationships/hyperlink" Target="mailto:rmomartinez@sancorseguros.com" TargetMode="External"/><Relationship Id="rId3162" Type="http://schemas.openxmlformats.org/officeDocument/2006/relationships/hyperlink" Target="mailto:mmaccarrone@ext.sancorseguros.com" TargetMode="External"/><Relationship Id="rId290" Type="http://schemas.openxmlformats.org/officeDocument/2006/relationships/hyperlink" Target="mailto:anunzio@sancorseguros.com" TargetMode="External"/><Relationship Id="rId3022" Type="http://schemas.openxmlformats.org/officeDocument/2006/relationships/hyperlink" Target="mailto:rmomartinez@sancorseguros.com" TargetMode="External"/><Relationship Id="rId150" Type="http://schemas.openxmlformats.org/officeDocument/2006/relationships/hyperlink" Target="mailto:madecarvalho@sancorseguros.com" TargetMode="External"/><Relationship Id="rId2788" Type="http://schemas.openxmlformats.org/officeDocument/2006/relationships/hyperlink" Target="mailto:mizzo@ext.sancorseguros.com" TargetMode="External"/><Relationship Id="rId2995" Type="http://schemas.openxmlformats.org/officeDocument/2006/relationships/hyperlink" Target="mailto:rmomartinez@sancorseguros.com" TargetMode="External"/><Relationship Id="rId967" Type="http://schemas.openxmlformats.org/officeDocument/2006/relationships/hyperlink" Target="mailto:vloray@ext.sancorseguros.com" TargetMode="External"/><Relationship Id="rId1597" Type="http://schemas.openxmlformats.org/officeDocument/2006/relationships/hyperlink" Target="mailto:bdemiguel@sancorseguros.com" TargetMode="External"/><Relationship Id="rId2648" Type="http://schemas.openxmlformats.org/officeDocument/2006/relationships/hyperlink" Target="mailto:cvaldez@ext.sancorseguros.com" TargetMode="External"/><Relationship Id="rId2855" Type="http://schemas.openxmlformats.org/officeDocument/2006/relationships/hyperlink" Target="mailto:pmalchiodi@sancorseguros.com" TargetMode="External"/><Relationship Id="rId96" Type="http://schemas.openxmlformats.org/officeDocument/2006/relationships/hyperlink" Target="mailto:fsantorum@sancorseguros.com" TargetMode="External"/><Relationship Id="rId827" Type="http://schemas.openxmlformats.org/officeDocument/2006/relationships/hyperlink" Target="mailto:camgonzalez@sancorseguros.com" TargetMode="External"/><Relationship Id="rId1457" Type="http://schemas.openxmlformats.org/officeDocument/2006/relationships/hyperlink" Target="mailto:rperez@sancorseguros.com" TargetMode="External"/><Relationship Id="rId1664" Type="http://schemas.openxmlformats.org/officeDocument/2006/relationships/hyperlink" Target="mailto:cvaldez@ext.sancorseguros.com" TargetMode="External"/><Relationship Id="rId1871" Type="http://schemas.openxmlformats.org/officeDocument/2006/relationships/hyperlink" Target="mailto:gpachao@sancorseguros.com" TargetMode="External"/><Relationship Id="rId2508" Type="http://schemas.openxmlformats.org/officeDocument/2006/relationships/hyperlink" Target="mailto:bdemiguel@sancorseguros.com" TargetMode="External"/><Relationship Id="rId2715" Type="http://schemas.openxmlformats.org/officeDocument/2006/relationships/hyperlink" Target="mailto:gmgutierrez@ext.sancorseguros.com" TargetMode="External"/><Relationship Id="rId2922" Type="http://schemas.openxmlformats.org/officeDocument/2006/relationships/hyperlink" Target="mailto:rmomartinez@sancorseguros.com" TargetMode="External"/><Relationship Id="rId1317" Type="http://schemas.openxmlformats.org/officeDocument/2006/relationships/hyperlink" Target="mailto:gmgutierrez@ext.sancorseguros.com" TargetMode="External"/><Relationship Id="rId1524" Type="http://schemas.openxmlformats.org/officeDocument/2006/relationships/hyperlink" Target="mailto:cpavon@sancorseguros.com" TargetMode="External"/><Relationship Id="rId1731" Type="http://schemas.openxmlformats.org/officeDocument/2006/relationships/hyperlink" Target="mailto:gleguizamon@ext.sancorseguros.com" TargetMode="External"/><Relationship Id="rId23" Type="http://schemas.openxmlformats.org/officeDocument/2006/relationships/hyperlink" Target="mailto:fsantorum@sancorseguros.com" TargetMode="External"/><Relationship Id="rId3489" Type="http://schemas.openxmlformats.org/officeDocument/2006/relationships/hyperlink" Target="mailto:amrodriguez@sancorseguros.com" TargetMode="External"/><Relationship Id="rId2298" Type="http://schemas.openxmlformats.org/officeDocument/2006/relationships/hyperlink" Target="mailto:abinau@sancorseguros.com" TargetMode="External"/><Relationship Id="rId3349" Type="http://schemas.openxmlformats.org/officeDocument/2006/relationships/hyperlink" Target="mailto:bdemiguel@sancorseguros.com" TargetMode="External"/><Relationship Id="rId3556" Type="http://schemas.openxmlformats.org/officeDocument/2006/relationships/hyperlink" Target="mailto:fsoloneski@sancorseguros.com" TargetMode="External"/><Relationship Id="rId172" Type="http://schemas.openxmlformats.org/officeDocument/2006/relationships/hyperlink" Target="mailto:mkester@sancorseguros.com" TargetMode="External"/><Relationship Id="rId477" Type="http://schemas.openxmlformats.org/officeDocument/2006/relationships/hyperlink" Target="mailto:madecarvalho@sancorseguros.com" TargetMode="External"/><Relationship Id="rId684" Type="http://schemas.openxmlformats.org/officeDocument/2006/relationships/hyperlink" Target="mailto:fsantorum@sancorseguros.com" TargetMode="External"/><Relationship Id="rId2060" Type="http://schemas.openxmlformats.org/officeDocument/2006/relationships/hyperlink" Target="mailto:ccastelao@ext.sancorseguros.com" TargetMode="External"/><Relationship Id="rId2158" Type="http://schemas.openxmlformats.org/officeDocument/2006/relationships/hyperlink" Target="mailto:gleguizamon@ext.sancorseguros.com" TargetMode="External"/><Relationship Id="rId2365" Type="http://schemas.openxmlformats.org/officeDocument/2006/relationships/hyperlink" Target="mailto:pgirardin@sancorseguros.com" TargetMode="External"/><Relationship Id="rId3111" Type="http://schemas.openxmlformats.org/officeDocument/2006/relationships/hyperlink" Target="mailto:vloray@ext.sancorseguros.com" TargetMode="External"/><Relationship Id="rId3209" Type="http://schemas.openxmlformats.org/officeDocument/2006/relationships/hyperlink" Target="mailto:mizzo@ext.sancorseguros.com" TargetMode="External"/><Relationship Id="rId337" Type="http://schemas.openxmlformats.org/officeDocument/2006/relationships/hyperlink" Target="mailto:cvaldez@ext.sancorseguros.com" TargetMode="External"/><Relationship Id="rId891" Type="http://schemas.openxmlformats.org/officeDocument/2006/relationships/hyperlink" Target="mailto:bdemiguel@sancorseguros.com" TargetMode="External"/><Relationship Id="rId989" Type="http://schemas.openxmlformats.org/officeDocument/2006/relationships/hyperlink" Target="mailto:vloray@ext.sancorseguros.com" TargetMode="External"/><Relationship Id="rId2018" Type="http://schemas.openxmlformats.org/officeDocument/2006/relationships/hyperlink" Target="mailto:mmaccarrone@ext.sancorseguros.com" TargetMode="External"/><Relationship Id="rId2572" Type="http://schemas.openxmlformats.org/officeDocument/2006/relationships/hyperlink" Target="mailto:rmomartinez@sancorseguros.com" TargetMode="External"/><Relationship Id="rId2877" Type="http://schemas.openxmlformats.org/officeDocument/2006/relationships/hyperlink" Target="mailto:rfernandez@sancorseguros.com" TargetMode="External"/><Relationship Id="rId3416" Type="http://schemas.openxmlformats.org/officeDocument/2006/relationships/hyperlink" Target="mailto:gleguizamon@ext.sancorseguros.com" TargetMode="External"/><Relationship Id="rId3623" Type="http://schemas.openxmlformats.org/officeDocument/2006/relationships/hyperlink" Target="mailto:mdambrosio@ext.sancorseguros.com" TargetMode="External"/><Relationship Id="rId544" Type="http://schemas.openxmlformats.org/officeDocument/2006/relationships/hyperlink" Target="mailto:bdemiguel@sancorseguros.com" TargetMode="External"/><Relationship Id="rId751" Type="http://schemas.openxmlformats.org/officeDocument/2006/relationships/hyperlink" Target="mailto:mizzo@ext.sancorseguros.com" TargetMode="External"/><Relationship Id="rId849" Type="http://schemas.openxmlformats.org/officeDocument/2006/relationships/hyperlink" Target="mailto:camgonzalez@sancorseguros.com" TargetMode="External"/><Relationship Id="rId1174" Type="http://schemas.openxmlformats.org/officeDocument/2006/relationships/hyperlink" Target="mailto:cvaldez@ext.sancorseguros.com" TargetMode="External"/><Relationship Id="rId1381" Type="http://schemas.openxmlformats.org/officeDocument/2006/relationships/hyperlink" Target="mailto:rmomartinez@sancorseguros.com" TargetMode="External"/><Relationship Id="rId1479" Type="http://schemas.openxmlformats.org/officeDocument/2006/relationships/hyperlink" Target="mailto:gmgutierrez@ext.sancorseguros.com" TargetMode="External"/><Relationship Id="rId1686" Type="http://schemas.openxmlformats.org/officeDocument/2006/relationships/hyperlink" Target="mailto:cpavon@sancorseguros.com" TargetMode="External"/><Relationship Id="rId2225" Type="http://schemas.openxmlformats.org/officeDocument/2006/relationships/hyperlink" Target="mailto:mascallia@sancorseguros.com" TargetMode="External"/><Relationship Id="rId2432" Type="http://schemas.openxmlformats.org/officeDocument/2006/relationships/hyperlink" Target="mailto:mizzo@ext.sancorseguros.com" TargetMode="External"/><Relationship Id="rId404" Type="http://schemas.openxmlformats.org/officeDocument/2006/relationships/hyperlink" Target="mailto:cvaldez@ext.sancorseguros.com" TargetMode="External"/><Relationship Id="rId611" Type="http://schemas.openxmlformats.org/officeDocument/2006/relationships/hyperlink" Target="mailto:miiglesias@ext.sancorseguros.com" TargetMode="External"/><Relationship Id="rId1034" Type="http://schemas.openxmlformats.org/officeDocument/2006/relationships/hyperlink" Target="mailto:rmomartinez@sancorseguros.com" TargetMode="External"/><Relationship Id="rId1241" Type="http://schemas.openxmlformats.org/officeDocument/2006/relationships/hyperlink" Target="mailto:gpachao@sancorseguros.com" TargetMode="External"/><Relationship Id="rId1339" Type="http://schemas.openxmlformats.org/officeDocument/2006/relationships/hyperlink" Target="mailto:rmomartinez@sancorseguros.com" TargetMode="External"/><Relationship Id="rId1893" Type="http://schemas.openxmlformats.org/officeDocument/2006/relationships/hyperlink" Target="mailto:gmgutierrez@ext.sancorseguros.com" TargetMode="External"/><Relationship Id="rId2737" Type="http://schemas.openxmlformats.org/officeDocument/2006/relationships/hyperlink" Target="mailto:gpachao@sancorseguros.com" TargetMode="External"/><Relationship Id="rId2944" Type="http://schemas.openxmlformats.org/officeDocument/2006/relationships/hyperlink" Target="mailto:lbarboza@ext.sancorseguros.com" TargetMode="External"/><Relationship Id="rId709" Type="http://schemas.openxmlformats.org/officeDocument/2006/relationships/hyperlink" Target="mailto:fsantorum@sancorseguros.com" TargetMode="External"/><Relationship Id="rId916" Type="http://schemas.openxmlformats.org/officeDocument/2006/relationships/hyperlink" Target="mailto:cpavon@sancorseguros.com" TargetMode="External"/><Relationship Id="rId1101" Type="http://schemas.openxmlformats.org/officeDocument/2006/relationships/hyperlink" Target="mailto:rmomartinez@sancorseguros.com" TargetMode="External"/><Relationship Id="rId1546" Type="http://schemas.openxmlformats.org/officeDocument/2006/relationships/hyperlink" Target="mailto:lbarboza@ext.sancorseguros.com" TargetMode="External"/><Relationship Id="rId1753" Type="http://schemas.openxmlformats.org/officeDocument/2006/relationships/hyperlink" Target="mailto:mascallia@sancorseguros.com" TargetMode="External"/><Relationship Id="rId1960" Type="http://schemas.openxmlformats.org/officeDocument/2006/relationships/hyperlink" Target="mailto:dtoledo@sancorseguros.com" TargetMode="External"/><Relationship Id="rId2804" Type="http://schemas.openxmlformats.org/officeDocument/2006/relationships/hyperlink" Target="mailto:gpachao@sancorseguros.com" TargetMode="External"/><Relationship Id="rId45" Type="http://schemas.openxmlformats.org/officeDocument/2006/relationships/hyperlink" Target="mailto:gleguizamon@ext.sancorseguros.com" TargetMode="External"/><Relationship Id="rId1406" Type="http://schemas.openxmlformats.org/officeDocument/2006/relationships/hyperlink" Target="mailto:cvaldez@ext.sancorseguros.com" TargetMode="External"/><Relationship Id="rId1613" Type="http://schemas.openxmlformats.org/officeDocument/2006/relationships/hyperlink" Target="mailto:lbarboza@ext.sancorseguros.com" TargetMode="External"/><Relationship Id="rId1820" Type="http://schemas.openxmlformats.org/officeDocument/2006/relationships/hyperlink" Target="mailto:camgonzalez@sancorseguros.com" TargetMode="External"/><Relationship Id="rId3066" Type="http://schemas.openxmlformats.org/officeDocument/2006/relationships/hyperlink" Target="mailto:milmartinez@ext.sancorseguros.com" TargetMode="External"/><Relationship Id="rId3273" Type="http://schemas.openxmlformats.org/officeDocument/2006/relationships/hyperlink" Target="mailto:lbarboza@ext.sancorseguros.com" TargetMode="External"/><Relationship Id="rId3480" Type="http://schemas.openxmlformats.org/officeDocument/2006/relationships/hyperlink" Target="mailto:abinau@sancorseguros.com" TargetMode="External"/><Relationship Id="rId194" Type="http://schemas.openxmlformats.org/officeDocument/2006/relationships/hyperlink" Target="mailto:mkester@sancorseguros.com" TargetMode="External"/><Relationship Id="rId1918" Type="http://schemas.openxmlformats.org/officeDocument/2006/relationships/hyperlink" Target="mailto:mmaccarrone@ext.sancorseguros.com" TargetMode="External"/><Relationship Id="rId2082" Type="http://schemas.openxmlformats.org/officeDocument/2006/relationships/hyperlink" Target="mailto:cpavon@sancorseguros.com" TargetMode="External"/><Relationship Id="rId3133" Type="http://schemas.openxmlformats.org/officeDocument/2006/relationships/hyperlink" Target="mailto:mascallia@sancorseguros.com" TargetMode="External"/><Relationship Id="rId3578" Type="http://schemas.openxmlformats.org/officeDocument/2006/relationships/hyperlink" Target="mailto:milmartinez@ext.sancorseguros.com" TargetMode="External"/><Relationship Id="rId261" Type="http://schemas.openxmlformats.org/officeDocument/2006/relationships/hyperlink" Target="mailto:cpavon@sancorseguros.com" TargetMode="External"/><Relationship Id="rId499" Type="http://schemas.openxmlformats.org/officeDocument/2006/relationships/hyperlink" Target="mailto:camgonzalez@sancorseguros.com" TargetMode="External"/><Relationship Id="rId2387" Type="http://schemas.openxmlformats.org/officeDocument/2006/relationships/hyperlink" Target="mailto:cpavon@sancorseguros.com" TargetMode="External"/><Relationship Id="rId2594" Type="http://schemas.openxmlformats.org/officeDocument/2006/relationships/hyperlink" Target="mailto:czardain@sancorseguros.com" TargetMode="External"/><Relationship Id="rId3340" Type="http://schemas.openxmlformats.org/officeDocument/2006/relationships/hyperlink" Target="mailto:mmaccarrone@ext.sancorseguros.com" TargetMode="External"/><Relationship Id="rId3438" Type="http://schemas.openxmlformats.org/officeDocument/2006/relationships/hyperlink" Target="mailto:madecarvalho@sancorseguros.com" TargetMode="External"/><Relationship Id="rId359" Type="http://schemas.openxmlformats.org/officeDocument/2006/relationships/hyperlink" Target="mailto:czardain@sancorseguros.com" TargetMode="External"/><Relationship Id="rId566" Type="http://schemas.openxmlformats.org/officeDocument/2006/relationships/hyperlink" Target="mailto:mkester@sancorseguros.com" TargetMode="External"/><Relationship Id="rId773" Type="http://schemas.openxmlformats.org/officeDocument/2006/relationships/hyperlink" Target="mailto:mascallia@sancorseguros.com" TargetMode="External"/><Relationship Id="rId1196" Type="http://schemas.openxmlformats.org/officeDocument/2006/relationships/hyperlink" Target="mailto:mizzo@ext.sancorseguros.com" TargetMode="External"/><Relationship Id="rId2247" Type="http://schemas.openxmlformats.org/officeDocument/2006/relationships/hyperlink" Target="mailto:bdemiguel@sancorseguros.com" TargetMode="External"/><Relationship Id="rId2454" Type="http://schemas.openxmlformats.org/officeDocument/2006/relationships/hyperlink" Target="mailto:jsandoval@sancorseguros.com" TargetMode="External"/><Relationship Id="rId2899" Type="http://schemas.openxmlformats.org/officeDocument/2006/relationships/hyperlink" Target="mailto:camgonzalez@sancorseguros.com" TargetMode="External"/><Relationship Id="rId3200" Type="http://schemas.openxmlformats.org/officeDocument/2006/relationships/hyperlink" Target="mailto:madecarvalho@sancorseguros.com" TargetMode="External"/><Relationship Id="rId3505" Type="http://schemas.openxmlformats.org/officeDocument/2006/relationships/hyperlink" Target="mailto:bdemiguel@sancorseguros.com" TargetMode="External"/><Relationship Id="rId121" Type="http://schemas.openxmlformats.org/officeDocument/2006/relationships/hyperlink" Target="mailto:mkester@sancorseguros.com" TargetMode="External"/><Relationship Id="rId219" Type="http://schemas.openxmlformats.org/officeDocument/2006/relationships/hyperlink" Target="mailto:mkester@sancorseguros.com" TargetMode="External"/><Relationship Id="rId426" Type="http://schemas.openxmlformats.org/officeDocument/2006/relationships/hyperlink" Target="mailto:cpavon@sancorseguros.com" TargetMode="External"/><Relationship Id="rId633" Type="http://schemas.openxmlformats.org/officeDocument/2006/relationships/hyperlink" Target="mailto:gleguizamon@ext.sancorseguros.com" TargetMode="External"/><Relationship Id="rId980" Type="http://schemas.openxmlformats.org/officeDocument/2006/relationships/hyperlink" Target="mailto:fsantorum@sancorseguros.com" TargetMode="External"/><Relationship Id="rId1056" Type="http://schemas.openxmlformats.org/officeDocument/2006/relationships/hyperlink" Target="mailto:gpachao@sancorseguros.com" TargetMode="External"/><Relationship Id="rId1263" Type="http://schemas.openxmlformats.org/officeDocument/2006/relationships/hyperlink" Target="mailto:jboulle@sancorseguros.com" TargetMode="External"/><Relationship Id="rId2107" Type="http://schemas.openxmlformats.org/officeDocument/2006/relationships/hyperlink" Target="mailto:mizzo@ext.sancorseguros.com" TargetMode="External"/><Relationship Id="rId2314" Type="http://schemas.openxmlformats.org/officeDocument/2006/relationships/hyperlink" Target="mailto:mascallia@sancorseguros.com" TargetMode="External"/><Relationship Id="rId2661" Type="http://schemas.openxmlformats.org/officeDocument/2006/relationships/hyperlink" Target="mailto:dbenitez@sancorseguros.com" TargetMode="External"/><Relationship Id="rId2759" Type="http://schemas.openxmlformats.org/officeDocument/2006/relationships/hyperlink" Target="mailto:pmalchiodi@sancorseguros.com" TargetMode="External"/><Relationship Id="rId2966" Type="http://schemas.openxmlformats.org/officeDocument/2006/relationships/hyperlink" Target="mailto:camgonzalez@sancorseguros.com" TargetMode="External"/><Relationship Id="rId840" Type="http://schemas.openxmlformats.org/officeDocument/2006/relationships/hyperlink" Target="mailto:rmomartinez@sancorseguros.com" TargetMode="External"/><Relationship Id="rId938" Type="http://schemas.openxmlformats.org/officeDocument/2006/relationships/hyperlink" Target="mailto:fsantorum@sancorseguros.com" TargetMode="External"/><Relationship Id="rId1470" Type="http://schemas.openxmlformats.org/officeDocument/2006/relationships/hyperlink" Target="mailto:anunzio@sancorseguros.com" TargetMode="External"/><Relationship Id="rId1568" Type="http://schemas.openxmlformats.org/officeDocument/2006/relationships/hyperlink" Target="mailto:abinau@sancorseguros.com" TargetMode="External"/><Relationship Id="rId1775" Type="http://schemas.openxmlformats.org/officeDocument/2006/relationships/hyperlink" Target="mailto:rmomartinez@sancorseguros.com" TargetMode="External"/><Relationship Id="rId2521" Type="http://schemas.openxmlformats.org/officeDocument/2006/relationships/hyperlink" Target="mailto:mizzo@ext.sancorseguros.com" TargetMode="External"/><Relationship Id="rId2619" Type="http://schemas.openxmlformats.org/officeDocument/2006/relationships/hyperlink" Target="mailto:gpachao@sancorseguros.com" TargetMode="External"/><Relationship Id="rId2826" Type="http://schemas.openxmlformats.org/officeDocument/2006/relationships/hyperlink" Target="mailto:lbarboza@ext.sancorseguros.com" TargetMode="External"/><Relationship Id="rId67" Type="http://schemas.openxmlformats.org/officeDocument/2006/relationships/hyperlink" Target="mailto:amrodriguez@sancorseguros.com" TargetMode="External"/><Relationship Id="rId700" Type="http://schemas.openxmlformats.org/officeDocument/2006/relationships/hyperlink" Target="mailto:camgonzalez@sancorseguros.com" TargetMode="External"/><Relationship Id="rId1123" Type="http://schemas.openxmlformats.org/officeDocument/2006/relationships/hyperlink" Target="mailto:camgonzalez@sancorseguros.com" TargetMode="External"/><Relationship Id="rId1330" Type="http://schemas.openxmlformats.org/officeDocument/2006/relationships/hyperlink" Target="mailto:lbarboza@ext.sancorseguros.com" TargetMode="External"/><Relationship Id="rId1428" Type="http://schemas.openxmlformats.org/officeDocument/2006/relationships/hyperlink" Target="mailto:miiglesias@ext.sancorseguros.com" TargetMode="External"/><Relationship Id="rId1635" Type="http://schemas.openxmlformats.org/officeDocument/2006/relationships/hyperlink" Target="mailto:lbarboza@ext.sancorseguros.com" TargetMode="External"/><Relationship Id="rId1982" Type="http://schemas.openxmlformats.org/officeDocument/2006/relationships/hyperlink" Target="mailto:mevangelista@sancorseguros.com" TargetMode="External"/><Relationship Id="rId3088" Type="http://schemas.openxmlformats.org/officeDocument/2006/relationships/hyperlink" Target="mailto:rmomartinez@sancorseguros.com" TargetMode="External"/><Relationship Id="rId1842" Type="http://schemas.openxmlformats.org/officeDocument/2006/relationships/hyperlink" Target="mailto:mmaccarrone@ext.sancorseguros.com" TargetMode="External"/><Relationship Id="rId3295" Type="http://schemas.openxmlformats.org/officeDocument/2006/relationships/hyperlink" Target="mailto:pasalcedo@sancorseguros.com" TargetMode="External"/><Relationship Id="rId1702" Type="http://schemas.openxmlformats.org/officeDocument/2006/relationships/hyperlink" Target="mailto:madecarvalho@sancorseguros.com" TargetMode="External"/><Relationship Id="rId3155" Type="http://schemas.openxmlformats.org/officeDocument/2006/relationships/hyperlink" Target="mailto:rfernandez@sancorseguros.com" TargetMode="External"/><Relationship Id="rId3362" Type="http://schemas.openxmlformats.org/officeDocument/2006/relationships/hyperlink" Target="mailto:milmartinez@ext.sancorseguros.com" TargetMode="External"/><Relationship Id="rId283" Type="http://schemas.openxmlformats.org/officeDocument/2006/relationships/hyperlink" Target="mailto:mmaccarrone@ext.sancorseguros.com" TargetMode="External"/><Relationship Id="rId490" Type="http://schemas.openxmlformats.org/officeDocument/2006/relationships/hyperlink" Target="mailto:mkester@sancorseguros.com" TargetMode="External"/><Relationship Id="rId2171" Type="http://schemas.openxmlformats.org/officeDocument/2006/relationships/hyperlink" Target="mailto:czardain@sancorseguros.com" TargetMode="External"/><Relationship Id="rId3015" Type="http://schemas.openxmlformats.org/officeDocument/2006/relationships/hyperlink" Target="mailto:mmaccarrone@ext.sancorseguros.com" TargetMode="External"/><Relationship Id="rId3222" Type="http://schemas.openxmlformats.org/officeDocument/2006/relationships/hyperlink" Target="mailto:abinau@sancorseguros.com" TargetMode="External"/><Relationship Id="rId143" Type="http://schemas.openxmlformats.org/officeDocument/2006/relationships/hyperlink" Target="mailto:abinau@sancorseguros.com" TargetMode="External"/><Relationship Id="rId350" Type="http://schemas.openxmlformats.org/officeDocument/2006/relationships/hyperlink" Target="mailto:mizzo@ext.sancorseguros.com" TargetMode="External"/><Relationship Id="rId588" Type="http://schemas.openxmlformats.org/officeDocument/2006/relationships/hyperlink" Target="mailto:mizzo@ext.sancorseguros.com" TargetMode="External"/><Relationship Id="rId795" Type="http://schemas.openxmlformats.org/officeDocument/2006/relationships/hyperlink" Target="mailto:mizzo@ext.sancorseguros.com" TargetMode="External"/><Relationship Id="rId2031" Type="http://schemas.openxmlformats.org/officeDocument/2006/relationships/hyperlink" Target="mailto:lbarboza@ext.sancorseguros.com" TargetMode="External"/><Relationship Id="rId2269" Type="http://schemas.openxmlformats.org/officeDocument/2006/relationships/hyperlink" Target="mailto:gmgutierrez@ext.sancorseguros.com" TargetMode="External"/><Relationship Id="rId2476" Type="http://schemas.openxmlformats.org/officeDocument/2006/relationships/hyperlink" Target="mailto:rmomartinez@sancorseguros.com" TargetMode="External"/><Relationship Id="rId2683" Type="http://schemas.openxmlformats.org/officeDocument/2006/relationships/hyperlink" Target="mailto:rmomartinez@sancorseguros.com" TargetMode="External"/><Relationship Id="rId2890" Type="http://schemas.openxmlformats.org/officeDocument/2006/relationships/hyperlink" Target="mailto:pmalchiodi@sancorseguros.com" TargetMode="External"/><Relationship Id="rId3527" Type="http://schemas.openxmlformats.org/officeDocument/2006/relationships/hyperlink" Target="mailto:mmaccarrone@ext.sancorseguros.com" TargetMode="External"/><Relationship Id="rId9" Type="http://schemas.openxmlformats.org/officeDocument/2006/relationships/hyperlink" Target="mailto:pgirardin@sancorseguros.com" TargetMode="External"/><Relationship Id="rId210" Type="http://schemas.openxmlformats.org/officeDocument/2006/relationships/hyperlink" Target="mailto:abinau@sancorseguros.com" TargetMode="External"/><Relationship Id="rId448" Type="http://schemas.openxmlformats.org/officeDocument/2006/relationships/hyperlink" Target="mailto:gmgutierrez@ext.sancorseguros.com" TargetMode="External"/><Relationship Id="rId655" Type="http://schemas.openxmlformats.org/officeDocument/2006/relationships/hyperlink" Target="mailto:cvaldez@ext.sancorseguros.com" TargetMode="External"/><Relationship Id="rId862" Type="http://schemas.openxmlformats.org/officeDocument/2006/relationships/hyperlink" Target="mailto:fsantorum@sancorseguros.com" TargetMode="External"/><Relationship Id="rId1078" Type="http://schemas.openxmlformats.org/officeDocument/2006/relationships/hyperlink" Target="mailto:mizzo@ext.sancorseguros.com" TargetMode="External"/><Relationship Id="rId1285" Type="http://schemas.openxmlformats.org/officeDocument/2006/relationships/hyperlink" Target="mailto:gmgutierrez@ext.sancorseguros.com" TargetMode="External"/><Relationship Id="rId1492" Type="http://schemas.openxmlformats.org/officeDocument/2006/relationships/hyperlink" Target="mailto:dtoledo@sancorseguros.com" TargetMode="External"/><Relationship Id="rId2129" Type="http://schemas.openxmlformats.org/officeDocument/2006/relationships/hyperlink" Target="mailto:gleguizamon@ext.sancorseguros.com" TargetMode="External"/><Relationship Id="rId2336" Type="http://schemas.openxmlformats.org/officeDocument/2006/relationships/hyperlink" Target="mailto:milmartinez@ext.sancorseguros.com" TargetMode="External"/><Relationship Id="rId2543" Type="http://schemas.openxmlformats.org/officeDocument/2006/relationships/hyperlink" Target="mailto:cvaldez@ext.sancorseguros.com" TargetMode="External"/><Relationship Id="rId2750" Type="http://schemas.openxmlformats.org/officeDocument/2006/relationships/hyperlink" Target="mailto:lbarboza@ext.sancorseguros.com" TargetMode="External"/><Relationship Id="rId2988" Type="http://schemas.openxmlformats.org/officeDocument/2006/relationships/hyperlink" Target="mailto:amrodriguez@sancorseguros.com" TargetMode="External"/><Relationship Id="rId308" Type="http://schemas.openxmlformats.org/officeDocument/2006/relationships/hyperlink" Target="mailto:rfernandez@sancorseguros.com" TargetMode="External"/><Relationship Id="rId515" Type="http://schemas.openxmlformats.org/officeDocument/2006/relationships/hyperlink" Target="mailto:cpavon@sancorseguros.com" TargetMode="External"/><Relationship Id="rId722" Type="http://schemas.openxmlformats.org/officeDocument/2006/relationships/hyperlink" Target="mailto:cvaldez@ext.sancorseguros.com" TargetMode="External"/><Relationship Id="rId1145" Type="http://schemas.openxmlformats.org/officeDocument/2006/relationships/hyperlink" Target="mailto:gleguizamon@ext.sancorseguros.com" TargetMode="External"/><Relationship Id="rId1352" Type="http://schemas.openxmlformats.org/officeDocument/2006/relationships/hyperlink" Target="mailto:jboulle@sancorseguros.com" TargetMode="External"/><Relationship Id="rId1797" Type="http://schemas.openxmlformats.org/officeDocument/2006/relationships/hyperlink" Target="mailto:gpachao@sancorseguros.com" TargetMode="External"/><Relationship Id="rId2403" Type="http://schemas.openxmlformats.org/officeDocument/2006/relationships/hyperlink" Target="mailto:mmaccarrone@ext.sancorseguros.com" TargetMode="External"/><Relationship Id="rId2848" Type="http://schemas.openxmlformats.org/officeDocument/2006/relationships/hyperlink" Target="mailto:mizzo@ext.sancorseguros.com" TargetMode="External"/><Relationship Id="rId89" Type="http://schemas.openxmlformats.org/officeDocument/2006/relationships/hyperlink" Target="mailto:cpavon@sancorseguros.com" TargetMode="External"/><Relationship Id="rId1005" Type="http://schemas.openxmlformats.org/officeDocument/2006/relationships/hyperlink" Target="mailto:gleguizamon@ext.sancorseguros.com" TargetMode="External"/><Relationship Id="rId1212" Type="http://schemas.openxmlformats.org/officeDocument/2006/relationships/hyperlink" Target="mailto:fsantorum@sancorseguros.com" TargetMode="External"/><Relationship Id="rId1657" Type="http://schemas.openxmlformats.org/officeDocument/2006/relationships/hyperlink" Target="mailto:bdemiguel@sancorseguros.com" TargetMode="External"/><Relationship Id="rId1864" Type="http://schemas.openxmlformats.org/officeDocument/2006/relationships/hyperlink" Target="mailto:mascallia@sancorseguros.com" TargetMode="External"/><Relationship Id="rId2610" Type="http://schemas.openxmlformats.org/officeDocument/2006/relationships/hyperlink" Target="mailto:rmomartinez@sancorseguros.com" TargetMode="External"/><Relationship Id="rId2708" Type="http://schemas.openxmlformats.org/officeDocument/2006/relationships/hyperlink" Target="mailto:mascallia@sancorseguros.com" TargetMode="External"/><Relationship Id="rId2915" Type="http://schemas.openxmlformats.org/officeDocument/2006/relationships/hyperlink" Target="mailto:cvaldez@ext.sancorseguros.com" TargetMode="External"/><Relationship Id="rId1517" Type="http://schemas.openxmlformats.org/officeDocument/2006/relationships/hyperlink" Target="mailto:mizzo@ext.sancorseguros.com" TargetMode="External"/><Relationship Id="rId1724" Type="http://schemas.openxmlformats.org/officeDocument/2006/relationships/hyperlink" Target="mailto:mizzo@ext.sancorseguros.com" TargetMode="External"/><Relationship Id="rId3177" Type="http://schemas.openxmlformats.org/officeDocument/2006/relationships/hyperlink" Target="mailto:vloray@ext.sancorseguros.com" TargetMode="External"/><Relationship Id="rId16" Type="http://schemas.openxmlformats.org/officeDocument/2006/relationships/hyperlink" Target="mailto:mkester@sancorseguros.com" TargetMode="External"/><Relationship Id="rId1931" Type="http://schemas.openxmlformats.org/officeDocument/2006/relationships/hyperlink" Target="mailto:mascallia@sancorseguros.com" TargetMode="External"/><Relationship Id="rId3037" Type="http://schemas.openxmlformats.org/officeDocument/2006/relationships/hyperlink" Target="mailto:amrodriguez@sancorseguros.com" TargetMode="External"/><Relationship Id="rId3384" Type="http://schemas.openxmlformats.org/officeDocument/2006/relationships/hyperlink" Target="mailto:bdemiguel@sancorseguros.com" TargetMode="External"/><Relationship Id="rId3591" Type="http://schemas.openxmlformats.org/officeDocument/2006/relationships/hyperlink" Target="mailto:gleguizamon@ext.sancorseguros.com" TargetMode="External"/><Relationship Id="rId2193" Type="http://schemas.openxmlformats.org/officeDocument/2006/relationships/hyperlink" Target="mailto:rmomartinez@sancorseguros.com" TargetMode="External"/><Relationship Id="rId2498" Type="http://schemas.openxmlformats.org/officeDocument/2006/relationships/hyperlink" Target="mailto:milmartinez@ext.sancorseguros.com" TargetMode="External"/><Relationship Id="rId3244" Type="http://schemas.openxmlformats.org/officeDocument/2006/relationships/hyperlink" Target="mailto:mizzo@ext.sancorseguros.com" TargetMode="External"/><Relationship Id="rId3451" Type="http://schemas.openxmlformats.org/officeDocument/2006/relationships/hyperlink" Target="mailto:madecarvalho@sancorseguros.com" TargetMode="External"/><Relationship Id="rId3549" Type="http://schemas.openxmlformats.org/officeDocument/2006/relationships/hyperlink" Target="mailto:gmgutierrez@ext.sancorseguros.com" TargetMode="External"/><Relationship Id="rId165" Type="http://schemas.openxmlformats.org/officeDocument/2006/relationships/hyperlink" Target="mailto:cpavon@sancorseguros.com" TargetMode="External"/><Relationship Id="rId372" Type="http://schemas.openxmlformats.org/officeDocument/2006/relationships/hyperlink" Target="mailto:rfernandez@sancorseguros.com" TargetMode="External"/><Relationship Id="rId677" Type="http://schemas.openxmlformats.org/officeDocument/2006/relationships/hyperlink" Target="mailto:czardain@sancorseguros.com" TargetMode="External"/><Relationship Id="rId2053" Type="http://schemas.openxmlformats.org/officeDocument/2006/relationships/hyperlink" Target="mailto:camgonzalez@sancorseguros.com" TargetMode="External"/><Relationship Id="rId2260" Type="http://schemas.openxmlformats.org/officeDocument/2006/relationships/hyperlink" Target="mailto:gleguizamon@ext.sancorseguros.com" TargetMode="External"/><Relationship Id="rId2358" Type="http://schemas.openxmlformats.org/officeDocument/2006/relationships/hyperlink" Target="mailto:mevangelista@sancorseguros.com" TargetMode="External"/><Relationship Id="rId3104" Type="http://schemas.openxmlformats.org/officeDocument/2006/relationships/hyperlink" Target="mailto:mcoiman@sancorseguros.com" TargetMode="External"/><Relationship Id="rId3311" Type="http://schemas.openxmlformats.org/officeDocument/2006/relationships/hyperlink" Target="mailto:miiglesias@ext.sancorseguros.com" TargetMode="External"/><Relationship Id="rId232" Type="http://schemas.openxmlformats.org/officeDocument/2006/relationships/hyperlink" Target="mailto:gleguizamon@ext.sancorseguros.com" TargetMode="External"/><Relationship Id="rId884" Type="http://schemas.openxmlformats.org/officeDocument/2006/relationships/hyperlink" Target="mailto:camgonzalez@sancorseguros.com" TargetMode="External"/><Relationship Id="rId2120" Type="http://schemas.openxmlformats.org/officeDocument/2006/relationships/hyperlink" Target="mailto:milmartinez@ext.sancorseguros.com" TargetMode="External"/><Relationship Id="rId2565" Type="http://schemas.openxmlformats.org/officeDocument/2006/relationships/hyperlink" Target="mailto:rmomartinez@sancorseguros.com" TargetMode="External"/><Relationship Id="rId2772" Type="http://schemas.openxmlformats.org/officeDocument/2006/relationships/hyperlink" Target="mailto:lbarboza@ext.sancorseguros.com" TargetMode="External"/><Relationship Id="rId3409" Type="http://schemas.openxmlformats.org/officeDocument/2006/relationships/hyperlink" Target="mailto:marcolombo@ext.sancorseguros.com" TargetMode="External"/><Relationship Id="rId3616" Type="http://schemas.openxmlformats.org/officeDocument/2006/relationships/hyperlink" Target="mailto:hrorpizikian@sancorseguros.com" TargetMode="External"/><Relationship Id="rId537" Type="http://schemas.openxmlformats.org/officeDocument/2006/relationships/hyperlink" Target="mailto:mizzo@ext.sancorseguros.com" TargetMode="External"/><Relationship Id="rId744" Type="http://schemas.openxmlformats.org/officeDocument/2006/relationships/hyperlink" Target="mailto:jboulle@sancorseguros.com" TargetMode="External"/><Relationship Id="rId951" Type="http://schemas.openxmlformats.org/officeDocument/2006/relationships/hyperlink" Target="mailto:rmomartinez@sancorseguros.com" TargetMode="External"/><Relationship Id="rId1167" Type="http://schemas.openxmlformats.org/officeDocument/2006/relationships/hyperlink" Target="mailto:milmartinez@ext.sancorseguros.com" TargetMode="External"/><Relationship Id="rId1374" Type="http://schemas.openxmlformats.org/officeDocument/2006/relationships/hyperlink" Target="mailto:pgirardin@sancorseguros.com" TargetMode="External"/><Relationship Id="rId1581" Type="http://schemas.openxmlformats.org/officeDocument/2006/relationships/hyperlink" Target="mailto:rmomartinez@sancorseguros.com" TargetMode="External"/><Relationship Id="rId1679" Type="http://schemas.openxmlformats.org/officeDocument/2006/relationships/hyperlink" Target="mailto:mizzo@ext.sancorseguros.com" TargetMode="External"/><Relationship Id="rId2218" Type="http://schemas.openxmlformats.org/officeDocument/2006/relationships/hyperlink" Target="mailto:vloray@ext.sancorseguros.com" TargetMode="External"/><Relationship Id="rId2425" Type="http://schemas.openxmlformats.org/officeDocument/2006/relationships/hyperlink" Target="mailto:mkester@sancorseguros.com" TargetMode="External"/><Relationship Id="rId2632" Type="http://schemas.openxmlformats.org/officeDocument/2006/relationships/hyperlink" Target="mailto:gmgutierrez@ext.sancorseguros.com" TargetMode="External"/><Relationship Id="rId80" Type="http://schemas.openxmlformats.org/officeDocument/2006/relationships/hyperlink" Target="mailto:abinau@sancorseguros.com" TargetMode="External"/><Relationship Id="rId604" Type="http://schemas.openxmlformats.org/officeDocument/2006/relationships/hyperlink" Target="mailto:cvaldez@ext.sancorseguros.com" TargetMode="External"/><Relationship Id="rId811" Type="http://schemas.openxmlformats.org/officeDocument/2006/relationships/hyperlink" Target="mailto:fsantorum@sancorseguros.com" TargetMode="External"/><Relationship Id="rId1027" Type="http://schemas.openxmlformats.org/officeDocument/2006/relationships/hyperlink" Target="mailto:gmgutierrez@ext.sancorseguros.com" TargetMode="External"/><Relationship Id="rId1234" Type="http://schemas.openxmlformats.org/officeDocument/2006/relationships/hyperlink" Target="mailto:jsandoval@sancorseguros.com" TargetMode="External"/><Relationship Id="rId1441" Type="http://schemas.openxmlformats.org/officeDocument/2006/relationships/hyperlink" Target="mailto:vloray@ext.sancorseguros.com" TargetMode="External"/><Relationship Id="rId1886" Type="http://schemas.openxmlformats.org/officeDocument/2006/relationships/hyperlink" Target="mailto:gmgutierrez@ext.sancorseguros.com" TargetMode="External"/><Relationship Id="rId2937" Type="http://schemas.openxmlformats.org/officeDocument/2006/relationships/hyperlink" Target="mailto:pgirardin@sancorseguros.com" TargetMode="External"/><Relationship Id="rId909" Type="http://schemas.openxmlformats.org/officeDocument/2006/relationships/hyperlink" Target="mailto:cpavon@sancorseguros.com" TargetMode="External"/><Relationship Id="rId1301" Type="http://schemas.openxmlformats.org/officeDocument/2006/relationships/hyperlink" Target="mailto:camgonzalez@sancorseguros.com" TargetMode="External"/><Relationship Id="rId1539" Type="http://schemas.openxmlformats.org/officeDocument/2006/relationships/hyperlink" Target="mailto:dtoledo@sancorseguros.com" TargetMode="External"/><Relationship Id="rId1746" Type="http://schemas.openxmlformats.org/officeDocument/2006/relationships/hyperlink" Target="mailto:mascallia@sancorseguros.com" TargetMode="External"/><Relationship Id="rId1953" Type="http://schemas.openxmlformats.org/officeDocument/2006/relationships/hyperlink" Target="mailto:cpavon@sancorseguros.com" TargetMode="External"/><Relationship Id="rId3199" Type="http://schemas.openxmlformats.org/officeDocument/2006/relationships/hyperlink" Target="mailto:abinau@sancorseguros.com" TargetMode="External"/><Relationship Id="rId38" Type="http://schemas.openxmlformats.org/officeDocument/2006/relationships/hyperlink" Target="mailto:bdemiguel@sancorseguros.com" TargetMode="External"/><Relationship Id="rId1606" Type="http://schemas.openxmlformats.org/officeDocument/2006/relationships/hyperlink" Target="mailto:mevangelista@sancorseguros.com" TargetMode="External"/><Relationship Id="rId1813" Type="http://schemas.openxmlformats.org/officeDocument/2006/relationships/hyperlink" Target="mailto:abinau@sancorseguros.com" TargetMode="External"/><Relationship Id="rId3059" Type="http://schemas.openxmlformats.org/officeDocument/2006/relationships/hyperlink" Target="mailto:mkester@sancorseguros.com" TargetMode="External"/><Relationship Id="rId3266" Type="http://schemas.openxmlformats.org/officeDocument/2006/relationships/hyperlink" Target="mailto:mmaccarrone@ext.sancorseguros.com" TargetMode="External"/><Relationship Id="rId3473" Type="http://schemas.openxmlformats.org/officeDocument/2006/relationships/hyperlink" Target="mailto:gleguizamon@ext.sancorseguros.com" TargetMode="External"/><Relationship Id="rId187" Type="http://schemas.openxmlformats.org/officeDocument/2006/relationships/hyperlink" Target="mailto:mkester@sancorseguros.com" TargetMode="External"/><Relationship Id="rId394" Type="http://schemas.openxmlformats.org/officeDocument/2006/relationships/hyperlink" Target="mailto:bdemiguel@sancorseguros.com" TargetMode="External"/><Relationship Id="rId2075" Type="http://schemas.openxmlformats.org/officeDocument/2006/relationships/hyperlink" Target="mailto:jsandoval@sancorseguros.com" TargetMode="External"/><Relationship Id="rId2282" Type="http://schemas.openxmlformats.org/officeDocument/2006/relationships/hyperlink" Target="mailto:dbenitez@sancorseguros.com" TargetMode="External"/><Relationship Id="rId3126" Type="http://schemas.openxmlformats.org/officeDocument/2006/relationships/hyperlink" Target="mailto:rfernandez@sancorseguros.com" TargetMode="External"/><Relationship Id="rId254" Type="http://schemas.openxmlformats.org/officeDocument/2006/relationships/hyperlink" Target="mailto:mascallia@sancorseguros.com" TargetMode="External"/><Relationship Id="rId699" Type="http://schemas.openxmlformats.org/officeDocument/2006/relationships/hyperlink" Target="mailto:czardain@sancorseguros.com" TargetMode="External"/><Relationship Id="rId1091" Type="http://schemas.openxmlformats.org/officeDocument/2006/relationships/hyperlink" Target="mailto:camgonzalez@sancorseguros.com" TargetMode="External"/><Relationship Id="rId2587" Type="http://schemas.openxmlformats.org/officeDocument/2006/relationships/hyperlink" Target="mailto:mascallia@sancorseguros.com" TargetMode="External"/><Relationship Id="rId2794" Type="http://schemas.openxmlformats.org/officeDocument/2006/relationships/hyperlink" Target="mailto:camgonzalez@sancorseguros.com" TargetMode="External"/><Relationship Id="rId3333" Type="http://schemas.openxmlformats.org/officeDocument/2006/relationships/hyperlink" Target="mailto:gleguizamon@ext.sancorseguros.com" TargetMode="External"/><Relationship Id="rId3540" Type="http://schemas.openxmlformats.org/officeDocument/2006/relationships/hyperlink" Target="mailto:pmalchiodi@sancorseguros.com" TargetMode="External"/><Relationship Id="rId3638" Type="http://schemas.openxmlformats.org/officeDocument/2006/relationships/hyperlink" Target="mailto:lbarboza@ext.sancorseguros.com" TargetMode="External"/><Relationship Id="rId114" Type="http://schemas.openxmlformats.org/officeDocument/2006/relationships/hyperlink" Target="mailto:mkester@sancorseguros.com" TargetMode="External"/><Relationship Id="rId461" Type="http://schemas.openxmlformats.org/officeDocument/2006/relationships/hyperlink" Target="mailto:mcoiman@sancorseguros.com" TargetMode="External"/><Relationship Id="rId559" Type="http://schemas.openxmlformats.org/officeDocument/2006/relationships/hyperlink" Target="mailto:abinau@sancorseguros.com" TargetMode="External"/><Relationship Id="rId766" Type="http://schemas.openxmlformats.org/officeDocument/2006/relationships/hyperlink" Target="mailto:mizzo@ext.sancorseguros.com" TargetMode="External"/><Relationship Id="rId1189" Type="http://schemas.openxmlformats.org/officeDocument/2006/relationships/hyperlink" Target="mailto:mizzo@ext.sancorseguros.com" TargetMode="External"/><Relationship Id="rId1396" Type="http://schemas.openxmlformats.org/officeDocument/2006/relationships/hyperlink" Target="mailto:gmgutierrez@ext.sancorseguros.com" TargetMode="External"/><Relationship Id="rId2142" Type="http://schemas.openxmlformats.org/officeDocument/2006/relationships/hyperlink" Target="mailto:madecarvalho@sancorseguros.com" TargetMode="External"/><Relationship Id="rId2447" Type="http://schemas.openxmlformats.org/officeDocument/2006/relationships/hyperlink" Target="mailto:vloray@ext.sancorseguros.com" TargetMode="External"/><Relationship Id="rId3400" Type="http://schemas.openxmlformats.org/officeDocument/2006/relationships/hyperlink" Target="mailto:mmaccarrone@ext.sancorseguros.com" TargetMode="External"/><Relationship Id="rId321" Type="http://schemas.openxmlformats.org/officeDocument/2006/relationships/hyperlink" Target="mailto:mascallia@sancorseguros.com" TargetMode="External"/><Relationship Id="rId419" Type="http://schemas.openxmlformats.org/officeDocument/2006/relationships/hyperlink" Target="mailto:rfernandez@sancorseguros.com" TargetMode="External"/><Relationship Id="rId626" Type="http://schemas.openxmlformats.org/officeDocument/2006/relationships/hyperlink" Target="mailto:mizzo@ext.sancorseguros.com" TargetMode="External"/><Relationship Id="rId973" Type="http://schemas.openxmlformats.org/officeDocument/2006/relationships/hyperlink" Target="mailto:cpavon@sancorseguros.com" TargetMode="External"/><Relationship Id="rId1049" Type="http://schemas.openxmlformats.org/officeDocument/2006/relationships/hyperlink" Target="mailto:camgonzalez@sancorseguros.com" TargetMode="External"/><Relationship Id="rId1256" Type="http://schemas.openxmlformats.org/officeDocument/2006/relationships/hyperlink" Target="mailto:mmaccarrone@ext.sancorseguros.com" TargetMode="External"/><Relationship Id="rId2002" Type="http://schemas.openxmlformats.org/officeDocument/2006/relationships/hyperlink" Target="mailto:varagon@ext.sancorseguros.com" TargetMode="External"/><Relationship Id="rId2307" Type="http://schemas.openxmlformats.org/officeDocument/2006/relationships/hyperlink" Target="mailto:mmaccarrone@ext.sancorseguros.com" TargetMode="External"/><Relationship Id="rId2654" Type="http://schemas.openxmlformats.org/officeDocument/2006/relationships/hyperlink" Target="mailto:anunzio@sancorseguros.com" TargetMode="External"/><Relationship Id="rId2861" Type="http://schemas.openxmlformats.org/officeDocument/2006/relationships/hyperlink" Target="mailto:miiglesias@ext.sancorseguros.com" TargetMode="External"/><Relationship Id="rId2959" Type="http://schemas.openxmlformats.org/officeDocument/2006/relationships/hyperlink" Target="mailto:cvaldez@ext.sancorseguros.com" TargetMode="External"/><Relationship Id="rId833" Type="http://schemas.openxmlformats.org/officeDocument/2006/relationships/hyperlink" Target="mailto:mmaccarrone@ext.sancorseguros.com" TargetMode="External"/><Relationship Id="rId1116" Type="http://schemas.openxmlformats.org/officeDocument/2006/relationships/hyperlink" Target="mailto:cpavon@sancorseguros.com" TargetMode="External"/><Relationship Id="rId1463" Type="http://schemas.openxmlformats.org/officeDocument/2006/relationships/hyperlink" Target="mailto:bdemiguel@sancorseguros.com" TargetMode="External"/><Relationship Id="rId1670" Type="http://schemas.openxmlformats.org/officeDocument/2006/relationships/hyperlink" Target="mailto:lbarboza@ext.sancorseguros.com" TargetMode="External"/><Relationship Id="rId1768" Type="http://schemas.openxmlformats.org/officeDocument/2006/relationships/hyperlink" Target="mailto:rperez@sancorseguros.com" TargetMode="External"/><Relationship Id="rId2514" Type="http://schemas.openxmlformats.org/officeDocument/2006/relationships/hyperlink" Target="mailto:fsantorum@sancorseguros.com" TargetMode="External"/><Relationship Id="rId2721" Type="http://schemas.openxmlformats.org/officeDocument/2006/relationships/hyperlink" Target="mailto:lbarboza@ext.sancorseguros.com" TargetMode="External"/><Relationship Id="rId2819" Type="http://schemas.openxmlformats.org/officeDocument/2006/relationships/hyperlink" Target="mailto:mascallia@sancorseguros.com" TargetMode="External"/><Relationship Id="rId900" Type="http://schemas.openxmlformats.org/officeDocument/2006/relationships/hyperlink" Target="mailto:mizzo@ext.sancorseguros.com" TargetMode="External"/><Relationship Id="rId1323" Type="http://schemas.openxmlformats.org/officeDocument/2006/relationships/hyperlink" Target="mailto:mizzo@ext.sancorseguros.com" TargetMode="External"/><Relationship Id="rId1530" Type="http://schemas.openxmlformats.org/officeDocument/2006/relationships/hyperlink" Target="mailto:camgonzalez@sancorseguros.com" TargetMode="External"/><Relationship Id="rId1628" Type="http://schemas.openxmlformats.org/officeDocument/2006/relationships/hyperlink" Target="mailto:pmalchiodi@sancorseguros.com" TargetMode="External"/><Relationship Id="rId1975" Type="http://schemas.openxmlformats.org/officeDocument/2006/relationships/hyperlink" Target="mailto:anunzio@sancorseguros.com" TargetMode="External"/><Relationship Id="rId3190" Type="http://schemas.openxmlformats.org/officeDocument/2006/relationships/hyperlink" Target="mailto:dtoledo@sancorseguros.com" TargetMode="External"/><Relationship Id="rId1835" Type="http://schemas.openxmlformats.org/officeDocument/2006/relationships/hyperlink" Target="mailto:gleguizamon@ext.sancorseguros.com" TargetMode="External"/><Relationship Id="rId3050" Type="http://schemas.openxmlformats.org/officeDocument/2006/relationships/hyperlink" Target="mailto:lbarboza@ext.sancorseguros.com" TargetMode="External"/><Relationship Id="rId3288" Type="http://schemas.openxmlformats.org/officeDocument/2006/relationships/hyperlink" Target="mailto:mascallia@sancorseguros.com" TargetMode="External"/><Relationship Id="rId3495" Type="http://schemas.openxmlformats.org/officeDocument/2006/relationships/hyperlink" Target="mailto:bdemiguel@sancorseguros.com" TargetMode="External"/><Relationship Id="rId1902" Type="http://schemas.openxmlformats.org/officeDocument/2006/relationships/hyperlink" Target="mailto:mevangelista@sancorseguros.com" TargetMode="External"/><Relationship Id="rId2097" Type="http://schemas.openxmlformats.org/officeDocument/2006/relationships/hyperlink" Target="mailto:mevangelista@sancorseguros.com" TargetMode="External"/><Relationship Id="rId3148" Type="http://schemas.openxmlformats.org/officeDocument/2006/relationships/hyperlink" Target="mailto:rmomartinez@sancorseguros.com" TargetMode="External"/><Relationship Id="rId3355" Type="http://schemas.openxmlformats.org/officeDocument/2006/relationships/hyperlink" Target="mailto:cpavon@sancorseguros.com" TargetMode="External"/><Relationship Id="rId3562" Type="http://schemas.openxmlformats.org/officeDocument/2006/relationships/hyperlink" Target="mailto:cvaldez@ext.sancorseguros.com" TargetMode="External"/><Relationship Id="rId276" Type="http://schemas.openxmlformats.org/officeDocument/2006/relationships/hyperlink" Target="mailto:camgonzalez@sancorseguros.com" TargetMode="External"/><Relationship Id="rId483" Type="http://schemas.openxmlformats.org/officeDocument/2006/relationships/hyperlink" Target="mailto:pmalchiodi@sancorseguros.com" TargetMode="External"/><Relationship Id="rId690" Type="http://schemas.openxmlformats.org/officeDocument/2006/relationships/hyperlink" Target="mailto:mevangelista@sancorseguros.com" TargetMode="External"/><Relationship Id="rId2164" Type="http://schemas.openxmlformats.org/officeDocument/2006/relationships/hyperlink" Target="mailto:gmgutierrez@ext.sancorseguros.com" TargetMode="External"/><Relationship Id="rId2371" Type="http://schemas.openxmlformats.org/officeDocument/2006/relationships/hyperlink" Target="mailto:rmomartinez@sancorseguros.com" TargetMode="External"/><Relationship Id="rId3008" Type="http://schemas.openxmlformats.org/officeDocument/2006/relationships/hyperlink" Target="mailto:vloray@ext.sancorseguros.com" TargetMode="External"/><Relationship Id="rId3215" Type="http://schemas.openxmlformats.org/officeDocument/2006/relationships/hyperlink" Target="mailto:mizzo@ext.sancorseguros.com" TargetMode="External"/><Relationship Id="rId3422" Type="http://schemas.openxmlformats.org/officeDocument/2006/relationships/hyperlink" Target="mailto:jsandoval@sancorseguros.com" TargetMode="External"/><Relationship Id="rId136" Type="http://schemas.openxmlformats.org/officeDocument/2006/relationships/hyperlink" Target="mailto:cpavon@sancorseguros.com" TargetMode="External"/><Relationship Id="rId343" Type="http://schemas.openxmlformats.org/officeDocument/2006/relationships/hyperlink" Target="mailto:camgonzalez@sancorseguros.com" TargetMode="External"/><Relationship Id="rId550" Type="http://schemas.openxmlformats.org/officeDocument/2006/relationships/hyperlink" Target="mailto:abinau@sancorseguros.com" TargetMode="External"/><Relationship Id="rId788" Type="http://schemas.openxmlformats.org/officeDocument/2006/relationships/hyperlink" Target="mailto:mmaccarrone@ext.sancorseguros.com" TargetMode="External"/><Relationship Id="rId995" Type="http://schemas.openxmlformats.org/officeDocument/2006/relationships/hyperlink" Target="mailto:mmaccarrone@ext.sancorseguros.com" TargetMode="External"/><Relationship Id="rId1180" Type="http://schemas.openxmlformats.org/officeDocument/2006/relationships/hyperlink" Target="mailto:cvaldez@ext.sancorseguros.com" TargetMode="External"/><Relationship Id="rId2024" Type="http://schemas.openxmlformats.org/officeDocument/2006/relationships/hyperlink" Target="mailto:pmalchiodi@sancorseguros.com" TargetMode="External"/><Relationship Id="rId2231" Type="http://schemas.openxmlformats.org/officeDocument/2006/relationships/hyperlink" Target="mailto:vloray@ext.sancorseguros.com" TargetMode="External"/><Relationship Id="rId2469" Type="http://schemas.openxmlformats.org/officeDocument/2006/relationships/hyperlink" Target="mailto:fsantorum@sancorseguros.com" TargetMode="External"/><Relationship Id="rId2676" Type="http://schemas.openxmlformats.org/officeDocument/2006/relationships/hyperlink" Target="mailto:lbarboza@ext.sancorseguros.com" TargetMode="External"/><Relationship Id="rId2883" Type="http://schemas.openxmlformats.org/officeDocument/2006/relationships/hyperlink" Target="mailto:gleguizamon@ext.sancorseguros.com" TargetMode="External"/><Relationship Id="rId203" Type="http://schemas.openxmlformats.org/officeDocument/2006/relationships/hyperlink" Target="mailto:abinau@sancorseguros.com" TargetMode="External"/><Relationship Id="rId648" Type="http://schemas.openxmlformats.org/officeDocument/2006/relationships/hyperlink" Target="mailto:abinau@sancorseguros.com" TargetMode="External"/><Relationship Id="rId855" Type="http://schemas.openxmlformats.org/officeDocument/2006/relationships/hyperlink" Target="mailto:bdemiguel@sancorseguros.com" TargetMode="External"/><Relationship Id="rId1040" Type="http://schemas.openxmlformats.org/officeDocument/2006/relationships/hyperlink" Target="mailto:mmaccarrone@ext.sancorseguros.com" TargetMode="External"/><Relationship Id="rId1278" Type="http://schemas.openxmlformats.org/officeDocument/2006/relationships/hyperlink" Target="mailto:gmgutierrez@ext.sancorseguros.com" TargetMode="External"/><Relationship Id="rId1485" Type="http://schemas.openxmlformats.org/officeDocument/2006/relationships/hyperlink" Target="mailto:cpavon@sancorseguros.com" TargetMode="External"/><Relationship Id="rId1692" Type="http://schemas.openxmlformats.org/officeDocument/2006/relationships/hyperlink" Target="mailto:gmgutierrez@ext.sancorseguros.com" TargetMode="External"/><Relationship Id="rId2329" Type="http://schemas.openxmlformats.org/officeDocument/2006/relationships/hyperlink" Target="mailto:lbarboza@ext.sancorseguros.com" TargetMode="External"/><Relationship Id="rId2536" Type="http://schemas.openxmlformats.org/officeDocument/2006/relationships/hyperlink" Target="mailto:mascallia@sancorseguros.com" TargetMode="External"/><Relationship Id="rId2743" Type="http://schemas.openxmlformats.org/officeDocument/2006/relationships/hyperlink" Target="mailto:bdemiguel@sancorseguros.com" TargetMode="External"/><Relationship Id="rId410" Type="http://schemas.openxmlformats.org/officeDocument/2006/relationships/hyperlink" Target="mailto:gmgutierrez@ext.sancorseguros.com" TargetMode="External"/><Relationship Id="rId508" Type="http://schemas.openxmlformats.org/officeDocument/2006/relationships/hyperlink" Target="mailto:mmaccarrone@ext.sancorseguros.com" TargetMode="External"/><Relationship Id="rId715" Type="http://schemas.openxmlformats.org/officeDocument/2006/relationships/hyperlink" Target="mailto:bdemiguel@sancorseguros.com" TargetMode="External"/><Relationship Id="rId922" Type="http://schemas.openxmlformats.org/officeDocument/2006/relationships/hyperlink" Target="mailto:rmomartinez@sancorseguros.com" TargetMode="External"/><Relationship Id="rId1138" Type="http://schemas.openxmlformats.org/officeDocument/2006/relationships/hyperlink" Target="mailto:mascallia@sancorseguros.com" TargetMode="External"/><Relationship Id="rId1345" Type="http://schemas.openxmlformats.org/officeDocument/2006/relationships/hyperlink" Target="mailto:fsantorum@sancorseguros.com" TargetMode="External"/><Relationship Id="rId1552" Type="http://schemas.openxmlformats.org/officeDocument/2006/relationships/hyperlink" Target="mailto:cvaldez@ext.sancorseguros.com" TargetMode="External"/><Relationship Id="rId1997" Type="http://schemas.openxmlformats.org/officeDocument/2006/relationships/hyperlink" Target="mailto:cpavon@sancorseguros.com" TargetMode="External"/><Relationship Id="rId2603" Type="http://schemas.openxmlformats.org/officeDocument/2006/relationships/hyperlink" Target="mailto:abinau@sancorseguros.com" TargetMode="External"/><Relationship Id="rId2950" Type="http://schemas.openxmlformats.org/officeDocument/2006/relationships/hyperlink" Target="mailto:cpavon@sancorseguros.com" TargetMode="External"/><Relationship Id="rId1205" Type="http://schemas.openxmlformats.org/officeDocument/2006/relationships/hyperlink" Target="mailto:cvaldez@ext.sancorseguros.com" TargetMode="External"/><Relationship Id="rId1857" Type="http://schemas.openxmlformats.org/officeDocument/2006/relationships/hyperlink" Target="mailto:mascallia@sancorseguros.com" TargetMode="External"/><Relationship Id="rId2810" Type="http://schemas.openxmlformats.org/officeDocument/2006/relationships/hyperlink" Target="mailto:camgonzalez@sancorseguros.com" TargetMode="External"/><Relationship Id="rId2908" Type="http://schemas.openxmlformats.org/officeDocument/2006/relationships/hyperlink" Target="mailto:mizzo@ext.sancorseguros.com" TargetMode="External"/><Relationship Id="rId51" Type="http://schemas.openxmlformats.org/officeDocument/2006/relationships/hyperlink" Target="mailto:milmartinez@ext.sancorseguros.com" TargetMode="External"/><Relationship Id="rId1412" Type="http://schemas.openxmlformats.org/officeDocument/2006/relationships/hyperlink" Target="mailto:gmgutierrez@ext.sancorseguros.com" TargetMode="External"/><Relationship Id="rId1717" Type="http://schemas.openxmlformats.org/officeDocument/2006/relationships/hyperlink" Target="mailto:mascallia@sancorseguros.com" TargetMode="External"/><Relationship Id="rId1924" Type="http://schemas.openxmlformats.org/officeDocument/2006/relationships/hyperlink" Target="mailto:varagon@ext.sancorseguros.com" TargetMode="External"/><Relationship Id="rId3072" Type="http://schemas.openxmlformats.org/officeDocument/2006/relationships/hyperlink" Target="mailto:cvaldez@ext.sancorseguros.com" TargetMode="External"/><Relationship Id="rId3377" Type="http://schemas.openxmlformats.org/officeDocument/2006/relationships/hyperlink" Target="mailto:mizzo@ext.sancorseguros.com" TargetMode="External"/><Relationship Id="rId298" Type="http://schemas.openxmlformats.org/officeDocument/2006/relationships/hyperlink" Target="mailto:milmartinez@ext.sancorseguros.com" TargetMode="External"/><Relationship Id="rId3584" Type="http://schemas.openxmlformats.org/officeDocument/2006/relationships/hyperlink" Target="mailto:gleguizamon@ext.sancorseguros.com" TargetMode="External"/><Relationship Id="rId158" Type="http://schemas.openxmlformats.org/officeDocument/2006/relationships/hyperlink" Target="mailto:mkester@sancorseguros.com" TargetMode="External"/><Relationship Id="rId2186" Type="http://schemas.openxmlformats.org/officeDocument/2006/relationships/hyperlink" Target="mailto:milmartinez@ext.sancorseguros.com" TargetMode="External"/><Relationship Id="rId2393" Type="http://schemas.openxmlformats.org/officeDocument/2006/relationships/hyperlink" Target="mailto:mascallia@sancorseguros.com" TargetMode="External"/><Relationship Id="rId2698" Type="http://schemas.openxmlformats.org/officeDocument/2006/relationships/hyperlink" Target="mailto:mmaccarrone@ext.sancorseguros.com" TargetMode="External"/><Relationship Id="rId3237" Type="http://schemas.openxmlformats.org/officeDocument/2006/relationships/hyperlink" Target="mailto:rfernandez@sancorseguros.com" TargetMode="External"/><Relationship Id="rId3444" Type="http://schemas.openxmlformats.org/officeDocument/2006/relationships/hyperlink" Target="mailto:mmaccarrone@ext.sancorseguros.com" TargetMode="External"/><Relationship Id="rId365" Type="http://schemas.openxmlformats.org/officeDocument/2006/relationships/hyperlink" Target="mailto:gleguizamon@ext.sancorseguros.com" TargetMode="External"/><Relationship Id="rId572" Type="http://schemas.openxmlformats.org/officeDocument/2006/relationships/hyperlink" Target="mailto:mcoiman@sancorseguros.com" TargetMode="External"/><Relationship Id="rId2046" Type="http://schemas.openxmlformats.org/officeDocument/2006/relationships/hyperlink" Target="mailto:mmaccarrone@ext.sancorseguros.com" TargetMode="External"/><Relationship Id="rId2253" Type="http://schemas.openxmlformats.org/officeDocument/2006/relationships/hyperlink" Target="mailto:cpavon@sancorseguros.com" TargetMode="External"/><Relationship Id="rId2460" Type="http://schemas.openxmlformats.org/officeDocument/2006/relationships/hyperlink" Target="mailto:camgonzalez@sancorseguros.com" TargetMode="External"/><Relationship Id="rId3304" Type="http://schemas.openxmlformats.org/officeDocument/2006/relationships/hyperlink" Target="mailto:gmgutierrez@ext.sancorseguros.com" TargetMode="External"/><Relationship Id="rId3511" Type="http://schemas.openxmlformats.org/officeDocument/2006/relationships/hyperlink" Target="mailto:lbarboza@ext.sancorseguros.com" TargetMode="External"/><Relationship Id="rId225" Type="http://schemas.openxmlformats.org/officeDocument/2006/relationships/hyperlink" Target="mailto:cpavon@sancorseguros.com" TargetMode="External"/><Relationship Id="rId432" Type="http://schemas.openxmlformats.org/officeDocument/2006/relationships/hyperlink" Target="mailto:mizzo@ext.sancorseguros.com" TargetMode="External"/><Relationship Id="rId877" Type="http://schemas.openxmlformats.org/officeDocument/2006/relationships/hyperlink" Target="mailto:mizzo@ext.sancorseguros.com" TargetMode="External"/><Relationship Id="rId1062" Type="http://schemas.openxmlformats.org/officeDocument/2006/relationships/hyperlink" Target="mailto:rmomartinez@sancorseguros.com" TargetMode="External"/><Relationship Id="rId2113" Type="http://schemas.openxmlformats.org/officeDocument/2006/relationships/hyperlink" Target="mailto:czardain@sancorseguros.com" TargetMode="External"/><Relationship Id="rId2320" Type="http://schemas.openxmlformats.org/officeDocument/2006/relationships/hyperlink" Target="mailto:mkester@sancorseguros.com" TargetMode="External"/><Relationship Id="rId2558" Type="http://schemas.openxmlformats.org/officeDocument/2006/relationships/hyperlink" Target="mailto:cvaldez@ext.sancorseguros.com" TargetMode="External"/><Relationship Id="rId2765" Type="http://schemas.openxmlformats.org/officeDocument/2006/relationships/hyperlink" Target="mailto:mmaccarrone@ext.sancorseguros.com" TargetMode="External"/><Relationship Id="rId2972" Type="http://schemas.openxmlformats.org/officeDocument/2006/relationships/hyperlink" Target="mailto:bdemiguel@sancorseguros.com" TargetMode="External"/><Relationship Id="rId3609" Type="http://schemas.openxmlformats.org/officeDocument/2006/relationships/hyperlink" Target="mailto:abinau@sancorseguros.com" TargetMode="External"/><Relationship Id="rId737" Type="http://schemas.openxmlformats.org/officeDocument/2006/relationships/hyperlink" Target="mailto:cvaldez@ext.sancorseguros.com" TargetMode="External"/><Relationship Id="rId944" Type="http://schemas.openxmlformats.org/officeDocument/2006/relationships/hyperlink" Target="mailto:madecarvalho@sancorseguros.com" TargetMode="External"/><Relationship Id="rId1367" Type="http://schemas.openxmlformats.org/officeDocument/2006/relationships/hyperlink" Target="mailto:mizzo@ext.sancorseguros.com" TargetMode="External"/><Relationship Id="rId1574" Type="http://schemas.openxmlformats.org/officeDocument/2006/relationships/hyperlink" Target="mailto:fsantorum@sancorseguros.com" TargetMode="External"/><Relationship Id="rId1781" Type="http://schemas.openxmlformats.org/officeDocument/2006/relationships/hyperlink" Target="mailto:dtoledo@sancorseguros.com" TargetMode="External"/><Relationship Id="rId2418" Type="http://schemas.openxmlformats.org/officeDocument/2006/relationships/hyperlink" Target="mailto:anunzio@sancorseguros.com" TargetMode="External"/><Relationship Id="rId2625" Type="http://schemas.openxmlformats.org/officeDocument/2006/relationships/hyperlink" Target="mailto:cvaldez@ext.sancorseguros.com" TargetMode="External"/><Relationship Id="rId2832" Type="http://schemas.openxmlformats.org/officeDocument/2006/relationships/hyperlink" Target="mailto:cvaldez@ext.sancorseguros.com" TargetMode="External"/><Relationship Id="rId73" Type="http://schemas.openxmlformats.org/officeDocument/2006/relationships/hyperlink" Target="mailto:gmgutierrez@ext.sancorseguros.com" TargetMode="External"/><Relationship Id="rId804" Type="http://schemas.openxmlformats.org/officeDocument/2006/relationships/hyperlink" Target="mailto:milmartinez@ext.sancorseguros.com" TargetMode="External"/><Relationship Id="rId1227" Type="http://schemas.openxmlformats.org/officeDocument/2006/relationships/hyperlink" Target="mailto:gmgutierrez@ext.sancorseguros.com" TargetMode="External"/><Relationship Id="rId1434" Type="http://schemas.openxmlformats.org/officeDocument/2006/relationships/hyperlink" Target="mailto:mizzo@ext.sancorseguros.com" TargetMode="External"/><Relationship Id="rId1641" Type="http://schemas.openxmlformats.org/officeDocument/2006/relationships/hyperlink" Target="mailto:gmgutierrez@ext.sancorseguros.com" TargetMode="External"/><Relationship Id="rId1879" Type="http://schemas.openxmlformats.org/officeDocument/2006/relationships/hyperlink" Target="mailto:rmomartinez@sancorseguros.com" TargetMode="External"/><Relationship Id="rId3094" Type="http://schemas.openxmlformats.org/officeDocument/2006/relationships/hyperlink" Target="mailto:mizzo@ext.sancorseguros.com" TargetMode="External"/><Relationship Id="rId1501" Type="http://schemas.openxmlformats.org/officeDocument/2006/relationships/hyperlink" Target="mailto:milmartinez@ext.sancorseguros.com" TargetMode="External"/><Relationship Id="rId1739" Type="http://schemas.openxmlformats.org/officeDocument/2006/relationships/hyperlink" Target="mailto:pmalchiodi@sancorseguros.com" TargetMode="External"/><Relationship Id="rId1946" Type="http://schemas.openxmlformats.org/officeDocument/2006/relationships/hyperlink" Target="mailto:gmgutierrez@ext.sancorseguros.com" TargetMode="External"/><Relationship Id="rId3399" Type="http://schemas.openxmlformats.org/officeDocument/2006/relationships/hyperlink" Target="mailto:abinau@sancorseguros.com" TargetMode="External"/><Relationship Id="rId1806" Type="http://schemas.openxmlformats.org/officeDocument/2006/relationships/hyperlink" Target="mailto:abinau@sancorseguros.com" TargetMode="External"/><Relationship Id="rId3161" Type="http://schemas.openxmlformats.org/officeDocument/2006/relationships/hyperlink" Target="mailto:gmgutierrez@ext.sancorseguros.com" TargetMode="External"/><Relationship Id="rId3259" Type="http://schemas.openxmlformats.org/officeDocument/2006/relationships/hyperlink" Target="mailto:vloray@ext.sancorseguros.com" TargetMode="External"/><Relationship Id="rId3466" Type="http://schemas.openxmlformats.org/officeDocument/2006/relationships/hyperlink" Target="mailto:jsandoval@sancorseguros.com" TargetMode="External"/><Relationship Id="rId387" Type="http://schemas.openxmlformats.org/officeDocument/2006/relationships/hyperlink" Target="mailto:mkester@sancorseguros.com" TargetMode="External"/><Relationship Id="rId594" Type="http://schemas.openxmlformats.org/officeDocument/2006/relationships/hyperlink" Target="mailto:camgonzalez@sancorseguros.com" TargetMode="External"/><Relationship Id="rId2068" Type="http://schemas.openxmlformats.org/officeDocument/2006/relationships/hyperlink" Target="mailto:cvaldez@ext.sancorseguros.com" TargetMode="External"/><Relationship Id="rId2275" Type="http://schemas.openxmlformats.org/officeDocument/2006/relationships/hyperlink" Target="mailto:fsantorum@sancorseguros.com" TargetMode="External"/><Relationship Id="rId3021" Type="http://schemas.openxmlformats.org/officeDocument/2006/relationships/hyperlink" Target="mailto:gleguizamon@ext.sancorseguros.com" TargetMode="External"/><Relationship Id="rId3119" Type="http://schemas.openxmlformats.org/officeDocument/2006/relationships/hyperlink" Target="mailto:fsantorum@sancorseguros.com" TargetMode="External"/><Relationship Id="rId3326" Type="http://schemas.openxmlformats.org/officeDocument/2006/relationships/hyperlink" Target="mailto:milmartinez@ext.sancorseguros.com" TargetMode="External"/><Relationship Id="rId247" Type="http://schemas.openxmlformats.org/officeDocument/2006/relationships/hyperlink" Target="mailto:mizzo@ext.sancorseguros.com" TargetMode="External"/><Relationship Id="rId899" Type="http://schemas.openxmlformats.org/officeDocument/2006/relationships/hyperlink" Target="mailto:lbarboza@ext.sancorseguros.com" TargetMode="External"/><Relationship Id="rId1084" Type="http://schemas.openxmlformats.org/officeDocument/2006/relationships/hyperlink" Target="mailto:gmgutierrez@ext.sancorseguros.com" TargetMode="External"/><Relationship Id="rId2482" Type="http://schemas.openxmlformats.org/officeDocument/2006/relationships/hyperlink" Target="mailto:mmaccarrone@ext.sancorseguros.com" TargetMode="External"/><Relationship Id="rId2787" Type="http://schemas.openxmlformats.org/officeDocument/2006/relationships/hyperlink" Target="mailto:mkester@sancorseguros.com" TargetMode="External"/><Relationship Id="rId3533" Type="http://schemas.openxmlformats.org/officeDocument/2006/relationships/hyperlink" Target="mailto:pgirardin@sancorseguros.com" TargetMode="External"/><Relationship Id="rId107" Type="http://schemas.openxmlformats.org/officeDocument/2006/relationships/hyperlink" Target="mailto:mascallia@sancorseguros.com" TargetMode="External"/><Relationship Id="rId454" Type="http://schemas.openxmlformats.org/officeDocument/2006/relationships/hyperlink" Target="mailto:gleguizamon@ext.sancorseguros.com" TargetMode="External"/><Relationship Id="rId661" Type="http://schemas.openxmlformats.org/officeDocument/2006/relationships/hyperlink" Target="mailto:abinau@sancorseguros.com" TargetMode="External"/><Relationship Id="rId759" Type="http://schemas.openxmlformats.org/officeDocument/2006/relationships/hyperlink" Target="mailto:gmgutierrez@ext.sancorseguros.com" TargetMode="External"/><Relationship Id="rId966" Type="http://schemas.openxmlformats.org/officeDocument/2006/relationships/hyperlink" Target="mailto:mascallia@sancorseguros.com" TargetMode="External"/><Relationship Id="rId1291" Type="http://schemas.openxmlformats.org/officeDocument/2006/relationships/hyperlink" Target="mailto:mascallia@sancorseguros.com" TargetMode="External"/><Relationship Id="rId1389" Type="http://schemas.openxmlformats.org/officeDocument/2006/relationships/hyperlink" Target="mailto:cvaldez@ext.sancorseguros.com" TargetMode="External"/><Relationship Id="rId1596" Type="http://schemas.openxmlformats.org/officeDocument/2006/relationships/hyperlink" Target="mailto:mizzo@ext.sancorseguros.com" TargetMode="External"/><Relationship Id="rId2135" Type="http://schemas.openxmlformats.org/officeDocument/2006/relationships/hyperlink" Target="mailto:mizzo@ext.sancorseguros.com" TargetMode="External"/><Relationship Id="rId2342" Type="http://schemas.openxmlformats.org/officeDocument/2006/relationships/hyperlink" Target="mailto:lbarboza@ext.sancorseguros.com" TargetMode="External"/><Relationship Id="rId2647" Type="http://schemas.openxmlformats.org/officeDocument/2006/relationships/hyperlink" Target="mailto:cvaldez@ext.sancorseguros.com" TargetMode="External"/><Relationship Id="rId2994" Type="http://schemas.openxmlformats.org/officeDocument/2006/relationships/hyperlink" Target="mailto:lbarboza@ext.sancorseguros.com" TargetMode="External"/><Relationship Id="rId3600" Type="http://schemas.openxmlformats.org/officeDocument/2006/relationships/hyperlink" Target="mailto:gleguizamon@ext.sancorseguros.com" TargetMode="External"/><Relationship Id="rId314" Type="http://schemas.openxmlformats.org/officeDocument/2006/relationships/hyperlink" Target="mailto:amrodriguez@sancorseguros.com" TargetMode="External"/><Relationship Id="rId521" Type="http://schemas.openxmlformats.org/officeDocument/2006/relationships/hyperlink" Target="mailto:cpavon@sancorseguros.com" TargetMode="External"/><Relationship Id="rId619" Type="http://schemas.openxmlformats.org/officeDocument/2006/relationships/hyperlink" Target="mailto:mizzo@ext.sancorseguros.com" TargetMode="External"/><Relationship Id="rId1151" Type="http://schemas.openxmlformats.org/officeDocument/2006/relationships/hyperlink" Target="mailto:fsantorum@sancorseguros.com" TargetMode="External"/><Relationship Id="rId1249" Type="http://schemas.openxmlformats.org/officeDocument/2006/relationships/hyperlink" Target="mailto:mascallia@sancorseguros.com" TargetMode="External"/><Relationship Id="rId2202" Type="http://schemas.openxmlformats.org/officeDocument/2006/relationships/hyperlink" Target="mailto:mmaccarrone@ext.sancorseguros.com" TargetMode="External"/><Relationship Id="rId2854" Type="http://schemas.openxmlformats.org/officeDocument/2006/relationships/hyperlink" Target="mailto:mizzo@ext.sancorseguros.com" TargetMode="External"/><Relationship Id="rId95" Type="http://schemas.openxmlformats.org/officeDocument/2006/relationships/hyperlink" Target="mailto:rfernandez@sancorseguros.com" TargetMode="External"/><Relationship Id="rId826" Type="http://schemas.openxmlformats.org/officeDocument/2006/relationships/hyperlink" Target="mailto:camgonzalez@sancorseguros.com" TargetMode="External"/><Relationship Id="rId1011" Type="http://schemas.openxmlformats.org/officeDocument/2006/relationships/hyperlink" Target="mailto:dtoledo@sancorseguros.com" TargetMode="External"/><Relationship Id="rId1109" Type="http://schemas.openxmlformats.org/officeDocument/2006/relationships/hyperlink" Target="mailto:rmomartinez@sancorseguros.com" TargetMode="External"/><Relationship Id="rId1456" Type="http://schemas.openxmlformats.org/officeDocument/2006/relationships/hyperlink" Target="mailto:nrivas@sancorseguros.com" TargetMode="External"/><Relationship Id="rId1663" Type="http://schemas.openxmlformats.org/officeDocument/2006/relationships/hyperlink" Target="mailto:mkester@sancorseguros.com" TargetMode="External"/><Relationship Id="rId1870" Type="http://schemas.openxmlformats.org/officeDocument/2006/relationships/hyperlink" Target="mailto:vloray@ext.sancorseguros.com" TargetMode="External"/><Relationship Id="rId1968" Type="http://schemas.openxmlformats.org/officeDocument/2006/relationships/hyperlink" Target="mailto:lbarboza@ext.sancorseguros.com" TargetMode="External"/><Relationship Id="rId2507" Type="http://schemas.openxmlformats.org/officeDocument/2006/relationships/hyperlink" Target="mailto:cvaldez@ext.sancorseguros.com" TargetMode="External"/><Relationship Id="rId2714" Type="http://schemas.openxmlformats.org/officeDocument/2006/relationships/hyperlink" Target="mailto:rmomartinez@sancorseguros.com" TargetMode="External"/><Relationship Id="rId2921" Type="http://schemas.openxmlformats.org/officeDocument/2006/relationships/hyperlink" Target="mailto:mkester@sancorseguros.com" TargetMode="External"/><Relationship Id="rId1316" Type="http://schemas.openxmlformats.org/officeDocument/2006/relationships/hyperlink" Target="mailto:fsantorum@sancorseguros.com" TargetMode="External"/><Relationship Id="rId1523" Type="http://schemas.openxmlformats.org/officeDocument/2006/relationships/hyperlink" Target="mailto:cpavon@sancorseguros.com" TargetMode="External"/><Relationship Id="rId1730" Type="http://schemas.openxmlformats.org/officeDocument/2006/relationships/hyperlink" Target="mailto:gleguizamon@ext.sancorseguros.com" TargetMode="External"/><Relationship Id="rId3183" Type="http://schemas.openxmlformats.org/officeDocument/2006/relationships/hyperlink" Target="mailto:gmgutierrez@ext.sancorseguros.com" TargetMode="External"/><Relationship Id="rId3390" Type="http://schemas.openxmlformats.org/officeDocument/2006/relationships/hyperlink" Target="mailto:abinau@sancorseguros.com" TargetMode="External"/><Relationship Id="rId22" Type="http://schemas.openxmlformats.org/officeDocument/2006/relationships/hyperlink" Target="mailto:bdemiguel@sancorseguros.com" TargetMode="External"/><Relationship Id="rId1828" Type="http://schemas.openxmlformats.org/officeDocument/2006/relationships/hyperlink" Target="mailto:lbarboza@ext.sancorseguros.com" TargetMode="External"/><Relationship Id="rId3043" Type="http://schemas.openxmlformats.org/officeDocument/2006/relationships/hyperlink" Target="mailto:cvaldez@ext.sancorseguros.com" TargetMode="External"/><Relationship Id="rId3250" Type="http://schemas.openxmlformats.org/officeDocument/2006/relationships/hyperlink" Target="mailto:mkester@sancorseguros.com" TargetMode="External"/><Relationship Id="rId3488" Type="http://schemas.openxmlformats.org/officeDocument/2006/relationships/hyperlink" Target="mailto:jsandoval@sancorseguros.com" TargetMode="External"/><Relationship Id="rId171" Type="http://schemas.openxmlformats.org/officeDocument/2006/relationships/hyperlink" Target="mailto:rmomartinez@sancorseguros.com" TargetMode="External"/><Relationship Id="rId2297" Type="http://schemas.openxmlformats.org/officeDocument/2006/relationships/hyperlink" Target="mailto:mizzo@ext.sancorseguros.com" TargetMode="External"/><Relationship Id="rId3348" Type="http://schemas.openxmlformats.org/officeDocument/2006/relationships/hyperlink" Target="mailto:bdemiguel@sancorseguros.com" TargetMode="External"/><Relationship Id="rId3555" Type="http://schemas.openxmlformats.org/officeDocument/2006/relationships/hyperlink" Target="mailto:lbarboza@ext.sancorseguros.com" TargetMode="External"/><Relationship Id="rId269" Type="http://schemas.openxmlformats.org/officeDocument/2006/relationships/hyperlink" Target="mailto:madecarvalho@sancorseguros.com" TargetMode="External"/><Relationship Id="rId476" Type="http://schemas.openxmlformats.org/officeDocument/2006/relationships/hyperlink" Target="mailto:bdemiguel@sancorseguros.com" TargetMode="External"/><Relationship Id="rId683" Type="http://schemas.openxmlformats.org/officeDocument/2006/relationships/hyperlink" Target="mailto:mizzo@ext.sancorseguros.com" TargetMode="External"/><Relationship Id="rId890" Type="http://schemas.openxmlformats.org/officeDocument/2006/relationships/hyperlink" Target="mailto:madecarvalho@sancorseguros.com" TargetMode="External"/><Relationship Id="rId2157" Type="http://schemas.openxmlformats.org/officeDocument/2006/relationships/hyperlink" Target="mailto:gleguizamon@ext.sancorseguros.com" TargetMode="External"/><Relationship Id="rId2364" Type="http://schemas.openxmlformats.org/officeDocument/2006/relationships/hyperlink" Target="mailto:bdemiguel@sancorseguros.com" TargetMode="External"/><Relationship Id="rId2571" Type="http://schemas.openxmlformats.org/officeDocument/2006/relationships/hyperlink" Target="mailto:rmomartinez@sancorseguros.com" TargetMode="External"/><Relationship Id="rId3110" Type="http://schemas.openxmlformats.org/officeDocument/2006/relationships/hyperlink" Target="mailto:mmaccarrone@ext.sancorseguros.com" TargetMode="External"/><Relationship Id="rId3208" Type="http://schemas.openxmlformats.org/officeDocument/2006/relationships/hyperlink" Target="mailto:lbarboza@ext.sancorseguros.com" TargetMode="External"/><Relationship Id="rId3415" Type="http://schemas.openxmlformats.org/officeDocument/2006/relationships/hyperlink" Target="mailto:amarco@sancorseguros.com" TargetMode="External"/><Relationship Id="rId129" Type="http://schemas.openxmlformats.org/officeDocument/2006/relationships/hyperlink" Target="mailto:miiglesias@ext.sancorseguros.com" TargetMode="External"/><Relationship Id="rId336" Type="http://schemas.openxmlformats.org/officeDocument/2006/relationships/hyperlink" Target="mailto:amrodriguez@sancorseguros.com" TargetMode="External"/><Relationship Id="rId543" Type="http://schemas.openxmlformats.org/officeDocument/2006/relationships/hyperlink" Target="mailto:pgirardin@sancorseguros.com" TargetMode="External"/><Relationship Id="rId988" Type="http://schemas.openxmlformats.org/officeDocument/2006/relationships/hyperlink" Target="mailto:rfernandez@sancorseguros.com" TargetMode="External"/><Relationship Id="rId1173" Type="http://schemas.openxmlformats.org/officeDocument/2006/relationships/hyperlink" Target="mailto:cvaldez@ext.sancorseguros.com" TargetMode="External"/><Relationship Id="rId1380" Type="http://schemas.openxmlformats.org/officeDocument/2006/relationships/hyperlink" Target="mailto:madecarvalho@sancorseguros.com" TargetMode="External"/><Relationship Id="rId2017" Type="http://schemas.openxmlformats.org/officeDocument/2006/relationships/hyperlink" Target="mailto:camgonzalez@sancorseguros.com" TargetMode="External"/><Relationship Id="rId2224" Type="http://schemas.openxmlformats.org/officeDocument/2006/relationships/hyperlink" Target="mailto:fsantorum@sancorseguros.com" TargetMode="External"/><Relationship Id="rId2669" Type="http://schemas.openxmlformats.org/officeDocument/2006/relationships/hyperlink" Target="mailto:cvaldez@ext.sancorseguros.com" TargetMode="External"/><Relationship Id="rId2876" Type="http://schemas.openxmlformats.org/officeDocument/2006/relationships/hyperlink" Target="mailto:cvaldez@ext.sancorseguros.com" TargetMode="External"/><Relationship Id="rId3622" Type="http://schemas.openxmlformats.org/officeDocument/2006/relationships/hyperlink" Target="mailto:mascallia@sancorseguros.com" TargetMode="External"/><Relationship Id="rId403" Type="http://schemas.openxmlformats.org/officeDocument/2006/relationships/hyperlink" Target="mailto:fsantorum@sancorseguros.com" TargetMode="External"/><Relationship Id="rId750" Type="http://schemas.openxmlformats.org/officeDocument/2006/relationships/hyperlink" Target="mailto:rfernandez@sancorseguros.com" TargetMode="External"/><Relationship Id="rId848" Type="http://schemas.openxmlformats.org/officeDocument/2006/relationships/hyperlink" Target="mailto:lbarboza@ext.sancorseguros.com" TargetMode="External"/><Relationship Id="rId1033" Type="http://schemas.openxmlformats.org/officeDocument/2006/relationships/hyperlink" Target="mailto:dtoledo@sancorseguros.com" TargetMode="External"/><Relationship Id="rId1478" Type="http://schemas.openxmlformats.org/officeDocument/2006/relationships/hyperlink" Target="mailto:lbarboza@ext.sancorseguros.com" TargetMode="External"/><Relationship Id="rId1685" Type="http://schemas.openxmlformats.org/officeDocument/2006/relationships/hyperlink" Target="mailto:abinau@sancorseguros.com" TargetMode="External"/><Relationship Id="rId1892" Type="http://schemas.openxmlformats.org/officeDocument/2006/relationships/hyperlink" Target="mailto:gmgutierrez@ext.sancorseguros.com" TargetMode="External"/><Relationship Id="rId2431" Type="http://schemas.openxmlformats.org/officeDocument/2006/relationships/hyperlink" Target="mailto:lbarboza@ext.sancorseguros.com" TargetMode="External"/><Relationship Id="rId2529" Type="http://schemas.openxmlformats.org/officeDocument/2006/relationships/hyperlink" Target="mailto:mmaccarrone@ext.sancorseguros.com" TargetMode="External"/><Relationship Id="rId2736" Type="http://schemas.openxmlformats.org/officeDocument/2006/relationships/hyperlink" Target="mailto:pmalchiodi@sancorseguros.com" TargetMode="External"/><Relationship Id="rId610" Type="http://schemas.openxmlformats.org/officeDocument/2006/relationships/hyperlink" Target="mailto:vloray@ext.sancorseguros.com" TargetMode="External"/><Relationship Id="rId708" Type="http://schemas.openxmlformats.org/officeDocument/2006/relationships/hyperlink" Target="mailto:bdemiguel@sancorseguros.com" TargetMode="External"/><Relationship Id="rId915" Type="http://schemas.openxmlformats.org/officeDocument/2006/relationships/hyperlink" Target="mailto:rmomartinez@sancorseguros.com" TargetMode="External"/><Relationship Id="rId1240" Type="http://schemas.openxmlformats.org/officeDocument/2006/relationships/hyperlink" Target="mailto:mizzo@ext.sancorseguros.com" TargetMode="External"/><Relationship Id="rId1338" Type="http://schemas.openxmlformats.org/officeDocument/2006/relationships/hyperlink" Target="mailto:abinau@sancorseguros.com" TargetMode="External"/><Relationship Id="rId1545" Type="http://schemas.openxmlformats.org/officeDocument/2006/relationships/hyperlink" Target="mailto:cpavon@sancorseguros.com" TargetMode="External"/><Relationship Id="rId2943" Type="http://schemas.openxmlformats.org/officeDocument/2006/relationships/hyperlink" Target="mailto:marslopez@sancorseguros.com" TargetMode="External"/><Relationship Id="rId1100" Type="http://schemas.openxmlformats.org/officeDocument/2006/relationships/hyperlink" Target="mailto:cvaldez@ext.sancorseguros.com" TargetMode="External"/><Relationship Id="rId1405" Type="http://schemas.openxmlformats.org/officeDocument/2006/relationships/hyperlink" Target="mailto:bdemiguel@sancorseguros.com" TargetMode="External"/><Relationship Id="rId1752" Type="http://schemas.openxmlformats.org/officeDocument/2006/relationships/hyperlink" Target="mailto:camgonzalez@sancorseguros.com" TargetMode="External"/><Relationship Id="rId2803" Type="http://schemas.openxmlformats.org/officeDocument/2006/relationships/hyperlink" Target="mailto:miiglesias@ext.sancorseguros.com" TargetMode="External"/><Relationship Id="rId44" Type="http://schemas.openxmlformats.org/officeDocument/2006/relationships/hyperlink" Target="mailto:cvaldez@ext.sancorseguros.com" TargetMode="External"/><Relationship Id="rId1612" Type="http://schemas.openxmlformats.org/officeDocument/2006/relationships/hyperlink" Target="mailto:milmartinez@ext.sancorseguros.com" TargetMode="External"/><Relationship Id="rId1917" Type="http://schemas.openxmlformats.org/officeDocument/2006/relationships/hyperlink" Target="mailto:mizzo@ext.sancorseguros.com" TargetMode="External"/><Relationship Id="rId3065" Type="http://schemas.openxmlformats.org/officeDocument/2006/relationships/hyperlink" Target="mailto:lbarboza@ext.sancorseguros.com" TargetMode="External"/><Relationship Id="rId3272" Type="http://schemas.openxmlformats.org/officeDocument/2006/relationships/hyperlink" Target="mailto:rmomartinez@sancorseguros.com" TargetMode="External"/><Relationship Id="rId193" Type="http://schemas.openxmlformats.org/officeDocument/2006/relationships/hyperlink" Target="mailto:mevangelista@sancorseguros.com" TargetMode="External"/><Relationship Id="rId498" Type="http://schemas.openxmlformats.org/officeDocument/2006/relationships/hyperlink" Target="mailto:bdemiguel@sancorseguros.com" TargetMode="External"/><Relationship Id="rId2081" Type="http://schemas.openxmlformats.org/officeDocument/2006/relationships/hyperlink" Target="mailto:mmaccarrone@ext.sancorseguros.com" TargetMode="External"/><Relationship Id="rId2179" Type="http://schemas.openxmlformats.org/officeDocument/2006/relationships/hyperlink" Target="mailto:mascallia@sancorseguros.com" TargetMode="External"/><Relationship Id="rId3132" Type="http://schemas.openxmlformats.org/officeDocument/2006/relationships/hyperlink" Target="mailto:lbarboza@ext.sancorseguros.com" TargetMode="External"/><Relationship Id="rId3577" Type="http://schemas.openxmlformats.org/officeDocument/2006/relationships/hyperlink" Target="mailto:fsantorum@sancorseguros.com" TargetMode="External"/><Relationship Id="rId260" Type="http://schemas.openxmlformats.org/officeDocument/2006/relationships/hyperlink" Target="mailto:cpavon@sancorseguros.com" TargetMode="External"/><Relationship Id="rId2386" Type="http://schemas.openxmlformats.org/officeDocument/2006/relationships/hyperlink" Target="mailto:gmgutierrez@ext.sancorseguros.com" TargetMode="External"/><Relationship Id="rId2593" Type="http://schemas.openxmlformats.org/officeDocument/2006/relationships/hyperlink" Target="mailto:lbarboza@ext.sancorseguros.com" TargetMode="External"/><Relationship Id="rId3437" Type="http://schemas.openxmlformats.org/officeDocument/2006/relationships/hyperlink" Target="mailto:anunzio@sancorseguros.com" TargetMode="External"/><Relationship Id="rId120" Type="http://schemas.openxmlformats.org/officeDocument/2006/relationships/hyperlink" Target="mailto:mizzo@ext.sancorseguros.com" TargetMode="External"/><Relationship Id="rId358" Type="http://schemas.openxmlformats.org/officeDocument/2006/relationships/hyperlink" Target="mailto:cpavon@sancorseguros.com" TargetMode="External"/><Relationship Id="rId565" Type="http://schemas.openxmlformats.org/officeDocument/2006/relationships/hyperlink" Target="mailto:abinau@sancorseguros.com" TargetMode="External"/><Relationship Id="rId772" Type="http://schemas.openxmlformats.org/officeDocument/2006/relationships/hyperlink" Target="mailto:milmartinez@ext.sancorseguros.com" TargetMode="External"/><Relationship Id="rId1195" Type="http://schemas.openxmlformats.org/officeDocument/2006/relationships/hyperlink" Target="mailto:mizzo@ext.sancorseguros.com" TargetMode="External"/><Relationship Id="rId2039" Type="http://schemas.openxmlformats.org/officeDocument/2006/relationships/hyperlink" Target="mailto:fsantorum@sancorseguros.com" TargetMode="External"/><Relationship Id="rId2246" Type="http://schemas.openxmlformats.org/officeDocument/2006/relationships/hyperlink" Target="mailto:cpavon@sancorseguros.com" TargetMode="External"/><Relationship Id="rId2453" Type="http://schemas.openxmlformats.org/officeDocument/2006/relationships/hyperlink" Target="mailto:lbarboza@ext.sancorseguros.com" TargetMode="External"/><Relationship Id="rId2660" Type="http://schemas.openxmlformats.org/officeDocument/2006/relationships/hyperlink" Target="mailto:dtoledo@sancorseguros.com" TargetMode="External"/><Relationship Id="rId2898" Type="http://schemas.openxmlformats.org/officeDocument/2006/relationships/hyperlink" Target="mailto:cvaldez@ext.sancorseguros.com" TargetMode="External"/><Relationship Id="rId3504" Type="http://schemas.openxmlformats.org/officeDocument/2006/relationships/hyperlink" Target="mailto:mizzo@ext.sancorseguros.com" TargetMode="External"/><Relationship Id="rId218" Type="http://schemas.openxmlformats.org/officeDocument/2006/relationships/hyperlink" Target="mailto:mkester@sancorseguros.com" TargetMode="External"/><Relationship Id="rId425" Type="http://schemas.openxmlformats.org/officeDocument/2006/relationships/hyperlink" Target="mailto:milmartinez@ext.sancorseguros.com" TargetMode="External"/><Relationship Id="rId632" Type="http://schemas.openxmlformats.org/officeDocument/2006/relationships/hyperlink" Target="mailto:abinau@sancorseguros.com" TargetMode="External"/><Relationship Id="rId1055" Type="http://schemas.openxmlformats.org/officeDocument/2006/relationships/hyperlink" Target="mailto:camgonzalez@sancorseguros.com" TargetMode="External"/><Relationship Id="rId1262" Type="http://schemas.openxmlformats.org/officeDocument/2006/relationships/hyperlink" Target="mailto:dtoledo@sancorseguros.com" TargetMode="External"/><Relationship Id="rId2106" Type="http://schemas.openxmlformats.org/officeDocument/2006/relationships/hyperlink" Target="mailto:fsoloneski@sancorseguros.com" TargetMode="External"/><Relationship Id="rId2313" Type="http://schemas.openxmlformats.org/officeDocument/2006/relationships/hyperlink" Target="mailto:lbarboza@ext.sancorseguros.com" TargetMode="External"/><Relationship Id="rId2520" Type="http://schemas.openxmlformats.org/officeDocument/2006/relationships/hyperlink" Target="mailto:milmartinez@ext.sancorseguros.com" TargetMode="External"/><Relationship Id="rId2758" Type="http://schemas.openxmlformats.org/officeDocument/2006/relationships/hyperlink" Target="mailto:jsperoni@ext.sancorseguros.com" TargetMode="External"/><Relationship Id="rId2965" Type="http://schemas.openxmlformats.org/officeDocument/2006/relationships/hyperlink" Target="mailto:mizzo@ext.sancorseguros.com" TargetMode="External"/><Relationship Id="rId937" Type="http://schemas.openxmlformats.org/officeDocument/2006/relationships/hyperlink" Target="mailto:fsantorum@sancorseguros.com" TargetMode="External"/><Relationship Id="rId1122" Type="http://schemas.openxmlformats.org/officeDocument/2006/relationships/hyperlink" Target="mailto:cvaldez@ext.sancorseguros.com" TargetMode="External"/><Relationship Id="rId1567" Type="http://schemas.openxmlformats.org/officeDocument/2006/relationships/hyperlink" Target="mailto:pmalchiodi@sancorseguros.com" TargetMode="External"/><Relationship Id="rId1774" Type="http://schemas.openxmlformats.org/officeDocument/2006/relationships/hyperlink" Target="mailto:pmalchiodi@sancorseguros.com" TargetMode="External"/><Relationship Id="rId1981" Type="http://schemas.openxmlformats.org/officeDocument/2006/relationships/hyperlink" Target="mailto:lbarboza@ext.sancorseguros.com" TargetMode="External"/><Relationship Id="rId2618" Type="http://schemas.openxmlformats.org/officeDocument/2006/relationships/hyperlink" Target="mailto:mizzo@ext.sancorseguros.com" TargetMode="External"/><Relationship Id="rId2825" Type="http://schemas.openxmlformats.org/officeDocument/2006/relationships/hyperlink" Target="mailto:lbarboza@ext.sancorseguros.com" TargetMode="External"/><Relationship Id="rId66" Type="http://schemas.openxmlformats.org/officeDocument/2006/relationships/hyperlink" Target="mailto:mizzo@ext.sancorseguros.com" TargetMode="External"/><Relationship Id="rId1427" Type="http://schemas.openxmlformats.org/officeDocument/2006/relationships/hyperlink" Target="mailto:cpavon@sancorseguros.com" TargetMode="External"/><Relationship Id="rId1634" Type="http://schemas.openxmlformats.org/officeDocument/2006/relationships/hyperlink" Target="mailto:camgonzalez@sancorseguros.com" TargetMode="External"/><Relationship Id="rId1841" Type="http://schemas.openxmlformats.org/officeDocument/2006/relationships/hyperlink" Target="mailto:dtoledo@sancorseguros.com" TargetMode="External"/><Relationship Id="rId3087" Type="http://schemas.openxmlformats.org/officeDocument/2006/relationships/hyperlink" Target="mailto:dtoledo@sancorseguros.com" TargetMode="External"/><Relationship Id="rId3294" Type="http://schemas.openxmlformats.org/officeDocument/2006/relationships/hyperlink" Target="mailto:mizzo@ext.sancorseguros.com" TargetMode="External"/><Relationship Id="rId1939" Type="http://schemas.openxmlformats.org/officeDocument/2006/relationships/hyperlink" Target="mailto:rfernandez@sancorseguros.com" TargetMode="External"/><Relationship Id="rId3599" Type="http://schemas.openxmlformats.org/officeDocument/2006/relationships/hyperlink" Target="mailto:milmartinez@ext.sancorseguros.com" TargetMode="External"/><Relationship Id="rId1701" Type="http://schemas.openxmlformats.org/officeDocument/2006/relationships/hyperlink" Target="mailto:cpavon@sancorseguros.com" TargetMode="External"/><Relationship Id="rId3154" Type="http://schemas.openxmlformats.org/officeDocument/2006/relationships/hyperlink" Target="mailto:abinau@sancorseguros.com" TargetMode="External"/><Relationship Id="rId3361" Type="http://schemas.openxmlformats.org/officeDocument/2006/relationships/hyperlink" Target="mailto:cvaldez@ext.sancorseguros.com" TargetMode="External"/><Relationship Id="rId3459" Type="http://schemas.openxmlformats.org/officeDocument/2006/relationships/hyperlink" Target="mailto:gmgutierrez@ext.sancorseguros.com" TargetMode="External"/><Relationship Id="rId282" Type="http://schemas.openxmlformats.org/officeDocument/2006/relationships/hyperlink" Target="mailto:abinau@sancorseguros.com" TargetMode="External"/><Relationship Id="rId587" Type="http://schemas.openxmlformats.org/officeDocument/2006/relationships/hyperlink" Target="mailto:mizzo@ext.sancorseguros.com" TargetMode="External"/><Relationship Id="rId2170" Type="http://schemas.openxmlformats.org/officeDocument/2006/relationships/hyperlink" Target="mailto:rmomartinez@sancorseguros.com" TargetMode="External"/><Relationship Id="rId2268" Type="http://schemas.openxmlformats.org/officeDocument/2006/relationships/hyperlink" Target="mailto:gmgutierrez@ext.sancorseguros.com" TargetMode="External"/><Relationship Id="rId3014" Type="http://schemas.openxmlformats.org/officeDocument/2006/relationships/hyperlink" Target="mailto:cvaldez@ext.sancorseguros.com" TargetMode="External"/><Relationship Id="rId3221" Type="http://schemas.openxmlformats.org/officeDocument/2006/relationships/hyperlink" Target="mailto:mmaccarrone@ext.sancorseguros.com" TargetMode="External"/><Relationship Id="rId3319" Type="http://schemas.openxmlformats.org/officeDocument/2006/relationships/hyperlink" Target="mailto:mizzo@ext.sancorseguros.com" TargetMode="External"/><Relationship Id="rId8" Type="http://schemas.openxmlformats.org/officeDocument/2006/relationships/hyperlink" Target="mailto:miiglesias@ext.sancorseguros.com" TargetMode="External"/><Relationship Id="rId142" Type="http://schemas.openxmlformats.org/officeDocument/2006/relationships/hyperlink" Target="mailto:anunzio@sancorseguros.com" TargetMode="External"/><Relationship Id="rId447" Type="http://schemas.openxmlformats.org/officeDocument/2006/relationships/hyperlink" Target="mailto:abinau@sancorseguros.com" TargetMode="External"/><Relationship Id="rId794" Type="http://schemas.openxmlformats.org/officeDocument/2006/relationships/hyperlink" Target="mailto:mmaccarrone@ext.sancorseguros.com" TargetMode="External"/><Relationship Id="rId1077" Type="http://schemas.openxmlformats.org/officeDocument/2006/relationships/hyperlink" Target="mailto:milmartinez@ext.sancorseguros.com" TargetMode="External"/><Relationship Id="rId2030" Type="http://schemas.openxmlformats.org/officeDocument/2006/relationships/hyperlink" Target="mailto:bdemiguel@sancorseguros.com" TargetMode="External"/><Relationship Id="rId2128" Type="http://schemas.openxmlformats.org/officeDocument/2006/relationships/hyperlink" Target="mailto:mizzo@ext.sancorseguros.com" TargetMode="External"/><Relationship Id="rId2475" Type="http://schemas.openxmlformats.org/officeDocument/2006/relationships/hyperlink" Target="mailto:mascallia@sancorseguros.com" TargetMode="External"/><Relationship Id="rId2682" Type="http://schemas.openxmlformats.org/officeDocument/2006/relationships/hyperlink" Target="mailto:lbarboza@ext.sancorseguros.com" TargetMode="External"/><Relationship Id="rId2987" Type="http://schemas.openxmlformats.org/officeDocument/2006/relationships/hyperlink" Target="mailto:bdemiguel@sancorseguros.com" TargetMode="External"/><Relationship Id="rId3526" Type="http://schemas.openxmlformats.org/officeDocument/2006/relationships/hyperlink" Target="mailto:lbarboza@ext.sancorseguros.com" TargetMode="External"/><Relationship Id="rId654" Type="http://schemas.openxmlformats.org/officeDocument/2006/relationships/hyperlink" Target="mailto:cpavon@sancorseguros.com" TargetMode="External"/><Relationship Id="rId861" Type="http://schemas.openxmlformats.org/officeDocument/2006/relationships/hyperlink" Target="mailto:lbarboza@ext.sancorseguros.com" TargetMode="External"/><Relationship Id="rId959" Type="http://schemas.openxmlformats.org/officeDocument/2006/relationships/hyperlink" Target="mailto:cpavon@sancorseguros.com" TargetMode="External"/><Relationship Id="rId1284" Type="http://schemas.openxmlformats.org/officeDocument/2006/relationships/hyperlink" Target="mailto:bdemiguel@sancorseguros.com" TargetMode="External"/><Relationship Id="rId1491" Type="http://schemas.openxmlformats.org/officeDocument/2006/relationships/hyperlink" Target="mailto:mizzo@ext.sancorseguros.com" TargetMode="External"/><Relationship Id="rId1589" Type="http://schemas.openxmlformats.org/officeDocument/2006/relationships/hyperlink" Target="mailto:cvaldez@ext.sancorseguros.com" TargetMode="External"/><Relationship Id="rId2335" Type="http://schemas.openxmlformats.org/officeDocument/2006/relationships/hyperlink" Target="mailto:rmomartinez@sancorseguros.com" TargetMode="External"/><Relationship Id="rId2542" Type="http://schemas.openxmlformats.org/officeDocument/2006/relationships/hyperlink" Target="mailto:mizzo@ext.sancorseguros.com" TargetMode="External"/><Relationship Id="rId307" Type="http://schemas.openxmlformats.org/officeDocument/2006/relationships/hyperlink" Target="mailto:VGuisado@sancorseguros.com" TargetMode="External"/><Relationship Id="rId514" Type="http://schemas.openxmlformats.org/officeDocument/2006/relationships/hyperlink" Target="mailto:abinau@sancorseguros.com" TargetMode="External"/><Relationship Id="rId721" Type="http://schemas.openxmlformats.org/officeDocument/2006/relationships/hyperlink" Target="mailto:mizzo@ext.sancorseguros.com" TargetMode="External"/><Relationship Id="rId1144" Type="http://schemas.openxmlformats.org/officeDocument/2006/relationships/hyperlink" Target="mailto:bdemiguel@sancorseguros.com" TargetMode="External"/><Relationship Id="rId1351" Type="http://schemas.openxmlformats.org/officeDocument/2006/relationships/hyperlink" Target="mailto:mascallia@sancorseguros.com" TargetMode="External"/><Relationship Id="rId1449" Type="http://schemas.openxmlformats.org/officeDocument/2006/relationships/hyperlink" Target="mailto:anunzio@sancorseguros.com" TargetMode="External"/><Relationship Id="rId1796" Type="http://schemas.openxmlformats.org/officeDocument/2006/relationships/hyperlink" Target="mailto:mmaccarrone@ext.sancorseguros.com" TargetMode="External"/><Relationship Id="rId2402" Type="http://schemas.openxmlformats.org/officeDocument/2006/relationships/hyperlink" Target="mailto:jsandoval@sancorseguros.com" TargetMode="External"/><Relationship Id="rId2847" Type="http://schemas.openxmlformats.org/officeDocument/2006/relationships/hyperlink" Target="mailto:msasso@sancorseguros.com" TargetMode="External"/><Relationship Id="rId88" Type="http://schemas.openxmlformats.org/officeDocument/2006/relationships/hyperlink" Target="mailto:mizzo@ext.sancorseguros.com" TargetMode="External"/><Relationship Id="rId819" Type="http://schemas.openxmlformats.org/officeDocument/2006/relationships/hyperlink" Target="mailto:lbarboza@ext.sancorseguros.com" TargetMode="External"/><Relationship Id="rId1004" Type="http://schemas.openxmlformats.org/officeDocument/2006/relationships/hyperlink" Target="mailto:rmomartinez@sancorseguros.com" TargetMode="External"/><Relationship Id="rId1211" Type="http://schemas.openxmlformats.org/officeDocument/2006/relationships/hyperlink" Target="mailto:vloray@ext.sancorseguros.com" TargetMode="External"/><Relationship Id="rId1656" Type="http://schemas.openxmlformats.org/officeDocument/2006/relationships/hyperlink" Target="mailto:cvaldez@ext.sancorseguros.com" TargetMode="External"/><Relationship Id="rId1863" Type="http://schemas.openxmlformats.org/officeDocument/2006/relationships/hyperlink" Target="mailto:mevangelista@sancorseguros.com" TargetMode="External"/><Relationship Id="rId2707" Type="http://schemas.openxmlformats.org/officeDocument/2006/relationships/hyperlink" Target="mailto:lbarboza@ext.sancorseguros.com" TargetMode="External"/><Relationship Id="rId2914" Type="http://schemas.openxmlformats.org/officeDocument/2006/relationships/hyperlink" Target="mailto:mascallia@sancorseguros.com" TargetMode="External"/><Relationship Id="rId1309" Type="http://schemas.openxmlformats.org/officeDocument/2006/relationships/hyperlink" Target="mailto:mizzo@ext.sancorseguros.com" TargetMode="External"/><Relationship Id="rId1516" Type="http://schemas.openxmlformats.org/officeDocument/2006/relationships/hyperlink" Target="mailto:amrodriguez@sancorseguros.com" TargetMode="External"/><Relationship Id="rId1723" Type="http://schemas.openxmlformats.org/officeDocument/2006/relationships/hyperlink" Target="mailto:rmomartinez@sancorseguros.com" TargetMode="External"/><Relationship Id="rId1930" Type="http://schemas.openxmlformats.org/officeDocument/2006/relationships/hyperlink" Target="mailto:cvaldez@ext.sancorseguros.com" TargetMode="External"/><Relationship Id="rId3176" Type="http://schemas.openxmlformats.org/officeDocument/2006/relationships/hyperlink" Target="mailto:vloray@ext.sancorseguros.com" TargetMode="External"/><Relationship Id="rId3383" Type="http://schemas.openxmlformats.org/officeDocument/2006/relationships/hyperlink" Target="mailto:rmomartinez@sancorseguros.com" TargetMode="External"/><Relationship Id="rId3590" Type="http://schemas.openxmlformats.org/officeDocument/2006/relationships/hyperlink" Target="mailto:hrorpizikian@sancorseguros.com" TargetMode="External"/><Relationship Id="rId15" Type="http://schemas.openxmlformats.org/officeDocument/2006/relationships/hyperlink" Target="mailto:anunzio@sancorseguros.com" TargetMode="External"/><Relationship Id="rId2192" Type="http://schemas.openxmlformats.org/officeDocument/2006/relationships/hyperlink" Target="mailto:mizzo@ext.sancorseguros.com" TargetMode="External"/><Relationship Id="rId3036" Type="http://schemas.openxmlformats.org/officeDocument/2006/relationships/hyperlink" Target="mailto:mkester@sancorseguros.com" TargetMode="External"/><Relationship Id="rId3243" Type="http://schemas.openxmlformats.org/officeDocument/2006/relationships/hyperlink" Target="mailto:mizzo@ext.sancorseguros.com" TargetMode="External"/><Relationship Id="rId164" Type="http://schemas.openxmlformats.org/officeDocument/2006/relationships/hyperlink" Target="mailto:cpavon@sancorseguros.com" TargetMode="External"/><Relationship Id="rId371" Type="http://schemas.openxmlformats.org/officeDocument/2006/relationships/hyperlink" Target="mailto:fsantorum@sancorseguros.com" TargetMode="External"/><Relationship Id="rId2052" Type="http://schemas.openxmlformats.org/officeDocument/2006/relationships/hyperlink" Target="mailto:mascallia@sancorseguros.com" TargetMode="External"/><Relationship Id="rId2497" Type="http://schemas.openxmlformats.org/officeDocument/2006/relationships/hyperlink" Target="mailto:rmomartinez@sancorseguros.com" TargetMode="External"/><Relationship Id="rId3450" Type="http://schemas.openxmlformats.org/officeDocument/2006/relationships/hyperlink" Target="mailto:mizzo@ext.sancorseguros.com" TargetMode="External"/><Relationship Id="rId3548" Type="http://schemas.openxmlformats.org/officeDocument/2006/relationships/hyperlink" Target="mailto:mizzo@ext.sancorseguros.com" TargetMode="External"/><Relationship Id="rId469" Type="http://schemas.openxmlformats.org/officeDocument/2006/relationships/hyperlink" Target="mailto:gleguizamon@ext.sancorseguros.com" TargetMode="External"/><Relationship Id="rId676" Type="http://schemas.openxmlformats.org/officeDocument/2006/relationships/hyperlink" Target="mailto:fsoloneski@sancorseguros.com" TargetMode="External"/><Relationship Id="rId883" Type="http://schemas.openxmlformats.org/officeDocument/2006/relationships/hyperlink" Target="mailto:dtoledo@sancorseguros.com" TargetMode="External"/><Relationship Id="rId1099" Type="http://schemas.openxmlformats.org/officeDocument/2006/relationships/hyperlink" Target="mailto:cvaldez@ext.sancorseguros.com" TargetMode="External"/><Relationship Id="rId2357" Type="http://schemas.openxmlformats.org/officeDocument/2006/relationships/hyperlink" Target="mailto:dtoledo@sancorseguros.com" TargetMode="External"/><Relationship Id="rId2564" Type="http://schemas.openxmlformats.org/officeDocument/2006/relationships/hyperlink" Target="mailto:cvaldez@ext.sancorseguros.com" TargetMode="External"/><Relationship Id="rId3103" Type="http://schemas.openxmlformats.org/officeDocument/2006/relationships/hyperlink" Target="mailto:milmartinez@ext.sancorseguros.com" TargetMode="External"/><Relationship Id="rId3310" Type="http://schemas.openxmlformats.org/officeDocument/2006/relationships/hyperlink" Target="mailto:jboulle@sancorseguros.com" TargetMode="External"/><Relationship Id="rId3408" Type="http://schemas.openxmlformats.org/officeDocument/2006/relationships/hyperlink" Target="mailto:rmomartinez@sancorseguros.com" TargetMode="External"/><Relationship Id="rId3615" Type="http://schemas.openxmlformats.org/officeDocument/2006/relationships/hyperlink" Target="mailto:pmalchiodi@sancorseguros.com" TargetMode="External"/><Relationship Id="rId231" Type="http://schemas.openxmlformats.org/officeDocument/2006/relationships/hyperlink" Target="mailto:cdalonso@sancorseguros.com" TargetMode="External"/><Relationship Id="rId329" Type="http://schemas.openxmlformats.org/officeDocument/2006/relationships/hyperlink" Target="mailto:milmartinez@ext.sancorseguros.com" TargetMode="External"/><Relationship Id="rId536" Type="http://schemas.openxmlformats.org/officeDocument/2006/relationships/hyperlink" Target="mailto:mizzo@ext.sancorseguros.com" TargetMode="External"/><Relationship Id="rId1166" Type="http://schemas.openxmlformats.org/officeDocument/2006/relationships/hyperlink" Target="mailto:milmartinez@ext.sancorseguros.com" TargetMode="External"/><Relationship Id="rId1373" Type="http://schemas.openxmlformats.org/officeDocument/2006/relationships/hyperlink" Target="mailto:madecarvalho@sancorseguros.com" TargetMode="External"/><Relationship Id="rId2217" Type="http://schemas.openxmlformats.org/officeDocument/2006/relationships/hyperlink" Target="mailto:mmaccarrone@ext.sancorseguros.com" TargetMode="External"/><Relationship Id="rId2771" Type="http://schemas.openxmlformats.org/officeDocument/2006/relationships/hyperlink" Target="mailto:bdemiguel@sancorseguros.com" TargetMode="External"/><Relationship Id="rId2869" Type="http://schemas.openxmlformats.org/officeDocument/2006/relationships/hyperlink" Target="mailto:pgirardin@sancorseguros.com" TargetMode="External"/><Relationship Id="rId743" Type="http://schemas.openxmlformats.org/officeDocument/2006/relationships/hyperlink" Target="mailto:cpavon@sancorseguros.com" TargetMode="External"/><Relationship Id="rId950" Type="http://schemas.openxmlformats.org/officeDocument/2006/relationships/hyperlink" Target="mailto:rmomartinez@sancorseguros.com" TargetMode="External"/><Relationship Id="rId1026" Type="http://schemas.openxmlformats.org/officeDocument/2006/relationships/hyperlink" Target="mailto:mascallia@sancorseguros.com" TargetMode="External"/><Relationship Id="rId1580" Type="http://schemas.openxmlformats.org/officeDocument/2006/relationships/hyperlink" Target="mailto:mizzo@ext.sancorseguros.com" TargetMode="External"/><Relationship Id="rId1678" Type="http://schemas.openxmlformats.org/officeDocument/2006/relationships/hyperlink" Target="mailto:rperez@sancorseguros.com" TargetMode="External"/><Relationship Id="rId1885" Type="http://schemas.openxmlformats.org/officeDocument/2006/relationships/hyperlink" Target="mailto:cvaldez@ext.sancorseguros.com" TargetMode="External"/><Relationship Id="rId2424" Type="http://schemas.openxmlformats.org/officeDocument/2006/relationships/hyperlink" Target="mailto:mkester@sancorseguros.com" TargetMode="External"/><Relationship Id="rId2631" Type="http://schemas.openxmlformats.org/officeDocument/2006/relationships/hyperlink" Target="mailto:mascallia@sancorseguros.com" TargetMode="External"/><Relationship Id="rId2729" Type="http://schemas.openxmlformats.org/officeDocument/2006/relationships/hyperlink" Target="mailto:mkester@sancorseguros.com" TargetMode="External"/><Relationship Id="rId2936" Type="http://schemas.openxmlformats.org/officeDocument/2006/relationships/hyperlink" Target="mailto:cvaldez@ext.sancorseguros.com" TargetMode="External"/><Relationship Id="rId603" Type="http://schemas.openxmlformats.org/officeDocument/2006/relationships/hyperlink" Target="mailto:miiglesias@ext.sancorseguros.com" TargetMode="External"/><Relationship Id="rId810" Type="http://schemas.openxmlformats.org/officeDocument/2006/relationships/hyperlink" Target="mailto:mkester@sancorseguros.com" TargetMode="External"/><Relationship Id="rId908" Type="http://schemas.openxmlformats.org/officeDocument/2006/relationships/hyperlink" Target="mailto:gleguizamon@ext.sancorseguros.com" TargetMode="External"/><Relationship Id="rId1233" Type="http://schemas.openxmlformats.org/officeDocument/2006/relationships/hyperlink" Target="mailto:mizzo@ext.sancorseguros.com" TargetMode="External"/><Relationship Id="rId1440" Type="http://schemas.openxmlformats.org/officeDocument/2006/relationships/hyperlink" Target="mailto:cvaldez@ext.sancorseguros.com" TargetMode="External"/><Relationship Id="rId1538" Type="http://schemas.openxmlformats.org/officeDocument/2006/relationships/hyperlink" Target="mailto:bdemiguel@sancorseguros.com" TargetMode="External"/><Relationship Id="rId1300" Type="http://schemas.openxmlformats.org/officeDocument/2006/relationships/hyperlink" Target="mailto:dtoledo@sancorseguros.com" TargetMode="External"/><Relationship Id="rId1745" Type="http://schemas.openxmlformats.org/officeDocument/2006/relationships/hyperlink" Target="mailto:mkester@sancorseguros.com" TargetMode="External"/><Relationship Id="rId1952" Type="http://schemas.openxmlformats.org/officeDocument/2006/relationships/hyperlink" Target="mailto:mizzo@ext.sancorseguros.com" TargetMode="External"/><Relationship Id="rId3198" Type="http://schemas.openxmlformats.org/officeDocument/2006/relationships/hyperlink" Target="mailto:gleguizamon@ext.sancorseguros.com" TargetMode="External"/><Relationship Id="rId37" Type="http://schemas.openxmlformats.org/officeDocument/2006/relationships/hyperlink" Target="mailto:mkester@sancorseguros.com" TargetMode="External"/><Relationship Id="rId1605" Type="http://schemas.openxmlformats.org/officeDocument/2006/relationships/hyperlink" Target="mailto:mascallia@sancorseguros.com" TargetMode="External"/><Relationship Id="rId1812" Type="http://schemas.openxmlformats.org/officeDocument/2006/relationships/hyperlink" Target="mailto:madecarvalho@sancorseguros.com" TargetMode="External"/><Relationship Id="rId3058" Type="http://schemas.openxmlformats.org/officeDocument/2006/relationships/hyperlink" Target="mailto:rmomartinez@sancorseguros.com" TargetMode="External"/><Relationship Id="rId3265" Type="http://schemas.openxmlformats.org/officeDocument/2006/relationships/hyperlink" Target="mailto:camgonzalez@sancorseguros.com" TargetMode="External"/><Relationship Id="rId3472" Type="http://schemas.openxmlformats.org/officeDocument/2006/relationships/hyperlink" Target="mailto:bdemiguel@sancorseguros.com" TargetMode="External"/><Relationship Id="rId186" Type="http://schemas.openxmlformats.org/officeDocument/2006/relationships/hyperlink" Target="mailto:mkester@sancorseguros.com" TargetMode="External"/><Relationship Id="rId393" Type="http://schemas.openxmlformats.org/officeDocument/2006/relationships/hyperlink" Target="mailto:jsandoval@sancorseguros.com" TargetMode="External"/><Relationship Id="rId2074" Type="http://schemas.openxmlformats.org/officeDocument/2006/relationships/hyperlink" Target="mailto:fsoloneski@sancorseguros.com" TargetMode="External"/><Relationship Id="rId2281" Type="http://schemas.openxmlformats.org/officeDocument/2006/relationships/hyperlink" Target="mailto:anunzio@sancorseguros.com" TargetMode="External"/><Relationship Id="rId3125" Type="http://schemas.openxmlformats.org/officeDocument/2006/relationships/hyperlink" Target="mailto:amrodriguez@sancorseguros.com" TargetMode="External"/><Relationship Id="rId3332" Type="http://schemas.openxmlformats.org/officeDocument/2006/relationships/hyperlink" Target="mailto:rfernandez@sancorseguros.com" TargetMode="External"/><Relationship Id="rId253" Type="http://schemas.openxmlformats.org/officeDocument/2006/relationships/hyperlink" Target="mailto:rmomartinez@sancorseguros.com" TargetMode="External"/><Relationship Id="rId460" Type="http://schemas.openxmlformats.org/officeDocument/2006/relationships/hyperlink" Target="mailto:abinau@sancorseguros.com" TargetMode="External"/><Relationship Id="rId698" Type="http://schemas.openxmlformats.org/officeDocument/2006/relationships/hyperlink" Target="mailto:milmartinez@ext.sancorseguros.com" TargetMode="External"/><Relationship Id="rId1090" Type="http://schemas.openxmlformats.org/officeDocument/2006/relationships/hyperlink" Target="mailto:dtoledo@sancorseguros.com" TargetMode="External"/><Relationship Id="rId2141" Type="http://schemas.openxmlformats.org/officeDocument/2006/relationships/hyperlink" Target="mailto:fsantorum@sancorseguros.com" TargetMode="External"/><Relationship Id="rId2379" Type="http://schemas.openxmlformats.org/officeDocument/2006/relationships/hyperlink" Target="mailto:gpachao@sancorseguros.com" TargetMode="External"/><Relationship Id="rId2586" Type="http://schemas.openxmlformats.org/officeDocument/2006/relationships/hyperlink" Target="mailto:gmgutierrez@ext.sancorseguros.com" TargetMode="External"/><Relationship Id="rId2793" Type="http://schemas.openxmlformats.org/officeDocument/2006/relationships/hyperlink" Target="mailto:mizzo@ext.sancorseguros.com" TargetMode="External"/><Relationship Id="rId3637" Type="http://schemas.openxmlformats.org/officeDocument/2006/relationships/hyperlink" Target="mailto:mizzo@ext.sancorseguros.com" TargetMode="External"/><Relationship Id="rId113" Type="http://schemas.openxmlformats.org/officeDocument/2006/relationships/hyperlink" Target="mailto:cpavon@sancorseguros.com" TargetMode="External"/><Relationship Id="rId320" Type="http://schemas.openxmlformats.org/officeDocument/2006/relationships/hyperlink" Target="mailto:cvaldez@ext.sancorseguros.com" TargetMode="External"/><Relationship Id="rId558" Type="http://schemas.openxmlformats.org/officeDocument/2006/relationships/hyperlink" Target="mailto:mizzo@ext.sancorseguros.com" TargetMode="External"/><Relationship Id="rId765" Type="http://schemas.openxmlformats.org/officeDocument/2006/relationships/hyperlink" Target="mailto:mkester@sancorseguros.com" TargetMode="External"/><Relationship Id="rId972" Type="http://schemas.openxmlformats.org/officeDocument/2006/relationships/hyperlink" Target="mailto:gmgutierrez@ext.sancorseguros.com" TargetMode="External"/><Relationship Id="rId1188" Type="http://schemas.openxmlformats.org/officeDocument/2006/relationships/hyperlink" Target="mailto:pgirardin@sancorseguros.com" TargetMode="External"/><Relationship Id="rId1395" Type="http://schemas.openxmlformats.org/officeDocument/2006/relationships/hyperlink" Target="mailto:mmaccarrone@ext.sancorseguros.com" TargetMode="External"/><Relationship Id="rId2001" Type="http://schemas.openxmlformats.org/officeDocument/2006/relationships/hyperlink" Target="mailto:gleguizamon@ext.sancorseguros.com" TargetMode="External"/><Relationship Id="rId2239" Type="http://schemas.openxmlformats.org/officeDocument/2006/relationships/hyperlink" Target="mailto:rmomartinez@sancorseguros.com" TargetMode="External"/><Relationship Id="rId2446" Type="http://schemas.openxmlformats.org/officeDocument/2006/relationships/hyperlink" Target="mailto:cpavon@sancorseguros.com" TargetMode="External"/><Relationship Id="rId2653" Type="http://schemas.openxmlformats.org/officeDocument/2006/relationships/hyperlink" Target="mailto:rmomartinez@sancorseguros.com" TargetMode="External"/><Relationship Id="rId2860" Type="http://schemas.openxmlformats.org/officeDocument/2006/relationships/hyperlink" Target="mailto:jboulle@sancorseguros.com" TargetMode="External"/><Relationship Id="rId418" Type="http://schemas.openxmlformats.org/officeDocument/2006/relationships/hyperlink" Target="mailto:fsantorum@sancorseguros.com" TargetMode="External"/><Relationship Id="rId625" Type="http://schemas.openxmlformats.org/officeDocument/2006/relationships/hyperlink" Target="mailto:gleguizamon@ext.sancorseguros.com" TargetMode="External"/><Relationship Id="rId832" Type="http://schemas.openxmlformats.org/officeDocument/2006/relationships/hyperlink" Target="mailto:mizzo@ext.sancorseguros.com" TargetMode="External"/><Relationship Id="rId1048" Type="http://schemas.openxmlformats.org/officeDocument/2006/relationships/hyperlink" Target="mailto:camgonzalez@sancorseguros.com" TargetMode="External"/><Relationship Id="rId1255" Type="http://schemas.openxmlformats.org/officeDocument/2006/relationships/hyperlink" Target="mailto:rmomartinez@sancorseguros.com" TargetMode="External"/><Relationship Id="rId1462" Type="http://schemas.openxmlformats.org/officeDocument/2006/relationships/hyperlink" Target="mailto:gmgutierrez@ext.sancorseguros.com" TargetMode="External"/><Relationship Id="rId2306" Type="http://schemas.openxmlformats.org/officeDocument/2006/relationships/hyperlink" Target="mailto:mmaccarrone@ext.sancorseguros.com" TargetMode="External"/><Relationship Id="rId2513" Type="http://schemas.openxmlformats.org/officeDocument/2006/relationships/hyperlink" Target="mailto:bdemiguel@sancorseguros.com" TargetMode="External"/><Relationship Id="rId2958" Type="http://schemas.openxmlformats.org/officeDocument/2006/relationships/hyperlink" Target="mailto:pasalcedo@sancorseguros.com" TargetMode="External"/><Relationship Id="rId1115" Type="http://schemas.openxmlformats.org/officeDocument/2006/relationships/hyperlink" Target="mailto:lbarboza@ext.sancorseguros.com" TargetMode="External"/><Relationship Id="rId1322" Type="http://schemas.openxmlformats.org/officeDocument/2006/relationships/hyperlink" Target="mailto:gmgutierrez@ext.sancorseguros.com" TargetMode="External"/><Relationship Id="rId1767" Type="http://schemas.openxmlformats.org/officeDocument/2006/relationships/hyperlink" Target="mailto:gmgutierrez@ext.sancorseguros.com" TargetMode="External"/><Relationship Id="rId1974" Type="http://schemas.openxmlformats.org/officeDocument/2006/relationships/hyperlink" Target="mailto:madecarvalho@sancorseguros.com" TargetMode="External"/><Relationship Id="rId2720" Type="http://schemas.openxmlformats.org/officeDocument/2006/relationships/hyperlink" Target="mailto:milmartinez@ext.sancorseguros.com" TargetMode="External"/><Relationship Id="rId2818" Type="http://schemas.openxmlformats.org/officeDocument/2006/relationships/hyperlink" Target="mailto:camgonzalez@sancorseguros.com" TargetMode="External"/><Relationship Id="rId59" Type="http://schemas.openxmlformats.org/officeDocument/2006/relationships/hyperlink" Target="mailto:cpavon@sancorseguros.com" TargetMode="External"/><Relationship Id="rId1627" Type="http://schemas.openxmlformats.org/officeDocument/2006/relationships/hyperlink" Target="mailto:gmgutierrez@ext.sancorseguros.com" TargetMode="External"/><Relationship Id="rId1834" Type="http://schemas.openxmlformats.org/officeDocument/2006/relationships/hyperlink" Target="mailto:cvaldez@ext.sancorseguros.com" TargetMode="External"/><Relationship Id="rId3287" Type="http://schemas.openxmlformats.org/officeDocument/2006/relationships/hyperlink" Target="mailto:vcingolani@sancorseguros.com" TargetMode="External"/><Relationship Id="rId2096" Type="http://schemas.openxmlformats.org/officeDocument/2006/relationships/hyperlink" Target="mailto:jsperoni@ext.sancorseguros.com" TargetMode="External"/><Relationship Id="rId3494" Type="http://schemas.openxmlformats.org/officeDocument/2006/relationships/hyperlink" Target="mailto:bdemiguel@sancorseguros.com" TargetMode="External"/><Relationship Id="rId1901" Type="http://schemas.openxmlformats.org/officeDocument/2006/relationships/hyperlink" Target="mailto:mkester@sancorseguros.com" TargetMode="External"/><Relationship Id="rId3147" Type="http://schemas.openxmlformats.org/officeDocument/2006/relationships/hyperlink" Target="mailto:rmomartinez@sancorseguros.com" TargetMode="External"/><Relationship Id="rId3354" Type="http://schemas.openxmlformats.org/officeDocument/2006/relationships/hyperlink" Target="mailto:madecarvalho@sancorseguros.com" TargetMode="External"/><Relationship Id="rId3561" Type="http://schemas.openxmlformats.org/officeDocument/2006/relationships/hyperlink" Target="mailto:miiglesias@ext.sancorseguros.com" TargetMode="External"/><Relationship Id="rId275" Type="http://schemas.openxmlformats.org/officeDocument/2006/relationships/hyperlink" Target="mailto:amrodriguez@sancorseguros.com" TargetMode="External"/><Relationship Id="rId482" Type="http://schemas.openxmlformats.org/officeDocument/2006/relationships/hyperlink" Target="mailto:mmaccarrone@ext.sancorseguros.com" TargetMode="External"/><Relationship Id="rId2163" Type="http://schemas.openxmlformats.org/officeDocument/2006/relationships/hyperlink" Target="mailto:pasalcedo@sancorseguros.com" TargetMode="External"/><Relationship Id="rId2370" Type="http://schemas.openxmlformats.org/officeDocument/2006/relationships/hyperlink" Target="mailto:fsantorum@sancorseguros.com" TargetMode="External"/><Relationship Id="rId3007" Type="http://schemas.openxmlformats.org/officeDocument/2006/relationships/hyperlink" Target="mailto:mizzo@ext.sancorseguros.com" TargetMode="External"/><Relationship Id="rId3214" Type="http://schemas.openxmlformats.org/officeDocument/2006/relationships/hyperlink" Target="mailto:fsantorum@sancorseguros.com" TargetMode="External"/><Relationship Id="rId3421" Type="http://schemas.openxmlformats.org/officeDocument/2006/relationships/hyperlink" Target="mailto:pgirardin@sancorseguros.com" TargetMode="External"/><Relationship Id="rId135" Type="http://schemas.openxmlformats.org/officeDocument/2006/relationships/hyperlink" Target="mailto:cpavon@sancorseguros.com" TargetMode="External"/><Relationship Id="rId342" Type="http://schemas.openxmlformats.org/officeDocument/2006/relationships/hyperlink" Target="mailto:abinau@sancorseguros.com" TargetMode="External"/><Relationship Id="rId787" Type="http://schemas.openxmlformats.org/officeDocument/2006/relationships/hyperlink" Target="mailto:mizzo@ext.sancorseguros.com" TargetMode="External"/><Relationship Id="rId994" Type="http://schemas.openxmlformats.org/officeDocument/2006/relationships/hyperlink" Target="mailto:mascallia@sancorseguros.com" TargetMode="External"/><Relationship Id="rId2023" Type="http://schemas.openxmlformats.org/officeDocument/2006/relationships/hyperlink" Target="mailto:mmaccarrone@ext.sancorseguros.com" TargetMode="External"/><Relationship Id="rId2230" Type="http://schemas.openxmlformats.org/officeDocument/2006/relationships/hyperlink" Target="mailto:mmaccarrone@ext.sancorseguros.com" TargetMode="External"/><Relationship Id="rId2468" Type="http://schemas.openxmlformats.org/officeDocument/2006/relationships/hyperlink" Target="mailto:amrodriguez@sancorseguros.com" TargetMode="External"/><Relationship Id="rId2675" Type="http://schemas.openxmlformats.org/officeDocument/2006/relationships/hyperlink" Target="mailto:mkester@sancorseguros.com" TargetMode="External"/><Relationship Id="rId2882" Type="http://schemas.openxmlformats.org/officeDocument/2006/relationships/hyperlink" Target="mailto:lbarboza@ext.sancorseguros.com" TargetMode="External"/><Relationship Id="rId3519" Type="http://schemas.openxmlformats.org/officeDocument/2006/relationships/hyperlink" Target="mailto:dbenitez@sancorseguros.com" TargetMode="External"/><Relationship Id="rId202" Type="http://schemas.openxmlformats.org/officeDocument/2006/relationships/hyperlink" Target="mailto:abinau@sancorseguros.com" TargetMode="External"/><Relationship Id="rId647" Type="http://schemas.openxmlformats.org/officeDocument/2006/relationships/hyperlink" Target="mailto:abinau@sancorseguros.com" TargetMode="External"/><Relationship Id="rId854" Type="http://schemas.openxmlformats.org/officeDocument/2006/relationships/hyperlink" Target="mailto:gleguizamon@ext.sancorseguros.com" TargetMode="External"/><Relationship Id="rId1277" Type="http://schemas.openxmlformats.org/officeDocument/2006/relationships/hyperlink" Target="mailto:cvaldez@ext.sancorseguros.com" TargetMode="External"/><Relationship Id="rId1484" Type="http://schemas.openxmlformats.org/officeDocument/2006/relationships/hyperlink" Target="mailto:mkester@sancorseguros.com" TargetMode="External"/><Relationship Id="rId1691" Type="http://schemas.openxmlformats.org/officeDocument/2006/relationships/hyperlink" Target="mailto:gmgutierrez@ext.sancorseguros.com" TargetMode="External"/><Relationship Id="rId2328" Type="http://schemas.openxmlformats.org/officeDocument/2006/relationships/hyperlink" Target="mailto:camgonzalez@sancorseguros.com" TargetMode="External"/><Relationship Id="rId2535" Type="http://schemas.openxmlformats.org/officeDocument/2006/relationships/hyperlink" Target="mailto:mascallia@sancorseguros.com" TargetMode="External"/><Relationship Id="rId2742" Type="http://schemas.openxmlformats.org/officeDocument/2006/relationships/hyperlink" Target="mailto:rmomartinez@sancorseguros.com" TargetMode="External"/><Relationship Id="rId507" Type="http://schemas.openxmlformats.org/officeDocument/2006/relationships/hyperlink" Target="mailto:abinau@sancorseguros.com" TargetMode="External"/><Relationship Id="rId714" Type="http://schemas.openxmlformats.org/officeDocument/2006/relationships/hyperlink" Target="mailto:cpavon@sancorseguros.com" TargetMode="External"/><Relationship Id="rId921" Type="http://schemas.openxmlformats.org/officeDocument/2006/relationships/hyperlink" Target="mailto:fsantorum@sancorseguros.com" TargetMode="External"/><Relationship Id="rId1137" Type="http://schemas.openxmlformats.org/officeDocument/2006/relationships/hyperlink" Target="mailto:gmgutierrez@ext.sancorseguros.com" TargetMode="External"/><Relationship Id="rId1344" Type="http://schemas.openxmlformats.org/officeDocument/2006/relationships/hyperlink" Target="mailto:dtoledo@sancorseguros.com" TargetMode="External"/><Relationship Id="rId1551" Type="http://schemas.openxmlformats.org/officeDocument/2006/relationships/hyperlink" Target="mailto:cvaldez@ext.sancorseguros.com" TargetMode="External"/><Relationship Id="rId1789" Type="http://schemas.openxmlformats.org/officeDocument/2006/relationships/hyperlink" Target="mailto:mizzo@ext.sancorseguros.com" TargetMode="External"/><Relationship Id="rId1996" Type="http://schemas.openxmlformats.org/officeDocument/2006/relationships/hyperlink" Target="mailto:cpavon@sancorseguros.com" TargetMode="External"/><Relationship Id="rId2602" Type="http://schemas.openxmlformats.org/officeDocument/2006/relationships/hyperlink" Target="mailto:mizzo@ext.sancorseguros.com" TargetMode="External"/><Relationship Id="rId50" Type="http://schemas.openxmlformats.org/officeDocument/2006/relationships/hyperlink" Target="mailto:rmomartinez@sancorseguros.com" TargetMode="External"/><Relationship Id="rId1204" Type="http://schemas.openxmlformats.org/officeDocument/2006/relationships/hyperlink" Target="mailto:mascallia@sancorseguros.com" TargetMode="External"/><Relationship Id="rId1411" Type="http://schemas.openxmlformats.org/officeDocument/2006/relationships/hyperlink" Target="mailto:bdemiguel@sancorseguros.com" TargetMode="External"/><Relationship Id="rId1649" Type="http://schemas.openxmlformats.org/officeDocument/2006/relationships/hyperlink" Target="mailto:gmgutierrez@ext.sancorseguros.com" TargetMode="External"/><Relationship Id="rId1856" Type="http://schemas.openxmlformats.org/officeDocument/2006/relationships/hyperlink" Target="mailto:mmaccarrone@ext.sancorseguros.com" TargetMode="External"/><Relationship Id="rId2907" Type="http://schemas.openxmlformats.org/officeDocument/2006/relationships/hyperlink" Target="mailto:gmgutierrez@ext.sancorseguros.com" TargetMode="External"/><Relationship Id="rId3071" Type="http://schemas.openxmlformats.org/officeDocument/2006/relationships/hyperlink" Target="mailto:mizzo@ext.sancorseguros.com" TargetMode="External"/><Relationship Id="rId1509" Type="http://schemas.openxmlformats.org/officeDocument/2006/relationships/hyperlink" Target="mailto:rmomartinez@sancorseguros.com" TargetMode="External"/><Relationship Id="rId1716" Type="http://schemas.openxmlformats.org/officeDocument/2006/relationships/hyperlink" Target="mailto:rmomartinez@sancorseguros.com" TargetMode="External"/><Relationship Id="rId1923" Type="http://schemas.openxmlformats.org/officeDocument/2006/relationships/hyperlink" Target="mailto:vloray@ext.sancorseguros.com" TargetMode="External"/><Relationship Id="rId3169" Type="http://schemas.openxmlformats.org/officeDocument/2006/relationships/hyperlink" Target="mailto:abinau@sancorseguros.com" TargetMode="External"/><Relationship Id="rId3376" Type="http://schemas.openxmlformats.org/officeDocument/2006/relationships/hyperlink" Target="mailto:mizzo@ext.sancorseguros.com" TargetMode="External"/><Relationship Id="rId3583" Type="http://schemas.openxmlformats.org/officeDocument/2006/relationships/hyperlink" Target="mailto:mmaccarrone@ext.sancorseguros.com" TargetMode="External"/><Relationship Id="rId297" Type="http://schemas.openxmlformats.org/officeDocument/2006/relationships/hyperlink" Target="mailto:rmomartinez@sancorseguros.com" TargetMode="External"/><Relationship Id="rId2185" Type="http://schemas.openxmlformats.org/officeDocument/2006/relationships/hyperlink" Target="mailto:gmgutierrez@ext.sancorseguros.com" TargetMode="External"/><Relationship Id="rId2392" Type="http://schemas.openxmlformats.org/officeDocument/2006/relationships/hyperlink" Target="mailto:mizzo@ext.sancorseguros.com" TargetMode="External"/><Relationship Id="rId3029" Type="http://schemas.openxmlformats.org/officeDocument/2006/relationships/hyperlink" Target="mailto:rfernandez@sancorseguros.com" TargetMode="External"/><Relationship Id="rId3236" Type="http://schemas.openxmlformats.org/officeDocument/2006/relationships/hyperlink" Target="mailto:msasso@sancorseguros.com" TargetMode="External"/><Relationship Id="rId157" Type="http://schemas.openxmlformats.org/officeDocument/2006/relationships/hyperlink" Target="mailto:abinau@sancorseguros.com" TargetMode="External"/><Relationship Id="rId364" Type="http://schemas.openxmlformats.org/officeDocument/2006/relationships/hyperlink" Target="mailto:gleguizamon@ext.sancorseguros.com" TargetMode="External"/><Relationship Id="rId2045" Type="http://schemas.openxmlformats.org/officeDocument/2006/relationships/hyperlink" Target="mailto:anunzio@sancorseguros.com" TargetMode="External"/><Relationship Id="rId2697" Type="http://schemas.openxmlformats.org/officeDocument/2006/relationships/hyperlink" Target="mailto:pmalchiodi@sancorseguros.com" TargetMode="External"/><Relationship Id="rId3443" Type="http://schemas.openxmlformats.org/officeDocument/2006/relationships/hyperlink" Target="mailto:cpavon@sancorseguros.com" TargetMode="External"/><Relationship Id="rId571" Type="http://schemas.openxmlformats.org/officeDocument/2006/relationships/hyperlink" Target="mailto:mizzo@ext.sancorseguros.com" TargetMode="External"/><Relationship Id="rId669" Type="http://schemas.openxmlformats.org/officeDocument/2006/relationships/hyperlink" Target="mailto:gpachao@sancorseguros.com" TargetMode="External"/><Relationship Id="rId876" Type="http://schemas.openxmlformats.org/officeDocument/2006/relationships/hyperlink" Target="mailto:mizzo@ext.sancorseguros.com" TargetMode="External"/><Relationship Id="rId1299" Type="http://schemas.openxmlformats.org/officeDocument/2006/relationships/hyperlink" Target="mailto:bdemiguel@sancorseguros.com" TargetMode="External"/><Relationship Id="rId2252" Type="http://schemas.openxmlformats.org/officeDocument/2006/relationships/hyperlink" Target="mailto:cpavon@sancorseguros.com" TargetMode="External"/><Relationship Id="rId2557" Type="http://schemas.openxmlformats.org/officeDocument/2006/relationships/hyperlink" Target="mailto:mascallia@sancorseguros.com" TargetMode="External"/><Relationship Id="rId3303" Type="http://schemas.openxmlformats.org/officeDocument/2006/relationships/hyperlink" Target="mailto:pmalchiodi@sancorseguros.com" TargetMode="External"/><Relationship Id="rId3510" Type="http://schemas.openxmlformats.org/officeDocument/2006/relationships/hyperlink" Target="mailto:madecarvalho@sancorseguros.com" TargetMode="External"/><Relationship Id="rId3608" Type="http://schemas.openxmlformats.org/officeDocument/2006/relationships/hyperlink" Target="mailto:milmartinez@ext.sancorseguros.com" TargetMode="External"/><Relationship Id="rId224" Type="http://schemas.openxmlformats.org/officeDocument/2006/relationships/hyperlink" Target="mailto:cpavon@sancorseguros.com" TargetMode="External"/><Relationship Id="rId431" Type="http://schemas.openxmlformats.org/officeDocument/2006/relationships/hyperlink" Target="mailto:mizzo@ext.sancorseguros.com" TargetMode="External"/><Relationship Id="rId529" Type="http://schemas.openxmlformats.org/officeDocument/2006/relationships/hyperlink" Target="mailto:milmartinez@ext.sancorseguros.com" TargetMode="External"/><Relationship Id="rId736" Type="http://schemas.openxmlformats.org/officeDocument/2006/relationships/hyperlink" Target="mailto:mizzo@ext.sancorseguros.com" TargetMode="External"/><Relationship Id="rId1061" Type="http://schemas.openxmlformats.org/officeDocument/2006/relationships/hyperlink" Target="mailto:hrorpizikian@sancorseguros.com" TargetMode="External"/><Relationship Id="rId1159" Type="http://schemas.openxmlformats.org/officeDocument/2006/relationships/hyperlink" Target="mailto:bdemiguel@sancorseguros.com" TargetMode="External"/><Relationship Id="rId1366" Type="http://schemas.openxmlformats.org/officeDocument/2006/relationships/hyperlink" Target="mailto:bdemiguel@sancorseguros.com" TargetMode="External"/><Relationship Id="rId2112" Type="http://schemas.openxmlformats.org/officeDocument/2006/relationships/hyperlink" Target="mailto:milmartinez@ext.sancorseguros.com" TargetMode="External"/><Relationship Id="rId2417" Type="http://schemas.openxmlformats.org/officeDocument/2006/relationships/hyperlink" Target="mailto:amrodriguez@sancorseguros.com" TargetMode="External"/><Relationship Id="rId2764" Type="http://schemas.openxmlformats.org/officeDocument/2006/relationships/hyperlink" Target="mailto:milmartinez@ext.sancorseguros.com" TargetMode="External"/><Relationship Id="rId2971" Type="http://schemas.openxmlformats.org/officeDocument/2006/relationships/hyperlink" Target="mailto:mascallia@sancorseguros.com" TargetMode="External"/><Relationship Id="rId943" Type="http://schemas.openxmlformats.org/officeDocument/2006/relationships/hyperlink" Target="mailto:cpavon@sancorseguros.com" TargetMode="External"/><Relationship Id="rId1019" Type="http://schemas.openxmlformats.org/officeDocument/2006/relationships/hyperlink" Target="mailto:gpachao@sancorseguros.com" TargetMode="External"/><Relationship Id="rId1573" Type="http://schemas.openxmlformats.org/officeDocument/2006/relationships/hyperlink" Target="mailto:mizzo@ext.sancorseguros.com" TargetMode="External"/><Relationship Id="rId1780" Type="http://schemas.openxmlformats.org/officeDocument/2006/relationships/hyperlink" Target="mailto:abinau@sancorseguros.com" TargetMode="External"/><Relationship Id="rId1878" Type="http://schemas.openxmlformats.org/officeDocument/2006/relationships/hyperlink" Target="mailto:rmomartinez@sancorseguros.com" TargetMode="External"/><Relationship Id="rId2624" Type="http://schemas.openxmlformats.org/officeDocument/2006/relationships/hyperlink" Target="mailto:ccastelao@ext.sancorseguros.com" TargetMode="External"/><Relationship Id="rId2831" Type="http://schemas.openxmlformats.org/officeDocument/2006/relationships/hyperlink" Target="mailto:mmaccarrone@ext.sancorseguros.com" TargetMode="External"/><Relationship Id="rId2929" Type="http://schemas.openxmlformats.org/officeDocument/2006/relationships/hyperlink" Target="mailto:mizzo@ext.sancorseguros.com" TargetMode="External"/><Relationship Id="rId72" Type="http://schemas.openxmlformats.org/officeDocument/2006/relationships/hyperlink" Target="mailto:anunzio@sancorseguros.com" TargetMode="External"/><Relationship Id="rId803" Type="http://schemas.openxmlformats.org/officeDocument/2006/relationships/hyperlink" Target="mailto:milmartinez@ext.sancorseguros.com" TargetMode="External"/><Relationship Id="rId1226" Type="http://schemas.openxmlformats.org/officeDocument/2006/relationships/hyperlink" Target="mailto:dtoledo@sancorseguros.com" TargetMode="External"/><Relationship Id="rId1433" Type="http://schemas.openxmlformats.org/officeDocument/2006/relationships/hyperlink" Target="mailto:mizzo@ext.sancorseguros.com" TargetMode="External"/><Relationship Id="rId1640" Type="http://schemas.openxmlformats.org/officeDocument/2006/relationships/hyperlink" Target="mailto:gmgutierrez@ext.sancorseguros.com" TargetMode="External"/><Relationship Id="rId1738" Type="http://schemas.openxmlformats.org/officeDocument/2006/relationships/hyperlink" Target="mailto:mascallia@sancorseguros.com" TargetMode="External"/><Relationship Id="rId3093" Type="http://schemas.openxmlformats.org/officeDocument/2006/relationships/hyperlink" Target="mailto:mascallia@sancorseguros.com" TargetMode="External"/><Relationship Id="rId1500" Type="http://schemas.openxmlformats.org/officeDocument/2006/relationships/hyperlink" Target="mailto:milmartinez@ext.sancorseguros.com" TargetMode="External"/><Relationship Id="rId1945" Type="http://schemas.openxmlformats.org/officeDocument/2006/relationships/hyperlink" Target="mailto:abinau@sancorseguros.com" TargetMode="External"/><Relationship Id="rId3160" Type="http://schemas.openxmlformats.org/officeDocument/2006/relationships/hyperlink" Target="mailto:abinau@sancorseguros.com" TargetMode="External"/><Relationship Id="rId3398" Type="http://schemas.openxmlformats.org/officeDocument/2006/relationships/hyperlink" Target="mailto:mkester@sancorseguros.com" TargetMode="External"/><Relationship Id="rId1805" Type="http://schemas.openxmlformats.org/officeDocument/2006/relationships/hyperlink" Target="mailto:amrodriguez@sancorseguros.com" TargetMode="External"/><Relationship Id="rId3020" Type="http://schemas.openxmlformats.org/officeDocument/2006/relationships/hyperlink" Target="mailto:milmartinez@ext.sancorseguros.com" TargetMode="External"/><Relationship Id="rId3258" Type="http://schemas.openxmlformats.org/officeDocument/2006/relationships/hyperlink" Target="mailto:gpachao@sancorseguros.com" TargetMode="External"/><Relationship Id="rId3465" Type="http://schemas.openxmlformats.org/officeDocument/2006/relationships/hyperlink" Target="mailto:pmalchiodi@sancorseguros.com" TargetMode="External"/><Relationship Id="rId179" Type="http://schemas.openxmlformats.org/officeDocument/2006/relationships/hyperlink" Target="mailto:mkester@sancorseguros.com" TargetMode="External"/><Relationship Id="rId386" Type="http://schemas.openxmlformats.org/officeDocument/2006/relationships/hyperlink" Target="mailto:cvaldez@ext.sancorseguros.com" TargetMode="External"/><Relationship Id="rId593" Type="http://schemas.openxmlformats.org/officeDocument/2006/relationships/hyperlink" Target="mailto:gleguizamon@ext.sancorseguros.com" TargetMode="External"/><Relationship Id="rId2067" Type="http://schemas.openxmlformats.org/officeDocument/2006/relationships/hyperlink" Target="mailto:mascallia@sancorseguros.com" TargetMode="External"/><Relationship Id="rId2274" Type="http://schemas.openxmlformats.org/officeDocument/2006/relationships/hyperlink" Target="mailto:gleguizamon@ext.sancorseguros.com" TargetMode="External"/><Relationship Id="rId2481" Type="http://schemas.openxmlformats.org/officeDocument/2006/relationships/hyperlink" Target="mailto:mmaccarrone@ext.sancorseguros.com" TargetMode="External"/><Relationship Id="rId3118" Type="http://schemas.openxmlformats.org/officeDocument/2006/relationships/hyperlink" Target="mailto:milmartinez@ext.sancorseguros.com" TargetMode="External"/><Relationship Id="rId3325" Type="http://schemas.openxmlformats.org/officeDocument/2006/relationships/hyperlink" Target="mailto:gpachao@sancorseguros.com" TargetMode="External"/><Relationship Id="rId3532" Type="http://schemas.openxmlformats.org/officeDocument/2006/relationships/hyperlink" Target="mailto:pmalchiodi@sancorseguros.com" TargetMode="External"/><Relationship Id="rId246" Type="http://schemas.openxmlformats.org/officeDocument/2006/relationships/hyperlink" Target="mailto:rfernandez@sancorseguros.com" TargetMode="External"/><Relationship Id="rId453" Type="http://schemas.openxmlformats.org/officeDocument/2006/relationships/hyperlink" Target="mailto:mascallia@sancorseguros.com" TargetMode="External"/><Relationship Id="rId660" Type="http://schemas.openxmlformats.org/officeDocument/2006/relationships/hyperlink" Target="mailto:miiglesias@ext.sancorseguros.com" TargetMode="External"/><Relationship Id="rId898" Type="http://schemas.openxmlformats.org/officeDocument/2006/relationships/hyperlink" Target="mailto:gmgutierrez@ext.sancorseguros.com" TargetMode="External"/><Relationship Id="rId1083" Type="http://schemas.openxmlformats.org/officeDocument/2006/relationships/hyperlink" Target="mailto:lbarboza@ext.sancorseguros.com" TargetMode="External"/><Relationship Id="rId1290" Type="http://schemas.openxmlformats.org/officeDocument/2006/relationships/hyperlink" Target="mailto:mizzo@ext.sancorseguros.com" TargetMode="External"/><Relationship Id="rId2134" Type="http://schemas.openxmlformats.org/officeDocument/2006/relationships/hyperlink" Target="mailto:bdemiguel@sancorseguros.com" TargetMode="External"/><Relationship Id="rId2341" Type="http://schemas.openxmlformats.org/officeDocument/2006/relationships/hyperlink" Target="mailto:rmomartinez@sancorseguros.com" TargetMode="External"/><Relationship Id="rId2579" Type="http://schemas.openxmlformats.org/officeDocument/2006/relationships/hyperlink" Target="mailto:mizzo@ext.sancorseguros.com" TargetMode="External"/><Relationship Id="rId2786" Type="http://schemas.openxmlformats.org/officeDocument/2006/relationships/hyperlink" Target="mailto:vloray@ext.sancorseguros.com" TargetMode="External"/><Relationship Id="rId2993" Type="http://schemas.openxmlformats.org/officeDocument/2006/relationships/hyperlink" Target="mailto:cvaldez@ext.sancorseguros.com" TargetMode="External"/><Relationship Id="rId106" Type="http://schemas.openxmlformats.org/officeDocument/2006/relationships/hyperlink" Target="mailto:gleguizamon@ext.sancorseguros.com" TargetMode="External"/><Relationship Id="rId313" Type="http://schemas.openxmlformats.org/officeDocument/2006/relationships/hyperlink" Target="mailto:abinau@sancorseguros.com" TargetMode="External"/><Relationship Id="rId758" Type="http://schemas.openxmlformats.org/officeDocument/2006/relationships/hyperlink" Target="mailto:mizzo@ext.sancorseguros.com" TargetMode="External"/><Relationship Id="rId965" Type="http://schemas.openxmlformats.org/officeDocument/2006/relationships/hyperlink" Target="mailto:milmartinez@ext.sancorseguros.com" TargetMode="External"/><Relationship Id="rId1150" Type="http://schemas.openxmlformats.org/officeDocument/2006/relationships/hyperlink" Target="mailto:cvaldez@ext.sancorseguros.com" TargetMode="External"/><Relationship Id="rId1388" Type="http://schemas.openxmlformats.org/officeDocument/2006/relationships/hyperlink" Target="mailto:cvaldez@ext.sancorseguros.com" TargetMode="External"/><Relationship Id="rId1595" Type="http://schemas.openxmlformats.org/officeDocument/2006/relationships/hyperlink" Target="mailto:cvaldez@ext.sancorseguros.com" TargetMode="External"/><Relationship Id="rId2439" Type="http://schemas.openxmlformats.org/officeDocument/2006/relationships/hyperlink" Target="mailto:mkester@sancorseguros.com" TargetMode="External"/><Relationship Id="rId2646" Type="http://schemas.openxmlformats.org/officeDocument/2006/relationships/hyperlink" Target="mailto:mmaccarrone@ext.sancorseguros.com" TargetMode="External"/><Relationship Id="rId2853" Type="http://schemas.openxmlformats.org/officeDocument/2006/relationships/hyperlink" Target="mailto:mizzo@ext.sancorseguros.com" TargetMode="External"/><Relationship Id="rId94" Type="http://schemas.openxmlformats.org/officeDocument/2006/relationships/hyperlink" Target="mailto:cpavon@sancorseguros.com" TargetMode="External"/><Relationship Id="rId520" Type="http://schemas.openxmlformats.org/officeDocument/2006/relationships/hyperlink" Target="mailto:mascallia@sancorseguros.com" TargetMode="External"/><Relationship Id="rId618" Type="http://schemas.openxmlformats.org/officeDocument/2006/relationships/hyperlink" Target="mailto:gpachao@sancorseguros.com" TargetMode="External"/><Relationship Id="rId825" Type="http://schemas.openxmlformats.org/officeDocument/2006/relationships/hyperlink" Target="mailto:mizzo@ext.sancorseguros.com" TargetMode="External"/><Relationship Id="rId1248" Type="http://schemas.openxmlformats.org/officeDocument/2006/relationships/hyperlink" Target="mailto:rmomartinez@sancorseguros.com" TargetMode="External"/><Relationship Id="rId1455" Type="http://schemas.openxmlformats.org/officeDocument/2006/relationships/hyperlink" Target="mailto:mevangelista@sancorseguros.com" TargetMode="External"/><Relationship Id="rId1662" Type="http://schemas.openxmlformats.org/officeDocument/2006/relationships/hyperlink" Target="mailto:gmgutierrez@ext.sancorseguros.com" TargetMode="External"/><Relationship Id="rId2201" Type="http://schemas.openxmlformats.org/officeDocument/2006/relationships/hyperlink" Target="mailto:abinau@sancorseguros.com" TargetMode="External"/><Relationship Id="rId2506" Type="http://schemas.openxmlformats.org/officeDocument/2006/relationships/hyperlink" Target="mailto:rmomartinez@sancorseguros.com" TargetMode="External"/><Relationship Id="rId1010" Type="http://schemas.openxmlformats.org/officeDocument/2006/relationships/hyperlink" Target="mailto:mascallia@sancorseguros.com" TargetMode="External"/><Relationship Id="rId1108" Type="http://schemas.openxmlformats.org/officeDocument/2006/relationships/hyperlink" Target="mailto:rmomartinez@sancorseguros.com" TargetMode="External"/><Relationship Id="rId1315" Type="http://schemas.openxmlformats.org/officeDocument/2006/relationships/hyperlink" Target="mailto:fsantorum@sancorseguros.com" TargetMode="External"/><Relationship Id="rId1967" Type="http://schemas.openxmlformats.org/officeDocument/2006/relationships/hyperlink" Target="mailto:gmgutierrez@ext.sancorseguros.com" TargetMode="External"/><Relationship Id="rId2713" Type="http://schemas.openxmlformats.org/officeDocument/2006/relationships/hyperlink" Target="mailto:rmomartinez@sancorseguros.com" TargetMode="External"/><Relationship Id="rId2920" Type="http://schemas.openxmlformats.org/officeDocument/2006/relationships/hyperlink" Target="mailto:mizzo@ext.sancorseguros.com" TargetMode="External"/><Relationship Id="rId1522" Type="http://schemas.openxmlformats.org/officeDocument/2006/relationships/hyperlink" Target="mailto:mmaccarrone@ext.sancorseguros.com" TargetMode="External"/><Relationship Id="rId21" Type="http://schemas.openxmlformats.org/officeDocument/2006/relationships/hyperlink" Target="mailto:abinau@sancorseguros.com" TargetMode="External"/><Relationship Id="rId2089" Type="http://schemas.openxmlformats.org/officeDocument/2006/relationships/hyperlink" Target="mailto:cpavon@sancorseguros.com" TargetMode="External"/><Relationship Id="rId3487" Type="http://schemas.openxmlformats.org/officeDocument/2006/relationships/hyperlink" Target="mailto:cvaldez@ext.sancorseguros.com" TargetMode="External"/><Relationship Id="rId2296" Type="http://schemas.openxmlformats.org/officeDocument/2006/relationships/hyperlink" Target="mailto:lbarboza@ext.sancorseguros.com" TargetMode="External"/><Relationship Id="rId3347" Type="http://schemas.openxmlformats.org/officeDocument/2006/relationships/hyperlink" Target="mailto:mascallia@sancorseguros.com" TargetMode="External"/><Relationship Id="rId3554" Type="http://schemas.openxmlformats.org/officeDocument/2006/relationships/hyperlink" Target="mailto:mizzo@ext.sancorseguros.com" TargetMode="External"/><Relationship Id="rId268" Type="http://schemas.openxmlformats.org/officeDocument/2006/relationships/hyperlink" Target="mailto:abinau@sancorseguros.com" TargetMode="External"/><Relationship Id="rId475" Type="http://schemas.openxmlformats.org/officeDocument/2006/relationships/hyperlink" Target="mailto:cpavon@sancorseguros.com" TargetMode="External"/><Relationship Id="rId682" Type="http://schemas.openxmlformats.org/officeDocument/2006/relationships/hyperlink" Target="mailto:mizzo@ext.sancorseguros.com" TargetMode="External"/><Relationship Id="rId2156" Type="http://schemas.openxmlformats.org/officeDocument/2006/relationships/hyperlink" Target="mailto:mizzo@ext.sancorseguros.com" TargetMode="External"/><Relationship Id="rId2363" Type="http://schemas.openxmlformats.org/officeDocument/2006/relationships/hyperlink" Target="mailto:fsantorum@sancorseguros.com" TargetMode="External"/><Relationship Id="rId2570" Type="http://schemas.openxmlformats.org/officeDocument/2006/relationships/hyperlink" Target="mailto:solivarez@ext.sancorseguros.com" TargetMode="External"/><Relationship Id="rId3207" Type="http://schemas.openxmlformats.org/officeDocument/2006/relationships/hyperlink" Target="mailto:pmalchiodi@sancorseguros.com" TargetMode="External"/><Relationship Id="rId3414" Type="http://schemas.openxmlformats.org/officeDocument/2006/relationships/hyperlink" Target="mailto:gmgutierrez@ext.sancorseguros.com" TargetMode="External"/><Relationship Id="rId3621" Type="http://schemas.openxmlformats.org/officeDocument/2006/relationships/hyperlink" Target="mailto:cvaldez@ext.sancorseguros.com" TargetMode="External"/><Relationship Id="rId128" Type="http://schemas.openxmlformats.org/officeDocument/2006/relationships/hyperlink" Target="mailto:ludiaz@ext.sancorseguros.com" TargetMode="External"/><Relationship Id="rId335" Type="http://schemas.openxmlformats.org/officeDocument/2006/relationships/hyperlink" Target="mailto:mizzo@ext.sancorseguros.com" TargetMode="External"/><Relationship Id="rId542" Type="http://schemas.openxmlformats.org/officeDocument/2006/relationships/hyperlink" Target="mailto:mkester@sancorseguros.com" TargetMode="External"/><Relationship Id="rId1172" Type="http://schemas.openxmlformats.org/officeDocument/2006/relationships/hyperlink" Target="mailto:cpavon@sancorseguros.com" TargetMode="External"/><Relationship Id="rId2016" Type="http://schemas.openxmlformats.org/officeDocument/2006/relationships/hyperlink" Target="mailto:gleguizamon@ext.sancorseguros.com" TargetMode="External"/><Relationship Id="rId2223" Type="http://schemas.openxmlformats.org/officeDocument/2006/relationships/hyperlink" Target="mailto:lbarboza@ext.sancorseguros.com" TargetMode="External"/><Relationship Id="rId2430" Type="http://schemas.openxmlformats.org/officeDocument/2006/relationships/hyperlink" Target="mailto:mascallia@sancorseguros.com" TargetMode="External"/><Relationship Id="rId402" Type="http://schemas.openxmlformats.org/officeDocument/2006/relationships/hyperlink" Target="mailto:milmartinez@ext.sancorseguros.com" TargetMode="External"/><Relationship Id="rId1032" Type="http://schemas.openxmlformats.org/officeDocument/2006/relationships/hyperlink" Target="mailto:bdemiguel@sancorseguros.com" TargetMode="External"/><Relationship Id="rId1989" Type="http://schemas.openxmlformats.org/officeDocument/2006/relationships/hyperlink" Target="mailto:cvaldez@ext.sancorseguros.com" TargetMode="External"/><Relationship Id="rId1849" Type="http://schemas.openxmlformats.org/officeDocument/2006/relationships/hyperlink" Target="mailto:gleguizamon@ext.sancorseguros.com" TargetMode="External"/><Relationship Id="rId3064" Type="http://schemas.openxmlformats.org/officeDocument/2006/relationships/hyperlink" Target="mailto:lbarboza@ext.sancorseguros.com" TargetMode="External"/><Relationship Id="rId192" Type="http://schemas.openxmlformats.org/officeDocument/2006/relationships/hyperlink" Target="mailto:gleguizamon@ext.sancorseguros.com" TargetMode="External"/><Relationship Id="rId1709" Type="http://schemas.openxmlformats.org/officeDocument/2006/relationships/hyperlink" Target="mailto:gmgutierrez@ext.sancorseguros.com" TargetMode="External"/><Relationship Id="rId1916" Type="http://schemas.openxmlformats.org/officeDocument/2006/relationships/hyperlink" Target="mailto:mizzo@ext.sancorseguros.com" TargetMode="External"/><Relationship Id="rId3271" Type="http://schemas.openxmlformats.org/officeDocument/2006/relationships/hyperlink" Target="mailto:mmaccarrone@ext.sancorseguros.com" TargetMode="External"/><Relationship Id="rId2080" Type="http://schemas.openxmlformats.org/officeDocument/2006/relationships/hyperlink" Target="mailto:mizzo@ext.sancorseguros.com" TargetMode="External"/><Relationship Id="rId3131" Type="http://schemas.openxmlformats.org/officeDocument/2006/relationships/hyperlink" Target="mailto:ovega@sancorseguros.com" TargetMode="External"/><Relationship Id="rId2897" Type="http://schemas.openxmlformats.org/officeDocument/2006/relationships/hyperlink" Target="mailto:glgomez@sancorseguros.com" TargetMode="External"/><Relationship Id="rId869" Type="http://schemas.openxmlformats.org/officeDocument/2006/relationships/hyperlink" Target="mailto:madecarvalho@sancorseguros.com" TargetMode="External"/><Relationship Id="rId1499" Type="http://schemas.openxmlformats.org/officeDocument/2006/relationships/hyperlink" Target="mailto:cpavon@sancorseguros.com" TargetMode="External"/><Relationship Id="rId729" Type="http://schemas.openxmlformats.org/officeDocument/2006/relationships/hyperlink" Target="mailto:rmomartinez@sancorseguros.com" TargetMode="External"/><Relationship Id="rId1359" Type="http://schemas.openxmlformats.org/officeDocument/2006/relationships/hyperlink" Target="mailto:fsantorum@sancorseguros.com" TargetMode="External"/><Relationship Id="rId2757" Type="http://schemas.openxmlformats.org/officeDocument/2006/relationships/hyperlink" Target="mailto:rfernandez@sancorseguros.com" TargetMode="External"/><Relationship Id="rId2964" Type="http://schemas.openxmlformats.org/officeDocument/2006/relationships/hyperlink" Target="mailto:mascallia@sancorseguros.com" TargetMode="External"/><Relationship Id="rId936" Type="http://schemas.openxmlformats.org/officeDocument/2006/relationships/hyperlink" Target="mailto:mmaccarrone@ext.sancorseguros.com" TargetMode="External"/><Relationship Id="rId1219" Type="http://schemas.openxmlformats.org/officeDocument/2006/relationships/hyperlink" Target="mailto:pmalchiodi@sancorseguros.com" TargetMode="External"/><Relationship Id="rId1566" Type="http://schemas.openxmlformats.org/officeDocument/2006/relationships/hyperlink" Target="mailto:lbarboza@ext.sancorseguros.com" TargetMode="External"/><Relationship Id="rId1773" Type="http://schemas.openxmlformats.org/officeDocument/2006/relationships/hyperlink" Target="mailto:mizzo@ext.sancorseguros.com" TargetMode="External"/><Relationship Id="rId1980" Type="http://schemas.openxmlformats.org/officeDocument/2006/relationships/hyperlink" Target="mailto:mmaccarrone@ext.sancorseguros.com" TargetMode="External"/><Relationship Id="rId2617" Type="http://schemas.openxmlformats.org/officeDocument/2006/relationships/hyperlink" Target="mailto:rmomartinez@sancorseguros.com" TargetMode="External"/><Relationship Id="rId2824" Type="http://schemas.openxmlformats.org/officeDocument/2006/relationships/hyperlink" Target="mailto:dtoledo@sancorseguros.com" TargetMode="External"/><Relationship Id="rId65" Type="http://schemas.openxmlformats.org/officeDocument/2006/relationships/hyperlink" Target="mailto:ludiaz@ext.sancorseguros.com" TargetMode="External"/><Relationship Id="rId1426" Type="http://schemas.openxmlformats.org/officeDocument/2006/relationships/hyperlink" Target="mailto:mascallia@sancorseguros.com" TargetMode="External"/><Relationship Id="rId1633" Type="http://schemas.openxmlformats.org/officeDocument/2006/relationships/hyperlink" Target="mailto:mascallia@sancorseguros.com" TargetMode="External"/><Relationship Id="rId1840" Type="http://schemas.openxmlformats.org/officeDocument/2006/relationships/hyperlink" Target="mailto:cpavon@sancorseguros.com" TargetMode="External"/><Relationship Id="rId1700" Type="http://schemas.openxmlformats.org/officeDocument/2006/relationships/hyperlink" Target="mailto:czardain@sancorseguros.com" TargetMode="External"/><Relationship Id="rId3598" Type="http://schemas.openxmlformats.org/officeDocument/2006/relationships/hyperlink" Target="mailto:bdemiguel@sancorseguros.com" TargetMode="External"/><Relationship Id="rId3458" Type="http://schemas.openxmlformats.org/officeDocument/2006/relationships/hyperlink" Target="mailto:fsantorum@sancorseguros.com" TargetMode="External"/><Relationship Id="rId379" Type="http://schemas.openxmlformats.org/officeDocument/2006/relationships/hyperlink" Target="mailto:ludiaz@ext.sancorseguros.com" TargetMode="External"/><Relationship Id="rId586" Type="http://schemas.openxmlformats.org/officeDocument/2006/relationships/hyperlink" Target="mailto:gleguizamon@ext.sancorseguros.com" TargetMode="External"/><Relationship Id="rId793" Type="http://schemas.openxmlformats.org/officeDocument/2006/relationships/hyperlink" Target="mailto:cpavon@sancorseguros.com" TargetMode="External"/><Relationship Id="rId2267" Type="http://schemas.openxmlformats.org/officeDocument/2006/relationships/hyperlink" Target="mailto:czardain@sancorseguros.com" TargetMode="External"/><Relationship Id="rId2474" Type="http://schemas.openxmlformats.org/officeDocument/2006/relationships/hyperlink" Target="mailto:pgirardin@sancorseguros.com" TargetMode="External"/><Relationship Id="rId2681" Type="http://schemas.openxmlformats.org/officeDocument/2006/relationships/hyperlink" Target="mailto:abinau@sancorseguros.com" TargetMode="External"/><Relationship Id="rId3318" Type="http://schemas.openxmlformats.org/officeDocument/2006/relationships/hyperlink" Target="mailto:amrodriguez@sancorseguros.com" TargetMode="External"/><Relationship Id="rId3525" Type="http://schemas.openxmlformats.org/officeDocument/2006/relationships/hyperlink" Target="mailto:lbarboza@ext.sancorseguros.com" TargetMode="External"/><Relationship Id="rId239" Type="http://schemas.openxmlformats.org/officeDocument/2006/relationships/hyperlink" Target="mailto:vloray@ext.sancorseguros.com" TargetMode="External"/><Relationship Id="rId446" Type="http://schemas.openxmlformats.org/officeDocument/2006/relationships/hyperlink" Target="mailto:cpavon@sancorseguros.com" TargetMode="External"/><Relationship Id="rId653" Type="http://schemas.openxmlformats.org/officeDocument/2006/relationships/hyperlink" Target="mailto:fsantorum@sancorseguros.com" TargetMode="External"/><Relationship Id="rId1076" Type="http://schemas.openxmlformats.org/officeDocument/2006/relationships/hyperlink" Target="mailto:gmgutierrez@ext.sancorseguros.com" TargetMode="External"/><Relationship Id="rId1283" Type="http://schemas.openxmlformats.org/officeDocument/2006/relationships/hyperlink" Target="mailto:cvaldez@ext.sancorseguros.com" TargetMode="External"/><Relationship Id="rId1490" Type="http://schemas.openxmlformats.org/officeDocument/2006/relationships/hyperlink" Target="mailto:dtoledo@sancorseguros.com" TargetMode="External"/><Relationship Id="rId2127" Type="http://schemas.openxmlformats.org/officeDocument/2006/relationships/hyperlink" Target="mailto:mizzo@ext.sancorseguros.com" TargetMode="External"/><Relationship Id="rId2334" Type="http://schemas.openxmlformats.org/officeDocument/2006/relationships/hyperlink" Target="mailto:cvaldez@ext.sancorseguros.com" TargetMode="External"/><Relationship Id="rId306" Type="http://schemas.openxmlformats.org/officeDocument/2006/relationships/hyperlink" Target="mailto:rmomartinez@sancorseguros.com" TargetMode="External"/><Relationship Id="rId860" Type="http://schemas.openxmlformats.org/officeDocument/2006/relationships/hyperlink" Target="mailto:fsantorum@sancorseguros.com" TargetMode="External"/><Relationship Id="rId1143" Type="http://schemas.openxmlformats.org/officeDocument/2006/relationships/hyperlink" Target="mailto:mmaccarrone@ext.sancorseguros.com" TargetMode="External"/><Relationship Id="rId2541" Type="http://schemas.openxmlformats.org/officeDocument/2006/relationships/hyperlink" Target="mailto:mizzo@ext.sancorseguros.com" TargetMode="External"/><Relationship Id="rId513" Type="http://schemas.openxmlformats.org/officeDocument/2006/relationships/hyperlink" Target="mailto:cvaldez@ext.sancorseguros.com" TargetMode="External"/><Relationship Id="rId720" Type="http://schemas.openxmlformats.org/officeDocument/2006/relationships/hyperlink" Target="mailto:fsantorum@sancorseguros.com" TargetMode="External"/><Relationship Id="rId1350" Type="http://schemas.openxmlformats.org/officeDocument/2006/relationships/hyperlink" Target="mailto:cpavon@sancorseguros.com" TargetMode="External"/><Relationship Id="rId2401" Type="http://schemas.openxmlformats.org/officeDocument/2006/relationships/hyperlink" Target="mailto:cvaldez@ext.sancorseguros.com" TargetMode="External"/><Relationship Id="rId1003" Type="http://schemas.openxmlformats.org/officeDocument/2006/relationships/hyperlink" Target="mailto:gleguizamon@ext.sancorseguros.com" TargetMode="External"/><Relationship Id="rId1210" Type="http://schemas.openxmlformats.org/officeDocument/2006/relationships/hyperlink" Target="mailto:mkester@sancorseguros.com" TargetMode="External"/><Relationship Id="rId3175" Type="http://schemas.openxmlformats.org/officeDocument/2006/relationships/hyperlink" Target="mailto:jboulle@sancorseguros.com" TargetMode="External"/><Relationship Id="rId3382" Type="http://schemas.openxmlformats.org/officeDocument/2006/relationships/hyperlink" Target="mailto:abinau@sancorseguros.com" TargetMode="External"/><Relationship Id="rId2191" Type="http://schemas.openxmlformats.org/officeDocument/2006/relationships/hyperlink" Target="mailto:lbarboza@ext.sancorseguros.com" TargetMode="External"/><Relationship Id="rId3035" Type="http://schemas.openxmlformats.org/officeDocument/2006/relationships/hyperlink" Target="mailto:fsantorum@sancorseguros.com" TargetMode="External"/><Relationship Id="rId3242" Type="http://schemas.openxmlformats.org/officeDocument/2006/relationships/hyperlink" Target="mailto:cvaldez@ext.sancorseguros.com" TargetMode="External"/><Relationship Id="rId163" Type="http://schemas.openxmlformats.org/officeDocument/2006/relationships/hyperlink" Target="mailto:abinau@sancorseguros.com" TargetMode="External"/><Relationship Id="rId370" Type="http://schemas.openxmlformats.org/officeDocument/2006/relationships/hyperlink" Target="mailto:mascallia@sancorseguros.com" TargetMode="External"/><Relationship Id="rId2051" Type="http://schemas.openxmlformats.org/officeDocument/2006/relationships/hyperlink" Target="mailto:anunzio@sancorseguros.com" TargetMode="External"/><Relationship Id="rId3102" Type="http://schemas.openxmlformats.org/officeDocument/2006/relationships/hyperlink" Target="mailto:mizzo@ext.sancorseguros.com" TargetMode="External"/><Relationship Id="rId230" Type="http://schemas.openxmlformats.org/officeDocument/2006/relationships/hyperlink" Target="mailto:abinau@sancorseguros.com" TargetMode="External"/><Relationship Id="rId2868" Type="http://schemas.openxmlformats.org/officeDocument/2006/relationships/hyperlink" Target="mailto:amrodriguez@sancorseguros.com" TargetMode="External"/><Relationship Id="rId1677" Type="http://schemas.openxmlformats.org/officeDocument/2006/relationships/hyperlink" Target="mailto:mkester@sancorseguros.com" TargetMode="External"/><Relationship Id="rId1884" Type="http://schemas.openxmlformats.org/officeDocument/2006/relationships/hyperlink" Target="mailto:mascallia@sancorseguros.com" TargetMode="External"/><Relationship Id="rId2728" Type="http://schemas.openxmlformats.org/officeDocument/2006/relationships/hyperlink" Target="mailto:cvaldez@ext.sancorseguros.com" TargetMode="External"/><Relationship Id="rId2935" Type="http://schemas.openxmlformats.org/officeDocument/2006/relationships/hyperlink" Target="mailto:anunzio@sancorseguros.com" TargetMode="External"/><Relationship Id="rId907" Type="http://schemas.openxmlformats.org/officeDocument/2006/relationships/hyperlink" Target="mailto:milmartinez@ext.sancorseguros.com" TargetMode="External"/><Relationship Id="rId1537" Type="http://schemas.openxmlformats.org/officeDocument/2006/relationships/hyperlink" Target="mailto:cvaldez@ext.sancorseguros.com" TargetMode="External"/><Relationship Id="rId1744" Type="http://schemas.openxmlformats.org/officeDocument/2006/relationships/hyperlink" Target="mailto:bdemiguel@sancorseguros.com" TargetMode="External"/><Relationship Id="rId1951" Type="http://schemas.openxmlformats.org/officeDocument/2006/relationships/hyperlink" Target="mailto:madecarvalho@sancorseguros.com" TargetMode="External"/><Relationship Id="rId36" Type="http://schemas.openxmlformats.org/officeDocument/2006/relationships/hyperlink" Target="mailto:cvaldez@ext.sancorseguros.com" TargetMode="External"/><Relationship Id="rId1604" Type="http://schemas.openxmlformats.org/officeDocument/2006/relationships/hyperlink" Target="mailto:mizzo@ext.sancorseguros.com" TargetMode="External"/><Relationship Id="rId1811" Type="http://schemas.openxmlformats.org/officeDocument/2006/relationships/hyperlink" Target="mailto:cvaldez@ext.sancorseguros.com" TargetMode="External"/><Relationship Id="rId3569" Type="http://schemas.openxmlformats.org/officeDocument/2006/relationships/hyperlink" Target="mailto:cvaldez@ext.sancorseguros.com" TargetMode="External"/><Relationship Id="rId697" Type="http://schemas.openxmlformats.org/officeDocument/2006/relationships/hyperlink" Target="mailto:lfalabella@sancorseguros.com" TargetMode="External"/><Relationship Id="rId2378" Type="http://schemas.openxmlformats.org/officeDocument/2006/relationships/hyperlink" Target="mailto:mocampos@sancorseguros.com" TargetMode="External"/><Relationship Id="rId3429" Type="http://schemas.openxmlformats.org/officeDocument/2006/relationships/hyperlink" Target="mailto:mkester@sancorseguros.com" TargetMode="External"/><Relationship Id="rId1187" Type="http://schemas.openxmlformats.org/officeDocument/2006/relationships/hyperlink" Target="mailto:lbarboza@ext.sancorseguros.com" TargetMode="External"/><Relationship Id="rId2585" Type="http://schemas.openxmlformats.org/officeDocument/2006/relationships/hyperlink" Target="mailto:mdambrosio@ext.sancorseguros.com" TargetMode="External"/><Relationship Id="rId2792" Type="http://schemas.openxmlformats.org/officeDocument/2006/relationships/hyperlink" Target="mailto:gpachao@sancorseguros.com" TargetMode="External"/><Relationship Id="rId3636" Type="http://schemas.openxmlformats.org/officeDocument/2006/relationships/hyperlink" Target="mailto:vloray@ext.sancorseguros.com" TargetMode="External"/><Relationship Id="rId557" Type="http://schemas.openxmlformats.org/officeDocument/2006/relationships/hyperlink" Target="mailto:camgonzalez@sancorseguros.com" TargetMode="External"/><Relationship Id="rId764" Type="http://schemas.openxmlformats.org/officeDocument/2006/relationships/hyperlink" Target="mailto:fsantorum@sancorseguros.com" TargetMode="External"/><Relationship Id="rId971" Type="http://schemas.openxmlformats.org/officeDocument/2006/relationships/hyperlink" Target="mailto:camgonzalez@sancorseguros.com" TargetMode="External"/><Relationship Id="rId1394" Type="http://schemas.openxmlformats.org/officeDocument/2006/relationships/hyperlink" Target="mailto:mascallia@sancorseguros.com" TargetMode="External"/><Relationship Id="rId2238" Type="http://schemas.openxmlformats.org/officeDocument/2006/relationships/hyperlink" Target="mailto:mizzo@ext.sancorseguros.com" TargetMode="External"/><Relationship Id="rId2445" Type="http://schemas.openxmlformats.org/officeDocument/2006/relationships/hyperlink" Target="mailto:mizzo@ext.sancorseguros.com" TargetMode="External"/><Relationship Id="rId2652" Type="http://schemas.openxmlformats.org/officeDocument/2006/relationships/hyperlink" Target="mailto:pmalchiodi@sancorseguros.com" TargetMode="External"/><Relationship Id="rId417" Type="http://schemas.openxmlformats.org/officeDocument/2006/relationships/hyperlink" Target="mailto:cpavon@sancorseguros.com" TargetMode="External"/><Relationship Id="rId624" Type="http://schemas.openxmlformats.org/officeDocument/2006/relationships/hyperlink" Target="mailto:mizzo@ext.sancorseguros.com" TargetMode="External"/><Relationship Id="rId831" Type="http://schemas.openxmlformats.org/officeDocument/2006/relationships/hyperlink" Target="mailto:cvaldez@ext.sancorseguros.com" TargetMode="External"/><Relationship Id="rId1047" Type="http://schemas.openxmlformats.org/officeDocument/2006/relationships/hyperlink" Target="mailto:czardain@sancorseguros.com" TargetMode="External"/><Relationship Id="rId1254" Type="http://schemas.openxmlformats.org/officeDocument/2006/relationships/hyperlink" Target="mailto:rmomartinez@sancorseguros.com" TargetMode="External"/><Relationship Id="rId1461" Type="http://schemas.openxmlformats.org/officeDocument/2006/relationships/hyperlink" Target="mailto:vloray@ext.sancorseguros.com" TargetMode="External"/><Relationship Id="rId2305" Type="http://schemas.openxmlformats.org/officeDocument/2006/relationships/hyperlink" Target="mailto:mizzo@ext.sancorseguros.com" TargetMode="External"/><Relationship Id="rId2512" Type="http://schemas.openxmlformats.org/officeDocument/2006/relationships/hyperlink" Target="mailto:bdemiguel@sancorseguros.com" TargetMode="External"/><Relationship Id="rId1114" Type="http://schemas.openxmlformats.org/officeDocument/2006/relationships/hyperlink" Target="mailto:cvaldez@ext.sancorseguros.com" TargetMode="External"/><Relationship Id="rId1321" Type="http://schemas.openxmlformats.org/officeDocument/2006/relationships/hyperlink" Target="mailto:mizzo@ext.sancorseguros.com" TargetMode="External"/><Relationship Id="rId3079" Type="http://schemas.openxmlformats.org/officeDocument/2006/relationships/hyperlink" Target="mailto:mizzo@ext.sancorseguros.com" TargetMode="External"/><Relationship Id="rId3286" Type="http://schemas.openxmlformats.org/officeDocument/2006/relationships/hyperlink" Target="mailto:gmgutierrez@ext.sancorseguros.com" TargetMode="External"/><Relationship Id="rId3493" Type="http://schemas.openxmlformats.org/officeDocument/2006/relationships/hyperlink" Target="mailto:madecarvalho@sancorseguros.com" TargetMode="External"/><Relationship Id="rId2095" Type="http://schemas.openxmlformats.org/officeDocument/2006/relationships/hyperlink" Target="mailto:bdemiguel@sancorseguros.com" TargetMode="External"/><Relationship Id="rId3146" Type="http://schemas.openxmlformats.org/officeDocument/2006/relationships/hyperlink" Target="mailto:mdambrosio@ext.sancorseguros.com" TargetMode="External"/><Relationship Id="rId3353" Type="http://schemas.openxmlformats.org/officeDocument/2006/relationships/hyperlink" Target="mailto:mmaccarrone@ext.sancorseguros.com" TargetMode="External"/><Relationship Id="rId274" Type="http://schemas.openxmlformats.org/officeDocument/2006/relationships/hyperlink" Target="mailto:cvaldez@ext.sancorseguros.com" TargetMode="External"/><Relationship Id="rId481" Type="http://schemas.openxmlformats.org/officeDocument/2006/relationships/hyperlink" Target="mailto:camgonzalez@sancorseguros.com" TargetMode="External"/><Relationship Id="rId2162" Type="http://schemas.openxmlformats.org/officeDocument/2006/relationships/hyperlink" Target="mailto:anunzio@sancorseguros.com" TargetMode="External"/><Relationship Id="rId3006" Type="http://schemas.openxmlformats.org/officeDocument/2006/relationships/hyperlink" Target="mailto:mizzo@ext.sancorseguros.com" TargetMode="External"/><Relationship Id="rId3560" Type="http://schemas.openxmlformats.org/officeDocument/2006/relationships/hyperlink" Target="mailto:mmaccarrone@ext.sancorseguros.com" TargetMode="External"/><Relationship Id="rId134" Type="http://schemas.openxmlformats.org/officeDocument/2006/relationships/hyperlink" Target="mailto:cpavon@sancorseguros.com" TargetMode="External"/><Relationship Id="rId3213" Type="http://schemas.openxmlformats.org/officeDocument/2006/relationships/hyperlink" Target="mailto:rfernandez@sancorseguros.com" TargetMode="External"/><Relationship Id="rId3420" Type="http://schemas.openxmlformats.org/officeDocument/2006/relationships/hyperlink" Target="mailto:bdemiguel@sancorseguros.com" TargetMode="External"/><Relationship Id="rId341" Type="http://schemas.openxmlformats.org/officeDocument/2006/relationships/hyperlink" Target="mailto:pmalchiodi@sancorseguros.com" TargetMode="External"/><Relationship Id="rId2022" Type="http://schemas.openxmlformats.org/officeDocument/2006/relationships/hyperlink" Target="mailto:fsantorum@sancorseguros.com" TargetMode="External"/><Relationship Id="rId2979" Type="http://schemas.openxmlformats.org/officeDocument/2006/relationships/hyperlink" Target="mailto:camgonzalez@sancorseguros.com" TargetMode="External"/><Relationship Id="rId201" Type="http://schemas.openxmlformats.org/officeDocument/2006/relationships/hyperlink" Target="mailto:abinau@sancorseguros.com" TargetMode="External"/><Relationship Id="rId1788" Type="http://schemas.openxmlformats.org/officeDocument/2006/relationships/hyperlink" Target="mailto:mizzo@ext.sancorseguros.com" TargetMode="External"/><Relationship Id="rId1995" Type="http://schemas.openxmlformats.org/officeDocument/2006/relationships/hyperlink" Target="mailto:mizzo@ext.sancorseguros.com" TargetMode="External"/><Relationship Id="rId2839" Type="http://schemas.openxmlformats.org/officeDocument/2006/relationships/hyperlink" Target="mailto:cvaldez@ext.sancorseguros.com" TargetMode="External"/><Relationship Id="rId1648" Type="http://schemas.openxmlformats.org/officeDocument/2006/relationships/hyperlink" Target="mailto:mmaccarrone@ext.sancorseguros.com" TargetMode="External"/><Relationship Id="rId1508" Type="http://schemas.openxmlformats.org/officeDocument/2006/relationships/hyperlink" Target="mailto:rmomartinez@sancorseguros.com" TargetMode="External"/><Relationship Id="rId1855" Type="http://schemas.openxmlformats.org/officeDocument/2006/relationships/hyperlink" Target="mailto:nrivas@sancorseguros.com" TargetMode="External"/><Relationship Id="rId2906" Type="http://schemas.openxmlformats.org/officeDocument/2006/relationships/hyperlink" Target="mailto:lbarboza@ext.sancorseguros.com" TargetMode="External"/><Relationship Id="rId3070" Type="http://schemas.openxmlformats.org/officeDocument/2006/relationships/hyperlink" Target="mailto:mkester@sancorseguros.com" TargetMode="External"/><Relationship Id="rId1715" Type="http://schemas.openxmlformats.org/officeDocument/2006/relationships/hyperlink" Target="mailto:cvaldez@ext.sancorseguros.com" TargetMode="External"/><Relationship Id="rId1922" Type="http://schemas.openxmlformats.org/officeDocument/2006/relationships/hyperlink" Target="mailto:mkester@sancorseguros.com" TargetMode="External"/><Relationship Id="rId2489" Type="http://schemas.openxmlformats.org/officeDocument/2006/relationships/hyperlink" Target="mailto:pmalchiodi@sancorseguros.com" TargetMode="External"/><Relationship Id="rId2696" Type="http://schemas.openxmlformats.org/officeDocument/2006/relationships/hyperlink" Target="mailto:abinau@sancorseguros.com" TargetMode="External"/><Relationship Id="rId668" Type="http://schemas.openxmlformats.org/officeDocument/2006/relationships/hyperlink" Target="mailto:pmalchiodi@sancorseguros.com" TargetMode="External"/><Relationship Id="rId875" Type="http://schemas.openxmlformats.org/officeDocument/2006/relationships/hyperlink" Target="mailto:mmaccarrone@ext.sancorseguros.com" TargetMode="External"/><Relationship Id="rId1298" Type="http://schemas.openxmlformats.org/officeDocument/2006/relationships/hyperlink" Target="mailto:cpavon@sancorseguros.com" TargetMode="External"/><Relationship Id="rId2349" Type="http://schemas.openxmlformats.org/officeDocument/2006/relationships/hyperlink" Target="mailto:abinau@sancorseguros.com" TargetMode="External"/><Relationship Id="rId2556" Type="http://schemas.openxmlformats.org/officeDocument/2006/relationships/hyperlink" Target="mailto:camgonzalez@sancorseguros.com" TargetMode="External"/><Relationship Id="rId2763" Type="http://schemas.openxmlformats.org/officeDocument/2006/relationships/hyperlink" Target="mailto:mizzo@ext.sancorseguros.com" TargetMode="External"/><Relationship Id="rId2970" Type="http://schemas.openxmlformats.org/officeDocument/2006/relationships/hyperlink" Target="mailto:abinau@sancorseguros.com" TargetMode="External"/><Relationship Id="rId3607" Type="http://schemas.openxmlformats.org/officeDocument/2006/relationships/hyperlink" Target="mailto:gleguizamon@ext.sancorseguros.com" TargetMode="External"/><Relationship Id="rId528" Type="http://schemas.openxmlformats.org/officeDocument/2006/relationships/hyperlink" Target="mailto:camgonzalez@sancorseguros.com" TargetMode="External"/><Relationship Id="rId735" Type="http://schemas.openxmlformats.org/officeDocument/2006/relationships/hyperlink" Target="mailto:milmartinez@ext.sancorseguros.com" TargetMode="External"/><Relationship Id="rId942" Type="http://schemas.openxmlformats.org/officeDocument/2006/relationships/hyperlink" Target="mailto:mizzo@ext.sancorseguros.com" TargetMode="External"/><Relationship Id="rId1158" Type="http://schemas.openxmlformats.org/officeDocument/2006/relationships/hyperlink" Target="mailto:gpachao@sancorseguros.com" TargetMode="External"/><Relationship Id="rId1365" Type="http://schemas.openxmlformats.org/officeDocument/2006/relationships/hyperlink" Target="mailto:milmartinez@ext.sancorseguros.com" TargetMode="External"/><Relationship Id="rId1572" Type="http://schemas.openxmlformats.org/officeDocument/2006/relationships/hyperlink" Target="mailto:gmgutierrez@ext.sancorseguros.com" TargetMode="External"/><Relationship Id="rId2209" Type="http://schemas.openxmlformats.org/officeDocument/2006/relationships/hyperlink" Target="mailto:cpavon@sancorseguros.com" TargetMode="External"/><Relationship Id="rId2416" Type="http://schemas.openxmlformats.org/officeDocument/2006/relationships/hyperlink" Target="mailto:cvaldez@ext.sancorseguros.com" TargetMode="External"/><Relationship Id="rId2623" Type="http://schemas.openxmlformats.org/officeDocument/2006/relationships/hyperlink" Target="mailto:madecarvalho@sancorseguros.com" TargetMode="External"/><Relationship Id="rId1018" Type="http://schemas.openxmlformats.org/officeDocument/2006/relationships/hyperlink" Target="mailto:gmgutierrez@ext.sancorseguros.com" TargetMode="External"/><Relationship Id="rId1225" Type="http://schemas.openxmlformats.org/officeDocument/2006/relationships/hyperlink" Target="mailto:camgonzalez@sancorseguros.com" TargetMode="External"/><Relationship Id="rId1432" Type="http://schemas.openxmlformats.org/officeDocument/2006/relationships/hyperlink" Target="mailto:lbarboza@ext.sancorseguros.com" TargetMode="External"/><Relationship Id="rId2830" Type="http://schemas.openxmlformats.org/officeDocument/2006/relationships/hyperlink" Target="mailto:abinau@sancorseguros.com" TargetMode="External"/><Relationship Id="rId71" Type="http://schemas.openxmlformats.org/officeDocument/2006/relationships/hyperlink" Target="mailto:bdemiguel@sancorseguros.com" TargetMode="External"/><Relationship Id="rId802" Type="http://schemas.openxmlformats.org/officeDocument/2006/relationships/hyperlink" Target="mailto:mascallia@sancorseguros.com" TargetMode="External"/><Relationship Id="rId3397" Type="http://schemas.openxmlformats.org/officeDocument/2006/relationships/hyperlink" Target="mailto:lbarboza@ext.sancorseguros.com" TargetMode="External"/><Relationship Id="rId178" Type="http://schemas.openxmlformats.org/officeDocument/2006/relationships/hyperlink" Target="mailto:ludiaz@ext.sancorseguros.com" TargetMode="External"/><Relationship Id="rId3257" Type="http://schemas.openxmlformats.org/officeDocument/2006/relationships/hyperlink" Target="mailto:mkester@sancorseguros.com" TargetMode="External"/><Relationship Id="rId3464" Type="http://schemas.openxmlformats.org/officeDocument/2006/relationships/hyperlink" Target="mailto:madecarvalho@sancorseguros.com" TargetMode="External"/><Relationship Id="rId385" Type="http://schemas.openxmlformats.org/officeDocument/2006/relationships/hyperlink" Target="mailto:gleguizamon@ext.sancorseguros.com" TargetMode="External"/><Relationship Id="rId592" Type="http://schemas.openxmlformats.org/officeDocument/2006/relationships/hyperlink" Target="mailto:cvaldez@ext.sancorseguros.com" TargetMode="External"/><Relationship Id="rId2066" Type="http://schemas.openxmlformats.org/officeDocument/2006/relationships/hyperlink" Target="mailto:dtoledo@sancorseguros.com" TargetMode="External"/><Relationship Id="rId2273" Type="http://schemas.openxmlformats.org/officeDocument/2006/relationships/hyperlink" Target="mailto:milmartinez@ext.sancorseguros.com" TargetMode="External"/><Relationship Id="rId2480" Type="http://schemas.openxmlformats.org/officeDocument/2006/relationships/hyperlink" Target="mailto:mevangelista@sancorseguros.com" TargetMode="External"/><Relationship Id="rId3117" Type="http://schemas.openxmlformats.org/officeDocument/2006/relationships/hyperlink" Target="mailto:abinau@sancorseguros.com" TargetMode="External"/><Relationship Id="rId3324" Type="http://schemas.openxmlformats.org/officeDocument/2006/relationships/hyperlink" Target="mailto:gleguizamon@ext.sancorseguros.com" TargetMode="External"/><Relationship Id="rId3531" Type="http://schemas.openxmlformats.org/officeDocument/2006/relationships/hyperlink" Target="mailto:mizzo@ext.sancorseguros.com" TargetMode="External"/><Relationship Id="rId245" Type="http://schemas.openxmlformats.org/officeDocument/2006/relationships/hyperlink" Target="mailto:pgirardin@sancorseguros.com" TargetMode="External"/><Relationship Id="rId452" Type="http://schemas.openxmlformats.org/officeDocument/2006/relationships/hyperlink" Target="mailto:cpavon@sancorseguros.com" TargetMode="External"/><Relationship Id="rId1082" Type="http://schemas.openxmlformats.org/officeDocument/2006/relationships/hyperlink" Target="mailto:bdemiguel@sancorseguros.com" TargetMode="External"/><Relationship Id="rId2133" Type="http://schemas.openxmlformats.org/officeDocument/2006/relationships/hyperlink" Target="mailto:mizzo@ext.sancorseguros.com" TargetMode="External"/><Relationship Id="rId2340" Type="http://schemas.openxmlformats.org/officeDocument/2006/relationships/hyperlink" Target="mailto:abinau@sancorseguros.com" TargetMode="External"/><Relationship Id="rId105" Type="http://schemas.openxmlformats.org/officeDocument/2006/relationships/hyperlink" Target="mailto:mizzo@ext.sancorseguros.com" TargetMode="External"/><Relationship Id="rId312" Type="http://schemas.openxmlformats.org/officeDocument/2006/relationships/hyperlink" Target="mailto:mizzo@ext.sancorseguros.com" TargetMode="External"/><Relationship Id="rId2200" Type="http://schemas.openxmlformats.org/officeDocument/2006/relationships/hyperlink" Target="mailto:amrodriguez@sancorseguros.com" TargetMode="External"/><Relationship Id="rId1899" Type="http://schemas.openxmlformats.org/officeDocument/2006/relationships/hyperlink" Target="mailto:anunzio@sancorseguros.com" TargetMode="External"/><Relationship Id="rId1759" Type="http://schemas.openxmlformats.org/officeDocument/2006/relationships/hyperlink" Target="mailto:fsoloneski@sancorseguros.com" TargetMode="External"/><Relationship Id="rId1966" Type="http://schemas.openxmlformats.org/officeDocument/2006/relationships/hyperlink" Target="mailto:gmgutierrez@ext.sancorseguros.com" TargetMode="External"/><Relationship Id="rId3181" Type="http://schemas.openxmlformats.org/officeDocument/2006/relationships/hyperlink" Target="mailto:bdemiguel@sancorseguros.com" TargetMode="External"/><Relationship Id="rId1619" Type="http://schemas.openxmlformats.org/officeDocument/2006/relationships/hyperlink" Target="mailto:cvaldez@ext.sancorseguros.com" TargetMode="External"/><Relationship Id="rId1826" Type="http://schemas.openxmlformats.org/officeDocument/2006/relationships/hyperlink" Target="mailto:gpachao@sancorseguros.com" TargetMode="External"/><Relationship Id="rId3041" Type="http://schemas.openxmlformats.org/officeDocument/2006/relationships/hyperlink" Target="mailto:lbarboza@ext.sancorseguros.com" TargetMode="External"/><Relationship Id="rId779" Type="http://schemas.openxmlformats.org/officeDocument/2006/relationships/hyperlink" Target="mailto:mkester@sancorseguros.com" TargetMode="External"/><Relationship Id="rId986" Type="http://schemas.openxmlformats.org/officeDocument/2006/relationships/hyperlink" Target="mailto:rmomartinez@sancorseguros.com" TargetMode="External"/><Relationship Id="rId2667" Type="http://schemas.openxmlformats.org/officeDocument/2006/relationships/hyperlink" Target="mailto:mdambrosio@ext.sancorseguros.com" TargetMode="External"/><Relationship Id="rId639" Type="http://schemas.openxmlformats.org/officeDocument/2006/relationships/hyperlink" Target="mailto:camgonzalez@sancorseguros.com" TargetMode="External"/><Relationship Id="rId1269" Type="http://schemas.openxmlformats.org/officeDocument/2006/relationships/hyperlink" Target="mailto:mascallia@sancorseguros.com" TargetMode="External"/><Relationship Id="rId1476" Type="http://schemas.openxmlformats.org/officeDocument/2006/relationships/hyperlink" Target="mailto:mascallia@sancorseguros.com" TargetMode="External"/><Relationship Id="rId2874" Type="http://schemas.openxmlformats.org/officeDocument/2006/relationships/hyperlink" Target="mailto:gleguizamon@ext.sancorseguros.com" TargetMode="External"/><Relationship Id="rId846" Type="http://schemas.openxmlformats.org/officeDocument/2006/relationships/hyperlink" Target="mailto:gmgutierrez@ext.sancorseguros.com" TargetMode="External"/><Relationship Id="rId1129" Type="http://schemas.openxmlformats.org/officeDocument/2006/relationships/hyperlink" Target="mailto:cvaldez@ext.sancorseguros.com" TargetMode="External"/><Relationship Id="rId1683" Type="http://schemas.openxmlformats.org/officeDocument/2006/relationships/hyperlink" Target="mailto:mizzo@ext.sancorseguros.com" TargetMode="External"/><Relationship Id="rId1890" Type="http://schemas.openxmlformats.org/officeDocument/2006/relationships/hyperlink" Target="mailto:bdemiguel@sancorseguros.com" TargetMode="External"/><Relationship Id="rId2527" Type="http://schemas.openxmlformats.org/officeDocument/2006/relationships/hyperlink" Target="mailto:cvaldez@ext.sancorseguros.com" TargetMode="External"/><Relationship Id="rId2734" Type="http://schemas.openxmlformats.org/officeDocument/2006/relationships/hyperlink" Target="mailto:lbarboza@ext.sancorseguros.com" TargetMode="External"/><Relationship Id="rId2941" Type="http://schemas.openxmlformats.org/officeDocument/2006/relationships/hyperlink" Target="mailto:lbarboza@ext.sancorseguros.com" TargetMode="External"/><Relationship Id="rId706" Type="http://schemas.openxmlformats.org/officeDocument/2006/relationships/hyperlink" Target="mailto:lbarboza@ext.sancorseguros.com" TargetMode="External"/><Relationship Id="rId913" Type="http://schemas.openxmlformats.org/officeDocument/2006/relationships/hyperlink" Target="mailto:cvaldez@ext.sancorseguros.com" TargetMode="External"/><Relationship Id="rId1336" Type="http://schemas.openxmlformats.org/officeDocument/2006/relationships/hyperlink" Target="mailto:camgonzalez@sancorseguros.com" TargetMode="External"/><Relationship Id="rId1543" Type="http://schemas.openxmlformats.org/officeDocument/2006/relationships/hyperlink" Target="mailto:abinau@sancorseguros.com" TargetMode="External"/><Relationship Id="rId1750" Type="http://schemas.openxmlformats.org/officeDocument/2006/relationships/hyperlink" Target="mailto:gpachao@sancorseguros.com" TargetMode="External"/><Relationship Id="rId2801" Type="http://schemas.openxmlformats.org/officeDocument/2006/relationships/hyperlink" Target="mailto:mmaccarrone@ext.sancorseguros.com" TargetMode="External"/><Relationship Id="rId42" Type="http://schemas.openxmlformats.org/officeDocument/2006/relationships/hyperlink" Target="mailto:gleguizamon@ext.sancorseguros.com" TargetMode="External"/><Relationship Id="rId1403" Type="http://schemas.openxmlformats.org/officeDocument/2006/relationships/hyperlink" Target="mailto:bdemiguel@sancorseguros.com" TargetMode="External"/><Relationship Id="rId1610" Type="http://schemas.openxmlformats.org/officeDocument/2006/relationships/hyperlink" Target="mailto:mascallia@sancorseguros.com" TargetMode="External"/><Relationship Id="rId3368" Type="http://schemas.openxmlformats.org/officeDocument/2006/relationships/hyperlink" Target="mailto:rmomartinez@sancorseguros.com" TargetMode="External"/><Relationship Id="rId3575" Type="http://schemas.openxmlformats.org/officeDocument/2006/relationships/hyperlink" Target="mailto:cvaldez@ext.sancorseguros.com" TargetMode="External"/><Relationship Id="rId289" Type="http://schemas.openxmlformats.org/officeDocument/2006/relationships/hyperlink" Target="mailto:mizzo@ext.sancorseguros.com" TargetMode="External"/><Relationship Id="rId496" Type="http://schemas.openxmlformats.org/officeDocument/2006/relationships/hyperlink" Target="mailto:abinau@sancorseguros.com" TargetMode="External"/><Relationship Id="rId2177" Type="http://schemas.openxmlformats.org/officeDocument/2006/relationships/hyperlink" Target="mailto:mevangelista@sancorseguros.com" TargetMode="External"/><Relationship Id="rId2384" Type="http://schemas.openxmlformats.org/officeDocument/2006/relationships/hyperlink" Target="mailto:bdemiguel@sancorseguros.com" TargetMode="External"/><Relationship Id="rId2591" Type="http://schemas.openxmlformats.org/officeDocument/2006/relationships/hyperlink" Target="mailto:mascallia@sancorseguros.com" TargetMode="External"/><Relationship Id="rId3228" Type="http://schemas.openxmlformats.org/officeDocument/2006/relationships/hyperlink" Target="mailto:lbarboza@ext.sancorseguros.com" TargetMode="External"/><Relationship Id="rId3435" Type="http://schemas.openxmlformats.org/officeDocument/2006/relationships/hyperlink" Target="mailto:cvaldez@ext.sancorseguros.com" TargetMode="External"/><Relationship Id="rId3642" Type="http://schemas.openxmlformats.org/officeDocument/2006/relationships/hyperlink" Target="mailto:milmartinez@ext.sancorseguros.com" TargetMode="External"/><Relationship Id="rId149" Type="http://schemas.openxmlformats.org/officeDocument/2006/relationships/hyperlink" Target="mailto:dbenitez@sancorseguros.com" TargetMode="External"/><Relationship Id="rId356" Type="http://schemas.openxmlformats.org/officeDocument/2006/relationships/hyperlink" Target="mailto:madecarvalho@sancorseguros.com" TargetMode="External"/><Relationship Id="rId563" Type="http://schemas.openxmlformats.org/officeDocument/2006/relationships/hyperlink" Target="mailto:gleguizamon@ext.sancorseguros.com" TargetMode="External"/><Relationship Id="rId770" Type="http://schemas.openxmlformats.org/officeDocument/2006/relationships/hyperlink" Target="mailto:mmaccarrone@ext.sancorseguros.com" TargetMode="External"/><Relationship Id="rId1193" Type="http://schemas.openxmlformats.org/officeDocument/2006/relationships/hyperlink" Target="mailto:fsantorum@sancorseguros.com" TargetMode="External"/><Relationship Id="rId2037" Type="http://schemas.openxmlformats.org/officeDocument/2006/relationships/hyperlink" Target="mailto:jsandoval@sancorseguros.com" TargetMode="External"/><Relationship Id="rId2244" Type="http://schemas.openxmlformats.org/officeDocument/2006/relationships/hyperlink" Target="mailto:madecarvalho@sancorseguros.com" TargetMode="External"/><Relationship Id="rId2451" Type="http://schemas.openxmlformats.org/officeDocument/2006/relationships/hyperlink" Target="mailto:gleguizamon@ext.sancorseguros.com" TargetMode="External"/><Relationship Id="rId216" Type="http://schemas.openxmlformats.org/officeDocument/2006/relationships/hyperlink" Target="mailto:VGuisado@sancorseguros.com" TargetMode="External"/><Relationship Id="rId423" Type="http://schemas.openxmlformats.org/officeDocument/2006/relationships/hyperlink" Target="mailto:mizzo@ext.sancorseguros.com" TargetMode="External"/><Relationship Id="rId1053" Type="http://schemas.openxmlformats.org/officeDocument/2006/relationships/hyperlink" Target="mailto:gleguizamon@ext.sancorseguros.com" TargetMode="External"/><Relationship Id="rId1260" Type="http://schemas.openxmlformats.org/officeDocument/2006/relationships/hyperlink" Target="mailto:mmaccarrone@ext.sancorseguros.com" TargetMode="External"/><Relationship Id="rId2104" Type="http://schemas.openxmlformats.org/officeDocument/2006/relationships/hyperlink" Target="mailto:amrodriguez@sancorseguros.com" TargetMode="External"/><Relationship Id="rId3502" Type="http://schemas.openxmlformats.org/officeDocument/2006/relationships/hyperlink" Target="mailto:msasso@sancorseguros.com" TargetMode="External"/><Relationship Id="rId630" Type="http://schemas.openxmlformats.org/officeDocument/2006/relationships/hyperlink" Target="mailto:milmartinez@ext.sancorseguros.com" TargetMode="External"/><Relationship Id="rId2311" Type="http://schemas.openxmlformats.org/officeDocument/2006/relationships/hyperlink" Target="mailto:mascallia@sancorseguros.com" TargetMode="External"/><Relationship Id="rId1120" Type="http://schemas.openxmlformats.org/officeDocument/2006/relationships/hyperlink" Target="mailto:rmomartinez@sancorseguros.com" TargetMode="External"/><Relationship Id="rId1937" Type="http://schemas.openxmlformats.org/officeDocument/2006/relationships/hyperlink" Target="mailto:pgirardin@sancorseguros.com" TargetMode="External"/><Relationship Id="rId3085" Type="http://schemas.openxmlformats.org/officeDocument/2006/relationships/hyperlink" Target="mailto:pasalcedo@sancorseguros.com" TargetMode="External"/><Relationship Id="rId3292" Type="http://schemas.openxmlformats.org/officeDocument/2006/relationships/hyperlink" Target="mailto:gpachao@sancorseguros.com" TargetMode="External"/><Relationship Id="rId3152" Type="http://schemas.openxmlformats.org/officeDocument/2006/relationships/hyperlink" Target="mailto:bdemiguel@sancorseguros.com" TargetMode="External"/><Relationship Id="rId280" Type="http://schemas.openxmlformats.org/officeDocument/2006/relationships/hyperlink" Target="mailto:rmomartinez@sancorseguros.com" TargetMode="External"/><Relationship Id="rId3012" Type="http://schemas.openxmlformats.org/officeDocument/2006/relationships/hyperlink" Target="mailto:pmalchiodi@sancorseguros.com" TargetMode="External"/><Relationship Id="rId140" Type="http://schemas.openxmlformats.org/officeDocument/2006/relationships/hyperlink" Target="mailto:mkester@sancorseguros.com" TargetMode="External"/><Relationship Id="rId6" Type="http://schemas.openxmlformats.org/officeDocument/2006/relationships/hyperlink" Target="mailto:camgonzalez@sancorseguros.com" TargetMode="External"/><Relationship Id="rId2778" Type="http://schemas.openxmlformats.org/officeDocument/2006/relationships/hyperlink" Target="mailto:mmaccarrone@ext.sancorseguros.com" TargetMode="External"/><Relationship Id="rId2985" Type="http://schemas.openxmlformats.org/officeDocument/2006/relationships/hyperlink" Target="mailto:mizzo@ext.sancorseguros.com" TargetMode="External"/><Relationship Id="rId957" Type="http://schemas.openxmlformats.org/officeDocument/2006/relationships/hyperlink" Target="mailto:gmgutierrez@ext.sancorseguros.com" TargetMode="External"/><Relationship Id="rId1587" Type="http://schemas.openxmlformats.org/officeDocument/2006/relationships/hyperlink" Target="mailto:milmartinez@ext.sancorseguros.com" TargetMode="External"/><Relationship Id="rId1794" Type="http://schemas.openxmlformats.org/officeDocument/2006/relationships/hyperlink" Target="mailto:mevangelista@sancorseguros.com" TargetMode="External"/><Relationship Id="rId2638" Type="http://schemas.openxmlformats.org/officeDocument/2006/relationships/hyperlink" Target="mailto:rmomartinez@sancorseguros.com" TargetMode="External"/><Relationship Id="rId2845" Type="http://schemas.openxmlformats.org/officeDocument/2006/relationships/hyperlink" Target="mailto:fsantorum@sancorseguros.com" TargetMode="External"/><Relationship Id="rId86" Type="http://schemas.openxmlformats.org/officeDocument/2006/relationships/hyperlink" Target="mailto:mizzo@ext.sancorseguros.com" TargetMode="External"/><Relationship Id="rId817" Type="http://schemas.openxmlformats.org/officeDocument/2006/relationships/hyperlink" Target="mailto:bdemiguel@sancorseguros.com" TargetMode="External"/><Relationship Id="rId1447" Type="http://schemas.openxmlformats.org/officeDocument/2006/relationships/hyperlink" Target="mailto:gleguizamon@ext.sancorseguros.com" TargetMode="External"/><Relationship Id="rId1654" Type="http://schemas.openxmlformats.org/officeDocument/2006/relationships/hyperlink" Target="mailto:mascallia@sancorseguros.com" TargetMode="External"/><Relationship Id="rId1861" Type="http://schemas.openxmlformats.org/officeDocument/2006/relationships/hyperlink" Target="mailto:fsantorum@sancorseguros.com" TargetMode="External"/><Relationship Id="rId2705" Type="http://schemas.openxmlformats.org/officeDocument/2006/relationships/hyperlink" Target="mailto:vcingolani@sancorseguros.com" TargetMode="External"/><Relationship Id="rId2912" Type="http://schemas.openxmlformats.org/officeDocument/2006/relationships/hyperlink" Target="mailto:mizzo@ext.sancorseguros.com" TargetMode="External"/><Relationship Id="rId1307" Type="http://schemas.openxmlformats.org/officeDocument/2006/relationships/hyperlink" Target="mailto:cpavon@sancorseguros.com" TargetMode="External"/><Relationship Id="rId1514" Type="http://schemas.openxmlformats.org/officeDocument/2006/relationships/hyperlink" Target="mailto:milmartinez@ext.sancorseguros.com" TargetMode="External"/><Relationship Id="rId1721" Type="http://schemas.openxmlformats.org/officeDocument/2006/relationships/hyperlink" Target="mailto:camgonzalez@sancorseguros.com" TargetMode="External"/><Relationship Id="rId13" Type="http://schemas.openxmlformats.org/officeDocument/2006/relationships/hyperlink" Target="mailto:mizzo@ext.sancorseguros.com" TargetMode="External"/><Relationship Id="rId3479" Type="http://schemas.openxmlformats.org/officeDocument/2006/relationships/hyperlink" Target="mailto:gmgutierrez@ext.sancorseguros.com" TargetMode="External"/><Relationship Id="rId2288" Type="http://schemas.openxmlformats.org/officeDocument/2006/relationships/hyperlink" Target="mailto:cvaldez@ext.sancorseguros.com" TargetMode="External"/><Relationship Id="rId2495" Type="http://schemas.openxmlformats.org/officeDocument/2006/relationships/hyperlink" Target="mailto:jboulle@sancorseguros.com" TargetMode="External"/><Relationship Id="rId3339" Type="http://schemas.openxmlformats.org/officeDocument/2006/relationships/hyperlink" Target="mailto:mizzo@ext.sancorseguros.com" TargetMode="External"/><Relationship Id="rId467" Type="http://schemas.openxmlformats.org/officeDocument/2006/relationships/hyperlink" Target="mailto:rmomartinez@sancorseguros.com" TargetMode="External"/><Relationship Id="rId1097" Type="http://schemas.openxmlformats.org/officeDocument/2006/relationships/hyperlink" Target="mailto:dtoledo@sancorseguros.com" TargetMode="External"/><Relationship Id="rId2148" Type="http://schemas.openxmlformats.org/officeDocument/2006/relationships/hyperlink" Target="mailto:gmgutierrez@ext.sancorseguros.com" TargetMode="External"/><Relationship Id="rId3546" Type="http://schemas.openxmlformats.org/officeDocument/2006/relationships/hyperlink" Target="mailto:gleguizamon@ext.sancorseguros.com" TargetMode="External"/><Relationship Id="rId674" Type="http://schemas.openxmlformats.org/officeDocument/2006/relationships/hyperlink" Target="mailto:mizzo@ext.sancorseguros.com" TargetMode="External"/><Relationship Id="rId881" Type="http://schemas.openxmlformats.org/officeDocument/2006/relationships/hyperlink" Target="mailto:dtoledo@sancorseguros.com" TargetMode="External"/><Relationship Id="rId2355" Type="http://schemas.openxmlformats.org/officeDocument/2006/relationships/hyperlink" Target="mailto:lbarboza@ext.sancorseguros.com" TargetMode="External"/><Relationship Id="rId2562" Type="http://schemas.openxmlformats.org/officeDocument/2006/relationships/hyperlink" Target="mailto:czardain@sancorseguros.com" TargetMode="External"/><Relationship Id="rId3406" Type="http://schemas.openxmlformats.org/officeDocument/2006/relationships/hyperlink" Target="mailto:pmalchiodi@sancorseguros.com" TargetMode="External"/><Relationship Id="rId3613" Type="http://schemas.openxmlformats.org/officeDocument/2006/relationships/hyperlink" Target="mailto:lbarboza@ext.sancorseguros.com" TargetMode="External"/><Relationship Id="rId327" Type="http://schemas.openxmlformats.org/officeDocument/2006/relationships/hyperlink" Target="mailto:rmomartinez@sancorseguros.com" TargetMode="External"/><Relationship Id="rId534" Type="http://schemas.openxmlformats.org/officeDocument/2006/relationships/hyperlink" Target="mailto:mevangelista@sancorseguros.com" TargetMode="External"/><Relationship Id="rId741" Type="http://schemas.openxmlformats.org/officeDocument/2006/relationships/hyperlink" Target="mailto:camgonzalez@sancorseguros.com" TargetMode="External"/><Relationship Id="rId1164" Type="http://schemas.openxmlformats.org/officeDocument/2006/relationships/hyperlink" Target="mailto:lbarboza@ext.sancorseguros.com" TargetMode="External"/><Relationship Id="rId1371" Type="http://schemas.openxmlformats.org/officeDocument/2006/relationships/hyperlink" Target="mailto:abinau@sancorseguros.com" TargetMode="External"/><Relationship Id="rId2008" Type="http://schemas.openxmlformats.org/officeDocument/2006/relationships/hyperlink" Target="mailto:abinau@sancorseguros.com" TargetMode="External"/><Relationship Id="rId2215" Type="http://schemas.openxmlformats.org/officeDocument/2006/relationships/hyperlink" Target="mailto:lbarboza@ext.sancorseguros.com" TargetMode="External"/><Relationship Id="rId2422" Type="http://schemas.openxmlformats.org/officeDocument/2006/relationships/hyperlink" Target="mailto:lbarboza@ext.sancorseguros.com" TargetMode="External"/><Relationship Id="rId601" Type="http://schemas.openxmlformats.org/officeDocument/2006/relationships/hyperlink" Target="mailto:gmgutierrez@ext.sancorseguros.com" TargetMode="External"/><Relationship Id="rId1024" Type="http://schemas.openxmlformats.org/officeDocument/2006/relationships/hyperlink" Target="mailto:fsantorum@sancorseguros.com" TargetMode="External"/><Relationship Id="rId1231" Type="http://schemas.openxmlformats.org/officeDocument/2006/relationships/hyperlink" Target="mailto:madecarvalho@sancorseguros.com" TargetMode="External"/><Relationship Id="rId3196" Type="http://schemas.openxmlformats.org/officeDocument/2006/relationships/hyperlink" Target="mailto:mizzo@ext.sancorseguros.com" TargetMode="External"/><Relationship Id="rId3056" Type="http://schemas.openxmlformats.org/officeDocument/2006/relationships/hyperlink" Target="mailto:gpachao@sancorseguros.com" TargetMode="External"/><Relationship Id="rId3263" Type="http://schemas.openxmlformats.org/officeDocument/2006/relationships/hyperlink" Target="mailto:anunzio@sancorseguros.com" TargetMode="External"/><Relationship Id="rId3470" Type="http://schemas.openxmlformats.org/officeDocument/2006/relationships/hyperlink" Target="mailto:glezcano@sancorseguros.com" TargetMode="External"/><Relationship Id="rId184" Type="http://schemas.openxmlformats.org/officeDocument/2006/relationships/hyperlink" Target="mailto:gleguizamon@ext.sancorseguros.com" TargetMode="External"/><Relationship Id="rId391" Type="http://schemas.openxmlformats.org/officeDocument/2006/relationships/hyperlink" Target="mailto:milmartinez@ext.sancorseguros.com" TargetMode="External"/><Relationship Id="rId1908" Type="http://schemas.openxmlformats.org/officeDocument/2006/relationships/hyperlink" Target="mailto:rmomartinez@sancorseguros.com" TargetMode="External"/><Relationship Id="rId2072" Type="http://schemas.openxmlformats.org/officeDocument/2006/relationships/hyperlink" Target="mailto:anunzio@sancorseguros.com" TargetMode="External"/><Relationship Id="rId3123" Type="http://schemas.openxmlformats.org/officeDocument/2006/relationships/hyperlink" Target="mailto:cvaldez@ext.sancorseguros.com" TargetMode="External"/><Relationship Id="rId251" Type="http://schemas.openxmlformats.org/officeDocument/2006/relationships/hyperlink" Target="mailto:gmgutierrez@ext.sancorseguros.com" TargetMode="External"/><Relationship Id="rId3330" Type="http://schemas.openxmlformats.org/officeDocument/2006/relationships/hyperlink" Target="mailto:pasalcedo@sancorseguros.com" TargetMode="External"/><Relationship Id="rId2889" Type="http://schemas.openxmlformats.org/officeDocument/2006/relationships/hyperlink" Target="mailto:rfernandez@sancorseguros.com" TargetMode="External"/><Relationship Id="rId111" Type="http://schemas.openxmlformats.org/officeDocument/2006/relationships/hyperlink" Target="mailto:anunzio@sancorseguros.com" TargetMode="External"/><Relationship Id="rId1698" Type="http://schemas.openxmlformats.org/officeDocument/2006/relationships/hyperlink" Target="mailto:mmaccarrone@ext.sancorseguros.com" TargetMode="External"/><Relationship Id="rId2749" Type="http://schemas.openxmlformats.org/officeDocument/2006/relationships/hyperlink" Target="mailto:madecarvalho@sancorseguros.com" TargetMode="External"/><Relationship Id="rId2956" Type="http://schemas.openxmlformats.org/officeDocument/2006/relationships/hyperlink" Target="mailto:dtoledo@sancorseguros.com" TargetMode="External"/><Relationship Id="rId928" Type="http://schemas.openxmlformats.org/officeDocument/2006/relationships/hyperlink" Target="mailto:mmaccarrone@ext.sancorseguros.com" TargetMode="External"/><Relationship Id="rId1558" Type="http://schemas.openxmlformats.org/officeDocument/2006/relationships/hyperlink" Target="mailto:lbarboza@ext.sancorseguros.com" TargetMode="External"/><Relationship Id="rId1765" Type="http://schemas.openxmlformats.org/officeDocument/2006/relationships/hyperlink" Target="mailto:mizzo@ext.sancorseguros.com" TargetMode="External"/><Relationship Id="rId2609" Type="http://schemas.openxmlformats.org/officeDocument/2006/relationships/hyperlink" Target="mailto:cvaldez@ext.sancorseguros.com" TargetMode="External"/><Relationship Id="rId57" Type="http://schemas.openxmlformats.org/officeDocument/2006/relationships/hyperlink" Target="mailto:bdemiguel@sancorseguros.com" TargetMode="External"/><Relationship Id="rId1418" Type="http://schemas.openxmlformats.org/officeDocument/2006/relationships/hyperlink" Target="mailto:rmomartinez@sancorseguros.com" TargetMode="External"/><Relationship Id="rId1972" Type="http://schemas.openxmlformats.org/officeDocument/2006/relationships/hyperlink" Target="mailto:pmalchiodi@sancorseguros.com" TargetMode="External"/><Relationship Id="rId2816" Type="http://schemas.openxmlformats.org/officeDocument/2006/relationships/hyperlink" Target="mailto:anunzio@sancorseguros.com" TargetMode="External"/><Relationship Id="rId1625" Type="http://schemas.openxmlformats.org/officeDocument/2006/relationships/hyperlink" Target="mailto:mizzo@ext.sancorseguros.com" TargetMode="External"/><Relationship Id="rId1832" Type="http://schemas.openxmlformats.org/officeDocument/2006/relationships/hyperlink" Target="mailto:cpavon@sancorseguros.com" TargetMode="External"/><Relationship Id="rId2399" Type="http://schemas.openxmlformats.org/officeDocument/2006/relationships/hyperlink" Target="mailto:mascallia@sancorseguros.com" TargetMode="External"/><Relationship Id="rId578" Type="http://schemas.openxmlformats.org/officeDocument/2006/relationships/hyperlink" Target="mailto:cpavon@sancorseguros.com" TargetMode="External"/><Relationship Id="rId785" Type="http://schemas.openxmlformats.org/officeDocument/2006/relationships/hyperlink" Target="mailto:cpavon@sancorseguros.com" TargetMode="External"/><Relationship Id="rId992" Type="http://schemas.openxmlformats.org/officeDocument/2006/relationships/hyperlink" Target="mailto:rmomartinez@sancorseguros.com" TargetMode="External"/><Relationship Id="rId2259" Type="http://schemas.openxmlformats.org/officeDocument/2006/relationships/hyperlink" Target="mailto:amarco@sancorseguros.com" TargetMode="External"/><Relationship Id="rId2466" Type="http://schemas.openxmlformats.org/officeDocument/2006/relationships/hyperlink" Target="mailto:cpavon@sancorseguros.com" TargetMode="External"/><Relationship Id="rId2673" Type="http://schemas.openxmlformats.org/officeDocument/2006/relationships/hyperlink" Target="mailto:abinau@sancorseguros.com" TargetMode="External"/><Relationship Id="rId2880" Type="http://schemas.openxmlformats.org/officeDocument/2006/relationships/hyperlink" Target="mailto:lbarboza@ext.sancorseguros.com" TargetMode="External"/><Relationship Id="rId3517" Type="http://schemas.openxmlformats.org/officeDocument/2006/relationships/hyperlink" Target="mailto:mascallia@sancorseguros.com" TargetMode="External"/><Relationship Id="rId438" Type="http://schemas.openxmlformats.org/officeDocument/2006/relationships/hyperlink" Target="mailto:mascallia@sancorseguros.com" TargetMode="External"/><Relationship Id="rId645" Type="http://schemas.openxmlformats.org/officeDocument/2006/relationships/hyperlink" Target="mailto:mizzo@ext.sancorseguros.com" TargetMode="External"/><Relationship Id="rId852" Type="http://schemas.openxmlformats.org/officeDocument/2006/relationships/hyperlink" Target="mailto:rmomartinez@sancorseguros.com" TargetMode="External"/><Relationship Id="rId1068" Type="http://schemas.openxmlformats.org/officeDocument/2006/relationships/hyperlink" Target="mailto:gmgutierrez@ext.sancorseguros.com" TargetMode="External"/><Relationship Id="rId1275" Type="http://schemas.openxmlformats.org/officeDocument/2006/relationships/hyperlink" Target="mailto:mmaccarrone@ext.sancorseguros.com" TargetMode="External"/><Relationship Id="rId1482" Type="http://schemas.openxmlformats.org/officeDocument/2006/relationships/hyperlink" Target="mailto:bdemiguel@sancorseguros.com" TargetMode="External"/><Relationship Id="rId2119" Type="http://schemas.openxmlformats.org/officeDocument/2006/relationships/hyperlink" Target="mailto:cvaldez@ext.sancorseguros.com" TargetMode="External"/><Relationship Id="rId2326" Type="http://schemas.openxmlformats.org/officeDocument/2006/relationships/hyperlink" Target="mailto:pasalcedo@sancorseguros.com" TargetMode="External"/><Relationship Id="rId2533" Type="http://schemas.openxmlformats.org/officeDocument/2006/relationships/hyperlink" Target="mailto:amrodriguez@sancorseguros.com" TargetMode="External"/><Relationship Id="rId2740" Type="http://schemas.openxmlformats.org/officeDocument/2006/relationships/hyperlink" Target="mailto:cvaldez@ext.sancorseguros.com" TargetMode="External"/><Relationship Id="rId505" Type="http://schemas.openxmlformats.org/officeDocument/2006/relationships/hyperlink" Target="mailto:madecarvalho@sancorseguros.com" TargetMode="External"/><Relationship Id="rId712" Type="http://schemas.openxmlformats.org/officeDocument/2006/relationships/hyperlink" Target="mailto:mevangelista@sancorseguros.com" TargetMode="External"/><Relationship Id="rId1135" Type="http://schemas.openxmlformats.org/officeDocument/2006/relationships/hyperlink" Target="mailto:dtoledo@sancorseguros.com" TargetMode="External"/><Relationship Id="rId1342" Type="http://schemas.openxmlformats.org/officeDocument/2006/relationships/hyperlink" Target="mailto:camgonzalez@sancorseguros.com" TargetMode="External"/><Relationship Id="rId1202" Type="http://schemas.openxmlformats.org/officeDocument/2006/relationships/hyperlink" Target="mailto:rmomartinez@sancorseguros.com" TargetMode="External"/><Relationship Id="rId2600" Type="http://schemas.openxmlformats.org/officeDocument/2006/relationships/hyperlink" Target="mailto:hrorpizikian@sancorseguros.com" TargetMode="External"/><Relationship Id="rId3167" Type="http://schemas.openxmlformats.org/officeDocument/2006/relationships/hyperlink" Target="mailto:mgunther@sancorseguros.com" TargetMode="External"/><Relationship Id="rId295" Type="http://schemas.openxmlformats.org/officeDocument/2006/relationships/hyperlink" Target="mailto:pmalchiodi@sancorseguros.com" TargetMode="External"/><Relationship Id="rId3374" Type="http://schemas.openxmlformats.org/officeDocument/2006/relationships/hyperlink" Target="mailto:mizzo@ext.sancorseguros.com" TargetMode="External"/><Relationship Id="rId3581" Type="http://schemas.openxmlformats.org/officeDocument/2006/relationships/hyperlink" Target="mailto:lbarboza@ext.sancorseguros.com" TargetMode="External"/><Relationship Id="rId2183" Type="http://schemas.openxmlformats.org/officeDocument/2006/relationships/hyperlink" Target="mailto:lbarboza@ext.sancorseguros.com" TargetMode="External"/><Relationship Id="rId2390" Type="http://schemas.openxmlformats.org/officeDocument/2006/relationships/hyperlink" Target="mailto:mascallia@sancorseguros.com" TargetMode="External"/><Relationship Id="rId3027" Type="http://schemas.openxmlformats.org/officeDocument/2006/relationships/hyperlink" Target="mailto:rfernandez@sancorseguros.com" TargetMode="External"/><Relationship Id="rId3234" Type="http://schemas.openxmlformats.org/officeDocument/2006/relationships/hyperlink" Target="mailto:fsantorum@sancorseguros.com" TargetMode="External"/><Relationship Id="rId3441" Type="http://schemas.openxmlformats.org/officeDocument/2006/relationships/hyperlink" Target="mailto:lbarboza@ext.sancorseguros.com" TargetMode="External"/><Relationship Id="rId155" Type="http://schemas.openxmlformats.org/officeDocument/2006/relationships/hyperlink" Target="mailto:mizzo@ext.sancorseguros.com" TargetMode="External"/><Relationship Id="rId362" Type="http://schemas.openxmlformats.org/officeDocument/2006/relationships/hyperlink" Target="mailto:mizzo@ext.sancorseguros.com" TargetMode="External"/><Relationship Id="rId2043" Type="http://schemas.openxmlformats.org/officeDocument/2006/relationships/hyperlink" Target="mailto:cpavon@sancorseguros.com" TargetMode="External"/><Relationship Id="rId2250" Type="http://schemas.openxmlformats.org/officeDocument/2006/relationships/hyperlink" Target="mailto:abinau@sancorseguros.com" TargetMode="External"/><Relationship Id="rId3301" Type="http://schemas.openxmlformats.org/officeDocument/2006/relationships/hyperlink" Target="mailto:bdemiguel@sancorseguros.com" TargetMode="External"/><Relationship Id="rId222" Type="http://schemas.openxmlformats.org/officeDocument/2006/relationships/hyperlink" Target="mailto:mmaccarrone@ext.sancorseguros.com" TargetMode="External"/><Relationship Id="rId2110" Type="http://schemas.openxmlformats.org/officeDocument/2006/relationships/hyperlink" Target="mailto:pmalchiodi@sancorseguros.com" TargetMode="External"/><Relationship Id="rId1669" Type="http://schemas.openxmlformats.org/officeDocument/2006/relationships/hyperlink" Target="mailto:cvaldez@ext.sancorseguros.com" TargetMode="External"/><Relationship Id="rId1876" Type="http://schemas.openxmlformats.org/officeDocument/2006/relationships/hyperlink" Target="mailto:miiglesias@ext.sancorseguros.com" TargetMode="External"/><Relationship Id="rId2927" Type="http://schemas.openxmlformats.org/officeDocument/2006/relationships/hyperlink" Target="mailto:vloray@ext.sancorseguros.com" TargetMode="External"/><Relationship Id="rId3091" Type="http://schemas.openxmlformats.org/officeDocument/2006/relationships/hyperlink" Target="mailto:vloray@ext.sancorseguros.com" TargetMode="External"/><Relationship Id="rId1529" Type="http://schemas.openxmlformats.org/officeDocument/2006/relationships/hyperlink" Target="mailto:cpavon@sancorseguros.com" TargetMode="External"/><Relationship Id="rId1736" Type="http://schemas.openxmlformats.org/officeDocument/2006/relationships/hyperlink" Target="mailto:mizzo@ext.sancorseguros.com" TargetMode="External"/><Relationship Id="rId1943" Type="http://schemas.openxmlformats.org/officeDocument/2006/relationships/hyperlink" Target="mailto:camgonzalez@sancorseguros.com" TargetMode="External"/><Relationship Id="rId28" Type="http://schemas.openxmlformats.org/officeDocument/2006/relationships/hyperlink" Target="mailto:mizzo@ext.sancorseguros.com" TargetMode="External"/><Relationship Id="rId1803" Type="http://schemas.openxmlformats.org/officeDocument/2006/relationships/hyperlink" Target="mailto:cpavon@sancorseguros.com" TargetMode="External"/><Relationship Id="rId689" Type="http://schemas.openxmlformats.org/officeDocument/2006/relationships/hyperlink" Target="mailto:cvaldez@ext.sancorseguros.com" TargetMode="External"/><Relationship Id="rId896" Type="http://schemas.openxmlformats.org/officeDocument/2006/relationships/hyperlink" Target="mailto:fsantorum@sancorseguros.com" TargetMode="External"/><Relationship Id="rId2577" Type="http://schemas.openxmlformats.org/officeDocument/2006/relationships/hyperlink" Target="mailto:gpachao@sancorseguros.com" TargetMode="External"/><Relationship Id="rId2784" Type="http://schemas.openxmlformats.org/officeDocument/2006/relationships/hyperlink" Target="mailto:jsperoni@ext.sancorseguros.com" TargetMode="External"/><Relationship Id="rId3628" Type="http://schemas.openxmlformats.org/officeDocument/2006/relationships/hyperlink" Target="mailto:abinau@sancorseguros.com" TargetMode="External"/><Relationship Id="rId549" Type="http://schemas.openxmlformats.org/officeDocument/2006/relationships/hyperlink" Target="mailto:mkester@sancorseguros.com" TargetMode="External"/><Relationship Id="rId756" Type="http://schemas.openxmlformats.org/officeDocument/2006/relationships/hyperlink" Target="mailto:mizzo@ext.sancorseguros.com" TargetMode="External"/><Relationship Id="rId1179" Type="http://schemas.openxmlformats.org/officeDocument/2006/relationships/hyperlink" Target="mailto:milmartinez@ext.sancorseguros.com" TargetMode="External"/><Relationship Id="rId1386" Type="http://schemas.openxmlformats.org/officeDocument/2006/relationships/hyperlink" Target="mailto:cvaldez@ext.sancorseguros.com" TargetMode="External"/><Relationship Id="rId1593" Type="http://schemas.openxmlformats.org/officeDocument/2006/relationships/hyperlink" Target="mailto:mizzo@ext.sancorseguros.com" TargetMode="External"/><Relationship Id="rId2437" Type="http://schemas.openxmlformats.org/officeDocument/2006/relationships/hyperlink" Target="mailto:gpachao@sancorseguros.com" TargetMode="External"/><Relationship Id="rId2991" Type="http://schemas.openxmlformats.org/officeDocument/2006/relationships/hyperlink" Target="mailto:mkester@sancorseguros.com" TargetMode="External"/><Relationship Id="rId409" Type="http://schemas.openxmlformats.org/officeDocument/2006/relationships/hyperlink" Target="mailto:cvaldez@ext.sancorseguros.com" TargetMode="External"/><Relationship Id="rId963" Type="http://schemas.openxmlformats.org/officeDocument/2006/relationships/hyperlink" Target="mailto:mascallia@sancorseguros.com" TargetMode="External"/><Relationship Id="rId1039" Type="http://schemas.openxmlformats.org/officeDocument/2006/relationships/hyperlink" Target="mailto:amrodriguez@sancorseguros.com" TargetMode="External"/><Relationship Id="rId1246" Type="http://schemas.openxmlformats.org/officeDocument/2006/relationships/hyperlink" Target="mailto:rmomartinez@sancorseguros.com" TargetMode="External"/><Relationship Id="rId2644" Type="http://schemas.openxmlformats.org/officeDocument/2006/relationships/hyperlink" Target="mailto:lbarboza@ext.sancorseguros.com" TargetMode="External"/><Relationship Id="rId2851" Type="http://schemas.openxmlformats.org/officeDocument/2006/relationships/hyperlink" Target="mailto:pmalchiodi@sancorseguros.com" TargetMode="External"/><Relationship Id="rId92" Type="http://schemas.openxmlformats.org/officeDocument/2006/relationships/hyperlink" Target="mailto:milmartinez@ext.sancorseguros.com" TargetMode="External"/><Relationship Id="rId616" Type="http://schemas.openxmlformats.org/officeDocument/2006/relationships/hyperlink" Target="mailto:mizzo@ext.sancorseguros.com" TargetMode="External"/><Relationship Id="rId823" Type="http://schemas.openxmlformats.org/officeDocument/2006/relationships/hyperlink" Target="mailto:bdemiguel@sancorseguros.com" TargetMode="External"/><Relationship Id="rId1453" Type="http://schemas.openxmlformats.org/officeDocument/2006/relationships/hyperlink" Target="mailto:madecarvalho@sancorseguros.com" TargetMode="External"/><Relationship Id="rId1660" Type="http://schemas.openxmlformats.org/officeDocument/2006/relationships/hyperlink" Target="mailto:madecarvalho@sancorseguros.com" TargetMode="External"/><Relationship Id="rId2504" Type="http://schemas.openxmlformats.org/officeDocument/2006/relationships/hyperlink" Target="mailto:czardain@sancorseguros.com" TargetMode="External"/><Relationship Id="rId2711" Type="http://schemas.openxmlformats.org/officeDocument/2006/relationships/hyperlink" Target="mailto:mizzo@ext.sancorseguros.com" TargetMode="External"/><Relationship Id="rId1106" Type="http://schemas.openxmlformats.org/officeDocument/2006/relationships/hyperlink" Target="mailto:gmgutierrez@ext.sancorseguros.com" TargetMode="External"/><Relationship Id="rId1313" Type="http://schemas.openxmlformats.org/officeDocument/2006/relationships/hyperlink" Target="mailto:gleguizamon@ext.sancorseguros.com" TargetMode="External"/><Relationship Id="rId1520" Type="http://schemas.openxmlformats.org/officeDocument/2006/relationships/hyperlink" Target="mailto:camgonzalez@sancorseguros.com" TargetMode="External"/><Relationship Id="rId3278" Type="http://schemas.openxmlformats.org/officeDocument/2006/relationships/hyperlink" Target="mailto:cvaldez@ext.sancorseguros.com" TargetMode="External"/><Relationship Id="rId3485" Type="http://schemas.openxmlformats.org/officeDocument/2006/relationships/hyperlink" Target="mailto:gmgutierrez@ext.sancorseguros.com" TargetMode="External"/><Relationship Id="rId199" Type="http://schemas.openxmlformats.org/officeDocument/2006/relationships/hyperlink" Target="mailto:mascallia@sancorseguros.com" TargetMode="External"/><Relationship Id="rId2087" Type="http://schemas.openxmlformats.org/officeDocument/2006/relationships/hyperlink" Target="mailto:gleguizamon@ext.sancorseguros.com" TargetMode="External"/><Relationship Id="rId2294" Type="http://schemas.openxmlformats.org/officeDocument/2006/relationships/hyperlink" Target="mailto:madecarvalho@sancorseguros.com" TargetMode="External"/><Relationship Id="rId3138" Type="http://schemas.openxmlformats.org/officeDocument/2006/relationships/hyperlink" Target="mailto:abinau@sancorseguros.com" TargetMode="External"/><Relationship Id="rId3345" Type="http://schemas.openxmlformats.org/officeDocument/2006/relationships/hyperlink" Target="mailto:mizzo@ext.sancorseguros.com" TargetMode="External"/><Relationship Id="rId3552" Type="http://schemas.openxmlformats.org/officeDocument/2006/relationships/hyperlink" Target="mailto:lbarboza@ext.sancorseguros.com" TargetMode="External"/><Relationship Id="rId266" Type="http://schemas.openxmlformats.org/officeDocument/2006/relationships/hyperlink" Target="mailto:rfernandez@sancorseguros.com" TargetMode="External"/><Relationship Id="rId473" Type="http://schemas.openxmlformats.org/officeDocument/2006/relationships/hyperlink" Target="mailto:mmaccarrone@ext.sancorseguros.com" TargetMode="External"/><Relationship Id="rId680" Type="http://schemas.openxmlformats.org/officeDocument/2006/relationships/hyperlink" Target="mailto:lbarboza@ext.sancorseguros.com" TargetMode="External"/><Relationship Id="rId2154" Type="http://schemas.openxmlformats.org/officeDocument/2006/relationships/hyperlink" Target="mailto:pmalchiodi@sancorseguros.com" TargetMode="External"/><Relationship Id="rId2361" Type="http://schemas.openxmlformats.org/officeDocument/2006/relationships/hyperlink" Target="mailto:mizzo@ext.sancorseguros.com" TargetMode="External"/><Relationship Id="rId3205" Type="http://schemas.openxmlformats.org/officeDocument/2006/relationships/hyperlink" Target="mailto:lbarboza@ext.sancorseguros.com" TargetMode="External"/><Relationship Id="rId3412" Type="http://schemas.openxmlformats.org/officeDocument/2006/relationships/hyperlink" Target="mailto:hrorpizikian@sancorseguros.com" TargetMode="External"/><Relationship Id="rId126" Type="http://schemas.openxmlformats.org/officeDocument/2006/relationships/hyperlink" Target="mailto:pasalcedo@sancorseguros.com" TargetMode="External"/><Relationship Id="rId333" Type="http://schemas.openxmlformats.org/officeDocument/2006/relationships/hyperlink" Target="mailto:mmaccarrone@ext.sancorseguros.com" TargetMode="External"/><Relationship Id="rId540" Type="http://schemas.openxmlformats.org/officeDocument/2006/relationships/hyperlink" Target="mailto:camgonzalez@sancorseguros.com" TargetMode="External"/><Relationship Id="rId1170" Type="http://schemas.openxmlformats.org/officeDocument/2006/relationships/hyperlink" Target="mailto:cvaldez@ext.sancorseguros.com" TargetMode="External"/><Relationship Id="rId2014" Type="http://schemas.openxmlformats.org/officeDocument/2006/relationships/hyperlink" Target="mailto:rmomartinez@sancorseguros.com" TargetMode="External"/><Relationship Id="rId2221" Type="http://schemas.openxmlformats.org/officeDocument/2006/relationships/hyperlink" Target="mailto:amrodriguez@sancorseguros.com" TargetMode="External"/><Relationship Id="rId1030" Type="http://schemas.openxmlformats.org/officeDocument/2006/relationships/hyperlink" Target="mailto:camgonzalez@sancorseguros.com" TargetMode="External"/><Relationship Id="rId400" Type="http://schemas.openxmlformats.org/officeDocument/2006/relationships/hyperlink" Target="mailto:mizzo@ext.sancorseguros.com" TargetMode="External"/><Relationship Id="rId1987" Type="http://schemas.openxmlformats.org/officeDocument/2006/relationships/hyperlink" Target="mailto:mkester@sancorseguros.com" TargetMode="External"/><Relationship Id="rId1847" Type="http://schemas.openxmlformats.org/officeDocument/2006/relationships/hyperlink" Target="mailto:lbarboza@ext.sancorseguros.com" TargetMode="External"/><Relationship Id="rId1707" Type="http://schemas.openxmlformats.org/officeDocument/2006/relationships/hyperlink" Target="mailto:mkester@sancorseguros.com" TargetMode="External"/><Relationship Id="rId3062" Type="http://schemas.openxmlformats.org/officeDocument/2006/relationships/hyperlink" Target="mailto:camgonzalez@sancorseguros.com" TargetMode="External"/><Relationship Id="rId190" Type="http://schemas.openxmlformats.org/officeDocument/2006/relationships/hyperlink" Target="mailto:mizzo@ext.sancorseguros.com" TargetMode="External"/><Relationship Id="rId1914" Type="http://schemas.openxmlformats.org/officeDocument/2006/relationships/hyperlink" Target="mailto:pmalchiodi@sancorseguros.com" TargetMode="External"/><Relationship Id="rId2688" Type="http://schemas.openxmlformats.org/officeDocument/2006/relationships/hyperlink" Target="mailto:bdemiguel@sancorseguros.com" TargetMode="External"/><Relationship Id="rId2895" Type="http://schemas.openxmlformats.org/officeDocument/2006/relationships/hyperlink" Target="mailto:abinau@sancorseguros.com" TargetMode="External"/><Relationship Id="rId867" Type="http://schemas.openxmlformats.org/officeDocument/2006/relationships/hyperlink" Target="mailto:lbarboza@ext.sancorseguros.com" TargetMode="External"/><Relationship Id="rId1497" Type="http://schemas.openxmlformats.org/officeDocument/2006/relationships/hyperlink" Target="mailto:lbarboza@ext.sancorseguros.com" TargetMode="External"/><Relationship Id="rId2548" Type="http://schemas.openxmlformats.org/officeDocument/2006/relationships/hyperlink" Target="mailto:mascallia@sancorseguros.com" TargetMode="External"/><Relationship Id="rId2755" Type="http://schemas.openxmlformats.org/officeDocument/2006/relationships/hyperlink" Target="mailto:fsantorum@sancorseguros.com" TargetMode="External"/><Relationship Id="rId2962" Type="http://schemas.openxmlformats.org/officeDocument/2006/relationships/hyperlink" Target="mailto:mizzo@ext.sancorseguros.com" TargetMode="External"/><Relationship Id="rId727" Type="http://schemas.openxmlformats.org/officeDocument/2006/relationships/hyperlink" Target="mailto:mizzo@ext.sancorseguros.com" TargetMode="External"/><Relationship Id="rId934" Type="http://schemas.openxmlformats.org/officeDocument/2006/relationships/hyperlink" Target="mailto:milmartinez@ext.sancorseguros.com" TargetMode="External"/><Relationship Id="rId1357" Type="http://schemas.openxmlformats.org/officeDocument/2006/relationships/hyperlink" Target="mailto:mkester@sancorseguros.com" TargetMode="External"/><Relationship Id="rId1564" Type="http://schemas.openxmlformats.org/officeDocument/2006/relationships/hyperlink" Target="mailto:rmomartinez@sancorseguros.com" TargetMode="External"/><Relationship Id="rId1771" Type="http://schemas.openxmlformats.org/officeDocument/2006/relationships/hyperlink" Target="mailto:mmaccarrone@ext.sancorseguros.com" TargetMode="External"/><Relationship Id="rId2408" Type="http://schemas.openxmlformats.org/officeDocument/2006/relationships/hyperlink" Target="mailto:cpavon@sancorseguros.com" TargetMode="External"/><Relationship Id="rId2615" Type="http://schemas.openxmlformats.org/officeDocument/2006/relationships/hyperlink" Target="mailto:bdemiguel@sancorseguros.com" TargetMode="External"/><Relationship Id="rId2822" Type="http://schemas.openxmlformats.org/officeDocument/2006/relationships/hyperlink" Target="mailto:gleguizamon@ext.sancorseguros.com" TargetMode="External"/><Relationship Id="rId63" Type="http://schemas.openxmlformats.org/officeDocument/2006/relationships/hyperlink" Target="mailto:mizzo@ext.sancorseguros.com" TargetMode="External"/><Relationship Id="rId1217" Type="http://schemas.openxmlformats.org/officeDocument/2006/relationships/hyperlink" Target="mailto:pmalchiodi@sancorseguros.com" TargetMode="External"/><Relationship Id="rId1424" Type="http://schemas.openxmlformats.org/officeDocument/2006/relationships/hyperlink" Target="mailto:gleguizamon@ext.sancorseguros.com" TargetMode="External"/><Relationship Id="rId1631" Type="http://schemas.openxmlformats.org/officeDocument/2006/relationships/hyperlink" Target="mailto:gleguizamon@ext.sancorseguros.com" TargetMode="External"/><Relationship Id="rId3389" Type="http://schemas.openxmlformats.org/officeDocument/2006/relationships/hyperlink" Target="mailto:madecarvalho@sancorseguros.com" TargetMode="External"/><Relationship Id="rId3596" Type="http://schemas.openxmlformats.org/officeDocument/2006/relationships/hyperlink" Target="mailto:lbarboza@ext.sancorseguros.com" TargetMode="External"/><Relationship Id="rId2198" Type="http://schemas.openxmlformats.org/officeDocument/2006/relationships/hyperlink" Target="mailto:fsantorum@sancorseguros.com" TargetMode="External"/><Relationship Id="rId3249" Type="http://schemas.openxmlformats.org/officeDocument/2006/relationships/hyperlink" Target="mailto:cvaldez@ext.sancorseguros.com" TargetMode="External"/><Relationship Id="rId3456" Type="http://schemas.openxmlformats.org/officeDocument/2006/relationships/hyperlink" Target="mailto:camgonzalez@sancorseguros.com" TargetMode="External"/><Relationship Id="rId377" Type="http://schemas.openxmlformats.org/officeDocument/2006/relationships/hyperlink" Target="mailto:nrivas@sancorseguros.com" TargetMode="External"/><Relationship Id="rId584" Type="http://schemas.openxmlformats.org/officeDocument/2006/relationships/hyperlink" Target="mailto:mmaccarrone@ext.sancorseguros.com" TargetMode="External"/><Relationship Id="rId2058" Type="http://schemas.openxmlformats.org/officeDocument/2006/relationships/hyperlink" Target="mailto:vloray@ext.sancorseguros.com" TargetMode="External"/><Relationship Id="rId2265" Type="http://schemas.openxmlformats.org/officeDocument/2006/relationships/hyperlink" Target="mailto:gleguizamon@ext.sancorseguros.com" TargetMode="External"/><Relationship Id="rId3109" Type="http://schemas.openxmlformats.org/officeDocument/2006/relationships/hyperlink" Target="mailto:gmgutierrez@ext.sancorseguros.com" TargetMode="External"/><Relationship Id="rId237" Type="http://schemas.openxmlformats.org/officeDocument/2006/relationships/hyperlink" Target="mailto:bdemiguel@sancorseguros.com" TargetMode="External"/><Relationship Id="rId791" Type="http://schemas.openxmlformats.org/officeDocument/2006/relationships/hyperlink" Target="mailto:mizzo@ext.sancorseguros.com" TargetMode="External"/><Relationship Id="rId1074" Type="http://schemas.openxmlformats.org/officeDocument/2006/relationships/hyperlink" Target="mailto:gmgutierrez@ext.sancorseguros.com" TargetMode="External"/><Relationship Id="rId2472" Type="http://schemas.openxmlformats.org/officeDocument/2006/relationships/hyperlink" Target="mailto:mkester@sancorseguros.com" TargetMode="External"/><Relationship Id="rId3316" Type="http://schemas.openxmlformats.org/officeDocument/2006/relationships/hyperlink" Target="mailto:mizzo@ext.sancorseguros.com" TargetMode="External"/><Relationship Id="rId3523" Type="http://schemas.openxmlformats.org/officeDocument/2006/relationships/hyperlink" Target="mailto:abinau@sancorseguros.com" TargetMode="External"/><Relationship Id="rId444" Type="http://schemas.openxmlformats.org/officeDocument/2006/relationships/hyperlink" Target="mailto:bdemiguel@sancorseguros.com" TargetMode="External"/><Relationship Id="rId651" Type="http://schemas.openxmlformats.org/officeDocument/2006/relationships/hyperlink" Target="mailto:mizzo@ext.sancorseguros.com" TargetMode="External"/><Relationship Id="rId1281" Type="http://schemas.openxmlformats.org/officeDocument/2006/relationships/hyperlink" Target="mailto:mkester@sancorseguros.com" TargetMode="External"/><Relationship Id="rId2125" Type="http://schemas.openxmlformats.org/officeDocument/2006/relationships/hyperlink" Target="mailto:cvaldez@ext.sancorseguros.com" TargetMode="External"/><Relationship Id="rId2332" Type="http://schemas.openxmlformats.org/officeDocument/2006/relationships/hyperlink" Target="mailto:mascallia@sancorseguros.com" TargetMode="External"/><Relationship Id="rId304" Type="http://schemas.openxmlformats.org/officeDocument/2006/relationships/hyperlink" Target="mailto:milmartinez@ext.sancorseguros.com" TargetMode="External"/><Relationship Id="rId511" Type="http://schemas.openxmlformats.org/officeDocument/2006/relationships/hyperlink" Target="mailto:gmgutierrez@ext.sancorseguros.com" TargetMode="External"/><Relationship Id="rId1141" Type="http://schemas.openxmlformats.org/officeDocument/2006/relationships/hyperlink" Target="mailto:lbarboza@ext.sancorseguros.com" TargetMode="External"/><Relationship Id="rId1001" Type="http://schemas.openxmlformats.org/officeDocument/2006/relationships/hyperlink" Target="mailto:rmomartinez@sancorseguros.com" TargetMode="External"/><Relationship Id="rId1958" Type="http://schemas.openxmlformats.org/officeDocument/2006/relationships/hyperlink" Target="mailto:camgonzalez@sancorseguros.com" TargetMode="External"/><Relationship Id="rId3173" Type="http://schemas.openxmlformats.org/officeDocument/2006/relationships/hyperlink" Target="mailto:pmalchiodi@sancorseguros.com" TargetMode="External"/><Relationship Id="rId3380" Type="http://schemas.openxmlformats.org/officeDocument/2006/relationships/hyperlink" Target="mailto:pmalchiodi@sancorseguros.com" TargetMode="External"/><Relationship Id="rId1818" Type="http://schemas.openxmlformats.org/officeDocument/2006/relationships/hyperlink" Target="mailto:madecarvalho@sancorseguros.com" TargetMode="External"/><Relationship Id="rId3033" Type="http://schemas.openxmlformats.org/officeDocument/2006/relationships/hyperlink" Target="mailto:mkester@sancorseguros.com" TargetMode="External"/><Relationship Id="rId3240" Type="http://schemas.openxmlformats.org/officeDocument/2006/relationships/hyperlink" Target="mailto:fsantorum@sancorseguros.com" TargetMode="External"/><Relationship Id="rId161" Type="http://schemas.openxmlformats.org/officeDocument/2006/relationships/hyperlink" Target="mailto:mmaccarrone@ext.sancorseguros.com" TargetMode="External"/><Relationship Id="rId2799" Type="http://schemas.openxmlformats.org/officeDocument/2006/relationships/hyperlink" Target="mailto:dtoledo@sancorseguros.com" TargetMode="External"/><Relationship Id="rId3100" Type="http://schemas.openxmlformats.org/officeDocument/2006/relationships/hyperlink" Target="mailto:lbarboza@ext.sancorseguros.com" TargetMode="External"/><Relationship Id="rId978" Type="http://schemas.openxmlformats.org/officeDocument/2006/relationships/hyperlink" Target="mailto:milmartinez@ext.sancorseguros.com" TargetMode="External"/><Relationship Id="rId2659" Type="http://schemas.openxmlformats.org/officeDocument/2006/relationships/hyperlink" Target="mailto:camgonzalez@sancorseguros.com" TargetMode="External"/><Relationship Id="rId2866" Type="http://schemas.openxmlformats.org/officeDocument/2006/relationships/hyperlink" Target="mailto:mmaccarrone@ext.sancorseguros.com" TargetMode="External"/><Relationship Id="rId838" Type="http://schemas.openxmlformats.org/officeDocument/2006/relationships/hyperlink" Target="mailto:rmomartinez@sancorseguros.com" TargetMode="External"/><Relationship Id="rId1468" Type="http://schemas.openxmlformats.org/officeDocument/2006/relationships/hyperlink" Target="mailto:cvaldez@ext.sancorseguros.com" TargetMode="External"/><Relationship Id="rId1675" Type="http://schemas.openxmlformats.org/officeDocument/2006/relationships/hyperlink" Target="mailto:bdemiguel@sancorseguros.com" TargetMode="External"/><Relationship Id="rId1882" Type="http://schemas.openxmlformats.org/officeDocument/2006/relationships/hyperlink" Target="mailto:pmalchiodi@sancorseguros.com" TargetMode="External"/><Relationship Id="rId2519" Type="http://schemas.openxmlformats.org/officeDocument/2006/relationships/hyperlink" Target="mailto:mkester@sancorseguros.com" TargetMode="External"/><Relationship Id="rId2726" Type="http://schemas.openxmlformats.org/officeDocument/2006/relationships/hyperlink" Target="mailto:jboulle@sancorseguros.com" TargetMode="External"/><Relationship Id="rId1328" Type="http://schemas.openxmlformats.org/officeDocument/2006/relationships/hyperlink" Target="mailto:mkester@sancorseguros.com" TargetMode="External"/><Relationship Id="rId1535" Type="http://schemas.openxmlformats.org/officeDocument/2006/relationships/hyperlink" Target="mailto:rmomartinez@sancorseguros.com" TargetMode="External"/><Relationship Id="rId2933" Type="http://schemas.openxmlformats.org/officeDocument/2006/relationships/hyperlink" Target="mailto:mascallia@sancorseguros.com" TargetMode="External"/><Relationship Id="rId905" Type="http://schemas.openxmlformats.org/officeDocument/2006/relationships/hyperlink" Target="mailto:milmartinez@ext.sancorseguros.com" TargetMode="External"/><Relationship Id="rId1742" Type="http://schemas.openxmlformats.org/officeDocument/2006/relationships/hyperlink" Target="mailto:mmaccarrone@ext.sancorseguros.com" TargetMode="External"/><Relationship Id="rId34" Type="http://schemas.openxmlformats.org/officeDocument/2006/relationships/hyperlink" Target="mailto:gmgutierrez@ext.sancorseguros.com" TargetMode="External"/><Relationship Id="rId1602" Type="http://schemas.openxmlformats.org/officeDocument/2006/relationships/hyperlink" Target="mailto:mizzo@ext.sancorseguros.com" TargetMode="External"/><Relationship Id="rId3567" Type="http://schemas.openxmlformats.org/officeDocument/2006/relationships/hyperlink" Target="mailto:cvaldez@ext.sancorseguros.com" TargetMode="External"/><Relationship Id="rId488" Type="http://schemas.openxmlformats.org/officeDocument/2006/relationships/hyperlink" Target="mailto:anunzio@sancorseguros.com" TargetMode="External"/><Relationship Id="rId695" Type="http://schemas.openxmlformats.org/officeDocument/2006/relationships/hyperlink" Target="mailto:pmalchiodi@sancorseguros.com" TargetMode="External"/><Relationship Id="rId2169" Type="http://schemas.openxmlformats.org/officeDocument/2006/relationships/hyperlink" Target="mailto:rmomartinez@sancorseguros.com" TargetMode="External"/><Relationship Id="rId2376" Type="http://schemas.openxmlformats.org/officeDocument/2006/relationships/hyperlink" Target="mailto:jboulle@sancorseguros.com" TargetMode="External"/><Relationship Id="rId2583" Type="http://schemas.openxmlformats.org/officeDocument/2006/relationships/hyperlink" Target="mailto:mdambrosio@ext.sancorseguros.com" TargetMode="External"/><Relationship Id="rId2790" Type="http://schemas.openxmlformats.org/officeDocument/2006/relationships/hyperlink" Target="mailto:abinau@sancorseguros.com" TargetMode="External"/><Relationship Id="rId3427" Type="http://schemas.openxmlformats.org/officeDocument/2006/relationships/hyperlink" Target="mailto:mmaccarrone@ext.sancorseguros.com" TargetMode="External"/><Relationship Id="rId3634" Type="http://schemas.openxmlformats.org/officeDocument/2006/relationships/hyperlink" Target="mailto:gleguizamon@ext.sancorseguros.com" TargetMode="External"/><Relationship Id="rId348" Type="http://schemas.openxmlformats.org/officeDocument/2006/relationships/hyperlink" Target="mailto:cpavon@sancorseguros.com" TargetMode="External"/><Relationship Id="rId555" Type="http://schemas.openxmlformats.org/officeDocument/2006/relationships/hyperlink" Target="mailto:mizzo@ext.sancorseguros.com" TargetMode="External"/><Relationship Id="rId762" Type="http://schemas.openxmlformats.org/officeDocument/2006/relationships/hyperlink" Target="mailto:mizzo@ext.sancorseguros.com" TargetMode="External"/><Relationship Id="rId1185" Type="http://schemas.openxmlformats.org/officeDocument/2006/relationships/hyperlink" Target="mailto:gmgutierrez@ext.sancorseguros.com" TargetMode="External"/><Relationship Id="rId1392" Type="http://schemas.openxmlformats.org/officeDocument/2006/relationships/hyperlink" Target="mailto:pmalchiodi@sancorseguros.com" TargetMode="External"/><Relationship Id="rId2029" Type="http://schemas.openxmlformats.org/officeDocument/2006/relationships/hyperlink" Target="mailto:mcoiman@sancorseguros.com" TargetMode="External"/><Relationship Id="rId2236" Type="http://schemas.openxmlformats.org/officeDocument/2006/relationships/hyperlink" Target="mailto:rmomartinez@sancorseguros.com" TargetMode="External"/><Relationship Id="rId2443" Type="http://schemas.openxmlformats.org/officeDocument/2006/relationships/hyperlink" Target="mailto:mizzo@ext.sancorseguros.com" TargetMode="External"/><Relationship Id="rId2650" Type="http://schemas.openxmlformats.org/officeDocument/2006/relationships/hyperlink" Target="mailto:mizzo@ext.sancorseguros.com" TargetMode="External"/><Relationship Id="rId208" Type="http://schemas.openxmlformats.org/officeDocument/2006/relationships/hyperlink" Target="mailto:rfernandez@sancorseguros.com" TargetMode="External"/><Relationship Id="rId415" Type="http://schemas.openxmlformats.org/officeDocument/2006/relationships/hyperlink" Target="mailto:milmartinez@ext.sancorseguros.com" TargetMode="External"/><Relationship Id="rId622" Type="http://schemas.openxmlformats.org/officeDocument/2006/relationships/hyperlink" Target="mailto:mizzo@ext.sancorseguros.com" TargetMode="External"/><Relationship Id="rId1045" Type="http://schemas.openxmlformats.org/officeDocument/2006/relationships/hyperlink" Target="mailto:mmaccarrone@ext.sancorseguros.com" TargetMode="External"/><Relationship Id="rId1252" Type="http://schemas.openxmlformats.org/officeDocument/2006/relationships/hyperlink" Target="mailto:camgonzalez@sancorseguros.com" TargetMode="External"/><Relationship Id="rId2303" Type="http://schemas.openxmlformats.org/officeDocument/2006/relationships/hyperlink" Target="mailto:mmaccarrone@ext.sancorseguros.com" TargetMode="External"/><Relationship Id="rId2510" Type="http://schemas.openxmlformats.org/officeDocument/2006/relationships/hyperlink" Target="mailto:camgonzalez@sancorseguros.com" TargetMode="External"/><Relationship Id="rId1112" Type="http://schemas.openxmlformats.org/officeDocument/2006/relationships/hyperlink" Target="mailto:jboulle@sancorseguros.com" TargetMode="External"/><Relationship Id="rId3077" Type="http://schemas.openxmlformats.org/officeDocument/2006/relationships/hyperlink" Target="mailto:abinau@sancorseguros.com" TargetMode="External"/><Relationship Id="rId3284" Type="http://schemas.openxmlformats.org/officeDocument/2006/relationships/hyperlink" Target="mailto:pgirardin@sancorseguros.com" TargetMode="External"/><Relationship Id="rId1929" Type="http://schemas.openxmlformats.org/officeDocument/2006/relationships/hyperlink" Target="mailto:cvaldez@ext.sancorseguros.com" TargetMode="External"/><Relationship Id="rId2093" Type="http://schemas.openxmlformats.org/officeDocument/2006/relationships/hyperlink" Target="mailto:cpavon@sancorseguros.com" TargetMode="External"/><Relationship Id="rId3491" Type="http://schemas.openxmlformats.org/officeDocument/2006/relationships/hyperlink" Target="mailto:milmartinez@ext.sancorseguros.com" TargetMode="External"/><Relationship Id="rId3144" Type="http://schemas.openxmlformats.org/officeDocument/2006/relationships/hyperlink" Target="mailto:mizzo@ext.sancorseguros.com" TargetMode="External"/><Relationship Id="rId3351" Type="http://schemas.openxmlformats.org/officeDocument/2006/relationships/hyperlink" Target="mailto:rmomartinez@sancorseguros.com" TargetMode="External"/><Relationship Id="rId272" Type="http://schemas.openxmlformats.org/officeDocument/2006/relationships/hyperlink" Target="mailto:mmaccarrone@ext.sancorseguros.com" TargetMode="External"/><Relationship Id="rId2160" Type="http://schemas.openxmlformats.org/officeDocument/2006/relationships/hyperlink" Target="mailto:cpavon@sancorseguros.com" TargetMode="External"/><Relationship Id="rId3004" Type="http://schemas.openxmlformats.org/officeDocument/2006/relationships/hyperlink" Target="mailto:dbenitez@sancorseguros.com" TargetMode="External"/><Relationship Id="rId3211" Type="http://schemas.openxmlformats.org/officeDocument/2006/relationships/hyperlink" Target="mailto:mizzo@ext.sancorseguros.com" TargetMode="External"/><Relationship Id="rId132" Type="http://schemas.openxmlformats.org/officeDocument/2006/relationships/hyperlink" Target="mailto:bdemiguel@sancorseguros.com" TargetMode="External"/><Relationship Id="rId2020" Type="http://schemas.openxmlformats.org/officeDocument/2006/relationships/hyperlink" Target="mailto:mascallia@sancorseguros.com" TargetMode="External"/><Relationship Id="rId1579" Type="http://schemas.openxmlformats.org/officeDocument/2006/relationships/hyperlink" Target="mailto:pmalchiodi@sancorseguros.com" TargetMode="External"/><Relationship Id="rId2977" Type="http://schemas.openxmlformats.org/officeDocument/2006/relationships/hyperlink" Target="mailto:lbarboza@ext.sancorseguros.com" TargetMode="External"/><Relationship Id="rId949" Type="http://schemas.openxmlformats.org/officeDocument/2006/relationships/hyperlink" Target="mailto:rmomartinez@sancorseguros.com" TargetMode="External"/><Relationship Id="rId1786" Type="http://schemas.openxmlformats.org/officeDocument/2006/relationships/hyperlink" Target="mailto:cvaldez@ext.sancorseguros.com" TargetMode="External"/><Relationship Id="rId1993" Type="http://schemas.openxmlformats.org/officeDocument/2006/relationships/hyperlink" Target="mailto:mkester@sancorseguros.com" TargetMode="External"/><Relationship Id="rId2837" Type="http://schemas.openxmlformats.org/officeDocument/2006/relationships/hyperlink" Target="mailto:bdemiguel@sancorseguros.com" TargetMode="External"/><Relationship Id="rId78" Type="http://schemas.openxmlformats.org/officeDocument/2006/relationships/hyperlink" Target="mailto:camgonzalez@sancorseguros.com" TargetMode="External"/><Relationship Id="rId809" Type="http://schemas.openxmlformats.org/officeDocument/2006/relationships/hyperlink" Target="mailto:madecarvalho@sancorseguros.com" TargetMode="External"/><Relationship Id="rId1439" Type="http://schemas.openxmlformats.org/officeDocument/2006/relationships/hyperlink" Target="mailto:milmartinez@ext.sancorseguros.com" TargetMode="External"/><Relationship Id="rId1646" Type="http://schemas.openxmlformats.org/officeDocument/2006/relationships/hyperlink" Target="mailto:mizzo@ext.sancorseguros.com" TargetMode="External"/><Relationship Id="rId1853" Type="http://schemas.openxmlformats.org/officeDocument/2006/relationships/hyperlink" Target="mailto:mizzo@ext.sancorseguros.com" TargetMode="External"/><Relationship Id="rId2904" Type="http://schemas.openxmlformats.org/officeDocument/2006/relationships/hyperlink" Target="mailto:pmalchiodi@sancorseguros.com" TargetMode="External"/><Relationship Id="rId1506" Type="http://schemas.openxmlformats.org/officeDocument/2006/relationships/hyperlink" Target="mailto:bdemiguel@sancorseguros.com" TargetMode="External"/><Relationship Id="rId1713" Type="http://schemas.openxmlformats.org/officeDocument/2006/relationships/hyperlink" Target="mailto:gpachao@sancorseguros.com" TargetMode="External"/><Relationship Id="rId1920" Type="http://schemas.openxmlformats.org/officeDocument/2006/relationships/hyperlink" Target="mailto:vloray@ext.sancorseguros.com" TargetMode="External"/><Relationship Id="rId599" Type="http://schemas.openxmlformats.org/officeDocument/2006/relationships/hyperlink" Target="mailto:anunzio@sancorseguros.com" TargetMode="External"/><Relationship Id="rId2487" Type="http://schemas.openxmlformats.org/officeDocument/2006/relationships/hyperlink" Target="mailto:fsantorum@sancorseguros.com" TargetMode="External"/><Relationship Id="rId2694" Type="http://schemas.openxmlformats.org/officeDocument/2006/relationships/hyperlink" Target="mailto:bdemiguel@sancorseguros.com" TargetMode="External"/><Relationship Id="rId3538" Type="http://schemas.openxmlformats.org/officeDocument/2006/relationships/hyperlink" Target="mailto:mizzo@ext.sancorseguros.com" TargetMode="External"/><Relationship Id="rId459" Type="http://schemas.openxmlformats.org/officeDocument/2006/relationships/hyperlink" Target="mailto:bdemiguel@sancorseguros.com" TargetMode="External"/><Relationship Id="rId666" Type="http://schemas.openxmlformats.org/officeDocument/2006/relationships/hyperlink" Target="mailto:amrodriguez@sancorseguros.com" TargetMode="External"/><Relationship Id="rId873" Type="http://schemas.openxmlformats.org/officeDocument/2006/relationships/hyperlink" Target="mailto:cdalonso@sancorseguros.com" TargetMode="External"/><Relationship Id="rId1089" Type="http://schemas.openxmlformats.org/officeDocument/2006/relationships/hyperlink" Target="mailto:madecarvalho@sancorseguros.com" TargetMode="External"/><Relationship Id="rId1296" Type="http://schemas.openxmlformats.org/officeDocument/2006/relationships/hyperlink" Target="mailto:mmaccarrone@ext.sancorseguros.com" TargetMode="External"/><Relationship Id="rId2347" Type="http://schemas.openxmlformats.org/officeDocument/2006/relationships/hyperlink" Target="mailto:mkester@sancorseguros.com" TargetMode="External"/><Relationship Id="rId2554" Type="http://schemas.openxmlformats.org/officeDocument/2006/relationships/hyperlink" Target="mailto:madecarvalho@sancorseguros.com" TargetMode="External"/><Relationship Id="rId319" Type="http://schemas.openxmlformats.org/officeDocument/2006/relationships/hyperlink" Target="mailto:abinau@sancorseguros.com" TargetMode="External"/><Relationship Id="rId526" Type="http://schemas.openxmlformats.org/officeDocument/2006/relationships/hyperlink" Target="mailto:cpavon@sancorseguros.com" TargetMode="External"/><Relationship Id="rId1156" Type="http://schemas.openxmlformats.org/officeDocument/2006/relationships/hyperlink" Target="mailto:camgonzalez@sancorseguros.com" TargetMode="External"/><Relationship Id="rId1363" Type="http://schemas.openxmlformats.org/officeDocument/2006/relationships/hyperlink" Target="mailto:pmalchiodi@sancorseguros.com" TargetMode="External"/><Relationship Id="rId2207" Type="http://schemas.openxmlformats.org/officeDocument/2006/relationships/hyperlink" Target="mailto:amrodriguez@sancorseguros.com" TargetMode="External"/><Relationship Id="rId2761" Type="http://schemas.openxmlformats.org/officeDocument/2006/relationships/hyperlink" Target="mailto:rfernandez@sancorseguros.com" TargetMode="External"/><Relationship Id="rId3605" Type="http://schemas.openxmlformats.org/officeDocument/2006/relationships/hyperlink" Target="mailto:cvaldez@ext.sancorseguros.com" TargetMode="External"/><Relationship Id="rId733" Type="http://schemas.openxmlformats.org/officeDocument/2006/relationships/hyperlink" Target="mailto:fsantorum@sancorseguros.com" TargetMode="External"/><Relationship Id="rId940" Type="http://schemas.openxmlformats.org/officeDocument/2006/relationships/hyperlink" Target="mailto:fsantorum@sancorseguros.com" TargetMode="External"/><Relationship Id="rId1016" Type="http://schemas.openxmlformats.org/officeDocument/2006/relationships/hyperlink" Target="mailto:anunzio@sancorseguros.com" TargetMode="External"/><Relationship Id="rId1570" Type="http://schemas.openxmlformats.org/officeDocument/2006/relationships/hyperlink" Target="mailto:mascallia@sancorseguros.com" TargetMode="External"/><Relationship Id="rId2414" Type="http://schemas.openxmlformats.org/officeDocument/2006/relationships/hyperlink" Target="mailto:lbarboza@ext.sancorseguros.com" TargetMode="External"/><Relationship Id="rId2621" Type="http://schemas.openxmlformats.org/officeDocument/2006/relationships/hyperlink" Target="mailto:madecarvalho@sancorseguros.com" TargetMode="External"/><Relationship Id="rId800" Type="http://schemas.openxmlformats.org/officeDocument/2006/relationships/hyperlink" Target="mailto:vloray@ext.sancorseguros.com" TargetMode="External"/><Relationship Id="rId1223" Type="http://schemas.openxmlformats.org/officeDocument/2006/relationships/hyperlink" Target="mailto:mascallia@sancorseguros.com" TargetMode="External"/><Relationship Id="rId1430" Type="http://schemas.openxmlformats.org/officeDocument/2006/relationships/hyperlink" Target="mailto:dtoledo@sancorseguros.com" TargetMode="External"/><Relationship Id="rId3188" Type="http://schemas.openxmlformats.org/officeDocument/2006/relationships/hyperlink" Target="mailto:mmaccarrone@ext.sancorseguros.com" TargetMode="External"/><Relationship Id="rId3395" Type="http://schemas.openxmlformats.org/officeDocument/2006/relationships/hyperlink" Target="mailto:cvaldez@ext.sancorseguros.com" TargetMode="External"/><Relationship Id="rId3048" Type="http://schemas.openxmlformats.org/officeDocument/2006/relationships/hyperlink" Target="mailto:lbarboza@ext.sancorseguros.com" TargetMode="External"/><Relationship Id="rId3255" Type="http://schemas.openxmlformats.org/officeDocument/2006/relationships/hyperlink" Target="mailto:cvaldez@ext.sancorseguros.com" TargetMode="External"/><Relationship Id="rId3462" Type="http://schemas.openxmlformats.org/officeDocument/2006/relationships/hyperlink" Target="mailto:lbarboza@ext.sancorseguros.com" TargetMode="External"/><Relationship Id="rId176" Type="http://schemas.openxmlformats.org/officeDocument/2006/relationships/hyperlink" Target="mailto:fsantorum@sancorseguros.com" TargetMode="External"/><Relationship Id="rId383" Type="http://schemas.openxmlformats.org/officeDocument/2006/relationships/hyperlink" Target="mailto:camgonzalez@sancorseguros.com" TargetMode="External"/><Relationship Id="rId590" Type="http://schemas.openxmlformats.org/officeDocument/2006/relationships/hyperlink" Target="mailto:mascallia@sancorseguros.com" TargetMode="External"/><Relationship Id="rId2064" Type="http://schemas.openxmlformats.org/officeDocument/2006/relationships/hyperlink" Target="mailto:jboulle@sancorseguros.com" TargetMode="External"/><Relationship Id="rId2271" Type="http://schemas.openxmlformats.org/officeDocument/2006/relationships/hyperlink" Target="mailto:rmomartinez@sancorseguros.com" TargetMode="External"/><Relationship Id="rId3115" Type="http://schemas.openxmlformats.org/officeDocument/2006/relationships/hyperlink" Target="mailto:amrodriguez@sancorseguros.com" TargetMode="External"/><Relationship Id="rId3322" Type="http://schemas.openxmlformats.org/officeDocument/2006/relationships/hyperlink" Target="mailto:abinau@sancorseguros.com" TargetMode="External"/><Relationship Id="rId243" Type="http://schemas.openxmlformats.org/officeDocument/2006/relationships/hyperlink" Target="mailto:cpavon@sancorseguros.com" TargetMode="External"/><Relationship Id="rId450" Type="http://schemas.openxmlformats.org/officeDocument/2006/relationships/hyperlink" Target="mailto:cpavon@sancorseguros.com" TargetMode="External"/><Relationship Id="rId1080" Type="http://schemas.openxmlformats.org/officeDocument/2006/relationships/hyperlink" Target="mailto:lbarboza@ext.sancorseguros.com" TargetMode="External"/><Relationship Id="rId2131" Type="http://schemas.openxmlformats.org/officeDocument/2006/relationships/hyperlink" Target="mailto:lbarboza@ext.sancorseguros.com" TargetMode="External"/><Relationship Id="rId103" Type="http://schemas.openxmlformats.org/officeDocument/2006/relationships/hyperlink" Target="mailto:madecarvalho@sancorseguros.com" TargetMode="External"/><Relationship Id="rId310" Type="http://schemas.openxmlformats.org/officeDocument/2006/relationships/hyperlink" Target="mailto:mizzo@ext.sancorseguros.com" TargetMode="External"/><Relationship Id="rId1897" Type="http://schemas.openxmlformats.org/officeDocument/2006/relationships/hyperlink" Target="mailto:dbenitez@sancorseguros.com" TargetMode="External"/><Relationship Id="rId2948" Type="http://schemas.openxmlformats.org/officeDocument/2006/relationships/hyperlink" Target="mailto:mizzo@ext.sancorseguros.com" TargetMode="External"/><Relationship Id="rId1757" Type="http://schemas.openxmlformats.org/officeDocument/2006/relationships/hyperlink" Target="mailto:rmomartinez@sancorseguros.com" TargetMode="External"/><Relationship Id="rId1964" Type="http://schemas.openxmlformats.org/officeDocument/2006/relationships/hyperlink" Target="mailto:mevangelista@sancorseguros.com" TargetMode="External"/><Relationship Id="rId2808" Type="http://schemas.openxmlformats.org/officeDocument/2006/relationships/hyperlink" Target="mailto:mascallia@sancorseguros.com" TargetMode="External"/><Relationship Id="rId49" Type="http://schemas.openxmlformats.org/officeDocument/2006/relationships/hyperlink" Target="mailto:milmartinez@ext.sancorseguros.com" TargetMode="External"/><Relationship Id="rId1617" Type="http://schemas.openxmlformats.org/officeDocument/2006/relationships/hyperlink" Target="mailto:mkester@sancorseguros.com" TargetMode="External"/><Relationship Id="rId1824" Type="http://schemas.openxmlformats.org/officeDocument/2006/relationships/hyperlink" Target="mailto:gleguizamon@ext.sancorseguros.com" TargetMode="External"/><Relationship Id="rId2598" Type="http://schemas.openxmlformats.org/officeDocument/2006/relationships/hyperlink" Target="mailto:abinau@sancorseguros.com" TargetMode="External"/><Relationship Id="rId777" Type="http://schemas.openxmlformats.org/officeDocument/2006/relationships/hyperlink" Target="mailto:lbarboza@ext.sancorseguros.com" TargetMode="External"/><Relationship Id="rId984" Type="http://schemas.openxmlformats.org/officeDocument/2006/relationships/hyperlink" Target="mailto:gmgutierrez@ext.sancorseguros.com" TargetMode="External"/><Relationship Id="rId2458" Type="http://schemas.openxmlformats.org/officeDocument/2006/relationships/hyperlink" Target="mailto:mizzo@ext.sancorseguros.com" TargetMode="External"/><Relationship Id="rId2665" Type="http://schemas.openxmlformats.org/officeDocument/2006/relationships/hyperlink" Target="mailto:czardain@sancorseguros.com" TargetMode="External"/><Relationship Id="rId2872" Type="http://schemas.openxmlformats.org/officeDocument/2006/relationships/hyperlink" Target="mailto:mdambrosio@ext.sancorseguros.com" TargetMode="External"/><Relationship Id="rId3509" Type="http://schemas.openxmlformats.org/officeDocument/2006/relationships/hyperlink" Target="mailto:mizzo@ext.sancorseguros.com" TargetMode="External"/><Relationship Id="rId637" Type="http://schemas.openxmlformats.org/officeDocument/2006/relationships/hyperlink" Target="mailto:anunzio@sancorseguros.com" TargetMode="External"/><Relationship Id="rId844" Type="http://schemas.openxmlformats.org/officeDocument/2006/relationships/hyperlink" Target="mailto:cvaldez@ext.sancorseguros.com" TargetMode="External"/><Relationship Id="rId1267" Type="http://schemas.openxmlformats.org/officeDocument/2006/relationships/hyperlink" Target="mailto:fsantorum@sancorseguros.com" TargetMode="External"/><Relationship Id="rId1474" Type="http://schemas.openxmlformats.org/officeDocument/2006/relationships/hyperlink" Target="mailto:rmomartinez@sancorseguros.com" TargetMode="External"/><Relationship Id="rId1681" Type="http://schemas.openxmlformats.org/officeDocument/2006/relationships/hyperlink" Target="mailto:fsantorum@sancorseguros.com" TargetMode="External"/><Relationship Id="rId2318" Type="http://schemas.openxmlformats.org/officeDocument/2006/relationships/hyperlink" Target="mailto:gmgutierrez@ext.sancorseguros.com" TargetMode="External"/><Relationship Id="rId2525" Type="http://schemas.openxmlformats.org/officeDocument/2006/relationships/hyperlink" Target="mailto:mmaccarrone@ext.sancorseguros.com" TargetMode="External"/><Relationship Id="rId2732" Type="http://schemas.openxmlformats.org/officeDocument/2006/relationships/hyperlink" Target="mailto:cvaldez@ext.sancorseguros.com" TargetMode="External"/><Relationship Id="rId704" Type="http://schemas.openxmlformats.org/officeDocument/2006/relationships/hyperlink" Target="mailto:mascallia@sancorseguros.com" TargetMode="External"/><Relationship Id="rId911" Type="http://schemas.openxmlformats.org/officeDocument/2006/relationships/hyperlink" Target="mailto:cpavon@sancorseguros.com" TargetMode="External"/><Relationship Id="rId1127" Type="http://schemas.openxmlformats.org/officeDocument/2006/relationships/hyperlink" Target="mailto:mkester@sancorseguros.com" TargetMode="External"/><Relationship Id="rId1334" Type="http://schemas.openxmlformats.org/officeDocument/2006/relationships/hyperlink" Target="mailto:fsantorum@sancorseguros.com" TargetMode="External"/><Relationship Id="rId1541" Type="http://schemas.openxmlformats.org/officeDocument/2006/relationships/hyperlink" Target="mailto:jsandoval@sancorseguros.com" TargetMode="External"/><Relationship Id="rId40" Type="http://schemas.openxmlformats.org/officeDocument/2006/relationships/hyperlink" Target="mailto:cpavon@sancorseguros.com" TargetMode="External"/><Relationship Id="rId1401" Type="http://schemas.openxmlformats.org/officeDocument/2006/relationships/hyperlink" Target="mailto:cvaldez@ext.sancorseguros.com" TargetMode="External"/><Relationship Id="rId3299" Type="http://schemas.openxmlformats.org/officeDocument/2006/relationships/hyperlink" Target="mailto:mascallia@sancorseguros.com" TargetMode="External"/><Relationship Id="rId3159" Type="http://schemas.openxmlformats.org/officeDocument/2006/relationships/hyperlink" Target="mailto:abinau@sancorseguros.com" TargetMode="External"/><Relationship Id="rId3366" Type="http://schemas.openxmlformats.org/officeDocument/2006/relationships/hyperlink" Target="mailto:mmaccarrone@ext.sancorseguros.com" TargetMode="External"/><Relationship Id="rId3573" Type="http://schemas.openxmlformats.org/officeDocument/2006/relationships/hyperlink" Target="mailto:lbarboza@ext.sancorseguros.com" TargetMode="External"/><Relationship Id="rId287" Type="http://schemas.openxmlformats.org/officeDocument/2006/relationships/hyperlink" Target="mailto:mevangelista@sancorseguros.com" TargetMode="External"/><Relationship Id="rId494" Type="http://schemas.openxmlformats.org/officeDocument/2006/relationships/hyperlink" Target="mailto:cpavon@sancorseguros.com" TargetMode="External"/><Relationship Id="rId2175" Type="http://schemas.openxmlformats.org/officeDocument/2006/relationships/hyperlink" Target="mailto:mkester@sancorseguros.com" TargetMode="External"/><Relationship Id="rId2382" Type="http://schemas.openxmlformats.org/officeDocument/2006/relationships/hyperlink" Target="mailto:mizzo@ext.sancorseguros.com" TargetMode="External"/><Relationship Id="rId3019" Type="http://schemas.openxmlformats.org/officeDocument/2006/relationships/hyperlink" Target="mailto:jsperoni@ext.sancorseguros.com" TargetMode="External"/><Relationship Id="rId3226" Type="http://schemas.openxmlformats.org/officeDocument/2006/relationships/hyperlink" Target="mailto:mascallia@sancorseguros.com" TargetMode="External"/><Relationship Id="rId147" Type="http://schemas.openxmlformats.org/officeDocument/2006/relationships/hyperlink" Target="mailto:ludiaz@ext.sancorseguros.com" TargetMode="External"/><Relationship Id="rId354" Type="http://schemas.openxmlformats.org/officeDocument/2006/relationships/hyperlink" Target="mailto:mizzo@ext.sancorseguros.com" TargetMode="External"/><Relationship Id="rId1191" Type="http://schemas.openxmlformats.org/officeDocument/2006/relationships/hyperlink" Target="mailto:milmartinez@ext.sancorseguros.com" TargetMode="External"/><Relationship Id="rId2035" Type="http://schemas.openxmlformats.org/officeDocument/2006/relationships/hyperlink" Target="mailto:lbarboza@ext.sancorseguros.com" TargetMode="External"/><Relationship Id="rId3433" Type="http://schemas.openxmlformats.org/officeDocument/2006/relationships/hyperlink" Target="mailto:gmgutierrez@ext.sancorseguros.com" TargetMode="External"/><Relationship Id="rId3640" Type="http://schemas.openxmlformats.org/officeDocument/2006/relationships/hyperlink" Target="mailto:mizzo@ext.sancorseguros.com" TargetMode="External"/><Relationship Id="rId561" Type="http://schemas.openxmlformats.org/officeDocument/2006/relationships/hyperlink" Target="mailto:mizzo@ext.sancorseguros.com" TargetMode="External"/><Relationship Id="rId2242" Type="http://schemas.openxmlformats.org/officeDocument/2006/relationships/hyperlink" Target="mailto:czardain@sancorseguros.com" TargetMode="External"/><Relationship Id="rId3500" Type="http://schemas.openxmlformats.org/officeDocument/2006/relationships/hyperlink" Target="mailto:mdambrosio@ext.sancorseguros.com" TargetMode="External"/><Relationship Id="rId214" Type="http://schemas.openxmlformats.org/officeDocument/2006/relationships/hyperlink" Target="mailto:abinau@sancorseguros.com" TargetMode="External"/><Relationship Id="rId421" Type="http://schemas.openxmlformats.org/officeDocument/2006/relationships/hyperlink" Target="mailto:mizzo@ext.sancorseguros.com" TargetMode="External"/><Relationship Id="rId1051" Type="http://schemas.openxmlformats.org/officeDocument/2006/relationships/hyperlink" Target="mailto:fsantorum@sancorseguros.com" TargetMode="External"/><Relationship Id="rId2102" Type="http://schemas.openxmlformats.org/officeDocument/2006/relationships/hyperlink" Target="mailto:mevangelista@sancorseguros.com" TargetMode="External"/><Relationship Id="rId1868" Type="http://schemas.openxmlformats.org/officeDocument/2006/relationships/hyperlink" Target="mailto:dtoledo@sancorseguros.com" TargetMode="External"/><Relationship Id="rId2919" Type="http://schemas.openxmlformats.org/officeDocument/2006/relationships/hyperlink" Target="mailto:pmalchiodi@sancorseguros.com" TargetMode="External"/><Relationship Id="rId3083" Type="http://schemas.openxmlformats.org/officeDocument/2006/relationships/hyperlink" Target="mailto:mmaccarrone@ext.sancorseguros.com" TargetMode="External"/><Relationship Id="rId3290" Type="http://schemas.openxmlformats.org/officeDocument/2006/relationships/hyperlink" Target="mailto:mizzo@ext.sancorseguros.com" TargetMode="External"/><Relationship Id="rId1728" Type="http://schemas.openxmlformats.org/officeDocument/2006/relationships/hyperlink" Target="mailto:mizzo@ext.sancorseguros.com" TargetMode="External"/><Relationship Id="rId1935" Type="http://schemas.openxmlformats.org/officeDocument/2006/relationships/hyperlink" Target="mailto:cpavon@sancorseguros.com" TargetMode="External"/><Relationship Id="rId3150" Type="http://schemas.openxmlformats.org/officeDocument/2006/relationships/hyperlink" Target="mailto:rfernandez@sancorseguros.com" TargetMode="External"/><Relationship Id="rId3010" Type="http://schemas.openxmlformats.org/officeDocument/2006/relationships/hyperlink" Target="mailto:mizzo@ext.sancorseguros.com" TargetMode="External"/><Relationship Id="rId4" Type="http://schemas.openxmlformats.org/officeDocument/2006/relationships/hyperlink" Target="mailto:cpavon@sancorseguros.com" TargetMode="External"/><Relationship Id="rId888" Type="http://schemas.openxmlformats.org/officeDocument/2006/relationships/hyperlink" Target="mailto:cpavon@sancorseguros.com" TargetMode="External"/><Relationship Id="rId2569" Type="http://schemas.openxmlformats.org/officeDocument/2006/relationships/hyperlink" Target="mailto:gleguizamon@ext.sancorseguros.com" TargetMode="External"/><Relationship Id="rId2776" Type="http://schemas.openxmlformats.org/officeDocument/2006/relationships/hyperlink" Target="mailto:mkester@sancorseguros.com" TargetMode="External"/><Relationship Id="rId2983" Type="http://schemas.openxmlformats.org/officeDocument/2006/relationships/hyperlink" Target="mailto:mizzo@ext.sancorseguros.com" TargetMode="External"/><Relationship Id="rId748" Type="http://schemas.openxmlformats.org/officeDocument/2006/relationships/hyperlink" Target="mailto:mizzo@ext.sancorseguros.com" TargetMode="External"/><Relationship Id="rId955" Type="http://schemas.openxmlformats.org/officeDocument/2006/relationships/hyperlink" Target="mailto:cvaldez@ext.sancorseguros.com" TargetMode="External"/><Relationship Id="rId1378" Type="http://schemas.openxmlformats.org/officeDocument/2006/relationships/hyperlink" Target="mailto:cvaldez@ext.sancorseguros.com" TargetMode="External"/><Relationship Id="rId1585" Type="http://schemas.openxmlformats.org/officeDocument/2006/relationships/hyperlink" Target="mailto:cpavon@sancorseguros.com" TargetMode="External"/><Relationship Id="rId1792" Type="http://schemas.openxmlformats.org/officeDocument/2006/relationships/hyperlink" Target="mailto:camgonzalez@sancorseguros.com" TargetMode="External"/><Relationship Id="rId2429" Type="http://schemas.openxmlformats.org/officeDocument/2006/relationships/hyperlink" Target="mailto:camgonzalez@sancorseguros.com" TargetMode="External"/><Relationship Id="rId2636" Type="http://schemas.openxmlformats.org/officeDocument/2006/relationships/hyperlink" Target="mailto:pmalchiodi@sancorseguros.com" TargetMode="External"/><Relationship Id="rId2843" Type="http://schemas.openxmlformats.org/officeDocument/2006/relationships/hyperlink" Target="mailto:lbarboza@ext.sancorseguros.com" TargetMode="External"/><Relationship Id="rId84" Type="http://schemas.openxmlformats.org/officeDocument/2006/relationships/hyperlink" Target="mailto:mizzo@ext.sancorseguros.com" TargetMode="External"/><Relationship Id="rId608" Type="http://schemas.openxmlformats.org/officeDocument/2006/relationships/hyperlink" Target="mailto:gmgutierrez@ext.sancorseguros.com" TargetMode="External"/><Relationship Id="rId815" Type="http://schemas.openxmlformats.org/officeDocument/2006/relationships/hyperlink" Target="mailto:milmartinez@ext.sancorseguros.com" TargetMode="External"/><Relationship Id="rId1238" Type="http://schemas.openxmlformats.org/officeDocument/2006/relationships/hyperlink" Target="mailto:mizzo@ext.sancorseguros.com" TargetMode="External"/><Relationship Id="rId1445" Type="http://schemas.openxmlformats.org/officeDocument/2006/relationships/hyperlink" Target="mailto:camgonzalez@sancorseguros.com" TargetMode="External"/><Relationship Id="rId1652" Type="http://schemas.openxmlformats.org/officeDocument/2006/relationships/hyperlink" Target="mailto:rmomartinez@sancorseguros.com" TargetMode="External"/><Relationship Id="rId1305" Type="http://schemas.openxmlformats.org/officeDocument/2006/relationships/hyperlink" Target="mailto:fsantorum@sancorseguros.com" TargetMode="External"/><Relationship Id="rId2703" Type="http://schemas.openxmlformats.org/officeDocument/2006/relationships/hyperlink" Target="mailto:cvaldez@ext.sancorseguros.com" TargetMode="External"/><Relationship Id="rId2910" Type="http://schemas.openxmlformats.org/officeDocument/2006/relationships/hyperlink" Target="mailto:lbarboza@ext.sancorseguros.com" TargetMode="External"/><Relationship Id="rId1512" Type="http://schemas.openxmlformats.org/officeDocument/2006/relationships/hyperlink" Target="mailto:mascallia@sancorseguros.com" TargetMode="External"/><Relationship Id="rId11" Type="http://schemas.openxmlformats.org/officeDocument/2006/relationships/hyperlink" Target="mailto:cpavon@sancorseguros.com" TargetMode="External"/><Relationship Id="rId398" Type="http://schemas.openxmlformats.org/officeDocument/2006/relationships/hyperlink" Target="mailto:gleguizamon@ext.sancorseguros.com" TargetMode="External"/><Relationship Id="rId2079" Type="http://schemas.openxmlformats.org/officeDocument/2006/relationships/hyperlink" Target="mailto:milmartinez@ext.sancorseguros.com" TargetMode="External"/><Relationship Id="rId3477" Type="http://schemas.openxmlformats.org/officeDocument/2006/relationships/hyperlink" Target="mailto:milmartinez@ext.sancorseguros.com" TargetMode="External"/><Relationship Id="rId2286" Type="http://schemas.openxmlformats.org/officeDocument/2006/relationships/hyperlink" Target="mailto:fsantorum@sancorseguros.com" TargetMode="External"/><Relationship Id="rId2493" Type="http://schemas.openxmlformats.org/officeDocument/2006/relationships/hyperlink" Target="mailto:cpavon@sancorseguros.com" TargetMode="External"/><Relationship Id="rId3337" Type="http://schemas.openxmlformats.org/officeDocument/2006/relationships/hyperlink" Target="mailto:madecarvalho@sancorseguros.com" TargetMode="External"/><Relationship Id="rId3544" Type="http://schemas.openxmlformats.org/officeDocument/2006/relationships/hyperlink" Target="mailto:rmomartinez@sancorseguros.com" TargetMode="External"/><Relationship Id="rId258" Type="http://schemas.openxmlformats.org/officeDocument/2006/relationships/hyperlink" Target="mailto:milmartinez@ext.sancorseguros.com" TargetMode="External"/><Relationship Id="rId465" Type="http://schemas.openxmlformats.org/officeDocument/2006/relationships/hyperlink" Target="mailto:mmaccarrone@ext.sancorseguros.com" TargetMode="External"/><Relationship Id="rId672" Type="http://schemas.openxmlformats.org/officeDocument/2006/relationships/hyperlink" Target="mailto:rmomartinez@sancorseguros.com" TargetMode="External"/><Relationship Id="rId1095" Type="http://schemas.openxmlformats.org/officeDocument/2006/relationships/hyperlink" Target="mailto:cvaldez@ext.sancorseguros.com" TargetMode="External"/><Relationship Id="rId2146" Type="http://schemas.openxmlformats.org/officeDocument/2006/relationships/hyperlink" Target="mailto:mizzo@ext.sancorseguros.com" TargetMode="External"/><Relationship Id="rId2353" Type="http://schemas.openxmlformats.org/officeDocument/2006/relationships/hyperlink" Target="mailto:cpavon@sancorseguros.com" TargetMode="External"/><Relationship Id="rId2560" Type="http://schemas.openxmlformats.org/officeDocument/2006/relationships/hyperlink" Target="mailto:rperez@sancorseguros.com" TargetMode="External"/><Relationship Id="rId3404" Type="http://schemas.openxmlformats.org/officeDocument/2006/relationships/hyperlink" Target="mailto:madecarvalho@sancorseguros.com" TargetMode="External"/><Relationship Id="rId3611" Type="http://schemas.openxmlformats.org/officeDocument/2006/relationships/hyperlink" Target="mailto:hrorpizikian@sancorseguros.com" TargetMode="External"/><Relationship Id="rId118" Type="http://schemas.openxmlformats.org/officeDocument/2006/relationships/hyperlink" Target="mailto:camgonzalez@sancorseguros.com" TargetMode="External"/><Relationship Id="rId325" Type="http://schemas.openxmlformats.org/officeDocument/2006/relationships/hyperlink" Target="mailto:gleguizamon@ext.sancorseguros.com" TargetMode="External"/><Relationship Id="rId532" Type="http://schemas.openxmlformats.org/officeDocument/2006/relationships/hyperlink" Target="mailto:cpavon@sancorseguros.com" TargetMode="External"/><Relationship Id="rId1162" Type="http://schemas.openxmlformats.org/officeDocument/2006/relationships/hyperlink" Target="mailto:mascallia@sancorseguros.com" TargetMode="External"/><Relationship Id="rId2006" Type="http://schemas.openxmlformats.org/officeDocument/2006/relationships/hyperlink" Target="mailto:mmaccarrone@ext.sancorseguros.com" TargetMode="External"/><Relationship Id="rId2213" Type="http://schemas.openxmlformats.org/officeDocument/2006/relationships/hyperlink" Target="mailto:rmomartinez@sancorseguros.com" TargetMode="External"/><Relationship Id="rId2420" Type="http://schemas.openxmlformats.org/officeDocument/2006/relationships/hyperlink" Target="mailto:mascallia@sancorseguros.com" TargetMode="External"/><Relationship Id="rId1022" Type="http://schemas.openxmlformats.org/officeDocument/2006/relationships/hyperlink" Target="mailto:dtoledo@sancorseguros.com" TargetMode="External"/><Relationship Id="rId1979" Type="http://schemas.openxmlformats.org/officeDocument/2006/relationships/hyperlink" Target="mailto:gpachao@sancorseguros.com" TargetMode="External"/><Relationship Id="rId3194" Type="http://schemas.openxmlformats.org/officeDocument/2006/relationships/hyperlink" Target="mailto:cvaldez@ext.sancorseguros.com" TargetMode="External"/><Relationship Id="rId1839" Type="http://schemas.openxmlformats.org/officeDocument/2006/relationships/hyperlink" Target="mailto:bdemiguel@sancorseguros.com" TargetMode="External"/><Relationship Id="rId3054" Type="http://schemas.openxmlformats.org/officeDocument/2006/relationships/hyperlink" Target="mailto:mascallia@sancorseguros.com" TargetMode="External"/><Relationship Id="rId182" Type="http://schemas.openxmlformats.org/officeDocument/2006/relationships/hyperlink" Target="mailto:bdemiguel@sancorseguros.com" TargetMode="External"/><Relationship Id="rId1906" Type="http://schemas.openxmlformats.org/officeDocument/2006/relationships/hyperlink" Target="mailto:madecarvalho@sancorseguros.com" TargetMode="External"/><Relationship Id="rId3261" Type="http://schemas.openxmlformats.org/officeDocument/2006/relationships/hyperlink" Target="mailto:rmomartinez@sancorseguros.com" TargetMode="External"/><Relationship Id="rId2070" Type="http://schemas.openxmlformats.org/officeDocument/2006/relationships/hyperlink" Target="mailto:lbarboza@ext.sancorseguros.com" TargetMode="External"/><Relationship Id="rId3121" Type="http://schemas.openxmlformats.org/officeDocument/2006/relationships/hyperlink" Target="mailto:pgirardin@sancorseguros.com" TargetMode="External"/><Relationship Id="rId999" Type="http://schemas.openxmlformats.org/officeDocument/2006/relationships/hyperlink" Target="mailto:rmomartinez@sancorseguros.com" TargetMode="External"/><Relationship Id="rId2887" Type="http://schemas.openxmlformats.org/officeDocument/2006/relationships/hyperlink" Target="mailto:gleguizamon@ext.sancorseguros.com" TargetMode="External"/><Relationship Id="rId859" Type="http://schemas.openxmlformats.org/officeDocument/2006/relationships/hyperlink" Target="mailto:gmgutierrez@ext.sancorseguros.com" TargetMode="External"/><Relationship Id="rId1489" Type="http://schemas.openxmlformats.org/officeDocument/2006/relationships/hyperlink" Target="mailto:pgirardin@sancorseguros.com" TargetMode="External"/><Relationship Id="rId1696" Type="http://schemas.openxmlformats.org/officeDocument/2006/relationships/hyperlink" Target="mailto:rmomartinez@sancorseguros.com" TargetMode="External"/><Relationship Id="rId1349" Type="http://schemas.openxmlformats.org/officeDocument/2006/relationships/hyperlink" Target="mailto:mascallia@sancorseguros.com" TargetMode="External"/><Relationship Id="rId2747" Type="http://schemas.openxmlformats.org/officeDocument/2006/relationships/hyperlink" Target="mailto:abinau@sancorseguros.com" TargetMode="External"/><Relationship Id="rId2954" Type="http://schemas.openxmlformats.org/officeDocument/2006/relationships/hyperlink" Target="mailto:lbarboza@ext.sancorseguros.com" TargetMode="External"/><Relationship Id="rId719" Type="http://schemas.openxmlformats.org/officeDocument/2006/relationships/hyperlink" Target="mailto:mizzo@ext.sancorseguros.com" TargetMode="External"/><Relationship Id="rId926" Type="http://schemas.openxmlformats.org/officeDocument/2006/relationships/hyperlink" Target="mailto:cpavon@sancorseguros.com" TargetMode="External"/><Relationship Id="rId1556" Type="http://schemas.openxmlformats.org/officeDocument/2006/relationships/hyperlink" Target="mailto:mizzo@ext.sancorseguros.com" TargetMode="External"/><Relationship Id="rId1763" Type="http://schemas.openxmlformats.org/officeDocument/2006/relationships/hyperlink" Target="mailto:lbarboza@ext.sancorseguros.com" TargetMode="External"/><Relationship Id="rId1970" Type="http://schemas.openxmlformats.org/officeDocument/2006/relationships/hyperlink" Target="mailto:gmgutierrez@ext.sancorseguros.com" TargetMode="External"/><Relationship Id="rId2607" Type="http://schemas.openxmlformats.org/officeDocument/2006/relationships/hyperlink" Target="mailto:camgonzalez@sancorseguros.com" TargetMode="External"/><Relationship Id="rId2814" Type="http://schemas.openxmlformats.org/officeDocument/2006/relationships/hyperlink" Target="mailto:mizzo@ext.sancorseguros.com" TargetMode="External"/><Relationship Id="rId55" Type="http://schemas.openxmlformats.org/officeDocument/2006/relationships/hyperlink" Target="mailto:cpavon@sancorseguros.com" TargetMode="External"/><Relationship Id="rId1209" Type="http://schemas.openxmlformats.org/officeDocument/2006/relationships/hyperlink" Target="mailto:mkester@sancorseguros.com" TargetMode="External"/><Relationship Id="rId1416" Type="http://schemas.openxmlformats.org/officeDocument/2006/relationships/hyperlink" Target="mailto:milmartinez@ext.sancorseguros.com" TargetMode="External"/><Relationship Id="rId1623" Type="http://schemas.openxmlformats.org/officeDocument/2006/relationships/hyperlink" Target="mailto:mizzo@ext.sancorseguros.com" TargetMode="External"/><Relationship Id="rId1830" Type="http://schemas.openxmlformats.org/officeDocument/2006/relationships/hyperlink" Target="mailto:milmartinez@ext.sancorseguros.com" TargetMode="External"/><Relationship Id="rId3588" Type="http://schemas.openxmlformats.org/officeDocument/2006/relationships/hyperlink" Target="mailto:pmalchiodi@sancorseguros.com" TargetMode="External"/><Relationship Id="rId2397" Type="http://schemas.openxmlformats.org/officeDocument/2006/relationships/hyperlink" Target="mailto:camgonzalez@sancorseguros.com" TargetMode="External"/><Relationship Id="rId3448" Type="http://schemas.openxmlformats.org/officeDocument/2006/relationships/hyperlink" Target="mailto:mmaccarrone@ext.sancorseguros.com" TargetMode="External"/><Relationship Id="rId369" Type="http://schemas.openxmlformats.org/officeDocument/2006/relationships/hyperlink" Target="mailto:rfernandez@sancorseguros.com" TargetMode="External"/><Relationship Id="rId576" Type="http://schemas.openxmlformats.org/officeDocument/2006/relationships/hyperlink" Target="mailto:milmartinez@ext.sancorseguros.com" TargetMode="External"/><Relationship Id="rId783" Type="http://schemas.openxmlformats.org/officeDocument/2006/relationships/hyperlink" Target="mailto:mizzo@ext.sancorseguros.com" TargetMode="External"/><Relationship Id="rId990" Type="http://schemas.openxmlformats.org/officeDocument/2006/relationships/hyperlink" Target="mailto:rmomartinez@sancorseguros.com" TargetMode="External"/><Relationship Id="rId2257" Type="http://schemas.openxmlformats.org/officeDocument/2006/relationships/hyperlink" Target="mailto:milmartinez@ext.sancorseguros.com" TargetMode="External"/><Relationship Id="rId2464" Type="http://schemas.openxmlformats.org/officeDocument/2006/relationships/hyperlink" Target="mailto:mdambrosio@ext.sancorseguros.com" TargetMode="External"/><Relationship Id="rId2671" Type="http://schemas.openxmlformats.org/officeDocument/2006/relationships/hyperlink" Target="mailto:mmaccarrone@ext.sancorseguros.com" TargetMode="External"/><Relationship Id="rId3308" Type="http://schemas.openxmlformats.org/officeDocument/2006/relationships/hyperlink" Target="mailto:mmaccarrone@ext.sancorseguros.com" TargetMode="External"/><Relationship Id="rId3515" Type="http://schemas.openxmlformats.org/officeDocument/2006/relationships/hyperlink" Target="mailto:lbarboza@ext.sancorseguros.com" TargetMode="External"/><Relationship Id="rId229" Type="http://schemas.openxmlformats.org/officeDocument/2006/relationships/hyperlink" Target="mailto:bdemiguel@sancorseguros.com" TargetMode="External"/><Relationship Id="rId436" Type="http://schemas.openxmlformats.org/officeDocument/2006/relationships/hyperlink" Target="mailto:mizzo@ext.sancorseguros.com" TargetMode="External"/><Relationship Id="rId643" Type="http://schemas.openxmlformats.org/officeDocument/2006/relationships/hyperlink" Target="mailto:cvaldez@ext.sancorseguros.com" TargetMode="External"/><Relationship Id="rId1066" Type="http://schemas.openxmlformats.org/officeDocument/2006/relationships/hyperlink" Target="mailto:madecarvalho@sancorseguros.com" TargetMode="External"/><Relationship Id="rId1273" Type="http://schemas.openxmlformats.org/officeDocument/2006/relationships/hyperlink" Target="mailto:mizzo@ext.sancorseguros.com" TargetMode="External"/><Relationship Id="rId1480" Type="http://schemas.openxmlformats.org/officeDocument/2006/relationships/hyperlink" Target="mailto:mascallia@sancorseguros.com" TargetMode="External"/><Relationship Id="rId2117" Type="http://schemas.openxmlformats.org/officeDocument/2006/relationships/hyperlink" Target="mailto:mkester@sancorseguros.com" TargetMode="External"/><Relationship Id="rId2324" Type="http://schemas.openxmlformats.org/officeDocument/2006/relationships/hyperlink" Target="mailto:lbarboza@ext.sancorseguros.com" TargetMode="External"/><Relationship Id="rId850" Type="http://schemas.openxmlformats.org/officeDocument/2006/relationships/hyperlink" Target="mailto:mmaccarrone@ext.sancorseguros.com" TargetMode="External"/><Relationship Id="rId1133" Type="http://schemas.openxmlformats.org/officeDocument/2006/relationships/hyperlink" Target="mailto:madecarvalho@sancorseguros.com" TargetMode="External"/><Relationship Id="rId2531" Type="http://schemas.openxmlformats.org/officeDocument/2006/relationships/hyperlink" Target="mailto:abinau@sancorseguros.com" TargetMode="External"/><Relationship Id="rId503" Type="http://schemas.openxmlformats.org/officeDocument/2006/relationships/hyperlink" Target="mailto:mizzo@ext.sancorseguros.com" TargetMode="External"/><Relationship Id="rId710" Type="http://schemas.openxmlformats.org/officeDocument/2006/relationships/hyperlink" Target="mailto:mascallia@sancorseguros.com" TargetMode="External"/><Relationship Id="rId1340" Type="http://schemas.openxmlformats.org/officeDocument/2006/relationships/hyperlink" Target="mailto:madecarvalho@sancorseguros.com" TargetMode="External"/><Relationship Id="rId3098" Type="http://schemas.openxmlformats.org/officeDocument/2006/relationships/hyperlink" Target="mailto:lbarboza@ext.sancorseguros.com" TargetMode="External"/><Relationship Id="rId1200" Type="http://schemas.openxmlformats.org/officeDocument/2006/relationships/hyperlink" Target="mailto:anunzio@sancorseguros.com" TargetMode="External"/><Relationship Id="rId3165" Type="http://schemas.openxmlformats.org/officeDocument/2006/relationships/hyperlink" Target="mailto:rmomartinez@sancorseguros.com" TargetMode="External"/><Relationship Id="rId3372" Type="http://schemas.openxmlformats.org/officeDocument/2006/relationships/hyperlink" Target="mailto:cpavon@sancorseguros.com" TargetMode="External"/><Relationship Id="rId293" Type="http://schemas.openxmlformats.org/officeDocument/2006/relationships/hyperlink" Target="mailto:rmomartinez@sancorseguros.com" TargetMode="External"/><Relationship Id="rId2181" Type="http://schemas.openxmlformats.org/officeDocument/2006/relationships/hyperlink" Target="mailto:jsandoval@sancorseguros.com" TargetMode="External"/><Relationship Id="rId3025" Type="http://schemas.openxmlformats.org/officeDocument/2006/relationships/hyperlink" Target="mailto:cvaldez@ext.sancorseguros.com" TargetMode="External"/><Relationship Id="rId3232" Type="http://schemas.openxmlformats.org/officeDocument/2006/relationships/hyperlink" Target="mailto:abinau@sancorseguros.com" TargetMode="External"/><Relationship Id="rId153" Type="http://schemas.openxmlformats.org/officeDocument/2006/relationships/hyperlink" Target="mailto:mizzo@ext.sancorseguros.com" TargetMode="External"/><Relationship Id="rId360" Type="http://schemas.openxmlformats.org/officeDocument/2006/relationships/hyperlink" Target="mailto:mascallia@sancorseguros.com" TargetMode="External"/><Relationship Id="rId2041" Type="http://schemas.openxmlformats.org/officeDocument/2006/relationships/hyperlink" Target="mailto:vloray@ext.sancorseguros.com" TargetMode="External"/><Relationship Id="rId220" Type="http://schemas.openxmlformats.org/officeDocument/2006/relationships/hyperlink" Target="mailto:rfernandez@sancorseguros.com" TargetMode="External"/><Relationship Id="rId2998" Type="http://schemas.openxmlformats.org/officeDocument/2006/relationships/hyperlink" Target="mailto:cvaldez@ext.sancorseguros.com" TargetMode="External"/><Relationship Id="rId2858" Type="http://schemas.openxmlformats.org/officeDocument/2006/relationships/hyperlink" Target="mailto:amrodriguez@sancorseguros.com" TargetMode="External"/><Relationship Id="rId99" Type="http://schemas.openxmlformats.org/officeDocument/2006/relationships/hyperlink" Target="mailto:fsantorum@sancorseguros.com" TargetMode="External"/><Relationship Id="rId1667" Type="http://schemas.openxmlformats.org/officeDocument/2006/relationships/hyperlink" Target="mailto:amrodriguez@sancorseguros.com" TargetMode="External"/><Relationship Id="rId1874" Type="http://schemas.openxmlformats.org/officeDocument/2006/relationships/hyperlink" Target="mailto:mizzo@ext.sancorseguros.com" TargetMode="External"/><Relationship Id="rId2718" Type="http://schemas.openxmlformats.org/officeDocument/2006/relationships/hyperlink" Target="mailto:ccastelao@ext.sancorseguros.com" TargetMode="External"/><Relationship Id="rId2925" Type="http://schemas.openxmlformats.org/officeDocument/2006/relationships/hyperlink" Target="mailto:mizzo@ext.sancorseguros.com" TargetMode="External"/><Relationship Id="rId1527" Type="http://schemas.openxmlformats.org/officeDocument/2006/relationships/hyperlink" Target="mailto:mizzo@ext.sancorseguros.com" TargetMode="External"/><Relationship Id="rId1734" Type="http://schemas.openxmlformats.org/officeDocument/2006/relationships/hyperlink" Target="mailto:madecarvalho@sancorseguros.com" TargetMode="External"/><Relationship Id="rId1941" Type="http://schemas.openxmlformats.org/officeDocument/2006/relationships/hyperlink" Target="mailto:gleguizamon@ext.sancorseguros.com" TargetMode="External"/><Relationship Id="rId26" Type="http://schemas.openxmlformats.org/officeDocument/2006/relationships/hyperlink" Target="mailto:czardain@sancorseguros.com" TargetMode="External"/><Relationship Id="rId1801" Type="http://schemas.openxmlformats.org/officeDocument/2006/relationships/hyperlink" Target="mailto:mizzo@ext.sancorseguros.com" TargetMode="External"/><Relationship Id="rId3559" Type="http://schemas.openxmlformats.org/officeDocument/2006/relationships/hyperlink" Target="mailto:lbarboza@ext.sancorseguros.com" TargetMode="External"/><Relationship Id="rId687" Type="http://schemas.openxmlformats.org/officeDocument/2006/relationships/hyperlink" Target="mailto:cvaldez@ext.sancorseguros.com" TargetMode="External"/><Relationship Id="rId2368" Type="http://schemas.openxmlformats.org/officeDocument/2006/relationships/hyperlink" Target="mailto:milmartinez@ext.sancorseguros.com" TargetMode="External"/><Relationship Id="rId894" Type="http://schemas.openxmlformats.org/officeDocument/2006/relationships/hyperlink" Target="mailto:madecarvalho@sancorseguros.com" TargetMode="External"/><Relationship Id="rId1177" Type="http://schemas.openxmlformats.org/officeDocument/2006/relationships/hyperlink" Target="mailto:cvaldez@ext.sancorseguros.com" TargetMode="External"/><Relationship Id="rId2575" Type="http://schemas.openxmlformats.org/officeDocument/2006/relationships/hyperlink" Target="mailto:mizzo@ext.sancorseguros.com" TargetMode="External"/><Relationship Id="rId2782" Type="http://schemas.openxmlformats.org/officeDocument/2006/relationships/hyperlink" Target="mailto:mizzo@ext.sancorseguros.com" TargetMode="External"/><Relationship Id="rId3419" Type="http://schemas.openxmlformats.org/officeDocument/2006/relationships/hyperlink" Target="mailto:pasalcedo@sancorseguros.com" TargetMode="External"/><Relationship Id="rId3626" Type="http://schemas.openxmlformats.org/officeDocument/2006/relationships/hyperlink" Target="mailto:pasalcedo@sancorseguros.com" TargetMode="External"/><Relationship Id="rId547" Type="http://schemas.openxmlformats.org/officeDocument/2006/relationships/hyperlink" Target="mailto:amrodriguez@sancorseguros.com" TargetMode="External"/><Relationship Id="rId754" Type="http://schemas.openxmlformats.org/officeDocument/2006/relationships/hyperlink" Target="mailto:mascallia@sancorseguros.com" TargetMode="External"/><Relationship Id="rId961" Type="http://schemas.openxmlformats.org/officeDocument/2006/relationships/hyperlink" Target="mailto:mizzo@ext.sancorseguros.com" TargetMode="External"/><Relationship Id="rId1384" Type="http://schemas.openxmlformats.org/officeDocument/2006/relationships/hyperlink" Target="mailto:anunzio@sancorseguros.com" TargetMode="External"/><Relationship Id="rId1591" Type="http://schemas.openxmlformats.org/officeDocument/2006/relationships/hyperlink" Target="mailto:gmgutierrez@ext.sancorseguros.com" TargetMode="External"/><Relationship Id="rId2228" Type="http://schemas.openxmlformats.org/officeDocument/2006/relationships/hyperlink" Target="mailto:madecarvalho@sancorseguros.com" TargetMode="External"/><Relationship Id="rId2435" Type="http://schemas.openxmlformats.org/officeDocument/2006/relationships/hyperlink" Target="mailto:mizzo@ext.sancorseguros.com" TargetMode="External"/><Relationship Id="rId2642" Type="http://schemas.openxmlformats.org/officeDocument/2006/relationships/hyperlink" Target="mailto:abinau@sancorseguros.com" TargetMode="External"/><Relationship Id="rId90" Type="http://schemas.openxmlformats.org/officeDocument/2006/relationships/hyperlink" Target="mailto:cpavon@sancorseguros.com" TargetMode="External"/><Relationship Id="rId407" Type="http://schemas.openxmlformats.org/officeDocument/2006/relationships/hyperlink" Target="mailto:bdemiguel@sancorseguros.com" TargetMode="External"/><Relationship Id="rId614" Type="http://schemas.openxmlformats.org/officeDocument/2006/relationships/hyperlink" Target="mailto:mmaccarrone@ext.sancorseguros.com" TargetMode="External"/><Relationship Id="rId821" Type="http://schemas.openxmlformats.org/officeDocument/2006/relationships/hyperlink" Target="mailto:cpavon@sancorseguros.com" TargetMode="External"/><Relationship Id="rId1037" Type="http://schemas.openxmlformats.org/officeDocument/2006/relationships/hyperlink" Target="mailto:rmomartinez@sancorseguros.com" TargetMode="External"/><Relationship Id="rId1244" Type="http://schemas.openxmlformats.org/officeDocument/2006/relationships/hyperlink" Target="mailto:rmomartinez@sancorseguros.com" TargetMode="External"/><Relationship Id="rId1451" Type="http://schemas.openxmlformats.org/officeDocument/2006/relationships/hyperlink" Target="mailto:rmomartinez@sancorseguros.com" TargetMode="External"/><Relationship Id="rId2502" Type="http://schemas.openxmlformats.org/officeDocument/2006/relationships/hyperlink" Target="mailto:rfernandez@sancorseguros.com" TargetMode="External"/><Relationship Id="rId1104" Type="http://schemas.openxmlformats.org/officeDocument/2006/relationships/hyperlink" Target="mailto:cvaldez@ext.sancorseguros.com" TargetMode="External"/><Relationship Id="rId1311" Type="http://schemas.openxmlformats.org/officeDocument/2006/relationships/hyperlink" Target="mailto:milmartinez@ext.sancorseguros.com" TargetMode="External"/><Relationship Id="rId3069" Type="http://schemas.openxmlformats.org/officeDocument/2006/relationships/hyperlink" Target="mailto:mizzo@ext.sancorseguros.com" TargetMode="External"/><Relationship Id="rId3276" Type="http://schemas.openxmlformats.org/officeDocument/2006/relationships/hyperlink" Target="mailto:lbarboza@ext.sancorseguros.com" TargetMode="External"/><Relationship Id="rId3483" Type="http://schemas.openxmlformats.org/officeDocument/2006/relationships/hyperlink" Target="mailto:gleguizamon@ext.sancorseguros.com" TargetMode="External"/><Relationship Id="rId197" Type="http://schemas.openxmlformats.org/officeDocument/2006/relationships/hyperlink" Target="mailto:mizzo@ext.sancorseguros.com" TargetMode="External"/><Relationship Id="rId2085" Type="http://schemas.openxmlformats.org/officeDocument/2006/relationships/hyperlink" Target="mailto:rmomartinez@sancorseguros.com" TargetMode="External"/><Relationship Id="rId2292" Type="http://schemas.openxmlformats.org/officeDocument/2006/relationships/hyperlink" Target="mailto:pgirardin@sancorseguros.com" TargetMode="External"/><Relationship Id="rId3136" Type="http://schemas.openxmlformats.org/officeDocument/2006/relationships/hyperlink" Target="mailto:mizzo@ext.sancorseguros.com" TargetMode="External"/><Relationship Id="rId3343" Type="http://schemas.openxmlformats.org/officeDocument/2006/relationships/hyperlink" Target="mailto:anunzio@sancorseguros.com" TargetMode="External"/><Relationship Id="rId264" Type="http://schemas.openxmlformats.org/officeDocument/2006/relationships/hyperlink" Target="mailto:madecarvalho@sancorseguros.com" TargetMode="External"/><Relationship Id="rId471" Type="http://schemas.openxmlformats.org/officeDocument/2006/relationships/hyperlink" Target="mailto:cvaldez@ext.sancorseguros.com" TargetMode="External"/><Relationship Id="rId2152" Type="http://schemas.openxmlformats.org/officeDocument/2006/relationships/hyperlink" Target="mailto:mkester@sancorseguros.com" TargetMode="External"/><Relationship Id="rId3550" Type="http://schemas.openxmlformats.org/officeDocument/2006/relationships/hyperlink" Target="mailto:mizzo@ext.sancorseguros.com" TargetMode="External"/><Relationship Id="rId124" Type="http://schemas.openxmlformats.org/officeDocument/2006/relationships/hyperlink" Target="mailto:abinau@sancorseguros.com" TargetMode="External"/><Relationship Id="rId3203" Type="http://schemas.openxmlformats.org/officeDocument/2006/relationships/hyperlink" Target="mailto:camgonzalez@sancorseguros.com" TargetMode="External"/><Relationship Id="rId3410" Type="http://schemas.openxmlformats.org/officeDocument/2006/relationships/hyperlink" Target="mailto:gleguizamon@ext.sancorseguros.com" TargetMode="External"/><Relationship Id="rId331" Type="http://schemas.openxmlformats.org/officeDocument/2006/relationships/hyperlink" Target="mailto:cpavon@sancorseguros.com" TargetMode="External"/><Relationship Id="rId2012" Type="http://schemas.openxmlformats.org/officeDocument/2006/relationships/hyperlink" Target="mailto:jboulle@sancorseguros.com" TargetMode="External"/><Relationship Id="rId2969" Type="http://schemas.openxmlformats.org/officeDocument/2006/relationships/hyperlink" Target="mailto:camgonzalez@sancorseguros.com" TargetMode="External"/><Relationship Id="rId1778" Type="http://schemas.openxmlformats.org/officeDocument/2006/relationships/hyperlink" Target="mailto:gmgutierrez@ext.sancorseguros.com" TargetMode="External"/><Relationship Id="rId1985" Type="http://schemas.openxmlformats.org/officeDocument/2006/relationships/hyperlink" Target="mailto:rmomartinez@sancorseguros.com" TargetMode="External"/><Relationship Id="rId2829" Type="http://schemas.openxmlformats.org/officeDocument/2006/relationships/hyperlink" Target="mailto:lbarboza@ext.sancorseguros.com" TargetMode="External"/><Relationship Id="rId1638" Type="http://schemas.openxmlformats.org/officeDocument/2006/relationships/hyperlink" Target="mailto:gmgutierrez@ext.sancorseguros.com" TargetMode="External"/><Relationship Id="rId1845" Type="http://schemas.openxmlformats.org/officeDocument/2006/relationships/hyperlink" Target="mailto:camgonzalez@sancorseguros.com" TargetMode="External"/><Relationship Id="rId3060" Type="http://schemas.openxmlformats.org/officeDocument/2006/relationships/hyperlink" Target="mailto:pasalcedo@sancorseguros.com" TargetMode="External"/><Relationship Id="rId1705" Type="http://schemas.openxmlformats.org/officeDocument/2006/relationships/hyperlink" Target="mailto:madecarvalho@sancorseguros.com" TargetMode="External"/><Relationship Id="rId1912" Type="http://schemas.openxmlformats.org/officeDocument/2006/relationships/hyperlink" Target="mailto:pmalchiodi@sancorseguros.com" TargetMode="External"/><Relationship Id="rId798" Type="http://schemas.openxmlformats.org/officeDocument/2006/relationships/hyperlink" Target="mailto:cpavon@sancorseguros.com" TargetMode="External"/><Relationship Id="rId2479" Type="http://schemas.openxmlformats.org/officeDocument/2006/relationships/hyperlink" Target="mailto:gleguizamon@ext.sancorseguros.com" TargetMode="External"/><Relationship Id="rId2686" Type="http://schemas.openxmlformats.org/officeDocument/2006/relationships/hyperlink" Target="mailto:fsantorum@sancorseguros.com" TargetMode="External"/><Relationship Id="rId2893" Type="http://schemas.openxmlformats.org/officeDocument/2006/relationships/hyperlink" Target="mailto:cvaldez@ext.sancorseguros.com" TargetMode="External"/><Relationship Id="rId658" Type="http://schemas.openxmlformats.org/officeDocument/2006/relationships/hyperlink" Target="mailto:mizzo@ext.sancorseguros.com" TargetMode="External"/><Relationship Id="rId865" Type="http://schemas.openxmlformats.org/officeDocument/2006/relationships/hyperlink" Target="mailto:madecarvalho@sancorseguros.com" TargetMode="External"/><Relationship Id="rId1288" Type="http://schemas.openxmlformats.org/officeDocument/2006/relationships/hyperlink" Target="mailto:mizzo@ext.sancorseguros.com" TargetMode="External"/><Relationship Id="rId1495" Type="http://schemas.openxmlformats.org/officeDocument/2006/relationships/hyperlink" Target="mailto:mizzo@ext.sancorseguros.com" TargetMode="External"/><Relationship Id="rId2339" Type="http://schemas.openxmlformats.org/officeDocument/2006/relationships/hyperlink" Target="mailto:lbarboza@ext.sancorseguros.com" TargetMode="External"/><Relationship Id="rId2546" Type="http://schemas.openxmlformats.org/officeDocument/2006/relationships/hyperlink" Target="mailto:jsandoval@sancorseguros.com" TargetMode="External"/><Relationship Id="rId2753" Type="http://schemas.openxmlformats.org/officeDocument/2006/relationships/hyperlink" Target="mailto:camgonzalez@sancorseguros.com" TargetMode="External"/><Relationship Id="rId2960" Type="http://schemas.openxmlformats.org/officeDocument/2006/relationships/hyperlink" Target="mailto:fsantorum@sancorseguros.com" TargetMode="External"/><Relationship Id="rId518" Type="http://schemas.openxmlformats.org/officeDocument/2006/relationships/hyperlink" Target="mailto:vloray@ext.sancorseguros.com" TargetMode="External"/><Relationship Id="rId725" Type="http://schemas.openxmlformats.org/officeDocument/2006/relationships/hyperlink" Target="mailto:mascallia@sancorseguros.com" TargetMode="External"/><Relationship Id="rId932" Type="http://schemas.openxmlformats.org/officeDocument/2006/relationships/hyperlink" Target="mailto:dtoledo@sancorseguros.com" TargetMode="External"/><Relationship Id="rId1148" Type="http://schemas.openxmlformats.org/officeDocument/2006/relationships/hyperlink" Target="mailto:mascallia@sancorseguros.com" TargetMode="External"/><Relationship Id="rId1355" Type="http://schemas.openxmlformats.org/officeDocument/2006/relationships/hyperlink" Target="mailto:mascallia@sancorseguros.com" TargetMode="External"/><Relationship Id="rId1562" Type="http://schemas.openxmlformats.org/officeDocument/2006/relationships/hyperlink" Target="mailto:fsantorum@sancorseguros.com" TargetMode="External"/><Relationship Id="rId2406" Type="http://schemas.openxmlformats.org/officeDocument/2006/relationships/hyperlink" Target="mailto:cvaldez@ext.sancorseguros.com" TargetMode="External"/><Relationship Id="rId2613" Type="http://schemas.openxmlformats.org/officeDocument/2006/relationships/hyperlink" Target="mailto:gmgutierrez@ext.sancorseguros.com" TargetMode="External"/><Relationship Id="rId1008" Type="http://schemas.openxmlformats.org/officeDocument/2006/relationships/hyperlink" Target="mailto:mmaccarrone@ext.sancorseguros.com" TargetMode="External"/><Relationship Id="rId1215" Type="http://schemas.openxmlformats.org/officeDocument/2006/relationships/hyperlink" Target="mailto:mascallia@sancorseguros.com" TargetMode="External"/><Relationship Id="rId1422" Type="http://schemas.openxmlformats.org/officeDocument/2006/relationships/hyperlink" Target="mailto:mascallia@sancorseguros.com" TargetMode="External"/><Relationship Id="rId2820" Type="http://schemas.openxmlformats.org/officeDocument/2006/relationships/hyperlink" Target="mailto:mizzo@ext.sancorseguros.com" TargetMode="External"/><Relationship Id="rId61" Type="http://schemas.openxmlformats.org/officeDocument/2006/relationships/hyperlink" Target="mailto:abinau@sancorseguros.com" TargetMode="External"/><Relationship Id="rId3387" Type="http://schemas.openxmlformats.org/officeDocument/2006/relationships/hyperlink" Target="mailto:mdambrosio@ext.sancorseguros.com" TargetMode="External"/><Relationship Id="rId2196" Type="http://schemas.openxmlformats.org/officeDocument/2006/relationships/hyperlink" Target="mailto:mizzo@ext.sancorseguros.com" TargetMode="External"/><Relationship Id="rId3594" Type="http://schemas.openxmlformats.org/officeDocument/2006/relationships/hyperlink" Target="mailto:cvaldez@ext.sancorseguros.com" TargetMode="External"/><Relationship Id="rId168" Type="http://schemas.openxmlformats.org/officeDocument/2006/relationships/hyperlink" Target="mailto:abinau@sancorseguros.com" TargetMode="External"/><Relationship Id="rId3247" Type="http://schemas.openxmlformats.org/officeDocument/2006/relationships/hyperlink" Target="mailto:madecarvalho@sancorseguros.com" TargetMode="External"/><Relationship Id="rId3454" Type="http://schemas.openxmlformats.org/officeDocument/2006/relationships/hyperlink" Target="mailto:pasalcedo@sancorseguros.com" TargetMode="External"/><Relationship Id="rId375" Type="http://schemas.openxmlformats.org/officeDocument/2006/relationships/hyperlink" Target="mailto:fsantorum@sancorseguros.com" TargetMode="External"/><Relationship Id="rId582" Type="http://schemas.openxmlformats.org/officeDocument/2006/relationships/hyperlink" Target="mailto:cpavon@sancorseguros.com" TargetMode="External"/><Relationship Id="rId2056" Type="http://schemas.openxmlformats.org/officeDocument/2006/relationships/hyperlink" Target="mailto:mizzo@ext.sancorseguros.com" TargetMode="External"/><Relationship Id="rId2263" Type="http://schemas.openxmlformats.org/officeDocument/2006/relationships/hyperlink" Target="mailto:anunzio@sancorseguros.com" TargetMode="External"/><Relationship Id="rId2470" Type="http://schemas.openxmlformats.org/officeDocument/2006/relationships/hyperlink" Target="mailto:rmomartinez@sancorseguros.com" TargetMode="External"/><Relationship Id="rId3107" Type="http://schemas.openxmlformats.org/officeDocument/2006/relationships/hyperlink" Target="mailto:gmgutierrez@ext.sancorseguros.com" TargetMode="External"/><Relationship Id="rId3314" Type="http://schemas.openxmlformats.org/officeDocument/2006/relationships/hyperlink" Target="mailto:gmgutierrez@ext.sancorseguros.com" TargetMode="External"/><Relationship Id="rId3521" Type="http://schemas.openxmlformats.org/officeDocument/2006/relationships/hyperlink" Target="mailto:bdemiguel@sancorseguros.com" TargetMode="External"/><Relationship Id="rId235" Type="http://schemas.openxmlformats.org/officeDocument/2006/relationships/hyperlink" Target="mailto:bdemiguel@sancorseguros.com" TargetMode="External"/><Relationship Id="rId442" Type="http://schemas.openxmlformats.org/officeDocument/2006/relationships/hyperlink" Target="mailto:cpavon@sancorseguros.com" TargetMode="External"/><Relationship Id="rId1072" Type="http://schemas.openxmlformats.org/officeDocument/2006/relationships/hyperlink" Target="mailto:madecarvalho@sancorseguros.com" TargetMode="External"/><Relationship Id="rId2123" Type="http://schemas.openxmlformats.org/officeDocument/2006/relationships/hyperlink" Target="mailto:cpavon@sancorseguros.com" TargetMode="External"/><Relationship Id="rId2330" Type="http://schemas.openxmlformats.org/officeDocument/2006/relationships/hyperlink" Target="mailto:mizzo@ext.sancorseguros.com" TargetMode="External"/><Relationship Id="rId302" Type="http://schemas.openxmlformats.org/officeDocument/2006/relationships/hyperlink" Target="mailto:pmalchiodi@sancorseguros.com" TargetMode="External"/><Relationship Id="rId1889" Type="http://schemas.openxmlformats.org/officeDocument/2006/relationships/hyperlink" Target="mailto:mascallia@sancorseguros.com" TargetMode="External"/><Relationship Id="rId1749" Type="http://schemas.openxmlformats.org/officeDocument/2006/relationships/hyperlink" Target="mailto:mkester@sancorseguros.com" TargetMode="External"/><Relationship Id="rId1956" Type="http://schemas.openxmlformats.org/officeDocument/2006/relationships/hyperlink" Target="mailto:lbarboza@ext.sancorseguros.com" TargetMode="External"/><Relationship Id="rId3171" Type="http://schemas.openxmlformats.org/officeDocument/2006/relationships/hyperlink" Target="mailto:fsantorum@sancorseguros.com" TargetMode="External"/><Relationship Id="rId1609" Type="http://schemas.openxmlformats.org/officeDocument/2006/relationships/hyperlink" Target="mailto:mizzo@ext.sancorseguros.com" TargetMode="External"/><Relationship Id="rId1816" Type="http://schemas.openxmlformats.org/officeDocument/2006/relationships/hyperlink" Target="mailto:lbarboza@ext.sancorseguros.com" TargetMode="External"/><Relationship Id="rId3031" Type="http://schemas.openxmlformats.org/officeDocument/2006/relationships/hyperlink" Target="mailto:pmalchiodi@sancorseguros.com" TargetMode="External"/><Relationship Id="rId2797" Type="http://schemas.openxmlformats.org/officeDocument/2006/relationships/hyperlink" Target="mailto:camgonzalez@sancorseguros.com" TargetMode="External"/><Relationship Id="rId769" Type="http://schemas.openxmlformats.org/officeDocument/2006/relationships/hyperlink" Target="mailto:gmgutierrez@ext.sancorseguros.com" TargetMode="External"/><Relationship Id="rId976" Type="http://schemas.openxmlformats.org/officeDocument/2006/relationships/hyperlink" Target="mailto:gmgutierrez@ext.sancorseguros.com" TargetMode="External"/><Relationship Id="rId1399" Type="http://schemas.openxmlformats.org/officeDocument/2006/relationships/hyperlink" Target="mailto:gmgutierrez@ext.sancorseguros.com" TargetMode="External"/><Relationship Id="rId2657" Type="http://schemas.openxmlformats.org/officeDocument/2006/relationships/hyperlink" Target="mailto:bdemiguel@sancorseguros.com" TargetMode="External"/><Relationship Id="rId629" Type="http://schemas.openxmlformats.org/officeDocument/2006/relationships/hyperlink" Target="mailto:camgonzalez@sancorseguros.com" TargetMode="External"/><Relationship Id="rId1259" Type="http://schemas.openxmlformats.org/officeDocument/2006/relationships/hyperlink" Target="mailto:mizzo@ext.sancorseguros.com" TargetMode="External"/><Relationship Id="rId1466" Type="http://schemas.openxmlformats.org/officeDocument/2006/relationships/hyperlink" Target="mailto:camgonzalez@sancorseguros.com" TargetMode="External"/><Relationship Id="rId2864" Type="http://schemas.openxmlformats.org/officeDocument/2006/relationships/hyperlink" Target="mailto:mascallia@sancorseguros.com" TargetMode="External"/><Relationship Id="rId836" Type="http://schemas.openxmlformats.org/officeDocument/2006/relationships/hyperlink" Target="mailto:mmaccarrone@ext.sancorseguros.com" TargetMode="External"/><Relationship Id="rId1119" Type="http://schemas.openxmlformats.org/officeDocument/2006/relationships/hyperlink" Target="mailto:cvaldez@ext.sancorseguros.com" TargetMode="External"/><Relationship Id="rId1673" Type="http://schemas.openxmlformats.org/officeDocument/2006/relationships/hyperlink" Target="mailto:cvaldez@ext.sancorseguros.com" TargetMode="External"/><Relationship Id="rId1880" Type="http://schemas.openxmlformats.org/officeDocument/2006/relationships/hyperlink" Target="mailto:rmomartinez@sancorseguros.com" TargetMode="External"/><Relationship Id="rId2517" Type="http://schemas.openxmlformats.org/officeDocument/2006/relationships/hyperlink" Target="mailto:milmartinez@ext.sancorseguros.com" TargetMode="External"/><Relationship Id="rId2724" Type="http://schemas.openxmlformats.org/officeDocument/2006/relationships/hyperlink" Target="mailto:mmaccarrone@ext.sancorseguros.com" TargetMode="External"/><Relationship Id="rId2931" Type="http://schemas.openxmlformats.org/officeDocument/2006/relationships/hyperlink" Target="mailto:mascallia@sancorseguros.com" TargetMode="External"/><Relationship Id="rId903" Type="http://schemas.openxmlformats.org/officeDocument/2006/relationships/hyperlink" Target="mailto:mizzo@ext.sancorseguros.com" TargetMode="External"/><Relationship Id="rId1326" Type="http://schemas.openxmlformats.org/officeDocument/2006/relationships/hyperlink" Target="mailto:mkester@sancorseguros.com" TargetMode="External"/><Relationship Id="rId1533" Type="http://schemas.openxmlformats.org/officeDocument/2006/relationships/hyperlink" Target="mailto:cvaldez@ext.sancorseguros.com" TargetMode="External"/><Relationship Id="rId1740" Type="http://schemas.openxmlformats.org/officeDocument/2006/relationships/hyperlink" Target="mailto:mizzo@ext.sancorseguros.com" TargetMode="External"/><Relationship Id="rId32" Type="http://schemas.openxmlformats.org/officeDocument/2006/relationships/hyperlink" Target="mailto:pgirardin@sancorseguros.com" TargetMode="External"/><Relationship Id="rId1600" Type="http://schemas.openxmlformats.org/officeDocument/2006/relationships/hyperlink" Target="mailto:fsantorum@sancorseguros.com" TargetMode="External"/><Relationship Id="rId3498" Type="http://schemas.openxmlformats.org/officeDocument/2006/relationships/hyperlink" Target="mailto:lbarboza@ext.sancorseguros.com" TargetMode="External"/><Relationship Id="rId3358" Type="http://schemas.openxmlformats.org/officeDocument/2006/relationships/hyperlink" Target="mailto:milmartinez@ext.sancorseguros.com" TargetMode="External"/><Relationship Id="rId3565" Type="http://schemas.openxmlformats.org/officeDocument/2006/relationships/hyperlink" Target="mailto:gleguizamon@ext.sancorseguros.com" TargetMode="External"/><Relationship Id="rId279" Type="http://schemas.openxmlformats.org/officeDocument/2006/relationships/hyperlink" Target="mailto:vloray@ext.sancorseguros.com" TargetMode="External"/><Relationship Id="rId486" Type="http://schemas.openxmlformats.org/officeDocument/2006/relationships/hyperlink" Target="mailto:pgirardin@sancorseguros.com" TargetMode="External"/><Relationship Id="rId693" Type="http://schemas.openxmlformats.org/officeDocument/2006/relationships/hyperlink" Target="mailto:gleguizamon@ext.sancorseguros.com" TargetMode="External"/><Relationship Id="rId2167" Type="http://schemas.openxmlformats.org/officeDocument/2006/relationships/hyperlink" Target="mailto:madecarvalho@sancorseguros.com" TargetMode="External"/><Relationship Id="rId2374" Type="http://schemas.openxmlformats.org/officeDocument/2006/relationships/hyperlink" Target="mailto:pasalcedo@sancorseguros.com" TargetMode="External"/><Relationship Id="rId2581" Type="http://schemas.openxmlformats.org/officeDocument/2006/relationships/hyperlink" Target="mailto:pmalchiodi@sancorseguros.com" TargetMode="External"/><Relationship Id="rId3218" Type="http://schemas.openxmlformats.org/officeDocument/2006/relationships/hyperlink" Target="mailto:cvaldez@ext.sancorseguros.com" TargetMode="External"/><Relationship Id="rId3425" Type="http://schemas.openxmlformats.org/officeDocument/2006/relationships/hyperlink" Target="mailto:bdemiguel@sancorseguros.com" TargetMode="External"/><Relationship Id="rId3632" Type="http://schemas.openxmlformats.org/officeDocument/2006/relationships/hyperlink" Target="mailto:bdemiguel@sancorseguros.com" TargetMode="External"/><Relationship Id="rId139" Type="http://schemas.openxmlformats.org/officeDocument/2006/relationships/hyperlink" Target="mailto:mizzo@ext.sancorseguros.com" TargetMode="External"/><Relationship Id="rId346" Type="http://schemas.openxmlformats.org/officeDocument/2006/relationships/hyperlink" Target="mailto:abinau@sancorseguros.com" TargetMode="External"/><Relationship Id="rId553" Type="http://schemas.openxmlformats.org/officeDocument/2006/relationships/hyperlink" Target="mailto:gleguizamon@ext.sancorseguros.com" TargetMode="External"/><Relationship Id="rId760" Type="http://schemas.openxmlformats.org/officeDocument/2006/relationships/hyperlink" Target="mailto:camgonzalez@sancorseguros.com" TargetMode="External"/><Relationship Id="rId1183" Type="http://schemas.openxmlformats.org/officeDocument/2006/relationships/hyperlink" Target="mailto:rmomartinez@sancorseguros.com" TargetMode="External"/><Relationship Id="rId1390" Type="http://schemas.openxmlformats.org/officeDocument/2006/relationships/hyperlink" Target="mailto:mmaccarrone@ext.sancorseguros.com" TargetMode="External"/><Relationship Id="rId2027" Type="http://schemas.openxmlformats.org/officeDocument/2006/relationships/hyperlink" Target="mailto:cvaldez@ext.sancorseguros.com" TargetMode="External"/><Relationship Id="rId2234" Type="http://schemas.openxmlformats.org/officeDocument/2006/relationships/hyperlink" Target="mailto:cvaldez@ext.sancorseguros.com" TargetMode="External"/><Relationship Id="rId2441" Type="http://schemas.openxmlformats.org/officeDocument/2006/relationships/hyperlink" Target="mailto:mkester@sancorseguros.com" TargetMode="External"/><Relationship Id="rId206" Type="http://schemas.openxmlformats.org/officeDocument/2006/relationships/hyperlink" Target="mailto:mizzo@ext.sancorseguros.com" TargetMode="External"/><Relationship Id="rId413" Type="http://schemas.openxmlformats.org/officeDocument/2006/relationships/hyperlink" Target="mailto:abinau@sancorseguros.com" TargetMode="External"/><Relationship Id="rId1043" Type="http://schemas.openxmlformats.org/officeDocument/2006/relationships/hyperlink" Target="mailto:bdemiguel@sancorseguros.com" TargetMode="External"/><Relationship Id="rId620" Type="http://schemas.openxmlformats.org/officeDocument/2006/relationships/hyperlink" Target="mailto:anunzio@sancorseguros.com" TargetMode="External"/><Relationship Id="rId1250" Type="http://schemas.openxmlformats.org/officeDocument/2006/relationships/hyperlink" Target="mailto:dtoledo@sancorseguros.com" TargetMode="External"/><Relationship Id="rId2301" Type="http://schemas.openxmlformats.org/officeDocument/2006/relationships/hyperlink" Target="mailto:cpavon@sancorseguros.com" TargetMode="External"/><Relationship Id="rId1110" Type="http://schemas.openxmlformats.org/officeDocument/2006/relationships/hyperlink" Target="mailto:cvaldez@ext.sancorseguros.com" TargetMode="External"/><Relationship Id="rId1927" Type="http://schemas.openxmlformats.org/officeDocument/2006/relationships/hyperlink" Target="mailto:lbarboza@ext.sancorseguros.com" TargetMode="External"/><Relationship Id="rId3075" Type="http://schemas.openxmlformats.org/officeDocument/2006/relationships/hyperlink" Target="mailto:abinau@sancorseguros.com" TargetMode="External"/><Relationship Id="rId3282" Type="http://schemas.openxmlformats.org/officeDocument/2006/relationships/hyperlink" Target="mailto:mascallia@sancorseguros.com" TargetMode="External"/><Relationship Id="rId2091" Type="http://schemas.openxmlformats.org/officeDocument/2006/relationships/hyperlink" Target="mailto:fsantorum@sancorseguros.com" TargetMode="External"/><Relationship Id="rId3142" Type="http://schemas.openxmlformats.org/officeDocument/2006/relationships/hyperlink" Target="mailto:bdemiguel@sancorseguros.com" TargetMode="External"/><Relationship Id="rId270" Type="http://schemas.openxmlformats.org/officeDocument/2006/relationships/hyperlink" Target="mailto:camgonzalez@sancorseguros.com" TargetMode="External"/><Relationship Id="rId3002" Type="http://schemas.openxmlformats.org/officeDocument/2006/relationships/hyperlink" Target="mailto:cpavon@sancorseguros.com" TargetMode="External"/><Relationship Id="rId130" Type="http://schemas.openxmlformats.org/officeDocument/2006/relationships/hyperlink" Target="mailto:madecarvalho@sancorseguros.com" TargetMode="External"/><Relationship Id="rId2768" Type="http://schemas.openxmlformats.org/officeDocument/2006/relationships/hyperlink" Target="mailto:bdemiguel@sancorseguros.com" TargetMode="External"/><Relationship Id="rId2975" Type="http://schemas.openxmlformats.org/officeDocument/2006/relationships/hyperlink" Target="mailto:bdemiguel@sancorseguros.com" TargetMode="External"/><Relationship Id="rId947" Type="http://schemas.openxmlformats.org/officeDocument/2006/relationships/hyperlink" Target="mailto:cpavon@sancorseguros.com" TargetMode="External"/><Relationship Id="rId1577" Type="http://schemas.openxmlformats.org/officeDocument/2006/relationships/hyperlink" Target="mailto:cpavon@sancorseguros.com" TargetMode="External"/><Relationship Id="rId1784" Type="http://schemas.openxmlformats.org/officeDocument/2006/relationships/hyperlink" Target="mailto:fsoloneski@sancorseguros.com" TargetMode="External"/><Relationship Id="rId1991" Type="http://schemas.openxmlformats.org/officeDocument/2006/relationships/hyperlink" Target="mailto:mkester@sancorseguros.com" TargetMode="External"/><Relationship Id="rId2628" Type="http://schemas.openxmlformats.org/officeDocument/2006/relationships/hyperlink" Target="mailto:fsantorum@sancorseguros.com" TargetMode="External"/><Relationship Id="rId2835" Type="http://schemas.openxmlformats.org/officeDocument/2006/relationships/hyperlink" Target="mailto:bdemiguel@sancorseguros.com" TargetMode="External"/><Relationship Id="rId76" Type="http://schemas.openxmlformats.org/officeDocument/2006/relationships/hyperlink" Target="mailto:camgonzalez@sancorseguros.com" TargetMode="External"/><Relationship Id="rId807" Type="http://schemas.openxmlformats.org/officeDocument/2006/relationships/hyperlink" Target="mailto:gmgutierrez@ext.sancorseguros.com" TargetMode="External"/><Relationship Id="rId1437" Type="http://schemas.openxmlformats.org/officeDocument/2006/relationships/hyperlink" Target="mailto:mizzo@ext.sancorseguros.com" TargetMode="External"/><Relationship Id="rId1644" Type="http://schemas.openxmlformats.org/officeDocument/2006/relationships/hyperlink" Target="mailto:cpavon@sancorseguros.com" TargetMode="External"/><Relationship Id="rId1851" Type="http://schemas.openxmlformats.org/officeDocument/2006/relationships/hyperlink" Target="mailto:mmaccarrone@ext.sancorseguros.com" TargetMode="External"/><Relationship Id="rId2902" Type="http://schemas.openxmlformats.org/officeDocument/2006/relationships/hyperlink" Target="mailto:cvaldez@ext.sancorseguros.com" TargetMode="External"/><Relationship Id="rId1504" Type="http://schemas.openxmlformats.org/officeDocument/2006/relationships/hyperlink" Target="mailto:lbarboza@ext.sancorseguros.com" TargetMode="External"/><Relationship Id="rId1711" Type="http://schemas.openxmlformats.org/officeDocument/2006/relationships/hyperlink" Target="mailto:mizzo@ext.sancorseguros.com" TargetMode="External"/><Relationship Id="rId3469" Type="http://schemas.openxmlformats.org/officeDocument/2006/relationships/hyperlink" Target="mailto:mdambrosio@ext.sancorseguros.com" TargetMode="External"/><Relationship Id="rId597" Type="http://schemas.openxmlformats.org/officeDocument/2006/relationships/hyperlink" Target="mailto:mizzo@ext.sancorseguros.com" TargetMode="External"/><Relationship Id="rId2278" Type="http://schemas.openxmlformats.org/officeDocument/2006/relationships/hyperlink" Target="mailto:pmalchiodi@sancorseguros.com" TargetMode="External"/><Relationship Id="rId2485" Type="http://schemas.openxmlformats.org/officeDocument/2006/relationships/hyperlink" Target="mailto:dbenitez@sancorseguros.com" TargetMode="External"/><Relationship Id="rId3329" Type="http://schemas.openxmlformats.org/officeDocument/2006/relationships/hyperlink" Target="mailto:abinau@sancorseguros.com" TargetMode="External"/><Relationship Id="rId457" Type="http://schemas.openxmlformats.org/officeDocument/2006/relationships/hyperlink" Target="mailto:mascallia@sancorseguros.com" TargetMode="External"/><Relationship Id="rId1087" Type="http://schemas.openxmlformats.org/officeDocument/2006/relationships/hyperlink" Target="mailto:lbarboza@ext.sancorseguros.com" TargetMode="External"/><Relationship Id="rId1294" Type="http://schemas.openxmlformats.org/officeDocument/2006/relationships/hyperlink" Target="mailto:amrodriguez@sancorseguros.com" TargetMode="External"/><Relationship Id="rId2138" Type="http://schemas.openxmlformats.org/officeDocument/2006/relationships/hyperlink" Target="mailto:lbarboza@ext.sancorseguros.com" TargetMode="External"/><Relationship Id="rId2692" Type="http://schemas.openxmlformats.org/officeDocument/2006/relationships/hyperlink" Target="mailto:mizzo@ext.sancorseguros.com" TargetMode="External"/><Relationship Id="rId3536" Type="http://schemas.openxmlformats.org/officeDocument/2006/relationships/hyperlink" Target="mailto:mmaccarrone@ext.sancorseguros.com" TargetMode="External"/><Relationship Id="rId664" Type="http://schemas.openxmlformats.org/officeDocument/2006/relationships/hyperlink" Target="mailto:gleguizamon@ext.sancorseguros.com" TargetMode="External"/><Relationship Id="rId871" Type="http://schemas.openxmlformats.org/officeDocument/2006/relationships/hyperlink" Target="mailto:rmomartinez@sancorseguros.com" TargetMode="External"/><Relationship Id="rId2345" Type="http://schemas.openxmlformats.org/officeDocument/2006/relationships/hyperlink" Target="mailto:mizzo@ext.sancorseguros.com" TargetMode="External"/><Relationship Id="rId2552" Type="http://schemas.openxmlformats.org/officeDocument/2006/relationships/hyperlink" Target="mailto:fsantorum@sancorseguros.com" TargetMode="External"/><Relationship Id="rId3603" Type="http://schemas.openxmlformats.org/officeDocument/2006/relationships/hyperlink" Target="mailto:mizzo@ext.sancorseguros.com" TargetMode="External"/><Relationship Id="rId317" Type="http://schemas.openxmlformats.org/officeDocument/2006/relationships/hyperlink" Target="mailto:cpavon@sancorseguros.com" TargetMode="External"/><Relationship Id="rId524" Type="http://schemas.openxmlformats.org/officeDocument/2006/relationships/hyperlink" Target="mailto:abinau@sancorseguros.com" TargetMode="External"/><Relationship Id="rId731" Type="http://schemas.openxmlformats.org/officeDocument/2006/relationships/hyperlink" Target="mailto:vloray@ext.sancorseguros.com" TargetMode="External"/><Relationship Id="rId1154" Type="http://schemas.openxmlformats.org/officeDocument/2006/relationships/hyperlink" Target="mailto:milmartinez@ext.sancorseguros.com" TargetMode="External"/><Relationship Id="rId1361" Type="http://schemas.openxmlformats.org/officeDocument/2006/relationships/hyperlink" Target="mailto:gmgutierrez@ext.sancorseguros.com" TargetMode="External"/><Relationship Id="rId2205" Type="http://schemas.openxmlformats.org/officeDocument/2006/relationships/hyperlink" Target="mailto:fsantorum@sancorseguros.com" TargetMode="External"/><Relationship Id="rId2412" Type="http://schemas.openxmlformats.org/officeDocument/2006/relationships/hyperlink" Target="mailto:bdemiguel@sancorseguros.com" TargetMode="External"/><Relationship Id="rId1014" Type="http://schemas.openxmlformats.org/officeDocument/2006/relationships/hyperlink" Target="mailto:mkester@sancorseguros.com" TargetMode="External"/><Relationship Id="rId1221" Type="http://schemas.openxmlformats.org/officeDocument/2006/relationships/hyperlink" Target="mailto:vloray@ext.sancorseguros.com" TargetMode="External"/><Relationship Id="rId3186" Type="http://schemas.openxmlformats.org/officeDocument/2006/relationships/hyperlink" Target="mailto:mizzo@ext.sancorseguros.com" TargetMode="External"/><Relationship Id="rId3393" Type="http://schemas.openxmlformats.org/officeDocument/2006/relationships/hyperlink" Target="mailto:rmomartinez@sancorseguros.com" TargetMode="External"/><Relationship Id="rId3046" Type="http://schemas.openxmlformats.org/officeDocument/2006/relationships/hyperlink" Target="mailto:lbarboza@ext.sancorseguros.com" TargetMode="External"/><Relationship Id="rId3253" Type="http://schemas.openxmlformats.org/officeDocument/2006/relationships/hyperlink" Target="mailto:mizzo@ext.sancorseguros.com" TargetMode="External"/><Relationship Id="rId3460" Type="http://schemas.openxmlformats.org/officeDocument/2006/relationships/hyperlink" Target="mailto:lbarboza@ext.sancorseguros.com" TargetMode="External"/><Relationship Id="rId174" Type="http://schemas.openxmlformats.org/officeDocument/2006/relationships/hyperlink" Target="mailto:madecarvalho@sancorseguros.com" TargetMode="External"/><Relationship Id="rId381" Type="http://schemas.openxmlformats.org/officeDocument/2006/relationships/hyperlink" Target="mailto:camgonzalez@sancorseguros.com" TargetMode="External"/><Relationship Id="rId2062" Type="http://schemas.openxmlformats.org/officeDocument/2006/relationships/hyperlink" Target="mailto:vloray@ext.sancorseguros.com" TargetMode="External"/><Relationship Id="rId3113" Type="http://schemas.openxmlformats.org/officeDocument/2006/relationships/hyperlink" Target="mailto:mascallia@sancorseguros.com" TargetMode="External"/><Relationship Id="rId241" Type="http://schemas.openxmlformats.org/officeDocument/2006/relationships/hyperlink" Target="mailto:mascallia@sancorseguros.com" TargetMode="External"/><Relationship Id="rId3320" Type="http://schemas.openxmlformats.org/officeDocument/2006/relationships/hyperlink" Target="mailto:lbarboza@ext.sancorseguros.com" TargetMode="External"/><Relationship Id="rId2879" Type="http://schemas.openxmlformats.org/officeDocument/2006/relationships/hyperlink" Target="mailto:gleguizamon@ext.sancorseguros.com" TargetMode="External"/><Relationship Id="rId101" Type="http://schemas.openxmlformats.org/officeDocument/2006/relationships/hyperlink" Target="mailto:ludiaz@ext.sancorseguros.com" TargetMode="External"/><Relationship Id="rId1688" Type="http://schemas.openxmlformats.org/officeDocument/2006/relationships/hyperlink" Target="mailto:lbarboza@ext.sancorseguros.com" TargetMode="External"/><Relationship Id="rId1895" Type="http://schemas.openxmlformats.org/officeDocument/2006/relationships/hyperlink" Target="mailto:bdemiguel@sancorseguros.com" TargetMode="External"/><Relationship Id="rId2739" Type="http://schemas.openxmlformats.org/officeDocument/2006/relationships/hyperlink" Target="mailto:lbarboza@ext.sancorseguros.com" TargetMode="External"/><Relationship Id="rId2946" Type="http://schemas.openxmlformats.org/officeDocument/2006/relationships/hyperlink" Target="mailto:gpachao@sancorseguros.com" TargetMode="External"/><Relationship Id="rId918" Type="http://schemas.openxmlformats.org/officeDocument/2006/relationships/hyperlink" Target="mailto:rmomartinez@sancorseguros.com" TargetMode="External"/><Relationship Id="rId1548" Type="http://schemas.openxmlformats.org/officeDocument/2006/relationships/hyperlink" Target="mailto:mizzo@ext.sancorseguros.com" TargetMode="External"/><Relationship Id="rId1755" Type="http://schemas.openxmlformats.org/officeDocument/2006/relationships/hyperlink" Target="mailto:rfernandez@sancorseguros.com" TargetMode="External"/><Relationship Id="rId1408" Type="http://schemas.openxmlformats.org/officeDocument/2006/relationships/hyperlink" Target="mailto:cvaldez@ext.sancorseguros.com" TargetMode="External"/><Relationship Id="rId1962" Type="http://schemas.openxmlformats.org/officeDocument/2006/relationships/hyperlink" Target="mailto:lbarboza@ext.sancorseguros.com" TargetMode="External"/><Relationship Id="rId2806" Type="http://schemas.openxmlformats.org/officeDocument/2006/relationships/hyperlink" Target="mailto:lbarboza@ext.sancorseguros.com" TargetMode="External"/><Relationship Id="rId47" Type="http://schemas.openxmlformats.org/officeDocument/2006/relationships/hyperlink" Target="mailto:madecarvalho@sancorseguros.com" TargetMode="External"/><Relationship Id="rId1615" Type="http://schemas.openxmlformats.org/officeDocument/2006/relationships/hyperlink" Target="mailto:mizzo@ext.sancorseguros.com" TargetMode="External"/><Relationship Id="rId1822" Type="http://schemas.openxmlformats.org/officeDocument/2006/relationships/hyperlink" Target="mailto:cpavon@sancorseguros.com" TargetMode="External"/><Relationship Id="rId2389" Type="http://schemas.openxmlformats.org/officeDocument/2006/relationships/hyperlink" Target="mailto:mascallia@sancorseguros.com" TargetMode="External"/><Relationship Id="rId2596" Type="http://schemas.openxmlformats.org/officeDocument/2006/relationships/hyperlink" Target="mailto:gmgutierrez@ext.sancorseguros.com" TargetMode="External"/><Relationship Id="rId568" Type="http://schemas.openxmlformats.org/officeDocument/2006/relationships/hyperlink" Target="mailto:pmalchiodi@sancorseguros.com" TargetMode="External"/><Relationship Id="rId775" Type="http://schemas.openxmlformats.org/officeDocument/2006/relationships/hyperlink" Target="mailto:mascallia@sancorseguros.com" TargetMode="External"/><Relationship Id="rId982" Type="http://schemas.openxmlformats.org/officeDocument/2006/relationships/hyperlink" Target="mailto:milmartinez@ext.sancorseguros.com" TargetMode="External"/><Relationship Id="rId1198" Type="http://schemas.openxmlformats.org/officeDocument/2006/relationships/hyperlink" Target="mailto:mizzo@ext.sancorseguros.com" TargetMode="External"/><Relationship Id="rId2249" Type="http://schemas.openxmlformats.org/officeDocument/2006/relationships/hyperlink" Target="mailto:rperez@sancorseguros.com" TargetMode="External"/><Relationship Id="rId2456" Type="http://schemas.openxmlformats.org/officeDocument/2006/relationships/hyperlink" Target="mailto:mascallia@sancorseguros.com" TargetMode="External"/><Relationship Id="rId2663" Type="http://schemas.openxmlformats.org/officeDocument/2006/relationships/hyperlink" Target="mailto:dtoledo@sancorseguros.com" TargetMode="External"/><Relationship Id="rId2870" Type="http://schemas.openxmlformats.org/officeDocument/2006/relationships/hyperlink" Target="mailto:cvaldez@ext.sancorseguros.com" TargetMode="External"/><Relationship Id="rId3507" Type="http://schemas.openxmlformats.org/officeDocument/2006/relationships/hyperlink" Target="mailto:mmaccarrone@ext.sancorseguros.com" TargetMode="External"/><Relationship Id="rId428" Type="http://schemas.openxmlformats.org/officeDocument/2006/relationships/hyperlink" Target="mailto:milmartinez@ext.sancorseguros.com" TargetMode="External"/><Relationship Id="rId635" Type="http://schemas.openxmlformats.org/officeDocument/2006/relationships/hyperlink" Target="mailto:madecarvalho@sancorseguros.com" TargetMode="External"/><Relationship Id="rId842" Type="http://schemas.openxmlformats.org/officeDocument/2006/relationships/hyperlink" Target="mailto:cvaldez@ext.sancorseguros.com" TargetMode="External"/><Relationship Id="rId1058" Type="http://schemas.openxmlformats.org/officeDocument/2006/relationships/hyperlink" Target="mailto:mmaccarrone@ext.sancorseguros.com" TargetMode="External"/><Relationship Id="rId1265" Type="http://schemas.openxmlformats.org/officeDocument/2006/relationships/hyperlink" Target="mailto:gleguizamon@ext.sancorseguros.com" TargetMode="External"/><Relationship Id="rId1472" Type="http://schemas.openxmlformats.org/officeDocument/2006/relationships/hyperlink" Target="mailto:anunzio@sancorseguros.com" TargetMode="External"/><Relationship Id="rId2109" Type="http://schemas.openxmlformats.org/officeDocument/2006/relationships/hyperlink" Target="mailto:cvaldez@ext.sancorseguros.com" TargetMode="External"/><Relationship Id="rId2316" Type="http://schemas.openxmlformats.org/officeDocument/2006/relationships/hyperlink" Target="mailto:abinau@sancorseguros.com" TargetMode="External"/><Relationship Id="rId2523" Type="http://schemas.openxmlformats.org/officeDocument/2006/relationships/hyperlink" Target="mailto:mizzo@ext.sancorseguros.com" TargetMode="External"/><Relationship Id="rId2730" Type="http://schemas.openxmlformats.org/officeDocument/2006/relationships/hyperlink" Target="mailto:abinau@sancorseguros.com" TargetMode="External"/><Relationship Id="rId702" Type="http://schemas.openxmlformats.org/officeDocument/2006/relationships/hyperlink" Target="mailto:mizzo@ext.sancorseguros.com" TargetMode="External"/><Relationship Id="rId1125" Type="http://schemas.openxmlformats.org/officeDocument/2006/relationships/hyperlink" Target="mailto:camgonzalez@sancorseguros.com" TargetMode="External"/><Relationship Id="rId1332" Type="http://schemas.openxmlformats.org/officeDocument/2006/relationships/hyperlink" Target="mailto:rmomartinez@sancorseguros.com" TargetMode="External"/><Relationship Id="rId3297" Type="http://schemas.openxmlformats.org/officeDocument/2006/relationships/hyperlink" Target="mailto:gmgutierrez@ext.sancorseguros.com" TargetMode="External"/><Relationship Id="rId3157" Type="http://schemas.openxmlformats.org/officeDocument/2006/relationships/hyperlink" Target="mailto:milmartinez@ext.sancorseguros.com" TargetMode="External"/><Relationship Id="rId285" Type="http://schemas.openxmlformats.org/officeDocument/2006/relationships/hyperlink" Target="mailto:abinau@sancorseguros.com" TargetMode="External"/><Relationship Id="rId3364" Type="http://schemas.openxmlformats.org/officeDocument/2006/relationships/hyperlink" Target="mailto:gmgutierrez@ext.sancorseguros.com" TargetMode="External"/><Relationship Id="rId3571" Type="http://schemas.openxmlformats.org/officeDocument/2006/relationships/hyperlink" Target="mailto:rfernandez@sancorseguros.com" TargetMode="External"/><Relationship Id="rId492" Type="http://schemas.openxmlformats.org/officeDocument/2006/relationships/hyperlink" Target="mailto:milmartinez@ext.sancorseguros.com" TargetMode="External"/><Relationship Id="rId2173" Type="http://schemas.openxmlformats.org/officeDocument/2006/relationships/hyperlink" Target="mailto:anunzio@sancorseguros.com" TargetMode="External"/><Relationship Id="rId2380" Type="http://schemas.openxmlformats.org/officeDocument/2006/relationships/hyperlink" Target="mailto:anunzio@sancorseguros.com" TargetMode="External"/><Relationship Id="rId3017" Type="http://schemas.openxmlformats.org/officeDocument/2006/relationships/hyperlink" Target="mailto:lbarboza@ext.sancorseguros.com" TargetMode="External"/><Relationship Id="rId3224" Type="http://schemas.openxmlformats.org/officeDocument/2006/relationships/hyperlink" Target="mailto:mmaccarrone@ext.sancorseguros.com" TargetMode="External"/><Relationship Id="rId3431" Type="http://schemas.openxmlformats.org/officeDocument/2006/relationships/hyperlink" Target="mailto:rmomartinez@sancorseguros.com" TargetMode="External"/><Relationship Id="rId145" Type="http://schemas.openxmlformats.org/officeDocument/2006/relationships/hyperlink" Target="mailto:mizzo@ext.sancorseguros.com" TargetMode="External"/><Relationship Id="rId352" Type="http://schemas.openxmlformats.org/officeDocument/2006/relationships/hyperlink" Target="mailto:milmartinez@ext.sancorseguros.com" TargetMode="External"/><Relationship Id="rId2033" Type="http://schemas.openxmlformats.org/officeDocument/2006/relationships/hyperlink" Target="mailto:mmaccarrone@ext.sancorseguros.com" TargetMode="External"/><Relationship Id="rId2240" Type="http://schemas.openxmlformats.org/officeDocument/2006/relationships/hyperlink" Target="mailto:madecarvalho@sancorseguros.com" TargetMode="External"/><Relationship Id="rId212" Type="http://schemas.openxmlformats.org/officeDocument/2006/relationships/hyperlink" Target="mailto:cpavon@sancorseguros.com" TargetMode="External"/><Relationship Id="rId1799" Type="http://schemas.openxmlformats.org/officeDocument/2006/relationships/hyperlink" Target="mailto:mkester@sancorseguros.com" TargetMode="External"/><Relationship Id="rId2100" Type="http://schemas.openxmlformats.org/officeDocument/2006/relationships/hyperlink" Target="mailto:lbarboza@ext.sancorseguros.com" TargetMode="External"/><Relationship Id="rId1659" Type="http://schemas.openxmlformats.org/officeDocument/2006/relationships/hyperlink" Target="mailto:mmaccarrone@ext.sancorseguros.com" TargetMode="External"/><Relationship Id="rId1866" Type="http://schemas.openxmlformats.org/officeDocument/2006/relationships/hyperlink" Target="mailto:camgonzalez@sancorseguros.com" TargetMode="External"/><Relationship Id="rId2917" Type="http://schemas.openxmlformats.org/officeDocument/2006/relationships/hyperlink" Target="mailto:milmartinez@ext.sancorseguros.com" TargetMode="External"/><Relationship Id="rId3081" Type="http://schemas.openxmlformats.org/officeDocument/2006/relationships/hyperlink" Target="mailto:anunzio@sancorseguros.com" TargetMode="External"/><Relationship Id="rId1519" Type="http://schemas.openxmlformats.org/officeDocument/2006/relationships/hyperlink" Target="mailto:gmgutierrez@ext.sancorseguros.com" TargetMode="External"/><Relationship Id="rId1726" Type="http://schemas.openxmlformats.org/officeDocument/2006/relationships/hyperlink" Target="mailto:fsantorum@sancorseguros.com" TargetMode="External"/><Relationship Id="rId1933" Type="http://schemas.openxmlformats.org/officeDocument/2006/relationships/hyperlink" Target="mailto:milmartinez@ext.sancorseguros.com" TargetMode="External"/><Relationship Id="rId18" Type="http://schemas.openxmlformats.org/officeDocument/2006/relationships/hyperlink" Target="mailto:mizzo@ext.sancorseguros.com" TargetMode="External"/><Relationship Id="rId679" Type="http://schemas.openxmlformats.org/officeDocument/2006/relationships/hyperlink" Target="mailto:mmaccarrone@ext.sancorseguros.com" TargetMode="External"/><Relationship Id="rId886" Type="http://schemas.openxmlformats.org/officeDocument/2006/relationships/hyperlink" Target="mailto:cpavon@sancorseguros.com" TargetMode="External"/><Relationship Id="rId2567" Type="http://schemas.openxmlformats.org/officeDocument/2006/relationships/hyperlink" Target="mailto:madecarvalho@sancorseguros.com" TargetMode="External"/><Relationship Id="rId2774" Type="http://schemas.openxmlformats.org/officeDocument/2006/relationships/hyperlink" Target="mailto:abinau@sancorseguros.com" TargetMode="External"/><Relationship Id="rId3618" Type="http://schemas.openxmlformats.org/officeDocument/2006/relationships/hyperlink" Target="mailto:gmgutierrez@ext.sancorseguros.com" TargetMode="External"/><Relationship Id="rId2" Type="http://schemas.openxmlformats.org/officeDocument/2006/relationships/hyperlink" Target="mailto:mevangelista@sancorseguros.com" TargetMode="External"/><Relationship Id="rId539" Type="http://schemas.openxmlformats.org/officeDocument/2006/relationships/hyperlink" Target="mailto:mizzo@ext.sancorseguros.com" TargetMode="External"/><Relationship Id="rId746" Type="http://schemas.openxmlformats.org/officeDocument/2006/relationships/hyperlink" Target="mailto:mmaccarrone@ext.sancorseguros.com" TargetMode="External"/><Relationship Id="rId1169" Type="http://schemas.openxmlformats.org/officeDocument/2006/relationships/hyperlink" Target="mailto:mizzo@ext.sancorseguros.com" TargetMode="External"/><Relationship Id="rId1376" Type="http://schemas.openxmlformats.org/officeDocument/2006/relationships/hyperlink" Target="mailto:mascallia@sancorseguros.com" TargetMode="External"/><Relationship Id="rId1583" Type="http://schemas.openxmlformats.org/officeDocument/2006/relationships/hyperlink" Target="mailto:mizzo@ext.sancorseguros.com" TargetMode="External"/><Relationship Id="rId2427" Type="http://schemas.openxmlformats.org/officeDocument/2006/relationships/hyperlink" Target="mailto:pgirardin@sancorseguros.com" TargetMode="External"/><Relationship Id="rId2981" Type="http://schemas.openxmlformats.org/officeDocument/2006/relationships/hyperlink" Target="mailto:mizzo@ext.sancorseguros.com" TargetMode="External"/><Relationship Id="rId953" Type="http://schemas.openxmlformats.org/officeDocument/2006/relationships/hyperlink" Target="mailto:abinau@sancorseguros.com" TargetMode="External"/><Relationship Id="rId1029" Type="http://schemas.openxmlformats.org/officeDocument/2006/relationships/hyperlink" Target="mailto:rfernandez@sancorseguros.com" TargetMode="External"/><Relationship Id="rId1236" Type="http://schemas.openxmlformats.org/officeDocument/2006/relationships/hyperlink" Target="mailto:mizzo@ext.sancorseguros.com" TargetMode="External"/><Relationship Id="rId1790" Type="http://schemas.openxmlformats.org/officeDocument/2006/relationships/hyperlink" Target="mailto:madecarvalho@sancorseguros.com" TargetMode="External"/><Relationship Id="rId2634" Type="http://schemas.openxmlformats.org/officeDocument/2006/relationships/hyperlink" Target="mailto:abaez@sancorseguros.com" TargetMode="External"/><Relationship Id="rId2841" Type="http://schemas.openxmlformats.org/officeDocument/2006/relationships/hyperlink" Target="mailto:lbarboza@ext.sancorseguros.com" TargetMode="External"/><Relationship Id="rId82" Type="http://schemas.openxmlformats.org/officeDocument/2006/relationships/hyperlink" Target="mailto:cvaldez@ext.sancorseguros.com" TargetMode="External"/><Relationship Id="rId606" Type="http://schemas.openxmlformats.org/officeDocument/2006/relationships/hyperlink" Target="mailto:cpavon@sancorseguros.com" TargetMode="External"/><Relationship Id="rId813" Type="http://schemas.openxmlformats.org/officeDocument/2006/relationships/hyperlink" Target="mailto:mascallia@sancorseguros.com" TargetMode="External"/><Relationship Id="rId1443" Type="http://schemas.openxmlformats.org/officeDocument/2006/relationships/hyperlink" Target="mailto:bdemiguel@sancorseguros.com" TargetMode="External"/><Relationship Id="rId1650" Type="http://schemas.openxmlformats.org/officeDocument/2006/relationships/hyperlink" Target="mailto:cpavon@sancorseguros.com" TargetMode="External"/><Relationship Id="rId2701" Type="http://schemas.openxmlformats.org/officeDocument/2006/relationships/hyperlink" Target="mailto:rfernandez@sancorseguros.com" TargetMode="External"/><Relationship Id="rId1303" Type="http://schemas.openxmlformats.org/officeDocument/2006/relationships/hyperlink" Target="mailto:pmalchiodi@sancorseguros.com" TargetMode="External"/><Relationship Id="rId1510" Type="http://schemas.openxmlformats.org/officeDocument/2006/relationships/hyperlink" Target="mailto:rmomartinez@sancorseguros.com" TargetMode="External"/><Relationship Id="rId3268" Type="http://schemas.openxmlformats.org/officeDocument/2006/relationships/hyperlink" Target="mailto:mmaccarrone@ext.sancorseguros.com" TargetMode="External"/><Relationship Id="rId3475" Type="http://schemas.openxmlformats.org/officeDocument/2006/relationships/hyperlink" Target="mailto:pmalchiodi@sancorseguros.com" TargetMode="External"/><Relationship Id="rId189" Type="http://schemas.openxmlformats.org/officeDocument/2006/relationships/hyperlink" Target="mailto:cpavon@sancorseguros.com" TargetMode="External"/><Relationship Id="rId396" Type="http://schemas.openxmlformats.org/officeDocument/2006/relationships/hyperlink" Target="mailto:mizzo@ext.sancorseguros.com" TargetMode="External"/><Relationship Id="rId2077" Type="http://schemas.openxmlformats.org/officeDocument/2006/relationships/hyperlink" Target="mailto:mcoiman@sancorseguros.com" TargetMode="External"/><Relationship Id="rId2284" Type="http://schemas.openxmlformats.org/officeDocument/2006/relationships/hyperlink" Target="mailto:lbarboza@ext.sancorseguros.com" TargetMode="External"/><Relationship Id="rId2491" Type="http://schemas.openxmlformats.org/officeDocument/2006/relationships/hyperlink" Target="mailto:abinau@sancorseguros.com" TargetMode="External"/><Relationship Id="rId3128" Type="http://schemas.openxmlformats.org/officeDocument/2006/relationships/hyperlink" Target="mailto:gleguizamon@ext.sancorseguros.com" TargetMode="External"/><Relationship Id="rId3335" Type="http://schemas.openxmlformats.org/officeDocument/2006/relationships/hyperlink" Target="mailto:abinau@sancorseguros.com" TargetMode="External"/><Relationship Id="rId3542" Type="http://schemas.openxmlformats.org/officeDocument/2006/relationships/hyperlink" Target="mailto:lbarboza@ext.sancorseguros.com" TargetMode="External"/><Relationship Id="rId256" Type="http://schemas.openxmlformats.org/officeDocument/2006/relationships/hyperlink" Target="mailto:madecarvalho@sancorseguros.com" TargetMode="External"/><Relationship Id="rId463" Type="http://schemas.openxmlformats.org/officeDocument/2006/relationships/hyperlink" Target="mailto:rmomartinez@sancorseguros.com" TargetMode="External"/><Relationship Id="rId670" Type="http://schemas.openxmlformats.org/officeDocument/2006/relationships/hyperlink" Target="mailto:bdemiguel@sancorseguros.com" TargetMode="External"/><Relationship Id="rId1093" Type="http://schemas.openxmlformats.org/officeDocument/2006/relationships/hyperlink" Target="mailto:cvaldez@ext.sancorseguros.com" TargetMode="External"/><Relationship Id="rId2144" Type="http://schemas.openxmlformats.org/officeDocument/2006/relationships/hyperlink" Target="mailto:bdemiguel@sancorseguros.com" TargetMode="External"/><Relationship Id="rId2351" Type="http://schemas.openxmlformats.org/officeDocument/2006/relationships/hyperlink" Target="mailto:abinau@sancorseguros.com" TargetMode="External"/><Relationship Id="rId3402" Type="http://schemas.openxmlformats.org/officeDocument/2006/relationships/hyperlink" Target="mailto:madecarvalho@sancorseguros.com" TargetMode="External"/><Relationship Id="rId116" Type="http://schemas.openxmlformats.org/officeDocument/2006/relationships/hyperlink" Target="mailto:pgirardin@sancorseguros.com" TargetMode="External"/><Relationship Id="rId323" Type="http://schemas.openxmlformats.org/officeDocument/2006/relationships/hyperlink" Target="mailto:pmalchiodi@sancorseguros.com" TargetMode="External"/><Relationship Id="rId530" Type="http://schemas.openxmlformats.org/officeDocument/2006/relationships/hyperlink" Target="mailto:mizzo@ext.sancorseguros.com" TargetMode="External"/><Relationship Id="rId1160" Type="http://schemas.openxmlformats.org/officeDocument/2006/relationships/hyperlink" Target="mailto:bdemiguel@sancorseguros.com" TargetMode="External"/><Relationship Id="rId2004" Type="http://schemas.openxmlformats.org/officeDocument/2006/relationships/hyperlink" Target="mailto:cpavon@sancorseguros.com" TargetMode="External"/><Relationship Id="rId2211" Type="http://schemas.openxmlformats.org/officeDocument/2006/relationships/hyperlink" Target="mailto:fsantorum@sancorseguros.com" TargetMode="External"/><Relationship Id="rId1020" Type="http://schemas.openxmlformats.org/officeDocument/2006/relationships/hyperlink" Target="mailto:gleguizamon@ext.sancorseguros.com" TargetMode="External"/><Relationship Id="rId1977" Type="http://schemas.openxmlformats.org/officeDocument/2006/relationships/hyperlink" Target="mailto:mizzo@ext.sancorseguros.com" TargetMode="External"/><Relationship Id="rId1837" Type="http://schemas.openxmlformats.org/officeDocument/2006/relationships/hyperlink" Target="mailto:madecarvalho@sancorseguros.com" TargetMode="External"/><Relationship Id="rId3192" Type="http://schemas.openxmlformats.org/officeDocument/2006/relationships/hyperlink" Target="mailto:cvaldez@ext.sancorseguros.com" TargetMode="External"/><Relationship Id="rId3052" Type="http://schemas.openxmlformats.org/officeDocument/2006/relationships/hyperlink" Target="mailto:mizzo@ext.sancorseguros.com" TargetMode="External"/><Relationship Id="rId180" Type="http://schemas.openxmlformats.org/officeDocument/2006/relationships/hyperlink" Target="mailto:abinau@sancorseguros.com" TargetMode="External"/><Relationship Id="rId1904" Type="http://schemas.openxmlformats.org/officeDocument/2006/relationships/hyperlink" Target="mailto:lbarboza@ext.sancorseguros.com" TargetMode="External"/><Relationship Id="rId997" Type="http://schemas.openxmlformats.org/officeDocument/2006/relationships/hyperlink" Target="mailto:fsantorum@sancorseguros.com" TargetMode="External"/><Relationship Id="rId2678" Type="http://schemas.openxmlformats.org/officeDocument/2006/relationships/hyperlink" Target="mailto:mascallia@sancorseguros.com" TargetMode="External"/><Relationship Id="rId2885" Type="http://schemas.openxmlformats.org/officeDocument/2006/relationships/hyperlink" Target="mailto:camgonzalez@sancorseguros.com" TargetMode="External"/><Relationship Id="rId857" Type="http://schemas.openxmlformats.org/officeDocument/2006/relationships/hyperlink" Target="mailto:rmomartinez@sancorseguros.com" TargetMode="External"/><Relationship Id="rId1487" Type="http://schemas.openxmlformats.org/officeDocument/2006/relationships/hyperlink" Target="mailto:mmaccarrone@ext.sancorseguros.com" TargetMode="External"/><Relationship Id="rId1694" Type="http://schemas.openxmlformats.org/officeDocument/2006/relationships/hyperlink" Target="mailto:mizzo@ext.sancorseguros.com" TargetMode="External"/><Relationship Id="rId2538" Type="http://schemas.openxmlformats.org/officeDocument/2006/relationships/hyperlink" Target="mailto:lbarboza@ext.sancorseguros.com" TargetMode="External"/><Relationship Id="rId2745" Type="http://schemas.openxmlformats.org/officeDocument/2006/relationships/hyperlink" Target="mailto:mkester@sancorseguros.com" TargetMode="External"/><Relationship Id="rId2952" Type="http://schemas.openxmlformats.org/officeDocument/2006/relationships/hyperlink" Target="mailto:dtoledo@sancorseguros.com" TargetMode="External"/><Relationship Id="rId717" Type="http://schemas.openxmlformats.org/officeDocument/2006/relationships/hyperlink" Target="mailto:pgirardin@sancorseguros.com" TargetMode="External"/><Relationship Id="rId924" Type="http://schemas.openxmlformats.org/officeDocument/2006/relationships/hyperlink" Target="mailto:lbarboza@ext.sancorseguros.com" TargetMode="External"/><Relationship Id="rId1347" Type="http://schemas.openxmlformats.org/officeDocument/2006/relationships/hyperlink" Target="mailto:bdemiguel@sancorseguros.com" TargetMode="External"/><Relationship Id="rId1554" Type="http://schemas.openxmlformats.org/officeDocument/2006/relationships/hyperlink" Target="mailto:fsantorum@sancorseguros.com" TargetMode="External"/><Relationship Id="rId1761" Type="http://schemas.openxmlformats.org/officeDocument/2006/relationships/hyperlink" Target="mailto:mmaccarrone@ext.sancorseguros.com" TargetMode="External"/><Relationship Id="rId2605" Type="http://schemas.openxmlformats.org/officeDocument/2006/relationships/hyperlink" Target="mailto:rmomartinez@sancorseguros.com" TargetMode="External"/><Relationship Id="rId2812" Type="http://schemas.openxmlformats.org/officeDocument/2006/relationships/hyperlink" Target="mailto:lbarboza@ext.sancorseguros.com" TargetMode="External"/><Relationship Id="rId53" Type="http://schemas.openxmlformats.org/officeDocument/2006/relationships/hyperlink" Target="mailto:ludiaz@ext.sancorseguros.com" TargetMode="External"/><Relationship Id="rId1207" Type="http://schemas.openxmlformats.org/officeDocument/2006/relationships/hyperlink" Target="mailto:dtoledo@sancorseguros.com" TargetMode="External"/><Relationship Id="rId1414" Type="http://schemas.openxmlformats.org/officeDocument/2006/relationships/hyperlink" Target="mailto:bdemiguel@sancorseguros.com" TargetMode="External"/><Relationship Id="rId1621" Type="http://schemas.openxmlformats.org/officeDocument/2006/relationships/hyperlink" Target="mailto:milmartinez@ext.sancorseguros.com" TargetMode="External"/><Relationship Id="rId3379" Type="http://schemas.openxmlformats.org/officeDocument/2006/relationships/hyperlink" Target="mailto:bdemiguel@sancorseguros.com" TargetMode="External"/><Relationship Id="rId3586" Type="http://schemas.openxmlformats.org/officeDocument/2006/relationships/hyperlink" Target="mailto:abinau@sancorseguros.com" TargetMode="External"/><Relationship Id="rId2188" Type="http://schemas.openxmlformats.org/officeDocument/2006/relationships/hyperlink" Target="mailto:anunzio@sancorseguros.com" TargetMode="External"/><Relationship Id="rId2395" Type="http://schemas.openxmlformats.org/officeDocument/2006/relationships/hyperlink" Target="mailto:mocampos@sancorseguros.com" TargetMode="External"/><Relationship Id="rId3239" Type="http://schemas.openxmlformats.org/officeDocument/2006/relationships/hyperlink" Target="mailto:gleguizamon@ext.sancorseguros.com" TargetMode="External"/><Relationship Id="rId3446" Type="http://schemas.openxmlformats.org/officeDocument/2006/relationships/hyperlink" Target="mailto:amrodriguez@sancorseguros.com" TargetMode="External"/><Relationship Id="rId367" Type="http://schemas.openxmlformats.org/officeDocument/2006/relationships/hyperlink" Target="mailto:gleguizamon@ext.sancorseguros.com" TargetMode="External"/><Relationship Id="rId574" Type="http://schemas.openxmlformats.org/officeDocument/2006/relationships/hyperlink" Target="mailto:ebmediaciones@gmail.com" TargetMode="External"/><Relationship Id="rId2048" Type="http://schemas.openxmlformats.org/officeDocument/2006/relationships/hyperlink" Target="mailto:cpavon@sancorseguros.com" TargetMode="External"/><Relationship Id="rId2255" Type="http://schemas.openxmlformats.org/officeDocument/2006/relationships/hyperlink" Target="mailto:camgonzalez@sancorseguros.com" TargetMode="External"/><Relationship Id="rId227" Type="http://schemas.openxmlformats.org/officeDocument/2006/relationships/hyperlink" Target="mailto:mizzo@ext.sancorseguros.com" TargetMode="External"/><Relationship Id="rId781" Type="http://schemas.openxmlformats.org/officeDocument/2006/relationships/hyperlink" Target="mailto:lbarboza@ext.sancorseguros.com" TargetMode="External"/><Relationship Id="rId2462" Type="http://schemas.openxmlformats.org/officeDocument/2006/relationships/hyperlink" Target="mailto:mizzo@ext.sancorseguros.com" TargetMode="External"/><Relationship Id="rId3306" Type="http://schemas.openxmlformats.org/officeDocument/2006/relationships/hyperlink" Target="mailto:camgonzalez@sancorseguros.com" TargetMode="External"/><Relationship Id="rId3513" Type="http://schemas.openxmlformats.org/officeDocument/2006/relationships/hyperlink" Target="mailto:cvaldez@ext.sancorseguros.com" TargetMode="External"/><Relationship Id="rId434" Type="http://schemas.openxmlformats.org/officeDocument/2006/relationships/hyperlink" Target="mailto:ludiaz@ext.sancorseguros.com" TargetMode="External"/><Relationship Id="rId641" Type="http://schemas.openxmlformats.org/officeDocument/2006/relationships/hyperlink" Target="mailto:abinau@sancorseguros.com" TargetMode="External"/><Relationship Id="rId1064" Type="http://schemas.openxmlformats.org/officeDocument/2006/relationships/hyperlink" Target="mailto:pgirardin@sancorseguros.com" TargetMode="External"/><Relationship Id="rId1271" Type="http://schemas.openxmlformats.org/officeDocument/2006/relationships/hyperlink" Target="mailto:rmomartinez@sancorseguros.com" TargetMode="External"/><Relationship Id="rId2115" Type="http://schemas.openxmlformats.org/officeDocument/2006/relationships/hyperlink" Target="mailto:madecarvalho@sancorseguros.com" TargetMode="External"/><Relationship Id="rId2322" Type="http://schemas.openxmlformats.org/officeDocument/2006/relationships/hyperlink" Target="mailto:pmalchiodi@sancorseguros.com" TargetMode="External"/><Relationship Id="rId501" Type="http://schemas.openxmlformats.org/officeDocument/2006/relationships/hyperlink" Target="mailto:dtoledo@sancorseguros.com" TargetMode="External"/><Relationship Id="rId1131" Type="http://schemas.openxmlformats.org/officeDocument/2006/relationships/hyperlink" Target="mailto:gpachao@sancorseguros.com" TargetMode="External"/><Relationship Id="rId3096" Type="http://schemas.openxmlformats.org/officeDocument/2006/relationships/hyperlink" Target="mailto:rmomartinez@sancorseguros.com" TargetMode="External"/><Relationship Id="rId1948" Type="http://schemas.openxmlformats.org/officeDocument/2006/relationships/hyperlink" Target="mailto:madecarvalho@sancorseguros.com" TargetMode="External"/><Relationship Id="rId3163" Type="http://schemas.openxmlformats.org/officeDocument/2006/relationships/hyperlink" Target="mailto:abinau@sancorseguros.com" TargetMode="External"/><Relationship Id="rId3370" Type="http://schemas.openxmlformats.org/officeDocument/2006/relationships/hyperlink" Target="mailto:abinau@sancorseguros.com" TargetMode="External"/><Relationship Id="rId291" Type="http://schemas.openxmlformats.org/officeDocument/2006/relationships/hyperlink" Target="mailto:pmalchiodi@sancorseguros.com" TargetMode="External"/><Relationship Id="rId1808" Type="http://schemas.openxmlformats.org/officeDocument/2006/relationships/hyperlink" Target="mailto:camgonzalez@sancorseguros.com" TargetMode="External"/><Relationship Id="rId3023" Type="http://schemas.openxmlformats.org/officeDocument/2006/relationships/hyperlink" Target="mailto:lbarboza@ext.sancorseguros.com" TargetMode="External"/><Relationship Id="rId151" Type="http://schemas.openxmlformats.org/officeDocument/2006/relationships/hyperlink" Target="mailto:anunzio@sancorseguros.com" TargetMode="External"/><Relationship Id="rId3230" Type="http://schemas.openxmlformats.org/officeDocument/2006/relationships/hyperlink" Target="mailto:mmaccarrone@ext.sancorseguros.com" TargetMode="External"/><Relationship Id="rId2789" Type="http://schemas.openxmlformats.org/officeDocument/2006/relationships/hyperlink" Target="mailto:camgonzalez@sancorseguros.com" TargetMode="External"/><Relationship Id="rId2996" Type="http://schemas.openxmlformats.org/officeDocument/2006/relationships/hyperlink" Target="mailto:milmartinez@ext.sancorseguros.com" TargetMode="External"/><Relationship Id="rId968" Type="http://schemas.openxmlformats.org/officeDocument/2006/relationships/hyperlink" Target="mailto:dtoledo@sancorseguros.com" TargetMode="External"/><Relationship Id="rId1598" Type="http://schemas.openxmlformats.org/officeDocument/2006/relationships/hyperlink" Target="mailto:mascallia@sancorseguros.com" TargetMode="External"/><Relationship Id="rId2649" Type="http://schemas.openxmlformats.org/officeDocument/2006/relationships/hyperlink" Target="mailto:bdemiguel@sancorseguros.com" TargetMode="External"/><Relationship Id="rId2856" Type="http://schemas.openxmlformats.org/officeDocument/2006/relationships/hyperlink" Target="mailto:camgonzalez@sancorseguros.com" TargetMode="External"/><Relationship Id="rId97" Type="http://schemas.openxmlformats.org/officeDocument/2006/relationships/hyperlink" Target="mailto:cpavon@sancorseguros.com" TargetMode="External"/><Relationship Id="rId828" Type="http://schemas.openxmlformats.org/officeDocument/2006/relationships/hyperlink" Target="mailto:fsantorum@sancorseguros.com" TargetMode="External"/><Relationship Id="rId1458" Type="http://schemas.openxmlformats.org/officeDocument/2006/relationships/hyperlink" Target="mailto:mizzo@ext.sancorseguros.com" TargetMode="External"/><Relationship Id="rId1665" Type="http://schemas.openxmlformats.org/officeDocument/2006/relationships/hyperlink" Target="mailto:jsandoval@sancorseguros.com" TargetMode="External"/><Relationship Id="rId1872" Type="http://schemas.openxmlformats.org/officeDocument/2006/relationships/hyperlink" Target="mailto:fhcampo@sancorseguros.com" TargetMode="External"/><Relationship Id="rId2509" Type="http://schemas.openxmlformats.org/officeDocument/2006/relationships/hyperlink" Target="mailto:rfernandez@sancorseguros.com" TargetMode="External"/><Relationship Id="rId2716" Type="http://schemas.openxmlformats.org/officeDocument/2006/relationships/hyperlink" Target="mailto:bdemiguel@sancorseguros.com" TargetMode="External"/><Relationship Id="rId1318" Type="http://schemas.openxmlformats.org/officeDocument/2006/relationships/hyperlink" Target="mailto:gmgutierrez@ext.sancorseguros.com" TargetMode="External"/><Relationship Id="rId1525" Type="http://schemas.openxmlformats.org/officeDocument/2006/relationships/hyperlink" Target="mailto:mascallia@sancorseguros.com" TargetMode="External"/><Relationship Id="rId2923" Type="http://schemas.openxmlformats.org/officeDocument/2006/relationships/hyperlink" Target="mailto:mizzo@ext.sancorseguros.com" TargetMode="External"/><Relationship Id="rId1732" Type="http://schemas.openxmlformats.org/officeDocument/2006/relationships/hyperlink" Target="mailto:fsantorum@sancorseguros.com" TargetMode="External"/><Relationship Id="rId24" Type="http://schemas.openxmlformats.org/officeDocument/2006/relationships/hyperlink" Target="mailto:cpavon@sancorseguros.com" TargetMode="External"/><Relationship Id="rId2299" Type="http://schemas.openxmlformats.org/officeDocument/2006/relationships/hyperlink" Target="mailto:rmomartinez@sancorseguros.com" TargetMode="External"/><Relationship Id="rId3557" Type="http://schemas.openxmlformats.org/officeDocument/2006/relationships/hyperlink" Target="mailto:cpavon@sancorseguros.com" TargetMode="External"/><Relationship Id="rId478" Type="http://schemas.openxmlformats.org/officeDocument/2006/relationships/hyperlink" Target="mailto:mkester@sancorseguros.com" TargetMode="External"/><Relationship Id="rId685" Type="http://schemas.openxmlformats.org/officeDocument/2006/relationships/hyperlink" Target="mailto:gmgutierrez@ext.sancorseguros.com" TargetMode="External"/><Relationship Id="rId892" Type="http://schemas.openxmlformats.org/officeDocument/2006/relationships/hyperlink" Target="mailto:cpavon@sancorseguros.com" TargetMode="External"/><Relationship Id="rId2159" Type="http://schemas.openxmlformats.org/officeDocument/2006/relationships/hyperlink" Target="mailto:cpavon@sancorseguros.com" TargetMode="External"/><Relationship Id="rId2366" Type="http://schemas.openxmlformats.org/officeDocument/2006/relationships/hyperlink" Target="mailto:mizzo@ext.sancorseguros.com" TargetMode="External"/><Relationship Id="rId2573" Type="http://schemas.openxmlformats.org/officeDocument/2006/relationships/hyperlink" Target="mailto:jsperoni@ext.sancorseguros.com" TargetMode="External"/><Relationship Id="rId2780" Type="http://schemas.openxmlformats.org/officeDocument/2006/relationships/hyperlink" Target="mailto:gmgutierrez@ext.sancorseguros.com" TargetMode="External"/><Relationship Id="rId3417" Type="http://schemas.openxmlformats.org/officeDocument/2006/relationships/hyperlink" Target="mailto:cvaldez@ext.sancorseguros.com" TargetMode="External"/><Relationship Id="rId3624" Type="http://schemas.openxmlformats.org/officeDocument/2006/relationships/hyperlink" Target="mailto:bdemiguel@sancorseguros.com" TargetMode="External"/><Relationship Id="rId338" Type="http://schemas.openxmlformats.org/officeDocument/2006/relationships/hyperlink" Target="mailto:abinau@sancorseguros.com" TargetMode="External"/><Relationship Id="rId545" Type="http://schemas.openxmlformats.org/officeDocument/2006/relationships/hyperlink" Target="mailto:cpavon@sancorseguros.com" TargetMode="External"/><Relationship Id="rId752" Type="http://schemas.openxmlformats.org/officeDocument/2006/relationships/hyperlink" Target="mailto:madecarvalho@sancorseguros.com" TargetMode="External"/><Relationship Id="rId1175" Type="http://schemas.openxmlformats.org/officeDocument/2006/relationships/hyperlink" Target="mailto:cvaldez@ext.sancorseguros.com" TargetMode="External"/><Relationship Id="rId1382" Type="http://schemas.openxmlformats.org/officeDocument/2006/relationships/hyperlink" Target="mailto:dtoledo@sancorseguros.com" TargetMode="External"/><Relationship Id="rId2019" Type="http://schemas.openxmlformats.org/officeDocument/2006/relationships/hyperlink" Target="mailto:abinau@sancorseguros.com" TargetMode="External"/><Relationship Id="rId2226" Type="http://schemas.openxmlformats.org/officeDocument/2006/relationships/hyperlink" Target="mailto:lbarboza@ext.sancorseguros.com" TargetMode="External"/><Relationship Id="rId2433" Type="http://schemas.openxmlformats.org/officeDocument/2006/relationships/hyperlink" Target="mailto:mmaccarrone@ext.sancorseguros.com" TargetMode="External"/><Relationship Id="rId2640" Type="http://schemas.openxmlformats.org/officeDocument/2006/relationships/hyperlink" Target="mailto:mascallia@sancorseguros.com" TargetMode="External"/><Relationship Id="rId405" Type="http://schemas.openxmlformats.org/officeDocument/2006/relationships/hyperlink" Target="mailto:cpavon@sancorseguros.com" TargetMode="External"/><Relationship Id="rId612" Type="http://schemas.openxmlformats.org/officeDocument/2006/relationships/hyperlink" Target="mailto:abinau@sancorseguros.com" TargetMode="External"/><Relationship Id="rId1035" Type="http://schemas.openxmlformats.org/officeDocument/2006/relationships/hyperlink" Target="mailto:dtoledo@sancorseguros.com" TargetMode="External"/><Relationship Id="rId1242" Type="http://schemas.openxmlformats.org/officeDocument/2006/relationships/hyperlink" Target="mailto:mizzo@ext.sancorseguros.com" TargetMode="External"/><Relationship Id="rId2500" Type="http://schemas.openxmlformats.org/officeDocument/2006/relationships/hyperlink" Target="mailto:bdemiguel@sancorseguros.com" TargetMode="External"/><Relationship Id="rId1102" Type="http://schemas.openxmlformats.org/officeDocument/2006/relationships/hyperlink" Target="mailto:cvaldez@ext.sancorseguros.com" TargetMode="External"/><Relationship Id="rId3067" Type="http://schemas.openxmlformats.org/officeDocument/2006/relationships/hyperlink" Target="mailto:fsantorum@sancorseguros.com" TargetMode="External"/><Relationship Id="rId3274" Type="http://schemas.openxmlformats.org/officeDocument/2006/relationships/hyperlink" Target="mailto:gmgutierrez@ext.sancorseguros.com" TargetMode="External"/><Relationship Id="rId195" Type="http://schemas.openxmlformats.org/officeDocument/2006/relationships/hyperlink" Target="mailto:miiglesias@ext.sancorseguros.com" TargetMode="External"/><Relationship Id="rId1919" Type="http://schemas.openxmlformats.org/officeDocument/2006/relationships/hyperlink" Target="mailto:cvaldez@ext.sancorseguros.com" TargetMode="External"/><Relationship Id="rId3481" Type="http://schemas.openxmlformats.org/officeDocument/2006/relationships/hyperlink" Target="mailto:rmomartinez@sancorseguros.com" TargetMode="External"/><Relationship Id="rId2083" Type="http://schemas.openxmlformats.org/officeDocument/2006/relationships/hyperlink" Target="mailto:madecarvalho@sancorseguros.com" TargetMode="External"/><Relationship Id="rId2290" Type="http://schemas.openxmlformats.org/officeDocument/2006/relationships/hyperlink" Target="mailto:mmaccarrone@ext.sancorseguros.com" TargetMode="External"/><Relationship Id="rId3134" Type="http://schemas.openxmlformats.org/officeDocument/2006/relationships/hyperlink" Target="mailto:rfernandez@sancorseguros.com" TargetMode="External"/><Relationship Id="rId3341" Type="http://schemas.openxmlformats.org/officeDocument/2006/relationships/hyperlink" Target="mailto:gmgutierrez@ext.sancorseguros.com" TargetMode="External"/><Relationship Id="rId262" Type="http://schemas.openxmlformats.org/officeDocument/2006/relationships/hyperlink" Target="mailto:fsantorum@sancorseguros.com" TargetMode="External"/><Relationship Id="rId2150" Type="http://schemas.openxmlformats.org/officeDocument/2006/relationships/hyperlink" Target="mailto:cvaldez@ext.sancorseguros.com" TargetMode="External"/><Relationship Id="rId3201" Type="http://schemas.openxmlformats.org/officeDocument/2006/relationships/hyperlink" Target="mailto:bdemiguel@sancorseguros.com" TargetMode="External"/><Relationship Id="rId122" Type="http://schemas.openxmlformats.org/officeDocument/2006/relationships/hyperlink" Target="mailto:cvaldez@ext.sancorseguros.com" TargetMode="External"/><Relationship Id="rId2010" Type="http://schemas.openxmlformats.org/officeDocument/2006/relationships/hyperlink" Target="mailto:pmalchiodi@sancorseguros.com" TargetMode="External"/><Relationship Id="rId1569" Type="http://schemas.openxmlformats.org/officeDocument/2006/relationships/hyperlink" Target="mailto:gmgutierrez@ext.sancorseguros.com" TargetMode="External"/><Relationship Id="rId2967" Type="http://schemas.openxmlformats.org/officeDocument/2006/relationships/hyperlink" Target="mailto:mizzo@ext.sancorseguros.com" TargetMode="External"/><Relationship Id="rId939" Type="http://schemas.openxmlformats.org/officeDocument/2006/relationships/hyperlink" Target="mailto:fsantorum@sancorseguros.com" TargetMode="External"/><Relationship Id="rId1776" Type="http://schemas.openxmlformats.org/officeDocument/2006/relationships/hyperlink" Target="mailto:madecarvalho@sancorseguros.com" TargetMode="External"/><Relationship Id="rId1983" Type="http://schemas.openxmlformats.org/officeDocument/2006/relationships/hyperlink" Target="mailto:camgonzalez@sancorseguros.com" TargetMode="External"/><Relationship Id="rId2827" Type="http://schemas.openxmlformats.org/officeDocument/2006/relationships/hyperlink" Target="mailto:rmomartinez@sancorseguros.com" TargetMode="External"/><Relationship Id="rId68" Type="http://schemas.openxmlformats.org/officeDocument/2006/relationships/hyperlink" Target="mailto:abinau@sancorseguros.com" TargetMode="External"/><Relationship Id="rId1429" Type="http://schemas.openxmlformats.org/officeDocument/2006/relationships/hyperlink" Target="mailto:mizzo@ext.sancorseguros.com" TargetMode="External"/><Relationship Id="rId1636" Type="http://schemas.openxmlformats.org/officeDocument/2006/relationships/hyperlink" Target="mailto:mascallia@sancorseguros.com" TargetMode="External"/><Relationship Id="rId1843" Type="http://schemas.openxmlformats.org/officeDocument/2006/relationships/hyperlink" Target="mailto:lbarboza@ext.sancorseguros.com" TargetMode="External"/><Relationship Id="rId1703" Type="http://schemas.openxmlformats.org/officeDocument/2006/relationships/hyperlink" Target="mailto:mizzo@ext.sancorseguros.com" TargetMode="External"/><Relationship Id="rId1910" Type="http://schemas.openxmlformats.org/officeDocument/2006/relationships/hyperlink" Target="mailto:abinau@sancorseguros.com" TargetMode="External"/><Relationship Id="rId589" Type="http://schemas.openxmlformats.org/officeDocument/2006/relationships/hyperlink" Target="mailto:cvaldez@ext.sancorseguros.com" TargetMode="External"/><Relationship Id="rId796" Type="http://schemas.openxmlformats.org/officeDocument/2006/relationships/hyperlink" Target="mailto:cpavon@sancorseguros.com" TargetMode="External"/><Relationship Id="rId2477" Type="http://schemas.openxmlformats.org/officeDocument/2006/relationships/hyperlink" Target="mailto:gmgutierrez@ext.sancorseguros.com" TargetMode="External"/><Relationship Id="rId2684" Type="http://schemas.openxmlformats.org/officeDocument/2006/relationships/hyperlink" Target="mailto:anunzio@sancorseguros.com" TargetMode="External"/><Relationship Id="rId3528" Type="http://schemas.openxmlformats.org/officeDocument/2006/relationships/hyperlink" Target="mailto:gmoscato@sancorseguros.com" TargetMode="External"/><Relationship Id="rId449" Type="http://schemas.openxmlformats.org/officeDocument/2006/relationships/hyperlink" Target="mailto:cvaldez@ext.sancorseguros.com" TargetMode="External"/><Relationship Id="rId656" Type="http://schemas.openxmlformats.org/officeDocument/2006/relationships/hyperlink" Target="mailto:mizzo@ext.sancorseguros.com" TargetMode="External"/><Relationship Id="rId863" Type="http://schemas.openxmlformats.org/officeDocument/2006/relationships/hyperlink" Target="mailto:fsantorum@sancorseguros.com" TargetMode="External"/><Relationship Id="rId1079" Type="http://schemas.openxmlformats.org/officeDocument/2006/relationships/hyperlink" Target="mailto:dtoledo@sancorseguros.com" TargetMode="External"/><Relationship Id="rId1286" Type="http://schemas.openxmlformats.org/officeDocument/2006/relationships/hyperlink" Target="mailto:bdemiguel@sancorseguros.com" TargetMode="External"/><Relationship Id="rId1493" Type="http://schemas.openxmlformats.org/officeDocument/2006/relationships/hyperlink" Target="mailto:lbarboza@ext.sancorseguros.com" TargetMode="External"/><Relationship Id="rId2337" Type="http://schemas.openxmlformats.org/officeDocument/2006/relationships/hyperlink" Target="mailto:bdemiguel@sancorseguros.com" TargetMode="External"/><Relationship Id="rId2544" Type="http://schemas.openxmlformats.org/officeDocument/2006/relationships/hyperlink" Target="mailto:cvaldez@ext.sancorseguros.com" TargetMode="External"/><Relationship Id="rId2891" Type="http://schemas.openxmlformats.org/officeDocument/2006/relationships/hyperlink" Target="mailto:lbarboza@ext.sancorseguros.com" TargetMode="External"/><Relationship Id="rId309" Type="http://schemas.openxmlformats.org/officeDocument/2006/relationships/hyperlink" Target="mailto:fsantorum@sancorseguros.com" TargetMode="External"/><Relationship Id="rId516" Type="http://schemas.openxmlformats.org/officeDocument/2006/relationships/hyperlink" Target="mailto:mizzo@ext.sancorseguros.com" TargetMode="External"/><Relationship Id="rId1146" Type="http://schemas.openxmlformats.org/officeDocument/2006/relationships/hyperlink" Target="mailto:mascallia@sancorseguros.com" TargetMode="External"/><Relationship Id="rId2751" Type="http://schemas.openxmlformats.org/officeDocument/2006/relationships/hyperlink" Target="mailto:mascallia@sancorseguros.com" TargetMode="External"/><Relationship Id="rId723" Type="http://schemas.openxmlformats.org/officeDocument/2006/relationships/hyperlink" Target="mailto:bdemiguel@sancorseguros.com" TargetMode="External"/><Relationship Id="rId930" Type="http://schemas.openxmlformats.org/officeDocument/2006/relationships/hyperlink" Target="mailto:lbarboza@ext.sancorseguros.com" TargetMode="External"/><Relationship Id="rId1006" Type="http://schemas.openxmlformats.org/officeDocument/2006/relationships/hyperlink" Target="mailto:lbarboza@ext.sancorseguros.com" TargetMode="External"/><Relationship Id="rId1353" Type="http://schemas.openxmlformats.org/officeDocument/2006/relationships/hyperlink" Target="mailto:gleguizamon@ext.sancorseguros.com" TargetMode="External"/><Relationship Id="rId1560" Type="http://schemas.openxmlformats.org/officeDocument/2006/relationships/hyperlink" Target="mailto:rmomartinez@sancorseguros.com" TargetMode="External"/><Relationship Id="rId2404" Type="http://schemas.openxmlformats.org/officeDocument/2006/relationships/hyperlink" Target="mailto:pmalchiodi@sancorseguros.com" TargetMode="External"/><Relationship Id="rId2611" Type="http://schemas.openxmlformats.org/officeDocument/2006/relationships/hyperlink" Target="mailto:mevangelista@sancorseguros.com" TargetMode="External"/><Relationship Id="rId1213" Type="http://schemas.openxmlformats.org/officeDocument/2006/relationships/hyperlink" Target="mailto:mizzo@ext.sancorseguros.com" TargetMode="External"/><Relationship Id="rId1420" Type="http://schemas.openxmlformats.org/officeDocument/2006/relationships/hyperlink" Target="mailto:madecarvalho@sancorseguros.com" TargetMode="External"/><Relationship Id="rId3178" Type="http://schemas.openxmlformats.org/officeDocument/2006/relationships/hyperlink" Target="mailto:jboulle@sancorseguros.com" TargetMode="External"/><Relationship Id="rId3385" Type="http://schemas.openxmlformats.org/officeDocument/2006/relationships/hyperlink" Target="mailto:rmomartinez@sancorseguros.com" TargetMode="External"/><Relationship Id="rId3592" Type="http://schemas.openxmlformats.org/officeDocument/2006/relationships/hyperlink" Target="mailto:gleguizamon@ext.sancorseguros.com" TargetMode="External"/><Relationship Id="rId2194" Type="http://schemas.openxmlformats.org/officeDocument/2006/relationships/hyperlink" Target="mailto:cvaldez@ext.sancorseguros.com" TargetMode="External"/><Relationship Id="rId3038" Type="http://schemas.openxmlformats.org/officeDocument/2006/relationships/hyperlink" Target="mailto:mizzo@ext.sancorseguros.com" TargetMode="External"/><Relationship Id="rId3245" Type="http://schemas.openxmlformats.org/officeDocument/2006/relationships/hyperlink" Target="mailto:lbarboza@ext.sancorseguros.com" TargetMode="External"/><Relationship Id="rId3452" Type="http://schemas.openxmlformats.org/officeDocument/2006/relationships/hyperlink" Target="mailto:pmalchiodi@sancorseguros.com" TargetMode="External"/><Relationship Id="rId166" Type="http://schemas.openxmlformats.org/officeDocument/2006/relationships/hyperlink" Target="mailto:madecarvalho@sancorseguros.com" TargetMode="External"/><Relationship Id="rId373" Type="http://schemas.openxmlformats.org/officeDocument/2006/relationships/hyperlink" Target="mailto:milmartinez@ext.sancorseguros.com" TargetMode="External"/><Relationship Id="rId580" Type="http://schemas.openxmlformats.org/officeDocument/2006/relationships/hyperlink" Target="mailto:camgonzalez@sancorseguros.com" TargetMode="External"/><Relationship Id="rId2054" Type="http://schemas.openxmlformats.org/officeDocument/2006/relationships/hyperlink" Target="mailto:cpavon@sancorseguros.com" TargetMode="External"/><Relationship Id="rId2261" Type="http://schemas.openxmlformats.org/officeDocument/2006/relationships/hyperlink" Target="mailto:mmaccarrone@ext.sancorseguros.com" TargetMode="External"/><Relationship Id="rId3105" Type="http://schemas.openxmlformats.org/officeDocument/2006/relationships/hyperlink" Target="mailto:milmartinez@ext.sancorseguros.com" TargetMode="External"/><Relationship Id="rId3312" Type="http://schemas.openxmlformats.org/officeDocument/2006/relationships/hyperlink" Target="mailto:milmartinez@ext.sancorseguros.com" TargetMode="External"/><Relationship Id="rId233" Type="http://schemas.openxmlformats.org/officeDocument/2006/relationships/hyperlink" Target="mailto:cpavon@sancorseguros.com" TargetMode="External"/><Relationship Id="rId440" Type="http://schemas.openxmlformats.org/officeDocument/2006/relationships/hyperlink" Target="mailto:fsoloneski@sancorseguros.com" TargetMode="External"/><Relationship Id="rId1070" Type="http://schemas.openxmlformats.org/officeDocument/2006/relationships/hyperlink" Target="mailto:mascallia@sancorseguros.com" TargetMode="External"/><Relationship Id="rId2121" Type="http://schemas.openxmlformats.org/officeDocument/2006/relationships/hyperlink" Target="mailto:dtoledo@sancorseguros.com" TargetMode="External"/><Relationship Id="rId300" Type="http://schemas.openxmlformats.org/officeDocument/2006/relationships/hyperlink" Target="mailto:cvaldez@ext.sancorseguros.com" TargetMode="External"/><Relationship Id="rId1887" Type="http://schemas.openxmlformats.org/officeDocument/2006/relationships/hyperlink" Target="mailto:cvaldez@ext.sancorseguros.com" TargetMode="External"/><Relationship Id="rId2938" Type="http://schemas.openxmlformats.org/officeDocument/2006/relationships/hyperlink" Target="mailto:mascallia@sancorseguros.com" TargetMode="External"/><Relationship Id="rId1747" Type="http://schemas.openxmlformats.org/officeDocument/2006/relationships/hyperlink" Target="mailto:rmomartinez@sancorseguros.com" TargetMode="External"/><Relationship Id="rId1954" Type="http://schemas.openxmlformats.org/officeDocument/2006/relationships/hyperlink" Target="mailto:cpavon@sancorseguros.com" TargetMode="External"/><Relationship Id="rId39" Type="http://schemas.openxmlformats.org/officeDocument/2006/relationships/hyperlink" Target="mailto:mizzo@ext.sancorseguros.com" TargetMode="External"/><Relationship Id="rId1607" Type="http://schemas.openxmlformats.org/officeDocument/2006/relationships/hyperlink" Target="mailto:milmartinez@ext.sancorseguros.com" TargetMode="External"/><Relationship Id="rId1814" Type="http://schemas.openxmlformats.org/officeDocument/2006/relationships/hyperlink" Target="mailto:cpavon@sancorseguros.com" TargetMode="External"/><Relationship Id="rId2588" Type="http://schemas.openxmlformats.org/officeDocument/2006/relationships/hyperlink" Target="mailto:mascallia@sancorseguros.com" TargetMode="External"/><Relationship Id="rId1397" Type="http://schemas.openxmlformats.org/officeDocument/2006/relationships/hyperlink" Target="mailto:gmgutierrez@ext.sancorseguros.com" TargetMode="External"/><Relationship Id="rId2795" Type="http://schemas.openxmlformats.org/officeDocument/2006/relationships/hyperlink" Target="mailto:lbarboza@ext.sancorseguros.com" TargetMode="External"/><Relationship Id="rId3639" Type="http://schemas.openxmlformats.org/officeDocument/2006/relationships/hyperlink" Target="mailto:lbarboza@ext.sancorseguros.com" TargetMode="External"/><Relationship Id="rId767" Type="http://schemas.openxmlformats.org/officeDocument/2006/relationships/hyperlink" Target="mailto:mkester@sancorseguros.com" TargetMode="External"/><Relationship Id="rId974" Type="http://schemas.openxmlformats.org/officeDocument/2006/relationships/hyperlink" Target="mailto:cpavon@sancorseguros.com" TargetMode="External"/><Relationship Id="rId2448" Type="http://schemas.openxmlformats.org/officeDocument/2006/relationships/hyperlink" Target="mailto:milmartinez@ext.sancorseguros.com" TargetMode="External"/><Relationship Id="rId2655" Type="http://schemas.openxmlformats.org/officeDocument/2006/relationships/hyperlink" Target="mailto:pasalcedo@sancorseguros.com" TargetMode="External"/><Relationship Id="rId2862" Type="http://schemas.openxmlformats.org/officeDocument/2006/relationships/hyperlink" Target="mailto:amrodriguez@sancorseguros.com" TargetMode="External"/><Relationship Id="rId627" Type="http://schemas.openxmlformats.org/officeDocument/2006/relationships/hyperlink" Target="mailto:bdemiguel@sancorseguros.com" TargetMode="External"/><Relationship Id="rId834" Type="http://schemas.openxmlformats.org/officeDocument/2006/relationships/hyperlink" Target="mailto:milmartinez@ext.sancorseguros.com" TargetMode="External"/><Relationship Id="rId1257" Type="http://schemas.openxmlformats.org/officeDocument/2006/relationships/hyperlink" Target="mailto:cpavon@sancorseguros.com" TargetMode="External"/><Relationship Id="rId1464" Type="http://schemas.openxmlformats.org/officeDocument/2006/relationships/hyperlink" Target="mailto:cpavon@sancorseguros.com" TargetMode="External"/><Relationship Id="rId1671" Type="http://schemas.openxmlformats.org/officeDocument/2006/relationships/hyperlink" Target="mailto:gmgutierrez@ext.sancorseguros.com" TargetMode="External"/><Relationship Id="rId2308" Type="http://schemas.openxmlformats.org/officeDocument/2006/relationships/hyperlink" Target="mailto:mkester@sancorseguros.com" TargetMode="External"/><Relationship Id="rId2515" Type="http://schemas.openxmlformats.org/officeDocument/2006/relationships/hyperlink" Target="mailto:czardain@sancorseguros.com" TargetMode="External"/><Relationship Id="rId2722" Type="http://schemas.openxmlformats.org/officeDocument/2006/relationships/hyperlink" Target="mailto:madecarvalho@sancorseguros.com" TargetMode="External"/><Relationship Id="rId901" Type="http://schemas.openxmlformats.org/officeDocument/2006/relationships/hyperlink" Target="mailto:mizzo@ext.sancorseguros.com" TargetMode="External"/><Relationship Id="rId1117" Type="http://schemas.openxmlformats.org/officeDocument/2006/relationships/hyperlink" Target="mailto:czardain@sancorseguros.com" TargetMode="External"/><Relationship Id="rId1324" Type="http://schemas.openxmlformats.org/officeDocument/2006/relationships/hyperlink" Target="mailto:cpavon@sancorseguros.com" TargetMode="External"/><Relationship Id="rId1531" Type="http://schemas.openxmlformats.org/officeDocument/2006/relationships/hyperlink" Target="mailto:mizzo@ext.sancorseguros.com" TargetMode="External"/><Relationship Id="rId30" Type="http://schemas.openxmlformats.org/officeDocument/2006/relationships/hyperlink" Target="mailto:VGuisado@sancorseguros.com" TargetMode="External"/><Relationship Id="rId3289" Type="http://schemas.openxmlformats.org/officeDocument/2006/relationships/hyperlink" Target="mailto:mizzo@ext.sancorseguros.com" TargetMode="External"/><Relationship Id="rId3496" Type="http://schemas.openxmlformats.org/officeDocument/2006/relationships/hyperlink" Target="mailto:madecarvalho@sancorseguros.com" TargetMode="External"/><Relationship Id="rId2098" Type="http://schemas.openxmlformats.org/officeDocument/2006/relationships/hyperlink" Target="mailto:madecarvalho@sancorseguros.com" TargetMode="External"/><Relationship Id="rId3149" Type="http://schemas.openxmlformats.org/officeDocument/2006/relationships/hyperlink" Target="mailto:lbarboza@ext.sancorseguros.com" TargetMode="External"/><Relationship Id="rId3356" Type="http://schemas.openxmlformats.org/officeDocument/2006/relationships/hyperlink" Target="mailto:bdemiguel@sancorseguros.com" TargetMode="External"/><Relationship Id="rId3563" Type="http://schemas.openxmlformats.org/officeDocument/2006/relationships/hyperlink" Target="mailto:fsantorum@sancorseguros.com" TargetMode="External"/><Relationship Id="rId277" Type="http://schemas.openxmlformats.org/officeDocument/2006/relationships/hyperlink" Target="mailto:pmalchiodi@sancorseguros.com" TargetMode="External"/><Relationship Id="rId484" Type="http://schemas.openxmlformats.org/officeDocument/2006/relationships/hyperlink" Target="mailto:rfernandez@sancorseguros.com" TargetMode="External"/><Relationship Id="rId2165" Type="http://schemas.openxmlformats.org/officeDocument/2006/relationships/hyperlink" Target="mailto:mmaccarrone@ext.sancorseguros.com" TargetMode="External"/><Relationship Id="rId3009" Type="http://schemas.openxmlformats.org/officeDocument/2006/relationships/hyperlink" Target="mailto:mizzo@ext.sancorseguros.com" TargetMode="External"/><Relationship Id="rId3216" Type="http://schemas.openxmlformats.org/officeDocument/2006/relationships/hyperlink" Target="mailto:mascallia@sancorseguros.com" TargetMode="External"/><Relationship Id="rId137" Type="http://schemas.openxmlformats.org/officeDocument/2006/relationships/hyperlink" Target="mailto:anunzio@sancorseguros.com" TargetMode="External"/><Relationship Id="rId344" Type="http://schemas.openxmlformats.org/officeDocument/2006/relationships/hyperlink" Target="mailto:mkester@sancorseguros.com" TargetMode="External"/><Relationship Id="rId691" Type="http://schemas.openxmlformats.org/officeDocument/2006/relationships/hyperlink" Target="mailto:gmgutierrez@ext.sancorseguros.com" TargetMode="External"/><Relationship Id="rId2025" Type="http://schemas.openxmlformats.org/officeDocument/2006/relationships/hyperlink" Target="mailto:cpavon@sancorseguros.com" TargetMode="External"/><Relationship Id="rId2372" Type="http://schemas.openxmlformats.org/officeDocument/2006/relationships/hyperlink" Target="mailto:cpavon@sancorseguros.com" TargetMode="External"/><Relationship Id="rId3423" Type="http://schemas.openxmlformats.org/officeDocument/2006/relationships/hyperlink" Target="mailto:cvaldez@ext.sancorseguros.com" TargetMode="External"/><Relationship Id="rId3630" Type="http://schemas.openxmlformats.org/officeDocument/2006/relationships/hyperlink" Target="mailto:pmalchiodi@sancorseguros.com" TargetMode="External"/><Relationship Id="rId551" Type="http://schemas.openxmlformats.org/officeDocument/2006/relationships/hyperlink" Target="mailto:cpavon@sancorseguros.com" TargetMode="External"/><Relationship Id="rId1181" Type="http://schemas.openxmlformats.org/officeDocument/2006/relationships/hyperlink" Target="mailto:vloray@ext.sancorseguros.com" TargetMode="External"/><Relationship Id="rId2232" Type="http://schemas.openxmlformats.org/officeDocument/2006/relationships/hyperlink" Target="mailto:cpavon@sancorseguros.com" TargetMode="External"/><Relationship Id="rId204" Type="http://schemas.openxmlformats.org/officeDocument/2006/relationships/hyperlink" Target="mailto:jsandoval@sancorseguros.com" TargetMode="External"/><Relationship Id="rId411" Type="http://schemas.openxmlformats.org/officeDocument/2006/relationships/hyperlink" Target="mailto:milmartinez@ext.sancorseguros.com" TargetMode="External"/><Relationship Id="rId1041" Type="http://schemas.openxmlformats.org/officeDocument/2006/relationships/hyperlink" Target="mailto:mizzo@ext.sancorseguros.com" TargetMode="External"/><Relationship Id="rId1998" Type="http://schemas.openxmlformats.org/officeDocument/2006/relationships/hyperlink" Target="mailto:jsandoval@sancorseguros.com" TargetMode="External"/><Relationship Id="rId1858" Type="http://schemas.openxmlformats.org/officeDocument/2006/relationships/hyperlink" Target="mailto:fsoloneski@sancorseguros.com" TargetMode="External"/><Relationship Id="rId2909" Type="http://schemas.openxmlformats.org/officeDocument/2006/relationships/hyperlink" Target="mailto:mizzo@ext.sancorseguros.com" TargetMode="External"/><Relationship Id="rId3073" Type="http://schemas.openxmlformats.org/officeDocument/2006/relationships/hyperlink" Target="mailto:mascallia@sancorseguros.com" TargetMode="External"/><Relationship Id="rId3280" Type="http://schemas.openxmlformats.org/officeDocument/2006/relationships/hyperlink" Target="mailto:mdambrosio@ext.sancorseguros.com" TargetMode="External"/><Relationship Id="rId1718" Type="http://schemas.openxmlformats.org/officeDocument/2006/relationships/hyperlink" Target="mailto:lbarboza@ext.sancorseguros.com" TargetMode="External"/><Relationship Id="rId1925" Type="http://schemas.openxmlformats.org/officeDocument/2006/relationships/hyperlink" Target="mailto:milmartinez@ext.sancorseguros.com" TargetMode="External"/><Relationship Id="rId3140" Type="http://schemas.openxmlformats.org/officeDocument/2006/relationships/hyperlink" Target="mailto:camgonzalez@sancorseguros.com" TargetMode="External"/><Relationship Id="rId2699" Type="http://schemas.openxmlformats.org/officeDocument/2006/relationships/hyperlink" Target="mailto:camgonzalez@sancorseguros.com" TargetMode="External"/><Relationship Id="rId3000" Type="http://schemas.openxmlformats.org/officeDocument/2006/relationships/hyperlink" Target="mailto:cvaldez@ext.sancorseguros.com" TargetMode="External"/><Relationship Id="rId878" Type="http://schemas.openxmlformats.org/officeDocument/2006/relationships/hyperlink" Target="mailto:mizzo@ext.sancorseguros.com" TargetMode="External"/><Relationship Id="rId2559" Type="http://schemas.openxmlformats.org/officeDocument/2006/relationships/hyperlink" Target="mailto:lbarboza@ext.sancorseguros.com" TargetMode="External"/><Relationship Id="rId2766" Type="http://schemas.openxmlformats.org/officeDocument/2006/relationships/hyperlink" Target="mailto:nrivas@sancorseguros.com" TargetMode="External"/><Relationship Id="rId2973" Type="http://schemas.openxmlformats.org/officeDocument/2006/relationships/hyperlink" Target="mailto:abinau@sancorseguros.com" TargetMode="External"/><Relationship Id="rId738" Type="http://schemas.openxmlformats.org/officeDocument/2006/relationships/hyperlink" Target="mailto:milmartinez@ext.sancorseguros.com" TargetMode="External"/><Relationship Id="rId945" Type="http://schemas.openxmlformats.org/officeDocument/2006/relationships/hyperlink" Target="mailto:anunzio@sancorseguros.com" TargetMode="External"/><Relationship Id="rId1368" Type="http://schemas.openxmlformats.org/officeDocument/2006/relationships/hyperlink" Target="mailto:madecarvalho@sancorseguros.com" TargetMode="External"/><Relationship Id="rId1575" Type="http://schemas.openxmlformats.org/officeDocument/2006/relationships/hyperlink" Target="mailto:bdemiguel@sancorseguros.com" TargetMode="External"/><Relationship Id="rId1782" Type="http://schemas.openxmlformats.org/officeDocument/2006/relationships/hyperlink" Target="mailto:mascallia@sancorseguros.com" TargetMode="External"/><Relationship Id="rId2419" Type="http://schemas.openxmlformats.org/officeDocument/2006/relationships/hyperlink" Target="mailto:czardain@sancorseguros.com" TargetMode="External"/><Relationship Id="rId2626" Type="http://schemas.openxmlformats.org/officeDocument/2006/relationships/hyperlink" Target="mailto:lbarboza@ext.sancorseguros.com" TargetMode="External"/><Relationship Id="rId2833" Type="http://schemas.openxmlformats.org/officeDocument/2006/relationships/hyperlink" Target="mailto:cvaldez@ext.sancorseguros.com" TargetMode="External"/><Relationship Id="rId74" Type="http://schemas.openxmlformats.org/officeDocument/2006/relationships/hyperlink" Target="mailto:abinau@sancorseguros.com" TargetMode="External"/><Relationship Id="rId805" Type="http://schemas.openxmlformats.org/officeDocument/2006/relationships/hyperlink" Target="mailto:vloray@ext.sancorseguros.com" TargetMode="External"/><Relationship Id="rId1228" Type="http://schemas.openxmlformats.org/officeDocument/2006/relationships/hyperlink" Target="mailto:bdemiguel@sancorseguros.com" TargetMode="External"/><Relationship Id="rId1435" Type="http://schemas.openxmlformats.org/officeDocument/2006/relationships/hyperlink" Target="mailto:gmgutierrez@ext.sancorseguros.com" TargetMode="External"/><Relationship Id="rId1642" Type="http://schemas.openxmlformats.org/officeDocument/2006/relationships/hyperlink" Target="mailto:bdemiguel@sancorseguros.com" TargetMode="External"/><Relationship Id="rId2900" Type="http://schemas.openxmlformats.org/officeDocument/2006/relationships/hyperlink" Target="mailto:mascallia@sancorseguros.com" TargetMode="External"/><Relationship Id="rId1502" Type="http://schemas.openxmlformats.org/officeDocument/2006/relationships/hyperlink" Target="mailto:milmartinez@ext.sancorseguros.com" TargetMode="External"/><Relationship Id="rId388" Type="http://schemas.openxmlformats.org/officeDocument/2006/relationships/hyperlink" Target="mailto:mizzo@ext.sancorseguros.com" TargetMode="External"/><Relationship Id="rId2069" Type="http://schemas.openxmlformats.org/officeDocument/2006/relationships/hyperlink" Target="mailto:pasalcedo@sancorseguros.com" TargetMode="External"/><Relationship Id="rId3467" Type="http://schemas.openxmlformats.org/officeDocument/2006/relationships/hyperlink" Target="mailto:madecarvalho@sancorseguros.com" TargetMode="External"/><Relationship Id="rId595" Type="http://schemas.openxmlformats.org/officeDocument/2006/relationships/hyperlink" Target="mailto:bdemiguel@sancorseguros.com" TargetMode="External"/><Relationship Id="rId2276" Type="http://schemas.openxmlformats.org/officeDocument/2006/relationships/hyperlink" Target="mailto:abinau@sancorseguros.com" TargetMode="External"/><Relationship Id="rId2483" Type="http://schemas.openxmlformats.org/officeDocument/2006/relationships/hyperlink" Target="mailto:bdemiguel@sancorseguros.com" TargetMode="External"/><Relationship Id="rId2690" Type="http://schemas.openxmlformats.org/officeDocument/2006/relationships/hyperlink" Target="mailto:rfernandez@sancorseguros.com" TargetMode="External"/><Relationship Id="rId3327" Type="http://schemas.openxmlformats.org/officeDocument/2006/relationships/hyperlink" Target="mailto:lbarboza@ext.sancorseguros.com" TargetMode="External"/><Relationship Id="rId3534" Type="http://schemas.openxmlformats.org/officeDocument/2006/relationships/hyperlink" Target="mailto:bdemiguel@sancorseguros.com" TargetMode="External"/><Relationship Id="rId248" Type="http://schemas.openxmlformats.org/officeDocument/2006/relationships/hyperlink" Target="mailto:mizzo@ext.sancorseguros.com" TargetMode="External"/><Relationship Id="rId455" Type="http://schemas.openxmlformats.org/officeDocument/2006/relationships/hyperlink" Target="mailto:milmartinez@ext.sancorseguros.com" TargetMode="External"/><Relationship Id="rId662" Type="http://schemas.openxmlformats.org/officeDocument/2006/relationships/hyperlink" Target="mailto:cpavon@sancorseguros.com" TargetMode="External"/><Relationship Id="rId1085" Type="http://schemas.openxmlformats.org/officeDocument/2006/relationships/hyperlink" Target="mailto:mascallia@sancorseguros.com" TargetMode="External"/><Relationship Id="rId1292" Type="http://schemas.openxmlformats.org/officeDocument/2006/relationships/hyperlink" Target="mailto:dtoledo@sancorseguros.com" TargetMode="External"/><Relationship Id="rId2136" Type="http://schemas.openxmlformats.org/officeDocument/2006/relationships/hyperlink" Target="mailto:mascallia@sancorseguros.com" TargetMode="External"/><Relationship Id="rId2343" Type="http://schemas.openxmlformats.org/officeDocument/2006/relationships/hyperlink" Target="mailto:mascallia@sancorseguros.com" TargetMode="External"/><Relationship Id="rId2550" Type="http://schemas.openxmlformats.org/officeDocument/2006/relationships/hyperlink" Target="mailto:fsantorum@sancorseguros.com" TargetMode="External"/><Relationship Id="rId3601" Type="http://schemas.openxmlformats.org/officeDocument/2006/relationships/hyperlink" Target="mailto:gleguizamon@ext.sancorseguros.com" TargetMode="External"/><Relationship Id="rId108" Type="http://schemas.openxmlformats.org/officeDocument/2006/relationships/hyperlink" Target="mailto:mascallia@sancorseguros.com" TargetMode="External"/><Relationship Id="rId315" Type="http://schemas.openxmlformats.org/officeDocument/2006/relationships/hyperlink" Target="mailto:fsantorum@sancorseguros.com" TargetMode="External"/><Relationship Id="rId522" Type="http://schemas.openxmlformats.org/officeDocument/2006/relationships/hyperlink" Target="mailto:pmalchiodi@sancorseguros.com" TargetMode="External"/><Relationship Id="rId1152" Type="http://schemas.openxmlformats.org/officeDocument/2006/relationships/hyperlink" Target="mailto:gleguizamon@ext.sancorseguros.com" TargetMode="External"/><Relationship Id="rId2203" Type="http://schemas.openxmlformats.org/officeDocument/2006/relationships/hyperlink" Target="mailto:cvaldez@ext.sancorseguros.com" TargetMode="External"/><Relationship Id="rId2410" Type="http://schemas.openxmlformats.org/officeDocument/2006/relationships/hyperlink" Target="mailto:lbarboza@ext.sancorseguros.com" TargetMode="External"/><Relationship Id="rId1012" Type="http://schemas.openxmlformats.org/officeDocument/2006/relationships/hyperlink" Target="mailto:camgonzalez@sancorseguros.com" TargetMode="External"/><Relationship Id="rId1969" Type="http://schemas.openxmlformats.org/officeDocument/2006/relationships/hyperlink" Target="mailto:fsantorum@sancorseguros.com" TargetMode="External"/><Relationship Id="rId3184" Type="http://schemas.openxmlformats.org/officeDocument/2006/relationships/hyperlink" Target="mailto:lbarboza@ext.sancorseguros.com" TargetMode="External"/><Relationship Id="rId1829" Type="http://schemas.openxmlformats.org/officeDocument/2006/relationships/hyperlink" Target="mailto:cpavon@sancorseguros.com" TargetMode="External"/><Relationship Id="rId3391" Type="http://schemas.openxmlformats.org/officeDocument/2006/relationships/hyperlink" Target="mailto:cvaldez@ext.sancorseguros.com" TargetMode="External"/><Relationship Id="rId3044" Type="http://schemas.openxmlformats.org/officeDocument/2006/relationships/hyperlink" Target="mailto:ccastelao@ext.sancorseguros.com" TargetMode="External"/><Relationship Id="rId3251" Type="http://schemas.openxmlformats.org/officeDocument/2006/relationships/hyperlink" Target="mailto:bdemiguel@sancorseguros.com" TargetMode="External"/></Relationships>
</file>

<file path=xl/worksheets/_rels/sheet18.xml.rels><?xml version="1.0" encoding="UTF-8" standalone="yes"?>
<Relationships xmlns="http://schemas.openxmlformats.org/package/2006/relationships"><Relationship Id="rId13" Type="http://schemas.openxmlformats.org/officeDocument/2006/relationships/hyperlink" Target="mailto:VGuisado@sancorseguros.com" TargetMode="External"/><Relationship Id="rId18" Type="http://schemas.openxmlformats.org/officeDocument/2006/relationships/hyperlink" Target="mailto:dbenitez@sancorseguros.com" TargetMode="External"/><Relationship Id="rId26" Type="http://schemas.openxmlformats.org/officeDocument/2006/relationships/hyperlink" Target="mailto:glezcano@sancorseguros.com" TargetMode="External"/><Relationship Id="rId21" Type="http://schemas.openxmlformats.org/officeDocument/2006/relationships/hyperlink" Target="mailto:cmattioli@sancorseguros.com" TargetMode="External"/><Relationship Id="rId34" Type="http://schemas.openxmlformats.org/officeDocument/2006/relationships/hyperlink" Target="mailto:msasso@sancorseguros.com" TargetMode="External"/><Relationship Id="rId7" Type="http://schemas.openxmlformats.org/officeDocument/2006/relationships/hyperlink" Target="mailto:aartman@sancorseguros.com" TargetMode="External"/><Relationship Id="rId12" Type="http://schemas.openxmlformats.org/officeDocument/2006/relationships/hyperlink" Target="mailto:mglass@sancorseguros.com" TargetMode="External"/><Relationship Id="rId17" Type="http://schemas.openxmlformats.org/officeDocument/2006/relationships/hyperlink" Target="mailto:rperez@sancorseguros.com" TargetMode="External"/><Relationship Id="rId25" Type="http://schemas.openxmlformats.org/officeDocument/2006/relationships/hyperlink" Target="mailto:amarco@sancorseguros.com" TargetMode="External"/><Relationship Id="rId33" Type="http://schemas.openxmlformats.org/officeDocument/2006/relationships/hyperlink" Target="mailto:ovega@sancorseguros.com" TargetMode="External"/><Relationship Id="rId38" Type="http://schemas.openxmlformats.org/officeDocument/2006/relationships/hyperlink" Target="mailto:gmoscato@sancorseguros.com" TargetMode="External"/><Relationship Id="rId2" Type="http://schemas.openxmlformats.org/officeDocument/2006/relationships/hyperlink" Target="mailto:gleguizamon@ext.sancorseguros.com" TargetMode="External"/><Relationship Id="rId16" Type="http://schemas.openxmlformats.org/officeDocument/2006/relationships/hyperlink" Target="mailto:lfalabella@sancorseguros.com" TargetMode="External"/><Relationship Id="rId20" Type="http://schemas.openxmlformats.org/officeDocument/2006/relationships/hyperlink" Target="mailto:lbarboza@ext.sancorseguros.com" TargetMode="External"/><Relationship Id="rId29" Type="http://schemas.openxmlformats.org/officeDocument/2006/relationships/hyperlink" Target="mailto:vlongo@sancorseguros.com" TargetMode="External"/><Relationship Id="rId1" Type="http://schemas.openxmlformats.org/officeDocument/2006/relationships/hyperlink" Target="mailto:AOliveri@sancorseguros.com" TargetMode="External"/><Relationship Id="rId6" Type="http://schemas.openxmlformats.org/officeDocument/2006/relationships/hyperlink" Target="mailto:rmomartinez@sancorseguros.com" TargetMode="External"/><Relationship Id="rId11" Type="http://schemas.openxmlformats.org/officeDocument/2006/relationships/hyperlink" Target="mailto:jcurutchet@sancorseguros.com" TargetMode="External"/><Relationship Id="rId24" Type="http://schemas.openxmlformats.org/officeDocument/2006/relationships/hyperlink" Target="mailto:jsperoni@ext.sancorseguros.com" TargetMode="External"/><Relationship Id="rId32" Type="http://schemas.openxmlformats.org/officeDocument/2006/relationships/hyperlink" Target="mailto:cavillegas@sancorseguros.com" TargetMode="External"/><Relationship Id="rId37" Type="http://schemas.openxmlformats.org/officeDocument/2006/relationships/hyperlink" Target="mailto:marcolombo@ext.sancorseguros.com" TargetMode="External"/><Relationship Id="rId5" Type="http://schemas.openxmlformats.org/officeDocument/2006/relationships/hyperlink" Target="mailto:agambuli@sancorseguros.com" TargetMode="External"/><Relationship Id="rId15" Type="http://schemas.openxmlformats.org/officeDocument/2006/relationships/hyperlink" Target="mailto:nrivas@sancorseguros.com" TargetMode="External"/><Relationship Id="rId23" Type="http://schemas.openxmlformats.org/officeDocument/2006/relationships/hyperlink" Target="mailto:ccastelao@ext.sancorseguros.com" TargetMode="External"/><Relationship Id="rId28" Type="http://schemas.openxmlformats.org/officeDocument/2006/relationships/hyperlink" Target="mailto:mdambrosio@ext.sancorseguros.com" TargetMode="External"/><Relationship Id="rId36" Type="http://schemas.openxmlformats.org/officeDocument/2006/relationships/hyperlink" Target="mailto:vcingolani@sancorseguros.com" TargetMode="External"/><Relationship Id="rId10" Type="http://schemas.openxmlformats.org/officeDocument/2006/relationships/hyperlink" Target="mailto:mcoiman@sancorseguros.com" TargetMode="External"/><Relationship Id="rId19" Type="http://schemas.openxmlformats.org/officeDocument/2006/relationships/hyperlink" Target="mailto:pmalchiodi@sancorseguros.com" TargetMode="External"/><Relationship Id="rId31" Type="http://schemas.openxmlformats.org/officeDocument/2006/relationships/hyperlink" Target="mailto:abaez@sancorseguros.com" TargetMode="External"/><Relationship Id="rId4" Type="http://schemas.openxmlformats.org/officeDocument/2006/relationships/hyperlink" Target="mailto:mgalli@sancorseguros.com" TargetMode="External"/><Relationship Id="rId9" Type="http://schemas.openxmlformats.org/officeDocument/2006/relationships/hyperlink" Target="mailto:jboulle@sancorseguros.com" TargetMode="External"/><Relationship Id="rId14" Type="http://schemas.openxmlformats.org/officeDocument/2006/relationships/hyperlink" Target="mailto:mkester@sancorseguros.com" TargetMode="External"/><Relationship Id="rId22" Type="http://schemas.openxmlformats.org/officeDocument/2006/relationships/hyperlink" Target="mailto:jrolla@sancorseguros.com" TargetMode="External"/><Relationship Id="rId27" Type="http://schemas.openxmlformats.org/officeDocument/2006/relationships/hyperlink" Target="mailto:dbenitez@sancorseguros.com" TargetMode="External"/><Relationship Id="rId30" Type="http://schemas.openxmlformats.org/officeDocument/2006/relationships/hyperlink" Target="mailto:gmarotta@sancorseguros.com" TargetMode="External"/><Relationship Id="rId35" Type="http://schemas.openxmlformats.org/officeDocument/2006/relationships/hyperlink" Target="mailto:rcardozo@sancorseguros.com" TargetMode="External"/><Relationship Id="rId8" Type="http://schemas.openxmlformats.org/officeDocument/2006/relationships/hyperlink" Target="mailto:esepulveda@sancorseguros.com" TargetMode="External"/><Relationship Id="rId3" Type="http://schemas.openxmlformats.org/officeDocument/2006/relationships/hyperlink" Target="mailto:dtoledo@sancorseguros.com" TargetMode="Externa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hyperlink" Target="mailto:ecueva@giama.com.ar" TargetMode="External"/><Relationship Id="rId13" Type="http://schemas.openxmlformats.org/officeDocument/2006/relationships/hyperlink" Target="mailto:MARCELO.BALLEJOS@PANAMER.COM" TargetMode="External"/><Relationship Id="rId18" Type="http://schemas.openxmlformats.org/officeDocument/2006/relationships/hyperlink" Target="mailto:fernando.tuller@kadira.com.ar" TargetMode="External"/><Relationship Id="rId3" Type="http://schemas.openxmlformats.org/officeDocument/2006/relationships/hyperlink" Target="mailto:repuesto@collins.com.ar" TargetMode="External"/><Relationship Id="rId7" Type="http://schemas.openxmlformats.org/officeDocument/2006/relationships/hyperlink" Target="mailto:meaguiar@prana.com.ar" TargetMode="External"/><Relationship Id="rId12" Type="http://schemas.openxmlformats.org/officeDocument/2006/relationships/hyperlink" Target="mailto:ecueva@giama.com.ar" TargetMode="External"/><Relationship Id="rId17" Type="http://schemas.openxmlformats.org/officeDocument/2006/relationships/hyperlink" Target="mailto:nicolasbiassini@dalian.com.ar%20-%20%20Repuestos@dalian.com.ar" TargetMode="External"/><Relationship Id="rId2" Type="http://schemas.openxmlformats.org/officeDocument/2006/relationships/hyperlink" Target="mailto:repuestos@taurinoweb.com" TargetMode="External"/><Relationship Id="rId16" Type="http://schemas.openxmlformats.org/officeDocument/2006/relationships/hyperlink" Target="mailto:eugenio.huirse@centroautomotores.com" TargetMode="External"/><Relationship Id="rId20" Type="http://schemas.openxmlformats.org/officeDocument/2006/relationships/hyperlink" Target="mailto:jmanolio@mbsimone.com.ar" TargetMode="External"/><Relationship Id="rId1" Type="http://schemas.openxmlformats.org/officeDocument/2006/relationships/hyperlink" Target="mailto:siniestros@repuestospenenti.com.ar" TargetMode="External"/><Relationship Id="rId6" Type="http://schemas.openxmlformats.org/officeDocument/2006/relationships/hyperlink" Target="mailto:DRUIZ@TOYOTAWARNES.COM.AR" TargetMode="External"/><Relationship Id="rId11" Type="http://schemas.openxmlformats.org/officeDocument/2006/relationships/hyperlink" Target="mailto:ecueva@giama.com.ar" TargetMode="External"/><Relationship Id="rId5" Type="http://schemas.openxmlformats.org/officeDocument/2006/relationships/hyperlink" Target="mailto:RSCALISE@CABALLITOAUTOMOTORES.COM" TargetMode="External"/><Relationship Id="rId15" Type="http://schemas.openxmlformats.org/officeDocument/2006/relationships/hyperlink" Target="mailto:REPUESTOS.NISSAN.SF@AUTOFERRO.COM" TargetMode="External"/><Relationship Id="rId10" Type="http://schemas.openxmlformats.org/officeDocument/2006/relationships/hyperlink" Target="mailto:ecueva@giama.com.ar" TargetMode="External"/><Relationship Id="rId19" Type="http://schemas.openxmlformats.org/officeDocument/2006/relationships/hyperlink" Target="mailto:repuestos@lorrainesca.com.ar" TargetMode="External"/><Relationship Id="rId4" Type="http://schemas.openxmlformats.org/officeDocument/2006/relationships/hyperlink" Target="mailto:sanjoserep@hotmail.com" TargetMode="External"/><Relationship Id="rId9" Type="http://schemas.openxmlformats.org/officeDocument/2006/relationships/hyperlink" Target="mailto:ecueva@giama.com.ar" TargetMode="External"/><Relationship Id="rId14" Type="http://schemas.openxmlformats.org/officeDocument/2006/relationships/hyperlink" Target="mailto:hector.angulo@kadira.com.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DAB22-9155-4836-94A3-733F32B99BCF}">
  <sheetPr>
    <tabColor theme="6" tint="0.39997558519241921"/>
  </sheetPr>
  <dimension ref="A1:AC47"/>
  <sheetViews>
    <sheetView topLeftCell="A11" workbookViewId="0">
      <selection activeCell="H41" sqref="H41"/>
    </sheetView>
  </sheetViews>
  <sheetFormatPr defaultRowHeight="15"/>
  <cols>
    <col min="3" max="3" width="24.7109375" customWidth="1"/>
    <col min="4" max="4" width="2.85546875" customWidth="1"/>
    <col min="5" max="5" width="11.42578125" customWidth="1"/>
    <col min="6" max="6" width="11" customWidth="1"/>
    <col min="7" max="7" width="3.140625" customWidth="1"/>
    <col min="8" max="8" width="11.140625" customWidth="1"/>
    <col min="9" max="9" width="10.5703125" customWidth="1"/>
    <col min="10" max="10" width="2.85546875" customWidth="1"/>
    <col min="11" max="11" width="11.42578125" customWidth="1"/>
    <col min="12" max="12" width="10.7109375" customWidth="1"/>
    <col min="13" max="13" width="3" customWidth="1"/>
    <col min="14" max="14" width="16.7109375" customWidth="1"/>
    <col min="15" max="15" width="12.140625" customWidth="1"/>
    <col min="16" max="16" width="9.140625" bestFit="1" customWidth="1"/>
    <col min="17" max="17" width="18.5703125" customWidth="1"/>
    <col min="18" max="18" width="9.140625" bestFit="1" customWidth="1"/>
    <col min="19" max="19" width="13.5703125" customWidth="1"/>
    <col min="20" max="20" width="8.5703125" bestFit="1" customWidth="1"/>
    <col min="21" max="21" width="4.85546875" customWidth="1"/>
    <col min="22" max="22" width="21.5703125" customWidth="1"/>
    <col min="23" max="23" width="14.42578125" customWidth="1"/>
    <col min="24" max="24" width="16.140625" customWidth="1"/>
    <col min="25" max="25" width="17.85546875" customWidth="1"/>
  </cols>
  <sheetData>
    <row r="1" spans="1:29">
      <c r="A1" s="367" t="s">
        <v>0</v>
      </c>
      <c r="B1" s="368"/>
      <c r="C1" s="369" t="s">
        <v>1</v>
      </c>
      <c r="E1" s="369" t="s">
        <v>2</v>
      </c>
      <c r="F1" s="369"/>
      <c r="H1" s="370" t="s">
        <v>3</v>
      </c>
      <c r="I1" s="371"/>
      <c r="K1" s="369" t="s">
        <v>4</v>
      </c>
      <c r="L1" s="369"/>
      <c r="N1" s="369" t="s">
        <v>5</v>
      </c>
      <c r="O1" s="369"/>
      <c r="Q1" s="3"/>
      <c r="R1" s="3"/>
      <c r="S1" s="354"/>
      <c r="T1" s="355"/>
      <c r="V1" s="1" t="s">
        <v>6</v>
      </c>
      <c r="W1" s="1" t="s">
        <v>7</v>
      </c>
      <c r="X1" s="1" t="s">
        <v>8</v>
      </c>
      <c r="Z1" s="356" t="s">
        <v>9</v>
      </c>
      <c r="AA1" s="357"/>
      <c r="AB1" s="357"/>
      <c r="AC1" s="358"/>
    </row>
    <row r="2" spans="1:29">
      <c r="A2" s="367"/>
      <c r="B2" s="368"/>
      <c r="C2" s="369"/>
      <c r="E2" s="369"/>
      <c r="F2" s="369"/>
      <c r="H2" s="372"/>
      <c r="I2" s="373"/>
      <c r="K2" s="369"/>
      <c r="L2" s="369"/>
      <c r="N2" s="369"/>
      <c r="O2" s="369"/>
      <c r="Q2" s="10"/>
      <c r="R2" s="13"/>
      <c r="S2" s="359"/>
      <c r="T2" s="360"/>
      <c r="V2" s="118" t="s">
        <v>10</v>
      </c>
      <c r="W2" s="119">
        <v>5625</v>
      </c>
      <c r="X2" s="119">
        <v>5250</v>
      </c>
      <c r="Z2" s="361" t="s">
        <v>11</v>
      </c>
      <c r="AA2" s="362"/>
      <c r="AB2" s="365" t="s">
        <v>12</v>
      </c>
      <c r="AC2" s="365" t="s">
        <v>13</v>
      </c>
    </row>
    <row r="3" spans="1:29" ht="3.75" customHeight="1">
      <c r="A3" s="19"/>
      <c r="B3" s="19"/>
      <c r="C3" s="19"/>
      <c r="E3" s="19"/>
      <c r="F3" s="19"/>
      <c r="H3" s="19"/>
      <c r="I3" s="19"/>
      <c r="K3" s="19"/>
      <c r="L3" s="19"/>
      <c r="N3" s="19"/>
      <c r="O3" s="19"/>
      <c r="Q3" s="12"/>
      <c r="R3" s="15"/>
      <c r="S3" s="351"/>
      <c r="T3" s="352"/>
      <c r="V3" s="118"/>
      <c r="W3" s="119"/>
      <c r="X3" s="119"/>
      <c r="Z3" s="363"/>
      <c r="AA3" s="364"/>
      <c r="AB3" s="366"/>
      <c r="AC3" s="366"/>
    </row>
    <row r="4" spans="1:29" ht="16.5">
      <c r="C4" s="37" t="s">
        <v>10</v>
      </c>
      <c r="E4" s="341">
        <f>COUNTIFS(General!F:F, "IP CERRADA", General!H:H, "PTE. APROBACION", General!G:G, "IP CON ORDEN", General!O:O, "&gt;="&amp;DATE(2025,7,1), General!O:O, "&lt;="&amp;DATE(2025,7,31))</f>
        <v>142</v>
      </c>
      <c r="F4" s="341"/>
      <c r="G4">
        <f>COUNTIFS(General!F:F, "IP CERRADA", General!M:M, "A MIÑO", General!H:H, "PTE. APROBACION", General!G:G, "IP CON ORDEN", General!O:O, "&gt;="&amp;DATE(2025,7,1), General!O:O, "&lt;="&amp;DATE(2025,7,31))</f>
        <v>0</v>
      </c>
      <c r="H4" s="342">
        <f>COUNTIFS(General!F:F, "LICITANDO REPUESTOS", General!G:G, "IP CON ORDEN")</f>
        <v>15</v>
      </c>
      <c r="I4" s="342"/>
      <c r="K4" s="343">
        <f>COUNTIFS(General!F:F, "IP COORDINADA", General!G:G, "IP CON ORDEN")</f>
        <v>32</v>
      </c>
      <c r="L4" s="343"/>
      <c r="N4" s="30" t="s">
        <v>14</v>
      </c>
      <c r="O4" s="31">
        <f>COUNTIFS(General!F:F, "PENDIENTE  COORDINACION")</f>
        <v>5</v>
      </c>
      <c r="Q4" s="11"/>
      <c r="R4" s="14"/>
      <c r="S4" s="346"/>
      <c r="T4" s="347"/>
      <c r="V4" s="120" t="s">
        <v>15</v>
      </c>
      <c r="W4" s="121">
        <v>5625</v>
      </c>
      <c r="X4" s="121">
        <v>5250</v>
      </c>
      <c r="Z4" s="70" t="s">
        <v>16</v>
      </c>
      <c r="AA4" s="71" t="e">
        <f>#REF!</f>
        <v>#REF!</v>
      </c>
      <c r="AB4" s="72" t="e">
        <f>AA4*$R$14</f>
        <v>#REF!</v>
      </c>
      <c r="AC4" s="72" t="e">
        <f>AB4*$T$14</f>
        <v>#REF!</v>
      </c>
    </row>
    <row r="5" spans="1:29" ht="16.5">
      <c r="C5" s="261" t="s">
        <v>15</v>
      </c>
      <c r="E5" s="353">
        <f>COUNTIFS(General!F:F, "IP CERRADA", General!H:H, "PTE. APROBACION", General!G:G, "POSIBLE DT", General!O:O, "&gt;="&amp;DATE(2025,7,1), General!O:O, "&lt;="&amp;DATE(2025,7,31))</f>
        <v>12</v>
      </c>
      <c r="F5" s="353"/>
      <c r="H5" s="349">
        <f>COUNTIFS(General!F:F, "LICITANDO REPUESTOS", General!G:G, "POSIBLE DT")</f>
        <v>0</v>
      </c>
      <c r="I5" s="349"/>
      <c r="K5" s="350">
        <f>COUNTIFS(General!F:F, "IP COORDINADA", General!G:G, "POSIBLE DT")</f>
        <v>2</v>
      </c>
      <c r="L5" s="350"/>
      <c r="N5" s="32" t="s">
        <v>17</v>
      </c>
      <c r="O5" s="33">
        <f>COUNTIFS(General!F:F, "CONTACTADO")</f>
        <v>2</v>
      </c>
      <c r="Q5" s="12"/>
      <c r="R5" s="15"/>
      <c r="S5" s="351"/>
      <c r="T5" s="352"/>
      <c r="V5" s="118" t="s">
        <v>18</v>
      </c>
      <c r="W5" s="119">
        <v>5625</v>
      </c>
      <c r="X5" s="119">
        <v>5250</v>
      </c>
      <c r="Z5" s="73" t="s">
        <v>19</v>
      </c>
      <c r="AA5" s="74" t="e">
        <f>#REF!</f>
        <v>#REF!</v>
      </c>
      <c r="AB5" s="75" t="e">
        <f>AA5*$R$14</f>
        <v>#REF!</v>
      </c>
      <c r="AC5" s="75" t="e">
        <f>AB5*$T$14</f>
        <v>#REF!</v>
      </c>
    </row>
    <row r="6" spans="1:29" ht="16.5">
      <c r="C6" s="37" t="s">
        <v>18</v>
      </c>
      <c r="E6" s="341">
        <f>COUNTIFS(General!F:F, "IP CERRADA", General!H:H, "PTE. APROBACION", General!G:G, "IP SIN ORDEN", General!O:O, "&gt;="&amp;DATE(2025,7,1), General!O:O, "&lt;="&amp;DATE(2025,7,31))</f>
        <v>59</v>
      </c>
      <c r="F6" s="341"/>
      <c r="H6" s="342">
        <f>COUNTIFS(General!F:F, "LICITANDO REPUESTOS", General!G:G, "IP SIN ORDEN")</f>
        <v>0</v>
      </c>
      <c r="I6" s="342"/>
      <c r="K6" s="343">
        <f>COUNTIFS(General!F:F, "IP COORDINADA", General!G:G, "IP SIN ORDEN")</f>
        <v>0</v>
      </c>
      <c r="L6" s="343"/>
      <c r="N6" s="30" t="s">
        <v>20</v>
      </c>
      <c r="O6" s="34">
        <f>COUNTIFS(General!F:F, "PENDIENTE DE OFRECIMIENTO")</f>
        <v>0</v>
      </c>
      <c r="Q6" s="11"/>
      <c r="R6" s="14"/>
      <c r="S6" s="346"/>
      <c r="T6" s="347"/>
      <c r="V6" s="120" t="s">
        <v>21</v>
      </c>
      <c r="W6" s="121">
        <v>2500</v>
      </c>
      <c r="X6" s="121">
        <v>2000</v>
      </c>
      <c r="Z6" s="76" t="s">
        <v>22</v>
      </c>
      <c r="AA6" s="77" t="e">
        <f>#REF!</f>
        <v>#REF!</v>
      </c>
      <c r="AB6" s="72" t="e">
        <f>AA6*$R$14</f>
        <v>#REF!</v>
      </c>
      <c r="AC6" s="72" t="e">
        <f>AB6*$T$14</f>
        <v>#REF!</v>
      </c>
    </row>
    <row r="7" spans="1:29" ht="16.5">
      <c r="C7" s="261" t="s">
        <v>21</v>
      </c>
      <c r="E7" s="353">
        <f>COUNTIFS(General!F:F, "IP CERRADA", General!H:H, "PTE. APROBACION", General!G:G, "AMPLIACION", General!O:O, "&gt;="&amp;DATE(2025,7,1), General!O:O, "&lt;="&amp;DATE(2025,7,31))</f>
        <v>25</v>
      </c>
      <c r="F7" s="353"/>
      <c r="H7" s="349">
        <f>COUNTIFS(General!F:F, "LICITANDO REPUESTOS", General!G:G, "AMPLIACION")</f>
        <v>1</v>
      </c>
      <c r="I7" s="349"/>
      <c r="K7" s="350">
        <f>COUNTIFS(General!F:F, "IP COORDINADA", General!G:G, "AMPLIACION")</f>
        <v>0</v>
      </c>
      <c r="L7" s="350"/>
      <c r="N7" s="35" t="s">
        <v>23</v>
      </c>
      <c r="O7" s="36">
        <f>COUNTIFS(General!F:F, "REVISAR MAIL - SIN RESOLVER")</f>
        <v>0</v>
      </c>
      <c r="Q7" s="12"/>
      <c r="R7" s="15"/>
      <c r="S7" s="351"/>
      <c r="T7" s="352"/>
      <c r="V7" s="118" t="s">
        <v>24</v>
      </c>
      <c r="W7" s="119">
        <v>0</v>
      </c>
      <c r="X7" s="119">
        <v>0</v>
      </c>
      <c r="Z7" s="73" t="s">
        <v>25</v>
      </c>
      <c r="AA7" s="74" t="e">
        <f>#REF!</f>
        <v>#REF!</v>
      </c>
      <c r="AB7" s="75" t="e">
        <f>AA7*$R$14</f>
        <v>#REF!</v>
      </c>
      <c r="AC7" s="75" t="e">
        <f>AB7*$T$14</f>
        <v>#REF!</v>
      </c>
    </row>
    <row r="8" spans="1:29" ht="16.5">
      <c r="C8" s="37" t="s">
        <v>24</v>
      </c>
      <c r="E8" s="341">
        <f>COUNTIFS(General!F:F, "IP CERRADA", General!H:H, "PTE. APROBACION", General!G:G, "ENVIO DE ORDEN", General!O:O, "&gt;="&amp;DATE(2025,7,1), General!O:O, "&lt;="&amp;DATE(2025,7,31))</f>
        <v>0</v>
      </c>
      <c r="F8" s="341"/>
      <c r="H8" s="342">
        <f>COUNTIFS(General!F:F, "LICITANDO REPUESTOS", General!G:G, "ENVIO DE ORDEN")</f>
        <v>0</v>
      </c>
      <c r="I8" s="342"/>
      <c r="K8" s="343">
        <f>COUNTIFS(General!F:F, "ENVIO DE ORDEN", General!G:G, "ENVIO DE ORDEN")</f>
        <v>0</v>
      </c>
      <c r="L8" s="343"/>
      <c r="Q8" s="11"/>
      <c r="R8" s="14"/>
      <c r="S8" s="346"/>
      <c r="T8" s="347"/>
      <c r="V8" s="120" t="s">
        <v>26</v>
      </c>
      <c r="W8" s="121">
        <v>1500</v>
      </c>
      <c r="X8" s="121" t="s">
        <v>27</v>
      </c>
      <c r="Z8" s="76" t="s">
        <v>28</v>
      </c>
      <c r="AA8" s="77" t="e">
        <f>#REF!</f>
        <v>#REF!</v>
      </c>
      <c r="AB8" s="72" t="e">
        <f>AA8*$R$14</f>
        <v>#REF!</v>
      </c>
      <c r="AC8" s="72" t="e">
        <f>AB8*$T$14</f>
        <v>#REF!</v>
      </c>
    </row>
    <row r="9" spans="1:29" ht="16.5">
      <c r="C9" s="261" t="s">
        <v>29</v>
      </c>
      <c r="E9" s="353">
        <f>COUNTIFS(General!F:F, "IP CERRADA", General!H:H, "PTE. APROBACION", General!G:G, "IP CAMIONES", General!O:O, "&gt;="&amp;DATE(2025,7,1), General!O:O, "&lt;="&amp;DATE(2025,7,31))</f>
        <v>0</v>
      </c>
      <c r="F9" s="353"/>
      <c r="H9" s="349">
        <f>COUNTIFS(General!F:F, "LICITANDO REPUESTOS", General!G:G, "IP CAMIONES")</f>
        <v>0</v>
      </c>
      <c r="I9" s="349"/>
      <c r="K9" s="350">
        <f>COUNTIFS(General!F:F, "IP COORDINADA", General!G:G, "IP CAMIONES")</f>
        <v>0</v>
      </c>
      <c r="L9" s="350"/>
      <c r="N9" s="115" t="s">
        <v>26</v>
      </c>
      <c r="O9" s="115">
        <f>COUNTIFS(General!F:F, "IP CERRADA", General!H:H, "PTE. APROBACION", General!G:G, "AUSENTE", General!O:O, "&gt;="&amp;DATE(2025,7,1), General!O:O, "&lt;="&amp;DATE(2025,7,31))</f>
        <v>14</v>
      </c>
      <c r="Q9" s="12"/>
      <c r="R9" s="15"/>
      <c r="S9" s="351"/>
      <c r="T9" s="352"/>
      <c r="V9" s="118" t="s">
        <v>30</v>
      </c>
      <c r="W9" s="119">
        <v>5625</v>
      </c>
      <c r="X9" s="119">
        <v>5625</v>
      </c>
      <c r="Z9" s="73" t="s">
        <v>31</v>
      </c>
      <c r="AA9" s="74" t="e">
        <f>#REF!</f>
        <v>#REF!</v>
      </c>
      <c r="AB9" s="75" t="e">
        <f>AA9*$R$14</f>
        <v>#REF!</v>
      </c>
      <c r="AC9" s="75" t="e">
        <f>AB9*$T$14</f>
        <v>#REF!</v>
      </c>
    </row>
    <row r="10" spans="1:29" ht="16.5">
      <c r="C10" s="37" t="s">
        <v>30</v>
      </c>
      <c r="E10" s="341">
        <f>COUNTIFS(General!F:F, "IP CERRADA", General!H:H, "PTE. APROBACION", General!G:G, "TERCEROS", General!O:O, "&gt;="&amp;DATE(2024,3,1), General!O:O, "&gt;="&amp;DATE(2025,7,1), General!O:O, "&lt;="&amp;DATE(2025,7,31))</f>
        <v>2</v>
      </c>
      <c r="F10" s="341"/>
      <c r="H10" s="342">
        <f>COUNTIFS(General!F:F, "LICITANDO REPUESTOS", General!G:G, "TERCEROS")</f>
        <v>0</v>
      </c>
      <c r="I10" s="342"/>
      <c r="K10" s="343">
        <f>COUNTIFS(General!F:F, "IP COORDINADA", General!G:G, "TERCEROS")</f>
        <v>0</v>
      </c>
      <c r="L10" s="343"/>
      <c r="N10" s="114"/>
      <c r="O10" s="49"/>
      <c r="Q10" s="11"/>
      <c r="R10" s="14"/>
      <c r="S10" s="346"/>
      <c r="T10" s="347"/>
      <c r="V10" s="120" t="s">
        <v>32</v>
      </c>
      <c r="W10" s="121">
        <v>0</v>
      </c>
      <c r="X10" s="121">
        <v>0</v>
      </c>
      <c r="Z10" s="76" t="s">
        <v>33</v>
      </c>
      <c r="AA10" s="77" t="e">
        <f>#REF!</f>
        <v>#REF!</v>
      </c>
      <c r="AB10" s="78" t="e">
        <f>AA10*$R$14</f>
        <v>#REF!</v>
      </c>
      <c r="AC10" s="78" t="e">
        <f>AB10*$T$14</f>
        <v>#REF!</v>
      </c>
    </row>
    <row r="11" spans="1:29" ht="16.5">
      <c r="C11" s="261" t="s">
        <v>32</v>
      </c>
      <c r="E11" s="353">
        <f>COUNTIFS(General!F:F, "IP CERRADA", General!H:H, "PTE. APROBACION", General!G:G, "FOTOS", General!O:O, "&gt;="&amp;DATE(2025,7,1), General!O:O, "&lt;="&amp;DATE(2025,7,31))</f>
        <v>0</v>
      </c>
      <c r="F11" s="353"/>
      <c r="H11" s="349">
        <f>COUNTIFS(General!F:F, "LICITANDO REPUESTOS", General!G:G, "FOTOS")</f>
        <v>0</v>
      </c>
      <c r="I11" s="349"/>
      <c r="K11" s="350">
        <f>COUNTIFS(General!F:F, "IP COORDINADA", General!G:G, "FOTOS")</f>
        <v>0</v>
      </c>
      <c r="L11" s="350"/>
      <c r="Q11" s="12"/>
      <c r="R11" s="15"/>
      <c r="S11" s="351"/>
      <c r="T11" s="352"/>
      <c r="V11" s="118" t="s">
        <v>34</v>
      </c>
      <c r="W11" s="119">
        <v>0</v>
      </c>
      <c r="X11" s="119">
        <v>0</v>
      </c>
      <c r="Z11" s="79" t="s">
        <v>35</v>
      </c>
      <c r="AA11" s="80" t="e">
        <f>#REF!</f>
        <v>#REF!</v>
      </c>
      <c r="AB11" s="81" t="e">
        <f>AA11*$R$14</f>
        <v>#REF!</v>
      </c>
      <c r="AC11" s="81" t="e">
        <f>AB11*$T$14</f>
        <v>#REF!</v>
      </c>
    </row>
    <row r="12" spans="1:29" ht="16.5">
      <c r="C12" s="37" t="s">
        <v>34</v>
      </c>
      <c r="E12" s="341">
        <f>COUNTIFS(General!F:F, "IP CERRADA", General!H:H, "PTE. APROBACION", General!G:G, "IP REMOTA", General!O:O, "&gt;="&amp;DATE(2025,7,1), General!O:O, "&lt;="&amp;DATE(2025,7,31))</f>
        <v>0</v>
      </c>
      <c r="F12" s="341"/>
      <c r="H12" s="342">
        <f>COUNTIFS(General!F:F, "LICITANDO REPUESTOS", General!G:G, "IP REMOTA")</f>
        <v>0</v>
      </c>
      <c r="I12" s="342"/>
      <c r="K12" s="343">
        <f>COUNTIFS(General!F:F, "IP COORDINADA", General!G:G, "IP REMOTA")</f>
        <v>0</v>
      </c>
      <c r="L12" s="343"/>
      <c r="N12" s="344" t="s">
        <v>36</v>
      </c>
      <c r="O12" s="345"/>
      <c r="Q12" s="11"/>
      <c r="R12" s="14"/>
      <c r="S12" s="346"/>
      <c r="T12" s="347"/>
      <c r="V12" s="120" t="s">
        <v>29</v>
      </c>
      <c r="W12" s="121">
        <v>5625</v>
      </c>
      <c r="X12" s="121">
        <v>5250</v>
      </c>
      <c r="Z12" s="82"/>
      <c r="AA12" s="83"/>
      <c r="AB12" s="84"/>
      <c r="AC12" s="84"/>
    </row>
    <row r="13" spans="1:29" ht="16.5">
      <c r="C13" s="261" t="s">
        <v>37</v>
      </c>
      <c r="E13" s="348">
        <f>COUNTIFS(General!F:F, "IP CERRADA", General!H:H, "PTE. APROBACION", General!G:G, "IP VIRTUAL", General!O:O, "&gt;="&amp;DATE(2025,7,1), General!O:O, "&lt;="&amp;DATE(2025,7,31))</f>
        <v>0</v>
      </c>
      <c r="F13" s="348"/>
      <c r="H13" s="349">
        <f>COUNTIFS(General!F:F, "LICITANDO REPUESTOS", General!G:G, "IP VIRTUAL")</f>
        <v>0</v>
      </c>
      <c r="I13" s="349"/>
      <c r="K13" s="350">
        <f>COUNTIFS(General!F:F, "IP COORDINADA", General!G:G, "IP VIRTUAL")</f>
        <v>0</v>
      </c>
      <c r="L13" s="350"/>
      <c r="N13" s="344">
        <f>SUMIFS(General!P2:P2771, General!L2:L2771, "&gt;=01/06/2024", General!L2:L2771, "&lt;=31/06/2024")</f>
        <v>0</v>
      </c>
      <c r="O13" s="345"/>
      <c r="Q13" s="12"/>
      <c r="R13" s="15"/>
      <c r="S13" s="351"/>
      <c r="T13" s="352"/>
      <c r="V13" s="118" t="s">
        <v>37</v>
      </c>
      <c r="W13" s="119" t="s">
        <v>27</v>
      </c>
      <c r="X13" s="119" t="s">
        <v>27</v>
      </c>
      <c r="Z13" s="85"/>
      <c r="AA13" s="86"/>
      <c r="AB13" s="87"/>
      <c r="AC13" s="87"/>
    </row>
    <row r="14" spans="1:29" ht="16.5">
      <c r="E14" s="112">
        <f>E4+E5+E6+E7+E8+E9+E10+E11+E12+E13</f>
        <v>240</v>
      </c>
      <c r="F14" s="113" t="s">
        <v>38</v>
      </c>
      <c r="H14" s="110">
        <f>H4+H5+H6+H7+H8+H9+H10+H11+H12+H13</f>
        <v>16</v>
      </c>
      <c r="I14" s="111" t="s">
        <v>38</v>
      </c>
      <c r="K14" s="260">
        <f>K4+K5+K6+K7+K8+K9+K10+K11+K12+K13</f>
        <v>34</v>
      </c>
      <c r="L14" s="109" t="s">
        <v>38</v>
      </c>
      <c r="N14" s="332">
        <f>N13*T14</f>
        <v>0</v>
      </c>
      <c r="O14" s="333"/>
      <c r="Q14" s="62"/>
      <c r="R14" s="63"/>
      <c r="S14" s="334"/>
      <c r="T14" s="335"/>
      <c r="V14" s="118"/>
      <c r="W14" s="119"/>
      <c r="X14" s="119"/>
      <c r="Z14" s="85"/>
      <c r="AA14" s="86"/>
      <c r="AB14" s="87"/>
      <c r="AC14" s="87"/>
    </row>
    <row r="15" spans="1:29">
      <c r="E15" s="19"/>
      <c r="F15" s="19"/>
      <c r="V15" s="118"/>
      <c r="W15" s="119"/>
      <c r="X15" s="119"/>
      <c r="Z15" s="82"/>
      <c r="AA15" s="88"/>
      <c r="AB15" s="89"/>
      <c r="AC15" s="89"/>
    </row>
    <row r="16" spans="1:29" ht="16.5">
      <c r="E16" s="336" t="s">
        <v>39</v>
      </c>
      <c r="F16" s="336"/>
      <c r="H16" s="337" t="s">
        <v>40</v>
      </c>
      <c r="I16" s="337"/>
      <c r="K16" s="338" t="s">
        <v>41</v>
      </c>
      <c r="L16" s="338"/>
      <c r="N16" s="28" t="s">
        <v>42</v>
      </c>
      <c r="O16" s="253">
        <f>COUNTIFS(General!H:H, "EN TRAMITE")</f>
        <v>98</v>
      </c>
      <c r="V16" s="122" t="s">
        <v>43</v>
      </c>
      <c r="W16" s="123">
        <v>300</v>
      </c>
      <c r="X16" s="123" t="s">
        <v>27</v>
      </c>
      <c r="Z16" s="90" t="s">
        <v>44</v>
      </c>
      <c r="AA16" s="91" t="e">
        <f>AA4+AA5+AA6+AA7+AA8+AA9+AA10+AA11</f>
        <v>#REF!</v>
      </c>
      <c r="AB16" s="92" t="e">
        <f>AB4+AB5+AB6+AB7+AB8+AB9+AB10+AB11</f>
        <v>#REF!</v>
      </c>
      <c r="AC16" s="93" t="e">
        <f>AC4+AC5+AC6+AC7+AC8+AC9+AC10+AC11</f>
        <v>#REF!</v>
      </c>
    </row>
    <row r="17" spans="3:24" ht="16.5">
      <c r="E17" s="336">
        <f>E4+E5+E6+E7+E8+E9+E10+E12+O9+E13</f>
        <v>254</v>
      </c>
      <c r="F17" s="336"/>
      <c r="H17" s="337">
        <f>H4+H5+H6+H7+H8+H9+H10+H11+H12+H13</f>
        <v>16</v>
      </c>
      <c r="I17" s="337"/>
      <c r="K17" s="338">
        <f>K4+K5+K6+K7+K8+K9+K10+K11+K12+K13</f>
        <v>34</v>
      </c>
      <c r="L17" s="338"/>
      <c r="N17" s="28" t="s">
        <v>45</v>
      </c>
      <c r="O17" s="253">
        <f>COUNTIFS(General!H:H, "PTE. APROBACION")</f>
        <v>3403</v>
      </c>
      <c r="Q17" s="339" t="s">
        <v>46</v>
      </c>
      <c r="R17" s="340"/>
      <c r="S17" s="340"/>
      <c r="T17" s="340"/>
    </row>
    <row r="18" spans="3:24" ht="16.5">
      <c r="N18" s="102" t="s">
        <v>47</v>
      </c>
      <c r="O18" s="253">
        <f>COUNTIFS(General!H:H, "ANULADO")</f>
        <v>198</v>
      </c>
      <c r="Q18" s="315" t="s">
        <v>48</v>
      </c>
      <c r="R18" s="316"/>
      <c r="S18" s="315" t="s">
        <v>12</v>
      </c>
      <c r="T18" s="319"/>
      <c r="V18" s="108" t="s">
        <v>10</v>
      </c>
      <c r="W18" s="103">
        <f>COUNTIFS(General!F:F, "PARA FACTURAR", General!G:G, "IP CON ORDEN")</f>
        <v>13</v>
      </c>
      <c r="X18" s="107"/>
    </row>
    <row r="19" spans="3:24" ht="15" customHeight="1">
      <c r="C19" s="321" t="s">
        <v>49</v>
      </c>
      <c r="D19" s="321"/>
      <c r="E19" s="257">
        <f>E21+E22+E23+E24+E25+E26+E27+E28+E29+E30+E31+E32</f>
        <v>3248</v>
      </c>
      <c r="H19" s="322" t="s">
        <v>50</v>
      </c>
      <c r="I19" s="323"/>
      <c r="N19" s="101" t="s">
        <v>51</v>
      </c>
      <c r="O19" s="101">
        <f>COUNTIFS(General!F:F, "PARA FACTURAR")</f>
        <v>22</v>
      </c>
      <c r="Q19" s="317"/>
      <c r="R19" s="318"/>
      <c r="S19" s="317"/>
      <c r="T19" s="320"/>
      <c r="V19" s="108" t="s">
        <v>15</v>
      </c>
      <c r="W19" s="103">
        <f>COUNTIFS(General!F:F, "PARA FACTURAR", General!G:G, "POSIBLE DT")</f>
        <v>2</v>
      </c>
      <c r="X19" s="107"/>
    </row>
    <row r="20" spans="3:24" ht="16.5">
      <c r="C20" s="324" t="s">
        <v>52</v>
      </c>
      <c r="D20" s="325"/>
      <c r="E20" s="216" t="s">
        <v>53</v>
      </c>
      <c r="H20" s="326">
        <f>E17+H17+K17+O19</f>
        <v>326</v>
      </c>
      <c r="I20" s="327"/>
      <c r="Q20" s="328" t="s">
        <v>35</v>
      </c>
      <c r="R20" s="329"/>
      <c r="S20" s="330" t="e">
        <f>#REF!</f>
        <v>#REF!</v>
      </c>
      <c r="T20" s="331"/>
      <c r="V20" s="108" t="s">
        <v>18</v>
      </c>
      <c r="W20" s="103">
        <f>COUNTIFS(General!F:F, "PARA FACTURAR", General!G:G, "IP SIN ORDEN")</f>
        <v>6</v>
      </c>
      <c r="X20" s="107"/>
    </row>
    <row r="21" spans="3:24" ht="16.5">
      <c r="C21" s="313" t="s">
        <v>54</v>
      </c>
      <c r="D21" s="314"/>
      <c r="E21" s="219">
        <f>COUNTIFS(General!B:B, "&gt;="&amp;DATE(2025,1,1), General!B:B, "&lt;="&amp;DATE(2025,1,31))</f>
        <v>260</v>
      </c>
      <c r="F21" s="217" t="e">
        <f>(E21-E36)/E36</f>
        <v>#DIV/0!</v>
      </c>
      <c r="Q21" s="295" t="s">
        <v>19</v>
      </c>
      <c r="R21" s="296"/>
      <c r="S21" s="280">
        <f>PeritosJulio!H21</f>
        <v>11250</v>
      </c>
      <c r="T21" s="281"/>
      <c r="V21" s="108" t="s">
        <v>21</v>
      </c>
      <c r="W21" s="103">
        <f>COUNTIFS(General!F:F, "PARA FACTURAR", General!G:G, "AMPLIACION")</f>
        <v>1</v>
      </c>
      <c r="X21" s="107"/>
    </row>
    <row r="22" spans="3:24" ht="16.5">
      <c r="C22" s="306" t="s">
        <v>55</v>
      </c>
      <c r="D22" s="310"/>
      <c r="E22" s="220">
        <f>COUNTIFS(General!B:B, "&gt;="&amp;DATE(2025,2,1), General!B:B, "&lt;="&amp;DATE(2025,2,31))</f>
        <v>194</v>
      </c>
      <c r="F22" s="217" t="e">
        <f>(E22-E37)/E37</f>
        <v>#DIV/0!</v>
      </c>
      <c r="H22" s="67"/>
      <c r="I22" s="67"/>
      <c r="Q22" s="299" t="s">
        <v>22</v>
      </c>
      <c r="R22" s="300"/>
      <c r="S22" s="301">
        <f>PeritosJulio!W44</f>
        <v>0</v>
      </c>
      <c r="T22" s="302"/>
      <c r="V22" s="108" t="s">
        <v>24</v>
      </c>
      <c r="W22" s="103">
        <f>COUNTIFS(General!F:F, "PARA FACTURAR", General!G:G, "ENVIO DE ORDEN")</f>
        <v>0</v>
      </c>
      <c r="X22" s="107"/>
    </row>
    <row r="23" spans="3:24" ht="16.5">
      <c r="C23" s="308" t="s">
        <v>56</v>
      </c>
      <c r="D23" s="309"/>
      <c r="E23" s="221">
        <f>COUNTIFS(General!B:B, "&gt;="&amp;DATE(2025,3,1), General!B:B, "&lt;="&amp;DATE(2025,3,31))</f>
        <v>219</v>
      </c>
      <c r="F23" s="217" t="e">
        <f>(E23-E38)/E38</f>
        <v>#DIV/0!</v>
      </c>
      <c r="H23" s="67"/>
      <c r="I23" s="67"/>
      <c r="Q23" s="295" t="s">
        <v>25</v>
      </c>
      <c r="R23" s="296"/>
      <c r="S23" s="280">
        <f>PeritosJulio!AB44</f>
        <v>0</v>
      </c>
      <c r="T23" s="281"/>
      <c r="V23" s="108" t="s">
        <v>29</v>
      </c>
      <c r="W23" s="103">
        <f>COUNTIFS(General!F:F, "PARA FACTURAR", General!G:G, "IP CAMIONES")</f>
        <v>0</v>
      </c>
      <c r="X23" s="107"/>
    </row>
    <row r="24" spans="3:24" ht="16.5">
      <c r="C24" s="306" t="s">
        <v>57</v>
      </c>
      <c r="D24" s="310"/>
      <c r="E24" s="220">
        <f>COUNTIFS(General!B:B, "&gt;="&amp;DATE(2025,4,1), General!B:B, "&lt;="&amp;DATE(2025,4,31))</f>
        <v>541</v>
      </c>
      <c r="F24" s="217" t="e">
        <f>(E24-E39)/E39</f>
        <v>#DIV/0!</v>
      </c>
      <c r="H24" s="312" t="s">
        <v>58</v>
      </c>
      <c r="I24" s="312"/>
      <c r="Q24" s="299" t="s">
        <v>59</v>
      </c>
      <c r="R24" s="300"/>
      <c r="S24" s="301">
        <f>PeritosJulio!AB21</f>
        <v>597500</v>
      </c>
      <c r="T24" s="302"/>
      <c r="V24" s="108" t="s">
        <v>30</v>
      </c>
      <c r="W24" s="103">
        <f>COUNTIFS(General!F:F, "PARA FACTURAR", General!G:G, "TERCEROS")</f>
        <v>0</v>
      </c>
      <c r="X24" s="107"/>
    </row>
    <row r="25" spans="3:24" ht="16.5">
      <c r="C25" s="308" t="s">
        <v>60</v>
      </c>
      <c r="D25" s="309"/>
      <c r="E25" s="221">
        <f>COUNTIFS(General!B:B, "&gt;="&amp;DATE(2025,5,1), General!B:B, "&lt;="&amp;DATE(2025,5,31))</f>
        <v>548</v>
      </c>
      <c r="F25" s="217" t="e">
        <f>(E25-E40)/E40</f>
        <v>#DIV/0!</v>
      </c>
      <c r="H25" s="294" t="s">
        <v>61</v>
      </c>
      <c r="I25" s="294"/>
      <c r="K25" s="158">
        <f>AVERAGEIFS(General!S:S,General!B:B,"&gt;="&amp;DATE(2025,5,1),General!B:B,"&lt;="&amp;DATE(2025,5,31),General!F:F,"IP CERRADA")</f>
        <v>4.3580952380952382</v>
      </c>
      <c r="Q25" s="295" t="s">
        <v>31</v>
      </c>
      <c r="R25" s="296"/>
      <c r="S25" s="280">
        <f>PeritosJulio!M44</f>
        <v>0</v>
      </c>
      <c r="T25" s="281"/>
      <c r="V25" s="108" t="s">
        <v>32</v>
      </c>
      <c r="W25" s="103">
        <f>COUNTIFS(General!F:F, "PARA FACTURAR", General!G:G, "FOTOS")</f>
        <v>0</v>
      </c>
      <c r="X25" s="107"/>
    </row>
    <row r="26" spans="3:24" ht="16.5">
      <c r="C26" s="306" t="s">
        <v>62</v>
      </c>
      <c r="D26" s="310"/>
      <c r="E26" s="220">
        <f>COUNTIFS(General!B:B, "&gt;="&amp;DATE(2025,6,1), General!B:B, "&lt;="&amp;DATE(2025,6,31))</f>
        <v>258</v>
      </c>
      <c r="F26" s="217" t="e">
        <f>(E26-E41)/E41</f>
        <v>#DIV/0!</v>
      </c>
      <c r="H26" s="311" t="s">
        <v>63</v>
      </c>
      <c r="I26" s="311"/>
      <c r="K26" s="158">
        <f>AVERAGEIFS(General!T:T,General!B:B,"&gt;="&amp;DATE(2025,5,1),General!B:B,"&lt;="&amp;DATE(2025,5,31),General!F:F,"IP CERRADA")</f>
        <v>1.0361904761904761</v>
      </c>
      <c r="Q26" s="299" t="s">
        <v>33</v>
      </c>
      <c r="R26" s="300"/>
      <c r="S26" s="301" t="e">
        <f>#REF!</f>
        <v>#REF!</v>
      </c>
      <c r="T26" s="302"/>
      <c r="V26" s="108" t="s">
        <v>34</v>
      </c>
      <c r="W26" s="103">
        <f>COUNTIFS(General!F:F, "PARA FACTURAR", General!G:G, "IP REMOTA")</f>
        <v>0</v>
      </c>
      <c r="X26" s="107"/>
    </row>
    <row r="27" spans="3:24" ht="16.5">
      <c r="C27" s="303" t="s">
        <v>64</v>
      </c>
      <c r="D27" s="304"/>
      <c r="E27" s="222">
        <f>COUNTIFS(General!B:B, "&gt;="&amp;DATE(2025,7,1), General!B:B, "&lt;="&amp;DATE(2025,7,31))</f>
        <v>275</v>
      </c>
      <c r="F27" s="217" t="e">
        <f>(E27-E42)/E42</f>
        <v>#DIV/0!</v>
      </c>
      <c r="H27" s="305" t="s">
        <v>65</v>
      </c>
      <c r="I27" s="305"/>
      <c r="K27" s="158">
        <f>AVERAGEIFS(General!U:U,General!B:B,"&gt;="&amp;DATE(2025,5,1),General!B:B,"&lt;="&amp;DATE(2025,5,31),General!F:F,"IP CERRADA")</f>
        <v>174.93548387096774</v>
      </c>
      <c r="Q27" s="295" t="s">
        <v>66</v>
      </c>
      <c r="R27" s="296"/>
      <c r="S27" s="280">
        <f>PeritosJulio!M21</f>
        <v>1234125</v>
      </c>
      <c r="T27" s="281"/>
      <c r="V27" s="108" t="s">
        <v>37</v>
      </c>
      <c r="W27" s="103">
        <f>COUNTIFS(General!F:F, "PARA FACTURAR", General!G:G, "IP VIRTUAL")</f>
        <v>0</v>
      </c>
      <c r="X27" s="107"/>
    </row>
    <row r="28" spans="3:24" ht="16.5">
      <c r="C28" s="306" t="s">
        <v>67</v>
      </c>
      <c r="D28" s="307"/>
      <c r="E28" s="220">
        <f>COUNTIFS(General!B:B, "&gt;="&amp;DATE(2025,8,1), General!B:B, "&lt;="&amp;DATE(2025,8,31))</f>
        <v>194</v>
      </c>
      <c r="F28" s="218" t="e">
        <f>(E28-E43)/E43</f>
        <v>#DIV/0!</v>
      </c>
      <c r="H28" s="294" t="s">
        <v>68</v>
      </c>
      <c r="I28" s="294"/>
      <c r="K28" s="158">
        <f>AVERAGEIFS(General!V:V,General!B:B,"&gt;="&amp;DATE(2025,5,1),General!B:B,"&lt;="&amp;DATE(2025,5,31),General!F:F,"IP CERRADA")</f>
        <v>6.5332068311195446</v>
      </c>
      <c r="Q28" s="299" t="s">
        <v>69</v>
      </c>
      <c r="R28" s="300"/>
      <c r="S28" s="301" t="e">
        <f>#REF!</f>
        <v>#REF!</v>
      </c>
      <c r="T28" s="302"/>
      <c r="V28" s="108" t="s">
        <v>70</v>
      </c>
      <c r="W28" s="103">
        <f>COUNTIFS(General!F:F, "PARA FACTURAR", General!G:G, "SIN HONORARIOS")</f>
        <v>0</v>
      </c>
      <c r="X28" s="107"/>
    </row>
    <row r="29" spans="3:24" ht="16.5">
      <c r="C29" s="292" t="s">
        <v>71</v>
      </c>
      <c r="D29" s="293"/>
      <c r="E29" s="223">
        <f>COUNTIFS(General!B:B, "&gt;="&amp;DATE(2025,9,1), General!B:B, "&lt;="&amp;DATE(2025,9,31))</f>
        <v>206</v>
      </c>
      <c r="F29" s="218" t="e">
        <f>(E29-E44)/E44</f>
        <v>#DIV/0!</v>
      </c>
      <c r="H29" s="294" t="s">
        <v>72</v>
      </c>
      <c r="I29" s="294"/>
      <c r="J29" s="65"/>
      <c r="K29" s="158">
        <f>AVERAGEIFS(General!W:W,General!B:B,"&gt;="&amp;DATE(2025,5,1),General!B:B,"&lt;="&amp;DATE(2025,5,31),General!F:F,"IP CERRADA")</f>
        <v>175.96774193548387</v>
      </c>
      <c r="Q29" s="295" t="s">
        <v>16</v>
      </c>
      <c r="R29" s="296"/>
      <c r="S29" s="280">
        <f>PeritosJulio!W21</f>
        <v>601250</v>
      </c>
      <c r="T29" s="281"/>
      <c r="V29" s="108" t="s">
        <v>26</v>
      </c>
      <c r="W29" s="103">
        <f>COUNTIFS(General!F:F, "PARA FACTURAR", General!G:G, "AUSENTE")</f>
        <v>0</v>
      </c>
      <c r="X29" s="107"/>
    </row>
    <row r="30" spans="3:24">
      <c r="C30" s="297" t="s">
        <v>73</v>
      </c>
      <c r="D30" s="298"/>
      <c r="E30" s="220">
        <f>COUNTIFS(General!B:B, "&gt;="&amp;DATE(2025,10,1), General!B:B, "&lt;="&amp;DATE(2025,10,31))</f>
        <v>217</v>
      </c>
      <c r="F30" s="218" t="e">
        <f>(E30-E45)/E45</f>
        <v>#DIV/0!</v>
      </c>
      <c r="H30" s="294" t="s">
        <v>74</v>
      </c>
      <c r="I30" s="294"/>
      <c r="J30" s="65"/>
      <c r="K30" s="158">
        <f>AVERAGEIFS(General!X:X,General!B:B,"&gt;="&amp;DATE(2025,5,1),General!B:B,"&lt;="&amp;DATE(2025,5,31),General!F:F,"IP CERRADA")</f>
        <v>7.6228571428571428</v>
      </c>
      <c r="L30" s="67"/>
      <c r="Q30" s="299" t="s">
        <v>75</v>
      </c>
      <c r="R30" s="300"/>
      <c r="S30" s="301" t="s">
        <v>27</v>
      </c>
      <c r="T30" s="302"/>
    </row>
    <row r="31" spans="3:24">
      <c r="C31" s="276" t="s">
        <v>76</v>
      </c>
      <c r="D31" s="277"/>
      <c r="E31" s="224">
        <f>COUNTIFS(General!B:B, "&gt;="&amp;DATE(2025,11,1), General!B:B, "&lt;="&amp;DATE(2025,11,31))</f>
        <v>147</v>
      </c>
      <c r="F31" s="218" t="e">
        <f>(E31-E46)/E46</f>
        <v>#DIV/0!</v>
      </c>
      <c r="H31" s="64"/>
      <c r="I31" s="64"/>
      <c r="J31" s="65"/>
      <c r="K31" s="65"/>
      <c r="L31" s="66"/>
      <c r="Q31" s="278" t="s">
        <v>77</v>
      </c>
      <c r="R31" s="279"/>
      <c r="S31" s="280" t="s">
        <v>27</v>
      </c>
      <c r="T31" s="281"/>
      <c r="V31" s="282" t="s">
        <v>78</v>
      </c>
      <c r="W31" s="283"/>
    </row>
    <row r="32" spans="3:24">
      <c r="C32" s="284" t="s">
        <v>79</v>
      </c>
      <c r="D32" s="285"/>
      <c r="E32" s="225">
        <f>COUNTIFS(General!B:B, "&gt;="&amp;DATE(2025,12,1), General!B:B, "&lt;="&amp;DATE(2025,12,31))</f>
        <v>189</v>
      </c>
      <c r="F32" s="218" t="e">
        <f>(E32-E47)/E47</f>
        <v>#DIV/0!</v>
      </c>
      <c r="H32" s="64"/>
      <c r="I32" s="64"/>
      <c r="J32" s="65"/>
      <c r="K32" s="65"/>
      <c r="L32" s="67"/>
      <c r="Q32" s="286" t="s">
        <v>44</v>
      </c>
      <c r="R32" s="287"/>
      <c r="S32" s="288" t="e">
        <f>S20+S21+S22+S23+S24+S25+S26+S27+S28+S29</f>
        <v>#REF!</v>
      </c>
      <c r="T32" s="289"/>
      <c r="V32" s="290">
        <f>W18+W19+W20+W21+W22+W23+W24+W25+W26+W27+W28+W29</f>
        <v>22</v>
      </c>
      <c r="W32" s="291"/>
    </row>
    <row r="33" spans="3:12">
      <c r="L33" s="104"/>
    </row>
    <row r="34" spans="3:12" ht="18.75" customHeight="1">
      <c r="C34" s="270" t="s">
        <v>80</v>
      </c>
      <c r="D34" s="271"/>
      <c r="E34" s="257">
        <f>E36+E37+E38+E39+E40+E41+E42+E43+E44+E45+E46+E47</f>
        <v>0</v>
      </c>
      <c r="H34" s="68"/>
      <c r="I34" s="68"/>
      <c r="J34" s="69"/>
      <c r="K34" s="69"/>
    </row>
    <row r="35" spans="3:12" ht="15" customHeight="1">
      <c r="C35" s="272" t="s">
        <v>81</v>
      </c>
      <c r="D35" s="273"/>
      <c r="E35" s="135" t="s">
        <v>53</v>
      </c>
      <c r="H35" s="68"/>
      <c r="I35" s="68"/>
      <c r="J35" s="69"/>
      <c r="K35" s="69"/>
    </row>
    <row r="36" spans="3:12">
      <c r="C36" s="274" t="s">
        <v>54</v>
      </c>
      <c r="D36" s="275"/>
      <c r="E36" s="131">
        <f>COUNTIFS(General!B:B, "&gt;="&amp;DATE(2024,1,1), General!B:B, "&lt;="&amp;DATE(2024,1,31))</f>
        <v>0</v>
      </c>
    </row>
    <row r="37" spans="3:12">
      <c r="C37" s="266" t="s">
        <v>55</v>
      </c>
      <c r="D37" s="267"/>
      <c r="E37" s="132">
        <f>COUNTIFS(General!B:B, "&gt;="&amp;DATE(2024,2,1), General!B:B, "&lt;="&amp;DATE(2024,2,31))</f>
        <v>0</v>
      </c>
    </row>
    <row r="38" spans="3:12">
      <c r="C38" s="262" t="s">
        <v>56</v>
      </c>
      <c r="D38" s="263"/>
      <c r="E38" s="133">
        <f>COUNTIFS(General!B:B, "&gt;="&amp;DATE(2024,3,1), General!B:B, "&lt;="&amp;DATE(2024,3,31))</f>
        <v>0</v>
      </c>
    </row>
    <row r="39" spans="3:12">
      <c r="C39" s="266" t="s">
        <v>57</v>
      </c>
      <c r="D39" s="267"/>
      <c r="E39" s="132">
        <f>COUNTIFS(General!B:B, "&gt;="&amp;DATE(2024,4,1), General!B:B, "&lt;="&amp;DATE(2024,4,31))</f>
        <v>0</v>
      </c>
    </row>
    <row r="40" spans="3:12">
      <c r="C40" s="262" t="s">
        <v>60</v>
      </c>
      <c r="D40" s="263"/>
      <c r="E40" s="133">
        <f>COUNTIFS(General!B:B, "&gt;="&amp;DATE(2024,5,1), General!B:B, "&lt;="&amp;DATE(2024,5,31))</f>
        <v>0</v>
      </c>
    </row>
    <row r="41" spans="3:12">
      <c r="C41" s="266" t="s">
        <v>62</v>
      </c>
      <c r="D41" s="267"/>
      <c r="E41" s="132">
        <f>COUNTIFS(General!B:B, "&gt;="&amp;DATE(2024,6,1), General!B:B, "&lt;="&amp;DATE(2024,6,31))</f>
        <v>0</v>
      </c>
    </row>
    <row r="42" spans="3:12">
      <c r="C42" s="262" t="s">
        <v>64</v>
      </c>
      <c r="D42" s="263"/>
      <c r="E42" s="138">
        <f>COUNTIFS(General!B:B, "&gt;="&amp;DATE(2024,7,1), General!B:B, "&lt;="&amp;DATE(2024,7,31))</f>
        <v>0</v>
      </c>
    </row>
    <row r="43" spans="3:12">
      <c r="C43" s="266" t="s">
        <v>67</v>
      </c>
      <c r="D43" s="267"/>
      <c r="E43" s="132">
        <f>COUNTIFS(General!B:B, "&gt;="&amp;DATE(2024,8,1), General!B:B, "&lt;="&amp;DATE(2024,8,31))</f>
        <v>0</v>
      </c>
    </row>
    <row r="44" spans="3:12">
      <c r="C44" s="262" t="s">
        <v>71</v>
      </c>
      <c r="D44" s="263"/>
      <c r="E44" s="139">
        <f>COUNTIFS(General!B:B, "&gt;="&amp;DATE(2024,9,1), General!B:B, "&lt;="&amp;DATE(2024,9,31))</f>
        <v>0</v>
      </c>
    </row>
    <row r="45" spans="3:12">
      <c r="C45" s="268" t="s">
        <v>73</v>
      </c>
      <c r="D45" s="269"/>
      <c r="E45" s="132">
        <f>COUNTIFS(General!B:B, "&gt;="&amp;DATE(2024,10,1), General!B:B, "&lt;="&amp;DATE(2024,10,31))</f>
        <v>0</v>
      </c>
    </row>
    <row r="46" spans="3:12">
      <c r="C46" s="262" t="s">
        <v>76</v>
      </c>
      <c r="D46" s="263"/>
      <c r="E46" s="137">
        <f>COUNTIFS(General!B:B, "&gt;="&amp;DATE(2024,11,1), General!B:B, "&lt;="&amp;DATE(2024,11,31))</f>
        <v>0</v>
      </c>
    </row>
    <row r="47" spans="3:12">
      <c r="C47" s="264" t="s">
        <v>79</v>
      </c>
      <c r="D47" s="265"/>
      <c r="E47" s="134">
        <f>COUNTIFS(General!B:B, "&gt;="&amp;DATE(2024,12,1), General!B:B, "&lt;="&amp;DATE(2024,12,31))</f>
        <v>0</v>
      </c>
    </row>
  </sheetData>
  <mergeCells count="131">
    <mergeCell ref="S1:T1"/>
    <mergeCell ref="Z1:AC1"/>
    <mergeCell ref="S2:T2"/>
    <mergeCell ref="Z2:AA3"/>
    <mergeCell ref="AB2:AB3"/>
    <mergeCell ref="AC2:AC3"/>
    <mergeCell ref="S3:T3"/>
    <mergeCell ref="A1:B2"/>
    <mergeCell ref="C1:C2"/>
    <mergeCell ref="E1:F2"/>
    <mergeCell ref="H1:I2"/>
    <mergeCell ref="K1:L2"/>
    <mergeCell ref="N1:O2"/>
    <mergeCell ref="E6:F6"/>
    <mergeCell ref="H6:I6"/>
    <mergeCell ref="K6:L6"/>
    <mergeCell ref="S6:T6"/>
    <mergeCell ref="E7:F7"/>
    <mergeCell ref="H7:I7"/>
    <mergeCell ref="K7:L7"/>
    <mergeCell ref="S7:T7"/>
    <mergeCell ref="E4:F4"/>
    <mergeCell ref="H4:I4"/>
    <mergeCell ref="K4:L4"/>
    <mergeCell ref="S4:T4"/>
    <mergeCell ref="E5:F5"/>
    <mergeCell ref="H5:I5"/>
    <mergeCell ref="K5:L5"/>
    <mergeCell ref="S5:T5"/>
    <mergeCell ref="E10:F10"/>
    <mergeCell ref="H10:I10"/>
    <mergeCell ref="K10:L10"/>
    <mergeCell ref="S10:T10"/>
    <mergeCell ref="E11:F11"/>
    <mergeCell ref="H11:I11"/>
    <mergeCell ref="K11:L11"/>
    <mergeCell ref="S11:T11"/>
    <mergeCell ref="E8:F8"/>
    <mergeCell ref="H8:I8"/>
    <mergeCell ref="K8:L8"/>
    <mergeCell ref="S8:T8"/>
    <mergeCell ref="E9:F9"/>
    <mergeCell ref="H9:I9"/>
    <mergeCell ref="K9:L9"/>
    <mergeCell ref="S9:T9"/>
    <mergeCell ref="E12:F12"/>
    <mergeCell ref="H12:I12"/>
    <mergeCell ref="K12:L12"/>
    <mergeCell ref="N12:O12"/>
    <mergeCell ref="S12:T12"/>
    <mergeCell ref="E13:F13"/>
    <mergeCell ref="H13:I13"/>
    <mergeCell ref="K13:L13"/>
    <mergeCell ref="N13:O13"/>
    <mergeCell ref="S13:T13"/>
    <mergeCell ref="Q18:R19"/>
    <mergeCell ref="S18:T19"/>
    <mergeCell ref="C19:D19"/>
    <mergeCell ref="H19:I19"/>
    <mergeCell ref="C20:D20"/>
    <mergeCell ref="H20:I20"/>
    <mergeCell ref="Q20:R20"/>
    <mergeCell ref="S20:T20"/>
    <mergeCell ref="N14:O14"/>
    <mergeCell ref="S14:T14"/>
    <mergeCell ref="E16:F16"/>
    <mergeCell ref="H16:I16"/>
    <mergeCell ref="K16:L16"/>
    <mergeCell ref="E17:F17"/>
    <mergeCell ref="H17:I17"/>
    <mergeCell ref="K17:L17"/>
    <mergeCell ref="Q17:T17"/>
    <mergeCell ref="C23:D23"/>
    <mergeCell ref="Q23:R23"/>
    <mergeCell ref="S23:T23"/>
    <mergeCell ref="C24:D24"/>
    <mergeCell ref="H24:I24"/>
    <mergeCell ref="Q24:R24"/>
    <mergeCell ref="S24:T24"/>
    <mergeCell ref="C21:D21"/>
    <mergeCell ref="Q21:R21"/>
    <mergeCell ref="S21:T21"/>
    <mergeCell ref="C22:D22"/>
    <mergeCell ref="Q22:R22"/>
    <mergeCell ref="S22:T22"/>
    <mergeCell ref="C27:D27"/>
    <mergeCell ref="H27:I27"/>
    <mergeCell ref="Q27:R27"/>
    <mergeCell ref="S27:T27"/>
    <mergeCell ref="C28:D28"/>
    <mergeCell ref="H28:I28"/>
    <mergeCell ref="Q28:R28"/>
    <mergeCell ref="S28:T28"/>
    <mergeCell ref="C25:D25"/>
    <mergeCell ref="H25:I25"/>
    <mergeCell ref="Q25:R25"/>
    <mergeCell ref="S25:T25"/>
    <mergeCell ref="C26:D26"/>
    <mergeCell ref="H26:I26"/>
    <mergeCell ref="Q26:R26"/>
    <mergeCell ref="S26:T26"/>
    <mergeCell ref="C31:D31"/>
    <mergeCell ref="Q31:R31"/>
    <mergeCell ref="S31:T31"/>
    <mergeCell ref="V31:W31"/>
    <mergeCell ref="C32:D32"/>
    <mergeCell ref="Q32:R32"/>
    <mergeCell ref="S32:T32"/>
    <mergeCell ref="V32:W32"/>
    <mergeCell ref="C29:D29"/>
    <mergeCell ref="H29:I29"/>
    <mergeCell ref="Q29:R29"/>
    <mergeCell ref="S29:T29"/>
    <mergeCell ref="C30:D30"/>
    <mergeCell ref="H30:I30"/>
    <mergeCell ref="Q30:R30"/>
    <mergeCell ref="S30:T30"/>
    <mergeCell ref="C46:D46"/>
    <mergeCell ref="C47:D47"/>
    <mergeCell ref="C40:D40"/>
    <mergeCell ref="C41:D41"/>
    <mergeCell ref="C42:D42"/>
    <mergeCell ref="C43:D43"/>
    <mergeCell ref="C44:D44"/>
    <mergeCell ref="C45:D45"/>
    <mergeCell ref="C34:D34"/>
    <mergeCell ref="C35:D35"/>
    <mergeCell ref="C36:D36"/>
    <mergeCell ref="C37:D37"/>
    <mergeCell ref="C38:D38"/>
    <mergeCell ref="C39:D39"/>
  </mergeCells>
  <conditionalFormatting sqref="N19:O19">
    <cfRule type="expression" dxfId="876" priority="20">
      <formula>#REF!="ESPERANDO RESPUESTA 3°"</formula>
    </cfRule>
    <cfRule type="expression" dxfId="875" priority="21">
      <formula>#REF!="PENDIENTE DE OFRECIMIENTO"</formula>
    </cfRule>
    <cfRule type="expression" dxfId="874" priority="22">
      <formula>#REF!="EN CONSULTA CON CIA"</formula>
    </cfRule>
    <cfRule type="expression" dxfId="873" priority="23">
      <formula>#REF!="IP REALIZADA"</formula>
    </cfRule>
    <cfRule type="expression" dxfId="872" priority="24">
      <formula>#REF!="PENDIENTE  COORDINACION"</formula>
    </cfRule>
    <cfRule type="expression" dxfId="871" priority="25">
      <formula>#REF!="LICITANDO REPUESTOS"</formula>
    </cfRule>
    <cfRule type="expression" dxfId="870" priority="26">
      <formula>#REF!="PENDIENTE PRESUPUESTO"</formula>
    </cfRule>
    <cfRule type="expression" dxfId="869" priority="27">
      <formula>#REF!="REVISAR MAIL - RESUELTO"</formula>
    </cfRule>
    <cfRule type="expression" dxfId="868" priority="28">
      <formula>#REF!="IP RECLAMADA A PERITO 5"</formula>
    </cfRule>
    <cfRule type="expression" dxfId="867" priority="29">
      <formula>#REF!="IP RECLAMADA A PERITO 4"</formula>
    </cfRule>
    <cfRule type="expression" dxfId="866" priority="30">
      <formula>#REF!="IP RECLAMADA A PERITO 2"</formula>
    </cfRule>
    <cfRule type="expression" dxfId="865" priority="31">
      <formula>#REF!="INSPECCION ANULADA"</formula>
    </cfRule>
    <cfRule type="expression" dxfId="864" priority="32">
      <formula>#REF!="IP COORDINADA"</formula>
    </cfRule>
    <cfRule type="expression" dxfId="863" priority="33">
      <formula>#REF!="CONTACTADO"</formula>
    </cfRule>
    <cfRule type="expression" dxfId="862" priority="34">
      <formula>#REF!="IP CERRADA"</formula>
    </cfRule>
    <cfRule type="expression" dxfId="861" priority="35">
      <formula>#REF!="ENVIO DE ORDEN"</formula>
    </cfRule>
    <cfRule type="expression" dxfId="860" priority="36">
      <formula>#REF!="PARA FACTURAR"</formula>
    </cfRule>
    <cfRule type="expression" dxfId="859" priority="37">
      <formula>#REF!="IP RECLAMADA A PERITO 1"</formula>
    </cfRule>
    <cfRule type="expression" dxfId="858" priority="38">
      <formula>#REF!="REVISAR MAIL - SIN RESOLVER"</formula>
    </cfRule>
  </conditionalFormatting>
  <conditionalFormatting sqref="V31">
    <cfRule type="expression" dxfId="857" priority="1">
      <formula>$V31="PENDIENTE PRESUPUESTO"</formula>
    </cfRule>
    <cfRule type="expression" dxfId="856" priority="2">
      <formula>$V31="ESPERANDO RESPUESTA 3°"</formula>
    </cfRule>
    <cfRule type="expression" dxfId="855" priority="3">
      <formula>$V31="PENDIENTE DE OFRECIMIENTO"</formula>
    </cfRule>
    <cfRule type="expression" dxfId="854" priority="4">
      <formula>$V31="EN CONSULTA CON CIA"</formula>
    </cfRule>
    <cfRule type="expression" dxfId="853" priority="5">
      <formula>$V31="IP REALIZADA"</formula>
    </cfRule>
    <cfRule type="expression" dxfId="852" priority="6">
      <formula>$V31="REVISAR MAIL - RESUELTO"</formula>
    </cfRule>
    <cfRule type="expression" dxfId="851" priority="7">
      <formula>$V31="INSPECCION ANULADA"</formula>
    </cfRule>
    <cfRule type="expression" dxfId="850" priority="8">
      <formula>$V31="IP RECLAMADA A PERITO 5"</formula>
    </cfRule>
    <cfRule type="expression" dxfId="849" priority="9">
      <formula>$V31="IP RECLAMADA A PERITO 4"</formula>
    </cfRule>
    <cfRule type="expression" dxfId="848" priority="10">
      <formula>$V31="IP RECLAMADA A PERITO 2"</formula>
    </cfRule>
    <cfRule type="expression" dxfId="847" priority="11">
      <formula>$V31="PENDIENTE  COORDINACION"</formula>
    </cfRule>
    <cfRule type="expression" dxfId="846" priority="12">
      <formula>$V31="LICITANDO REPUESTOS"</formula>
    </cfRule>
    <cfRule type="expression" dxfId="845" priority="13">
      <formula>$V31="IP COORDINADA"</formula>
    </cfRule>
    <cfRule type="expression" dxfId="844" priority="14">
      <formula>$V31="CONTACTADO"</formula>
    </cfRule>
    <cfRule type="expression" dxfId="843" priority="15">
      <formula>$V31="IP CERRADA"</formula>
    </cfRule>
    <cfRule type="expression" dxfId="842" priority="16">
      <formula>$V31="ENVIO DE ORDEN"</formula>
    </cfRule>
    <cfRule type="expression" dxfId="841" priority="17">
      <formula>$V31="PARA FACTURAR"</formula>
    </cfRule>
    <cfRule type="expression" dxfId="840" priority="18">
      <formula>$V31="IP RECLAMADA A PERITO 1"</formula>
    </cfRule>
    <cfRule type="expression" dxfId="839" priority="19">
      <formula>$V31="REVISAR MAIL - SIN RESOLVER"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7E6D2-65A7-4330-9BE3-F9C22F10BCCE}">
  <sheetPr>
    <tabColor theme="6" tint="0.39997558519241921"/>
  </sheetPr>
  <dimension ref="A1:AC47"/>
  <sheetViews>
    <sheetView topLeftCell="A8" workbookViewId="0">
      <selection activeCell="H35" sqref="H35"/>
    </sheetView>
  </sheetViews>
  <sheetFormatPr defaultRowHeight="15"/>
  <cols>
    <col min="3" max="3" width="24.7109375" customWidth="1"/>
    <col min="4" max="4" width="2.85546875" customWidth="1"/>
    <col min="5" max="5" width="11.42578125" customWidth="1"/>
    <col min="6" max="6" width="11" customWidth="1"/>
    <col min="7" max="7" width="3.140625" customWidth="1"/>
    <col min="8" max="8" width="11.140625" customWidth="1"/>
    <col min="9" max="9" width="10.5703125" customWidth="1"/>
    <col min="10" max="10" width="2.85546875" customWidth="1"/>
    <col min="11" max="11" width="11.42578125" customWidth="1"/>
    <col min="12" max="12" width="10.7109375" customWidth="1"/>
    <col min="13" max="13" width="3" customWidth="1"/>
    <col min="14" max="14" width="16.7109375" customWidth="1"/>
    <col min="15" max="15" width="12.140625" customWidth="1"/>
    <col min="16" max="16" width="9.140625" bestFit="1" customWidth="1"/>
    <col min="17" max="17" width="18.5703125" customWidth="1"/>
    <col min="18" max="18" width="9.140625" bestFit="1" customWidth="1"/>
    <col min="19" max="19" width="13.5703125" customWidth="1"/>
    <col min="20" max="20" width="8.5703125" bestFit="1" customWidth="1"/>
    <col min="21" max="21" width="4.85546875" customWidth="1"/>
    <col min="22" max="22" width="21.5703125" customWidth="1"/>
    <col min="23" max="23" width="14.42578125" customWidth="1"/>
    <col min="24" max="24" width="16.140625" customWidth="1"/>
    <col min="25" max="25" width="17.85546875" customWidth="1"/>
  </cols>
  <sheetData>
    <row r="1" spans="1:29">
      <c r="A1" s="367" t="s">
        <v>0</v>
      </c>
      <c r="B1" s="368"/>
      <c r="C1" s="369" t="s">
        <v>1</v>
      </c>
      <c r="E1" s="369" t="s">
        <v>2</v>
      </c>
      <c r="F1" s="369"/>
      <c r="H1" s="370" t="s">
        <v>3</v>
      </c>
      <c r="I1" s="371"/>
      <c r="K1" s="369" t="s">
        <v>4</v>
      </c>
      <c r="L1" s="369"/>
      <c r="N1" s="369" t="s">
        <v>5</v>
      </c>
      <c r="O1" s="369"/>
      <c r="Q1" s="3"/>
      <c r="R1" s="3"/>
      <c r="S1" s="354"/>
      <c r="T1" s="355"/>
      <c r="V1" s="1" t="s">
        <v>6</v>
      </c>
      <c r="W1" s="1" t="s">
        <v>7</v>
      </c>
      <c r="X1" s="1" t="s">
        <v>8</v>
      </c>
      <c r="Z1" s="356" t="s">
        <v>9</v>
      </c>
      <c r="AA1" s="357"/>
      <c r="AB1" s="357"/>
      <c r="AC1" s="358"/>
    </row>
    <row r="2" spans="1:29">
      <c r="A2" s="367"/>
      <c r="B2" s="368"/>
      <c r="C2" s="369"/>
      <c r="E2" s="369"/>
      <c r="F2" s="369"/>
      <c r="H2" s="372"/>
      <c r="I2" s="373"/>
      <c r="K2" s="369"/>
      <c r="L2" s="369"/>
      <c r="N2" s="369"/>
      <c r="O2" s="369"/>
      <c r="Q2" s="10"/>
      <c r="R2" s="13"/>
      <c r="S2" s="359"/>
      <c r="T2" s="360"/>
      <c r="V2" s="118" t="s">
        <v>10</v>
      </c>
      <c r="W2" s="119">
        <v>5625</v>
      </c>
      <c r="X2" s="119">
        <v>5250</v>
      </c>
      <c r="Z2" s="361" t="s">
        <v>11</v>
      </c>
      <c r="AA2" s="362"/>
      <c r="AB2" s="365" t="s">
        <v>12</v>
      </c>
      <c r="AC2" s="365" t="s">
        <v>13</v>
      </c>
    </row>
    <row r="3" spans="1:29" ht="3.75" customHeight="1">
      <c r="A3" s="19"/>
      <c r="B3" s="19"/>
      <c r="C3" s="19"/>
      <c r="E3" s="19"/>
      <c r="F3" s="19"/>
      <c r="H3" s="19"/>
      <c r="I3" s="19"/>
      <c r="K3" s="19"/>
      <c r="L3" s="19"/>
      <c r="N3" s="19"/>
      <c r="O3" s="19"/>
      <c r="Q3" s="12"/>
      <c r="R3" s="15"/>
      <c r="S3" s="351"/>
      <c r="T3" s="352"/>
      <c r="V3" s="118"/>
      <c r="W3" s="119"/>
      <c r="X3" s="119"/>
      <c r="Z3" s="363"/>
      <c r="AA3" s="364"/>
      <c r="AB3" s="366"/>
      <c r="AC3" s="366"/>
    </row>
    <row r="4" spans="1:29" ht="16.5">
      <c r="C4" s="37" t="s">
        <v>10</v>
      </c>
      <c r="E4" s="341">
        <f>COUNTIFS(General!F:F, "IP CERRADA", General!H:H, "PTE. APROBACION", General!G:G, "IP CON ORDEN", General!O:O, "&gt;="&amp;DATE(2025,8,1), General!O:O, "&lt;="&amp;DATE(2025,8,31))</f>
        <v>102</v>
      </c>
      <c r="F4" s="341"/>
      <c r="G4">
        <f>COUNTIFS(General!F:F, "IP CERRADA", General!M:M, "A MIÑO", General!H:H, "PTE. APROBACION", General!G:G, "IP CON ORDEN", General!O:O, "&gt;="&amp;DATE(2025,8,1), General!O:O, "&lt;="&amp;DATE(2025,8,31))</f>
        <v>1</v>
      </c>
      <c r="H4" s="342">
        <f>COUNTIFS(General!F:F, "LICITANDO REPUESTOS", General!G:G, "IP CON ORDEN")</f>
        <v>15</v>
      </c>
      <c r="I4" s="342"/>
      <c r="K4" s="343">
        <f>COUNTIFS(General!F:F, "IP COORDINADA", General!G:G, "IP CON ORDEN")</f>
        <v>32</v>
      </c>
      <c r="L4" s="343"/>
      <c r="N4" s="30" t="s">
        <v>14</v>
      </c>
      <c r="O4" s="31">
        <f>COUNTIFS(General!F:F, "PENDIENTE  COORDINACION")</f>
        <v>5</v>
      </c>
      <c r="Q4" s="11"/>
      <c r="R4" s="14"/>
      <c r="S4" s="346"/>
      <c r="T4" s="347"/>
      <c r="V4" s="120" t="s">
        <v>15</v>
      </c>
      <c r="W4" s="121">
        <v>5625</v>
      </c>
      <c r="X4" s="121">
        <v>5250</v>
      </c>
      <c r="Z4" s="70" t="s">
        <v>16</v>
      </c>
      <c r="AA4" s="71" t="e">
        <f>#REF!</f>
        <v>#REF!</v>
      </c>
      <c r="AB4" s="72" t="e">
        <f>AA4*$R$14</f>
        <v>#REF!</v>
      </c>
      <c r="AC4" s="72" t="e">
        <f>AB4*$T$14</f>
        <v>#REF!</v>
      </c>
    </row>
    <row r="5" spans="1:29" ht="16.5">
      <c r="C5" s="261" t="s">
        <v>15</v>
      </c>
      <c r="E5" s="353">
        <f>COUNTIFS(General!F:F, "IP CERRADA", General!H:H, "PTE. APROBACION", General!G:G, "POSIBLE DT", General!O:O, "&gt;="&amp;DATE(2025,8,1), General!O:O, "&lt;="&amp;DATE(2025,8,31))</f>
        <v>8</v>
      </c>
      <c r="F5" s="353"/>
      <c r="H5" s="349">
        <f>COUNTIFS(General!F:F, "LICITANDO REPUESTOS", General!G:G, "POSIBLE DT")</f>
        <v>0</v>
      </c>
      <c r="I5" s="349"/>
      <c r="K5" s="350">
        <f>COUNTIFS(General!F:F, "IP COORDINADA", General!G:G, "POSIBLE DT")</f>
        <v>2</v>
      </c>
      <c r="L5" s="350"/>
      <c r="N5" s="32" t="s">
        <v>17</v>
      </c>
      <c r="O5" s="33">
        <f>COUNTIFS(General!F:F, "CONTACTADO")</f>
        <v>2</v>
      </c>
      <c r="Q5" s="12"/>
      <c r="R5" s="15"/>
      <c r="S5" s="351"/>
      <c r="T5" s="352"/>
      <c r="V5" s="118" t="s">
        <v>18</v>
      </c>
      <c r="W5" s="119">
        <v>5625</v>
      </c>
      <c r="X5" s="119">
        <v>5250</v>
      </c>
      <c r="Z5" s="73" t="s">
        <v>19</v>
      </c>
      <c r="AA5" s="74" t="e">
        <f>#REF!</f>
        <v>#REF!</v>
      </c>
      <c r="AB5" s="75" t="e">
        <f>AA5*$R$14</f>
        <v>#REF!</v>
      </c>
      <c r="AC5" s="75" t="e">
        <f>AB5*$T$14</f>
        <v>#REF!</v>
      </c>
    </row>
    <row r="6" spans="1:29" ht="16.5">
      <c r="C6" s="37" t="s">
        <v>18</v>
      </c>
      <c r="E6" s="341">
        <f>COUNTIFS(General!F:F, "IP CERRADA", General!H:H, "PTE. APROBACION", General!G:G, "IP SIN ORDEN", General!O:O, "&gt;="&amp;DATE(2025,8,1), General!O:O, "&lt;="&amp;DATE(2025,8,31))</f>
        <v>39</v>
      </c>
      <c r="F6" s="341"/>
      <c r="H6" s="342">
        <f>COUNTIFS(General!F:F, "LICITANDO REPUESTOS", General!G:G, "IP SIN ORDEN")</f>
        <v>0</v>
      </c>
      <c r="I6" s="342"/>
      <c r="K6" s="343">
        <f>COUNTIFS(General!F:F, "IP COORDINADA", General!G:G, "IP SIN ORDEN")</f>
        <v>0</v>
      </c>
      <c r="L6" s="343"/>
      <c r="N6" s="30" t="s">
        <v>20</v>
      </c>
      <c r="O6" s="34">
        <f>COUNTIFS(General!F:F, "PENDIENTE DE OFRECIMIENTO")</f>
        <v>0</v>
      </c>
      <c r="Q6" s="11"/>
      <c r="R6" s="14"/>
      <c r="S6" s="346"/>
      <c r="T6" s="347"/>
      <c r="V6" s="120" t="s">
        <v>21</v>
      </c>
      <c r="W6" s="121">
        <v>2500</v>
      </c>
      <c r="X6" s="121">
        <v>2000</v>
      </c>
      <c r="Z6" s="76" t="s">
        <v>22</v>
      </c>
      <c r="AA6" s="77" t="e">
        <f>#REF!</f>
        <v>#REF!</v>
      </c>
      <c r="AB6" s="72" t="e">
        <f>AA6*$R$14</f>
        <v>#REF!</v>
      </c>
      <c r="AC6" s="72" t="e">
        <f>AB6*$T$14</f>
        <v>#REF!</v>
      </c>
    </row>
    <row r="7" spans="1:29" ht="16.5">
      <c r="C7" s="261" t="s">
        <v>21</v>
      </c>
      <c r="E7" s="353">
        <f>COUNTIFS(General!F:F, "IP CERRADA", General!H:H, "PTE. APROBACION", General!G:G, "AMPLIACION", General!O:O, "&gt;="&amp;DATE(2025,8,1), General!O:O, "&lt;="&amp;DATE(2025,8,31))</f>
        <v>23</v>
      </c>
      <c r="F7" s="353"/>
      <c r="H7" s="349">
        <f>COUNTIFS(General!F:F, "LICITANDO REPUESTOS", General!G:G, "AMPLIACION")</f>
        <v>1</v>
      </c>
      <c r="I7" s="349"/>
      <c r="K7" s="350">
        <f>COUNTIFS(General!F:F, "IP COORDINADA", General!G:G, "AMPLIACION")</f>
        <v>0</v>
      </c>
      <c r="L7" s="350"/>
      <c r="N7" s="35" t="s">
        <v>23</v>
      </c>
      <c r="O7" s="36">
        <f>COUNTIFS(General!F:F, "REVISAR MAIL - SIN RESOLVER")</f>
        <v>0</v>
      </c>
      <c r="Q7" s="12"/>
      <c r="R7" s="15"/>
      <c r="S7" s="351"/>
      <c r="T7" s="352"/>
      <c r="V7" s="118" t="s">
        <v>24</v>
      </c>
      <c r="W7" s="119">
        <v>0</v>
      </c>
      <c r="X7" s="119">
        <v>0</v>
      </c>
      <c r="Z7" s="73" t="s">
        <v>25</v>
      </c>
      <c r="AA7" s="74" t="e">
        <f>#REF!</f>
        <v>#REF!</v>
      </c>
      <c r="AB7" s="75" t="e">
        <f>AA7*$R$14</f>
        <v>#REF!</v>
      </c>
      <c r="AC7" s="75" t="e">
        <f>AB7*$T$14</f>
        <v>#REF!</v>
      </c>
    </row>
    <row r="8" spans="1:29" ht="16.5">
      <c r="C8" s="37" t="s">
        <v>24</v>
      </c>
      <c r="E8" s="341">
        <f>COUNTIFS(General!F:F, "IP CERRADA", General!H:H, "PTE. APROBACION", General!G:G, "ENVIO DE ORDEN", General!O:O, "&gt;="&amp;DATE(2025,8,1), General!O:O, "&lt;="&amp;DATE(2025,8,31))</f>
        <v>0</v>
      </c>
      <c r="F8" s="341"/>
      <c r="H8" s="342">
        <f>COUNTIFS(General!F:F, "LICITANDO REPUESTOS", General!G:G, "ENVIO DE ORDEN")</f>
        <v>0</v>
      </c>
      <c r="I8" s="342"/>
      <c r="K8" s="343">
        <f>COUNTIFS(General!F:F, "ENVIO DE ORDEN", General!G:G, "ENVIO DE ORDEN")</f>
        <v>0</v>
      </c>
      <c r="L8" s="343"/>
      <c r="Q8" s="11"/>
      <c r="R8" s="14"/>
      <c r="S8" s="346"/>
      <c r="T8" s="347"/>
      <c r="V8" s="120" t="s">
        <v>26</v>
      </c>
      <c r="W8" s="121">
        <v>1500</v>
      </c>
      <c r="X8" s="121" t="s">
        <v>27</v>
      </c>
      <c r="Z8" s="76" t="s">
        <v>28</v>
      </c>
      <c r="AA8" s="77" t="e">
        <f>#REF!</f>
        <v>#REF!</v>
      </c>
      <c r="AB8" s="72" t="e">
        <f>AA8*$R$14</f>
        <v>#REF!</v>
      </c>
      <c r="AC8" s="72" t="e">
        <f>AB8*$T$14</f>
        <v>#REF!</v>
      </c>
    </row>
    <row r="9" spans="1:29" ht="16.5">
      <c r="C9" s="261" t="s">
        <v>29</v>
      </c>
      <c r="E9" s="353">
        <f>COUNTIFS(General!F:F, "IP CERRADA", General!H:H, "PTE. APROBACION", General!G:G, "IP CAMIONES", General!O:O, "&gt;="&amp;DATE(2025,8,1), General!O:O, "&lt;="&amp;DATE(2025,8,31))</f>
        <v>0</v>
      </c>
      <c r="F9" s="353"/>
      <c r="H9" s="349">
        <f>COUNTIFS(General!F:F, "LICITANDO REPUESTOS", General!G:G, "IP CAMIONES")</f>
        <v>0</v>
      </c>
      <c r="I9" s="349"/>
      <c r="K9" s="350">
        <f>COUNTIFS(General!F:F, "IP COORDINADA", General!G:G, "IP CAMIONES")</f>
        <v>0</v>
      </c>
      <c r="L9" s="350"/>
      <c r="N9" s="115" t="s">
        <v>26</v>
      </c>
      <c r="O9" s="115">
        <f>COUNTIFS(General!F:F, "IP CERRADA", General!H:H, "PTE. APROBACION", General!G:G, "AUSENTE", General!O:O, "&gt;="&amp;DATE(2025,8,1), General!O:O, "&lt;="&amp;DATE(2025,8,31))</f>
        <v>13</v>
      </c>
      <c r="Q9" s="12"/>
      <c r="R9" s="15"/>
      <c r="S9" s="351"/>
      <c r="T9" s="352"/>
      <c r="V9" s="118" t="s">
        <v>30</v>
      </c>
      <c r="W9" s="119">
        <v>5625</v>
      </c>
      <c r="X9" s="119">
        <v>5625</v>
      </c>
      <c r="Z9" s="73" t="s">
        <v>31</v>
      </c>
      <c r="AA9" s="74" t="e">
        <f>#REF!</f>
        <v>#REF!</v>
      </c>
      <c r="AB9" s="75" t="e">
        <f>AA9*$R$14</f>
        <v>#REF!</v>
      </c>
      <c r="AC9" s="75" t="e">
        <f>AB9*$T$14</f>
        <v>#REF!</v>
      </c>
    </row>
    <row r="10" spans="1:29" ht="16.5">
      <c r="C10" s="37" t="s">
        <v>30</v>
      </c>
      <c r="E10" s="341">
        <f>COUNTIFS(General!F:F, "IP CERRADA", General!H:H, "PTE. APROBACION", General!G:G, "TERCEROS", General!O:O, "&gt;="&amp;DATE(2024,3,1), General!O:O, "&gt;="&amp;DATE(2025,8,1), General!O:O, "&lt;="&amp;DATE(2025,8,31))</f>
        <v>3</v>
      </c>
      <c r="F10" s="341"/>
      <c r="H10" s="342">
        <f>COUNTIFS(General!F:F, "LICITANDO REPUESTOS", General!G:G, "TERCEROS")</f>
        <v>0</v>
      </c>
      <c r="I10" s="342"/>
      <c r="K10" s="343">
        <f>COUNTIFS(General!F:F, "IP COORDINADA", General!G:G, "TERCEROS")</f>
        <v>0</v>
      </c>
      <c r="L10" s="343"/>
      <c r="N10" s="114"/>
      <c r="O10" s="49"/>
      <c r="Q10" s="11"/>
      <c r="R10" s="14"/>
      <c r="S10" s="346"/>
      <c r="T10" s="347"/>
      <c r="V10" s="120" t="s">
        <v>32</v>
      </c>
      <c r="W10" s="121">
        <v>0</v>
      </c>
      <c r="X10" s="121">
        <v>0</v>
      </c>
      <c r="Z10" s="76" t="s">
        <v>33</v>
      </c>
      <c r="AA10" s="77" t="e">
        <f>#REF!</f>
        <v>#REF!</v>
      </c>
      <c r="AB10" s="78" t="e">
        <f>AA10*$R$14</f>
        <v>#REF!</v>
      </c>
      <c r="AC10" s="78" t="e">
        <f>AB10*$T$14</f>
        <v>#REF!</v>
      </c>
    </row>
    <row r="11" spans="1:29" ht="16.5">
      <c r="C11" s="261" t="s">
        <v>32</v>
      </c>
      <c r="E11" s="353">
        <f>COUNTIFS(General!F:F, "IP CERRADA", General!H:H, "PTE. APROBACION", General!G:G, "FOTOS", General!O:O, "&gt;="&amp;DATE(2025,8,1), General!O:O, "&lt;="&amp;DATE(2025,8,31))</f>
        <v>0</v>
      </c>
      <c r="F11" s="353"/>
      <c r="H11" s="349">
        <f>COUNTIFS(General!F:F, "LICITANDO REPUESTOS", General!G:G, "FOTOS")</f>
        <v>0</v>
      </c>
      <c r="I11" s="349"/>
      <c r="K11" s="350">
        <f>COUNTIFS(General!F:F, "IP COORDINADA", General!G:G, "FOTOS")</f>
        <v>0</v>
      </c>
      <c r="L11" s="350"/>
      <c r="Q11" s="12"/>
      <c r="R11" s="15"/>
      <c r="S11" s="351"/>
      <c r="T11" s="352"/>
      <c r="V11" s="118" t="s">
        <v>34</v>
      </c>
      <c r="W11" s="119">
        <v>0</v>
      </c>
      <c r="X11" s="119">
        <v>0</v>
      </c>
      <c r="Z11" s="79" t="s">
        <v>35</v>
      </c>
      <c r="AA11" s="80" t="e">
        <f>#REF!</f>
        <v>#REF!</v>
      </c>
      <c r="AB11" s="81" t="e">
        <f>AA11*$R$14</f>
        <v>#REF!</v>
      </c>
      <c r="AC11" s="81" t="e">
        <f>AB11*$T$14</f>
        <v>#REF!</v>
      </c>
    </row>
    <row r="12" spans="1:29" ht="16.5">
      <c r="C12" s="37" t="s">
        <v>34</v>
      </c>
      <c r="E12" s="341">
        <f>COUNTIFS(General!F:F, "IP CERRADA", General!H:H, "PTE. APROBACION", General!G:G, "IP REMOTA", General!O:O, "&gt;="&amp;DATE(2025,8,1), General!O:O, "&lt;="&amp;DATE(2025,8,31))</f>
        <v>0</v>
      </c>
      <c r="F12" s="341"/>
      <c r="H12" s="342">
        <f>COUNTIFS(General!F:F, "LICITANDO REPUESTOS", General!G:G, "IP REMOTA")</f>
        <v>0</v>
      </c>
      <c r="I12" s="342"/>
      <c r="K12" s="343">
        <f>COUNTIFS(General!F:F, "IP COORDINADA", General!G:G, "IP REMOTA")</f>
        <v>0</v>
      </c>
      <c r="L12" s="343"/>
      <c r="N12" s="344" t="s">
        <v>36</v>
      </c>
      <c r="O12" s="345"/>
      <c r="Q12" s="11"/>
      <c r="R12" s="14"/>
      <c r="S12" s="346"/>
      <c r="T12" s="347"/>
      <c r="V12" s="120" t="s">
        <v>29</v>
      </c>
      <c r="W12" s="121">
        <v>5625</v>
      </c>
      <c r="X12" s="121">
        <v>5250</v>
      </c>
      <c r="Z12" s="82"/>
      <c r="AA12" s="83"/>
      <c r="AB12" s="84"/>
      <c r="AC12" s="84"/>
    </row>
    <row r="13" spans="1:29" ht="16.5">
      <c r="C13" s="261" t="s">
        <v>37</v>
      </c>
      <c r="E13" s="348">
        <f>COUNTIFS(General!F:F, "IP CERRADA", General!H:H, "PTE. APROBACION", General!G:G, "IP VIRTUAL", General!O:O, "&gt;="&amp;DATE(2025,8,1), General!O:O, "&lt;="&amp;DATE(2025,8,31))</f>
        <v>0</v>
      </c>
      <c r="F13" s="348"/>
      <c r="H13" s="349">
        <f>COUNTIFS(General!F:F, "LICITANDO REPUESTOS", General!G:G, "IP VIRTUAL")</f>
        <v>0</v>
      </c>
      <c r="I13" s="349"/>
      <c r="K13" s="350">
        <f>COUNTIFS(General!F:F, "IP COORDINADA", General!G:G, "IP VIRTUAL")</f>
        <v>0</v>
      </c>
      <c r="L13" s="350"/>
      <c r="N13" s="344">
        <f>SUMIFS(General!P2:P2771, General!L2:L2771, "&gt;=01/06/2024", General!L2:L2771, "&lt;=31/06/2024")</f>
        <v>0</v>
      </c>
      <c r="O13" s="345"/>
      <c r="Q13" s="12"/>
      <c r="R13" s="15"/>
      <c r="S13" s="351"/>
      <c r="T13" s="352"/>
      <c r="V13" s="118" t="s">
        <v>37</v>
      </c>
      <c r="W13" s="119" t="s">
        <v>27</v>
      </c>
      <c r="X13" s="119" t="s">
        <v>27</v>
      </c>
      <c r="Z13" s="85"/>
      <c r="AA13" s="86"/>
      <c r="AB13" s="87"/>
      <c r="AC13" s="87"/>
    </row>
    <row r="14" spans="1:29" ht="16.5">
      <c r="E14" s="112">
        <f>E4+E5+E6+E7+E8+E9+E10+E11+E12+E13</f>
        <v>175</v>
      </c>
      <c r="F14" s="113" t="s">
        <v>38</v>
      </c>
      <c r="H14" s="110">
        <f>H4+H5+H6+H7+H8+H9+H10+H11+H12+H13</f>
        <v>16</v>
      </c>
      <c r="I14" s="111" t="s">
        <v>38</v>
      </c>
      <c r="K14" s="260">
        <f>K4+K5+K6+K7+K8+K9+K10+K11+K12+K13</f>
        <v>34</v>
      </c>
      <c r="L14" s="109" t="s">
        <v>38</v>
      </c>
      <c r="N14" s="332">
        <f>N13*T14</f>
        <v>0</v>
      </c>
      <c r="O14" s="333"/>
      <c r="Q14" s="62"/>
      <c r="R14" s="63"/>
      <c r="S14" s="334"/>
      <c r="T14" s="335"/>
      <c r="V14" s="118"/>
      <c r="W14" s="119"/>
      <c r="X14" s="119"/>
      <c r="Z14" s="85"/>
      <c r="AA14" s="86"/>
      <c r="AB14" s="87"/>
      <c r="AC14" s="87"/>
    </row>
    <row r="15" spans="1:29">
      <c r="E15" s="19"/>
      <c r="F15" s="19"/>
      <c r="V15" s="118"/>
      <c r="W15" s="119"/>
      <c r="X15" s="119"/>
      <c r="Z15" s="82"/>
      <c r="AA15" s="88"/>
      <c r="AB15" s="89"/>
      <c r="AC15" s="89"/>
    </row>
    <row r="16" spans="1:29" ht="16.5">
      <c r="E16" s="336" t="s">
        <v>39</v>
      </c>
      <c r="F16" s="336"/>
      <c r="H16" s="337" t="s">
        <v>40</v>
      </c>
      <c r="I16" s="337"/>
      <c r="K16" s="338" t="s">
        <v>41</v>
      </c>
      <c r="L16" s="338"/>
      <c r="N16" s="28" t="s">
        <v>42</v>
      </c>
      <c r="O16" s="253">
        <f>COUNTIFS(General!H:H, "EN TRAMITE")</f>
        <v>98</v>
      </c>
      <c r="V16" s="122" t="s">
        <v>43</v>
      </c>
      <c r="W16" s="123">
        <v>300</v>
      </c>
      <c r="X16" s="123" t="s">
        <v>27</v>
      </c>
      <c r="Z16" s="90" t="s">
        <v>44</v>
      </c>
      <c r="AA16" s="91" t="e">
        <f>AA4+AA5+AA6+AA7+AA8+AA9+AA10+AA11</f>
        <v>#REF!</v>
      </c>
      <c r="AB16" s="92" t="e">
        <f>AB4+AB5+AB6+AB7+AB8+AB9+AB10+AB11</f>
        <v>#REF!</v>
      </c>
      <c r="AC16" s="93" t="e">
        <f>AC4+AC5+AC6+AC7+AC8+AC9+AC10+AC11</f>
        <v>#REF!</v>
      </c>
    </row>
    <row r="17" spans="3:24" ht="16.5">
      <c r="E17" s="336">
        <f>E4+E5+E6+E7+E8+E9+E10+E12+O9+E13</f>
        <v>188</v>
      </c>
      <c r="F17" s="336"/>
      <c r="H17" s="337">
        <f>H4+H5+H6+H7+H8+H9+H10+H11+H12+H13</f>
        <v>16</v>
      </c>
      <c r="I17" s="337"/>
      <c r="K17" s="338">
        <f>K4+K5+K6+K7+K8+K9+K10+K11+K12+K13</f>
        <v>34</v>
      </c>
      <c r="L17" s="338"/>
      <c r="N17" s="28" t="s">
        <v>45</v>
      </c>
      <c r="O17" s="253">
        <f>COUNTIFS(General!H:H, "PTE. APROBACION")</f>
        <v>3403</v>
      </c>
      <c r="Q17" s="339" t="s">
        <v>46</v>
      </c>
      <c r="R17" s="340"/>
      <c r="S17" s="340"/>
      <c r="T17" s="340"/>
    </row>
    <row r="18" spans="3:24" ht="16.5">
      <c r="N18" s="102" t="s">
        <v>47</v>
      </c>
      <c r="O18" s="253">
        <f>COUNTIFS(General!H:H, "ANULADO")</f>
        <v>198</v>
      </c>
      <c r="Q18" s="315" t="s">
        <v>48</v>
      </c>
      <c r="R18" s="316"/>
      <c r="S18" s="315" t="s">
        <v>12</v>
      </c>
      <c r="T18" s="319"/>
      <c r="V18" s="108" t="s">
        <v>10</v>
      </c>
      <c r="W18" s="103">
        <f>COUNTIFS(General!F:F, "PARA FACTURAR", General!G:G, "IP CON ORDEN")</f>
        <v>13</v>
      </c>
      <c r="X18" s="107"/>
    </row>
    <row r="19" spans="3:24" ht="15" customHeight="1">
      <c r="C19" s="321" t="s">
        <v>49</v>
      </c>
      <c r="D19" s="321"/>
      <c r="E19" s="257">
        <f>E21+E22+E23+E24+E25+E26+E27+E28+E29+E30+E31+E32</f>
        <v>3248</v>
      </c>
      <c r="H19" s="322" t="s">
        <v>50</v>
      </c>
      <c r="I19" s="323"/>
      <c r="N19" s="101" t="s">
        <v>51</v>
      </c>
      <c r="O19" s="101">
        <f>COUNTIFS(General!F:F, "PARA FACTURAR")</f>
        <v>22</v>
      </c>
      <c r="Q19" s="317"/>
      <c r="R19" s="318"/>
      <c r="S19" s="317"/>
      <c r="T19" s="320"/>
      <c r="V19" s="108" t="s">
        <v>15</v>
      </c>
      <c r="W19" s="103">
        <f>COUNTIFS(General!F:F, "PARA FACTURAR", General!G:G, "POSIBLE DT")</f>
        <v>2</v>
      </c>
      <c r="X19" s="107"/>
    </row>
    <row r="20" spans="3:24" ht="16.5">
      <c r="C20" s="324" t="s">
        <v>52</v>
      </c>
      <c r="D20" s="325"/>
      <c r="E20" s="216" t="s">
        <v>53</v>
      </c>
      <c r="H20" s="326">
        <f>E17+H17+K17+O19</f>
        <v>260</v>
      </c>
      <c r="I20" s="327"/>
      <c r="Q20" s="328" t="s">
        <v>35</v>
      </c>
      <c r="R20" s="329"/>
      <c r="S20" s="330"/>
      <c r="T20" s="331"/>
      <c r="V20" s="108" t="s">
        <v>18</v>
      </c>
      <c r="W20" s="103">
        <f>COUNTIFS(General!F:F, "PARA FACTURAR", General!G:G, "IP SIN ORDEN")</f>
        <v>6</v>
      </c>
      <c r="X20" s="107"/>
    </row>
    <row r="21" spans="3:24" ht="16.5">
      <c r="C21" s="313" t="s">
        <v>54</v>
      </c>
      <c r="D21" s="314"/>
      <c r="E21" s="219">
        <f>COUNTIFS(General!B:B, "&gt;="&amp;DATE(2025,1,1), General!B:B, "&lt;="&amp;DATE(2025,1,31))</f>
        <v>260</v>
      </c>
      <c r="F21" s="217" t="e">
        <f>(E21-E36)/E36</f>
        <v>#DIV/0!</v>
      </c>
      <c r="Q21" s="295" t="s">
        <v>19</v>
      </c>
      <c r="R21" s="296"/>
      <c r="S21" s="280">
        <f>PeritosAgosto!H21</f>
        <v>10875</v>
      </c>
      <c r="T21" s="281"/>
      <c r="V21" s="108" t="s">
        <v>21</v>
      </c>
      <c r="W21" s="103">
        <f>COUNTIFS(General!F:F, "PARA FACTURAR", General!G:G, "AMPLIACION")</f>
        <v>1</v>
      </c>
      <c r="X21" s="107"/>
    </row>
    <row r="22" spans="3:24" ht="16.5">
      <c r="C22" s="306" t="s">
        <v>55</v>
      </c>
      <c r="D22" s="310"/>
      <c r="E22" s="220">
        <f>COUNTIFS(General!B:B, "&gt;="&amp;DATE(2025,2,1), General!B:B, "&lt;="&amp;DATE(2025,2,31))</f>
        <v>194</v>
      </c>
      <c r="F22" s="217" t="e">
        <f>(E22-E37)/E37</f>
        <v>#DIV/0!</v>
      </c>
      <c r="H22" s="67"/>
      <c r="I22" s="67"/>
      <c r="Q22" s="299" t="s">
        <v>22</v>
      </c>
      <c r="R22" s="300"/>
      <c r="S22" s="301"/>
      <c r="T22" s="302"/>
      <c r="V22" s="108" t="s">
        <v>24</v>
      </c>
      <c r="W22" s="103">
        <f>COUNTIFS(General!F:F, "PARA FACTURAR", General!G:G, "ENVIO DE ORDEN")</f>
        <v>0</v>
      </c>
      <c r="X22" s="107"/>
    </row>
    <row r="23" spans="3:24" ht="16.5">
      <c r="C23" s="308" t="s">
        <v>56</v>
      </c>
      <c r="D23" s="309"/>
      <c r="E23" s="221">
        <f>COUNTIFS(General!B:B, "&gt;="&amp;DATE(2025,3,1), General!B:B, "&lt;="&amp;DATE(2025,3,31))</f>
        <v>219</v>
      </c>
      <c r="F23" s="217" t="e">
        <f>(E23-E38)/E38</f>
        <v>#DIV/0!</v>
      </c>
      <c r="H23" s="67"/>
      <c r="I23" s="67"/>
      <c r="Q23" s="295" t="s">
        <v>25</v>
      </c>
      <c r="R23" s="296"/>
      <c r="S23" s="280"/>
      <c r="T23" s="281"/>
      <c r="V23" s="108" t="s">
        <v>29</v>
      </c>
      <c r="W23" s="103">
        <f>COUNTIFS(General!F:F, "PARA FACTURAR", General!G:G, "IP CAMIONES")</f>
        <v>0</v>
      </c>
      <c r="X23" s="107"/>
    </row>
    <row r="24" spans="3:24" ht="16.5">
      <c r="C24" s="306" t="s">
        <v>57</v>
      </c>
      <c r="D24" s="310"/>
      <c r="E24" s="220">
        <f>COUNTIFS(General!B:B, "&gt;="&amp;DATE(2025,4,1), General!B:B, "&lt;="&amp;DATE(2025,4,31))</f>
        <v>541</v>
      </c>
      <c r="F24" s="217" t="e">
        <f>(E24-E39)/E39</f>
        <v>#DIV/0!</v>
      </c>
      <c r="H24" s="312" t="s">
        <v>58</v>
      </c>
      <c r="I24" s="312"/>
      <c r="Q24" s="299" t="s">
        <v>59</v>
      </c>
      <c r="R24" s="300"/>
      <c r="S24" s="301">
        <f>PeritosAgosto!AB21</f>
        <v>321250</v>
      </c>
      <c r="T24" s="302"/>
      <c r="V24" s="108" t="s">
        <v>30</v>
      </c>
      <c r="W24" s="103">
        <f>COUNTIFS(General!F:F, "PARA FACTURAR", General!G:G, "TERCEROS")</f>
        <v>0</v>
      </c>
      <c r="X24" s="107"/>
    </row>
    <row r="25" spans="3:24" ht="16.5">
      <c r="C25" s="308" t="s">
        <v>60</v>
      </c>
      <c r="D25" s="309"/>
      <c r="E25" s="221">
        <f>COUNTIFS(General!B:B, "&gt;="&amp;DATE(2025,5,1), General!B:B, "&lt;="&amp;DATE(2025,5,31))</f>
        <v>548</v>
      </c>
      <c r="F25" s="217" t="e">
        <f>(E25-E40)/E40</f>
        <v>#DIV/0!</v>
      </c>
      <c r="H25" s="294" t="s">
        <v>61</v>
      </c>
      <c r="I25" s="294"/>
      <c r="K25" s="158">
        <f>AVERAGEIFS(General!S:S,General!B:B,"&gt;="&amp;DATE(2025,5,1),General!B:B,"&lt;="&amp;DATE(2025,5,31),General!F:F,"IP CERRADA")</f>
        <v>4.3580952380952382</v>
      </c>
      <c r="Q25" s="295" t="s">
        <v>31</v>
      </c>
      <c r="R25" s="296"/>
      <c r="S25" s="280"/>
      <c r="T25" s="281"/>
      <c r="V25" s="108" t="s">
        <v>32</v>
      </c>
      <c r="W25" s="103">
        <f>COUNTIFS(General!F:F, "PARA FACTURAR", General!G:G, "FOTOS")</f>
        <v>0</v>
      </c>
      <c r="X25" s="107"/>
    </row>
    <row r="26" spans="3:24" ht="16.5">
      <c r="C26" s="306" t="s">
        <v>62</v>
      </c>
      <c r="D26" s="310"/>
      <c r="E26" s="220">
        <f>COUNTIFS(General!B:B, "&gt;="&amp;DATE(2025,6,1), General!B:B, "&lt;="&amp;DATE(2025,6,31))</f>
        <v>258</v>
      </c>
      <c r="F26" s="217" t="e">
        <f>(E26-E41)/E41</f>
        <v>#DIV/0!</v>
      </c>
      <c r="H26" s="311" t="s">
        <v>63</v>
      </c>
      <c r="I26" s="311"/>
      <c r="K26" s="158">
        <f>AVERAGEIFS(General!T:T,General!B:B,"&gt;="&amp;DATE(2025,5,1),General!B:B,"&lt;="&amp;DATE(2025,5,31),General!F:F,"IP CERRADA")</f>
        <v>1.0361904761904761</v>
      </c>
      <c r="Q26" s="299" t="s">
        <v>33</v>
      </c>
      <c r="R26" s="300"/>
      <c r="S26" s="301"/>
      <c r="T26" s="302"/>
      <c r="V26" s="108" t="s">
        <v>34</v>
      </c>
      <c r="W26" s="103">
        <f>COUNTIFS(General!F:F, "PARA FACTURAR", General!G:G, "IP REMOTA")</f>
        <v>0</v>
      </c>
      <c r="X26" s="107"/>
    </row>
    <row r="27" spans="3:24" ht="16.5">
      <c r="C27" s="303" t="s">
        <v>64</v>
      </c>
      <c r="D27" s="304"/>
      <c r="E27" s="222">
        <f>COUNTIFS(General!B:B, "&gt;="&amp;DATE(2025,7,1), General!B:B, "&lt;="&amp;DATE(2025,7,31))</f>
        <v>275</v>
      </c>
      <c r="F27" s="217" t="e">
        <f>(E27-E42)/E42</f>
        <v>#DIV/0!</v>
      </c>
      <c r="H27" s="305" t="s">
        <v>65</v>
      </c>
      <c r="I27" s="305"/>
      <c r="K27" s="158">
        <f>AVERAGEIFS(General!U:U,General!B:B,"&gt;="&amp;DATE(2025,5,1),General!B:B,"&lt;="&amp;DATE(2025,5,31),General!F:F,"IP CERRADA")</f>
        <v>174.93548387096774</v>
      </c>
      <c r="Q27" s="295" t="s">
        <v>66</v>
      </c>
      <c r="R27" s="296"/>
      <c r="S27" s="280">
        <f>PeritosAgosto!M21</f>
        <v>880125</v>
      </c>
      <c r="T27" s="281"/>
      <c r="V27" s="108" t="s">
        <v>37</v>
      </c>
      <c r="W27" s="103">
        <f>COUNTIFS(General!F:F, "PARA FACTURAR", General!G:G, "IP VIRTUAL")</f>
        <v>0</v>
      </c>
      <c r="X27" s="107"/>
    </row>
    <row r="28" spans="3:24" ht="16.5">
      <c r="C28" s="306" t="s">
        <v>67</v>
      </c>
      <c r="D28" s="307"/>
      <c r="E28" s="220">
        <f>COUNTIFS(General!B:B, "&gt;="&amp;DATE(2025,8,1), General!B:B, "&lt;="&amp;DATE(2025,8,31))</f>
        <v>194</v>
      </c>
      <c r="F28" s="218" t="e">
        <f>(E28-E43)/E43</f>
        <v>#DIV/0!</v>
      </c>
      <c r="H28" s="294" t="s">
        <v>68</v>
      </c>
      <c r="I28" s="294"/>
      <c r="K28" s="158">
        <f>AVERAGEIFS(General!V:V,General!B:B,"&gt;="&amp;DATE(2025,5,1),General!B:B,"&lt;="&amp;DATE(2025,5,31),General!F:F,"IP CERRADA")</f>
        <v>6.5332068311195446</v>
      </c>
      <c r="Q28" s="299" t="s">
        <v>69</v>
      </c>
      <c r="R28" s="300"/>
      <c r="S28" s="301"/>
      <c r="T28" s="302"/>
      <c r="V28" s="108" t="s">
        <v>70</v>
      </c>
      <c r="W28" s="103">
        <f>COUNTIFS(General!F:F, "PARA FACTURAR", General!G:G, "SIN HONORARIOS")</f>
        <v>0</v>
      </c>
      <c r="X28" s="107"/>
    </row>
    <row r="29" spans="3:24" ht="16.5">
      <c r="C29" s="292" t="s">
        <v>71</v>
      </c>
      <c r="D29" s="293"/>
      <c r="E29" s="223">
        <f>COUNTIFS(General!B:B, "&gt;="&amp;DATE(2025,9,1), General!B:B, "&lt;="&amp;DATE(2025,9,31))</f>
        <v>206</v>
      </c>
      <c r="F29" s="218" t="e">
        <f>(E29-E44)/E44</f>
        <v>#DIV/0!</v>
      </c>
      <c r="H29" s="294" t="s">
        <v>72</v>
      </c>
      <c r="I29" s="294"/>
      <c r="J29" s="65"/>
      <c r="K29" s="158">
        <f>AVERAGEIFS(General!W:W,General!B:B,"&gt;="&amp;DATE(2025,5,1),General!B:B,"&lt;="&amp;DATE(2025,5,31),General!F:F,"IP CERRADA")</f>
        <v>175.96774193548387</v>
      </c>
      <c r="Q29" s="295" t="s">
        <v>16</v>
      </c>
      <c r="R29" s="296"/>
      <c r="S29" s="280">
        <f>PeritosAgosto!W21</f>
        <v>547500</v>
      </c>
      <c r="T29" s="281"/>
      <c r="V29" s="108" t="s">
        <v>26</v>
      </c>
      <c r="W29" s="103">
        <f>COUNTIFS(General!F:F, "PARA FACTURAR", General!G:G, "AUSENTE")</f>
        <v>0</v>
      </c>
      <c r="X29" s="107"/>
    </row>
    <row r="30" spans="3:24">
      <c r="C30" s="297" t="s">
        <v>73</v>
      </c>
      <c r="D30" s="298"/>
      <c r="E30" s="220">
        <f>COUNTIFS(General!B:B, "&gt;="&amp;DATE(2025,10,1), General!B:B, "&lt;="&amp;DATE(2025,10,31))</f>
        <v>217</v>
      </c>
      <c r="F30" s="218" t="e">
        <f>(E30-E45)/E45</f>
        <v>#DIV/0!</v>
      </c>
      <c r="H30" s="294" t="s">
        <v>74</v>
      </c>
      <c r="I30" s="294"/>
      <c r="J30" s="65"/>
      <c r="K30" s="158">
        <f>AVERAGEIFS(General!X:X,General!B:B,"&gt;="&amp;DATE(2025,5,1),General!B:B,"&lt;="&amp;DATE(2025,5,31),General!F:F,"IP CERRADA")</f>
        <v>7.6228571428571428</v>
      </c>
      <c r="L30" s="67"/>
      <c r="Q30" s="299" t="s">
        <v>75</v>
      </c>
      <c r="R30" s="300"/>
      <c r="S30" s="301"/>
      <c r="T30" s="302"/>
    </row>
    <row r="31" spans="3:24">
      <c r="C31" s="276" t="s">
        <v>76</v>
      </c>
      <c r="D31" s="277"/>
      <c r="E31" s="224">
        <f>COUNTIFS(General!B:B, "&gt;="&amp;DATE(2025,11,1), General!B:B, "&lt;="&amp;DATE(2025,11,31))</f>
        <v>147</v>
      </c>
      <c r="F31" s="218" t="e">
        <f>(E31-E46)/E46</f>
        <v>#DIV/0!</v>
      </c>
      <c r="H31" s="64"/>
      <c r="I31" s="64"/>
      <c r="J31" s="65"/>
      <c r="K31" s="65"/>
      <c r="L31" s="66"/>
      <c r="Q31" s="278" t="s">
        <v>77</v>
      </c>
      <c r="R31" s="279"/>
      <c r="S31" s="280"/>
      <c r="T31" s="281"/>
      <c r="V31" s="282" t="s">
        <v>78</v>
      </c>
      <c r="W31" s="283"/>
    </row>
    <row r="32" spans="3:24">
      <c r="C32" s="284" t="s">
        <v>79</v>
      </c>
      <c r="D32" s="285"/>
      <c r="E32" s="225">
        <f>COUNTIFS(General!B:B, "&gt;="&amp;DATE(2025,12,1), General!B:B, "&lt;="&amp;DATE(2025,12,31))</f>
        <v>189</v>
      </c>
      <c r="F32" s="218" t="e">
        <f>(E32-E47)/E47</f>
        <v>#DIV/0!</v>
      </c>
      <c r="H32" s="64"/>
      <c r="I32" s="64"/>
      <c r="J32" s="65"/>
      <c r="K32" s="65"/>
      <c r="L32" s="67"/>
      <c r="Q32" s="286" t="s">
        <v>44</v>
      </c>
      <c r="R32" s="287"/>
      <c r="S32" s="288">
        <f>S20+S21+S22+S23+S24+S25+S26+S27+S28+S29</f>
        <v>1759750</v>
      </c>
      <c r="T32" s="289"/>
      <c r="V32" s="290">
        <f>W18+W19+W20+W21+W22+W23+W24+W25+W26+W27+W28+W29</f>
        <v>22</v>
      </c>
      <c r="W32" s="291"/>
    </row>
    <row r="33" spans="3:12">
      <c r="L33" s="104"/>
    </row>
    <row r="34" spans="3:12" ht="18.75" customHeight="1">
      <c r="C34" s="270" t="s">
        <v>80</v>
      </c>
      <c r="D34" s="271"/>
      <c r="E34" s="257">
        <f>E36+E37+E38+E39+E40+E41+E42+E43+E44+E45+E46+E47</f>
        <v>0</v>
      </c>
      <c r="H34" s="68"/>
      <c r="I34" s="68"/>
      <c r="J34" s="69"/>
      <c r="K34" s="69"/>
    </row>
    <row r="35" spans="3:12" ht="15" customHeight="1">
      <c r="C35" s="272" t="s">
        <v>81</v>
      </c>
      <c r="D35" s="273"/>
      <c r="E35" s="135" t="s">
        <v>53</v>
      </c>
      <c r="H35" s="68"/>
      <c r="I35" s="68"/>
      <c r="J35" s="69"/>
      <c r="K35" s="69"/>
    </row>
    <row r="36" spans="3:12">
      <c r="C36" s="274" t="s">
        <v>54</v>
      </c>
      <c r="D36" s="275"/>
      <c r="E36" s="131">
        <f>COUNTIFS(General!B:B, "&gt;="&amp;DATE(2024,1,1), General!B:B, "&lt;="&amp;DATE(2024,1,31))</f>
        <v>0</v>
      </c>
    </row>
    <row r="37" spans="3:12">
      <c r="C37" s="266" t="s">
        <v>55</v>
      </c>
      <c r="D37" s="267"/>
      <c r="E37" s="132">
        <f>COUNTIFS(General!B:B, "&gt;="&amp;DATE(2024,2,1), General!B:B, "&lt;="&amp;DATE(2024,2,31))</f>
        <v>0</v>
      </c>
    </row>
    <row r="38" spans="3:12">
      <c r="C38" s="262" t="s">
        <v>56</v>
      </c>
      <c r="D38" s="263"/>
      <c r="E38" s="133">
        <f>COUNTIFS(General!B:B, "&gt;="&amp;DATE(2024,3,1), General!B:B, "&lt;="&amp;DATE(2024,3,31))</f>
        <v>0</v>
      </c>
    </row>
    <row r="39" spans="3:12">
      <c r="C39" s="266" t="s">
        <v>57</v>
      </c>
      <c r="D39" s="267"/>
      <c r="E39" s="132">
        <f>COUNTIFS(General!B:B, "&gt;="&amp;DATE(2024,4,1), General!B:B, "&lt;="&amp;DATE(2024,4,31))</f>
        <v>0</v>
      </c>
    </row>
    <row r="40" spans="3:12">
      <c r="C40" s="262" t="s">
        <v>60</v>
      </c>
      <c r="D40" s="263"/>
      <c r="E40" s="133">
        <f>COUNTIFS(General!B:B, "&gt;="&amp;DATE(2024,5,1), General!B:B, "&lt;="&amp;DATE(2024,5,31))</f>
        <v>0</v>
      </c>
    </row>
    <row r="41" spans="3:12">
      <c r="C41" s="266" t="s">
        <v>62</v>
      </c>
      <c r="D41" s="267"/>
      <c r="E41" s="132">
        <f>COUNTIFS(General!B:B, "&gt;="&amp;DATE(2024,6,1), General!B:B, "&lt;="&amp;DATE(2024,6,31))</f>
        <v>0</v>
      </c>
    </row>
    <row r="42" spans="3:12">
      <c r="C42" s="262" t="s">
        <v>64</v>
      </c>
      <c r="D42" s="263"/>
      <c r="E42" s="138">
        <f>COUNTIFS(General!B:B, "&gt;="&amp;DATE(2024,7,1), General!B:B, "&lt;="&amp;DATE(2024,7,31))</f>
        <v>0</v>
      </c>
    </row>
    <row r="43" spans="3:12">
      <c r="C43" s="266" t="s">
        <v>67</v>
      </c>
      <c r="D43" s="267"/>
      <c r="E43" s="132">
        <f>COUNTIFS(General!B:B, "&gt;="&amp;DATE(2024,8,1), General!B:B, "&lt;="&amp;DATE(2024,8,31))</f>
        <v>0</v>
      </c>
    </row>
    <row r="44" spans="3:12">
      <c r="C44" s="262" t="s">
        <v>71</v>
      </c>
      <c r="D44" s="263"/>
      <c r="E44" s="139">
        <f>COUNTIFS(General!B:B, "&gt;="&amp;DATE(2024,9,1), General!B:B, "&lt;="&amp;DATE(2024,9,31))</f>
        <v>0</v>
      </c>
    </row>
    <row r="45" spans="3:12">
      <c r="C45" s="268" t="s">
        <v>73</v>
      </c>
      <c r="D45" s="269"/>
      <c r="E45" s="132">
        <f>COUNTIFS(General!B:B, "&gt;="&amp;DATE(2024,10,1), General!B:B, "&lt;="&amp;DATE(2024,10,31))</f>
        <v>0</v>
      </c>
    </row>
    <row r="46" spans="3:12">
      <c r="C46" s="262" t="s">
        <v>76</v>
      </c>
      <c r="D46" s="263"/>
      <c r="E46" s="137">
        <f>COUNTIFS(General!B:B, "&gt;="&amp;DATE(2024,11,1), General!B:B, "&lt;="&amp;DATE(2024,11,31))</f>
        <v>0</v>
      </c>
    </row>
    <row r="47" spans="3:12">
      <c r="C47" s="264" t="s">
        <v>79</v>
      </c>
      <c r="D47" s="265"/>
      <c r="E47" s="134">
        <f>COUNTIFS(General!B:B, "&gt;="&amp;DATE(2024,12,1), General!B:B, "&lt;="&amp;DATE(2024,12,31))</f>
        <v>0</v>
      </c>
    </row>
  </sheetData>
  <mergeCells count="131">
    <mergeCell ref="C46:D46"/>
    <mergeCell ref="C47:D47"/>
    <mergeCell ref="C40:D40"/>
    <mergeCell ref="C41:D41"/>
    <mergeCell ref="C42:D42"/>
    <mergeCell ref="C43:D43"/>
    <mergeCell ref="C44:D44"/>
    <mergeCell ref="C45:D45"/>
    <mergeCell ref="C34:D34"/>
    <mergeCell ref="C35:D35"/>
    <mergeCell ref="C36:D36"/>
    <mergeCell ref="C37:D37"/>
    <mergeCell ref="C38:D38"/>
    <mergeCell ref="C39:D39"/>
    <mergeCell ref="C31:D31"/>
    <mergeCell ref="Q31:R31"/>
    <mergeCell ref="S31:T31"/>
    <mergeCell ref="V31:W31"/>
    <mergeCell ref="C32:D32"/>
    <mergeCell ref="Q32:R32"/>
    <mergeCell ref="S32:T32"/>
    <mergeCell ref="V32:W32"/>
    <mergeCell ref="C29:D29"/>
    <mergeCell ref="H29:I29"/>
    <mergeCell ref="Q29:R29"/>
    <mergeCell ref="S29:T29"/>
    <mergeCell ref="C30:D30"/>
    <mergeCell ref="H30:I30"/>
    <mergeCell ref="Q30:R30"/>
    <mergeCell ref="S30:T30"/>
    <mergeCell ref="C27:D27"/>
    <mergeCell ref="H27:I27"/>
    <mergeCell ref="Q27:R27"/>
    <mergeCell ref="S27:T27"/>
    <mergeCell ref="C28:D28"/>
    <mergeCell ref="H28:I28"/>
    <mergeCell ref="Q28:R28"/>
    <mergeCell ref="S28:T28"/>
    <mergeCell ref="C25:D25"/>
    <mergeCell ref="H25:I25"/>
    <mergeCell ref="Q25:R25"/>
    <mergeCell ref="S25:T25"/>
    <mergeCell ref="C26:D26"/>
    <mergeCell ref="H26:I26"/>
    <mergeCell ref="Q26:R26"/>
    <mergeCell ref="S26:T26"/>
    <mergeCell ref="C23:D23"/>
    <mergeCell ref="Q23:R23"/>
    <mergeCell ref="S23:T23"/>
    <mergeCell ref="C24:D24"/>
    <mergeCell ref="H24:I24"/>
    <mergeCell ref="Q24:R24"/>
    <mergeCell ref="S24:T24"/>
    <mergeCell ref="C21:D21"/>
    <mergeCell ref="Q21:R21"/>
    <mergeCell ref="S21:T21"/>
    <mergeCell ref="C22:D22"/>
    <mergeCell ref="Q22:R22"/>
    <mergeCell ref="S22:T22"/>
    <mergeCell ref="Q18:R19"/>
    <mergeCell ref="S18:T19"/>
    <mergeCell ref="C19:D19"/>
    <mergeCell ref="H19:I19"/>
    <mergeCell ref="C20:D20"/>
    <mergeCell ref="H20:I20"/>
    <mergeCell ref="Q20:R20"/>
    <mergeCell ref="S20:T20"/>
    <mergeCell ref="N14:O14"/>
    <mergeCell ref="S14:T14"/>
    <mergeCell ref="E16:F16"/>
    <mergeCell ref="H16:I16"/>
    <mergeCell ref="K16:L16"/>
    <mergeCell ref="E17:F17"/>
    <mergeCell ref="H17:I17"/>
    <mergeCell ref="K17:L17"/>
    <mergeCell ref="Q17:T17"/>
    <mergeCell ref="E12:F12"/>
    <mergeCell ref="H12:I12"/>
    <mergeCell ref="K12:L12"/>
    <mergeCell ref="N12:O12"/>
    <mergeCell ref="S12:T12"/>
    <mergeCell ref="E13:F13"/>
    <mergeCell ref="H13:I13"/>
    <mergeCell ref="K13:L13"/>
    <mergeCell ref="N13:O13"/>
    <mergeCell ref="S13:T13"/>
    <mergeCell ref="E10:F10"/>
    <mergeCell ref="H10:I10"/>
    <mergeCell ref="K10:L10"/>
    <mergeCell ref="S10:T10"/>
    <mergeCell ref="E11:F11"/>
    <mergeCell ref="H11:I11"/>
    <mergeCell ref="K11:L11"/>
    <mergeCell ref="S11:T11"/>
    <mergeCell ref="E8:F8"/>
    <mergeCell ref="H8:I8"/>
    <mergeCell ref="K8:L8"/>
    <mergeCell ref="S8:T8"/>
    <mergeCell ref="E9:F9"/>
    <mergeCell ref="H9:I9"/>
    <mergeCell ref="K9:L9"/>
    <mergeCell ref="S9:T9"/>
    <mergeCell ref="E6:F6"/>
    <mergeCell ref="H6:I6"/>
    <mergeCell ref="K6:L6"/>
    <mergeCell ref="S6:T6"/>
    <mergeCell ref="E7:F7"/>
    <mergeCell ref="H7:I7"/>
    <mergeCell ref="K7:L7"/>
    <mergeCell ref="S7:T7"/>
    <mergeCell ref="E4:F4"/>
    <mergeCell ref="H4:I4"/>
    <mergeCell ref="K4:L4"/>
    <mergeCell ref="S4:T4"/>
    <mergeCell ref="E5:F5"/>
    <mergeCell ref="H5:I5"/>
    <mergeCell ref="K5:L5"/>
    <mergeCell ref="S5:T5"/>
    <mergeCell ref="S1:T1"/>
    <mergeCell ref="Z1:AC1"/>
    <mergeCell ref="S2:T2"/>
    <mergeCell ref="Z2:AA3"/>
    <mergeCell ref="AB2:AB3"/>
    <mergeCell ref="AC2:AC3"/>
    <mergeCell ref="S3:T3"/>
    <mergeCell ref="A1:B2"/>
    <mergeCell ref="C1:C2"/>
    <mergeCell ref="E1:F2"/>
    <mergeCell ref="H1:I2"/>
    <mergeCell ref="K1:L2"/>
    <mergeCell ref="N1:O2"/>
  </mergeCells>
  <conditionalFormatting sqref="N19:O19">
    <cfRule type="expression" dxfId="838" priority="20">
      <formula>#REF!="ESPERANDO RESPUESTA 3°"</formula>
    </cfRule>
    <cfRule type="expression" dxfId="837" priority="21">
      <formula>#REF!="PENDIENTE DE OFRECIMIENTO"</formula>
    </cfRule>
    <cfRule type="expression" dxfId="836" priority="22">
      <formula>#REF!="EN CONSULTA CON CIA"</formula>
    </cfRule>
    <cfRule type="expression" dxfId="835" priority="23">
      <formula>#REF!="IP REALIZADA"</formula>
    </cfRule>
    <cfRule type="expression" dxfId="834" priority="24">
      <formula>#REF!="PENDIENTE  COORDINACION"</formula>
    </cfRule>
    <cfRule type="expression" dxfId="833" priority="25">
      <formula>#REF!="LICITANDO REPUESTOS"</formula>
    </cfRule>
    <cfRule type="expression" dxfId="832" priority="26">
      <formula>#REF!="PENDIENTE PRESUPUESTO"</formula>
    </cfRule>
    <cfRule type="expression" dxfId="831" priority="27">
      <formula>#REF!="REVISAR MAIL - RESUELTO"</formula>
    </cfRule>
    <cfRule type="expression" dxfId="830" priority="28">
      <formula>#REF!="IP RECLAMADA A PERITO 5"</formula>
    </cfRule>
    <cfRule type="expression" dxfId="829" priority="29">
      <formula>#REF!="IP RECLAMADA A PERITO 4"</formula>
    </cfRule>
    <cfRule type="expression" dxfId="828" priority="30">
      <formula>#REF!="IP RECLAMADA A PERITO 2"</formula>
    </cfRule>
    <cfRule type="expression" dxfId="827" priority="31">
      <formula>#REF!="INSPECCION ANULADA"</formula>
    </cfRule>
    <cfRule type="expression" dxfId="826" priority="32">
      <formula>#REF!="IP COORDINADA"</formula>
    </cfRule>
    <cfRule type="expression" dxfId="825" priority="33">
      <formula>#REF!="CONTACTADO"</formula>
    </cfRule>
    <cfRule type="expression" dxfId="824" priority="34">
      <formula>#REF!="IP CERRADA"</formula>
    </cfRule>
    <cfRule type="expression" dxfId="823" priority="35">
      <formula>#REF!="ENVIO DE ORDEN"</formula>
    </cfRule>
    <cfRule type="expression" dxfId="822" priority="36">
      <formula>#REF!="PARA FACTURAR"</formula>
    </cfRule>
    <cfRule type="expression" dxfId="821" priority="37">
      <formula>#REF!="IP RECLAMADA A PERITO 1"</formula>
    </cfRule>
    <cfRule type="expression" dxfId="820" priority="38">
      <formula>#REF!="REVISAR MAIL - SIN RESOLVER"</formula>
    </cfRule>
  </conditionalFormatting>
  <conditionalFormatting sqref="V31">
    <cfRule type="expression" dxfId="819" priority="1">
      <formula>$V31="PENDIENTE PRESUPUESTO"</formula>
    </cfRule>
    <cfRule type="expression" dxfId="818" priority="2">
      <formula>$V31="ESPERANDO RESPUESTA 3°"</formula>
    </cfRule>
    <cfRule type="expression" dxfId="817" priority="3">
      <formula>$V31="PENDIENTE DE OFRECIMIENTO"</formula>
    </cfRule>
    <cfRule type="expression" dxfId="816" priority="4">
      <formula>$V31="EN CONSULTA CON CIA"</formula>
    </cfRule>
    <cfRule type="expression" dxfId="815" priority="5">
      <formula>$V31="IP REALIZADA"</formula>
    </cfRule>
    <cfRule type="expression" dxfId="814" priority="6">
      <formula>$V31="REVISAR MAIL - RESUELTO"</formula>
    </cfRule>
    <cfRule type="expression" dxfId="813" priority="7">
      <formula>$V31="INSPECCION ANULADA"</formula>
    </cfRule>
    <cfRule type="expression" dxfId="812" priority="8">
      <formula>$V31="IP RECLAMADA A PERITO 5"</formula>
    </cfRule>
    <cfRule type="expression" dxfId="811" priority="9">
      <formula>$V31="IP RECLAMADA A PERITO 4"</formula>
    </cfRule>
    <cfRule type="expression" dxfId="810" priority="10">
      <formula>$V31="IP RECLAMADA A PERITO 2"</formula>
    </cfRule>
    <cfRule type="expression" dxfId="809" priority="11">
      <formula>$V31="PENDIENTE  COORDINACION"</formula>
    </cfRule>
    <cfRule type="expression" dxfId="808" priority="12">
      <formula>$V31="LICITANDO REPUESTOS"</formula>
    </cfRule>
    <cfRule type="expression" dxfId="807" priority="13">
      <formula>$V31="IP COORDINADA"</formula>
    </cfRule>
    <cfRule type="expression" dxfId="806" priority="14">
      <formula>$V31="CONTACTADO"</formula>
    </cfRule>
    <cfRule type="expression" dxfId="805" priority="15">
      <formula>$V31="IP CERRADA"</formula>
    </cfRule>
    <cfRule type="expression" dxfId="804" priority="16">
      <formula>$V31="ENVIO DE ORDEN"</formula>
    </cfRule>
    <cfRule type="expression" dxfId="803" priority="17">
      <formula>$V31="PARA FACTURAR"</formula>
    </cfRule>
    <cfRule type="expression" dxfId="802" priority="18">
      <formula>$V31="IP RECLAMADA A PERITO 1"</formula>
    </cfRule>
    <cfRule type="expression" dxfId="801" priority="19">
      <formula>$V31="REVISAR MAIL - SIN RESOLVER"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B1F8B-C311-4E1B-BF7A-8BD9C0C35EA4}">
  <sheetPr>
    <tabColor rgb="FFFF0000"/>
  </sheetPr>
  <dimension ref="A1:AI44"/>
  <sheetViews>
    <sheetView topLeftCell="G1" workbookViewId="0">
      <selection activeCell="AB21" sqref="AB21"/>
    </sheetView>
  </sheetViews>
  <sheetFormatPr defaultRowHeight="15"/>
  <cols>
    <col min="3" max="3" width="21.85546875" customWidth="1"/>
    <col min="4" max="4" width="3.7109375" customWidth="1"/>
    <col min="5" max="5" width="12.85546875" customWidth="1"/>
    <col min="6" max="6" width="13.28515625" customWidth="1"/>
    <col min="7" max="7" width="9.140625" bestFit="1" customWidth="1"/>
    <col min="8" max="8" width="13.5703125" customWidth="1"/>
    <col min="9" max="9" width="3.5703125" customWidth="1"/>
    <col min="10" max="10" width="13.140625" customWidth="1"/>
    <col min="11" max="11" width="14.28515625" customWidth="1"/>
    <col min="12" max="12" width="9.140625" bestFit="1" customWidth="1"/>
    <col min="13" max="13" width="13.85546875" customWidth="1"/>
    <col min="14" max="14" width="3.28515625" customWidth="1"/>
    <col min="15" max="15" width="9.140625" bestFit="1" customWidth="1"/>
    <col min="16" max="16" width="13.42578125" customWidth="1"/>
    <col min="17" max="17" width="9.140625" bestFit="1" customWidth="1"/>
    <col min="18" max="18" width="14.85546875" customWidth="1"/>
    <col min="19" max="19" width="3" customWidth="1"/>
    <col min="20" max="20" width="9.140625" bestFit="1" customWidth="1"/>
    <col min="21" max="21" width="14.85546875" customWidth="1"/>
    <col min="22" max="22" width="9.140625" bestFit="1" customWidth="1"/>
    <col min="23" max="23" width="13.28515625" customWidth="1"/>
    <col min="24" max="24" width="3" customWidth="1"/>
    <col min="25" max="25" width="9.140625" bestFit="1" customWidth="1"/>
    <col min="26" max="26" width="14.140625" customWidth="1"/>
    <col min="27" max="27" width="9.140625" bestFit="1" customWidth="1"/>
    <col min="28" max="28" width="13.85546875" customWidth="1"/>
    <col min="29" max="29" width="3.28515625" customWidth="1"/>
    <col min="30" max="30" width="22.7109375" customWidth="1"/>
    <col min="31" max="31" width="9.140625" bestFit="1" customWidth="1"/>
    <col min="32" max="32" width="20.42578125" customWidth="1"/>
  </cols>
  <sheetData>
    <row r="1" spans="1:35">
      <c r="A1" s="367" t="s">
        <v>57</v>
      </c>
      <c r="B1" s="368"/>
      <c r="C1" s="369" t="s">
        <v>1</v>
      </c>
      <c r="E1" s="385" t="s">
        <v>19</v>
      </c>
      <c r="F1" s="386"/>
      <c r="G1" s="386"/>
      <c r="H1" s="387"/>
      <c r="J1" s="399" t="s">
        <v>66</v>
      </c>
      <c r="K1" s="400"/>
      <c r="L1" s="400"/>
      <c r="M1" s="401"/>
      <c r="O1" s="399" t="s">
        <v>69</v>
      </c>
      <c r="P1" s="400"/>
      <c r="Q1" s="400"/>
      <c r="R1" s="401"/>
      <c r="T1" s="399" t="s">
        <v>16</v>
      </c>
      <c r="U1" s="400"/>
      <c r="V1" s="400"/>
      <c r="W1" s="401"/>
      <c r="Y1" s="399" t="s">
        <v>82</v>
      </c>
      <c r="Z1" s="400"/>
      <c r="AA1" s="400"/>
      <c r="AB1" s="401"/>
      <c r="AD1" s="369" t="s">
        <v>1</v>
      </c>
    </row>
    <row r="2" spans="1:35">
      <c r="A2" s="367"/>
      <c r="B2" s="368"/>
      <c r="C2" s="369"/>
      <c r="E2" s="388"/>
      <c r="F2" s="389"/>
      <c r="G2" s="389"/>
      <c r="H2" s="390"/>
      <c r="J2" s="402"/>
      <c r="K2" s="403"/>
      <c r="L2" s="403"/>
      <c r="M2" s="404"/>
      <c r="O2" s="402"/>
      <c r="P2" s="403"/>
      <c r="Q2" s="403"/>
      <c r="R2" s="404"/>
      <c r="T2" s="402"/>
      <c r="U2" s="403"/>
      <c r="V2" s="403"/>
      <c r="W2" s="404"/>
      <c r="Y2" s="402"/>
      <c r="Z2" s="403"/>
      <c r="AA2" s="403"/>
      <c r="AB2" s="404"/>
      <c r="AD2" s="369"/>
    </row>
    <row r="3" spans="1:35">
      <c r="A3" s="19"/>
      <c r="B3" s="19"/>
      <c r="E3" s="391" t="s">
        <v>83</v>
      </c>
      <c r="F3" s="391"/>
      <c r="G3" s="392" t="s">
        <v>8</v>
      </c>
      <c r="H3" s="392"/>
      <c r="J3" s="391" t="s">
        <v>83</v>
      </c>
      <c r="K3" s="391"/>
      <c r="L3" s="392" t="s">
        <v>8</v>
      </c>
      <c r="M3" s="392"/>
      <c r="O3" s="391" t="s">
        <v>83</v>
      </c>
      <c r="P3" s="391"/>
      <c r="Q3" s="392" t="s">
        <v>8</v>
      </c>
      <c r="R3" s="392"/>
      <c r="T3" s="391" t="s">
        <v>83</v>
      </c>
      <c r="U3" s="391"/>
      <c r="V3" s="392" t="s">
        <v>8</v>
      </c>
      <c r="W3" s="392"/>
      <c r="Y3" s="391" t="s">
        <v>83</v>
      </c>
      <c r="Z3" s="391"/>
      <c r="AA3" s="392" t="s">
        <v>8</v>
      </c>
      <c r="AB3" s="392"/>
    </row>
    <row r="4" spans="1:35" ht="16.5">
      <c r="C4" s="37" t="s">
        <v>10</v>
      </c>
      <c r="E4" s="254">
        <f>COUNTIFS(General!F:F, "IP CERRADA", General!K:K, "A MIÑO", General!H:H, "PTE. APROBACION", General!G:G, "IP CON ORDEN", General!O:O, "&gt;="&amp;DATE(2025,7,1), General!O:O, "&lt;="&amp;DATE(2025,7,31))</f>
        <v>0</v>
      </c>
      <c r="F4" s="38">
        <f>E4*AG5</f>
        <v>0</v>
      </c>
      <c r="G4" s="41">
        <f>COUNTIFS(General!F:F, "IP CERRADA", General!M:M, "A MIÑO", General!H:H, "PTE. APROBACION", General!G:G, "IP CON ORDEN", General!O:O, "&gt;="&amp;DATE(2025,7,1), General!O:O, "&lt;="&amp;DATE(2025,7,31))</f>
        <v>0</v>
      </c>
      <c r="H4" s="42">
        <f>G4*AH5</f>
        <v>0</v>
      </c>
      <c r="J4" s="254">
        <f>COUNTIFS(General!F:F, "IP CERRADA", General!K:K, "J. FERLANTI", General!H:H, "PTE. APROBACION", General!G:G, "IP CON ORDEN", General!O:O, "&gt;="&amp;DATE(2025,7,1), General!O:O, "&lt;="&amp;DATE(2025,7,31)) + COUNTIFS(General!F:F, "PARA FACTURAR", General!K:K, "J. FERLANTI", General!G:G, "IP CON ORDEN", General!O:O, "&gt;="&amp;DATE(2025,7,1), General!O:O, "&lt;="&amp;DATE(2025,7,31))</f>
        <v>1</v>
      </c>
      <c r="K4" s="38">
        <f>J4*AG5</f>
        <v>5625</v>
      </c>
      <c r="L4" s="41">
        <f>COUNTIFS(General!F:F, "IP CERRADA", General!M:M, "J. FERLANTI", General!H:H, "PTE. APROBACION", General!G:G, "IP CON ORDEN", General!O:O, "&gt;="&amp;DATE(2025,7,1), General!O:O, "&lt;="&amp;DATE(2025,7,31)) + COUNTIFS(General!F:F, "PARA FACTURAR", General!M:M, "J. FERLANTI", General!H:H, "EN TRAMITE", General!G:G, "IP CON ORDEN", General!O:O, "&gt;="&amp;DATE(2024,10,1), General!O:O, "&lt;="&amp;DATE(2024,10,31) )</f>
        <v>142</v>
      </c>
      <c r="M4" s="42">
        <f>L4*AH5</f>
        <v>745500</v>
      </c>
      <c r="O4" s="254">
        <f>COUNTIFS(General!F:F, "IP CERRADA", General!K:K, "J NEIRA", General!H:H, "PTE. APROBACION", General!G:G, "IP CON ORDEN", General!O:O, "&gt;="&amp;DATE(2025,7,1), General!O:O, "&lt;="&amp;DATE(2025,7,31))</f>
        <v>0</v>
      </c>
      <c r="P4" s="38">
        <f>O4*AG5</f>
        <v>0</v>
      </c>
      <c r="Q4" s="41">
        <f>COUNTIFS(General!F:F, "IP CERRADA", General!M:M, "J NEIRA", General!H:H, "PTE. APROBACION", General!G:G, "IP CON ORDEN", General!O:O, "&gt;="&amp;DATE(2025,7,1), General!O:O, "&lt;="&amp;DATE(2025,7,31))</f>
        <v>0</v>
      </c>
      <c r="R4" s="42">
        <f>Q4*AH5</f>
        <v>0</v>
      </c>
      <c r="T4" s="254">
        <f>COUNTIFS(General!F:F, "IP CERRADA", General!K:K, "L DEL PIERO", General!H:H, "PTE. APROBACION", General!G:G, "IP CON ORDEN", General!O:O, "&gt;="&amp;DATE(2025,7,1), General!O:O, "&lt;="&amp;DATE(2025,7,31))</f>
        <v>74</v>
      </c>
      <c r="U4" s="38">
        <f>T4*AG5</f>
        <v>416250</v>
      </c>
      <c r="V4" s="41">
        <f>COUNTIFS(General!F:F, "IP CERRADA", General!M:M, "L DEL PIERO", General!H:H, "PTE. APROBACION", General!G:G, "IP CON ORDEN", General!O:O, "&gt;="&amp;DATE(2025,7,1), General!O:O, "&lt;="&amp;DATE(2025,7,31))</f>
        <v>0</v>
      </c>
      <c r="W4" s="42">
        <f>V4*AH5</f>
        <v>0</v>
      </c>
      <c r="Y4" s="254">
        <f>COUNTIFS(General!F:F, "IP CERRADA", General!K:K, "E Delia", General!H:H, "PTE. APROBACION", General!G:G, "IP CON ORDEN", General!O:O, "&gt;="&amp;DATE(2025,7,1), General!O:O, "&lt;="&amp;DATE(2025,7,31)) + COUNTIFS(General!F:F, "PARA FACTURAR", General!K:K, "E Delia", General!G:G, "IP CON ORDEN", General!O:O, "&gt;="&amp;DATE(2025,7,1), General!O:O, "&lt;="&amp;DATE(2025,7,31))</f>
        <v>67</v>
      </c>
      <c r="Z4" s="38">
        <f>Y4*AG5</f>
        <v>376875</v>
      </c>
      <c r="AA4" s="41">
        <f>COUNTIFS(General!F:F, "IP CERRADA", General!M:M, "E Delia", General!H:H, "PTE. APROBACION", General!G:G, "IP CON ORDEN", General!O:O, "&gt;="&amp;DATE(2025,7,1), General!O:O, "&lt;="&amp;DATE(2025,7,31))</f>
        <v>0</v>
      </c>
      <c r="AB4" s="42">
        <f>AA4*AH5</f>
        <v>0</v>
      </c>
      <c r="AD4" s="37" t="s">
        <v>10</v>
      </c>
      <c r="AF4" s="1" t="s">
        <v>6</v>
      </c>
      <c r="AG4" s="1" t="s">
        <v>7</v>
      </c>
      <c r="AH4" s="1" t="s">
        <v>8</v>
      </c>
      <c r="AI4" s="259"/>
    </row>
    <row r="5" spans="1:35" ht="16.5">
      <c r="C5" s="261" t="s">
        <v>15</v>
      </c>
      <c r="E5" s="39">
        <f>COUNTIFS(General!F:F, "IP CERRADA", General!K:K, "A MIÑO", General!H:H, "PTE. APROBACION", General!G:G, "POSIBLE DT", General!O:O, "&gt;="&amp;DATE(2025,7,1), General!O:O, "&lt;="&amp;DATE(2025,7,31))</f>
        <v>0</v>
      </c>
      <c r="F5" s="40">
        <f>E5*AG7</f>
        <v>0</v>
      </c>
      <c r="G5" s="43">
        <f>COUNTIFS(General!F:F, "IP CERRADA", General!M:M, "A MIÑO", General!H:H, "PTE. APROBACION", General!G:G, "POSIBLE DT", General!O:O, "&gt;="&amp;DATE(2025,7,1), General!O:O, "&lt;="&amp;DATE(2025,7,31))</f>
        <v>0</v>
      </c>
      <c r="H5" s="44">
        <f>G5*AH7</f>
        <v>0</v>
      </c>
      <c r="J5" s="39">
        <f>COUNTIFS(General!F:F, "IP CERRADA", General!K:K, "J. FERLANTI", General!H:H, "PTE. APROBACION", General!G:G, "POSIBLE DT", General!O:O, "&gt;="&amp;DATE(2025,7,1), General!O:O, "&lt;="&amp;DATE(2025,7,31)) + COUNTIFS(General!F:F, "PARA FACTURAR", General!K:K, "J. FERLANTI", General!G:G, "POSIBLE DT", General!O:O, "&gt;="&amp;DATE(2025,7,1), General!O:O, "&lt;="&amp;DATE(2025,7,31))</f>
        <v>1</v>
      </c>
      <c r="K5" s="40">
        <f>J5*AG7</f>
        <v>5625</v>
      </c>
      <c r="L5" s="43">
        <f>COUNTIFS(General!F:F, "IP CERRADA", General!M:M, "J. FERLANTI", General!H:H, "PTE. APROBACION", General!G:G, "POSIBLE DT", General!O:O, "&gt;="&amp;DATE(2025,7,1), General!O:O, "&lt;="&amp;DATE(2025,7,31)) + COUNTIFS(General!F:F, "PARA FACTURAR", General!M:M, "J. FERLANTI", General!H:H, "EN TRAMITE", General!G:G, "POSIBLE DT", General!O:O, "&gt;="&amp;DATE(2025,7,1), General!O:O, "&lt;="&amp;DATE(2025,7,31))</f>
        <v>12</v>
      </c>
      <c r="M5" s="44">
        <f>L5*AH7</f>
        <v>63000</v>
      </c>
      <c r="O5" s="39">
        <f>COUNTIFS(General!F:F, "IP CERRADA", General!K:K, "J NEIRA", General!H:H, "PTE. APROBACION", General!G:G, "POSIBLE DT", General!O:O, "&gt;="&amp;DATE(2025,7,1), General!O:O, "&lt;="&amp;DATE(2025,7,31))</f>
        <v>0</v>
      </c>
      <c r="P5" s="40">
        <f>O5*AG7</f>
        <v>0</v>
      </c>
      <c r="Q5" s="43">
        <f>COUNTIFS(General!F:F, "IP CERRADA", General!M:M, "J NEIRA", General!H:H, "PTE. APROBACION", General!G:G, "POSIBLE DT", General!O:O, "&gt;="&amp;DATE(2025,7,1), General!O:O, "&lt;="&amp;DATE(2025,7,31))</f>
        <v>0</v>
      </c>
      <c r="R5" s="44">
        <f>Q5*AH7</f>
        <v>0</v>
      </c>
      <c r="T5" s="39">
        <f>COUNTIFS(General!F:F, "IP CERRADA", General!K:K, "L DEL PIERO", General!H:H, "PTE. APROBACION", General!G:G, "POSIBLE DT", General!O:O, "&gt;="&amp;DATE(2025,7,1), General!O:O, "&lt;="&amp;DATE(2025,7,31))</f>
        <v>3</v>
      </c>
      <c r="U5" s="40">
        <f>T5*AG7</f>
        <v>16875</v>
      </c>
      <c r="V5" s="43">
        <f>COUNTIFS(General!F:F, "IP CERRADA", General!M:M, "L DEL PIERO", General!H:H, "PTE. APROBACION", General!G:G, "POSIBLE DT", General!O:O, "&gt;="&amp;DATE(2025,7,1), General!O:O, "&lt;="&amp;DATE(2025,7,31))</f>
        <v>0</v>
      </c>
      <c r="W5" s="44">
        <f>V5*AH7</f>
        <v>0</v>
      </c>
      <c r="Y5" s="39">
        <f>COUNTIFS(General!F:F, "IP CERRADA", General!K:K, "E Delia", General!H:H, "PTE. APROBACION", General!G:G, "POSIBLE DT", General!O:O, "&gt;="&amp;DATE(2025,7,1), General!O:O, "&lt;="&amp;DATE(2025,7,31))</f>
        <v>8</v>
      </c>
      <c r="Z5" s="40">
        <f>Y5*AG7</f>
        <v>45000</v>
      </c>
      <c r="AA5" s="43">
        <f>COUNTIFS(General!F:F, "IP CERRADA", General!M:M, "E Delia", General!H:H, "PTE. APROBACION", General!G:G, "POSIBLE DT", General!O:O, "&gt;="&amp;DATE(2025,7,1), General!O:O, "&lt;="&amp;DATE(2025,7,31))</f>
        <v>0</v>
      </c>
      <c r="AB5" s="44">
        <f>AA5*AH7</f>
        <v>0</v>
      </c>
      <c r="AD5" s="261" t="s">
        <v>15</v>
      </c>
      <c r="AF5" s="118" t="s">
        <v>10</v>
      </c>
      <c r="AG5" s="119">
        <v>5625</v>
      </c>
      <c r="AH5" s="119">
        <v>5250</v>
      </c>
      <c r="AI5" s="116"/>
    </row>
    <row r="6" spans="1:35" ht="16.5">
      <c r="C6" s="37" t="s">
        <v>18</v>
      </c>
      <c r="E6" s="254">
        <f>COUNTIFS(General!F:F, "IP CERRADA", General!K:K, "A MIÑO", General!H:H, "PTE. APROBACION", General!G:G, "IP SIN ORDEN", General!O:O, "&gt;="&amp;DATE(2025,7,1), General!O:O, "&lt;="&amp;DATE(2025,7,31))</f>
        <v>2</v>
      </c>
      <c r="F6" s="38">
        <f>E6*AG8</f>
        <v>11250</v>
      </c>
      <c r="G6" s="41">
        <f>COUNTIFS(General!F:F, "IP CERRADA", General!M:M, "A MIÑO", General!H:H, "PTE. APROBACION", General!G:G, "IP SIN ORDEN", General!O:O, "&gt;="&amp;DATE(2025,7,1), General!O:O, "&lt;="&amp;DATE(2025,7,31))</f>
        <v>0</v>
      </c>
      <c r="H6" s="42">
        <f>G6*AH8</f>
        <v>0</v>
      </c>
      <c r="J6" s="254">
        <f>COUNTIFS(General!F:F, "IP CERRADA", General!K:K, "J. FERLANTI", General!H:H, "PTE. APROBACION", General!G:G, "IP SIN ORDEN", General!O:O, "&gt;="&amp;DATE(2025,7,1), General!O:O, "&lt;="&amp;DATE(2025,7,31)) + COUNTIFS(General!F:F, "PARA FACTURAR", General!K:K, "J. FERLANTI", General!G:G, "IP SIN ORDEN", General!O:O, "&gt;="&amp;DATE(2025,7,1), General!O:O, "&lt;="&amp;DATE(2025,7,31))</f>
        <v>3</v>
      </c>
      <c r="K6" s="38">
        <f>J6*AG8</f>
        <v>16875</v>
      </c>
      <c r="L6" s="41">
        <f>COUNTIFS(General!F:F, "IP CERRADA", General!M:M, "J. FERLANTI", General!H:H, "PTE. APROBACION", General!G:G, "IP SIN ORDEN", General!O:O, "&gt;="&amp;DATE(2025,7,1), General!O:O, "&lt;="&amp;DATE(2025,7,31)) + COUNTIFS(General!F:F, "PARA FACTURAR", General!M:M, "J. FERLANTI", General!H:H, "EN TRAMITE", General!G:G, "IP SIN ORDEN", General!O:O, "&gt;="&amp;DATE(2025,7,1), General!O:O, "&lt;="&amp;DATE(2025,7,31))</f>
        <v>59</v>
      </c>
      <c r="M6" s="42">
        <f>L6*AH8</f>
        <v>309750</v>
      </c>
      <c r="O6" s="254">
        <f>COUNTIFS(General!F:F, "IP CERRADA", General!K:K, "J NEIRA", General!H:H, "PTE. APROBACION", General!G:G, "IP SIN ORDEN", General!O:O, "&gt;="&amp;DATE(2025,7,1), General!O:O, "&lt;="&amp;DATE(2025,7,31))</f>
        <v>0</v>
      </c>
      <c r="P6" s="38">
        <f>O6*AG8</f>
        <v>0</v>
      </c>
      <c r="Q6" s="41">
        <f>COUNTIFS(General!F:F, "IP CERRADA", General!M:M, "J NEIRA", General!H:H, "PTE. APROBACION", General!G:G, "IP SIN ORDEN", General!O:O, "&gt;="&amp;DATE(2025,7,1), General!O:O, "&lt;="&amp;DATE(2025,7,31))</f>
        <v>0</v>
      </c>
      <c r="R6" s="42">
        <f>Q6*AH8</f>
        <v>0</v>
      </c>
      <c r="T6" s="254">
        <f>COUNTIFS(General!F:F, "IP CERRADA", General!K:K, "L DEL PIERO", General!H:H, "PTE. APROBACION", General!G:G, "IP SIN ORDEN", General!O:O, "&gt;="&amp;DATE(2025,7,1), General!O:O, "&lt;="&amp;DATE(2025,7,31))</f>
        <v>25</v>
      </c>
      <c r="U6" s="38">
        <f>T6*AG8</f>
        <v>140625</v>
      </c>
      <c r="V6" s="41">
        <f>COUNTIFS(General!F:F, "IP CERRADA", General!M:M, "L DEL PIERO", General!H:H, "PTE. APROBACION", General!G:G, "IP SIN ORDEN", General!O:O, "&gt;="&amp;DATE(2025,7,1), General!O:O, "&lt;="&amp;DATE(2025,7,31))</f>
        <v>0</v>
      </c>
      <c r="W6" s="42">
        <f>V6*AH8</f>
        <v>0</v>
      </c>
      <c r="Y6" s="254">
        <f>COUNTIFS(General!F:F, "IP CERRADA", General!K:K, "E Delia", General!H:H, "PTE. APROBACION", General!G:G, "IP SIN ORDEN", General!O:O, "&gt;="&amp;DATE(2025,7,1), General!O:O, "&lt;="&amp;DATE(2025,7,31))</f>
        <v>29</v>
      </c>
      <c r="Z6" s="38">
        <f>Y6*AG8</f>
        <v>163125</v>
      </c>
      <c r="AA6" s="41">
        <f>COUNTIFS(General!F:F, "IP CERRADA", General!M:M, "E Delia", General!H:H, "PTE. APROBACION", General!G:G, "IP SIN ORDEN", General!O:O, "&gt;="&amp;DATE(2025,7,1), General!O:O, "&lt;="&amp;DATE(2025,7,31))</f>
        <v>0</v>
      </c>
      <c r="AB6" s="42">
        <f>AA6*AH8</f>
        <v>0</v>
      </c>
      <c r="AD6" s="37" t="s">
        <v>18</v>
      </c>
      <c r="AF6" s="118"/>
      <c r="AG6" s="119"/>
      <c r="AH6" s="119"/>
      <c r="AI6" s="116"/>
    </row>
    <row r="7" spans="1:35" ht="16.5">
      <c r="C7" s="261" t="s">
        <v>21</v>
      </c>
      <c r="E7" s="39">
        <f>COUNTIFS(General!F:F, "IP CERRADA", General!K:K, "A MIÑO", General!H:H, "PTE. APROBACION", General!G:G, "AMPLIACION", General!O:O, "&gt;="&amp;DATE(2025,7,1), General!O:O, "&lt;="&amp;DATE(2025,7,31))</f>
        <v>0</v>
      </c>
      <c r="F7" s="40">
        <f>E7*AG9</f>
        <v>0</v>
      </c>
      <c r="G7" s="43">
        <f>COUNTIFS(General!F:F, "IP CERRADA", General!M:M, "A MIÑO", General!H:H, "PTE. APROBACION", General!G:G, "AMPLIACION", General!O:O, "&gt;="&amp;DATE(2025,7,1), General!O:O, "&lt;="&amp;DATE(2025,7,31))</f>
        <v>0</v>
      </c>
      <c r="H7" s="44">
        <f>G7*AH9</f>
        <v>0</v>
      </c>
      <c r="J7" s="39">
        <f>COUNTIFS(General!F:F, "IP CERRADA", General!K:K, "J. FERLANTI", General!H:H, "PTE. APROBACION", General!G:G, "AMPLIACION", General!O:O, "&gt;="&amp;DATE(2025,7,1), General!O:O, "&lt;="&amp;DATE(2025,7,31)) + COUNTIFS(General!F:F, "PARA FACTURAR", General!K:K, "J. FERLANTI", General!G:G, "AMPLIACION", General!O:O, "&gt;="&amp;DATE(2025,7,1), General!O:O, "&lt;="&amp;DATE(2025,7,31))</f>
        <v>9</v>
      </c>
      <c r="K7" s="40">
        <f>J7*AG9</f>
        <v>22500</v>
      </c>
      <c r="L7" s="43">
        <f>COUNTIFS(General!F:F, "IP CERRADA", General!M:M, "J. FERLANTI", General!H:H, "PTE. APROBACION", General!G:G, "AMPLIACION", General!O:O, "&gt;="&amp;DATE(2025,7,1), General!O:O, "&lt;="&amp;DATE(2025,7,31)) + COUNTIFS(General!F:F, "PARA FACTURAR", General!M:M, "J. FERLANTI", General!H:H, "EN TRAMITE", General!G:G, "AMPLIACION", General!O:O, "&gt;="&amp;DATE(2025,7,1), General!O:O, "&lt;="&amp;DATE(2025,7,31))</f>
        <v>25</v>
      </c>
      <c r="M7" s="44">
        <f>L7*AH9</f>
        <v>50000</v>
      </c>
      <c r="O7" s="39">
        <f>COUNTIFS(General!F:F, "IP CERRADA", General!K:K, "J NEIRA", General!H:H, "PTE. APROBACION", General!G:G, "AMPLIACION", General!O:O, "&gt;="&amp;DATE(2025,7,1), General!O:O, "&lt;="&amp;DATE(2025,7,31))</f>
        <v>0</v>
      </c>
      <c r="P7" s="40">
        <f>O7*AG9</f>
        <v>0</v>
      </c>
      <c r="Q7" s="43">
        <f>COUNTIFS(General!F:F, "IP CERRADA", General!M:M, "J NEIRA", General!H:H, "PTE. APROBACION", General!G:G, "AMPLIACION", General!O:O, "&gt;="&amp;DATE(2025,7,1), General!O:O, "&lt;="&amp;DATE(2025,7,31))</f>
        <v>0</v>
      </c>
      <c r="R7" s="44">
        <f>Q7*AH9</f>
        <v>0</v>
      </c>
      <c r="T7" s="39">
        <f>COUNTIFS(General!F:F, "IP CERRADA", General!K:K, "L DEL PIERO", General!H:H, "PTE. APROBACION", General!G:G, "AMPLIACION", General!O:O, "&gt;="&amp;DATE(2025,7,1), General!O:O, "&lt;="&amp;DATE(2025,7,31))</f>
        <v>11</v>
      </c>
      <c r="U7" s="40">
        <f>T7*AG9</f>
        <v>27500</v>
      </c>
      <c r="V7" s="43">
        <f>COUNTIFS(General!F:F, "IP CERRADA", General!M:M, "L DEL PIERO", General!H:H, "PTE. APROBACION", General!G:G, "AMPLIACION", General!O:O, "&gt;="&amp;DATE(2025,7,1), General!O:O, "&lt;="&amp;DATE(2025,7,31))</f>
        <v>0</v>
      </c>
      <c r="W7" s="44">
        <f>V7*AH9</f>
        <v>0</v>
      </c>
      <c r="Y7" s="39">
        <f>COUNTIFS(General!F:F, "IP CERRADA", General!K:K, "E Delia", General!H:H, "PTE. APROBACION", General!G:G, "AMPLIACION", General!O:O, "&gt;="&amp;DATE(2025,7,1), General!O:O, "&lt;="&amp;DATE(2025,7,31))</f>
        <v>5</v>
      </c>
      <c r="Z7" s="40">
        <f>Y7*AG9</f>
        <v>12500</v>
      </c>
      <c r="AA7" s="43">
        <f>COUNTIFS(General!F:F, "IP CERRADA", General!M:M, "E Delia", General!H:H, "PTE. APROBACION", General!G:G, "AMPLIACION", General!O:O, "&gt;="&amp;DATE(2025,7,1), General!O:O, "&lt;="&amp;DATE(2025,7,31))</f>
        <v>0</v>
      </c>
      <c r="AB7" s="44">
        <f>AA7*AH9</f>
        <v>0</v>
      </c>
      <c r="AD7" s="261" t="s">
        <v>21</v>
      </c>
      <c r="AF7" s="120" t="s">
        <v>15</v>
      </c>
      <c r="AG7" s="121">
        <v>5625</v>
      </c>
      <c r="AH7" s="121">
        <v>5250</v>
      </c>
      <c r="AI7" s="116"/>
    </row>
    <row r="8" spans="1:35" ht="16.5">
      <c r="C8" s="37" t="s">
        <v>24</v>
      </c>
      <c r="E8" s="254" t="s">
        <v>27</v>
      </c>
      <c r="F8" s="38" t="s">
        <v>27</v>
      </c>
      <c r="G8" s="41">
        <f>COUNTIFS(General!F:F, "IP CERRADA", General!M:M, "A MIÑO", General!H:H, "PTE. APROBACION", General!G:G, "ENVIO DE ORDEN", General!O:O, "&gt;="&amp;DATE(2025,7,1), General!O:O, "&lt;="&amp;DATE(2025,7,31))</f>
        <v>0</v>
      </c>
      <c r="H8" s="42">
        <f>G8*AH10</f>
        <v>0</v>
      </c>
      <c r="J8" s="254" t="s">
        <v>27</v>
      </c>
      <c r="K8" s="38" t="s">
        <v>27</v>
      </c>
      <c r="L8" s="41">
        <f>COUNTIFS(General!F:F, "IP SIN ORDEN", General!M:M, "J. FERLANTI", General!H:H, "PTE. APROBACION", General!G:G, "ENVIO DE ORDEN", General!O:O, "&gt;="&amp;DATE(2025,7,1), General!O:O, "&lt;="&amp;DATE(2025,7,31)) + COUNTIFS(General!F:F, "PARA FACTURAR", General!M:M, "J. FERLANTI", General!H:H, "EN TRAMITE", General!G:G, "ENVIO DE ORDEN", General!O:O, "&gt;="&amp;DATE(2025,7,1), General!O:O, "&lt;="&amp;DATE(2025,7,31))</f>
        <v>0</v>
      </c>
      <c r="M8" s="42">
        <f>L8*AH10</f>
        <v>0</v>
      </c>
      <c r="O8" s="254"/>
      <c r="P8" s="38"/>
      <c r="Q8" s="41">
        <f>COUNTIFS(General!F:F, "IP CERRADA", General!M:M, "J NEIRA", General!H:H, "PTE. APROBACION", General!G:G, "ENVIO DE ORDEN", General!O:O, "&gt;="&amp;DATE(2025,7,1), General!O:O, "&lt;="&amp;DATE(2025,7,31))</f>
        <v>0</v>
      </c>
      <c r="R8" s="42">
        <f>Q8*AH10</f>
        <v>0</v>
      </c>
      <c r="T8" s="254"/>
      <c r="U8" s="38"/>
      <c r="V8" s="41">
        <f>COUNTIFS(General!F:F, "IP CERRADA", General!M:M, "L DEL PIERO", General!H:H, "PTE. APROBACION", General!G:G, "ENVIO DE ORDEN", General!O:O, "&gt;="&amp;DATE(2025,7,1), General!O:O, "&lt;="&amp;DATE(2025,7,31))</f>
        <v>0</v>
      </c>
      <c r="W8" s="42">
        <f>V8*AH10</f>
        <v>0</v>
      </c>
      <c r="Y8" s="254"/>
      <c r="Z8" s="38"/>
      <c r="AA8" s="41">
        <f>COUNTIFS(General!F:F, "IP CERRADA", General!M:M, "E Delia", General!H:H, "PTE. APROBACION", General!G:G, "ENVIO DE ORDEN", General!O:O, "&gt;="&amp;DATE(2025,7,1), General!O:O, "&lt;="&amp;DATE(2025,7,31))</f>
        <v>0</v>
      </c>
      <c r="AB8" s="42">
        <f>AA8*AH10</f>
        <v>0</v>
      </c>
      <c r="AD8" s="37" t="s">
        <v>24</v>
      </c>
      <c r="AF8" s="118" t="s">
        <v>18</v>
      </c>
      <c r="AG8" s="119">
        <v>5625</v>
      </c>
      <c r="AH8" s="119">
        <v>5250</v>
      </c>
      <c r="AI8" s="116"/>
    </row>
    <row r="9" spans="1:35" ht="16.5">
      <c r="C9" s="261" t="s">
        <v>29</v>
      </c>
      <c r="E9" s="39">
        <f>COUNTIFS(General!F:F, "IP CERRADA", General!K:K, "A MIÑO", General!H:H, "PTE. APROBACION", General!G:G, "IP CAMIONES", General!O:O, "&gt;="&amp;DATE(2025,7,1), General!O:O, "&lt;="&amp;DATE(2025,7,31))</f>
        <v>0</v>
      </c>
      <c r="F9" s="40">
        <f>E9*AG15</f>
        <v>0</v>
      </c>
      <c r="G9" s="43">
        <f>COUNTIFS(General!F:F, "IP SIN ORDEN", General!M:M, "J. FERLANTI", General!H:H, "PTE. APROBACION", General!G:G, "IP CAMIONES", General!O:O, "&gt;="&amp;DATE(2025,7,1), General!O:O, "&lt;="&amp;DATE(2025,7,31)) + COUNTIFS(General!F:F, "PARA FACTURAR", General!M:M, "J. FERLANTI", General!H:H, "EN TRAMITE", General!G:G, "IP CAMIONES", General!O:O, "&gt;="&amp;DATE(2025,7,1), General!O:O, "&lt;="&amp;DATE(2025,7,31))</f>
        <v>0</v>
      </c>
      <c r="H9" s="44">
        <f>G9*AH15</f>
        <v>0</v>
      </c>
      <c r="J9" s="39">
        <f>COUNTIFS(General!F:F, "IP CERRADA", General!K:K, "J. FERLANTI", General!H:H, "PTE. APROBACION", General!G:G, "IP CAMIONES", General!O:O, "&gt;="&amp;DATE(2025,7,1), General!O:O, "&lt;="&amp;DATE(2025,7,31)) + COUNTIFS(General!F:F, "PARA FACTURAR", General!K:K, "J. FERLANTI", General!G:G, "IP CAMIONES", General!O:O, "&gt;="&amp;DATE(2025,7,1), General!O:O, "&lt;="&amp;DATE(2025,7,31))</f>
        <v>0</v>
      </c>
      <c r="K9" s="40">
        <f>J9*AG15</f>
        <v>0</v>
      </c>
      <c r="L9" s="43">
        <f>COUNTIFS(General!F:F, "IP CERRADA", General!M:M, "J. FERLANTI", General!H:H, "PTE. APROBACION", General!G:G, "IP CAMIONES", General!O:O, "&gt;="&amp;DATE(2025,7,1), General!O:O, "&lt;="&amp;DATE(2025,7,31))</f>
        <v>0</v>
      </c>
      <c r="M9" s="44">
        <f>L9*AH15</f>
        <v>0</v>
      </c>
      <c r="O9" s="39">
        <f>COUNTIFS(General!F:F, "IP CERRADA", General!K:K, "J NEIRA", General!H:H, "PTE. APROBACION", General!G:G, "IP CAMIONES", General!O:O, "&gt;="&amp;DATE(2025,7,1), General!O:O, "&lt;="&amp;DATE(2025,7,31))</f>
        <v>0</v>
      </c>
      <c r="P9" s="40">
        <f>O9*AG15</f>
        <v>0</v>
      </c>
      <c r="Q9" s="43">
        <f>COUNTIFS(General!F:F, "IP CERRADA", General!M:M, "J NEIRA", General!H:H, "PTE. APROBACION", General!G:G, "IP CAMIONES", General!O:O, "&gt;="&amp;DATE(2025,7,1), General!O:O, "&lt;="&amp;DATE(2025,7,31))</f>
        <v>0</v>
      </c>
      <c r="R9" s="44">
        <f>Q9*AH15</f>
        <v>0</v>
      </c>
      <c r="T9" s="39">
        <f>COUNTIFS(General!F:F, "IP CERRADA", General!K:K, "L DEL PIERO", General!H:H, "PTE. APROBACION", General!G:G, "IP CAMIONES", General!O:O, "&gt;="&amp;DATE(2025,7,1), General!O:O, "&lt;="&amp;DATE(2025,7,31))</f>
        <v>0</v>
      </c>
      <c r="U9" s="40">
        <f>T9*AG15</f>
        <v>0</v>
      </c>
      <c r="V9" s="43">
        <f>COUNTIFS(General!F:F, "IP CERRADA", General!M:M, "L DEL PIERO", General!H:H, "PTE. APROBACION", General!G:G, "IP CAMIONES", General!O:O, "&gt;="&amp;DATE(2025,7,1), General!O:O, "&lt;="&amp;DATE(2025,7,31))</f>
        <v>0</v>
      </c>
      <c r="W9" s="44">
        <f>V9*AH15</f>
        <v>0</v>
      </c>
      <c r="Y9" s="39">
        <f>COUNTIFS(General!F:F, "IP CERRADA", General!K:K, "E Delia", General!H:H, "PTE. APROBACION", General!G:G, "IP CAMIONES", General!O:O, "&gt;="&amp;DATE(2025,7,1), General!O:O, "&lt;="&amp;DATE(2025,7,31))</f>
        <v>0</v>
      </c>
      <c r="Z9" s="40">
        <f>Y9*AG15</f>
        <v>0</v>
      </c>
      <c r="AA9" s="43">
        <f>COUNTIFS(General!F:F, "IP CERRADA", General!M:M, "E Delia", General!H:H, "PTE. APROBACION", General!G:G, "IP CAMIONES", General!O:O, "&gt;="&amp;DATE(2025,7,1), General!O:O, "&lt;="&amp;DATE(2025,7,31))</f>
        <v>0</v>
      </c>
      <c r="AB9" s="44">
        <f>AA9*AH15</f>
        <v>0</v>
      </c>
      <c r="AD9" s="261" t="s">
        <v>29</v>
      </c>
      <c r="AF9" s="120" t="s">
        <v>21</v>
      </c>
      <c r="AG9" s="121">
        <v>2500</v>
      </c>
      <c r="AH9" s="121">
        <v>2000</v>
      </c>
      <c r="AI9" s="116"/>
    </row>
    <row r="10" spans="1:35" ht="16.5">
      <c r="C10" s="37" t="s">
        <v>30</v>
      </c>
      <c r="E10" s="254">
        <f>COUNTIFS(General!F:F, "IP CERRADA", General!K:K, "A MIÑO", General!H:H, "PTE. APROBACION", General!G:G, "TERCEROS", General!O:O, "&gt;="&amp;DATE(2024,3,1), General!O:O, "&gt;="&amp;DATE(2025,7,1), General!O:O, "&lt;="&amp;DATE(2025,7,31))</f>
        <v>0</v>
      </c>
      <c r="F10" s="38">
        <f>E10*AG12</f>
        <v>0</v>
      </c>
      <c r="G10" s="41">
        <f>COUNTIFS(General!F:F, "IP CERRADA", General!M:M, "A MIÑO", General!H:H, "PTE. APROBACION", General!G:G, "TERCEROS", General!O:O, "&gt;="&amp;DATE(2025,7,1), General!O:O, "&lt;="&amp;DATE(2025,7,31))</f>
        <v>0</v>
      </c>
      <c r="H10" s="42">
        <f>G10*AH12</f>
        <v>0</v>
      </c>
      <c r="J10" s="254">
        <f>COUNTIFS(General!F:F, "IP CERRADA", General!K:K, "J. FERLANTI", General!H:H, "PTE. APROBACION", General!G:G, "TERCEROS", General!O:O, "&gt;="&amp;DATE(2025,7,1), General!O:O, "&lt;="&amp;DATE(2025,7,31)) + COUNTIFS(General!F:F, "PARA FACTURAR", General!K:K, "J. FERLANTI", General!G:G, "TERCEROS", General!O:O, "&gt;="&amp;DATE(2025,7,1), General!O:O, "&lt;="&amp;DATE(2025,7,31))</f>
        <v>2</v>
      </c>
      <c r="K10" s="38">
        <f>J10*AG12</f>
        <v>11250</v>
      </c>
      <c r="L10" s="41">
        <f>COUNTIFS(General!F:F, "IP SIN ORDEN", General!M:M, "J. FERLANTI", General!H:H, "PTE. APROBACION", General!G:G, "TERCEROS", General!O:O, "&gt;="&amp;DATE(2025,7,1), General!O:O, "&lt;="&amp;DATE(2025,7,31)) + COUNTIFS(General!F:F, "PARA FACTURAR", General!M:M, "J. FERLANTI", General!H:H, "EN TRAMITE", General!G:G, "TERCEROS", General!O:O, "&gt;="&amp;DATE(2025,7,1), General!O:O, "&lt;="&amp;DATE(2025,7,31))</f>
        <v>0</v>
      </c>
      <c r="M10" s="42">
        <f>L10*AH12</f>
        <v>0</v>
      </c>
      <c r="O10" s="254">
        <f>COUNTIFS(General!F:F, "IP CERRADA", General!K:K, "J NEIRA", General!H:H, "PTE. APROBACION", General!G:G, "TERCEROS", General!O:O, "&gt;="&amp;DATE(2024,3,1), General!O:O, "&gt;="&amp;DATE(2025,7,1), General!O:O, "&lt;="&amp;DATE(2025,7,31))</f>
        <v>0</v>
      </c>
      <c r="P10" s="38">
        <f>O10*AG12</f>
        <v>0</v>
      </c>
      <c r="Q10" s="41">
        <f>COUNTIFS(General!F:F, "IP CERRADA", General!M:M, "J NEIRA", General!H:H, "PTE. APROBACION", General!G:G, "TERCEROS", General!O:O, "&gt;="&amp;DATE(2025,7,1), General!O:O, "&lt;="&amp;DATE(2025,7,31))</f>
        <v>0</v>
      </c>
      <c r="R10" s="42">
        <f>Q10*AH12</f>
        <v>0</v>
      </c>
      <c r="T10" s="254">
        <f>COUNTIFS(General!F:F, "IP CERRADA", General!K:K, "L DEL PIERO", General!H:H, "PTE. APROBACION", General!G:G, "TERCEROS", General!O:O, "&gt;="&amp;DATE(2024,3,1), General!O:O, "&gt;="&amp;DATE(2025,7,1), General!O:O, "&lt;="&amp;DATE(2025,7,31))</f>
        <v>0</v>
      </c>
      <c r="U10" s="38">
        <f>T10*AG12</f>
        <v>0</v>
      </c>
      <c r="V10" s="41">
        <f>COUNTIFS(General!F:F, "IP CERRADA", General!M:M, "L DEL PIERO", General!H:H, "PTE. APROBACION", General!G:G, "TERCEROS", General!O:O, "&gt;="&amp;DATE(2025,7,1), General!O:O, "&lt;="&amp;DATE(2025,7,31))</f>
        <v>0</v>
      </c>
      <c r="W10" s="42">
        <f>V10*AH12</f>
        <v>0</v>
      </c>
      <c r="Y10" s="254">
        <f>COUNTIFS(General!F:F, "IP CERRADA", General!K:K, "E Delia", General!H:H, "PTE. APROBACION", General!G:G, "TERCEROS", General!O:O, "&gt;="&amp;DATE(2024,3,1), General!O:O, "&gt;="&amp;DATE(2025,7,1), General!O:O, "&lt;="&amp;DATE(2025,7,31))</f>
        <v>0</v>
      </c>
      <c r="Z10" s="38">
        <f>Y10*AG12</f>
        <v>0</v>
      </c>
      <c r="AA10" s="41">
        <f>COUNTIFS(General!F:F, "IP CERRADA", General!M:M, "E Delia", General!H:H, "PTE. APROBACION", General!G:G, "TERCEROS", General!O:O, "&gt;="&amp;DATE(2025,7,1), General!O:O, "&lt;="&amp;DATE(2025,7,31))</f>
        <v>0</v>
      </c>
      <c r="AB10" s="42">
        <f>AA10*AH12</f>
        <v>0</v>
      </c>
      <c r="AD10" s="37" t="s">
        <v>30</v>
      </c>
      <c r="AF10" s="118" t="s">
        <v>24</v>
      </c>
      <c r="AG10" s="119" t="s">
        <v>27</v>
      </c>
      <c r="AH10" s="119"/>
      <c r="AI10" s="116"/>
    </row>
    <row r="11" spans="1:35" ht="16.5">
      <c r="C11" s="261" t="s">
        <v>32</v>
      </c>
      <c r="E11" s="39" t="s">
        <v>27</v>
      </c>
      <c r="F11" s="40" t="s">
        <v>27</v>
      </c>
      <c r="G11" s="43">
        <f>COUNTIFS(General!F:F, "IP CERRADA", General!M:M, "A MIÑO", General!H:H, "PTE. APROBACION", General!G:G, "FOTOS", General!O:O, "&gt;="&amp;DATE(2025,7,1), General!O:O, "&lt;="&amp;DATE(2025,7,31))</f>
        <v>0</v>
      </c>
      <c r="H11" s="44">
        <v>0</v>
      </c>
      <c r="J11" s="39" t="s">
        <v>27</v>
      </c>
      <c r="K11" s="40" t="s">
        <v>27</v>
      </c>
      <c r="L11" s="43">
        <f>COUNTIFS(General!F:F, "IP SIN ORDEN", General!M:M, "J. FERLANTI", General!H:H, "PTE. APROBACION", General!G:G, "FOTOS", General!O:O, "&gt;="&amp;DATE(2025,7,1), General!O:O, "&lt;="&amp;DATE(2025,7,31)) + COUNTIFS(General!F:F, "PARA FACTURAR", General!M:M, "J. FERLANTI", General!H:H, "EN TRAMITE", General!G:G, "FOTOS", General!O:O, "&gt;="&amp;DATE(2025,7,1), General!O:O, "&lt;="&amp;DATE(2025,7,31))</f>
        <v>0</v>
      </c>
      <c r="M11" s="44">
        <f>L11*AH13</f>
        <v>0</v>
      </c>
      <c r="O11" s="39"/>
      <c r="P11" s="40"/>
      <c r="Q11" s="43">
        <f>COUNTIFS(General!F:F, "IP CERRADA", General!M:M, "J NEIRA", General!H:H, "PTE. APROBACION", General!G:G, "FOTOS", General!O:O, "&gt;="&amp;DATE(2025,7,1), General!O:O, "&lt;="&amp;DATE(2025,7,31))</f>
        <v>0</v>
      </c>
      <c r="R11" s="44">
        <f>Q11*AH13</f>
        <v>0</v>
      </c>
      <c r="T11" s="39"/>
      <c r="U11" s="40"/>
      <c r="V11" s="43">
        <f>COUNTIFS(General!F:F, "IP CERRADA", General!M:M, "L DEL PIERO", General!H:H, "PTE. APROBACION", General!G:G, "FOTOS", General!O:O, "&gt;="&amp;DATE(2025,7,1), General!O:O, "&lt;="&amp;DATE(2025,7,31))</f>
        <v>0</v>
      </c>
      <c r="W11" s="44">
        <f>V11*AH13</f>
        <v>0</v>
      </c>
      <c r="Y11" s="39"/>
      <c r="Z11" s="40"/>
      <c r="AA11" s="43">
        <f>COUNTIFS(General!F:F, "IP CERRADA", General!M:M, "E Delia", General!H:H, "PTE. APROBACION", General!G:G, "FOTOS", General!O:O, "&gt;="&amp;DATE(2025,7,1), General!O:O, "&lt;="&amp;DATE(2025,7,31))</f>
        <v>0</v>
      </c>
      <c r="AB11" s="44">
        <f>AA11*AH13</f>
        <v>0</v>
      </c>
      <c r="AD11" s="261" t="s">
        <v>32</v>
      </c>
      <c r="AF11" s="120" t="s">
        <v>26</v>
      </c>
      <c r="AG11" s="121">
        <v>1650</v>
      </c>
      <c r="AH11" s="121" t="s">
        <v>27</v>
      </c>
      <c r="AI11" s="116"/>
    </row>
    <row r="12" spans="1:35" ht="16.5">
      <c r="C12" s="37" t="s">
        <v>84</v>
      </c>
      <c r="E12" s="254">
        <f>COUNTIFS(General!F:F, "IP CERRADA", General!K:K, "A MIÑO", General!K:K, "A MIÑO", General!H:H, "PTE. APROBACION", General!G:G, "IP FINAL/INTERMEDIA", General!O:O, "&gt;="&amp;DATE(2025,7,1), General!O:O, "&lt;="&amp;DATE(2025,7,31))</f>
        <v>0</v>
      </c>
      <c r="F12" s="38">
        <f>E12*AG14</f>
        <v>0</v>
      </c>
      <c r="G12" s="41">
        <f>COUNTIFS(General!F:F, "IP CERRADA", General!M:M, "A MIÑO", General!H:H, "PTE. APROBACION", General!G:G, "IP REMOTA", General!O:O, "&gt;="&amp;DATE(2025,7,1), General!O:O, "&lt;="&amp;DATE(2025,7,31))</f>
        <v>0</v>
      </c>
      <c r="H12" s="42">
        <f>G12*AH14</f>
        <v>0</v>
      </c>
      <c r="J12" s="254">
        <f>COUNTIFS(General!F:F, "IP CERRADA", General!K:K, "J. FERLANTI", General!H:H, "PTE. APROBACION", General!G:G, "IP FINAL/INTERMEDIA", General!O:O, "&gt;="&amp;DATE(2025,7,1), General!O:O, "&lt;="&amp;DATE(2025,7,31)) + COUNTIFS(General!F:F, "PARA FACTURAR", General!K:K, "J. FERLANTI", General!G:G, "IP FINAL/INTERMEDIA", General!O:O, "&gt;="&amp;DATE(2025,7,1), General!O:O, "&lt;="&amp;DATE(2025,7,31))</f>
        <v>0</v>
      </c>
      <c r="K12" s="38">
        <f>J12*AG9</f>
        <v>0</v>
      </c>
      <c r="L12" s="41">
        <f>COUNTIFS(General!F:F, "IP CERRADA", General!M:M, "J. FERLANTI", General!H:H, "PTE. APROBACION", General!G:G, "IP FINAL/INTERMEDIA", General!O:O, "&gt;="&amp;DATE(2025,7,1), General!O:O, "&lt;="&amp;DATE(2025,7,31)) + COUNTIFS(General!F:F, "PARA FACTURAR", General!M:M, "J. FERLANTI", General!H:H, "EN TRAMITE", General!G:G, "IP FINAL/INTERMEDIA", General!O:O, "&gt;="&amp;DATE(2025,7,1), General!O:O, "&lt;="&amp;DATE(2025,7,31))</f>
        <v>2</v>
      </c>
      <c r="M12" s="42">
        <f>L12*AH9</f>
        <v>4000</v>
      </c>
      <c r="O12" s="254">
        <f>COUNTIFS(General!F:F, "IP CERRADA", General!K:K, "J NEIRA", General!K:K, "A MIÑO", General!H:H, "PTE. APROBACION", General!G:G, "IP REMOTA", General!O:O, "&gt;="&amp;DATE(2025,7,1), General!O:O, "&lt;="&amp;DATE(2025,7,31))</f>
        <v>0</v>
      </c>
      <c r="P12" s="38">
        <f>O12*AG14</f>
        <v>0</v>
      </c>
      <c r="Q12" s="41">
        <f>COUNTIFS(General!F:F, "IP CERRADA", General!M:M, "J NEIRA", General!H:H, "PTE. APROBACION", General!G:G, "IP REMOTA", General!O:O, "&gt;="&amp;DATE(2025,7,1), General!O:O, "&lt;="&amp;DATE(2025,7,31))</f>
        <v>0</v>
      </c>
      <c r="R12" s="42">
        <f>Q12*AH14</f>
        <v>0</v>
      </c>
      <c r="T12" s="254">
        <f>COUNTIFS(General!F:F, "IP CERRADA", General!K:K, "L DEL PIERO", General!K:K, "A MIÑO", General!H:H, "PTE. APROBACION", General!G:G, "IP REMOTA", General!O:O, "&gt;="&amp;DATE(2025,7,1), General!O:O, "&lt;="&amp;DATE(2025,7,31))</f>
        <v>0</v>
      </c>
      <c r="U12" s="38">
        <f>T12*AG14</f>
        <v>0</v>
      </c>
      <c r="V12" s="41">
        <f>COUNTIFS(General!F:F, "IP CERRADA", General!M:M, "L DEL PIERO", General!H:H, "PTE. APROBACION", General!G:G, "IP REMOTA", General!O:O, "&gt;="&amp;DATE(2025,7,1), General!O:O, "&lt;="&amp;DATE(2025,7,31))</f>
        <v>0</v>
      </c>
      <c r="W12" s="42">
        <f>V12*AH14</f>
        <v>0</v>
      </c>
      <c r="Y12" s="254">
        <f>COUNTIFS(General!F:F, "IP CERRADA", General!K:K, "E Delia",  General!H:H, "PTE. APROBACION", General!G:G, "IP FINAL/INTERMEDIA", General!O:O, "&gt;="&amp;DATE(2025,7,1), General!O:O, "&lt;="&amp;DATE(2025,7,31))</f>
        <v>0</v>
      </c>
      <c r="Z12" s="38">
        <f>Y12*AG9</f>
        <v>0</v>
      </c>
      <c r="AA12" s="41">
        <f>COUNTIFS(General!F:F, "IP CERRADA", General!M:M, "E Delia", General!H:H, "PTE. APROBACION", General!G:G, "IP REMOTA", General!O:O, "&gt;="&amp;DATE(2025,7,1), General!O:O, "&lt;="&amp;DATE(2025,7,31))</f>
        <v>0</v>
      </c>
      <c r="AB12" s="42">
        <f>AA12*AH14</f>
        <v>0</v>
      </c>
      <c r="AD12" s="37" t="s">
        <v>34</v>
      </c>
      <c r="AF12" s="118" t="s">
        <v>30</v>
      </c>
      <c r="AG12" s="119">
        <v>5625</v>
      </c>
      <c r="AH12" s="119">
        <v>5250</v>
      </c>
      <c r="AI12" s="116"/>
    </row>
    <row r="13" spans="1:35" ht="16.5">
      <c r="C13" s="261" t="s">
        <v>37</v>
      </c>
      <c r="E13" s="39" t="s">
        <v>27</v>
      </c>
      <c r="F13" s="40" t="s">
        <v>27</v>
      </c>
      <c r="G13" s="43">
        <f>COUNTIFS(General!F:F, "IP CERRADA", General!M:M, "A MIÑO", General!H:H, "PTE. APROBACION", General!G:G, "IP VIRTUAL", General!O:O, "&gt;="&amp;DATE(2025,7,1), General!O:O, "&lt;="&amp;DATE(2025,7,31))</f>
        <v>0</v>
      </c>
      <c r="H13" s="44">
        <f>G13*AH16</f>
        <v>0</v>
      </c>
      <c r="J13" s="39" t="s">
        <v>27</v>
      </c>
      <c r="K13" s="40" t="s">
        <v>27</v>
      </c>
      <c r="L13" s="43">
        <f>COUNTIFS(General!F:F, "IP SIN ORDEN", General!M:M, "J. FERLANTI", General!H:H, "PTE. APROBACION", General!G:G, "IP VIRTUAL", General!O:O, "&gt;="&amp;DATE(2025,7,1), General!O:O, "&lt;="&amp;DATE(2025,7,31)) + COUNTIFS(General!F:F, "PARA FACTURAR", General!M:M, "J. FERLANTI", General!H:H, "EN TRAMITE", General!G:G, "IP VIRTUAL", General!O:O, "&gt;="&amp;DATE(2025,7,1), General!O:O, "&lt;="&amp;DATE(2025,7,31))</f>
        <v>0</v>
      </c>
      <c r="M13" s="44">
        <f>L13*AH16</f>
        <v>0</v>
      </c>
      <c r="O13" s="39"/>
      <c r="P13" s="40"/>
      <c r="Q13" s="43">
        <f>COUNTIFS(General!F:F, "IP CERRADA", General!M:M, "J NEIRA", General!H:H, "PTE. APROBACION", General!G:G, "IP VIRTUAL", General!O:O, "&gt;="&amp;DATE(2025,7,1), General!O:O, "&lt;="&amp;DATE(2025,7,31))</f>
        <v>0</v>
      </c>
      <c r="R13" s="44">
        <f>Q13*AH16</f>
        <v>0</v>
      </c>
      <c r="T13" s="39"/>
      <c r="U13" s="40"/>
      <c r="V13" s="43">
        <f>COUNTIFS(General!F:F, "IP CERRADA", General!M:M, "L DEL PIERO", General!H:H, "PTE. APROBACION", General!G:G, "IP VIRTUAL", General!O:O, "&gt;="&amp;DATE(2025,7,1), General!O:O, "&lt;="&amp;DATE(2025,7,31))</f>
        <v>0</v>
      </c>
      <c r="W13" s="44">
        <f>V13*AH16</f>
        <v>0</v>
      </c>
      <c r="Y13" s="39"/>
      <c r="Z13" s="40"/>
      <c r="AA13" s="43">
        <f>COUNTIFS(General!F:F, "IP CERRADA", General!M:M, "E Delia", General!H:H, "PTE. APROBACION", General!G:G, "IP VIRTUAL", General!O:O, "&gt;="&amp;DATE(2025,7,1), General!O:O, "&lt;="&amp;DATE(2025,7,31))</f>
        <v>0</v>
      </c>
      <c r="AB13" s="44">
        <f>AA13*AH16</f>
        <v>0</v>
      </c>
      <c r="AD13" s="261" t="s">
        <v>37</v>
      </c>
      <c r="AF13" s="120" t="s">
        <v>32</v>
      </c>
      <c r="AG13" s="121" t="s">
        <v>27</v>
      </c>
      <c r="AH13" s="121">
        <v>0</v>
      </c>
      <c r="AI13" s="116"/>
    </row>
    <row r="14" spans="1:35" ht="16.5">
      <c r="C14" s="37" t="s">
        <v>26</v>
      </c>
      <c r="E14" s="254">
        <f>COUNTIFS(General!F:F, "IP CERRADA", General!K:K, "A MIÑO", General!K:K, "A MIÑO", General!H:H, "PTE. APROBACION", General!G:G, "AUSENTE", General!O:O, "&gt;="&amp;DATE(2025,7,1), General!O:O, "&lt;="&amp;DATE(2025,7,31))</f>
        <v>0</v>
      </c>
      <c r="F14" s="38">
        <f>E14*AG11</f>
        <v>0</v>
      </c>
      <c r="G14" s="41" t="s">
        <v>27</v>
      </c>
      <c r="H14" s="42" t="s">
        <v>27</v>
      </c>
      <c r="J14" s="254">
        <f>COUNTIFS(General!F:F, "IP CERRADA", General!K:K, "J. FERLANTI", General!H:H, "PTE. APROBACION", General!G:G, "AUSENTE", General!O:O, "&gt;="&amp;DATE(2025,7,1), General!O:O, "&lt;="&amp;DATE(2025,7,31)) + COUNTIFS(General!F:F, "PARA FACTURAR", General!K:K, "J. FERLANTI", General!G:G, "AUSENTE", General!O:O, "&gt;="&amp;DATE(2025,7,1), General!O:O, "&lt;="&amp;DATE(2025,7,31))</f>
        <v>0</v>
      </c>
      <c r="K14" s="38">
        <f>J14*AG11</f>
        <v>0</v>
      </c>
      <c r="L14" s="41"/>
      <c r="M14" s="42"/>
      <c r="O14" s="254">
        <f>COUNTIFS(General!F:F, "IP CERRADA", General!K:K, "J NEIRA", General!K:K, "A MIÑO", General!H:H, "PTE. APROBACION", General!G:G, "AUSENTE", General!O:O, "&gt;="&amp;DATE(2025,7,1), General!O:O, "&lt;="&amp;DATE(2025,7,31))</f>
        <v>0</v>
      </c>
      <c r="P14" s="38">
        <f>O14*AG11</f>
        <v>0</v>
      </c>
      <c r="Q14" s="41"/>
      <c r="R14" s="42"/>
      <c r="T14" s="254">
        <f>COUNTIFS(General!F:F, "IP CERRADA", General!K:K, "L DEL PIERO", General!K:K, "A MIÑO", General!H:H, "PTE. APROBACION", General!G:G, "AUSENTE", General!O:O, "&gt;="&amp;DATE(2025,7,1), General!O:O, "&lt;="&amp;DATE(2025,7,31))</f>
        <v>0</v>
      </c>
      <c r="U14" s="38">
        <f>T14*AG11</f>
        <v>0</v>
      </c>
      <c r="V14" s="41"/>
      <c r="W14" s="42"/>
      <c r="Y14" s="254">
        <f>COUNTIFS(General!F:F, "IP CERRADA", General!K:K, "E Delia", General!K:K, "E DELIA", General!H:H, "PTE. APROBACION", General!G:G, "AUSENTE", General!O:O, "&gt;="&amp;DATE(2025,7,1), General!O:O, "&lt;="&amp;DATE(2025,7,31))</f>
        <v>10</v>
      </c>
      <c r="Z14" s="38">
        <f>Y14*AG11</f>
        <v>16500</v>
      </c>
      <c r="AA14" s="41"/>
      <c r="AB14" s="42"/>
      <c r="AD14" s="37" t="s">
        <v>26</v>
      </c>
      <c r="AF14" s="118" t="s">
        <v>34</v>
      </c>
      <c r="AG14" s="119">
        <v>0</v>
      </c>
      <c r="AH14" s="119">
        <v>0</v>
      </c>
      <c r="AI14" s="116"/>
    </row>
    <row r="15" spans="1:35">
      <c r="E15" s="395" t="s">
        <v>44</v>
      </c>
      <c r="F15" s="396"/>
      <c r="G15" s="397" t="s">
        <v>44</v>
      </c>
      <c r="H15" s="398"/>
      <c r="J15" s="383" t="s">
        <v>44</v>
      </c>
      <c r="K15" s="384"/>
      <c r="L15" s="381" t="s">
        <v>44</v>
      </c>
      <c r="M15" s="382"/>
      <c r="O15" s="383" t="s">
        <v>44</v>
      </c>
      <c r="P15" s="384"/>
      <c r="Q15" s="381" t="s">
        <v>44</v>
      </c>
      <c r="R15" s="382"/>
      <c r="T15" s="383" t="s">
        <v>44</v>
      </c>
      <c r="U15" s="384"/>
      <c r="V15" s="381" t="s">
        <v>44</v>
      </c>
      <c r="W15" s="382"/>
      <c r="Y15" s="383" t="s">
        <v>44</v>
      </c>
      <c r="Z15" s="384"/>
      <c r="AA15" s="381" t="s">
        <v>44</v>
      </c>
      <c r="AB15" s="382"/>
      <c r="AF15" s="120" t="s">
        <v>29</v>
      </c>
      <c r="AG15" s="121">
        <v>5625</v>
      </c>
      <c r="AH15" s="121">
        <v>5250</v>
      </c>
      <c r="AI15" s="116"/>
    </row>
    <row r="16" spans="1:35">
      <c r="E16" s="37">
        <f>E4+E5+E6+E7+E9+E10+E12+E14</f>
        <v>2</v>
      </c>
      <c r="F16" s="29">
        <f>F4+F5+F6+F7+F9+F10+F12+F14</f>
        <v>11250</v>
      </c>
      <c r="G16" s="51">
        <f>G4+G5+G6+G7+G8+G9+G10+G11+G12+G13</f>
        <v>0</v>
      </c>
      <c r="H16" s="45">
        <f>H4+H5+H6+H7+H8+H9+H10+H11+H12+H13</f>
        <v>0</v>
      </c>
      <c r="J16" s="37">
        <f>J4+J5+J6+J7+J9+J10+J12+J14</f>
        <v>16</v>
      </c>
      <c r="K16" s="29">
        <f>K4+K5+K6+K7+K9+K10+K12+K14</f>
        <v>61875</v>
      </c>
      <c r="L16" s="51">
        <f>L4+L5+L6+L7+L8+L9+L10+L11+L12+L13</f>
        <v>240</v>
      </c>
      <c r="M16" s="45">
        <f>M4+M5+M6+M7+M8+M9+M10+M11+M12+M13</f>
        <v>1172250</v>
      </c>
      <c r="O16" s="37">
        <f>O4+O5+O6+O7+O8+O9+O10+O11+O12+O13+O14</f>
        <v>0</v>
      </c>
      <c r="P16" s="29">
        <f>P4+P5+P6+P7+P8+P9+P10+P11+P12+P13</f>
        <v>0</v>
      </c>
      <c r="Q16" s="51">
        <f>Q4+Q5+Q6+Q7+Q8+Q9+Q10+Q11+Q12+Q13</f>
        <v>0</v>
      </c>
      <c r="R16" s="45">
        <f>R4+R5+R6+R7+R8+R9+R10+R11+R12+R13</f>
        <v>0</v>
      </c>
      <c r="T16" s="37">
        <f>T4+T5+T6+T7+T8+T9+T10+T11+T12+T13+T14</f>
        <v>113</v>
      </c>
      <c r="U16" s="29">
        <f>U4+U5+U6+U7+U8+U9+U10+U11+U12+U13</f>
        <v>601250</v>
      </c>
      <c r="V16" s="51">
        <f>V4+V5+V6+V7+V8+V9+V10+V11+V12+V13</f>
        <v>0</v>
      </c>
      <c r="W16" s="45">
        <f>W4+W5+W6+W7+W8+W9+W10+W11+W12+W13</f>
        <v>0</v>
      </c>
      <c r="Y16" s="37">
        <f>Y4+Y5+Y6+Y7+Y8+Y9+Y10+Y11+Y12+Y13+Y14</f>
        <v>119</v>
      </c>
      <c r="Z16" s="29">
        <f>Z4+Z5+Z6+Z7+Z8+Z9+Z10+Z11+Z12+Z13</f>
        <v>597500</v>
      </c>
      <c r="AA16" s="51">
        <f>AA4+AA5+AA6+AA7+AA8+AA9+AA10+AA11+AA12+AA13</f>
        <v>0</v>
      </c>
      <c r="AB16" s="45">
        <f>AB4+AB5+AB6+AB7+AB8+AB9+AB10+AB11+AB12+AB13</f>
        <v>0</v>
      </c>
      <c r="AF16" s="118" t="s">
        <v>37</v>
      </c>
      <c r="AG16" s="119" t="s">
        <v>27</v>
      </c>
      <c r="AH16" s="119">
        <v>0</v>
      </c>
      <c r="AI16" s="116"/>
    </row>
    <row r="17" spans="3:35">
      <c r="E17" s="48"/>
      <c r="F17" s="49"/>
      <c r="G17" s="48"/>
      <c r="H17" s="49"/>
      <c r="J17" s="48"/>
      <c r="K17" s="49"/>
      <c r="L17" s="48"/>
      <c r="M17" s="49"/>
      <c r="O17" s="48"/>
      <c r="P17" s="49"/>
      <c r="Q17" s="48"/>
      <c r="R17" s="49"/>
      <c r="T17" s="48"/>
      <c r="U17" s="49"/>
      <c r="V17" s="48"/>
      <c r="W17" s="49"/>
      <c r="Y17" s="48"/>
      <c r="Z17" s="49"/>
      <c r="AA17" s="48"/>
      <c r="AB17" s="49"/>
      <c r="AF17" s="118"/>
      <c r="AG17" s="119"/>
      <c r="AH17" s="119"/>
      <c r="AI17" s="116"/>
    </row>
    <row r="18" spans="3:35">
      <c r="E18" s="395"/>
      <c r="F18" s="396"/>
      <c r="G18" s="261"/>
      <c r="H18" s="52"/>
      <c r="J18" s="380"/>
      <c r="K18" s="380"/>
      <c r="L18" s="261"/>
      <c r="M18" s="50"/>
      <c r="O18" s="380"/>
      <c r="P18" s="380"/>
      <c r="Q18" s="261"/>
      <c r="R18" s="50"/>
      <c r="T18" s="380"/>
      <c r="U18" s="380"/>
      <c r="V18" s="261"/>
      <c r="W18" s="50"/>
      <c r="Y18" s="380"/>
      <c r="Z18" s="380"/>
      <c r="AA18" s="261"/>
      <c r="AB18" s="50"/>
      <c r="AF18" s="118"/>
      <c r="AG18" s="119"/>
      <c r="AH18" s="119"/>
      <c r="AI18" s="116"/>
    </row>
    <row r="19" spans="3:35">
      <c r="E19" s="376" t="s">
        <v>3</v>
      </c>
      <c r="F19" s="377"/>
      <c r="G19" s="99">
        <f>COUNTIFS(General!F:F, "LICITANDO REPUESTOS", General!M:M, "A MIÑO")</f>
        <v>0</v>
      </c>
      <c r="H19" s="100"/>
      <c r="J19" s="376" t="s">
        <v>3</v>
      </c>
      <c r="K19" s="377"/>
      <c r="L19" s="99">
        <f>COUNTIFS(General!F:F, "LICITANDO REPUESTOS", General!M:M, "J. FERLANTI")</f>
        <v>16</v>
      </c>
      <c r="M19" s="100"/>
      <c r="O19" s="393" t="s">
        <v>3</v>
      </c>
      <c r="P19" s="394"/>
      <c r="Q19" s="99">
        <f>COUNTIFS(General!F:F, "LICITANDO REPUESTOS", General!M:M, "J NEIRA")</f>
        <v>0</v>
      </c>
      <c r="R19" s="100"/>
      <c r="T19" s="376" t="s">
        <v>3</v>
      </c>
      <c r="U19" s="377"/>
      <c r="V19" s="95"/>
      <c r="W19" s="96"/>
      <c r="Y19" s="376" t="s">
        <v>3</v>
      </c>
      <c r="Z19" s="377"/>
      <c r="AA19" s="95"/>
      <c r="AB19" s="96"/>
      <c r="AF19" s="122" t="s">
        <v>43</v>
      </c>
      <c r="AG19" s="123">
        <v>300</v>
      </c>
      <c r="AH19" s="123" t="s">
        <v>27</v>
      </c>
      <c r="AI19" s="117"/>
    </row>
    <row r="20" spans="3:35">
      <c r="E20" s="378" t="s">
        <v>85</v>
      </c>
      <c r="F20" s="379"/>
      <c r="G20" s="97"/>
      <c r="H20" s="98"/>
      <c r="J20" s="378" t="s">
        <v>85</v>
      </c>
      <c r="K20" s="379"/>
      <c r="L20" s="97">
        <f>COUNTIFS(General!F:F, "IP COORDINADA", General!M:M, "J. FERLANTI")</f>
        <v>34</v>
      </c>
      <c r="M20" s="98"/>
      <c r="O20" s="378" t="s">
        <v>85</v>
      </c>
      <c r="P20" s="379"/>
      <c r="Q20" s="97"/>
      <c r="R20" s="98"/>
      <c r="T20" s="378" t="s">
        <v>85</v>
      </c>
      <c r="U20" s="379"/>
      <c r="V20" s="97"/>
      <c r="W20" s="98"/>
      <c r="Y20" s="378" t="s">
        <v>85</v>
      </c>
      <c r="Z20" s="379"/>
      <c r="AA20" s="97"/>
      <c r="AB20" s="98"/>
    </row>
    <row r="21" spans="3:35">
      <c r="E21" s="374" t="s">
        <v>86</v>
      </c>
      <c r="F21" s="375"/>
      <c r="G21" s="46">
        <f>E4+E5+E6+E7+E9+E10+E12+E14+G4+G5+G6+G7+G8+G9+G10+G11+G12+G13</f>
        <v>2</v>
      </c>
      <c r="H21" s="47">
        <f>F16+H16+H18</f>
        <v>11250</v>
      </c>
      <c r="J21" s="374" t="s">
        <v>86</v>
      </c>
      <c r="K21" s="375"/>
      <c r="L21" s="46">
        <f>J4+J5+J6+J7+J9+J10+J12+J14+L4+L5+L6+L7+L9+L8+L10+L11+L12+L13</f>
        <v>256</v>
      </c>
      <c r="M21" s="47">
        <f>M16+M18+K16</f>
        <v>1234125</v>
      </c>
      <c r="O21" s="374" t="s">
        <v>86</v>
      </c>
      <c r="P21" s="375"/>
      <c r="Q21" s="46">
        <f>Q4+Q5+Q6+Q7+Q8+Q9+Q10+Q11+Q12+Q13+O4+O5+O6+O8+O7+O9+O10+O11+O12+O13</f>
        <v>0</v>
      </c>
      <c r="R21" s="47">
        <f>P16+R16</f>
        <v>0</v>
      </c>
      <c r="T21" s="374" t="s">
        <v>86</v>
      </c>
      <c r="U21" s="375"/>
      <c r="V21" s="46">
        <f>V4+V5+V6+V7+V8+V9+V10+V11+V12+V13+T4+T5+T6+T8+T7+T9+T10+T11+T12+T13</f>
        <v>113</v>
      </c>
      <c r="W21" s="47">
        <f>U16+W16</f>
        <v>601250</v>
      </c>
      <c r="Y21" s="374" t="s">
        <v>86</v>
      </c>
      <c r="Z21" s="375"/>
      <c r="AA21" s="46">
        <f>AA4+AA5+AA6+AA7+AA8+AA9+AA10+AA11+AA12+AA13+Y4+Y5+Y6+Y8+Y7+Y9+Y10+Y11+Y12+Y13</f>
        <v>109</v>
      </c>
      <c r="AB21" s="47">
        <f>Z16+AB16</f>
        <v>597500</v>
      </c>
    </row>
    <row r="22" spans="3:35">
      <c r="S22" t="s">
        <v>87</v>
      </c>
    </row>
    <row r="24" spans="3:35">
      <c r="C24" s="369" t="s">
        <v>1</v>
      </c>
      <c r="E24" s="385" t="s">
        <v>33</v>
      </c>
      <c r="F24" s="386"/>
      <c r="G24" s="386"/>
      <c r="H24" s="387"/>
      <c r="J24" s="385" t="s">
        <v>31</v>
      </c>
      <c r="K24" s="386"/>
      <c r="L24" s="386"/>
      <c r="M24" s="387"/>
      <c r="O24" s="385" t="s">
        <v>88</v>
      </c>
      <c r="P24" s="386"/>
      <c r="Q24" s="386"/>
      <c r="R24" s="387"/>
      <c r="T24" s="385" t="s">
        <v>22</v>
      </c>
      <c r="U24" s="386"/>
      <c r="V24" s="386"/>
      <c r="W24" s="387"/>
      <c r="Y24" s="385" t="s">
        <v>28</v>
      </c>
      <c r="Z24" s="386"/>
      <c r="AA24" s="386"/>
      <c r="AB24" s="387"/>
      <c r="AD24" s="369" t="s">
        <v>1</v>
      </c>
    </row>
    <row r="25" spans="3:35">
      <c r="C25" s="369"/>
      <c r="E25" s="388"/>
      <c r="F25" s="389"/>
      <c r="G25" s="389"/>
      <c r="H25" s="390"/>
      <c r="J25" s="388"/>
      <c r="K25" s="389"/>
      <c r="L25" s="389"/>
      <c r="M25" s="390"/>
      <c r="O25" s="388"/>
      <c r="P25" s="389"/>
      <c r="Q25" s="389"/>
      <c r="R25" s="390"/>
      <c r="T25" s="388"/>
      <c r="U25" s="389"/>
      <c r="V25" s="389"/>
      <c r="W25" s="390"/>
      <c r="Y25" s="388"/>
      <c r="Z25" s="389"/>
      <c r="AA25" s="389"/>
      <c r="AB25" s="390"/>
      <c r="AD25" s="369"/>
    </row>
    <row r="26" spans="3:35">
      <c r="E26" s="391" t="s">
        <v>83</v>
      </c>
      <c r="F26" s="391"/>
      <c r="G26" s="392" t="s">
        <v>8</v>
      </c>
      <c r="H26" s="392"/>
      <c r="J26" s="391" t="s">
        <v>83</v>
      </c>
      <c r="K26" s="391"/>
      <c r="L26" s="392" t="s">
        <v>8</v>
      </c>
      <c r="M26" s="392"/>
      <c r="O26" s="391" t="s">
        <v>83</v>
      </c>
      <c r="P26" s="391"/>
      <c r="Q26" s="392" t="s">
        <v>8</v>
      </c>
      <c r="R26" s="392"/>
      <c r="T26" s="391" t="s">
        <v>83</v>
      </c>
      <c r="U26" s="391"/>
      <c r="V26" s="392" t="s">
        <v>8</v>
      </c>
      <c r="W26" s="392"/>
      <c r="Y26" s="391" t="s">
        <v>83</v>
      </c>
      <c r="Z26" s="391"/>
      <c r="AA26" s="392" t="s">
        <v>8</v>
      </c>
      <c r="AB26" s="392"/>
    </row>
    <row r="27" spans="3:35" ht="16.5">
      <c r="C27" s="37" t="s">
        <v>10</v>
      </c>
      <c r="E27" s="254">
        <f>COUNTIFS(General!F:F, "IP CERRADA", General!K:K, "G DICLEMENTE", General!H:H, "PTE. APROBACION", General!G:G, "IP CON ORDEN", General!O:O, "&gt;="&amp;DATE(2025,7,1), General!O:O, "&lt;="&amp;DATE(2025,7,31))</f>
        <v>0</v>
      </c>
      <c r="F27" s="38">
        <f>E27*AG5</f>
        <v>0</v>
      </c>
      <c r="G27" s="55">
        <f>COUNTIFS(General!F:F, "IP CERRADA", General!M:M, "G DICLEMENTE", General!H:H, "PTE. APROBACION", General!G:G, "IP CON ORDEN", General!O:O, "&gt;="&amp;DATE(2025,7,1), General!O:O, "&lt;="&amp;DATE(2025,7,31))</f>
        <v>0</v>
      </c>
      <c r="H27" s="42">
        <f>G27*AH5</f>
        <v>0</v>
      </c>
      <c r="J27" s="254">
        <f>COUNTIFS(General!F:F, "IP CERRADA", General!K:K, "R. FRANCO", General!H:H, "PTE. APROBACION", General!G:G, "IP CON ORDEN", General!O:O, "&gt;="&amp;DATE(2025,7,1), General!O:O, "&lt;="&amp;DATE(2025,7,31))</f>
        <v>0</v>
      </c>
      <c r="K27" s="38">
        <f>J27*AG5</f>
        <v>0</v>
      </c>
      <c r="L27" s="41">
        <f>COUNTIFS(General!F:F, "IP CERRADA", General!M:M, "R. FRANCO", General!H:H, "PTE. APROBACION", General!G:G, "IP CON ORDEN", General!O:O, "&gt;="&amp;DATE(2025,7,1), General!O:O, "&lt;="&amp;DATE(2025,7,31))</f>
        <v>0</v>
      </c>
      <c r="M27" s="42">
        <f>L27*AH5</f>
        <v>0</v>
      </c>
      <c r="O27" s="254">
        <f>COUNTIFS(General!F:F, "IP CERRADA", General!K:K, "R ARIN", General!H:H, "PTE. APROBACION", General!G:G, "IP CON ORDEN", General!O:O, "&gt;="&amp;DATE(2025,7,1), General!O:O, "&lt;="&amp;DATE(2025,7,31))</f>
        <v>0</v>
      </c>
      <c r="P27" s="38">
        <f>O27*AG5</f>
        <v>0</v>
      </c>
      <c r="Q27" s="41">
        <f>COUNTIFS(General!F:F, "IP CERRADA", General!M:M, "R ARIN", General!H:H, "PTE. APROBACION", General!G:G, "IP CON ORDEN", General!O:O, "&gt;="&amp;DATE(2025,7,1), General!O:O, "&lt;="&amp;DATE(2025,7,31))</f>
        <v>0</v>
      </c>
      <c r="R27" s="42">
        <f>Q27*AH5</f>
        <v>0</v>
      </c>
      <c r="T27" s="254">
        <f>COUNTIFS(General!F:F, "IP CERRADA", General!K:K, "C. CRIBARI", General!H:H, "PTE. APROBACION", General!G:G, "IP CON ORDEN", General!O:O, "&gt;="&amp;DATE(2025,7,1), General!O:O, "&lt;="&amp;DATE(2025,7,31)) + COUNTIFS(General!F:F, "PARA FACTURAR", General!K:K, "C. CRIBARI", General!G:G, "IP CON ORDEN", General!O:O, "&gt;="&amp;DATE(2025,7,1), General!O:O, "&lt;="&amp;DATE(2025,7,31))</f>
        <v>0</v>
      </c>
      <c r="U27" s="38">
        <f>T27*AG5</f>
        <v>0</v>
      </c>
      <c r="V27" s="41">
        <f>COUNTIFS(General!F:F, "IP CERRADA", General!M:M, "C. CRIBARI", General!H:H, "PTE. APROBACION", General!G:G, "IP CON ORDEN", General!O:O, "&gt;="&amp;DATE(2025,7,1), General!O:O, "&lt;="&amp;DATE(2025,7,31)) + COUNTIFS(General!F:F, "PARA FACTURAR", General!M:M, "C. CRIBARI", General!H:H, "EN TRAMITE", General!G:G, "IP CON ORDEN")</f>
        <v>0</v>
      </c>
      <c r="W27" s="42">
        <f>V27*AH5</f>
        <v>0</v>
      </c>
      <c r="Y27" s="254">
        <f>COUNTIFS(General!F:F, "IP CERRADA", General!K:K, "E DZYHAJLO", General!H:H, "PTE. APROBACION", General!G:G, "IP CON ORDEN", General!O:O, "&gt;="&amp;DATE(2025,7,1), General!O:O, "&lt;="&amp;DATE(2025,7,31))</f>
        <v>0</v>
      </c>
      <c r="Z27" s="38">
        <f>Y27*AG5</f>
        <v>0</v>
      </c>
      <c r="AA27" s="41"/>
      <c r="AB27" s="42">
        <f>AA27*AH5</f>
        <v>0</v>
      </c>
      <c r="AD27" s="37" t="s">
        <v>10</v>
      </c>
    </row>
    <row r="28" spans="3:35" ht="16.5">
      <c r="C28" s="261" t="s">
        <v>15</v>
      </c>
      <c r="E28" s="39">
        <f>COUNTIFS(General!F:F, "IP CERRADA", General!K:K, "G DICLEMENTE", General!H:H, "PTE. APROBACION", General!G:G, "POSIBLE DT", General!O:O, "&gt;="&amp;DATE(2025,7,1), General!O:O, "&lt;="&amp;DATE(2025,7,31))</f>
        <v>0</v>
      </c>
      <c r="F28" s="53">
        <f>E28*AG7</f>
        <v>0</v>
      </c>
      <c r="G28" s="43">
        <f>COUNTIFS(General!F:F, "IP CERRADA", General!M:M, "G DICLEMENTE", General!H:H, "PTE. APROBACION", General!G:G, "POSIBLE DT", General!O:O, "&gt;="&amp;DATE(2025,7,1), General!O:O, "&lt;="&amp;DATE(2025,7,31))</f>
        <v>0</v>
      </c>
      <c r="H28" s="54">
        <f>G28*AH7</f>
        <v>0</v>
      </c>
      <c r="J28" s="39">
        <f>COUNTIFS(General!F:F, "IP CERRADA", General!K:K, "R. FRANCO", General!H:H, "PTE. APROBACION", General!G:G, "POSIBLE DT", General!O:O, "&gt;="&amp;DATE(2025,7,1), General!O:O, "&lt;="&amp;DATE(2025,7,31))</f>
        <v>0</v>
      </c>
      <c r="K28" s="40">
        <f>J28*AG7</f>
        <v>0</v>
      </c>
      <c r="L28" s="43">
        <f>COUNTIFS(General!F:F, "IP CERRADA", General!M:M, "R. FRANCO", General!H:H, "PTE. APROBACION", General!G:G, "POSIBLE DT", General!O:O, "&gt;="&amp;DATE(2025,7,1), General!O:O, "&lt;="&amp;DATE(2025,7,31))</f>
        <v>0</v>
      </c>
      <c r="M28" s="44">
        <f>L28*AH7</f>
        <v>0</v>
      </c>
      <c r="O28" s="39">
        <f>COUNTIFS(General!F:F, "IP CERRADA", General!K:K, "R ARIN", General!H:H, "PTE. APROBACION", General!G:G, "POSIBLE DT", General!O:O, "&gt;="&amp;DATE(2025,7,1), General!O:O, "&lt;="&amp;DATE(2025,7,31))</f>
        <v>0</v>
      </c>
      <c r="P28" s="40">
        <f>O28*AG7</f>
        <v>0</v>
      </c>
      <c r="Q28" s="43">
        <f>COUNTIFS(General!F:F, "IP CERRADA", General!M:M, "R ARIN", General!H:H, "PTE. APROBACION", General!G:G, "POSIBLE DT", General!O:O, "&gt;="&amp;DATE(2025,7,1), General!O:O, "&lt;="&amp;DATE(2025,7,31))</f>
        <v>0</v>
      </c>
      <c r="R28" s="44">
        <f>Q28*AH7</f>
        <v>0</v>
      </c>
      <c r="T28" s="39">
        <f>COUNTIFS(General!F:F, "IP CERRADA", General!K:K, "C. CRIBARI", General!H:H, "PTE. APROBACION", General!G:G, "POSIBLE DT", General!O:O, "&gt;="&amp;DATE(2025,7,1), General!O:O, "&lt;="&amp;DATE(2025,7,31)) + COUNTIFS(General!F:F, "PARA FACTURAR", General!K:K, "C. CRIBARI", General!G:G, "POSIBLE DT", General!O:O, "&gt;="&amp;DATE(2025,7,1), General!O:O, "&lt;="&amp;DATE(2025,7,31))</f>
        <v>0</v>
      </c>
      <c r="U28" s="40">
        <f>T28*AG7</f>
        <v>0</v>
      </c>
      <c r="V28" s="43">
        <f>COUNTIFS(General!F:F, "IP CERRADA", General!M:M, "C. CRIBARI", General!H:H, "PTE. APROBACION", General!G:G, "POSIBLE DT", General!O:O, "&gt;="&amp;DATE(2025,7,1), General!O:O, "&lt;="&amp;DATE(2025,7,31)) + COUNTIFS(General!F:F, "PARA FACTURAR", General!M:M, "C. CRIBARI", General!H:H, "EN TRAMITE", General!G:G, "POSIBLE DT", General!O:O, "&gt;="&amp;DATE(2025,7,1), General!O:O, "&lt;="&amp;DATE(2025,7,31))</f>
        <v>0</v>
      </c>
      <c r="W28" s="44">
        <f>V28*AH7</f>
        <v>0</v>
      </c>
      <c r="Y28" s="39">
        <f>COUNTIFS(General!F:F, "IP CERRADA", General!K:K, "E DZYHAJLO", General!H:H, "PTE. APROBACION", General!G:G, "POSIBLE DT", General!O:O, "&gt;="&amp;DATE(2025,7,1), General!O:O, "&lt;="&amp;DATE(2025,7,31))</f>
        <v>0</v>
      </c>
      <c r="Z28" s="40">
        <f>Y28*AG7</f>
        <v>0</v>
      </c>
      <c r="AA28" s="43"/>
      <c r="AB28" s="44">
        <f>AA28*AH7</f>
        <v>0</v>
      </c>
      <c r="AD28" s="261" t="s">
        <v>15</v>
      </c>
    </row>
    <row r="29" spans="3:35" ht="16.5">
      <c r="C29" s="37" t="s">
        <v>18</v>
      </c>
      <c r="E29" s="254">
        <f>COUNTIFS(General!F:F, "IP CERRADA", General!K:K, "G DICLEMENTE", General!H:H, "PTE. APROBACION", General!G:G, "IP SIN ORDEN", General!O:O, "&gt;="&amp;DATE(2025,7,1), General!O:O, "&lt;="&amp;DATE(2025,7,31))</f>
        <v>0</v>
      </c>
      <c r="F29" s="38">
        <f>E29*AG8</f>
        <v>0</v>
      </c>
      <c r="G29" s="56">
        <f>COUNTIFS(General!F:F, "IP CERRADA", General!M:M, "G DICLEMENTE", General!H:H, "PTE. APROBACION", General!G:G, "IP SIN ORDEN", General!O:O, "&gt;="&amp;DATE(2025,7,1), General!O:O, "&lt;="&amp;DATE(2025,7,31))</f>
        <v>0</v>
      </c>
      <c r="H29" s="42">
        <f>G29*AH8</f>
        <v>0</v>
      </c>
      <c r="J29" s="254">
        <f>COUNTIFS(General!F:F, "IP CERRADA", General!K:K, "R. FRANCO", General!H:H, "PTE. APROBACION", General!G:G, "IP SIN ORDEN", General!O:O, "&gt;="&amp;DATE(2025,7,1), General!O:O, "&lt;="&amp;DATE(2025,7,31))</f>
        <v>0</v>
      </c>
      <c r="K29" s="38">
        <f>J29*AG8</f>
        <v>0</v>
      </c>
      <c r="L29" s="41">
        <f>COUNTIFS(General!F:F, "IP CERRADA", General!M:M, "R. FRANCO", General!H:H, "PTE. APROBACION", General!G:G, "IP SIN ORDEN", General!O:O, "&gt;="&amp;DATE(2025,7,1), General!O:O, "&lt;="&amp;DATE(2025,7,31))</f>
        <v>0</v>
      </c>
      <c r="M29" s="42">
        <f>L29*AH8</f>
        <v>0</v>
      </c>
      <c r="O29" s="254">
        <f>COUNTIFS(General!F:F, "IP CERRADA", General!K:K, "R ARIN", General!H:H, "PTE. APROBACION", General!G:G, "IP SIN ORDEN", General!O:O, "&gt;="&amp;DATE(2025,7,1), General!O:O, "&lt;="&amp;DATE(2025,7,31))</f>
        <v>0</v>
      </c>
      <c r="P29" s="38">
        <f>O29*AG8</f>
        <v>0</v>
      </c>
      <c r="Q29" s="41">
        <f>COUNTIFS(General!F:F, "IP CERRADA", General!M:M, "R ARIN", General!H:H, "PTE. APROBACION", General!G:G, "IP SIN ORDEN", General!O:O, "&gt;="&amp;DATE(2025,7,1), General!O:O, "&lt;="&amp;DATE(2025,7,31))</f>
        <v>0</v>
      </c>
      <c r="R29" s="42">
        <f>Q29*AH8</f>
        <v>0</v>
      </c>
      <c r="T29" s="254">
        <f>COUNTIFS(General!F:F, "IP CERRADA", General!K:K, "C. CRIBARI", General!H:H, "PTE. APROBACION", General!G:G, "IP SIN ORDEN", General!O:O, "&gt;="&amp;DATE(2025,7,1), General!O:O, "&lt;="&amp;DATE(2025,7,31)) + COUNTIFS(General!F:F, "PARA FACTURAR", General!K:K, "C. CRIBARI", General!G:G, "IP SIN ORDEN", General!O:O, "&gt;="&amp;DATE(2025,7,1), General!O:O, "&lt;="&amp;DATE(2025,7,31))</f>
        <v>0</v>
      </c>
      <c r="U29" s="38">
        <f>T29*AG8</f>
        <v>0</v>
      </c>
      <c r="V29" s="41">
        <f>COUNTIFS(General!F:F, "IP CERRADA", General!M:M, "C. CRIBARI", General!H:H, "PTE. APROBACION", General!G:G, "IP SIN ORDEN", General!O:O, "&gt;="&amp;DATE(2025,7,1), General!O:O, "&lt;="&amp;DATE(2025,7,31)) + COUNTIFS(General!F:F, "PARA FACTURAR", General!M:M, "C. CRIBARI", General!H:H, "EN TRAMITE", General!G:G, "IP SIN ORDEN", General!O:O, "&gt;="&amp;DATE(2025,7,1), General!O:O, "&lt;="&amp;DATE(2025,7,31))</f>
        <v>0</v>
      </c>
      <c r="W29" s="42">
        <f>V29*AH8</f>
        <v>0</v>
      </c>
      <c r="Y29" s="254">
        <f>COUNTIFS(General!F:F, "IP CERRADA", General!K:K, "E DZYHAJLO", General!H:H, "PTE. APROBACION", General!G:G, "IP SIN ORDEN", General!O:O, "&gt;="&amp;DATE(2025,7,1), General!O:O, "&lt;="&amp;DATE(2025,7,31))</f>
        <v>0</v>
      </c>
      <c r="Z29" s="38">
        <f>Y29*AG8</f>
        <v>0</v>
      </c>
      <c r="AA29" s="41"/>
      <c r="AB29" s="42">
        <f>AA29*AH8</f>
        <v>0</v>
      </c>
      <c r="AD29" s="37" t="s">
        <v>18</v>
      </c>
    </row>
    <row r="30" spans="3:35" ht="16.5">
      <c r="C30" s="261" t="s">
        <v>21</v>
      </c>
      <c r="E30" s="39">
        <f>COUNTIFS(General!F:F, "IP CERRADA", General!K:K, "G DICLEMENTE", General!H:H, "PTE. APROBACION", General!G:G, "AMPLIACION", General!O:O, "&gt;="&amp;DATE(2025,7,1), General!O:O, "&lt;="&amp;DATE(2025,7,31))</f>
        <v>0</v>
      </c>
      <c r="F30" s="40">
        <f>E30*AG9</f>
        <v>0</v>
      </c>
      <c r="G30" s="43">
        <f>COUNTIFS(General!F:F, "IP CERRADA", General!M:M, "G DICLEMENTE", General!H:H, "PTE. APROBACION", General!G:G, "AMPLIACION", General!O:O, "&gt;="&amp;DATE(2025,7,1), General!O:O, "&lt;="&amp;DATE(2025,7,31))</f>
        <v>0</v>
      </c>
      <c r="H30" s="44">
        <f>G30*AH9</f>
        <v>0</v>
      </c>
      <c r="J30" s="39">
        <f>COUNTIFS(General!F:F, "IP CERRADA", General!K:K, "R. FRANCO", General!H:H, "PTE. APROBACION", General!G:G, "AMPLIACION", General!O:O, "&gt;="&amp;DATE(2025,7,1), General!O:O, "&lt;="&amp;DATE(2025,7,31))</f>
        <v>0</v>
      </c>
      <c r="K30" s="40">
        <f>J30*AG9</f>
        <v>0</v>
      </c>
      <c r="L30" s="43">
        <f>COUNTIFS(General!F:F, "IP CERRADA", General!M:M, "R. FRANCO", General!H:H, "PTE. APROBACION", General!G:G, "AMPLIACION", General!O:O, "&gt;="&amp;DATE(2025,7,1), General!O:O, "&lt;="&amp;DATE(2025,7,31))</f>
        <v>0</v>
      </c>
      <c r="M30" s="44">
        <f>L30*AH9</f>
        <v>0</v>
      </c>
      <c r="O30" s="39">
        <f>COUNTIFS(General!F:F, "IP CERRADA", General!K:K, "R ARIN", General!H:H, "PTE. APROBACION", General!G:G, "AMPLIACION", General!O:O, "&gt;="&amp;DATE(2025,7,1), General!O:O, "&lt;="&amp;DATE(2025,7,31))</f>
        <v>0</v>
      </c>
      <c r="P30" s="40">
        <f>O30*AG9</f>
        <v>0</v>
      </c>
      <c r="Q30" s="43">
        <f>COUNTIFS(General!F:F, "IP CERRADA", General!M:M, "R ARIN", General!H:H, "PTE. APROBACION", General!G:G, "AMPLIACION", General!O:O, "&gt;="&amp;DATE(2025,7,1), General!O:O, "&lt;="&amp;DATE(2025,7,31))</f>
        <v>0</v>
      </c>
      <c r="R30" s="44">
        <f>Q30*AH9</f>
        <v>0</v>
      </c>
      <c r="T30" s="39">
        <f>COUNTIFS(General!F:F, "IP CERRADA", General!K:K, "C. CRIBARI", General!H:H, "PTE. APROBACION", General!G:G, "AMPLIACION", General!O:O, "&gt;="&amp;DATE(2025,7,1), General!O:O, "&lt;="&amp;DATE(2025,7,31)) + COUNTIFS(General!F:F, "PARA FACTURAR", General!K:K, "C. CRIBARI", General!G:G, "AMPLIACION", General!O:O, "&gt;="&amp;DATE(2025,7,1), General!O:O, "&lt;="&amp;DATE(2025,7,31))</f>
        <v>0</v>
      </c>
      <c r="U30" s="40">
        <f>T30*AG9</f>
        <v>0</v>
      </c>
      <c r="V30" s="43">
        <f>COUNTIFS(General!F:F, "IP SIN ORDEN", General!M:M, "C. CRIBARI", General!H:H, "PTE. APROBACION", General!G:G, "AMPLIACION", General!O:O, "&gt;="&amp;DATE(2025,7,1), General!O:O, "&lt;="&amp;DATE(2025,7,31)) + COUNTIFS(General!F:F, "PARA FACTURAR", General!M:M, "C. CRIBARI", General!H:H, "EN TRAMITE", General!G:G, "AMPLIACION", General!O:O, "&gt;="&amp;DATE(2025,7,1), General!O:O, "&lt;="&amp;DATE(2025,7,31))</f>
        <v>0</v>
      </c>
      <c r="W30" s="44">
        <f>V30*AH9</f>
        <v>0</v>
      </c>
      <c r="Y30" s="39">
        <f>COUNTIFS(General!F:F, "IP CERRADA", General!K:K, "E DZYHAJLO", General!H:H, "PTE. APROBACION", General!G:G, "AMPLIACION", General!O:O, "&gt;="&amp;DATE(2025,7,1), General!O:O, "&lt;="&amp;DATE(2025,7,31))</f>
        <v>0</v>
      </c>
      <c r="Z30" s="40">
        <f>Y30*AG9</f>
        <v>0</v>
      </c>
      <c r="AA30" s="43"/>
      <c r="AB30" s="44">
        <f>AA30*AH9</f>
        <v>0</v>
      </c>
      <c r="AD30" s="261" t="s">
        <v>21</v>
      </c>
    </row>
    <row r="31" spans="3:35" ht="16.5">
      <c r="C31" s="37" t="s">
        <v>24</v>
      </c>
      <c r="E31" s="254"/>
      <c r="F31" s="38"/>
      <c r="G31" s="41">
        <f>COUNTIFS(General!F:F, "IP CERRADA", General!M:M, "G DICLEMENTE", General!H:H, "PTE. APROBACION", General!G:G, "ENVIO DE ORDEN", General!O:O, "&gt;="&amp;DATE(2025,7,1), General!O:O, "&lt;="&amp;DATE(2025,7,31))</f>
        <v>0</v>
      </c>
      <c r="H31" s="42">
        <f>G31*AH10</f>
        <v>0</v>
      </c>
      <c r="J31" s="254"/>
      <c r="K31" s="38"/>
      <c r="L31" s="41">
        <f>COUNTIFS(General!F:F, "IP CERRADA", General!M:M, "R. FRANCO", General!H:H, "PTE. APROBACION", General!G:G, "ENVIO DE ORDEN", General!O:O, "&gt;="&amp;DATE(2025,7,1), General!O:O, "&lt;="&amp;DATE(2025,7,31))</f>
        <v>0</v>
      </c>
      <c r="M31" s="42">
        <f>L31*AH10</f>
        <v>0</v>
      </c>
      <c r="O31" s="254"/>
      <c r="P31" s="38"/>
      <c r="Q31" s="41">
        <f>COUNTIFS(General!F:F, "IP CERRADA", General!M:M, "R ARIN", General!H:H, "PTE. APROBACION", General!G:G, "ENVIO DE ORDEN", General!O:O, "&gt;="&amp;DATE(2025,7,1), General!O:O, "&lt;="&amp;DATE(2025,7,31))</f>
        <v>0</v>
      </c>
      <c r="R31" s="42">
        <f>Q31*AH10</f>
        <v>0</v>
      </c>
      <c r="T31" s="254"/>
      <c r="U31" s="38"/>
      <c r="V31" s="41">
        <f>COUNTIFS(General!P:P, "IP SIN ORDEN", General!AC:AC, "J. FERLANTI", General!R:R, "PTE. APROBACION", General!Q:Q, "ENVIO DE ORDEN", General!AE:AE, "&gt;="&amp;DATE(2024,5,1), General!AE:AE, "&lt;="&amp;DATE(2024,5,31)) + COUNTIFS(General!P:P, "PARA FACTURAR", General!AC:AC, "J. FERLANTI", General!R:R, "EN TRAMITE", General!Q:Q, "ENVIO DE ORDEN", General!AE:AE, "&gt;="&amp;DATE(2024,5,1), General!AE:AE, "&lt;="&amp;DATE(2024,5,31))</f>
        <v>0</v>
      </c>
      <c r="W31" s="42">
        <f>V31*AH10</f>
        <v>0</v>
      </c>
      <c r="Y31" s="254"/>
      <c r="Z31" s="38"/>
      <c r="AA31" s="41"/>
      <c r="AB31" s="42">
        <f>AA31*AH10</f>
        <v>0</v>
      </c>
      <c r="AD31" s="37" t="s">
        <v>24</v>
      </c>
    </row>
    <row r="32" spans="3:35" ht="16.5">
      <c r="C32" s="261" t="s">
        <v>29</v>
      </c>
      <c r="E32" s="39">
        <f>COUNTIFS(General!F:F, "IP CERRADA", General!K:K, "G DICLEMENTE", General!H:H, "PTE. APROBACION", General!G:G, "IP CAMIONES", General!O:O, "&gt;="&amp;DATE(2025,7,1), General!O:O, "&lt;="&amp;DATE(2025,7,31))</f>
        <v>0</v>
      </c>
      <c r="F32" s="40">
        <f>E32*AG15</f>
        <v>0</v>
      </c>
      <c r="G32" s="43">
        <f>COUNTIFS(General!F:F, "IP CERRADA", General!M:M, "G DICLEMENTE", General!H:H, "PTE. APROBACION", General!G:G, "IP CAMIONES", General!O:O, "&gt;="&amp;DATE(2025,7,1), General!O:O, "&lt;="&amp;DATE(2025,7,31))</f>
        <v>0</v>
      </c>
      <c r="H32" s="44">
        <f>G32*AH15</f>
        <v>0</v>
      </c>
      <c r="J32" s="39">
        <f>COUNTIFS(General!F:F, "IP CERRADA", General!K:K, "R. FRANCO", General!H:H, "PTE. APROBACION", General!G:G, "IP CAMIONES", General!O:O, "&gt;="&amp;DATE(2025,7,1), General!O:O, "&lt;="&amp;DATE(2025,7,31))</f>
        <v>0</v>
      </c>
      <c r="K32" s="40">
        <f>J32*AG15</f>
        <v>0</v>
      </c>
      <c r="L32" s="43">
        <f>COUNTIFS(General!F:F, "IP CERRADA", General!M:M, "R. FRANCO", General!H:H, "PTE. APROBACION", General!G:G, "IP CAMIONES", General!O:O, "&gt;="&amp;DATE(2025,7,1), General!O:O, "&lt;="&amp;DATE(2025,7,31))</f>
        <v>0</v>
      </c>
      <c r="M32" s="44">
        <f>L32*AH15</f>
        <v>0</v>
      </c>
      <c r="O32" s="39">
        <f>COUNTIFS(General!F:F, "IP CERRADA", General!K:K, "R ARIN", General!H:H, "PTE. APROBACION", General!G:G, "IP CAMIONES", General!O:O, "&gt;="&amp;DATE(2025,7,1), General!O:O, "&lt;="&amp;DATE(2025,7,31))</f>
        <v>0</v>
      </c>
      <c r="P32" s="40">
        <f>O32*AG15</f>
        <v>0</v>
      </c>
      <c r="Q32" s="43">
        <f>COUNTIFS(General!F:F, "IP CERRADA", General!M:M, "R ARIN", General!H:H, "PTE. APROBACION", General!G:G, "IP CAMIONES", General!O:O, "&gt;="&amp;DATE(2025,7,1), General!O:O, "&lt;="&amp;DATE(2025,7,31))</f>
        <v>0</v>
      </c>
      <c r="R32" s="44">
        <f>Q32*AH15</f>
        <v>0</v>
      </c>
      <c r="T32" s="39">
        <f>COUNTIFS(General!F:F, "IP CERRADA", General!K:K, "C. CRIBARI", General!H:H, "PTE. APROBACION", General!G:G, "IP CAMIONES", General!O:O, "&gt;="&amp;DATE(2025,7,1), General!O:O, "&lt;="&amp;DATE(2025,7,31)) + COUNTIFS(General!F:F, "PARA FACTURAR", General!K:K, "C. CRIBARI", General!G:G, "IP CAMIONES", General!O:O, "&gt;="&amp;DATE(2025,7,1), General!O:O, "&lt;="&amp;DATE(2025,7,31))</f>
        <v>0</v>
      </c>
      <c r="U32" s="40">
        <f>T32*AG15</f>
        <v>0</v>
      </c>
      <c r="V32" s="43">
        <f>COUNTIFS(General!P:P, "IP CERRADA", General!AC:AC, "J. FERLANTI", General!R:R, "PTE. APROBACION", General!Q:Q, "IP CAMIONES", General!AE:AE, "&gt;="&amp;DATE(2024,5,1), General!AE:AE, "&lt;="&amp;DATE(2024,5,31))</f>
        <v>0</v>
      </c>
      <c r="W32" s="44">
        <f>V32*AH15</f>
        <v>0</v>
      </c>
      <c r="Y32" s="39">
        <f>COUNTIFS(General!F:F, "IP CERRADA", General!K:K, "E DZYHAJLO", General!H:H, "PTE. APROBACION", General!G:G, "IP CAMIONES", General!O:O, "&gt;="&amp;DATE(2025,7,1), General!O:O, "&lt;="&amp;DATE(2025,7,31))</f>
        <v>0</v>
      </c>
      <c r="Z32" s="40">
        <f>Y32*AG15</f>
        <v>0</v>
      </c>
      <c r="AA32" s="43"/>
      <c r="AB32" s="44">
        <f>AA32*AH15</f>
        <v>0</v>
      </c>
      <c r="AD32" s="261" t="s">
        <v>29</v>
      </c>
    </row>
    <row r="33" spans="3:30" ht="16.5">
      <c r="C33" s="37" t="s">
        <v>30</v>
      </c>
      <c r="E33" s="254">
        <f>COUNTIFS(General!F:F, "IP CERRADA", General!K:K, "G DICLEMENTE", General!H:H, "PTE. APROBACION", General!G:G, "TERCEROS", General!O:O, "&gt;="&amp;DATE(2024,3,1), General!O:O, "&gt;="&amp;DATE(2025,7,1), General!O:O, "&lt;="&amp;DATE(2025,7,31))</f>
        <v>0</v>
      </c>
      <c r="F33" s="38">
        <f>E33*AG12</f>
        <v>0</v>
      </c>
      <c r="G33" s="41">
        <f>COUNTIFS(General!F:F, "IP CERRADA", General!M:M, "G DICLEMENTE", General!H:H, "PTE. APROBACION", General!G:G, "TERCEROS", General!O:O, "&gt;="&amp;DATE(2025,7,1), General!O:O, "&lt;="&amp;DATE(2025,7,31))</f>
        <v>0</v>
      </c>
      <c r="H33" s="42">
        <f>G33*AH12</f>
        <v>0</v>
      </c>
      <c r="J33" s="254">
        <f>COUNTIFS(General!F:F, "IP CERRADA", General!K:K, "R. FRANCO", General!H:H, "PTE. APROBACION", General!G:G, "TERCEROS", General!O:O, "&gt;="&amp;DATE(2024,3,1), General!O:O, "&gt;="&amp;DATE(2025,7,1), General!O:O, "&lt;="&amp;DATE(2025,7,31))</f>
        <v>0</v>
      </c>
      <c r="K33" s="38">
        <f>J33*AG12</f>
        <v>0</v>
      </c>
      <c r="L33" s="41">
        <f>COUNTIFS(General!F:F, "IP CERRADA", General!M:M, "R. FRANCO", General!H:H, "PTE. APROBACION", General!G:G, "TERCEROS", General!O:O, "&gt;="&amp;DATE(2025,7,1), General!O:O, "&lt;="&amp;DATE(2025,7,31))</f>
        <v>0</v>
      </c>
      <c r="M33" s="42">
        <f>L33*AH12</f>
        <v>0</v>
      </c>
      <c r="O33" s="254">
        <f>COUNTIFS(General!F:F, "IP CERRADA", General!K:K, "R ARIN", General!H:H, "PTE. APROBACION", General!G:G, "TERCEROS", General!O:O, "&gt;="&amp;DATE(2024,3,1), General!O:O, "&gt;="&amp;DATE(2025,7,1), General!O:O, "&lt;="&amp;DATE(2025,7,31))</f>
        <v>0</v>
      </c>
      <c r="P33" s="38">
        <f>O33*AG12</f>
        <v>0</v>
      </c>
      <c r="Q33" s="41">
        <f>COUNTIFS(General!F:F, "IP CERRADA", General!M:M, "R ARIN", General!H:H, "PTE. APROBACION", General!G:G, "TERCEROS", General!O:O, "&gt;="&amp;DATE(2025,7,1), General!O:O, "&lt;="&amp;DATE(2025,7,31))</f>
        <v>0</v>
      </c>
      <c r="R33" s="42">
        <f>Q33*AH12</f>
        <v>0</v>
      </c>
      <c r="T33" s="254">
        <f>COUNTIFS(General!F:F, "IP CERRADA", General!K:K, "C. CRIBARI", General!H:H, "PTE. APROBACION", General!G:G, "TERCEROS", General!O:O, "&gt;="&amp;DATE(2024,3,1), General!O:O, "&gt;="&amp;DATE(2025,7,1), General!O:O, "&lt;="&amp;DATE(2025,7,31)) + COUNTIFS(General!F:F, "PARA FACTURAR", General!K:K, "C. CRIBARI", General!G:G, "TERCEROS", General!O:O, "&gt;="&amp;DATE(2025,7,1), General!O:O, "&lt;="&amp;DATE(2025,7,31))</f>
        <v>0</v>
      </c>
      <c r="U33" s="38">
        <f>T33*AG12</f>
        <v>0</v>
      </c>
      <c r="V33" s="41">
        <f>COUNTIFS(General!F:F, "IP CERRADA", General!M:M, "J. FERLANTI", General!H:H, "PTE. APROBACION", General!G:G, "IP CAMIONES", General!O:O, "&gt;="&amp;DATE(2025,7,1), General!O:O, "&lt;="&amp;DATE(2025,7,31))</f>
        <v>0</v>
      </c>
      <c r="W33" s="42">
        <f>V33*AH12</f>
        <v>0</v>
      </c>
      <c r="Y33" s="254">
        <f>COUNTIFS(General!F:F, "IP CERRADA", General!K:K, "E DZYHAJLO", General!H:H, "PTE. APROBACION", General!G:G, "TERCEROS", General!O:O, "&gt;="&amp;DATE(2024,3,1), General!O:O, "&gt;="&amp;DATE(2025,7,1), General!O:O, "&lt;="&amp;DATE(2025,7,31))</f>
        <v>0</v>
      </c>
      <c r="Z33" s="38">
        <f>Y33*AG12</f>
        <v>0</v>
      </c>
      <c r="AA33" s="41"/>
      <c r="AB33" s="42">
        <f>AA33*AH12</f>
        <v>0</v>
      </c>
      <c r="AD33" s="37" t="s">
        <v>30</v>
      </c>
    </row>
    <row r="34" spans="3:30" ht="16.5">
      <c r="C34" s="261" t="s">
        <v>32</v>
      </c>
      <c r="E34" s="39"/>
      <c r="F34" s="40"/>
      <c r="G34" s="43">
        <f>COUNTIFS(General!F:F, "IP CERRADA", General!M:M, "G DICLEMENTE", General!H:H, "PTE. APROBACION", General!G:G, "FOTOS", General!O:O, "&gt;="&amp;DATE(2025,7,1), General!O:O, "&lt;="&amp;DATE(2025,7,31))</f>
        <v>0</v>
      </c>
      <c r="H34" s="44">
        <f>G34*AH13</f>
        <v>0</v>
      </c>
      <c r="J34" s="39"/>
      <c r="K34" s="40"/>
      <c r="L34" s="43">
        <f>COUNTIFS(General!F:F, "IP CERRADA", General!M:M, "R. FRANCO", General!H:H, "PTE. APROBACION", General!G:G, "FOTOS", General!O:O, "&gt;="&amp;DATE(2025,7,1), General!O:O, "&lt;="&amp;DATE(2025,7,31))</f>
        <v>0</v>
      </c>
      <c r="M34" s="44">
        <f>L34*AH13</f>
        <v>0</v>
      </c>
      <c r="O34" s="39"/>
      <c r="P34" s="40"/>
      <c r="Q34" s="43">
        <f>COUNTIFS(General!F:F, "IP CERRADA", General!M:M, "R ARIN", General!H:H, "PTE. APROBACION", General!G:G, "FOTOS", General!O:O, "&gt;="&amp;DATE(2025,7,1), General!O:O, "&lt;="&amp;DATE(2025,7,31))</f>
        <v>0</v>
      </c>
      <c r="R34" s="44">
        <f>Q34*AH13</f>
        <v>0</v>
      </c>
      <c r="T34" s="39"/>
      <c r="U34" s="40"/>
      <c r="V34" s="43">
        <f>COUNTIFS(General!P:P, "IP SIN ORDEN", General!AC:AC, "J. FERLANTI", General!R:R, "PTE. APROBACION", General!Q:Q, "FOTOS", General!AE:AE, "&gt;="&amp;DATE(2024,5,1), General!AE:AE, "&lt;="&amp;DATE(2024,5,31)) + COUNTIFS(General!P:P, "PARA FACTURAR", General!AC:AC, "J. FERLANTI", General!R:R, "EN TRAMITE", General!Q:Q, "FOTOS", General!AE:AE, "&gt;="&amp;DATE(2024,5,1), General!AE:AE, "&lt;="&amp;DATE(2024,5,31))</f>
        <v>0</v>
      </c>
      <c r="W34" s="44">
        <f>V34*AH13</f>
        <v>0</v>
      </c>
      <c r="Y34" s="39"/>
      <c r="Z34" s="40"/>
      <c r="AA34" s="43"/>
      <c r="AB34" s="44">
        <f>AA34*AH13</f>
        <v>0</v>
      </c>
      <c r="AD34" s="261" t="s">
        <v>32</v>
      </c>
    </row>
    <row r="35" spans="3:30" ht="16.5">
      <c r="C35" s="37" t="s">
        <v>34</v>
      </c>
      <c r="E35" s="254">
        <f>COUNTIFS(General!F:F, "IP CERRADA", General!K:K, "G DICLEMENTE", General!H:H, "PTE. APROBACION", General!G:G, "IP REMOTA", General!O:O, "&gt;="&amp;DATE(2025,7,1), General!O:O, "&lt;="&amp;DATE(2025,7,31))</f>
        <v>0</v>
      </c>
      <c r="F35" s="38">
        <f>E35*AG14</f>
        <v>0</v>
      </c>
      <c r="G35" s="41">
        <f>COUNTIFS(General!F:F, "IP CERRADA", General!M:M, "G DICLEMENTE", General!H:H, "PTE. APROBACION", General!G:G, "IP REMOTA", General!O:O, "&gt;="&amp;DATE(2025,7,1), General!O:O, "&lt;="&amp;DATE(2025,7,31))</f>
        <v>0</v>
      </c>
      <c r="H35" s="42">
        <f>G35*AH14</f>
        <v>0</v>
      </c>
      <c r="J35" s="254">
        <f>COUNTIFS(General!F:F, "IP CERRADA", General!K:K, "R. FRANCO", General!H:H, "PTE. APROBACION", General!G:G, "IP REMOTA", General!O:O, "&gt;="&amp;DATE(2025,7,1), General!O:O, "&lt;="&amp;DATE(2025,7,31))</f>
        <v>0</v>
      </c>
      <c r="K35" s="38">
        <f>J35*AG14</f>
        <v>0</v>
      </c>
      <c r="L35" s="41">
        <f>COUNTIFS(General!F:F, "IP CERRADA", General!M:M, "R. FRANCO", General!H:H, "PTE. APROBACION", General!G:G, "IP REMOTA", General!O:O, "&gt;="&amp;DATE(2025,7,1), General!O:O, "&lt;="&amp;DATE(2025,7,31))</f>
        <v>0</v>
      </c>
      <c r="M35" s="42">
        <f>L35*AH14</f>
        <v>0</v>
      </c>
      <c r="O35" s="254">
        <f>COUNTIFS(General!F:F, "IP CERRADA", General!K:K, "R ARIN", General!H:H, "PTE. APROBACION", General!G:G, "IP REMOTA", General!O:O, "&gt;="&amp;DATE(2025,7,1), General!O:O, "&lt;="&amp;DATE(2025,7,31))</f>
        <v>0</v>
      </c>
      <c r="P35" s="38">
        <f>O35*AG14</f>
        <v>0</v>
      </c>
      <c r="Q35" s="41">
        <f>COUNTIFS(General!F:F, "IP CERRADA", General!M:M, "R ARIN", General!H:H, "PTE. APROBACION", General!G:G, "IP REMOTA", General!O:O, "&gt;="&amp;DATE(2025,7,1), General!O:O, "&lt;="&amp;DATE(2025,7,31))</f>
        <v>0</v>
      </c>
      <c r="R35" s="42">
        <f>Q35*AH14</f>
        <v>0</v>
      </c>
      <c r="T35" s="254">
        <f>COUNTIFS(General!F:F, "IP CERRADA", General!K:K, "C. CRIBARI", General!H:H, "PTE. APROBACION", General!G:G, "IP REMOTA", General!O:O, "&gt;="&amp;DATE(2025,7,1), General!O:O, "&lt;="&amp;DATE(2025,7,31))</f>
        <v>0</v>
      </c>
      <c r="U35" s="38">
        <f>T35*AG14</f>
        <v>0</v>
      </c>
      <c r="V35" s="41">
        <f>COUNTIFS(General!P:P, "IP SIN ORDEN", General!AC:AC, "J. FERLANTI", General!R:R, "PTE. APROBACION", General!Q:Q, "IP REMOTA", General!AE:AE, "&gt;="&amp;DATE(2024,5,1), General!AE:AE, "&lt;="&amp;DATE(2024,5,31)) + COUNTIFS(General!P:P, "PARA FACTURAR", General!AC:AC, "J. FERLANTI", General!R:R, "EN TRAMITE", General!Q:Q, "IP REMOTA", General!AE:AE, "&gt;="&amp;DATE(2024,5,1), General!AE:AE, "&lt;="&amp;DATE(2024,5,31))</f>
        <v>0</v>
      </c>
      <c r="W35" s="42">
        <f>V35*AH14</f>
        <v>0</v>
      </c>
      <c r="Y35" s="254">
        <f>COUNTIFS(General!F:F, "IP CERRADA", General!K:K, "E DZYHAJLO", General!H:H, "PTE. APROBACION", General!G:G, "IP REMOTA", General!O:O, "&gt;="&amp;DATE(2025,7,1), General!O:O, "&lt;="&amp;DATE(2025,7,31))</f>
        <v>0</v>
      </c>
      <c r="Z35" s="38">
        <f>Y35*AG14</f>
        <v>0</v>
      </c>
      <c r="AA35" s="41"/>
      <c r="AB35" s="42">
        <f>AA35*AH14</f>
        <v>0</v>
      </c>
      <c r="AD35" s="37" t="s">
        <v>34</v>
      </c>
    </row>
    <row r="36" spans="3:30" ht="16.5">
      <c r="C36" s="261" t="s">
        <v>37</v>
      </c>
      <c r="E36" s="39"/>
      <c r="F36" s="40"/>
      <c r="G36" s="43">
        <f>COUNTIFS(General!F:F, "IP CERRADA", General!M:M, "G DICLEMENTE", General!H:H, "PTE. APROBACION", General!G:G, "IP VIRTUAL", General!O:O, "&gt;="&amp;DATE(2025,7,1), General!O:O, "&lt;="&amp;DATE(2025,7,31))</f>
        <v>0</v>
      </c>
      <c r="H36" s="44">
        <f>G36*AH16</f>
        <v>0</v>
      </c>
      <c r="J36" s="39"/>
      <c r="K36" s="40"/>
      <c r="L36" s="43">
        <f>COUNTIFS(General!F:F, "IP CERRADA", General!M:M, "R. FRANCO", General!H:H, "PTE. APROBACION", General!G:G, "IP VIRTUAL", General!O:O, "&gt;="&amp;DATE(2025,7,1), General!O:O, "&lt;="&amp;DATE(2025,7,31))</f>
        <v>0</v>
      </c>
      <c r="M36" s="44">
        <f>L36*AH16</f>
        <v>0</v>
      </c>
      <c r="O36" s="39"/>
      <c r="P36" s="40"/>
      <c r="Q36" s="43">
        <f>COUNTIFS(General!F:F, "IP CERRADA", General!M:M, "R ARIN", General!H:H, "PTE. APROBACION", General!G:G, "IP VIRTUAL", General!O:O, "&gt;="&amp;DATE(2025,7,1), General!O:O, "&lt;="&amp;DATE(2025,7,31))</f>
        <v>0</v>
      </c>
      <c r="R36" s="44">
        <f>Q36*AH16</f>
        <v>0</v>
      </c>
      <c r="T36" s="39"/>
      <c r="U36" s="40"/>
      <c r="V36" s="43">
        <f>COUNTIFS(General!P:P, "IP SIN ORDEN", General!AC:AC, "J. FERLANTI", General!R:R, "PTE. APROBACION", General!Q:Q, "IP VIRTUAL", General!AE:AE, "&gt;="&amp;DATE(2024,5,1), General!AE:AE, "&lt;="&amp;DATE(2024,5,31)) + COUNTIFS(General!P:P, "PARA FACTURAR", General!AC:AC, "J. FERLANTI", General!R:R, "EN TRAMITE", General!Q:Q, "IP VIRTUAL", General!AE:AE, "&gt;="&amp;DATE(2024,5,1), General!AE:AE, "&lt;="&amp;DATE(2024,5,31))</f>
        <v>0</v>
      </c>
      <c r="W36" s="44">
        <f>V36*AH16</f>
        <v>0</v>
      </c>
      <c r="Y36" s="39"/>
      <c r="Z36" s="40"/>
      <c r="AA36" s="43"/>
      <c r="AB36" s="44">
        <f>AA36*AH16</f>
        <v>0</v>
      </c>
      <c r="AD36" s="261" t="s">
        <v>37</v>
      </c>
    </row>
    <row r="37" spans="3:30" ht="16.5">
      <c r="C37" s="37" t="s">
        <v>26</v>
      </c>
      <c r="E37" s="254">
        <f>COUNTIFS(General!F:F, "IP CERRADA", General!K:K, "G DICLEMENTE", General!H:H, "PTE. APROBACION", General!G:G, "AUSENTE", General!O:O, "&gt;="&amp;DATE(2025,7,1), General!O:O, "&lt;="&amp;DATE(2025,7,31))</f>
        <v>0</v>
      </c>
      <c r="F37" s="38">
        <f>E36*AG11</f>
        <v>0</v>
      </c>
      <c r="G37" s="41"/>
      <c r="H37" s="42"/>
      <c r="J37" s="254">
        <f>COUNTIFS(General!F:F, "IP CERRADA", General!K:K, "R. FRANCO", General!H:H, "PTE. APROBACION", General!G:G, "AUSENTE", General!L:L, "&gt;="&amp;DATE(2025,6,1), General!L:L, "&lt;="&amp;DATE(2025,6,31))</f>
        <v>0</v>
      </c>
      <c r="K37" s="38">
        <f>J37*AG11</f>
        <v>0</v>
      </c>
      <c r="L37" s="41"/>
      <c r="M37" s="42"/>
      <c r="O37" s="254">
        <f>COUNTIFS(General!F:F, "IP CERRADA", General!K:K, "R ARIN", General!H:H, "PTE. APROBACION", General!G:G, "AUSENTE", General!O:O, "&gt;="&amp;DATE(2025,7,1), General!O:O, "&lt;="&amp;DATE(2025,7,31))</f>
        <v>0</v>
      </c>
      <c r="P37" s="38">
        <f>O36*AG11</f>
        <v>0</v>
      </c>
      <c r="Q37" s="41"/>
      <c r="R37" s="42"/>
      <c r="T37" s="254">
        <f>COUNTIFS(General!F:F, "IP CERRADA", General!K:K, "C. CRIBARI", General!H:H, "PTE. APROBACION", General!G:G, "AUSENTE", General!O:O, "&gt;="&amp;DATE(2025,7,1), General!O:O, "&lt;="&amp;DATE(2025,7,31))</f>
        <v>0</v>
      </c>
      <c r="U37" s="38">
        <f>T37*AG11</f>
        <v>0</v>
      </c>
      <c r="V37" s="41"/>
      <c r="W37" s="42"/>
      <c r="Y37" s="254">
        <f>COUNTIFS(General!F:F, "IP CERRADA", General!K:K, "E DZYHAJLO", General!H:H, "PTE. APROBACION", General!G:G, "AUSENTE", General!O:O, "&gt;="&amp;DATE(2025,7,1), General!O:O, "&lt;="&amp;DATE(2025,7,31))</f>
        <v>0</v>
      </c>
      <c r="Z37" s="38">
        <f>Y36*AG11</f>
        <v>0</v>
      </c>
      <c r="AA37" s="41"/>
      <c r="AB37" s="42"/>
      <c r="AD37" s="37" t="s">
        <v>26</v>
      </c>
    </row>
    <row r="38" spans="3:30">
      <c r="E38" s="383" t="s">
        <v>44</v>
      </c>
      <c r="F38" s="384"/>
      <c r="G38" s="381" t="s">
        <v>44</v>
      </c>
      <c r="H38" s="382"/>
      <c r="J38" s="383" t="s">
        <v>44</v>
      </c>
      <c r="K38" s="384"/>
      <c r="L38" s="381" t="s">
        <v>44</v>
      </c>
      <c r="M38" s="382"/>
      <c r="O38" s="383" t="s">
        <v>44</v>
      </c>
      <c r="P38" s="384"/>
      <c r="Q38" s="381" t="s">
        <v>44</v>
      </c>
      <c r="R38" s="382"/>
      <c r="T38" s="383" t="s">
        <v>44</v>
      </c>
      <c r="U38" s="384"/>
      <c r="V38" s="381" t="s">
        <v>44</v>
      </c>
      <c r="W38" s="382"/>
      <c r="Y38" s="383" t="s">
        <v>44</v>
      </c>
      <c r="Z38" s="384"/>
      <c r="AA38" s="381" t="s">
        <v>44</v>
      </c>
      <c r="AB38" s="382"/>
    </row>
    <row r="39" spans="3:30">
      <c r="E39" s="37">
        <f>E27+E28+E29+E30+E31+E32+E33+E34+E35+E36+E37</f>
        <v>0</v>
      </c>
      <c r="F39" s="29">
        <f>F27+F28+F29+F30+F31+F32+F33+F34+F35+F36</f>
        <v>0</v>
      </c>
      <c r="G39" s="51">
        <f>G27+G28+G29+G30+G31+G32+G33+G34+G35+G36</f>
        <v>0</v>
      </c>
      <c r="H39" s="45">
        <f>H27+H28+H29+H30+H31+H32+H33+H34+H35+H36</f>
        <v>0</v>
      </c>
      <c r="J39" s="37">
        <f>J27+J28+J29+J30+J31+J32+J33+J34+J35+J36+J37</f>
        <v>0</v>
      </c>
      <c r="K39" s="29">
        <f>K27+K28+K29+K30+K31+K32+K33+K34+K35+K36+K37</f>
        <v>0</v>
      </c>
      <c r="L39" s="51">
        <f>L27+L28+L29+L30+L31+L32+L33+L34+L35+L36</f>
        <v>0</v>
      </c>
      <c r="M39" s="45">
        <f>M27+M28+M29+M30+M31+M32+M33+M34+M35+M36</f>
        <v>0</v>
      </c>
      <c r="O39" s="37">
        <f>O27+O28+O29+O30+O31+O32+O33+O34+O35+O36+O37</f>
        <v>0</v>
      </c>
      <c r="P39" s="29">
        <f>P27+P28+P29+P30+P31+P32+P33+P34+P35+P36</f>
        <v>0</v>
      </c>
      <c r="Q39" s="51">
        <f>Q27+Q28+Q29+Q30+Q31+Q32+Q33+Q34+Q35+Q36</f>
        <v>0</v>
      </c>
      <c r="R39" s="45">
        <f>R27+R28+R29+R30+R31+R32+R33+R34+R35+R36</f>
        <v>0</v>
      </c>
      <c r="T39" s="37">
        <f>T27+T28+T29+T30+T31+T32+T33+T34+T35+T36+T37</f>
        <v>0</v>
      </c>
      <c r="U39" s="29">
        <f>U27+U28+U29+U30+U31+U32+U33+U34+U35+U36+U37</f>
        <v>0</v>
      </c>
      <c r="V39" s="51">
        <f>V27+V28+V29+V30+V31+V32+V33+V34+V35+V36</f>
        <v>0</v>
      </c>
      <c r="W39" s="45">
        <f>W27+W28+W29+W30+W31+W32+W33+W34+W35+W36</f>
        <v>0</v>
      </c>
      <c r="Y39" s="37">
        <f>Y27+Y28+Y29+Y30+Y31+Y32+Y33+Y34+Y35+Y36+Y37</f>
        <v>0</v>
      </c>
      <c r="Z39" s="29">
        <f>Z27+Z28+Z29+Z30+Z31+Z32+Z33+Z34+Z35+Z36</f>
        <v>0</v>
      </c>
      <c r="AA39" s="51">
        <f>AA27+AA28+AA29+AA30+AA31+AA32+AA33+AA34+AA35+AA36</f>
        <v>0</v>
      </c>
      <c r="AB39" s="45">
        <f>AB27+AB28+AB29+AB30+AB31+AB32+AB33+AB34+AB35+AB36</f>
        <v>0</v>
      </c>
    </row>
    <row r="40" spans="3:30">
      <c r="E40" s="48"/>
      <c r="F40" s="49"/>
      <c r="G40" s="48"/>
      <c r="H40" s="49"/>
      <c r="J40" s="48"/>
      <c r="K40" s="49"/>
      <c r="L40" s="48"/>
      <c r="M40" s="49"/>
      <c r="O40" s="48"/>
      <c r="P40" s="49"/>
      <c r="Q40" s="48"/>
      <c r="R40" s="49"/>
      <c r="T40" s="48"/>
      <c r="U40" s="49"/>
      <c r="V40" s="48"/>
      <c r="W40" s="49"/>
      <c r="Y40" s="48"/>
      <c r="Z40" s="49"/>
      <c r="AA40" s="48"/>
      <c r="AB40" s="49"/>
    </row>
    <row r="41" spans="3:30">
      <c r="E41" s="380"/>
      <c r="F41" s="380"/>
      <c r="G41" s="261"/>
      <c r="H41" s="50"/>
      <c r="J41" s="380"/>
      <c r="K41" s="380"/>
      <c r="L41" s="261"/>
      <c r="M41" s="50"/>
      <c r="O41" s="380"/>
      <c r="P41" s="380"/>
      <c r="Q41" s="261"/>
      <c r="R41" s="50"/>
      <c r="T41" s="380"/>
      <c r="U41" s="380"/>
      <c r="V41" s="261"/>
      <c r="W41" s="50"/>
      <c r="Y41" s="380"/>
      <c r="Z41" s="380"/>
      <c r="AA41" s="261"/>
      <c r="AB41" s="50"/>
    </row>
    <row r="42" spans="3:30">
      <c r="E42" s="376" t="s">
        <v>3</v>
      </c>
      <c r="F42" s="377"/>
      <c r="G42" s="95"/>
      <c r="H42" s="96"/>
      <c r="J42" s="376" t="s">
        <v>3</v>
      </c>
      <c r="K42" s="377"/>
      <c r="L42" s="95"/>
      <c r="M42" s="96"/>
      <c r="O42" s="376" t="s">
        <v>3</v>
      </c>
      <c r="P42" s="377"/>
      <c r="Q42" s="95"/>
      <c r="R42" s="96"/>
      <c r="T42" s="376" t="s">
        <v>3</v>
      </c>
      <c r="U42" s="377"/>
      <c r="V42" s="95"/>
      <c r="W42" s="96"/>
      <c r="Y42" s="376" t="s">
        <v>3</v>
      </c>
      <c r="Z42" s="377"/>
      <c r="AA42" s="95"/>
      <c r="AB42" s="96"/>
    </row>
    <row r="43" spans="3:30">
      <c r="E43" s="378" t="s">
        <v>85</v>
      </c>
      <c r="F43" s="379"/>
      <c r="G43" s="97"/>
      <c r="H43" s="98"/>
      <c r="J43" s="378" t="s">
        <v>85</v>
      </c>
      <c r="K43" s="379"/>
      <c r="L43" s="97"/>
      <c r="M43" s="98"/>
      <c r="O43" s="378" t="s">
        <v>85</v>
      </c>
      <c r="P43" s="379"/>
      <c r="Q43" s="97"/>
      <c r="R43" s="98"/>
      <c r="T43" s="378" t="s">
        <v>85</v>
      </c>
      <c r="U43" s="379"/>
      <c r="V43" s="97"/>
      <c r="W43" s="98"/>
      <c r="Y43" s="378" t="s">
        <v>85</v>
      </c>
      <c r="Z43" s="379"/>
      <c r="AA43" s="97"/>
      <c r="AB43" s="98"/>
    </row>
    <row r="44" spans="3:30">
      <c r="E44" s="374" t="s">
        <v>86</v>
      </c>
      <c r="F44" s="375"/>
      <c r="G44" s="46">
        <f>G27+G28+G29+G30+G31+G32+G33+G34+G35+G36+E27+E28+E29+E31+E30+E32+E33+E34+E35+E36</f>
        <v>0</v>
      </c>
      <c r="H44" s="47">
        <f>F39+H39</f>
        <v>0</v>
      </c>
      <c r="J44" s="374" t="s">
        <v>86</v>
      </c>
      <c r="K44" s="375"/>
      <c r="L44" s="46">
        <f>L27+L28+L29+L30+L31+L32+L33+L34+L35+L36+J27+J28+J29+J31+J30+J32+J33+J34+J35+J36</f>
        <v>0</v>
      </c>
      <c r="M44" s="47">
        <f>K39+M39</f>
        <v>0</v>
      </c>
      <c r="O44" s="374" t="s">
        <v>86</v>
      </c>
      <c r="P44" s="375"/>
      <c r="Q44" s="46">
        <f>Q27+Q28+Q29+Q30+Q31+Q32+Q33+Q34+Q35+Q36+O27+O28+O29+O31+O30+O32+O33+O34+O35+O36</f>
        <v>0</v>
      </c>
      <c r="R44" s="47">
        <f>P39+R39</f>
        <v>0</v>
      </c>
      <c r="T44" s="374" t="s">
        <v>86</v>
      </c>
      <c r="U44" s="375"/>
      <c r="V44" s="46">
        <f>V27+V28+V29+V30+V31+V32+V33+V34+V35+V36+T27+T28+T29+T31+T30+T32+T33+T34+T35+T36</f>
        <v>0</v>
      </c>
      <c r="W44" s="47">
        <f>U39+W39</f>
        <v>0</v>
      </c>
      <c r="Y44" s="374" t="s">
        <v>86</v>
      </c>
      <c r="Z44" s="375"/>
      <c r="AA44" s="46">
        <f>AA27+AA28+AA29+AA30+AA31+AA32+AA33+AA34+AA35+AA36+Y27+Y28+Y29+Y31+Y30+Y32+Y33+Y34+Y35+Y36</f>
        <v>0</v>
      </c>
      <c r="AB44" s="47">
        <f>Z39+AB39</f>
        <v>0</v>
      </c>
    </row>
  </sheetData>
  <mergeCells count="95">
    <mergeCell ref="A1:B2"/>
    <mergeCell ref="C1:C2"/>
    <mergeCell ref="E1:H2"/>
    <mergeCell ref="J1:M2"/>
    <mergeCell ref="O1:R2"/>
    <mergeCell ref="Y1:AB2"/>
    <mergeCell ref="AD1:AD2"/>
    <mergeCell ref="E3:F3"/>
    <mergeCell ref="G3:H3"/>
    <mergeCell ref="J3:K3"/>
    <mergeCell ref="L3:M3"/>
    <mergeCell ref="O3:P3"/>
    <mergeCell ref="Q3:R3"/>
    <mergeCell ref="T3:U3"/>
    <mergeCell ref="V3:W3"/>
    <mergeCell ref="T1:W2"/>
    <mergeCell ref="Y3:Z3"/>
    <mergeCell ref="AA3:AB3"/>
    <mergeCell ref="E15:F15"/>
    <mergeCell ref="G15:H15"/>
    <mergeCell ref="J15:K15"/>
    <mergeCell ref="L15:M15"/>
    <mergeCell ref="O15:P15"/>
    <mergeCell ref="Q15:R15"/>
    <mergeCell ref="T15:U15"/>
    <mergeCell ref="V15:W15"/>
    <mergeCell ref="Y15:Z15"/>
    <mergeCell ref="AA15:AB15"/>
    <mergeCell ref="E18:F18"/>
    <mergeCell ref="J18:K18"/>
    <mergeCell ref="O18:P18"/>
    <mergeCell ref="T18:U18"/>
    <mergeCell ref="Y18:Z18"/>
    <mergeCell ref="E20:F20"/>
    <mergeCell ref="J20:K20"/>
    <mergeCell ref="O20:P20"/>
    <mergeCell ref="T20:U20"/>
    <mergeCell ref="Y20:Z20"/>
    <mergeCell ref="E19:F19"/>
    <mergeCell ref="J19:K19"/>
    <mergeCell ref="O19:P19"/>
    <mergeCell ref="T19:U19"/>
    <mergeCell ref="Y19:Z19"/>
    <mergeCell ref="C24:C25"/>
    <mergeCell ref="E24:H25"/>
    <mergeCell ref="J24:M25"/>
    <mergeCell ref="O24:R25"/>
    <mergeCell ref="T24:W25"/>
    <mergeCell ref="E21:F21"/>
    <mergeCell ref="J21:K21"/>
    <mergeCell ref="O21:P21"/>
    <mergeCell ref="T21:U21"/>
    <mergeCell ref="Y21:Z21"/>
    <mergeCell ref="Y24:AB25"/>
    <mergeCell ref="AD24:AD25"/>
    <mergeCell ref="E26:F26"/>
    <mergeCell ref="G26:H26"/>
    <mergeCell ref="J26:K26"/>
    <mergeCell ref="L26:M26"/>
    <mergeCell ref="O26:P26"/>
    <mergeCell ref="Q26:R26"/>
    <mergeCell ref="T26:U26"/>
    <mergeCell ref="V26:W26"/>
    <mergeCell ref="Y26:Z26"/>
    <mergeCell ref="AA26:AB26"/>
    <mergeCell ref="E38:F38"/>
    <mergeCell ref="G38:H38"/>
    <mergeCell ref="J38:K38"/>
    <mergeCell ref="L38:M38"/>
    <mergeCell ref="O38:P38"/>
    <mergeCell ref="Q38:R38"/>
    <mergeCell ref="T38:U38"/>
    <mergeCell ref="V38:W38"/>
    <mergeCell ref="Y38:Z38"/>
    <mergeCell ref="AA38:AB38"/>
    <mergeCell ref="E41:F41"/>
    <mergeCell ref="J41:K41"/>
    <mergeCell ref="O41:P41"/>
    <mergeCell ref="T41:U41"/>
    <mergeCell ref="Y41:Z41"/>
    <mergeCell ref="E43:F43"/>
    <mergeCell ref="J43:K43"/>
    <mergeCell ref="O43:P43"/>
    <mergeCell ref="T43:U43"/>
    <mergeCell ref="Y43:Z43"/>
    <mergeCell ref="E42:F42"/>
    <mergeCell ref="J42:K42"/>
    <mergeCell ref="O42:P42"/>
    <mergeCell ref="T42:U42"/>
    <mergeCell ref="Y42:Z42"/>
    <mergeCell ref="E44:F44"/>
    <mergeCell ref="J44:K44"/>
    <mergeCell ref="O44:P44"/>
    <mergeCell ref="T44:U44"/>
    <mergeCell ref="Y44:Z4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CF51D-22D1-406F-9B88-A46480336259}">
  <sheetPr>
    <tabColor theme="6" tint="0.39997558519241921"/>
  </sheetPr>
  <dimension ref="A1:AC47"/>
  <sheetViews>
    <sheetView topLeftCell="B10" workbookViewId="0">
      <selection activeCell="I40" sqref="I40"/>
    </sheetView>
  </sheetViews>
  <sheetFormatPr defaultRowHeight="15"/>
  <cols>
    <col min="3" max="3" width="24.7109375" customWidth="1"/>
    <col min="4" max="4" width="2.85546875" customWidth="1"/>
    <col min="5" max="5" width="11.42578125" customWidth="1"/>
    <col min="6" max="6" width="11" customWidth="1"/>
    <col min="7" max="7" width="3.140625" customWidth="1"/>
    <col min="8" max="8" width="11.140625" customWidth="1"/>
    <col min="9" max="9" width="10.5703125" customWidth="1"/>
    <col min="10" max="10" width="2.85546875" customWidth="1"/>
    <col min="11" max="11" width="11.42578125" customWidth="1"/>
    <col min="12" max="12" width="10.7109375" customWidth="1"/>
    <col min="13" max="13" width="3" customWidth="1"/>
    <col min="14" max="14" width="16.7109375" customWidth="1"/>
    <col min="15" max="15" width="12.140625" customWidth="1"/>
    <col min="16" max="16" width="9.140625" bestFit="1" customWidth="1"/>
    <col min="17" max="17" width="18.5703125" customWidth="1"/>
    <col min="18" max="18" width="9.140625" bestFit="1" customWidth="1"/>
    <col min="19" max="19" width="13.5703125" customWidth="1"/>
    <col min="20" max="20" width="8.5703125" bestFit="1" customWidth="1"/>
    <col min="21" max="21" width="4.85546875" customWidth="1"/>
    <col min="22" max="22" width="21.5703125" customWidth="1"/>
    <col min="23" max="23" width="14.42578125" customWidth="1"/>
    <col min="24" max="24" width="16.140625" customWidth="1"/>
    <col min="25" max="25" width="17.85546875" customWidth="1"/>
  </cols>
  <sheetData>
    <row r="1" spans="1:29">
      <c r="A1" s="367" t="s">
        <v>0</v>
      </c>
      <c r="B1" s="368"/>
      <c r="C1" s="369" t="s">
        <v>1</v>
      </c>
      <c r="E1" s="369" t="s">
        <v>2</v>
      </c>
      <c r="F1" s="369"/>
      <c r="H1" s="370" t="s">
        <v>3</v>
      </c>
      <c r="I1" s="371"/>
      <c r="K1" s="369" t="s">
        <v>4</v>
      </c>
      <c r="L1" s="369"/>
      <c r="N1" s="369" t="s">
        <v>5</v>
      </c>
      <c r="O1" s="369"/>
      <c r="Q1" s="3"/>
      <c r="R1" s="3"/>
      <c r="S1" s="354"/>
      <c r="T1" s="355"/>
      <c r="V1" s="1" t="s">
        <v>6</v>
      </c>
      <c r="W1" s="1" t="s">
        <v>7</v>
      </c>
      <c r="X1" s="1" t="s">
        <v>8</v>
      </c>
      <c r="Z1" s="356" t="s">
        <v>9</v>
      </c>
      <c r="AA1" s="357"/>
      <c r="AB1" s="357"/>
      <c r="AC1" s="358"/>
    </row>
    <row r="2" spans="1:29">
      <c r="A2" s="367"/>
      <c r="B2" s="368"/>
      <c r="C2" s="369"/>
      <c r="E2" s="369"/>
      <c r="F2" s="369"/>
      <c r="H2" s="372"/>
      <c r="I2" s="373"/>
      <c r="K2" s="369"/>
      <c r="L2" s="369"/>
      <c r="N2" s="369"/>
      <c r="O2" s="369"/>
      <c r="Q2" s="10"/>
      <c r="R2" s="13"/>
      <c r="S2" s="359"/>
      <c r="T2" s="360"/>
      <c r="V2" s="118" t="s">
        <v>10</v>
      </c>
      <c r="W2" s="119">
        <v>5625</v>
      </c>
      <c r="X2" s="119">
        <v>5250</v>
      </c>
      <c r="Z2" s="361" t="s">
        <v>11</v>
      </c>
      <c r="AA2" s="362"/>
      <c r="AB2" s="365" t="s">
        <v>12</v>
      </c>
      <c r="AC2" s="365" t="s">
        <v>13</v>
      </c>
    </row>
    <row r="3" spans="1:29" ht="3.75" customHeight="1">
      <c r="A3" s="19"/>
      <c r="B3" s="19"/>
      <c r="C3" s="19"/>
      <c r="E3" s="19"/>
      <c r="F3" s="19"/>
      <c r="H3" s="19"/>
      <c r="I3" s="19"/>
      <c r="K3" s="19"/>
      <c r="L3" s="19"/>
      <c r="N3" s="19"/>
      <c r="O3" s="19"/>
      <c r="Q3" s="12"/>
      <c r="R3" s="15"/>
      <c r="S3" s="351"/>
      <c r="T3" s="352"/>
      <c r="V3" s="118"/>
      <c r="W3" s="119"/>
      <c r="X3" s="119"/>
      <c r="Z3" s="363"/>
      <c r="AA3" s="364"/>
      <c r="AB3" s="366"/>
      <c r="AC3" s="366"/>
    </row>
    <row r="4" spans="1:29" ht="16.5">
      <c r="C4" s="37" t="s">
        <v>10</v>
      </c>
      <c r="E4" s="341">
        <f>COUNTIFS(General!F:F, "IP CERRADA", General!H:H, "PTE. APROBACION", General!G:G, "IP CON ORDEN", General!O:O, "&gt;="&amp;DATE(2025,9,1), General!O:O, "&lt;="&amp;DATE(2025,9,31))</f>
        <v>99</v>
      </c>
      <c r="F4" s="341"/>
      <c r="G4">
        <f>COUNTIFS(General!F:F, "IP CERRADA", General!M:M, "A MIÑO", General!H:H, "PTE. APROBACION", General!G:G, "IP CON ORDEN", General!O:O, "&gt;="&amp;DATE(2025,9,1), General!O:O, "&lt;="&amp;DATE(2025,9,31))</f>
        <v>0</v>
      </c>
      <c r="H4" s="342">
        <f>COUNTIFS(General!F:F, "LICITANDO REPUESTOS", General!G:G, "IP CON ORDEN")</f>
        <v>15</v>
      </c>
      <c r="I4" s="342"/>
      <c r="K4" s="343">
        <f>COUNTIFS(General!F:F, "IP COORDINADA", General!G:G, "IP CON ORDEN")</f>
        <v>32</v>
      </c>
      <c r="L4" s="343"/>
      <c r="N4" s="30" t="s">
        <v>14</v>
      </c>
      <c r="O4" s="31">
        <f>COUNTIFS(General!F:F, "PENDIENTE  COORDINACION")</f>
        <v>5</v>
      </c>
      <c r="Q4" s="11"/>
      <c r="R4" s="14"/>
      <c r="S4" s="346"/>
      <c r="T4" s="347"/>
      <c r="V4" s="120" t="s">
        <v>15</v>
      </c>
      <c r="W4" s="121">
        <v>5625</v>
      </c>
      <c r="X4" s="121">
        <v>5250</v>
      </c>
      <c r="Z4" s="70" t="s">
        <v>16</v>
      </c>
      <c r="AA4" s="71" t="e">
        <f>#REF!</f>
        <v>#REF!</v>
      </c>
      <c r="AB4" s="72" t="e">
        <f>AA4*$R$14</f>
        <v>#REF!</v>
      </c>
      <c r="AC4" s="72" t="e">
        <f>AB4*$T$14</f>
        <v>#REF!</v>
      </c>
    </row>
    <row r="5" spans="1:29" ht="16.5">
      <c r="C5" s="261" t="s">
        <v>15</v>
      </c>
      <c r="E5" s="353">
        <f>COUNTIFS(General!F:F, "IP CERRADA", General!H:H, "PTE. APROBACION", General!G:G, "POSIBLE DT", General!O:O, "&gt;="&amp;DATE(2025,9,1), General!O:O, "&lt;="&amp;DATE(2025,9,31))</f>
        <v>19</v>
      </c>
      <c r="F5" s="353"/>
      <c r="H5" s="349">
        <f>COUNTIFS(General!F:F, "LICITANDO REPUESTOS", General!G:G, "POSIBLE DT")</f>
        <v>0</v>
      </c>
      <c r="I5" s="349"/>
      <c r="K5" s="350">
        <f>COUNTIFS(General!F:F, "IP COORDINADA", General!G:G, "POSIBLE DT")</f>
        <v>2</v>
      </c>
      <c r="L5" s="350"/>
      <c r="N5" s="32" t="s">
        <v>17</v>
      </c>
      <c r="O5" s="33">
        <f>COUNTIFS(General!F:F, "CONTACTADO")</f>
        <v>2</v>
      </c>
      <c r="Q5" s="12"/>
      <c r="R5" s="15"/>
      <c r="S5" s="351"/>
      <c r="T5" s="352"/>
      <c r="V5" s="118" t="s">
        <v>18</v>
      </c>
      <c r="W5" s="119">
        <v>5625</v>
      </c>
      <c r="X5" s="119">
        <v>5250</v>
      </c>
      <c r="Z5" s="73" t="s">
        <v>19</v>
      </c>
      <c r="AA5" s="74" t="e">
        <f>#REF!</f>
        <v>#REF!</v>
      </c>
      <c r="AB5" s="75" t="e">
        <f>AA5*$R$14</f>
        <v>#REF!</v>
      </c>
      <c r="AC5" s="75" t="e">
        <f>AB5*$T$14</f>
        <v>#REF!</v>
      </c>
    </row>
    <row r="6" spans="1:29" ht="16.5">
      <c r="C6" s="37" t="s">
        <v>18</v>
      </c>
      <c r="E6" s="341">
        <f>COUNTIFS(General!F:F, "IP CERRADA", General!H:H, "PTE. APROBACION", General!G:G, "IP SIN ORDEN", General!O:O, "&gt;="&amp;DATE(2025,9,1), General!O:O, "&lt;="&amp;DATE(2025,9,31))</f>
        <v>45</v>
      </c>
      <c r="F6" s="341"/>
      <c r="H6" s="342">
        <f>COUNTIFS(General!F:F, "LICITANDO REPUESTOS", General!G:G, "IP SIN ORDEN")</f>
        <v>0</v>
      </c>
      <c r="I6" s="342"/>
      <c r="K6" s="343">
        <f>COUNTIFS(General!F:F, "IP COORDINADA", General!G:G, "IP SIN ORDEN")</f>
        <v>0</v>
      </c>
      <c r="L6" s="343"/>
      <c r="N6" s="30" t="s">
        <v>20</v>
      </c>
      <c r="O6" s="34">
        <f>COUNTIFS(General!F:F, "PENDIENTE DE OFRECIMIENTO")</f>
        <v>0</v>
      </c>
      <c r="Q6" s="11"/>
      <c r="R6" s="14"/>
      <c r="S6" s="346"/>
      <c r="T6" s="347"/>
      <c r="V6" s="120" t="s">
        <v>21</v>
      </c>
      <c r="W6" s="121">
        <v>2500</v>
      </c>
      <c r="X6" s="121">
        <v>2000</v>
      </c>
      <c r="Z6" s="76" t="s">
        <v>22</v>
      </c>
      <c r="AA6" s="77" t="e">
        <f>#REF!</f>
        <v>#REF!</v>
      </c>
      <c r="AB6" s="72" t="e">
        <f>AA6*$R$14</f>
        <v>#REF!</v>
      </c>
      <c r="AC6" s="72" t="e">
        <f>AB6*$T$14</f>
        <v>#REF!</v>
      </c>
    </row>
    <row r="7" spans="1:29" ht="16.5">
      <c r="C7" s="261" t="s">
        <v>21</v>
      </c>
      <c r="E7" s="353">
        <f>COUNTIFS(General!F:F, "IP CERRADA", General!H:H, "PTE. APROBACION", General!G:G, "AMPLIACION", General!O:O, "&gt;="&amp;DATE(2025,9,1), General!O:O, "&lt;="&amp;DATE(2025,9,31))</f>
        <v>21</v>
      </c>
      <c r="F7" s="353"/>
      <c r="H7" s="349">
        <f>COUNTIFS(General!F:F, "LICITANDO REPUESTOS", General!G:G, "AMPLIACION")</f>
        <v>1</v>
      </c>
      <c r="I7" s="349"/>
      <c r="K7" s="350">
        <f>COUNTIFS(General!F:F, "IP COORDINADA", General!G:G, "AMPLIACION")</f>
        <v>0</v>
      </c>
      <c r="L7" s="350"/>
      <c r="N7" s="35" t="s">
        <v>23</v>
      </c>
      <c r="O7" s="36">
        <f>COUNTIFS(General!F:F, "REVISAR MAIL - SIN RESOLVER")</f>
        <v>0</v>
      </c>
      <c r="Q7" s="12"/>
      <c r="R7" s="15"/>
      <c r="S7" s="351"/>
      <c r="T7" s="352"/>
      <c r="V7" s="118" t="s">
        <v>24</v>
      </c>
      <c r="W7" s="119">
        <v>0</v>
      </c>
      <c r="X7" s="119">
        <v>0</v>
      </c>
      <c r="Z7" s="73" t="s">
        <v>25</v>
      </c>
      <c r="AA7" s="74" t="e">
        <f>#REF!</f>
        <v>#REF!</v>
      </c>
      <c r="AB7" s="75" t="e">
        <f>AA7*$R$14</f>
        <v>#REF!</v>
      </c>
      <c r="AC7" s="75" t="e">
        <f>AB7*$T$14</f>
        <v>#REF!</v>
      </c>
    </row>
    <row r="8" spans="1:29" ht="16.5">
      <c r="C8" s="37" t="s">
        <v>24</v>
      </c>
      <c r="E8" s="341">
        <f>COUNTIFS(General!F:F, "IP CERRADA", General!H:H, "PTE. APROBACION", General!G:G, "ENVIO DE ORDEN", General!O:O, "&gt;="&amp;DATE(2025,9,1), General!O:O, "&lt;="&amp;DATE(2025,9,31))</f>
        <v>0</v>
      </c>
      <c r="F8" s="341"/>
      <c r="H8" s="342">
        <f>COUNTIFS(General!F:F, "LICITANDO REPUESTOS", General!G:G, "ENVIO DE ORDEN")</f>
        <v>0</v>
      </c>
      <c r="I8" s="342"/>
      <c r="K8" s="343">
        <f>COUNTIFS(General!F:F, "ENVIO DE ORDEN", General!G:G, "ENVIO DE ORDEN")</f>
        <v>0</v>
      </c>
      <c r="L8" s="343"/>
      <c r="Q8" s="11"/>
      <c r="R8" s="14"/>
      <c r="S8" s="346"/>
      <c r="T8" s="347"/>
      <c r="V8" s="120" t="s">
        <v>26</v>
      </c>
      <c r="W8" s="121">
        <v>1500</v>
      </c>
      <c r="X8" s="121" t="s">
        <v>27</v>
      </c>
      <c r="Z8" s="76" t="s">
        <v>28</v>
      </c>
      <c r="AA8" s="77" t="e">
        <f>#REF!</f>
        <v>#REF!</v>
      </c>
      <c r="AB8" s="72" t="e">
        <f>AA8*$R$14</f>
        <v>#REF!</v>
      </c>
      <c r="AC8" s="72" t="e">
        <f>AB8*$T$14</f>
        <v>#REF!</v>
      </c>
    </row>
    <row r="9" spans="1:29" ht="16.5">
      <c r="C9" s="261" t="s">
        <v>29</v>
      </c>
      <c r="E9" s="353">
        <f>COUNTIFS(General!F:F, "IP CERRADA", General!H:H, "PTE. APROBACION", General!G:G, "IP CAMIONES", General!O:O, "&gt;="&amp;DATE(2025,9,1), General!O:O, "&lt;="&amp;DATE(2025,9,31))</f>
        <v>0</v>
      </c>
      <c r="F9" s="353"/>
      <c r="H9" s="349">
        <f>COUNTIFS(General!F:F, "LICITANDO REPUESTOS", General!G:G, "IP CAMIONES")</f>
        <v>0</v>
      </c>
      <c r="I9" s="349"/>
      <c r="K9" s="350">
        <f>COUNTIFS(General!F:F, "IP COORDINADA", General!G:G, "IP CAMIONES")</f>
        <v>0</v>
      </c>
      <c r="L9" s="350"/>
      <c r="N9" s="115" t="s">
        <v>26</v>
      </c>
      <c r="O9" s="115">
        <f>COUNTIFS(General!F:F, "IP CERRADA", General!H:H, "PTE. APROBACION", General!G:G, "AUSENTE", General!O:O, "&gt;="&amp;DATE(2025,9,1), General!O:O, "&lt;="&amp;DATE(2025,9,31))</f>
        <v>8</v>
      </c>
      <c r="Q9" s="12"/>
      <c r="R9" s="15"/>
      <c r="S9" s="351"/>
      <c r="T9" s="352"/>
      <c r="V9" s="118" t="s">
        <v>30</v>
      </c>
      <c r="W9" s="119">
        <v>5625</v>
      </c>
      <c r="X9" s="119">
        <v>5625</v>
      </c>
      <c r="Z9" s="73" t="s">
        <v>31</v>
      </c>
      <c r="AA9" s="74" t="e">
        <f>#REF!</f>
        <v>#REF!</v>
      </c>
      <c r="AB9" s="75" t="e">
        <f>AA9*$R$14</f>
        <v>#REF!</v>
      </c>
      <c r="AC9" s="75" t="e">
        <f>AB9*$T$14</f>
        <v>#REF!</v>
      </c>
    </row>
    <row r="10" spans="1:29" ht="16.5">
      <c r="C10" s="37" t="s">
        <v>30</v>
      </c>
      <c r="E10" s="341">
        <f>COUNTIFS(General!F:F, "IP CERRADA", General!H:H, "PTE. APROBACION", General!G:G, "TERCEROS", General!O:O, "&gt;="&amp;DATE(2024,3,1), General!O:O, "&gt;="&amp;DATE(2025,9,1), General!O:O, "&lt;="&amp;DATE(2025,9,31))</f>
        <v>2</v>
      </c>
      <c r="F10" s="341"/>
      <c r="H10" s="342">
        <f>COUNTIFS(General!F:F, "LICITANDO REPUESTOS", General!G:G, "TERCEROS")</f>
        <v>0</v>
      </c>
      <c r="I10" s="342"/>
      <c r="K10" s="343">
        <f>COUNTIFS(General!F:F, "IP COORDINADA", General!G:G, "TERCEROS")</f>
        <v>0</v>
      </c>
      <c r="L10" s="343"/>
      <c r="N10" s="114"/>
      <c r="O10" s="49"/>
      <c r="Q10" s="11"/>
      <c r="R10" s="14"/>
      <c r="S10" s="346"/>
      <c r="T10" s="347"/>
      <c r="V10" s="120" t="s">
        <v>32</v>
      </c>
      <c r="W10" s="121">
        <v>0</v>
      </c>
      <c r="X10" s="121">
        <v>0</v>
      </c>
      <c r="Z10" s="76" t="s">
        <v>33</v>
      </c>
      <c r="AA10" s="77" t="e">
        <f>#REF!</f>
        <v>#REF!</v>
      </c>
      <c r="AB10" s="78" t="e">
        <f>AA10*$R$14</f>
        <v>#REF!</v>
      </c>
      <c r="AC10" s="78" t="e">
        <f>AB10*$T$14</f>
        <v>#REF!</v>
      </c>
    </row>
    <row r="11" spans="1:29" ht="16.5">
      <c r="C11" s="261" t="s">
        <v>32</v>
      </c>
      <c r="E11" s="353">
        <f>COUNTIFS(General!F:F, "IP CERRADA", General!H:H, "PTE. APROBACION", General!G:G, "FOTOS", General!O:O, "&gt;="&amp;DATE(2025,9,1), General!O:O, "&lt;="&amp;DATE(2025,9,31))</f>
        <v>0</v>
      </c>
      <c r="F11" s="353"/>
      <c r="H11" s="349">
        <f>COUNTIFS(General!F:F, "LICITANDO REPUESTOS", General!G:G, "FOTOS")</f>
        <v>0</v>
      </c>
      <c r="I11" s="349"/>
      <c r="K11" s="350">
        <f>COUNTIFS(General!F:F, "IP COORDINADA", General!G:G, "FOTOS")</f>
        <v>0</v>
      </c>
      <c r="L11" s="350"/>
      <c r="Q11" s="12"/>
      <c r="R11" s="15"/>
      <c r="S11" s="351"/>
      <c r="T11" s="352"/>
      <c r="V11" s="118" t="s">
        <v>34</v>
      </c>
      <c r="W11" s="119">
        <v>0</v>
      </c>
      <c r="X11" s="119">
        <v>0</v>
      </c>
      <c r="Z11" s="79" t="s">
        <v>35</v>
      </c>
      <c r="AA11" s="80" t="e">
        <f>#REF!</f>
        <v>#REF!</v>
      </c>
      <c r="AB11" s="81" t="e">
        <f>AA11*$R$14</f>
        <v>#REF!</v>
      </c>
      <c r="AC11" s="81" t="e">
        <f>AB11*$T$14</f>
        <v>#REF!</v>
      </c>
    </row>
    <row r="12" spans="1:29" ht="16.5">
      <c r="C12" s="37" t="s">
        <v>34</v>
      </c>
      <c r="E12" s="341">
        <f>COUNTIFS(General!F:F, "IP CERRADA", General!H:H, "PTE. APROBACION", General!G:G, "IP REMOTA", General!O:O, "&gt;="&amp;DATE(2025,9,1), General!O:O, "&lt;="&amp;DATE(2025,9,31))</f>
        <v>0</v>
      </c>
      <c r="F12" s="341"/>
      <c r="H12" s="342">
        <f>COUNTIFS(General!F:F, "LICITANDO REPUESTOS", General!G:G, "IP REMOTA")</f>
        <v>0</v>
      </c>
      <c r="I12" s="342"/>
      <c r="K12" s="343">
        <f>COUNTIFS(General!F:F, "IP COORDINADA", General!G:G, "IP REMOTA")</f>
        <v>0</v>
      </c>
      <c r="L12" s="343"/>
      <c r="N12" s="344" t="s">
        <v>36</v>
      </c>
      <c r="O12" s="345"/>
      <c r="Q12" s="11"/>
      <c r="R12" s="14"/>
      <c r="S12" s="346"/>
      <c r="T12" s="347"/>
      <c r="V12" s="120" t="s">
        <v>29</v>
      </c>
      <c r="W12" s="121">
        <v>5625</v>
      </c>
      <c r="X12" s="121">
        <v>5250</v>
      </c>
      <c r="Z12" s="82"/>
      <c r="AA12" s="83"/>
      <c r="AB12" s="84"/>
      <c r="AC12" s="84"/>
    </row>
    <row r="13" spans="1:29" ht="16.5">
      <c r="C13" s="261" t="s">
        <v>37</v>
      </c>
      <c r="E13" s="348">
        <f>COUNTIFS(General!F:F, "IP CERRADA", General!H:H, "PTE. APROBACION", General!G:G, "IP VIRTUAL", General!O:O, "&gt;="&amp;DATE(2025,9,1), General!O:O, "&lt;="&amp;DATE(2025,9,31))</f>
        <v>0</v>
      </c>
      <c r="F13" s="348"/>
      <c r="H13" s="349">
        <f>COUNTIFS(General!F:F, "LICITANDO REPUESTOS", General!G:G, "IP VIRTUAL")</f>
        <v>0</v>
      </c>
      <c r="I13" s="349"/>
      <c r="K13" s="350">
        <f>COUNTIFS(General!F:F, "IP COORDINADA", General!G:G, "IP VIRTUAL")</f>
        <v>0</v>
      </c>
      <c r="L13" s="350"/>
      <c r="N13" s="344">
        <f>SUMIFS(General!P2:P2771, General!L2:L2771, "&gt;=01/06/2024", General!L2:L2771, "&lt;=31/06/2024")</f>
        <v>0</v>
      </c>
      <c r="O13" s="345"/>
      <c r="Q13" s="12"/>
      <c r="R13" s="15"/>
      <c r="S13" s="351"/>
      <c r="T13" s="352"/>
      <c r="V13" s="118" t="s">
        <v>37</v>
      </c>
      <c r="W13" s="119" t="s">
        <v>27</v>
      </c>
      <c r="X13" s="119" t="s">
        <v>27</v>
      </c>
      <c r="Z13" s="85"/>
      <c r="AA13" s="86"/>
      <c r="AB13" s="87"/>
      <c r="AC13" s="87"/>
    </row>
    <row r="14" spans="1:29" ht="16.5">
      <c r="E14" s="112">
        <f>E4+E5+E6+E7+E8+E9+E10+E11+E12+E13</f>
        <v>186</v>
      </c>
      <c r="F14" s="113" t="s">
        <v>38</v>
      </c>
      <c r="H14" s="110">
        <f>H4+H5+H6+H7+H8+H9+H10+H11+H12+H13</f>
        <v>16</v>
      </c>
      <c r="I14" s="111" t="s">
        <v>38</v>
      </c>
      <c r="K14" s="260">
        <f>K4+K5+K6+K7+K8+K9+K10+K11+K12+K13</f>
        <v>34</v>
      </c>
      <c r="L14" s="109" t="s">
        <v>38</v>
      </c>
      <c r="N14" s="332">
        <f>N13*T14</f>
        <v>0</v>
      </c>
      <c r="O14" s="333"/>
      <c r="Q14" s="62"/>
      <c r="R14" s="63"/>
      <c r="S14" s="334"/>
      <c r="T14" s="335"/>
      <c r="V14" s="118"/>
      <c r="W14" s="119"/>
      <c r="X14" s="119"/>
      <c r="Z14" s="85"/>
      <c r="AA14" s="86"/>
      <c r="AB14" s="87"/>
      <c r="AC14" s="87"/>
    </row>
    <row r="15" spans="1:29">
      <c r="E15" s="19"/>
      <c r="F15" s="19"/>
      <c r="V15" s="118"/>
      <c r="W15" s="119"/>
      <c r="X15" s="119"/>
      <c r="Z15" s="82"/>
      <c r="AA15" s="88"/>
      <c r="AB15" s="89"/>
      <c r="AC15" s="89"/>
    </row>
    <row r="16" spans="1:29" ht="16.5">
      <c r="E16" s="336" t="s">
        <v>39</v>
      </c>
      <c r="F16" s="336"/>
      <c r="H16" s="337" t="s">
        <v>40</v>
      </c>
      <c r="I16" s="337"/>
      <c r="K16" s="338" t="s">
        <v>41</v>
      </c>
      <c r="L16" s="338"/>
      <c r="N16" s="28" t="s">
        <v>42</v>
      </c>
      <c r="O16" s="253">
        <f>COUNTIFS(General!H:H, "EN TRAMITE")</f>
        <v>98</v>
      </c>
      <c r="V16" s="122" t="s">
        <v>43</v>
      </c>
      <c r="W16" s="123">
        <v>300</v>
      </c>
      <c r="X16" s="123" t="s">
        <v>27</v>
      </c>
      <c r="Z16" s="90" t="s">
        <v>44</v>
      </c>
      <c r="AA16" s="91" t="e">
        <f>AA4+AA5+AA6+AA7+AA8+AA9+AA10+AA11</f>
        <v>#REF!</v>
      </c>
      <c r="AB16" s="92" t="e">
        <f>AB4+AB5+AB6+AB7+AB8+AB9+AB10+AB11</f>
        <v>#REF!</v>
      </c>
      <c r="AC16" s="93" t="e">
        <f>AC4+AC5+AC6+AC7+AC8+AC9+AC10+AC11</f>
        <v>#REF!</v>
      </c>
    </row>
    <row r="17" spans="3:24" ht="16.5">
      <c r="E17" s="336">
        <f>E4+E5+E6+E7+E8+E9+E10+E12+O9+E13</f>
        <v>194</v>
      </c>
      <c r="F17" s="336"/>
      <c r="H17" s="337">
        <f>H4+H5+H6+H7+H8+H9+H10+H11+H12+H13</f>
        <v>16</v>
      </c>
      <c r="I17" s="337"/>
      <c r="K17" s="338">
        <f>K4+K5+K6+K7+K8+K9+K10+K11+K12+K13</f>
        <v>34</v>
      </c>
      <c r="L17" s="338"/>
      <c r="N17" s="28" t="s">
        <v>45</v>
      </c>
      <c r="O17" s="253">
        <f>COUNTIFS(General!H:H, "PTE. APROBACION")</f>
        <v>3403</v>
      </c>
      <c r="Q17" s="339" t="s">
        <v>46</v>
      </c>
      <c r="R17" s="340"/>
      <c r="S17" s="340"/>
      <c r="T17" s="340"/>
    </row>
    <row r="18" spans="3:24" ht="16.5">
      <c r="N18" s="102" t="s">
        <v>47</v>
      </c>
      <c r="O18" s="253">
        <f>COUNTIFS(General!H:H, "ANULADO")</f>
        <v>198</v>
      </c>
      <c r="Q18" s="315" t="s">
        <v>48</v>
      </c>
      <c r="R18" s="316"/>
      <c r="S18" s="315" t="s">
        <v>12</v>
      </c>
      <c r="T18" s="319"/>
      <c r="V18" s="108" t="s">
        <v>10</v>
      </c>
      <c r="W18" s="103">
        <f>COUNTIFS(General!F:F, "PARA FACTURAR", General!G:G, "IP CON ORDEN")</f>
        <v>13</v>
      </c>
      <c r="X18" s="107"/>
    </row>
    <row r="19" spans="3:24" ht="15" customHeight="1">
      <c r="C19" s="321" t="s">
        <v>49</v>
      </c>
      <c r="D19" s="321"/>
      <c r="E19" s="257">
        <f>E21+E22+E23+E24+E25+E26+E27+E28+E29+E30+E31+E32</f>
        <v>3248</v>
      </c>
      <c r="F19" s="217" t="e">
        <f>(E19-E34)/E34</f>
        <v>#DIV/0!</v>
      </c>
      <c r="H19" s="322" t="s">
        <v>50</v>
      </c>
      <c r="I19" s="323"/>
      <c r="N19" s="101" t="s">
        <v>51</v>
      </c>
      <c r="O19" s="101">
        <f>COUNTIFS(General!F:F, "PARA FACTURAR")</f>
        <v>22</v>
      </c>
      <c r="Q19" s="317"/>
      <c r="R19" s="318"/>
      <c r="S19" s="317"/>
      <c r="T19" s="320"/>
      <c r="V19" s="108" t="s">
        <v>15</v>
      </c>
      <c r="W19" s="103">
        <f>COUNTIFS(General!F:F, "PARA FACTURAR", General!G:G, "POSIBLE DT")</f>
        <v>2</v>
      </c>
      <c r="X19" s="107"/>
    </row>
    <row r="20" spans="3:24" ht="16.5">
      <c r="C20" s="324" t="s">
        <v>52</v>
      </c>
      <c r="D20" s="325"/>
      <c r="E20" s="216" t="s">
        <v>53</v>
      </c>
      <c r="H20" s="326">
        <f>E17+H17+K17+O19</f>
        <v>266</v>
      </c>
      <c r="I20" s="327"/>
      <c r="Q20" s="328" t="s">
        <v>35</v>
      </c>
      <c r="R20" s="329"/>
      <c r="S20" s="330"/>
      <c r="T20" s="331"/>
      <c r="V20" s="108" t="s">
        <v>18</v>
      </c>
      <c r="W20" s="103">
        <f>COUNTIFS(General!F:F, "PARA FACTURAR", General!G:G, "IP SIN ORDEN")</f>
        <v>6</v>
      </c>
      <c r="X20" s="107"/>
    </row>
    <row r="21" spans="3:24" ht="16.5">
      <c r="C21" s="313" t="s">
        <v>54</v>
      </c>
      <c r="D21" s="314"/>
      <c r="E21" s="219">
        <f>COUNTIFS(General!B:B, "&gt;="&amp;DATE(2025,1,1), General!B:B, "&lt;="&amp;DATE(2025,1,31))</f>
        <v>260</v>
      </c>
      <c r="F21" s="217" t="e">
        <f>(E21-E36)/E36</f>
        <v>#DIV/0!</v>
      </c>
      <c r="Q21" s="295" t="s">
        <v>19</v>
      </c>
      <c r="R21" s="296"/>
      <c r="S21" s="280">
        <f>PeritosSeptiembre!H21</f>
        <v>0</v>
      </c>
      <c r="T21" s="281"/>
      <c r="V21" s="108" t="s">
        <v>21</v>
      </c>
      <c r="W21" s="103">
        <f>COUNTIFS(General!F:F, "PARA FACTURAR", General!G:G, "AMPLIACION")</f>
        <v>1</v>
      </c>
      <c r="X21" s="107"/>
    </row>
    <row r="22" spans="3:24" ht="16.5">
      <c r="C22" s="306" t="s">
        <v>55</v>
      </c>
      <c r="D22" s="310"/>
      <c r="E22" s="220">
        <f>COUNTIFS(General!B:B, "&gt;="&amp;DATE(2025,2,1), General!B:B, "&lt;="&amp;DATE(2025,2,31))</f>
        <v>194</v>
      </c>
      <c r="F22" s="217" t="e">
        <f>(E22-E37)/E37</f>
        <v>#DIV/0!</v>
      </c>
      <c r="H22" s="67"/>
      <c r="I22" s="67"/>
      <c r="Q22" s="299" t="s">
        <v>22</v>
      </c>
      <c r="R22" s="300"/>
      <c r="S22" s="301"/>
      <c r="T22" s="302"/>
      <c r="V22" s="108" t="s">
        <v>24</v>
      </c>
      <c r="W22" s="103">
        <f>COUNTIFS(General!F:F, "PARA FACTURAR", General!G:G, "ENVIO DE ORDEN")</f>
        <v>0</v>
      </c>
      <c r="X22" s="107"/>
    </row>
    <row r="23" spans="3:24" ht="16.5">
      <c r="C23" s="308" t="s">
        <v>56</v>
      </c>
      <c r="D23" s="309"/>
      <c r="E23" s="221">
        <f>COUNTIFS(General!B:B, "&gt;="&amp;DATE(2025,3,1), General!B:B, "&lt;="&amp;DATE(2025,3,31))</f>
        <v>219</v>
      </c>
      <c r="F23" s="217" t="e">
        <f>(E23-E38)/E38</f>
        <v>#DIV/0!</v>
      </c>
      <c r="H23" s="67"/>
      <c r="I23" s="67"/>
      <c r="Q23" s="295" t="s">
        <v>25</v>
      </c>
      <c r="R23" s="296"/>
      <c r="S23" s="280"/>
      <c r="T23" s="281"/>
      <c r="V23" s="108" t="s">
        <v>29</v>
      </c>
      <c r="W23" s="103">
        <f>COUNTIFS(General!F:F, "PARA FACTURAR", General!G:G, "IP CAMIONES")</f>
        <v>0</v>
      </c>
      <c r="X23" s="107"/>
    </row>
    <row r="24" spans="3:24" ht="16.5">
      <c r="C24" s="306" t="s">
        <v>57</v>
      </c>
      <c r="D24" s="310"/>
      <c r="E24" s="220">
        <f>COUNTIFS(General!B:B, "&gt;="&amp;DATE(2025,4,1), General!B:B, "&lt;="&amp;DATE(2025,4,31))</f>
        <v>541</v>
      </c>
      <c r="F24" s="217" t="e">
        <f>(E24-E39)/E39</f>
        <v>#DIV/0!</v>
      </c>
      <c r="H24" s="312" t="s">
        <v>58</v>
      </c>
      <c r="I24" s="312"/>
      <c r="Q24" s="299" t="s">
        <v>59</v>
      </c>
      <c r="R24" s="300"/>
      <c r="S24" s="301">
        <f>PeritosSeptiembre!AB21</f>
        <v>360625</v>
      </c>
      <c r="T24" s="302"/>
      <c r="V24" s="108" t="s">
        <v>30</v>
      </c>
      <c r="W24" s="103">
        <f>COUNTIFS(General!F:F, "PARA FACTURAR", General!G:G, "TERCEROS")</f>
        <v>0</v>
      </c>
      <c r="X24" s="107"/>
    </row>
    <row r="25" spans="3:24" ht="16.5">
      <c r="C25" s="308" t="s">
        <v>60</v>
      </c>
      <c r="D25" s="309"/>
      <c r="E25" s="221">
        <f>COUNTIFS(General!B:B, "&gt;="&amp;DATE(2025,5,1), General!B:B, "&lt;="&amp;DATE(2025,5,31))</f>
        <v>548</v>
      </c>
      <c r="F25" s="217" t="e">
        <f>(E25-E40)/E40</f>
        <v>#DIV/0!</v>
      </c>
      <c r="H25" s="294" t="s">
        <v>61</v>
      </c>
      <c r="I25" s="294"/>
      <c r="K25" s="158">
        <f>AVERAGEIFS(General!S:S,General!B:B,"&gt;="&amp;DATE(2025,5,1),General!B:B,"&lt;="&amp;DATE(2025,5,31),General!F:F,"IP CERRADA")</f>
        <v>4.3580952380952382</v>
      </c>
      <c r="Q25" s="295" t="s">
        <v>31</v>
      </c>
      <c r="R25" s="296"/>
      <c r="S25" s="280"/>
      <c r="T25" s="281"/>
      <c r="V25" s="108" t="s">
        <v>32</v>
      </c>
      <c r="W25" s="103">
        <f>COUNTIFS(General!F:F, "PARA FACTURAR", General!G:G, "FOTOS")</f>
        <v>0</v>
      </c>
      <c r="X25" s="107"/>
    </row>
    <row r="26" spans="3:24" ht="16.5">
      <c r="C26" s="306" t="s">
        <v>62</v>
      </c>
      <c r="D26" s="310"/>
      <c r="E26" s="220">
        <f>COUNTIFS(General!B:B, "&gt;="&amp;DATE(2025,6,1), General!B:B, "&lt;="&amp;DATE(2025,6,31))</f>
        <v>258</v>
      </c>
      <c r="F26" s="217" t="e">
        <f>(E26-E41)/E41</f>
        <v>#DIV/0!</v>
      </c>
      <c r="H26" s="311" t="s">
        <v>63</v>
      </c>
      <c r="I26" s="311"/>
      <c r="K26" s="158">
        <f>AVERAGEIFS(General!T:T,General!B:B,"&gt;="&amp;DATE(2025,5,1),General!B:B,"&lt;="&amp;DATE(2025,5,31),General!F:F,"IP CERRADA")</f>
        <v>1.0361904761904761</v>
      </c>
      <c r="Q26" s="299" t="s">
        <v>33</v>
      </c>
      <c r="R26" s="300"/>
      <c r="S26" s="301"/>
      <c r="T26" s="302"/>
      <c r="V26" s="108" t="s">
        <v>34</v>
      </c>
      <c r="W26" s="103">
        <f>COUNTIFS(General!F:F, "PARA FACTURAR", General!G:G, "IP REMOTA")</f>
        <v>0</v>
      </c>
      <c r="X26" s="107"/>
    </row>
    <row r="27" spans="3:24" ht="16.5">
      <c r="C27" s="303" t="s">
        <v>64</v>
      </c>
      <c r="D27" s="304"/>
      <c r="E27" s="222">
        <f>COUNTIFS(General!B:B, "&gt;="&amp;DATE(2025,7,1), General!B:B, "&lt;="&amp;DATE(2025,7,31))</f>
        <v>275</v>
      </c>
      <c r="F27" s="217" t="e">
        <f>(E27-E42)/E42</f>
        <v>#DIV/0!</v>
      </c>
      <c r="H27" s="305" t="s">
        <v>65</v>
      </c>
      <c r="I27" s="305"/>
      <c r="K27" s="158">
        <f>AVERAGEIFS(General!U:U,General!B:B,"&gt;="&amp;DATE(2025,5,1),General!B:B,"&lt;="&amp;DATE(2025,5,31),General!F:F,"IP CERRADA")</f>
        <v>174.93548387096774</v>
      </c>
      <c r="Q27" s="295" t="s">
        <v>66</v>
      </c>
      <c r="R27" s="296"/>
      <c r="S27" s="280">
        <f>PeritosSeptiembre!M21</f>
        <v>962875</v>
      </c>
      <c r="T27" s="281"/>
      <c r="V27" s="108" t="s">
        <v>37</v>
      </c>
      <c r="W27" s="103">
        <f>COUNTIFS(General!F:F, "PARA FACTURAR", General!G:G, "IP VIRTUAL")</f>
        <v>0</v>
      </c>
      <c r="X27" s="107"/>
    </row>
    <row r="28" spans="3:24" ht="16.5">
      <c r="C28" s="306" t="s">
        <v>67</v>
      </c>
      <c r="D28" s="307"/>
      <c r="E28" s="220">
        <f>COUNTIFS(General!B:B, "&gt;="&amp;DATE(2025,8,1), General!B:B, "&lt;="&amp;DATE(2025,8,31))</f>
        <v>194</v>
      </c>
      <c r="F28" s="217" t="e">
        <f>(E28-E43)/E43</f>
        <v>#DIV/0!</v>
      </c>
      <c r="H28" s="294" t="s">
        <v>68</v>
      </c>
      <c r="I28" s="294"/>
      <c r="K28" s="158">
        <f>AVERAGEIFS(General!V:V,General!B:B,"&gt;="&amp;DATE(2025,5,1),General!B:B,"&lt;="&amp;DATE(2025,5,31),General!F:F,"IP CERRADA")</f>
        <v>6.5332068311195446</v>
      </c>
      <c r="Q28" s="299" t="s">
        <v>69</v>
      </c>
      <c r="R28" s="300"/>
      <c r="S28" s="301"/>
      <c r="T28" s="302"/>
      <c r="V28" s="108" t="s">
        <v>70</v>
      </c>
      <c r="W28" s="103">
        <f>COUNTIFS(General!F:F, "PARA FACTURAR", General!G:G, "SIN HONORARIOS")</f>
        <v>0</v>
      </c>
      <c r="X28" s="107"/>
    </row>
    <row r="29" spans="3:24" ht="16.5">
      <c r="C29" s="292" t="s">
        <v>71</v>
      </c>
      <c r="D29" s="293"/>
      <c r="E29" s="223">
        <f>COUNTIFS(General!B:B, "&gt;="&amp;DATE(2025,9,1), General!B:B, "&lt;="&amp;DATE(2025,9,31))</f>
        <v>206</v>
      </c>
      <c r="F29" s="217" t="e">
        <f>(E29-E44)/E44</f>
        <v>#DIV/0!</v>
      </c>
      <c r="H29" s="294" t="s">
        <v>72</v>
      </c>
      <c r="I29" s="294"/>
      <c r="J29" s="65"/>
      <c r="K29" s="158">
        <f>AVERAGEIFS(General!W:W,General!B:B,"&gt;="&amp;DATE(2025,5,1),General!B:B,"&lt;="&amp;DATE(2025,5,31),General!F:F,"IP CERRADA")</f>
        <v>175.96774193548387</v>
      </c>
      <c r="Q29" s="295" t="s">
        <v>16</v>
      </c>
      <c r="R29" s="296"/>
      <c r="S29" s="280">
        <f>PeritosSeptiembre!W21</f>
        <v>559375</v>
      </c>
      <c r="T29" s="281"/>
      <c r="V29" s="108" t="s">
        <v>26</v>
      </c>
      <c r="W29" s="103">
        <f>COUNTIFS(General!F:F, "PARA FACTURAR", General!G:G, "AUSENTE")</f>
        <v>0</v>
      </c>
      <c r="X29" s="107"/>
    </row>
    <row r="30" spans="3:24">
      <c r="C30" s="297" t="s">
        <v>73</v>
      </c>
      <c r="D30" s="298"/>
      <c r="E30" s="220">
        <f>COUNTIFS(General!B:B, "&gt;="&amp;DATE(2025,10,1), General!B:B, "&lt;="&amp;DATE(2025,10,31))</f>
        <v>217</v>
      </c>
      <c r="F30" s="218" t="e">
        <f>(E30-E45)/E45</f>
        <v>#DIV/0!</v>
      </c>
      <c r="H30" s="294" t="s">
        <v>74</v>
      </c>
      <c r="I30" s="294"/>
      <c r="J30" s="65"/>
      <c r="K30" s="158">
        <f>AVERAGEIFS(General!X:X,General!B:B,"&gt;="&amp;DATE(2025,5,1),General!B:B,"&lt;="&amp;DATE(2025,5,31),General!F:F,"IP CERRADA")</f>
        <v>7.6228571428571428</v>
      </c>
      <c r="L30" s="67"/>
      <c r="Q30" s="299" t="s">
        <v>75</v>
      </c>
      <c r="R30" s="300"/>
      <c r="S30" s="301"/>
      <c r="T30" s="302"/>
    </row>
    <row r="31" spans="3:24">
      <c r="C31" s="276" t="s">
        <v>76</v>
      </c>
      <c r="D31" s="277"/>
      <c r="E31" s="224">
        <f>COUNTIFS(General!B:B, "&gt;="&amp;DATE(2025,11,1), General!B:B, "&lt;="&amp;DATE(2025,11,31))</f>
        <v>147</v>
      </c>
      <c r="F31" s="218" t="e">
        <f>(E31-E46)/E46</f>
        <v>#DIV/0!</v>
      </c>
      <c r="H31" s="64"/>
      <c r="I31" s="64"/>
      <c r="J31" s="65"/>
      <c r="K31" s="65"/>
      <c r="L31" s="66"/>
      <c r="Q31" s="278" t="s">
        <v>77</v>
      </c>
      <c r="R31" s="279"/>
      <c r="S31" s="280"/>
      <c r="T31" s="281"/>
      <c r="V31" s="282" t="s">
        <v>78</v>
      </c>
      <c r="W31" s="283"/>
    </row>
    <row r="32" spans="3:24">
      <c r="C32" s="284" t="s">
        <v>79</v>
      </c>
      <c r="D32" s="285"/>
      <c r="E32" s="225">
        <f>COUNTIFS(General!B:B, "&gt;="&amp;DATE(2025,12,1), General!B:B, "&lt;="&amp;DATE(2025,12,31))</f>
        <v>189</v>
      </c>
      <c r="F32" s="218" t="e">
        <f>(E32-E47)/E47</f>
        <v>#DIV/0!</v>
      </c>
      <c r="H32" s="64"/>
      <c r="I32" s="64"/>
      <c r="J32" s="65"/>
      <c r="K32" s="65"/>
      <c r="L32" s="67"/>
      <c r="Q32" s="286" t="s">
        <v>44</v>
      </c>
      <c r="R32" s="287"/>
      <c r="S32" s="288">
        <f>S20+S21+S22+S23+S24+S25+S26+S27+S28+S29</f>
        <v>1882875</v>
      </c>
      <c r="T32" s="289"/>
      <c r="V32" s="290">
        <f>W18+W19+W20+W21+W22+W23+W24+W25+W26+W27+W28+W29</f>
        <v>22</v>
      </c>
      <c r="W32" s="291"/>
    </row>
    <row r="33" spans="3:12">
      <c r="L33" s="104"/>
    </row>
    <row r="34" spans="3:12" ht="18.75" customHeight="1">
      <c r="C34" s="270" t="s">
        <v>80</v>
      </c>
      <c r="D34" s="271"/>
      <c r="E34" s="257">
        <f>E36+E37+E38+E39+E40+E41+E42+E43+E44+E45+E46+E47</f>
        <v>0</v>
      </c>
      <c r="H34" s="68"/>
      <c r="I34" s="68"/>
      <c r="J34" s="69"/>
      <c r="K34" s="69"/>
    </row>
    <row r="35" spans="3:12" ht="15" customHeight="1">
      <c r="C35" s="272" t="s">
        <v>81</v>
      </c>
      <c r="D35" s="273"/>
      <c r="E35" s="135" t="s">
        <v>53</v>
      </c>
      <c r="H35" s="68"/>
      <c r="I35" s="68"/>
      <c r="J35" s="69"/>
      <c r="K35" s="69"/>
    </row>
    <row r="36" spans="3:12">
      <c r="C36" s="274" t="s">
        <v>54</v>
      </c>
      <c r="D36" s="275"/>
      <c r="E36" s="131">
        <f>COUNTIFS(General!B:B, "&gt;="&amp;DATE(2024,1,1), General!B:B, "&lt;="&amp;DATE(2024,1,31))</f>
        <v>0</v>
      </c>
    </row>
    <row r="37" spans="3:12">
      <c r="C37" s="266" t="s">
        <v>55</v>
      </c>
      <c r="D37" s="267"/>
      <c r="E37" s="132">
        <f>COUNTIFS(General!B:B, "&gt;="&amp;DATE(2024,2,1), General!B:B, "&lt;="&amp;DATE(2024,2,31))</f>
        <v>0</v>
      </c>
    </row>
    <row r="38" spans="3:12">
      <c r="C38" s="262" t="s">
        <v>56</v>
      </c>
      <c r="D38" s="263"/>
      <c r="E38" s="133">
        <f>COUNTIFS(General!B:B, "&gt;="&amp;DATE(2024,3,1), General!B:B, "&lt;="&amp;DATE(2024,3,31))</f>
        <v>0</v>
      </c>
    </row>
    <row r="39" spans="3:12">
      <c r="C39" s="266" t="s">
        <v>57</v>
      </c>
      <c r="D39" s="267"/>
      <c r="E39" s="132">
        <f>COUNTIFS(General!B:B, "&gt;="&amp;DATE(2024,4,1), General!B:B, "&lt;="&amp;DATE(2024,4,31))</f>
        <v>0</v>
      </c>
    </row>
    <row r="40" spans="3:12">
      <c r="C40" s="262" t="s">
        <v>60</v>
      </c>
      <c r="D40" s="263"/>
      <c r="E40" s="133">
        <f>COUNTIFS(General!B:B, "&gt;="&amp;DATE(2024,5,1), General!B:B, "&lt;="&amp;DATE(2024,5,31))</f>
        <v>0</v>
      </c>
    </row>
    <row r="41" spans="3:12">
      <c r="C41" s="266" t="s">
        <v>62</v>
      </c>
      <c r="D41" s="267"/>
      <c r="E41" s="132">
        <f>COUNTIFS(General!B:B, "&gt;="&amp;DATE(2024,6,1), General!B:B, "&lt;="&amp;DATE(2024,6,31))</f>
        <v>0</v>
      </c>
    </row>
    <row r="42" spans="3:12">
      <c r="C42" s="262" t="s">
        <v>64</v>
      </c>
      <c r="D42" s="263"/>
      <c r="E42" s="138">
        <f>COUNTIFS(General!B:B, "&gt;="&amp;DATE(2024,7,1), General!B:B, "&lt;="&amp;DATE(2024,7,31))</f>
        <v>0</v>
      </c>
    </row>
    <row r="43" spans="3:12">
      <c r="C43" s="266" t="s">
        <v>67</v>
      </c>
      <c r="D43" s="267"/>
      <c r="E43" s="132">
        <f>COUNTIFS(General!B:B, "&gt;="&amp;DATE(2024,8,1), General!B:B, "&lt;="&amp;DATE(2024,8,31))</f>
        <v>0</v>
      </c>
    </row>
    <row r="44" spans="3:12">
      <c r="C44" s="262" t="s">
        <v>71</v>
      </c>
      <c r="D44" s="263"/>
      <c r="E44" s="139">
        <f>COUNTIFS(General!B:B, "&gt;="&amp;DATE(2024,9,1), General!B:B, "&lt;="&amp;DATE(2024,9,31))</f>
        <v>0</v>
      </c>
    </row>
    <row r="45" spans="3:12">
      <c r="C45" s="268" t="s">
        <v>73</v>
      </c>
      <c r="D45" s="269"/>
      <c r="E45" s="132">
        <f>COUNTIFS(General!B:B, "&gt;="&amp;DATE(2024,10,1), General!B:B, "&lt;="&amp;DATE(2024,10,31))</f>
        <v>0</v>
      </c>
    </row>
    <row r="46" spans="3:12">
      <c r="C46" s="262" t="s">
        <v>76</v>
      </c>
      <c r="D46" s="263"/>
      <c r="E46" s="137">
        <f>COUNTIFS(General!B:B, "&gt;="&amp;DATE(2024,11,1), General!B:B, "&lt;="&amp;DATE(2024,11,31))</f>
        <v>0</v>
      </c>
    </row>
    <row r="47" spans="3:12">
      <c r="C47" s="264" t="s">
        <v>79</v>
      </c>
      <c r="D47" s="265"/>
      <c r="E47" s="134">
        <f>COUNTIFS(General!B:B, "&gt;="&amp;DATE(2024,12,1), General!B:B, "&lt;="&amp;DATE(2024,12,31))</f>
        <v>0</v>
      </c>
    </row>
  </sheetData>
  <mergeCells count="131">
    <mergeCell ref="S1:T1"/>
    <mergeCell ref="Z1:AC1"/>
    <mergeCell ref="S2:T2"/>
    <mergeCell ref="Z2:AA3"/>
    <mergeCell ref="AB2:AB3"/>
    <mergeCell ref="AC2:AC3"/>
    <mergeCell ref="S3:T3"/>
    <mergeCell ref="A1:B2"/>
    <mergeCell ref="C1:C2"/>
    <mergeCell ref="E1:F2"/>
    <mergeCell ref="H1:I2"/>
    <mergeCell ref="K1:L2"/>
    <mergeCell ref="N1:O2"/>
    <mergeCell ref="E6:F6"/>
    <mergeCell ref="H6:I6"/>
    <mergeCell ref="K6:L6"/>
    <mergeCell ref="S6:T6"/>
    <mergeCell ref="E7:F7"/>
    <mergeCell ref="H7:I7"/>
    <mergeCell ref="K7:L7"/>
    <mergeCell ref="S7:T7"/>
    <mergeCell ref="E4:F4"/>
    <mergeCell ref="H4:I4"/>
    <mergeCell ref="K4:L4"/>
    <mergeCell ref="S4:T4"/>
    <mergeCell ref="E5:F5"/>
    <mergeCell ref="H5:I5"/>
    <mergeCell ref="K5:L5"/>
    <mergeCell ref="S5:T5"/>
    <mergeCell ref="E10:F10"/>
    <mergeCell ref="H10:I10"/>
    <mergeCell ref="K10:L10"/>
    <mergeCell ref="S10:T10"/>
    <mergeCell ref="E11:F11"/>
    <mergeCell ref="H11:I11"/>
    <mergeCell ref="K11:L11"/>
    <mergeCell ref="S11:T11"/>
    <mergeCell ref="E8:F8"/>
    <mergeCell ref="H8:I8"/>
    <mergeCell ref="K8:L8"/>
    <mergeCell ref="S8:T8"/>
    <mergeCell ref="E9:F9"/>
    <mergeCell ref="H9:I9"/>
    <mergeCell ref="K9:L9"/>
    <mergeCell ref="S9:T9"/>
    <mergeCell ref="E12:F12"/>
    <mergeCell ref="H12:I12"/>
    <mergeCell ref="K12:L12"/>
    <mergeCell ref="N12:O12"/>
    <mergeCell ref="S12:T12"/>
    <mergeCell ref="E13:F13"/>
    <mergeCell ref="H13:I13"/>
    <mergeCell ref="K13:L13"/>
    <mergeCell ref="N13:O13"/>
    <mergeCell ref="S13:T13"/>
    <mergeCell ref="Q18:R19"/>
    <mergeCell ref="S18:T19"/>
    <mergeCell ref="C19:D19"/>
    <mergeCell ref="H19:I19"/>
    <mergeCell ref="C20:D20"/>
    <mergeCell ref="H20:I20"/>
    <mergeCell ref="Q20:R20"/>
    <mergeCell ref="S20:T20"/>
    <mergeCell ref="N14:O14"/>
    <mergeCell ref="S14:T14"/>
    <mergeCell ref="E16:F16"/>
    <mergeCell ref="H16:I16"/>
    <mergeCell ref="K16:L16"/>
    <mergeCell ref="E17:F17"/>
    <mergeCell ref="H17:I17"/>
    <mergeCell ref="K17:L17"/>
    <mergeCell ref="Q17:T17"/>
    <mergeCell ref="C23:D23"/>
    <mergeCell ref="Q23:R23"/>
    <mergeCell ref="S23:T23"/>
    <mergeCell ref="C24:D24"/>
    <mergeCell ref="H24:I24"/>
    <mergeCell ref="Q24:R24"/>
    <mergeCell ref="S24:T24"/>
    <mergeCell ref="C21:D21"/>
    <mergeCell ref="Q21:R21"/>
    <mergeCell ref="S21:T21"/>
    <mergeCell ref="C22:D22"/>
    <mergeCell ref="Q22:R22"/>
    <mergeCell ref="S22:T22"/>
    <mergeCell ref="C27:D27"/>
    <mergeCell ref="H27:I27"/>
    <mergeCell ref="Q27:R27"/>
    <mergeCell ref="S27:T27"/>
    <mergeCell ref="C28:D28"/>
    <mergeCell ref="H28:I28"/>
    <mergeCell ref="Q28:R28"/>
    <mergeCell ref="S28:T28"/>
    <mergeCell ref="C25:D25"/>
    <mergeCell ref="H25:I25"/>
    <mergeCell ref="Q25:R25"/>
    <mergeCell ref="S25:T25"/>
    <mergeCell ref="C26:D26"/>
    <mergeCell ref="H26:I26"/>
    <mergeCell ref="Q26:R26"/>
    <mergeCell ref="S26:T26"/>
    <mergeCell ref="C31:D31"/>
    <mergeCell ref="Q31:R31"/>
    <mergeCell ref="S31:T31"/>
    <mergeCell ref="V31:W31"/>
    <mergeCell ref="C32:D32"/>
    <mergeCell ref="Q32:R32"/>
    <mergeCell ref="S32:T32"/>
    <mergeCell ref="V32:W32"/>
    <mergeCell ref="C29:D29"/>
    <mergeCell ref="H29:I29"/>
    <mergeCell ref="Q29:R29"/>
    <mergeCell ref="S29:T29"/>
    <mergeCell ref="C30:D30"/>
    <mergeCell ref="H30:I30"/>
    <mergeCell ref="Q30:R30"/>
    <mergeCell ref="S30:T30"/>
    <mergeCell ref="C46:D46"/>
    <mergeCell ref="C47:D47"/>
    <mergeCell ref="C40:D40"/>
    <mergeCell ref="C41:D41"/>
    <mergeCell ref="C42:D42"/>
    <mergeCell ref="C43:D43"/>
    <mergeCell ref="C44:D44"/>
    <mergeCell ref="C45:D45"/>
    <mergeCell ref="C34:D34"/>
    <mergeCell ref="C35:D35"/>
    <mergeCell ref="C36:D36"/>
    <mergeCell ref="C37:D37"/>
    <mergeCell ref="C38:D38"/>
    <mergeCell ref="C39:D39"/>
  </mergeCells>
  <conditionalFormatting sqref="N19:O19">
    <cfRule type="expression" dxfId="800" priority="20">
      <formula>#REF!="ESPERANDO RESPUESTA 3°"</formula>
    </cfRule>
    <cfRule type="expression" dxfId="799" priority="21">
      <formula>#REF!="PENDIENTE DE OFRECIMIENTO"</formula>
    </cfRule>
    <cfRule type="expression" dxfId="798" priority="22">
      <formula>#REF!="EN CONSULTA CON CIA"</formula>
    </cfRule>
    <cfRule type="expression" dxfId="797" priority="23">
      <formula>#REF!="IP REALIZADA"</formula>
    </cfRule>
    <cfRule type="expression" dxfId="796" priority="24">
      <formula>#REF!="PENDIENTE  COORDINACION"</formula>
    </cfRule>
    <cfRule type="expression" dxfId="795" priority="25">
      <formula>#REF!="LICITANDO REPUESTOS"</formula>
    </cfRule>
    <cfRule type="expression" dxfId="794" priority="26">
      <formula>#REF!="PENDIENTE PRESUPUESTO"</formula>
    </cfRule>
    <cfRule type="expression" dxfId="793" priority="27">
      <formula>#REF!="REVISAR MAIL - RESUELTO"</formula>
    </cfRule>
    <cfRule type="expression" dxfId="792" priority="28">
      <formula>#REF!="IP RECLAMADA A PERITO 5"</formula>
    </cfRule>
    <cfRule type="expression" dxfId="791" priority="29">
      <formula>#REF!="IP RECLAMADA A PERITO 4"</formula>
    </cfRule>
    <cfRule type="expression" dxfId="790" priority="30">
      <formula>#REF!="IP RECLAMADA A PERITO 2"</formula>
    </cfRule>
    <cfRule type="expression" dxfId="789" priority="31">
      <formula>#REF!="INSPECCION ANULADA"</formula>
    </cfRule>
    <cfRule type="expression" dxfId="788" priority="32">
      <formula>#REF!="IP COORDINADA"</formula>
    </cfRule>
    <cfRule type="expression" dxfId="787" priority="33">
      <formula>#REF!="CONTACTADO"</formula>
    </cfRule>
    <cfRule type="expression" dxfId="786" priority="34">
      <formula>#REF!="IP CERRADA"</formula>
    </cfRule>
    <cfRule type="expression" dxfId="785" priority="35">
      <formula>#REF!="ENVIO DE ORDEN"</formula>
    </cfRule>
    <cfRule type="expression" dxfId="784" priority="36">
      <formula>#REF!="PARA FACTURAR"</formula>
    </cfRule>
    <cfRule type="expression" dxfId="783" priority="37">
      <formula>#REF!="IP RECLAMADA A PERITO 1"</formula>
    </cfRule>
    <cfRule type="expression" dxfId="782" priority="38">
      <formula>#REF!="REVISAR MAIL - SIN RESOLVER"</formula>
    </cfRule>
  </conditionalFormatting>
  <conditionalFormatting sqref="V31">
    <cfRule type="expression" dxfId="781" priority="1">
      <formula>$V31="PENDIENTE PRESUPUESTO"</formula>
    </cfRule>
    <cfRule type="expression" dxfId="780" priority="2">
      <formula>$V31="ESPERANDO RESPUESTA 3°"</formula>
    </cfRule>
    <cfRule type="expression" dxfId="779" priority="3">
      <formula>$V31="PENDIENTE DE OFRECIMIENTO"</formula>
    </cfRule>
    <cfRule type="expression" dxfId="778" priority="4">
      <formula>$V31="EN CONSULTA CON CIA"</formula>
    </cfRule>
    <cfRule type="expression" dxfId="777" priority="5">
      <formula>$V31="IP REALIZADA"</formula>
    </cfRule>
    <cfRule type="expression" dxfId="776" priority="6">
      <formula>$V31="REVISAR MAIL - RESUELTO"</formula>
    </cfRule>
    <cfRule type="expression" dxfId="775" priority="7">
      <formula>$V31="INSPECCION ANULADA"</formula>
    </cfRule>
    <cfRule type="expression" dxfId="774" priority="8">
      <formula>$V31="IP RECLAMADA A PERITO 5"</formula>
    </cfRule>
    <cfRule type="expression" dxfId="773" priority="9">
      <formula>$V31="IP RECLAMADA A PERITO 4"</formula>
    </cfRule>
    <cfRule type="expression" dxfId="772" priority="10">
      <formula>$V31="IP RECLAMADA A PERITO 2"</formula>
    </cfRule>
    <cfRule type="expression" dxfId="771" priority="11">
      <formula>$V31="PENDIENTE  COORDINACION"</formula>
    </cfRule>
    <cfRule type="expression" dxfId="770" priority="12">
      <formula>$V31="LICITANDO REPUESTOS"</formula>
    </cfRule>
    <cfRule type="expression" dxfId="769" priority="13">
      <formula>$V31="IP COORDINADA"</formula>
    </cfRule>
    <cfRule type="expression" dxfId="768" priority="14">
      <formula>$V31="CONTACTADO"</formula>
    </cfRule>
    <cfRule type="expression" dxfId="767" priority="15">
      <formula>$V31="IP CERRADA"</formula>
    </cfRule>
    <cfRule type="expression" dxfId="766" priority="16">
      <formula>$V31="ENVIO DE ORDEN"</formula>
    </cfRule>
    <cfRule type="expression" dxfId="765" priority="17">
      <formula>$V31="PARA FACTURAR"</formula>
    </cfRule>
    <cfRule type="expression" dxfId="764" priority="18">
      <formula>$V31="IP RECLAMADA A PERITO 1"</formula>
    </cfRule>
    <cfRule type="expression" dxfId="763" priority="19">
      <formula>$V31="REVISAR MAIL - SIN RESOLVER"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0A03F-FA71-46E2-A05D-BF01540C936B}">
  <sheetPr>
    <tabColor rgb="FFFF0000"/>
  </sheetPr>
  <dimension ref="A1:AI44"/>
  <sheetViews>
    <sheetView topLeftCell="B1" workbookViewId="0">
      <selection activeCell="L5" sqref="L5"/>
    </sheetView>
  </sheetViews>
  <sheetFormatPr defaultRowHeight="15"/>
  <cols>
    <col min="3" max="3" width="21.85546875" customWidth="1"/>
    <col min="4" max="4" width="3.7109375" customWidth="1"/>
    <col min="5" max="5" width="12.85546875" customWidth="1"/>
    <col min="6" max="6" width="13.28515625" customWidth="1"/>
    <col min="7" max="7" width="9.140625" bestFit="1" customWidth="1"/>
    <col min="8" max="8" width="13.5703125" customWidth="1"/>
    <col min="9" max="9" width="3.5703125" customWidth="1"/>
    <col min="10" max="10" width="13.140625" customWidth="1"/>
    <col min="11" max="11" width="14.28515625" customWidth="1"/>
    <col min="12" max="12" width="9.140625" bestFit="1" customWidth="1"/>
    <col min="13" max="13" width="13.85546875" customWidth="1"/>
    <col min="14" max="14" width="3.28515625" customWidth="1"/>
    <col min="15" max="15" width="9.140625" bestFit="1" customWidth="1"/>
    <col min="16" max="16" width="13.42578125" customWidth="1"/>
    <col min="17" max="17" width="9.140625" bestFit="1" customWidth="1"/>
    <col min="18" max="18" width="14.85546875" customWidth="1"/>
    <col min="19" max="19" width="3" customWidth="1"/>
    <col min="20" max="20" width="9.140625" bestFit="1" customWidth="1"/>
    <col min="21" max="21" width="14.85546875" customWidth="1"/>
    <col min="22" max="22" width="9.140625" bestFit="1" customWidth="1"/>
    <col min="23" max="23" width="13.28515625" customWidth="1"/>
    <col min="24" max="24" width="3" customWidth="1"/>
    <col min="25" max="25" width="9.140625" bestFit="1" customWidth="1"/>
    <col min="26" max="26" width="14.140625" customWidth="1"/>
    <col min="27" max="27" width="9.140625" bestFit="1" customWidth="1"/>
    <col min="28" max="28" width="13.85546875" customWidth="1"/>
    <col min="29" max="29" width="3.28515625" customWidth="1"/>
    <col min="30" max="30" width="22.7109375" customWidth="1"/>
    <col min="31" max="31" width="9.140625" bestFit="1" customWidth="1"/>
    <col min="32" max="32" width="20.42578125" customWidth="1"/>
  </cols>
  <sheetData>
    <row r="1" spans="1:35">
      <c r="A1" s="367" t="s">
        <v>57</v>
      </c>
      <c r="B1" s="368"/>
      <c r="C1" s="369" t="s">
        <v>1</v>
      </c>
      <c r="E1" s="385" t="s">
        <v>19</v>
      </c>
      <c r="F1" s="386"/>
      <c r="G1" s="386"/>
      <c r="H1" s="387"/>
      <c r="J1" s="399" t="s">
        <v>66</v>
      </c>
      <c r="K1" s="400"/>
      <c r="L1" s="400"/>
      <c r="M1" s="401"/>
      <c r="O1" s="399" t="s">
        <v>69</v>
      </c>
      <c r="P1" s="400"/>
      <c r="Q1" s="400"/>
      <c r="R1" s="401"/>
      <c r="T1" s="399" t="s">
        <v>16</v>
      </c>
      <c r="U1" s="400"/>
      <c r="V1" s="400"/>
      <c r="W1" s="401"/>
      <c r="Y1" s="399" t="s">
        <v>82</v>
      </c>
      <c r="Z1" s="400"/>
      <c r="AA1" s="400"/>
      <c r="AB1" s="401"/>
      <c r="AD1" s="369" t="s">
        <v>1</v>
      </c>
    </row>
    <row r="2" spans="1:35">
      <c r="A2" s="367"/>
      <c r="B2" s="368"/>
      <c r="C2" s="369"/>
      <c r="E2" s="388"/>
      <c r="F2" s="389"/>
      <c r="G2" s="389"/>
      <c r="H2" s="390"/>
      <c r="J2" s="402"/>
      <c r="K2" s="403"/>
      <c r="L2" s="403"/>
      <c r="M2" s="404"/>
      <c r="O2" s="402"/>
      <c r="P2" s="403"/>
      <c r="Q2" s="403"/>
      <c r="R2" s="404"/>
      <c r="T2" s="402"/>
      <c r="U2" s="403"/>
      <c r="V2" s="403"/>
      <c r="W2" s="404"/>
      <c r="Y2" s="402"/>
      <c r="Z2" s="403"/>
      <c r="AA2" s="403"/>
      <c r="AB2" s="404"/>
      <c r="AD2" s="369"/>
    </row>
    <row r="3" spans="1:35">
      <c r="A3" s="19"/>
      <c r="B3" s="19"/>
      <c r="E3" s="391" t="s">
        <v>83</v>
      </c>
      <c r="F3" s="391"/>
      <c r="G3" s="392" t="s">
        <v>8</v>
      </c>
      <c r="H3" s="392"/>
      <c r="J3" s="391" t="s">
        <v>83</v>
      </c>
      <c r="K3" s="391"/>
      <c r="L3" s="392" t="s">
        <v>8</v>
      </c>
      <c r="M3" s="392"/>
      <c r="O3" s="391" t="s">
        <v>83</v>
      </c>
      <c r="P3" s="391"/>
      <c r="Q3" s="392" t="s">
        <v>8</v>
      </c>
      <c r="R3" s="392"/>
      <c r="T3" s="391" t="s">
        <v>83</v>
      </c>
      <c r="U3" s="391"/>
      <c r="V3" s="392" t="s">
        <v>8</v>
      </c>
      <c r="W3" s="392"/>
      <c r="Y3" s="391" t="s">
        <v>83</v>
      </c>
      <c r="Z3" s="391"/>
      <c r="AA3" s="392" t="s">
        <v>8</v>
      </c>
      <c r="AB3" s="392"/>
    </row>
    <row r="4" spans="1:35" ht="16.5">
      <c r="C4" s="37" t="s">
        <v>10</v>
      </c>
      <c r="E4" s="254">
        <f>COUNTIFS(General!F:F, "IP CERRADA", General!K:K, "A MIÑO", General!H:H, "PTE. APROBACION", General!G:G, "IP CON ORDEN", General!O:O, "&gt;="&amp;DATE(2025,8,1), General!O:O, "&lt;="&amp;DATE(2025,8,31))</f>
        <v>1</v>
      </c>
      <c r="F4" s="38">
        <f>E4*AG5</f>
        <v>5625</v>
      </c>
      <c r="G4" s="41">
        <f>COUNTIFS(General!F:F, "IP CERRADA", General!M:M, "A MIÑO", General!H:H, "PTE. APROBACION", General!G:G, "IP CON ORDEN", General!O:O, "&gt;="&amp;DATE(2025,8,1), General!O:O, "&lt;="&amp;DATE(2025,8,31))</f>
        <v>1</v>
      </c>
      <c r="H4" s="42">
        <f>G4*AH5</f>
        <v>5250</v>
      </c>
      <c r="J4" s="254">
        <f>COUNTIFS(General!F:F, "IP CERRADA", General!K:K, "J. FERLANTI", General!H:H, "PTE. APROBACION", General!G:G, "IP CON ORDEN", General!O:O, "&gt;="&amp;DATE(2025,8,1), General!O:O, "&lt;="&amp;DATE(2025,8,31)) + COUNTIFS(General!F:F, "PARA FACTURAR", General!K:K, "J. FERLANTI", General!G:G, "IP CON ORDEN", General!O:O, "&gt;="&amp;DATE(2025,8,1), General!O:O, "&lt;="&amp;DATE(2025,8,31))</f>
        <v>0</v>
      </c>
      <c r="K4" s="38">
        <f>J4*AG5</f>
        <v>0</v>
      </c>
      <c r="L4" s="41">
        <f>COUNTIFS(General!F:F, "IP CERRADA", General!M:M, "J. FERLANTI", General!H:H, "PTE. APROBACION", General!G:G, "IP CON ORDEN", General!O:O, "&gt;="&amp;DATE(2025,8,1), General!O:O, "&lt;="&amp;DATE(2025,8,31)) + COUNTIFS(General!F:F, "PARA FACTURAR", General!M:M, "J. FERLANTI", General!H:H, "EN TRAMITE", General!G:G, "IP CON ORDEN", General!O:O, "&gt;="&amp;DATE(2024,10,1), General!O:O, "&lt;="&amp;DATE(2024,10,31) )</f>
        <v>101</v>
      </c>
      <c r="M4" s="42">
        <f>L4*AH5</f>
        <v>530250</v>
      </c>
      <c r="O4" s="254">
        <f>COUNTIFS(General!F:F, "IP CERRADA", General!K:K, "J NEIRA", General!H:H, "PTE. APROBACION", General!G:G, "IP CON ORDEN", General!O:O, "&gt;="&amp;DATE(2025,8,1), General!O:O, "&lt;="&amp;DATE(2025,8,31))</f>
        <v>0</v>
      </c>
      <c r="P4" s="38">
        <f>O4*AG5</f>
        <v>0</v>
      </c>
      <c r="Q4" s="41">
        <f>COUNTIFS(General!F:F, "IP CERRADA", General!M:M, "J NEIRA", General!H:H, "PTE. APROBACION", General!G:G, "IP CON ORDEN", General!O:O, "&gt;="&amp;DATE(2025,8,1), General!O:O, "&lt;="&amp;DATE(2025,8,31))</f>
        <v>0</v>
      </c>
      <c r="R4" s="42">
        <f>Q4*AH5</f>
        <v>0</v>
      </c>
      <c r="T4" s="254">
        <f>COUNTIFS(General!F:F, "IP CERRADA", General!K:K, "L DEL PIERO", General!H:H, "PTE. APROBACION", General!G:G, "IP CON ORDEN", General!O:O, "&gt;="&amp;DATE(2025,8,1), General!O:O, "&lt;="&amp;DATE(2025,8,31))</f>
        <v>73</v>
      </c>
      <c r="U4" s="38">
        <f>T4*AG5</f>
        <v>410625</v>
      </c>
      <c r="V4" s="41">
        <f>COUNTIFS(General!F:F, "IP CERRADA", General!M:M, "L DEL PIERO", General!H:H, "PTE. APROBACION", General!G:G, "IP CON ORDEN", General!O:O, "&gt;="&amp;DATE(2025,8,1), General!O:O, "&lt;="&amp;DATE(2025,8,31))</f>
        <v>0</v>
      </c>
      <c r="W4" s="42">
        <f>V4*AH5</f>
        <v>0</v>
      </c>
      <c r="Y4" s="254">
        <f>COUNTIFS(General!F:F, "IP CERRADA", General!K:K, "E Delia", General!H:H, "PTE. APROBACION", General!G:G, "IP CON ORDEN", General!O:O, "&gt;="&amp;DATE(2025,8,1), General!O:O, "&lt;="&amp;DATE(2025,8,31)) + COUNTIFS(General!F:F, "PARA FACTURAR", General!K:K, "E Delia", General!G:G, "IP CON ORDEN", General!O:O, "&gt;="&amp;DATE(2025,8,1), General!O:O, "&lt;="&amp;DATE(2025,8,31))</f>
        <v>28</v>
      </c>
      <c r="Z4" s="38">
        <f>Y4*AG5</f>
        <v>157500</v>
      </c>
      <c r="AA4" s="41">
        <f>COUNTIFS(General!F:F, "IP CERRADA", General!M:M, "E Delia", General!H:H, "PTE. APROBACION", General!G:G, "IP CON ORDEN", General!O:O, "&gt;="&amp;DATE(2025,8,1), General!O:O, "&lt;="&amp;DATE(2025,8,31))</f>
        <v>0</v>
      </c>
      <c r="AB4" s="42">
        <f>AA4*AH5</f>
        <v>0</v>
      </c>
      <c r="AD4" s="37" t="s">
        <v>10</v>
      </c>
      <c r="AF4" s="1" t="s">
        <v>6</v>
      </c>
      <c r="AG4" s="1" t="s">
        <v>7</v>
      </c>
      <c r="AH4" s="1" t="s">
        <v>8</v>
      </c>
      <c r="AI4" s="259"/>
    </row>
    <row r="5" spans="1:35" ht="16.5">
      <c r="C5" s="261" t="s">
        <v>15</v>
      </c>
      <c r="E5" s="39">
        <f>COUNTIFS(General!F:F, "IP CERRADA", General!K:K, "A MIÑO", General!H:H, "PTE. APROBACION", General!G:G, "POSIBLE DT", General!O:O, "&gt;="&amp;DATE(2025,8,1), General!O:O, "&lt;="&amp;DATE(2025,8,31))</f>
        <v>0</v>
      </c>
      <c r="F5" s="40">
        <f>E5*AG7</f>
        <v>0</v>
      </c>
      <c r="G5" s="43">
        <f>COUNTIFS(General!F:F, "IP CERRADA", General!M:M, "A MIÑO", General!H:H, "PTE. APROBACION", General!G:G, "POSIBLE DT", General!O:O, "&gt;="&amp;DATE(2025,8,1), General!O:O, "&lt;="&amp;DATE(2025,8,31))</f>
        <v>0</v>
      </c>
      <c r="H5" s="44">
        <f>G5*AH7</f>
        <v>0</v>
      </c>
      <c r="J5" s="39">
        <f>COUNTIFS(General!F:F, "IP CERRADA", General!K:K, "J. FERLANTI", General!H:H, "PTE. APROBACION", General!G:G, "POSIBLE DT", General!O:O, "&gt;="&amp;DATE(2025,8,1), General!O:O, "&lt;="&amp;DATE(2025,8,31)) + COUNTIFS(General!F:F, "PARA FACTURAR", General!K:K, "J. FERLANTI", General!G:G, "POSIBLE DT", General!O:O, "&gt;="&amp;DATE(2025,8,1), General!O:O, "&lt;="&amp;DATE(2025,8,31))</f>
        <v>0</v>
      </c>
      <c r="K5" s="40">
        <f>J5*AG7</f>
        <v>0</v>
      </c>
      <c r="L5" s="43">
        <f>COUNTIFS(General!F:F, "IP CERRADA", General!M:M, "J. FERLANTI", General!H:H, "PTE. APROBACION", General!G:G, "POSIBLE DT", General!O:O, "&gt;="&amp;DATE(2025,8,1), General!O:O, "&lt;="&amp;DATE(2025,8,31)) + COUNTIFS(General!F:F, "PARA FACTURAR", General!M:M, "J. FERLANTI", General!H:H, "EN TRAMITE", General!G:G, "POSIBLE DT", General!O:O, "&gt;="&amp;DATE(2025,8,1), General!O:O, "&lt;="&amp;DATE(2025,8,31))</f>
        <v>8</v>
      </c>
      <c r="M5" s="44">
        <f>L5*AH7</f>
        <v>42000</v>
      </c>
      <c r="O5" s="39">
        <f>COUNTIFS(General!F:F, "IP CERRADA", General!K:K, "J NEIRA", General!H:H, "PTE. APROBACION", General!G:G, "POSIBLE DT", General!O:O, "&gt;="&amp;DATE(2025,8,1), General!O:O, "&lt;="&amp;DATE(2025,8,31))</f>
        <v>0</v>
      </c>
      <c r="P5" s="40">
        <f>O5*AG7</f>
        <v>0</v>
      </c>
      <c r="Q5" s="43">
        <f>COUNTIFS(General!F:F, "IP CERRADA", General!M:M, "J NEIRA", General!H:H, "PTE. APROBACION", General!G:G, "POSIBLE DT", General!O:O, "&gt;="&amp;DATE(2025,8,1), General!O:O, "&lt;="&amp;DATE(2025,8,31))</f>
        <v>0</v>
      </c>
      <c r="R5" s="44">
        <f>Q5*AH7</f>
        <v>0</v>
      </c>
      <c r="T5" s="39">
        <f>COUNTIFS(General!F:F, "IP CERRADA", General!K:K, "L DEL PIERO", General!H:H, "PTE. APROBACION", General!G:G, "POSIBLE DT", General!O:O, "&gt;="&amp;DATE(2025,8,1), General!O:O, "&lt;="&amp;DATE(2025,8,31))</f>
        <v>2</v>
      </c>
      <c r="U5" s="40">
        <f>T5*AG7</f>
        <v>11250</v>
      </c>
      <c r="V5" s="43">
        <f>COUNTIFS(General!F:F, "IP CERRADA", General!M:M, "L DEL PIERO", General!H:H, "PTE. APROBACION", General!G:G, "POSIBLE DT", General!O:O, "&gt;="&amp;DATE(2025,8,1), General!O:O, "&lt;="&amp;DATE(2025,8,31))</f>
        <v>0</v>
      </c>
      <c r="W5" s="44">
        <f>V5*AH7</f>
        <v>0</v>
      </c>
      <c r="Y5" s="39">
        <f>COUNTIFS(General!F:F, "IP CERRADA", General!K:K, "E Delia", General!H:H, "PTE. APROBACION", General!G:G, "POSIBLE DT", General!O:O, "&gt;="&amp;DATE(2025,8,1), General!O:O, "&lt;="&amp;DATE(2025,8,31))</f>
        <v>6</v>
      </c>
      <c r="Z5" s="40">
        <f>Y5*AG7</f>
        <v>33750</v>
      </c>
      <c r="AA5" s="43">
        <f>COUNTIFS(General!F:F, "IP CERRADA", General!M:M, "E Delia", General!H:H, "PTE. APROBACION", General!G:G, "POSIBLE DT", General!O:O, "&gt;="&amp;DATE(2025,8,1), General!O:O, "&lt;="&amp;DATE(2025,8,31))</f>
        <v>0</v>
      </c>
      <c r="AB5" s="44">
        <f>AA5*AH7</f>
        <v>0</v>
      </c>
      <c r="AD5" s="261" t="s">
        <v>15</v>
      </c>
      <c r="AF5" s="118" t="s">
        <v>10</v>
      </c>
      <c r="AG5" s="119">
        <v>5625</v>
      </c>
      <c r="AH5" s="119">
        <v>5250</v>
      </c>
      <c r="AI5" s="116"/>
    </row>
    <row r="6" spans="1:35" ht="16.5">
      <c r="C6" s="37" t="s">
        <v>18</v>
      </c>
      <c r="E6" s="254">
        <f>COUNTIFS(General!F:F, "IP CERRADA", General!K:K, "A MIÑO", General!H:H, "PTE. APROBACION", General!G:G, "IP SIN ORDEN", General!O:O, "&gt;="&amp;DATE(2025,8,1), General!O:O, "&lt;="&amp;DATE(2025,8,31))</f>
        <v>0</v>
      </c>
      <c r="F6" s="38">
        <f>E6*AG8</f>
        <v>0</v>
      </c>
      <c r="G6" s="41">
        <f>COUNTIFS(General!F:F, "IP CERRADA", General!M:M, "A MIÑO", General!H:H, "PTE. APROBACION", General!G:G, "IP SIN ORDEN", General!O:O, "&gt;="&amp;DATE(2025,8,1), General!O:O, "&lt;="&amp;DATE(2025,8,31))</f>
        <v>0</v>
      </c>
      <c r="H6" s="42">
        <f>G6*AH8</f>
        <v>0</v>
      </c>
      <c r="J6" s="254">
        <f>COUNTIFS(General!F:F, "IP CERRADA", General!K:K, "J. FERLANTI", General!H:H, "PTE. APROBACION", General!G:G, "IP SIN ORDEN", General!O:O, "&gt;="&amp;DATE(2025,8,1), General!O:O, "&lt;="&amp;DATE(2025,8,31)) + COUNTIFS(General!F:F, "PARA FACTURAR", General!K:K, "J. FERLANTI", General!G:G, "IP SIN ORDEN", General!O:O, "&gt;="&amp;DATE(2025,8,1), General!O:O, "&lt;="&amp;DATE(2025,8,31))</f>
        <v>2</v>
      </c>
      <c r="K6" s="38">
        <f>J6*AG8</f>
        <v>11250</v>
      </c>
      <c r="L6" s="41">
        <f>COUNTIFS(General!F:F, "IP CERRADA", General!M:M, "J. FERLANTI", General!H:H, "PTE. APROBACION", General!G:G, "IP SIN ORDEN", General!O:O, "&gt;="&amp;DATE(2025,8,1), General!O:O, "&lt;="&amp;DATE(2025,8,31)) + COUNTIFS(General!F:F, "PARA FACTURAR", General!M:M, "J. FERLANTI", General!H:H, "EN TRAMITE", General!G:G, "IP SIN ORDEN", General!O:O, "&gt;="&amp;DATE(2025,8,1), General!O:O, "&lt;="&amp;DATE(2025,8,31))</f>
        <v>39</v>
      </c>
      <c r="M6" s="42">
        <f>L6*AH8</f>
        <v>204750</v>
      </c>
      <c r="O6" s="254">
        <f>COUNTIFS(General!F:F, "IP CERRADA", General!K:K, "J NEIRA", General!H:H, "PTE. APROBACION", General!G:G, "IP SIN ORDEN", General!O:O, "&gt;="&amp;DATE(2025,8,1), General!O:O, "&lt;="&amp;DATE(2025,8,31))</f>
        <v>0</v>
      </c>
      <c r="P6" s="38">
        <f>O6*AG8</f>
        <v>0</v>
      </c>
      <c r="Q6" s="41">
        <f>COUNTIFS(General!F:F, "IP CERRADA", General!M:M, "J NEIRA", General!H:H, "PTE. APROBACION", General!G:G, "IP SIN ORDEN", General!O:O, "&gt;="&amp;DATE(2025,8,1), General!O:O, "&lt;="&amp;DATE(2025,8,31))</f>
        <v>0</v>
      </c>
      <c r="R6" s="42">
        <f>Q6*AH8</f>
        <v>0</v>
      </c>
      <c r="T6" s="254">
        <f>COUNTIFS(General!F:F, "IP CERRADA", General!K:K, "L DEL PIERO", General!H:H, "PTE. APROBACION", General!G:G, "IP SIN ORDEN", General!O:O, "&gt;="&amp;DATE(2025,8,1), General!O:O, "&lt;="&amp;DATE(2025,8,31))</f>
        <v>17</v>
      </c>
      <c r="U6" s="38">
        <f>T6*AG8</f>
        <v>95625</v>
      </c>
      <c r="V6" s="41">
        <f>COUNTIFS(General!F:F, "IP CERRADA", General!M:M, "L DEL PIERO", General!H:H, "PTE. APROBACION", General!G:G, "IP SIN ORDEN", General!O:O, "&gt;="&amp;DATE(2025,8,1), General!O:O, "&lt;="&amp;DATE(2025,8,31))</f>
        <v>0</v>
      </c>
      <c r="W6" s="42">
        <f>V6*AH8</f>
        <v>0</v>
      </c>
      <c r="Y6" s="254">
        <f>COUNTIFS(General!F:F, "IP CERRADA", General!K:K, "E Delia", General!H:H, "PTE. APROBACION", General!G:G, "IP SIN ORDEN", General!O:O, "&gt;="&amp;DATE(2025,8,1), General!O:O, "&lt;="&amp;DATE(2025,8,31))</f>
        <v>20</v>
      </c>
      <c r="Z6" s="38">
        <f>Y6*AG8</f>
        <v>112500</v>
      </c>
      <c r="AA6" s="41">
        <f>COUNTIFS(General!F:F, "IP CERRADA", General!M:M, "E Delia", General!H:H, "PTE. APROBACION", General!G:G, "IP SIN ORDEN", General!O:O, "&gt;="&amp;DATE(2025,8,1), General!O:O, "&lt;="&amp;DATE(2025,8,31))</f>
        <v>0</v>
      </c>
      <c r="AB6" s="42">
        <f>AA6*AH8</f>
        <v>0</v>
      </c>
      <c r="AD6" s="37" t="s">
        <v>18</v>
      </c>
      <c r="AF6" s="118"/>
      <c r="AG6" s="119"/>
      <c r="AH6" s="119"/>
      <c r="AI6" s="116"/>
    </row>
    <row r="7" spans="1:35" ht="16.5">
      <c r="C7" s="261" t="s">
        <v>21</v>
      </c>
      <c r="E7" s="39">
        <f>COUNTIFS(General!F:F, "IP CERRADA", General!K:K, "A MIÑO", General!H:H, "PTE. APROBACION", General!G:G, "AMPLIACION", General!O:O, "&gt;="&amp;DATE(2025,8,1), General!O:O, "&lt;="&amp;DATE(2025,8,31))</f>
        <v>0</v>
      </c>
      <c r="F7" s="40">
        <f>E7*AG9</f>
        <v>0</v>
      </c>
      <c r="G7" s="43">
        <f>COUNTIFS(General!F:F, "IP CERRADA", General!M:M, "A MIÑO", General!H:H, "PTE. APROBACION", General!G:G, "AMPLIACION", General!O:O, "&gt;="&amp;DATE(2025,8,1), General!O:O, "&lt;="&amp;DATE(2025,8,31))</f>
        <v>0</v>
      </c>
      <c r="H7" s="44">
        <f>G7*AH9</f>
        <v>0</v>
      </c>
      <c r="J7" s="39">
        <f>COUNTIFS(General!F:F, "IP CERRADA", General!K:K, "J. FERLANTI", General!H:H, "PTE. APROBACION", General!G:G, "AMPLIACION", General!O:O, "&gt;="&amp;DATE(2025,8,1), General!O:O, "&lt;="&amp;DATE(2025,8,31)) + COUNTIFS(General!F:F, "PARA FACTURAR", General!K:K, "J. FERLANTI", General!G:G, "AMPLIACION", General!O:O, "&gt;="&amp;DATE(2025,8,1), General!O:O, "&lt;="&amp;DATE(2025,8,31))</f>
        <v>6</v>
      </c>
      <c r="K7" s="40">
        <f>J7*AG9</f>
        <v>15000</v>
      </c>
      <c r="L7" s="43">
        <f>COUNTIFS(General!F:F, "IP CERRADA", General!M:M, "J. FERLANTI", General!H:H, "PTE. APROBACION", General!G:G, "AMPLIACION", General!O:O, "&gt;="&amp;DATE(2025,8,1), General!O:O, "&lt;="&amp;DATE(2025,8,31)) + COUNTIFS(General!F:F, "PARA FACTURAR", General!M:M, "J. FERLANTI", General!H:H, "EN TRAMITE", General!G:G, "AMPLIACION", General!O:O, "&gt;="&amp;DATE(2025,8,1), General!O:O, "&lt;="&amp;DATE(2025,8,31))</f>
        <v>23</v>
      </c>
      <c r="M7" s="44">
        <f>L7*AH9</f>
        <v>46000</v>
      </c>
      <c r="O7" s="39">
        <f>COUNTIFS(General!F:F, "IP CERRADA", General!K:K, "J NEIRA", General!H:H, "PTE. APROBACION", General!G:G, "AMPLIACION", General!O:O, "&gt;="&amp;DATE(2025,8,1), General!O:O, "&lt;="&amp;DATE(2025,8,31))</f>
        <v>0</v>
      </c>
      <c r="P7" s="40">
        <f>O7*AG9</f>
        <v>0</v>
      </c>
      <c r="Q7" s="43">
        <f>COUNTIFS(General!F:F, "IP CERRADA", General!M:M, "J NEIRA", General!H:H, "PTE. APROBACION", General!G:G, "AMPLIACION", General!O:O, "&gt;="&amp;DATE(2025,8,1), General!O:O, "&lt;="&amp;DATE(2025,8,31))</f>
        <v>0</v>
      </c>
      <c r="R7" s="44">
        <f>Q7*AH9</f>
        <v>0</v>
      </c>
      <c r="T7" s="39">
        <f>COUNTIFS(General!F:F, "IP CERRADA", General!K:K, "L DEL PIERO", General!H:H, "PTE. APROBACION", General!G:G, "AMPLIACION", General!O:O, "&gt;="&amp;DATE(2025,8,1), General!O:O, "&lt;="&amp;DATE(2025,8,31))</f>
        <v>12</v>
      </c>
      <c r="U7" s="40">
        <f>T7*AG9</f>
        <v>30000</v>
      </c>
      <c r="V7" s="43">
        <f>COUNTIFS(General!F:F, "IP CERRADA", General!M:M, "L DEL PIERO", General!H:H, "PTE. APROBACION", General!G:G, "AMPLIACION", General!O:O, "&gt;="&amp;DATE(2025,8,1), General!O:O, "&lt;="&amp;DATE(2025,8,31))</f>
        <v>0</v>
      </c>
      <c r="W7" s="44">
        <f>V7*AH9</f>
        <v>0</v>
      </c>
      <c r="Y7" s="39">
        <f>COUNTIFS(General!F:F, "IP CERRADA", General!K:K, "E Delia", General!H:H, "PTE. APROBACION", General!G:G, "AMPLIACION", General!O:O, "&gt;="&amp;DATE(2025,8,1), General!O:O, "&lt;="&amp;DATE(2025,8,31))</f>
        <v>5</v>
      </c>
      <c r="Z7" s="40">
        <f>Y7*AG9</f>
        <v>12500</v>
      </c>
      <c r="AA7" s="43">
        <f>COUNTIFS(General!F:F, "IP CERRADA", General!M:M, "E Delia", General!H:H, "PTE. APROBACION", General!G:G, "AMPLIACION", General!O:O, "&gt;="&amp;DATE(2025,8,1), General!O:O, "&lt;="&amp;DATE(2025,8,31))</f>
        <v>0</v>
      </c>
      <c r="AB7" s="44">
        <f>AA7*AH9</f>
        <v>0</v>
      </c>
      <c r="AD7" s="261" t="s">
        <v>21</v>
      </c>
      <c r="AF7" s="120" t="s">
        <v>15</v>
      </c>
      <c r="AG7" s="121">
        <v>5625</v>
      </c>
      <c r="AH7" s="121">
        <v>5250</v>
      </c>
      <c r="AI7" s="116"/>
    </row>
    <row r="8" spans="1:35" ht="16.5">
      <c r="C8" s="37" t="s">
        <v>24</v>
      </c>
      <c r="E8" s="254" t="s">
        <v>27</v>
      </c>
      <c r="F8" s="38" t="s">
        <v>27</v>
      </c>
      <c r="G8" s="41">
        <f>COUNTIFS(General!F:F, "IP CERRADA", General!M:M, "A MIÑO", General!H:H, "PTE. APROBACION", General!G:G, "ENVIO DE ORDEN", General!O:O, "&gt;="&amp;DATE(2025,8,1), General!O:O, "&lt;="&amp;DATE(2025,8,31))</f>
        <v>0</v>
      </c>
      <c r="H8" s="42">
        <f>G8*AH10</f>
        <v>0</v>
      </c>
      <c r="J8" s="254" t="s">
        <v>27</v>
      </c>
      <c r="K8" s="38" t="s">
        <v>27</v>
      </c>
      <c r="L8" s="41">
        <f>COUNTIFS(General!F:F, "IP SIN ORDEN", General!M:M, "J. FERLANTI", General!H:H, "PTE. APROBACION", General!G:G, "ENVIO DE ORDEN", General!O:O, "&gt;="&amp;DATE(2025,8,1), General!O:O, "&lt;="&amp;DATE(2025,8,31)) + COUNTIFS(General!F:F, "PARA FACTURAR", General!M:M, "J. FERLANTI", General!H:H, "EN TRAMITE", General!G:G, "ENVIO DE ORDEN", General!O:O, "&gt;="&amp;DATE(2025,8,1), General!O:O, "&lt;="&amp;DATE(2025,8,31))</f>
        <v>0</v>
      </c>
      <c r="M8" s="42">
        <f>L8*AH10</f>
        <v>0</v>
      </c>
      <c r="O8" s="254"/>
      <c r="P8" s="38"/>
      <c r="Q8" s="41">
        <f>COUNTIFS(General!F:F, "IP CERRADA", General!M:M, "J NEIRA", General!H:H, "PTE. APROBACION", General!G:G, "ENVIO DE ORDEN", General!O:O, "&gt;="&amp;DATE(2025,8,1), General!O:O, "&lt;="&amp;DATE(2025,8,31))</f>
        <v>0</v>
      </c>
      <c r="R8" s="42">
        <f>Q8*AH10</f>
        <v>0</v>
      </c>
      <c r="T8" s="254"/>
      <c r="U8" s="38"/>
      <c r="V8" s="41">
        <f>COUNTIFS(General!F:F, "IP CERRADA", General!M:M, "L DEL PIERO", General!H:H, "PTE. APROBACION", General!G:G, "ENVIO DE ORDEN", General!O:O, "&gt;="&amp;DATE(2025,8,1), General!O:O, "&lt;="&amp;DATE(2025,8,31))</f>
        <v>0</v>
      </c>
      <c r="W8" s="42">
        <f>V8*AH10</f>
        <v>0</v>
      </c>
      <c r="Y8" s="254"/>
      <c r="Z8" s="38"/>
      <c r="AA8" s="41">
        <f>COUNTIFS(General!F:F, "IP CERRADA", General!M:M, "E Delia", General!H:H, "PTE. APROBACION", General!G:G, "ENVIO DE ORDEN", General!O:O, "&gt;="&amp;DATE(2025,8,1), General!O:O, "&lt;="&amp;DATE(2025,8,31))</f>
        <v>0</v>
      </c>
      <c r="AB8" s="42">
        <f>AA8*AH10</f>
        <v>0</v>
      </c>
      <c r="AD8" s="37" t="s">
        <v>24</v>
      </c>
      <c r="AF8" s="118" t="s">
        <v>18</v>
      </c>
      <c r="AG8" s="119">
        <v>5625</v>
      </c>
      <c r="AH8" s="119">
        <v>5250</v>
      </c>
      <c r="AI8" s="116"/>
    </row>
    <row r="9" spans="1:35" ht="16.5">
      <c r="C9" s="261" t="s">
        <v>29</v>
      </c>
      <c r="E9" s="39">
        <f>COUNTIFS(General!F:F, "IP CERRADA", General!K:K, "A MIÑO", General!H:H, "PTE. APROBACION", General!G:G, "IP CAMIONES", General!O:O, "&gt;="&amp;DATE(2025,8,1), General!O:O, "&lt;="&amp;DATE(2025,8,31))</f>
        <v>0</v>
      </c>
      <c r="F9" s="40">
        <f>E9*AG15</f>
        <v>0</v>
      </c>
      <c r="G9" s="43">
        <f>COUNTIFS(General!F:F, "IP SIN ORDEN", General!M:M, "J. FERLANTI", General!H:H, "PTE. APROBACION", General!G:G, "IP CAMIONES", General!O:O, "&gt;="&amp;DATE(2025,8,1), General!O:O, "&lt;="&amp;DATE(2025,8,31)) + COUNTIFS(General!F:F, "PARA FACTURAR", General!M:M, "J. FERLANTI", General!H:H, "EN TRAMITE", General!G:G, "IP CAMIONES", General!O:O, "&gt;="&amp;DATE(2025,8,1), General!O:O, "&lt;="&amp;DATE(2025,8,31))</f>
        <v>0</v>
      </c>
      <c r="H9" s="44">
        <f>G9*AH15</f>
        <v>0</v>
      </c>
      <c r="J9" s="39">
        <f>COUNTIFS(General!F:F, "IP CERRADA", General!K:K, "J. FERLANTI", General!H:H, "PTE. APROBACION", General!G:G, "IP CAMIONES", General!O:O, "&gt;="&amp;DATE(2025,8,1), General!O:O, "&lt;="&amp;DATE(2025,8,31)) + COUNTIFS(General!F:F, "PARA FACTURAR", General!K:K, "J. FERLANTI", General!G:G, "IP CAMIONES", General!O:O, "&gt;="&amp;DATE(2025,8,1), General!O:O, "&lt;="&amp;DATE(2025,8,31))</f>
        <v>0</v>
      </c>
      <c r="K9" s="40">
        <f>J9*AG15</f>
        <v>0</v>
      </c>
      <c r="L9" s="43">
        <f>COUNTIFS(General!F:F, "IP CERRADA", General!M:M, "J. FERLANTI", General!H:H, "PTE. APROBACION", General!G:G, "IP CAMIONES", General!O:O, "&gt;="&amp;DATE(2025,8,1), General!O:O, "&lt;="&amp;DATE(2025,8,31))</f>
        <v>0</v>
      </c>
      <c r="M9" s="44">
        <f>L9*AH15</f>
        <v>0</v>
      </c>
      <c r="O9" s="39">
        <f>COUNTIFS(General!F:F, "IP CERRADA", General!K:K, "J NEIRA", General!H:H, "PTE. APROBACION", General!G:G, "IP CAMIONES", General!O:O, "&gt;="&amp;DATE(2025,8,1), General!O:O, "&lt;="&amp;DATE(2025,8,31))</f>
        <v>0</v>
      </c>
      <c r="P9" s="40">
        <f>O9*AG15</f>
        <v>0</v>
      </c>
      <c r="Q9" s="43">
        <f>COUNTIFS(General!F:F, "IP CERRADA", General!M:M, "J NEIRA", General!H:H, "PTE. APROBACION", General!G:G, "IP CAMIONES", General!O:O, "&gt;="&amp;DATE(2025,8,1), General!O:O, "&lt;="&amp;DATE(2025,8,31))</f>
        <v>0</v>
      </c>
      <c r="R9" s="44">
        <f>Q9*AH15</f>
        <v>0</v>
      </c>
      <c r="T9" s="39">
        <f>COUNTIFS(General!F:F, "IP CERRADA", General!K:K, "L DEL PIERO", General!H:H, "PTE. APROBACION", General!G:G, "IP CAMIONES", General!O:O, "&gt;="&amp;DATE(2025,8,1), General!O:O, "&lt;="&amp;DATE(2025,8,31))</f>
        <v>0</v>
      </c>
      <c r="U9" s="40">
        <f>T9*AG15</f>
        <v>0</v>
      </c>
      <c r="V9" s="43">
        <f>COUNTIFS(General!F:F, "IP CERRADA", General!M:M, "L DEL PIERO", General!H:H, "PTE. APROBACION", General!G:G, "IP CAMIONES", General!O:O, "&gt;="&amp;DATE(2025,8,1), General!O:O, "&lt;="&amp;DATE(2025,8,31))</f>
        <v>0</v>
      </c>
      <c r="W9" s="44">
        <f>V9*AH15</f>
        <v>0</v>
      </c>
      <c r="Y9" s="39">
        <f>COUNTIFS(General!F:F, "IP CERRADA", General!K:K, "E Delia", General!H:H, "PTE. APROBACION", General!G:G, "IP CAMIONES", General!O:O, "&gt;="&amp;DATE(2025,8,1), General!O:O, "&lt;="&amp;DATE(2025,8,31))</f>
        <v>0</v>
      </c>
      <c r="Z9" s="40">
        <f>Y9*AG15</f>
        <v>0</v>
      </c>
      <c r="AA9" s="43">
        <f>COUNTIFS(General!F:F, "IP CERRADA", General!M:M, "E Delia", General!H:H, "PTE. APROBACION", General!G:G, "IP CAMIONES", General!O:O, "&gt;="&amp;DATE(2025,8,1), General!O:O, "&lt;="&amp;DATE(2025,8,31))</f>
        <v>0</v>
      </c>
      <c r="AB9" s="44">
        <f>AA9*AH15</f>
        <v>0</v>
      </c>
      <c r="AD9" s="261" t="s">
        <v>29</v>
      </c>
      <c r="AF9" s="120" t="s">
        <v>21</v>
      </c>
      <c r="AG9" s="121">
        <v>2500</v>
      </c>
      <c r="AH9" s="121">
        <v>2000</v>
      </c>
      <c r="AI9" s="116"/>
    </row>
    <row r="10" spans="1:35" ht="16.5">
      <c r="C10" s="37" t="s">
        <v>30</v>
      </c>
      <c r="E10" s="254">
        <f>COUNTIFS(General!F:F, "IP CERRADA", General!K:K, "A MIÑO", General!H:H, "PTE. APROBACION", General!G:G, "TERCEROS", General!O:O, "&gt;="&amp;DATE(2024,3,1), General!O:O, "&gt;="&amp;DATE(2025,8,1), General!O:O, "&lt;="&amp;DATE(2025,8,31))</f>
        <v>0</v>
      </c>
      <c r="F10" s="38">
        <f>E10*AG12</f>
        <v>0</v>
      </c>
      <c r="G10" s="41">
        <f>COUNTIFS(General!F:F, "IP CERRADA", General!M:M, "A MIÑO", General!H:H, "PTE. APROBACION", General!G:G, "TERCEROS", General!O:O, "&gt;="&amp;DATE(2025,8,1), General!O:O, "&lt;="&amp;DATE(2025,8,31))</f>
        <v>0</v>
      </c>
      <c r="H10" s="42">
        <f>G10*AH12</f>
        <v>0</v>
      </c>
      <c r="J10" s="254">
        <f>COUNTIFS(General!F:F, "IP CERRADA", General!K:K, "J. FERLANTI", General!H:H, "PTE. APROBACION", General!G:G, "TERCEROS", General!O:O, "&gt;="&amp;DATE(2025,8,1), General!O:O, "&lt;="&amp;DATE(2025,8,31)) + COUNTIFS(General!F:F, "PARA FACTURAR", General!K:K, "J. FERLANTI", General!G:G, "TERCEROS", General!O:O, "&gt;="&amp;DATE(2025,8,1), General!O:O, "&lt;="&amp;DATE(2025,8,31))</f>
        <v>3</v>
      </c>
      <c r="K10" s="38">
        <f>J10*AG12</f>
        <v>16875</v>
      </c>
      <c r="L10" s="41">
        <f>COUNTIFS(General!F:F, "IP SIN ORDEN", General!M:M, "J. FERLANTI", General!H:H, "PTE. APROBACION", General!G:G, "TERCEROS", General!O:O, "&gt;="&amp;DATE(2025,8,1), General!O:O, "&lt;="&amp;DATE(2025,8,31)) + COUNTIFS(General!F:F, "PARA FACTURAR", General!M:M, "J. FERLANTI", General!H:H, "EN TRAMITE", General!G:G, "TERCEROS", General!O:O, "&gt;="&amp;DATE(2025,8,1), General!O:O, "&lt;="&amp;DATE(2025,8,31))</f>
        <v>0</v>
      </c>
      <c r="M10" s="42">
        <f>L10*AH12</f>
        <v>0</v>
      </c>
      <c r="O10" s="254">
        <f>COUNTIFS(General!F:F, "IP CERRADA", General!K:K, "J NEIRA", General!H:H, "PTE. APROBACION", General!G:G, "TERCEROS", General!O:O, "&gt;="&amp;DATE(2024,3,1), General!O:O, "&gt;="&amp;DATE(2025,8,1), General!O:O, "&lt;="&amp;DATE(2025,8,31))</f>
        <v>0</v>
      </c>
      <c r="P10" s="38">
        <f>O10*AG12</f>
        <v>0</v>
      </c>
      <c r="Q10" s="41">
        <f>COUNTIFS(General!F:F, "IP CERRADA", General!M:M, "J NEIRA", General!H:H, "PTE. APROBACION", General!G:G, "TERCEROS", General!O:O, "&gt;="&amp;DATE(2025,8,1), General!O:O, "&lt;="&amp;DATE(2025,8,31))</f>
        <v>0</v>
      </c>
      <c r="R10" s="42">
        <f>Q10*AH12</f>
        <v>0</v>
      </c>
      <c r="T10" s="254">
        <f>COUNTIFS(General!F:F, "IP CERRADA", General!K:K, "L DEL PIERO", General!H:H, "PTE. APROBACION", General!G:G, "TERCEROS", General!O:O, "&gt;="&amp;DATE(2024,3,1), General!O:O, "&gt;="&amp;DATE(2025,8,1), General!O:O, "&lt;="&amp;DATE(2025,8,31))</f>
        <v>0</v>
      </c>
      <c r="U10" s="38">
        <f>T10*AG12</f>
        <v>0</v>
      </c>
      <c r="V10" s="41">
        <f>COUNTIFS(General!F:F, "IP CERRADA", General!M:M, "L DEL PIERO", General!H:H, "PTE. APROBACION", General!G:G, "TERCEROS", General!O:O, "&gt;="&amp;DATE(2025,8,1), General!O:O, "&lt;="&amp;DATE(2025,8,31))</f>
        <v>0</v>
      </c>
      <c r="W10" s="42">
        <f>V10*AH12</f>
        <v>0</v>
      </c>
      <c r="Y10" s="254">
        <f>COUNTIFS(General!F:F, "IP CERRADA", General!K:K, "E Delia", General!H:H, "PTE. APROBACION", General!G:G, "TERCEROS", General!O:O, "&gt;="&amp;DATE(2024,3,1), General!O:O, "&gt;="&amp;DATE(2025,8,1), General!O:O, "&lt;="&amp;DATE(2025,8,31))</f>
        <v>0</v>
      </c>
      <c r="Z10" s="38">
        <f>Y10*AG12</f>
        <v>0</v>
      </c>
      <c r="AA10" s="41">
        <f>COUNTIFS(General!F:F, "IP CERRADA", General!M:M, "E Delia", General!H:H, "PTE. APROBACION", General!G:G, "TERCEROS", General!O:O, "&gt;="&amp;DATE(2025,8,1), General!O:O, "&lt;="&amp;DATE(2025,8,31))</f>
        <v>0</v>
      </c>
      <c r="AB10" s="42">
        <f>AA10*AH12</f>
        <v>0</v>
      </c>
      <c r="AD10" s="37" t="s">
        <v>30</v>
      </c>
      <c r="AF10" s="118" t="s">
        <v>24</v>
      </c>
      <c r="AG10" s="119" t="s">
        <v>27</v>
      </c>
      <c r="AH10" s="119"/>
      <c r="AI10" s="116"/>
    </row>
    <row r="11" spans="1:35" ht="16.5">
      <c r="C11" s="261" t="s">
        <v>32</v>
      </c>
      <c r="E11" s="39" t="s">
        <v>27</v>
      </c>
      <c r="F11" s="40" t="s">
        <v>27</v>
      </c>
      <c r="G11" s="43">
        <f>COUNTIFS(General!F:F, "IP CERRADA", General!M:M, "A MIÑO", General!H:H, "PTE. APROBACION", General!G:G, "FOTOS", General!O:O, "&gt;="&amp;DATE(2025,8,1), General!O:O, "&lt;="&amp;DATE(2025,8,31))</f>
        <v>0</v>
      </c>
      <c r="H11" s="44">
        <v>0</v>
      </c>
      <c r="J11" s="39" t="s">
        <v>27</v>
      </c>
      <c r="K11" s="40" t="s">
        <v>27</v>
      </c>
      <c r="L11" s="43">
        <f>COUNTIFS(General!F:F, "IP SIN ORDEN", General!M:M, "J. FERLANTI", General!H:H, "PTE. APROBACION", General!G:G, "FOTOS", General!O:O, "&gt;="&amp;DATE(2025,8,1), General!O:O, "&lt;="&amp;DATE(2025,8,31)) + COUNTIFS(General!F:F, "PARA FACTURAR", General!M:M, "J. FERLANTI", General!H:H, "EN TRAMITE", General!G:G, "FOTOS", General!O:O, "&gt;="&amp;DATE(2025,8,1), General!O:O, "&lt;="&amp;DATE(2025,8,31))</f>
        <v>0</v>
      </c>
      <c r="M11" s="44">
        <f>L11*AH13</f>
        <v>0</v>
      </c>
      <c r="O11" s="39"/>
      <c r="P11" s="40"/>
      <c r="Q11" s="43">
        <f>COUNTIFS(General!F:F, "IP CERRADA", General!M:M, "J NEIRA", General!H:H, "PTE. APROBACION", General!G:G, "FOTOS", General!O:O, "&gt;="&amp;DATE(2025,8,1), General!O:O, "&lt;="&amp;DATE(2025,8,31))</f>
        <v>0</v>
      </c>
      <c r="R11" s="44">
        <f>Q11*AH13</f>
        <v>0</v>
      </c>
      <c r="T11" s="39"/>
      <c r="U11" s="40"/>
      <c r="V11" s="43">
        <f>COUNTIFS(General!F:F, "IP CERRADA", General!M:M, "L DEL PIERO", General!H:H, "PTE. APROBACION", General!G:G, "FOTOS", General!O:O, "&gt;="&amp;DATE(2025,8,1), General!O:O, "&lt;="&amp;DATE(2025,8,31))</f>
        <v>0</v>
      </c>
      <c r="W11" s="44">
        <f>V11*AH13</f>
        <v>0</v>
      </c>
      <c r="Y11" s="39"/>
      <c r="Z11" s="40"/>
      <c r="AA11" s="43">
        <f>COUNTIFS(General!F:F, "IP CERRADA", General!M:M, "E Delia", General!H:H, "PTE. APROBACION", General!G:G, "FOTOS", General!O:O, "&gt;="&amp;DATE(2025,8,1), General!O:O, "&lt;="&amp;DATE(2025,8,31))</f>
        <v>0</v>
      </c>
      <c r="AB11" s="44">
        <f>AA11*AH13</f>
        <v>0</v>
      </c>
      <c r="AD11" s="261" t="s">
        <v>32</v>
      </c>
      <c r="AF11" s="120" t="s">
        <v>26</v>
      </c>
      <c r="AG11" s="121">
        <v>1650</v>
      </c>
      <c r="AH11" s="121" t="s">
        <v>27</v>
      </c>
      <c r="AI11" s="116"/>
    </row>
    <row r="12" spans="1:35" ht="16.5">
      <c r="C12" s="37" t="s">
        <v>84</v>
      </c>
      <c r="E12" s="254">
        <f>COUNTIFS(General!F:F, "IP CERRADA", General!K:K, "A MIÑO", General!K:K, "A MIÑO", General!H:H, "PTE. APROBACION", General!G:G, "IP FINAL/INTERMEDIA", General!O:O, "&gt;="&amp;DATE(2025,8,1), General!O:O, "&lt;="&amp;DATE(2025,8,31))</f>
        <v>0</v>
      </c>
      <c r="F12" s="38">
        <f>E12*AG14</f>
        <v>0</v>
      </c>
      <c r="G12" s="41">
        <f>COUNTIFS(General!F:F, "IP CERRADA", General!M:M, "A MIÑO", General!H:H, "PTE. APROBACION", General!G:G, "IP REMOTA", General!O:O, "&gt;="&amp;DATE(2025,8,1), General!O:O, "&lt;="&amp;DATE(2025,8,31))</f>
        <v>0</v>
      </c>
      <c r="H12" s="42">
        <f>G12*AH14</f>
        <v>0</v>
      </c>
      <c r="J12" s="254">
        <f>COUNTIFS(General!F:F, "IP CERRADA", General!K:K, "J. FERLANTI", General!H:H, "PTE. APROBACION", General!G:G, "IP FINAL/INTERMEDIA", General!O:O, "&gt;="&amp;DATE(2025,8,1), General!O:O, "&lt;="&amp;DATE(2025,8,31)) + COUNTIFS(General!F:F, "PARA FACTURAR", General!K:K, "J. FERLANTI", General!G:G, "IP FINAL/INTERMEDIA", General!O:O, "&gt;="&amp;DATE(2025,8,1), General!O:O, "&lt;="&amp;DATE(2025,8,31))</f>
        <v>0</v>
      </c>
      <c r="K12" s="38">
        <f>J12*AG9</f>
        <v>0</v>
      </c>
      <c r="L12" s="41">
        <f>COUNTIFS(General!F:F, "IP CERRADA", General!M:M, "J. FERLANTI", General!H:H, "PTE. APROBACION", General!G:G, "IP FINAL/INTERMEDIA", General!O:O, "&gt;="&amp;DATE(2025,8,1), General!O:O, "&lt;="&amp;DATE(2025,8,31)) + COUNTIFS(General!F:F, "PARA FACTURAR", General!M:M, "J. FERLANTI", General!H:H, "EN TRAMITE", General!G:G, "IP FINAL/INTERMEDIA", General!O:O, "&gt;="&amp;DATE(2025,8,1), General!O:O, "&lt;="&amp;DATE(2025,8,31))</f>
        <v>7</v>
      </c>
      <c r="M12" s="42">
        <f>L12*AH9</f>
        <v>14000</v>
      </c>
      <c r="O12" s="254">
        <f>COUNTIFS(General!F:F, "IP CERRADA", General!K:K, "J NEIRA", General!K:K, "A MIÑO", General!H:H, "PTE. APROBACION", General!G:G, "IP REMOTA", General!O:O, "&gt;="&amp;DATE(2025,8,1), General!O:O, "&lt;="&amp;DATE(2025,8,31))</f>
        <v>0</v>
      </c>
      <c r="P12" s="38">
        <f>O12*AG14</f>
        <v>0</v>
      </c>
      <c r="Q12" s="41">
        <f>COUNTIFS(General!F:F, "IP CERRADA", General!M:M, "J NEIRA", General!H:H, "PTE. APROBACION", General!G:G, "IP REMOTA", General!O:O, "&gt;="&amp;DATE(2025,8,1), General!O:O, "&lt;="&amp;DATE(2025,8,31))</f>
        <v>0</v>
      </c>
      <c r="R12" s="42">
        <f>Q12*AH14</f>
        <v>0</v>
      </c>
      <c r="T12" s="254">
        <f>COUNTIFS(General!F:F, "IP CERRADA", General!K:K, "L DEL PIERO", General!K:K, "A MIÑO", General!H:H, "PTE. APROBACION", General!G:G, "IP REMOTA", General!O:O, "&gt;="&amp;DATE(2025,8,1), General!O:O, "&lt;="&amp;DATE(2025,8,31))</f>
        <v>0</v>
      </c>
      <c r="U12" s="38">
        <f>T12*AG14</f>
        <v>0</v>
      </c>
      <c r="V12" s="41">
        <f>COUNTIFS(General!F:F, "IP CERRADA", General!M:M, "L DEL PIERO", General!H:H, "PTE. APROBACION", General!G:G, "IP REMOTA", General!O:O, "&gt;="&amp;DATE(2025,8,1), General!O:O, "&lt;="&amp;DATE(2025,8,31))</f>
        <v>0</v>
      </c>
      <c r="W12" s="42">
        <f>V12*AH14</f>
        <v>0</v>
      </c>
      <c r="Y12" s="254">
        <f>COUNTIFS(General!F:F, "IP CERRADA", General!K:K, "E Delia",  General!H:H, "PTE. APROBACION", General!G:G, "IP FINAL/INTERMEDIA", General!O:O, "&gt;="&amp;DATE(2025,8,1), General!O:O, "&lt;="&amp;DATE(2025,8,31))</f>
        <v>2</v>
      </c>
      <c r="Z12" s="38">
        <f>Y12*AG9</f>
        <v>5000</v>
      </c>
      <c r="AA12" s="41">
        <f>COUNTIFS(General!F:F, "IP CERRADA", General!M:M, "E Delia", General!H:H, "PTE. APROBACION", General!G:G, "IP REMOTA", General!O:O, "&gt;="&amp;DATE(2025,8,1), General!O:O, "&lt;="&amp;DATE(2025,8,31))</f>
        <v>0</v>
      </c>
      <c r="AB12" s="42">
        <f>AA12*AH14</f>
        <v>0</v>
      </c>
      <c r="AD12" s="37" t="s">
        <v>34</v>
      </c>
      <c r="AF12" s="118" t="s">
        <v>30</v>
      </c>
      <c r="AG12" s="119">
        <v>5625</v>
      </c>
      <c r="AH12" s="119">
        <v>5250</v>
      </c>
      <c r="AI12" s="116"/>
    </row>
    <row r="13" spans="1:35" ht="16.5">
      <c r="C13" s="261" t="s">
        <v>37</v>
      </c>
      <c r="E13" s="39" t="s">
        <v>27</v>
      </c>
      <c r="F13" s="40" t="s">
        <v>27</v>
      </c>
      <c r="G13" s="43">
        <f>COUNTIFS(General!F:F, "IP CERRADA", General!M:M, "A MIÑO", General!H:H, "PTE. APROBACION", General!G:G, "IP VIRTUAL", General!O:O, "&gt;="&amp;DATE(2025,8,1), General!O:O, "&lt;="&amp;DATE(2025,8,31))</f>
        <v>0</v>
      </c>
      <c r="H13" s="44">
        <f>G13*AH16</f>
        <v>0</v>
      </c>
      <c r="J13" s="39" t="s">
        <v>27</v>
      </c>
      <c r="K13" s="40" t="s">
        <v>27</v>
      </c>
      <c r="L13" s="43">
        <f>COUNTIFS(General!F:F, "IP SIN ORDEN", General!M:M, "J. FERLANTI", General!H:H, "PTE. APROBACION", General!G:G, "IP VIRTUAL", General!O:O, "&gt;="&amp;DATE(2025,8,1), General!O:O, "&lt;="&amp;DATE(2025,8,31)) + COUNTIFS(General!F:F, "PARA FACTURAR", General!M:M, "J. FERLANTI", General!H:H, "EN TRAMITE", General!G:G, "IP VIRTUAL", General!O:O, "&gt;="&amp;DATE(2025,8,1), General!O:O, "&lt;="&amp;DATE(2025,8,31))</f>
        <v>0</v>
      </c>
      <c r="M13" s="44">
        <f>L13*AH16</f>
        <v>0</v>
      </c>
      <c r="O13" s="39"/>
      <c r="P13" s="40"/>
      <c r="Q13" s="43">
        <f>COUNTIFS(General!F:F, "IP CERRADA", General!M:M, "J NEIRA", General!H:H, "PTE. APROBACION", General!G:G, "IP VIRTUAL", General!O:O, "&gt;="&amp;DATE(2025,8,1), General!O:O, "&lt;="&amp;DATE(2025,8,31))</f>
        <v>0</v>
      </c>
      <c r="R13" s="44">
        <f>Q13*AH16</f>
        <v>0</v>
      </c>
      <c r="T13" s="39"/>
      <c r="U13" s="40"/>
      <c r="V13" s="43">
        <f>COUNTIFS(General!F:F, "IP CERRADA", General!M:M, "L DEL PIERO", General!H:H, "PTE. APROBACION", General!G:G, "IP VIRTUAL", General!O:O, "&gt;="&amp;DATE(2025,8,1), General!O:O, "&lt;="&amp;DATE(2025,8,31))</f>
        <v>0</v>
      </c>
      <c r="W13" s="44">
        <f>V13*AH16</f>
        <v>0</v>
      </c>
      <c r="Y13" s="39"/>
      <c r="Z13" s="40"/>
      <c r="AA13" s="43">
        <f>COUNTIFS(General!F:F, "IP CERRADA", General!M:M, "E Delia", General!H:H, "PTE. APROBACION", General!G:G, "IP VIRTUAL", General!O:O, "&gt;="&amp;DATE(2025,8,1), General!O:O, "&lt;="&amp;DATE(2025,8,31))</f>
        <v>0</v>
      </c>
      <c r="AB13" s="44">
        <f>AA13*AH16</f>
        <v>0</v>
      </c>
      <c r="AD13" s="261" t="s">
        <v>37</v>
      </c>
      <c r="AF13" s="120" t="s">
        <v>32</v>
      </c>
      <c r="AG13" s="121" t="s">
        <v>27</v>
      </c>
      <c r="AH13" s="121">
        <v>0</v>
      </c>
      <c r="AI13" s="116"/>
    </row>
    <row r="14" spans="1:35" ht="16.5">
      <c r="C14" s="37" t="s">
        <v>26</v>
      </c>
      <c r="E14" s="254">
        <f>COUNTIFS(General!F:F, "IP CERRADA", General!K:K, "A MIÑO", General!K:K, "A MIÑO", General!H:H, "PTE. APROBACION", General!G:G, "AUSENTE", General!O:O, "&gt;="&amp;DATE(2025,8,1), General!O:O, "&lt;="&amp;DATE(2025,8,31))</f>
        <v>0</v>
      </c>
      <c r="F14" s="38">
        <f>E14*AG11</f>
        <v>0</v>
      </c>
      <c r="G14" s="41" t="s">
        <v>27</v>
      </c>
      <c r="H14" s="42" t="s">
        <v>27</v>
      </c>
      <c r="J14" s="254">
        <f>COUNTIFS(General!F:F, "IP CERRADA", General!K:K, "J. FERLANTI", General!H:H, "PTE. APROBACION", General!G:G, "AUSENTE", General!O:O, "&gt;="&amp;DATE(2025,8,1), General!O:O, "&lt;="&amp;DATE(2025,8,31)) + COUNTIFS(General!F:F, "PARA FACTURAR", General!K:K, "J. FERLANTI", General!G:G, "AUSENTE", General!O:O, "&gt;="&amp;DATE(2025,8,1), General!O:O, "&lt;="&amp;DATE(2025,8,31))</f>
        <v>0</v>
      </c>
      <c r="K14" s="38">
        <f>J14*AG11</f>
        <v>0</v>
      </c>
      <c r="L14" s="41"/>
      <c r="M14" s="42"/>
      <c r="O14" s="254">
        <f>COUNTIFS(General!F:F, "IP CERRADA", General!K:K, "J NEIRA", General!K:K, "A MIÑO", General!H:H, "PTE. APROBACION", General!G:G, "AUSENTE", General!O:O, "&gt;="&amp;DATE(2025,8,1), General!O:O, "&lt;="&amp;DATE(2025,8,31))</f>
        <v>0</v>
      </c>
      <c r="P14" s="38">
        <f>O14*AG11</f>
        <v>0</v>
      </c>
      <c r="Q14" s="41"/>
      <c r="R14" s="42"/>
      <c r="T14" s="254">
        <f>COUNTIFS(General!F:F, "IP CERRADA", General!K:K, "L DEL PIERO", General!K:K, "A MIÑO", General!H:H, "PTE. APROBACION", General!G:G, "AUSENTE", General!O:O, "&gt;="&amp;DATE(2025,8,1), General!O:O, "&lt;="&amp;DATE(2025,8,31))</f>
        <v>0</v>
      </c>
      <c r="U14" s="38">
        <f>T14*AG11</f>
        <v>0</v>
      </c>
      <c r="V14" s="41"/>
      <c r="W14" s="42"/>
      <c r="Y14" s="254">
        <f>COUNTIFS(General!F:F, "IP CERRADA", General!K:K, "E Delia", General!K:K, "E DELIA", General!H:H, "PTE. APROBACION", General!G:G, "AUSENTE", General!O:O, "&gt;="&amp;DATE(2025,8,1), General!O:O, "&lt;="&amp;DATE(2025,8,31))</f>
        <v>4</v>
      </c>
      <c r="Z14" s="38">
        <f>Y14*AG11</f>
        <v>6600</v>
      </c>
      <c r="AA14" s="41"/>
      <c r="AB14" s="42"/>
      <c r="AD14" s="37" t="s">
        <v>26</v>
      </c>
      <c r="AF14" s="118" t="s">
        <v>34</v>
      </c>
      <c r="AG14" s="119">
        <v>0</v>
      </c>
      <c r="AH14" s="119">
        <v>0</v>
      </c>
      <c r="AI14" s="116"/>
    </row>
    <row r="15" spans="1:35">
      <c r="E15" s="395" t="s">
        <v>44</v>
      </c>
      <c r="F15" s="396"/>
      <c r="G15" s="397" t="s">
        <v>44</v>
      </c>
      <c r="H15" s="398"/>
      <c r="J15" s="383" t="s">
        <v>44</v>
      </c>
      <c r="K15" s="384"/>
      <c r="L15" s="381" t="s">
        <v>44</v>
      </c>
      <c r="M15" s="382"/>
      <c r="O15" s="383" t="s">
        <v>44</v>
      </c>
      <c r="P15" s="384"/>
      <c r="Q15" s="381" t="s">
        <v>44</v>
      </c>
      <c r="R15" s="382"/>
      <c r="T15" s="383" t="s">
        <v>44</v>
      </c>
      <c r="U15" s="384"/>
      <c r="V15" s="381" t="s">
        <v>44</v>
      </c>
      <c r="W15" s="382"/>
      <c r="Y15" s="383" t="s">
        <v>44</v>
      </c>
      <c r="Z15" s="384"/>
      <c r="AA15" s="381" t="s">
        <v>44</v>
      </c>
      <c r="AB15" s="382"/>
      <c r="AF15" s="120" t="s">
        <v>29</v>
      </c>
      <c r="AG15" s="121">
        <v>5625</v>
      </c>
      <c r="AH15" s="121">
        <v>5250</v>
      </c>
      <c r="AI15" s="116"/>
    </row>
    <row r="16" spans="1:35">
      <c r="E16" s="37">
        <f>E4+E5+E6+E7+E9+E10+E12+E14</f>
        <v>1</v>
      </c>
      <c r="F16" s="29">
        <f>F4+F5+F6+F7+F9+F10+F12+F14</f>
        <v>5625</v>
      </c>
      <c r="G16" s="51">
        <f>G4+G5+G6+G7+G8+G9+G10+G11+G12+G13</f>
        <v>1</v>
      </c>
      <c r="H16" s="45">
        <f>H4+H5+H6+H7+H8+H9+H10+H11+H12+H13</f>
        <v>5250</v>
      </c>
      <c r="J16" s="37">
        <f>J4+J5+J6+J7+J9+J10+J12+J14</f>
        <v>11</v>
      </c>
      <c r="K16" s="29">
        <f>K4+K5+K6+K7+K9+K10+K12+K14</f>
        <v>43125</v>
      </c>
      <c r="L16" s="51">
        <f>L4+L5+L6+L7+L8+L9+L10+L11+L12+L13</f>
        <v>178</v>
      </c>
      <c r="M16" s="45">
        <f>M4+M5+M6+M7+M8+M9+M10+M11+M12+M13</f>
        <v>837000</v>
      </c>
      <c r="O16" s="37">
        <f>O4+O5+O6+O7+O8+O9+O10+O11+O12+O13+O14</f>
        <v>0</v>
      </c>
      <c r="P16" s="29">
        <f>P4+P5+P6+P7+P8+P9+P10+P11+P12+P13</f>
        <v>0</v>
      </c>
      <c r="Q16" s="51">
        <f>Q4+Q5+Q6+Q7+Q8+Q9+Q10+Q11+Q12+Q13</f>
        <v>0</v>
      </c>
      <c r="R16" s="45">
        <f>R4+R5+R6+R7+R8+R9+R10+R11+R12+R13</f>
        <v>0</v>
      </c>
      <c r="T16" s="37">
        <f>T4+T5+T6+T7+T8+T9+T10+T11+T12+T13+T14</f>
        <v>104</v>
      </c>
      <c r="U16" s="29">
        <f>U4+U5+U6+U7+U8+U9+U10+U11+U12+U13</f>
        <v>547500</v>
      </c>
      <c r="V16" s="51">
        <f>V4+V5+V6+V7+V8+V9+V10+V11+V12+V13</f>
        <v>0</v>
      </c>
      <c r="W16" s="45">
        <f>W4+W5+W6+W7+W8+W9+W10+W11+W12+W13</f>
        <v>0</v>
      </c>
      <c r="Y16" s="37">
        <f>Y4+Y5+Y6+Y7+Y8+Y9+Y10+Y11+Y12+Y13+Y14</f>
        <v>65</v>
      </c>
      <c r="Z16" s="29">
        <f>Z4+Z5+Z6+Z7+Z8+Z9+Z10+Z11+Z12+Z13</f>
        <v>321250</v>
      </c>
      <c r="AA16" s="51">
        <f>AA4+AA5+AA6+AA7+AA8+AA9+AA10+AA11+AA12+AA13</f>
        <v>0</v>
      </c>
      <c r="AB16" s="45">
        <f>AB4+AB5+AB6+AB7+AB8+AB9+AB10+AB11+AB12+AB13</f>
        <v>0</v>
      </c>
      <c r="AF16" s="118" t="s">
        <v>37</v>
      </c>
      <c r="AG16" s="119" t="s">
        <v>27</v>
      </c>
      <c r="AH16" s="119">
        <v>0</v>
      </c>
      <c r="AI16" s="116"/>
    </row>
    <row r="17" spans="3:35">
      <c r="E17" s="48"/>
      <c r="F17" s="49"/>
      <c r="G17" s="48"/>
      <c r="H17" s="49"/>
      <c r="J17" s="48"/>
      <c r="K17" s="49"/>
      <c r="L17" s="48"/>
      <c r="M17" s="49"/>
      <c r="O17" s="48"/>
      <c r="P17" s="49"/>
      <c r="Q17" s="48"/>
      <c r="R17" s="49"/>
      <c r="T17" s="48"/>
      <c r="U17" s="49"/>
      <c r="V17" s="48"/>
      <c r="W17" s="49"/>
      <c r="Y17" s="48"/>
      <c r="Z17" s="49"/>
      <c r="AA17" s="48"/>
      <c r="AB17" s="49"/>
      <c r="AF17" s="118"/>
      <c r="AG17" s="119"/>
      <c r="AH17" s="119"/>
      <c r="AI17" s="116"/>
    </row>
    <row r="18" spans="3:35">
      <c r="E18" s="395"/>
      <c r="F18" s="396"/>
      <c r="G18" s="261"/>
      <c r="H18" s="52"/>
      <c r="J18" s="380"/>
      <c r="K18" s="380"/>
      <c r="L18" s="261"/>
      <c r="M18" s="50"/>
      <c r="O18" s="380"/>
      <c r="P18" s="380"/>
      <c r="Q18" s="261"/>
      <c r="R18" s="50"/>
      <c r="T18" s="380"/>
      <c r="U18" s="380"/>
      <c r="V18" s="261"/>
      <c r="W18" s="50"/>
      <c r="Y18" s="380"/>
      <c r="Z18" s="380"/>
      <c r="AA18" s="261"/>
      <c r="AB18" s="50"/>
      <c r="AF18" s="118"/>
      <c r="AG18" s="119"/>
      <c r="AH18" s="119"/>
      <c r="AI18" s="116"/>
    </row>
    <row r="19" spans="3:35">
      <c r="E19" s="376" t="s">
        <v>3</v>
      </c>
      <c r="F19" s="377"/>
      <c r="G19" s="99">
        <f>COUNTIFS(General!F:F, "LICITANDO REPUESTOS", General!M:M, "A MIÑO")</f>
        <v>0</v>
      </c>
      <c r="H19" s="100"/>
      <c r="J19" s="376" t="s">
        <v>3</v>
      </c>
      <c r="K19" s="377"/>
      <c r="L19" s="99">
        <f>COUNTIFS(General!F:F, "LICITANDO REPUESTOS", General!M:M, "J. FERLANTI")</f>
        <v>16</v>
      </c>
      <c r="M19" s="100"/>
      <c r="O19" s="393" t="s">
        <v>3</v>
      </c>
      <c r="P19" s="394"/>
      <c r="Q19" s="99">
        <f>COUNTIFS(General!F:F, "LICITANDO REPUESTOS", General!M:M, "J NEIRA")</f>
        <v>0</v>
      </c>
      <c r="R19" s="100"/>
      <c r="T19" s="376" t="s">
        <v>3</v>
      </c>
      <c r="U19" s="377"/>
      <c r="V19" s="95"/>
      <c r="W19" s="96"/>
      <c r="Y19" s="376" t="s">
        <v>3</v>
      </c>
      <c r="Z19" s="377"/>
      <c r="AA19" s="95"/>
      <c r="AB19" s="96"/>
      <c r="AF19" s="122" t="s">
        <v>43</v>
      </c>
      <c r="AG19" s="123">
        <v>300</v>
      </c>
      <c r="AH19" s="123" t="s">
        <v>27</v>
      </c>
      <c r="AI19" s="117"/>
    </row>
    <row r="20" spans="3:35">
      <c r="E20" s="378" t="s">
        <v>85</v>
      </c>
      <c r="F20" s="379"/>
      <c r="G20" s="97"/>
      <c r="H20" s="98"/>
      <c r="J20" s="378" t="s">
        <v>85</v>
      </c>
      <c r="K20" s="379"/>
      <c r="L20" s="97">
        <f>COUNTIFS(General!F:F, "IP COORDINADA", General!M:M, "J. FERLANTI")</f>
        <v>34</v>
      </c>
      <c r="M20" s="98"/>
      <c r="O20" s="378" t="s">
        <v>85</v>
      </c>
      <c r="P20" s="379"/>
      <c r="Q20" s="97"/>
      <c r="R20" s="98"/>
      <c r="T20" s="378" t="s">
        <v>85</v>
      </c>
      <c r="U20" s="379"/>
      <c r="V20" s="97"/>
      <c r="W20" s="98"/>
      <c r="Y20" s="378" t="s">
        <v>85</v>
      </c>
      <c r="Z20" s="379"/>
      <c r="AA20" s="97"/>
      <c r="AB20" s="98"/>
    </row>
    <row r="21" spans="3:35">
      <c r="E21" s="374" t="s">
        <v>86</v>
      </c>
      <c r="F21" s="375"/>
      <c r="G21" s="46">
        <f>E4+E5+E6+E7+E9+E10+E12+E14+G4+G5+G6+G7+G8+G9+G10+G11+G12+G13</f>
        <v>2</v>
      </c>
      <c r="H21" s="47">
        <f>F16+H16+H18</f>
        <v>10875</v>
      </c>
      <c r="J21" s="374" t="s">
        <v>86</v>
      </c>
      <c r="K21" s="375"/>
      <c r="L21" s="46">
        <f>J4+J5+J6+J7+J9+J10+J12+J14+L4+L5+L6+L7+L9+L8+L10+L11+L12+L13</f>
        <v>189</v>
      </c>
      <c r="M21" s="47">
        <f>M16+M18+K16</f>
        <v>880125</v>
      </c>
      <c r="O21" s="374" t="s">
        <v>86</v>
      </c>
      <c r="P21" s="375"/>
      <c r="Q21" s="46">
        <f>Q4+Q5+Q6+Q7+Q8+Q9+Q10+Q11+Q12+Q13+O4+O5+O6+O8+O7+O9+O10+O11+O12+O13</f>
        <v>0</v>
      </c>
      <c r="R21" s="47">
        <f>P16+R16</f>
        <v>0</v>
      </c>
      <c r="T21" s="374" t="s">
        <v>86</v>
      </c>
      <c r="U21" s="375"/>
      <c r="V21" s="46">
        <f>V4+V5+V6+V7+V8+V9+V10+V11+V12+V13+T4+T5+T6+T8+T7+T9+T10+T11+T12+T13</f>
        <v>104</v>
      </c>
      <c r="W21" s="47">
        <f>U16+W16</f>
        <v>547500</v>
      </c>
      <c r="Y21" s="374" t="s">
        <v>86</v>
      </c>
      <c r="Z21" s="375"/>
      <c r="AA21" s="46">
        <f>AA4+AA5+AA6+AA7+AA8+AA9+AA10+AA11+AA12+AA13+Y4+Y5+Y6+Y8+Y7+Y9+Y10+Y11+Y12+Y13</f>
        <v>61</v>
      </c>
      <c r="AB21" s="47">
        <f>Z16+AB16</f>
        <v>321250</v>
      </c>
    </row>
    <row r="22" spans="3:35">
      <c r="S22" t="s">
        <v>87</v>
      </c>
    </row>
    <row r="24" spans="3:35">
      <c r="C24" s="369" t="s">
        <v>1</v>
      </c>
      <c r="E24" s="385" t="s">
        <v>33</v>
      </c>
      <c r="F24" s="386"/>
      <c r="G24" s="386"/>
      <c r="H24" s="387"/>
      <c r="J24" s="385" t="s">
        <v>31</v>
      </c>
      <c r="K24" s="386"/>
      <c r="L24" s="386"/>
      <c r="M24" s="387"/>
      <c r="O24" s="385" t="s">
        <v>88</v>
      </c>
      <c r="P24" s="386"/>
      <c r="Q24" s="386"/>
      <c r="R24" s="387"/>
      <c r="T24" s="385" t="s">
        <v>22</v>
      </c>
      <c r="U24" s="386"/>
      <c r="V24" s="386"/>
      <c r="W24" s="387"/>
      <c r="Y24" s="385" t="s">
        <v>28</v>
      </c>
      <c r="Z24" s="386"/>
      <c r="AA24" s="386"/>
      <c r="AB24" s="387"/>
      <c r="AD24" s="369" t="s">
        <v>1</v>
      </c>
    </row>
    <row r="25" spans="3:35">
      <c r="C25" s="369"/>
      <c r="E25" s="388"/>
      <c r="F25" s="389"/>
      <c r="G25" s="389"/>
      <c r="H25" s="390"/>
      <c r="J25" s="388"/>
      <c r="K25" s="389"/>
      <c r="L25" s="389"/>
      <c r="M25" s="390"/>
      <c r="O25" s="388"/>
      <c r="P25" s="389"/>
      <c r="Q25" s="389"/>
      <c r="R25" s="390"/>
      <c r="T25" s="388"/>
      <c r="U25" s="389"/>
      <c r="V25" s="389"/>
      <c r="W25" s="390"/>
      <c r="Y25" s="388"/>
      <c r="Z25" s="389"/>
      <c r="AA25" s="389"/>
      <c r="AB25" s="390"/>
      <c r="AD25" s="369"/>
    </row>
    <row r="26" spans="3:35">
      <c r="E26" s="391" t="s">
        <v>83</v>
      </c>
      <c r="F26" s="391"/>
      <c r="G26" s="392" t="s">
        <v>8</v>
      </c>
      <c r="H26" s="392"/>
      <c r="J26" s="391" t="s">
        <v>83</v>
      </c>
      <c r="K26" s="391"/>
      <c r="L26" s="392" t="s">
        <v>8</v>
      </c>
      <c r="M26" s="392"/>
      <c r="O26" s="391" t="s">
        <v>83</v>
      </c>
      <c r="P26" s="391"/>
      <c r="Q26" s="392" t="s">
        <v>8</v>
      </c>
      <c r="R26" s="392"/>
      <c r="T26" s="391" t="s">
        <v>83</v>
      </c>
      <c r="U26" s="391"/>
      <c r="V26" s="392" t="s">
        <v>8</v>
      </c>
      <c r="W26" s="392"/>
      <c r="Y26" s="391" t="s">
        <v>83</v>
      </c>
      <c r="Z26" s="391"/>
      <c r="AA26" s="392" t="s">
        <v>8</v>
      </c>
      <c r="AB26" s="392"/>
    </row>
    <row r="27" spans="3:35" ht="16.5">
      <c r="C27" s="37" t="s">
        <v>10</v>
      </c>
      <c r="E27" s="254">
        <f>COUNTIFS(General!F:F, "IP CERRADA", General!K:K, "G DICLEMENTE", General!H:H, "PTE. APROBACION", General!G:G, "IP CON ORDEN", General!O:O, "&gt;="&amp;DATE(2025,8,1), General!O:O, "&lt;="&amp;DATE(2025,8,31))</f>
        <v>0</v>
      </c>
      <c r="F27" s="38">
        <f>E27*AG5</f>
        <v>0</v>
      </c>
      <c r="G27" s="55">
        <f>COUNTIFS(General!F:F, "IP CERRADA", General!M:M, "G DICLEMENTE", General!H:H, "PTE. APROBACION", General!G:G, "IP CON ORDEN", General!O:O, "&gt;="&amp;DATE(2025,8,1), General!O:O, "&lt;="&amp;DATE(2025,8,31))</f>
        <v>0</v>
      </c>
      <c r="H27" s="42">
        <f>G27*AH5</f>
        <v>0</v>
      </c>
      <c r="J27" s="254">
        <f>COUNTIFS(General!F:F, "IP CERRADA", General!K:K, "R. FRANCO", General!H:H, "PTE. APROBACION", General!G:G, "IP CON ORDEN", General!O:O, "&gt;="&amp;DATE(2025,8,1), General!O:O, "&lt;="&amp;DATE(2025,8,31))</f>
        <v>0</v>
      </c>
      <c r="K27" s="38">
        <f>J27*AG5</f>
        <v>0</v>
      </c>
      <c r="L27" s="41">
        <f>COUNTIFS(General!F:F, "IP CERRADA", General!M:M, "R. FRANCO", General!H:H, "PTE. APROBACION", General!G:G, "IP CON ORDEN", General!O:O, "&gt;="&amp;DATE(2025,8,1), General!O:O, "&lt;="&amp;DATE(2025,8,31))</f>
        <v>0</v>
      </c>
      <c r="M27" s="42">
        <f>L27*AH5</f>
        <v>0</v>
      </c>
      <c r="O27" s="254">
        <f>COUNTIFS(General!F:F, "IP CERRADA", General!K:K, "R ARIN", General!H:H, "PTE. APROBACION", General!G:G, "IP CON ORDEN", General!O:O, "&gt;="&amp;DATE(2025,8,1), General!O:O, "&lt;="&amp;DATE(2025,8,31))</f>
        <v>0</v>
      </c>
      <c r="P27" s="38">
        <f>O27*AG5</f>
        <v>0</v>
      </c>
      <c r="Q27" s="41">
        <f>COUNTIFS(General!F:F, "IP CERRADA", General!M:M, "R ARIN", General!H:H, "PTE. APROBACION", General!G:G, "IP CON ORDEN", General!O:O, "&gt;="&amp;DATE(2025,8,1), General!O:O, "&lt;="&amp;DATE(2025,8,31))</f>
        <v>0</v>
      </c>
      <c r="R27" s="42">
        <f>Q27*AH5</f>
        <v>0</v>
      </c>
      <c r="T27" s="254">
        <f>COUNTIFS(General!F:F, "IP CERRADA", General!K:K, "C. CRIBARI", General!H:H, "PTE. APROBACION", General!G:G, "IP CON ORDEN", General!O:O, "&gt;="&amp;DATE(2025,8,1), General!O:O, "&lt;="&amp;DATE(2025,8,31)) + COUNTIFS(General!F:F, "PARA FACTURAR", General!K:K, "C. CRIBARI", General!G:G, "IP CON ORDEN", General!O:O, "&gt;="&amp;DATE(2025,8,1), General!O:O, "&lt;="&amp;DATE(2025,8,31))</f>
        <v>0</v>
      </c>
      <c r="U27" s="38">
        <f>T27*AG5</f>
        <v>0</v>
      </c>
      <c r="V27" s="41">
        <f>COUNTIFS(General!F:F, "IP CERRADA", General!M:M, "C. CRIBARI", General!H:H, "PTE. APROBACION", General!G:G, "IP CON ORDEN", General!O:O, "&gt;="&amp;DATE(2025,8,1), General!O:O, "&lt;="&amp;DATE(2025,8,31)) + COUNTIFS(General!F:F, "PARA FACTURAR", General!M:M, "C. CRIBARI", General!H:H, "EN TRAMITE", General!G:G, "IP CON ORDEN")</f>
        <v>0</v>
      </c>
      <c r="W27" s="42">
        <f>V27*AH5</f>
        <v>0</v>
      </c>
      <c r="Y27" s="254">
        <f>COUNTIFS(General!F:F, "IP CERRADA", General!K:K, "E DZYHAJLO", General!H:H, "PTE. APROBACION", General!G:G, "IP CON ORDEN", General!O:O, "&gt;="&amp;DATE(2025,8,1), General!O:O, "&lt;="&amp;DATE(2025,8,31))</f>
        <v>0</v>
      </c>
      <c r="Z27" s="38">
        <f>Y27*AG5</f>
        <v>0</v>
      </c>
      <c r="AA27" s="41"/>
      <c r="AB27" s="42">
        <f>AA27*AH5</f>
        <v>0</v>
      </c>
      <c r="AD27" s="37" t="s">
        <v>10</v>
      </c>
    </row>
    <row r="28" spans="3:35" ht="16.5">
      <c r="C28" s="261" t="s">
        <v>15</v>
      </c>
      <c r="E28" s="39">
        <f>COUNTIFS(General!F:F, "IP CERRADA", General!K:K, "G DICLEMENTE", General!H:H, "PTE. APROBACION", General!G:G, "POSIBLE DT", General!O:O, "&gt;="&amp;DATE(2025,8,1), General!O:O, "&lt;="&amp;DATE(2025,8,31))</f>
        <v>0</v>
      </c>
      <c r="F28" s="53">
        <f>E28*AG7</f>
        <v>0</v>
      </c>
      <c r="G28" s="43">
        <f>COUNTIFS(General!F:F, "IP CERRADA", General!M:M, "G DICLEMENTE", General!H:H, "PTE. APROBACION", General!G:G, "POSIBLE DT", General!O:O, "&gt;="&amp;DATE(2025,8,1), General!O:O, "&lt;="&amp;DATE(2025,8,31))</f>
        <v>0</v>
      </c>
      <c r="H28" s="54">
        <f>G28*AH7</f>
        <v>0</v>
      </c>
      <c r="J28" s="39">
        <f>COUNTIFS(General!F:F, "IP CERRADA", General!K:K, "R. FRANCO", General!H:H, "PTE. APROBACION", General!G:G, "POSIBLE DT", General!O:O, "&gt;="&amp;DATE(2025,8,1), General!O:O, "&lt;="&amp;DATE(2025,8,31))</f>
        <v>0</v>
      </c>
      <c r="K28" s="40">
        <f>J28*AG7</f>
        <v>0</v>
      </c>
      <c r="L28" s="43">
        <f>COUNTIFS(General!F:F, "IP CERRADA", General!M:M, "R. FRANCO", General!H:H, "PTE. APROBACION", General!G:G, "POSIBLE DT", General!O:O, "&gt;="&amp;DATE(2025,8,1), General!O:O, "&lt;="&amp;DATE(2025,8,31))</f>
        <v>0</v>
      </c>
      <c r="M28" s="44">
        <f>L28*AH7</f>
        <v>0</v>
      </c>
      <c r="O28" s="39">
        <f>COUNTIFS(General!F:F, "IP CERRADA", General!K:K, "R ARIN", General!H:H, "PTE. APROBACION", General!G:G, "POSIBLE DT", General!O:O, "&gt;="&amp;DATE(2025,8,1), General!O:O, "&lt;="&amp;DATE(2025,8,31))</f>
        <v>0</v>
      </c>
      <c r="P28" s="40">
        <f>O28*AG7</f>
        <v>0</v>
      </c>
      <c r="Q28" s="43">
        <f>COUNTIFS(General!F:F, "IP CERRADA", General!M:M, "R ARIN", General!H:H, "PTE. APROBACION", General!G:G, "POSIBLE DT", General!O:O, "&gt;="&amp;DATE(2025,8,1), General!O:O, "&lt;="&amp;DATE(2025,8,31))</f>
        <v>0</v>
      </c>
      <c r="R28" s="44">
        <f>Q28*AH7</f>
        <v>0</v>
      </c>
      <c r="T28" s="39">
        <f>COUNTIFS(General!F:F, "IP CERRADA", General!K:K, "C. CRIBARI", General!H:H, "PTE. APROBACION", General!G:G, "POSIBLE DT", General!O:O, "&gt;="&amp;DATE(2025,8,1), General!O:O, "&lt;="&amp;DATE(2025,8,31)) + COUNTIFS(General!F:F, "PARA FACTURAR", General!K:K, "C. CRIBARI", General!G:G, "POSIBLE DT", General!O:O, "&gt;="&amp;DATE(2025,8,1), General!O:O, "&lt;="&amp;DATE(2025,8,31))</f>
        <v>0</v>
      </c>
      <c r="U28" s="40">
        <f>T28*AG7</f>
        <v>0</v>
      </c>
      <c r="V28" s="43">
        <f>COUNTIFS(General!F:F, "IP CERRADA", General!M:M, "C. CRIBARI", General!H:H, "PTE. APROBACION", General!G:G, "POSIBLE DT", General!O:O, "&gt;="&amp;DATE(2025,8,1), General!O:O, "&lt;="&amp;DATE(2025,8,31)) + COUNTIFS(General!F:F, "PARA FACTURAR", General!M:M, "C. CRIBARI", General!H:H, "EN TRAMITE", General!G:G, "POSIBLE DT", General!O:O, "&gt;="&amp;DATE(2025,8,1), General!O:O, "&lt;="&amp;DATE(2025,8,31))</f>
        <v>0</v>
      </c>
      <c r="W28" s="44">
        <f>V28*AH7</f>
        <v>0</v>
      </c>
      <c r="Y28" s="39">
        <f>COUNTIFS(General!F:F, "IP CERRADA", General!K:K, "E DZYHAJLO", General!H:H, "PTE. APROBACION", General!G:G, "POSIBLE DT", General!O:O, "&gt;="&amp;DATE(2025,8,1), General!O:O, "&lt;="&amp;DATE(2025,8,31))</f>
        <v>0</v>
      </c>
      <c r="Z28" s="40">
        <f>Y28*AG7</f>
        <v>0</v>
      </c>
      <c r="AA28" s="43"/>
      <c r="AB28" s="44">
        <f>AA28*AH7</f>
        <v>0</v>
      </c>
      <c r="AD28" s="261" t="s">
        <v>15</v>
      </c>
    </row>
    <row r="29" spans="3:35" ht="16.5">
      <c r="C29" s="37" t="s">
        <v>18</v>
      </c>
      <c r="E29" s="254">
        <f>COUNTIFS(General!F:F, "IP CERRADA", General!K:K, "G DICLEMENTE", General!H:H, "PTE. APROBACION", General!G:G, "IP SIN ORDEN", General!O:O, "&gt;="&amp;DATE(2025,8,1), General!O:O, "&lt;="&amp;DATE(2025,8,31))</f>
        <v>0</v>
      </c>
      <c r="F29" s="38">
        <f>E29*AG8</f>
        <v>0</v>
      </c>
      <c r="G29" s="56">
        <f>COUNTIFS(General!F:F, "IP CERRADA", General!M:M, "G DICLEMENTE", General!H:H, "PTE. APROBACION", General!G:G, "IP SIN ORDEN", General!O:O, "&gt;="&amp;DATE(2025,8,1), General!O:O, "&lt;="&amp;DATE(2025,8,31))</f>
        <v>0</v>
      </c>
      <c r="H29" s="42">
        <f>G29*AH8</f>
        <v>0</v>
      </c>
      <c r="J29" s="254">
        <f>COUNTIFS(General!F:F, "IP CERRADA", General!K:K, "R. FRANCO", General!H:H, "PTE. APROBACION", General!G:G, "IP SIN ORDEN", General!O:O, "&gt;="&amp;DATE(2025,8,1), General!O:O, "&lt;="&amp;DATE(2025,8,31))</f>
        <v>0</v>
      </c>
      <c r="K29" s="38">
        <f>J29*AG8</f>
        <v>0</v>
      </c>
      <c r="L29" s="41">
        <f>COUNTIFS(General!F:F, "IP CERRADA", General!M:M, "R. FRANCO", General!H:H, "PTE. APROBACION", General!G:G, "IP SIN ORDEN", General!O:O, "&gt;="&amp;DATE(2025,8,1), General!O:O, "&lt;="&amp;DATE(2025,8,31))</f>
        <v>0</v>
      </c>
      <c r="M29" s="42">
        <f>L29*AH8</f>
        <v>0</v>
      </c>
      <c r="O29" s="254">
        <f>COUNTIFS(General!F:F, "IP CERRADA", General!K:K, "R ARIN", General!H:H, "PTE. APROBACION", General!G:G, "IP SIN ORDEN", General!O:O, "&gt;="&amp;DATE(2025,8,1), General!O:O, "&lt;="&amp;DATE(2025,8,31))</f>
        <v>0</v>
      </c>
      <c r="P29" s="38">
        <f>O29*AG8</f>
        <v>0</v>
      </c>
      <c r="Q29" s="41">
        <f>COUNTIFS(General!F:F, "IP CERRADA", General!M:M, "R ARIN", General!H:H, "PTE. APROBACION", General!G:G, "IP SIN ORDEN", General!O:O, "&gt;="&amp;DATE(2025,8,1), General!O:O, "&lt;="&amp;DATE(2025,8,31))</f>
        <v>0</v>
      </c>
      <c r="R29" s="42">
        <f>Q29*AH8</f>
        <v>0</v>
      </c>
      <c r="T29" s="254">
        <f>COUNTIFS(General!F:F, "IP CERRADA", General!K:K, "C. CRIBARI", General!H:H, "PTE. APROBACION", General!G:G, "IP SIN ORDEN", General!O:O, "&gt;="&amp;DATE(2025,8,1), General!O:O, "&lt;="&amp;DATE(2025,8,31)) + COUNTIFS(General!F:F, "PARA FACTURAR", General!K:K, "C. CRIBARI", General!G:G, "IP SIN ORDEN", General!O:O, "&gt;="&amp;DATE(2025,8,1), General!O:O, "&lt;="&amp;DATE(2025,8,31))</f>
        <v>0</v>
      </c>
      <c r="U29" s="38">
        <f>T29*AG8</f>
        <v>0</v>
      </c>
      <c r="V29" s="41">
        <f>COUNTIFS(General!F:F, "IP CERRADA", General!M:M, "C. CRIBARI", General!H:H, "PTE. APROBACION", General!G:G, "IP SIN ORDEN", General!O:O, "&gt;="&amp;DATE(2025,8,1), General!O:O, "&lt;="&amp;DATE(2025,8,31)) + COUNTIFS(General!F:F, "PARA FACTURAR", General!M:M, "C. CRIBARI", General!H:H, "EN TRAMITE", General!G:G, "IP SIN ORDEN", General!O:O, "&gt;="&amp;DATE(2025,8,1), General!O:O, "&lt;="&amp;DATE(2025,8,31))</f>
        <v>0</v>
      </c>
      <c r="W29" s="42">
        <f>V29*AH8</f>
        <v>0</v>
      </c>
      <c r="Y29" s="254">
        <f>COUNTIFS(General!F:F, "IP CERRADA", General!K:K, "E DZYHAJLO", General!H:H, "PTE. APROBACION", General!G:G, "IP SIN ORDEN", General!O:O, "&gt;="&amp;DATE(2025,8,1), General!O:O, "&lt;="&amp;DATE(2025,8,31))</f>
        <v>0</v>
      </c>
      <c r="Z29" s="38">
        <f>Y29*AG8</f>
        <v>0</v>
      </c>
      <c r="AA29" s="41"/>
      <c r="AB29" s="42">
        <f>AA29*AH8</f>
        <v>0</v>
      </c>
      <c r="AD29" s="37" t="s">
        <v>18</v>
      </c>
    </row>
    <row r="30" spans="3:35" ht="16.5">
      <c r="C30" s="261" t="s">
        <v>21</v>
      </c>
      <c r="E30" s="39">
        <f>COUNTIFS(General!F:F, "IP CERRADA", General!K:K, "G DICLEMENTE", General!H:H, "PTE. APROBACION", General!G:G, "AMPLIACION", General!O:O, "&gt;="&amp;DATE(2025,8,1), General!O:O, "&lt;="&amp;DATE(2025,8,31))</f>
        <v>0</v>
      </c>
      <c r="F30" s="40">
        <f>E30*AG9</f>
        <v>0</v>
      </c>
      <c r="G30" s="43">
        <f>COUNTIFS(General!F:F, "IP CERRADA", General!M:M, "G DICLEMENTE", General!H:H, "PTE. APROBACION", General!G:G, "AMPLIACION", General!O:O, "&gt;="&amp;DATE(2025,8,1), General!O:O, "&lt;="&amp;DATE(2025,8,31))</f>
        <v>0</v>
      </c>
      <c r="H30" s="44">
        <f>G30*AH9</f>
        <v>0</v>
      </c>
      <c r="J30" s="39">
        <f>COUNTIFS(General!F:F, "IP CERRADA", General!K:K, "R. FRANCO", General!H:H, "PTE. APROBACION", General!G:G, "AMPLIACION", General!O:O, "&gt;="&amp;DATE(2025,8,1), General!O:O, "&lt;="&amp;DATE(2025,8,31))</f>
        <v>0</v>
      </c>
      <c r="K30" s="40">
        <f>J30*AG9</f>
        <v>0</v>
      </c>
      <c r="L30" s="43">
        <f>COUNTIFS(General!F:F, "IP CERRADA", General!M:M, "R. FRANCO", General!H:H, "PTE. APROBACION", General!G:G, "AMPLIACION", General!O:O, "&gt;="&amp;DATE(2025,8,1), General!O:O, "&lt;="&amp;DATE(2025,8,31))</f>
        <v>0</v>
      </c>
      <c r="M30" s="44">
        <f>L30*AH9</f>
        <v>0</v>
      </c>
      <c r="O30" s="39">
        <f>COUNTIFS(General!F:F, "IP CERRADA", General!K:K, "R ARIN", General!H:H, "PTE. APROBACION", General!G:G, "AMPLIACION", General!O:O, "&gt;="&amp;DATE(2025,8,1), General!O:O, "&lt;="&amp;DATE(2025,8,31))</f>
        <v>0</v>
      </c>
      <c r="P30" s="40">
        <f>O30*AG9</f>
        <v>0</v>
      </c>
      <c r="Q30" s="43">
        <f>COUNTIFS(General!F:F, "IP CERRADA", General!M:M, "R ARIN", General!H:H, "PTE. APROBACION", General!G:G, "AMPLIACION", General!O:O, "&gt;="&amp;DATE(2025,8,1), General!O:O, "&lt;="&amp;DATE(2025,8,31))</f>
        <v>0</v>
      </c>
      <c r="R30" s="44">
        <f>Q30*AH9</f>
        <v>0</v>
      </c>
      <c r="T30" s="39">
        <f>COUNTIFS(General!F:F, "IP CERRADA", General!K:K, "C. CRIBARI", General!H:H, "PTE. APROBACION", General!G:G, "AMPLIACION", General!O:O, "&gt;="&amp;DATE(2025,8,1), General!O:O, "&lt;="&amp;DATE(2025,8,31)) + COUNTIFS(General!F:F, "PARA FACTURAR", General!K:K, "C. CRIBARI", General!G:G, "AMPLIACION", General!O:O, "&gt;="&amp;DATE(2025,8,1), General!O:O, "&lt;="&amp;DATE(2025,8,31))</f>
        <v>0</v>
      </c>
      <c r="U30" s="40">
        <f>T30*AG9</f>
        <v>0</v>
      </c>
      <c r="V30" s="43">
        <f>COUNTIFS(General!F:F, "IP SIN ORDEN", General!M:M, "C. CRIBARI", General!H:H, "PTE. APROBACION", General!G:G, "AMPLIACION", General!O:O, "&gt;="&amp;DATE(2025,8,1), General!O:O, "&lt;="&amp;DATE(2025,8,31)) + COUNTIFS(General!F:F, "PARA FACTURAR", General!M:M, "C. CRIBARI", General!H:H, "EN TRAMITE", General!G:G, "AMPLIACION", General!O:O, "&gt;="&amp;DATE(2025,8,1), General!O:O, "&lt;="&amp;DATE(2025,8,31))</f>
        <v>0</v>
      </c>
      <c r="W30" s="44">
        <f>V30*AH9</f>
        <v>0</v>
      </c>
      <c r="Y30" s="39">
        <f>COUNTIFS(General!F:F, "IP CERRADA", General!K:K, "E DZYHAJLO", General!H:H, "PTE. APROBACION", General!G:G, "AMPLIACION", General!O:O, "&gt;="&amp;DATE(2025,8,1), General!O:O, "&lt;="&amp;DATE(2025,8,31))</f>
        <v>0</v>
      </c>
      <c r="Z30" s="40">
        <f>Y30*AG9</f>
        <v>0</v>
      </c>
      <c r="AA30" s="43"/>
      <c r="AB30" s="44">
        <f>AA30*AH9</f>
        <v>0</v>
      </c>
      <c r="AD30" s="261" t="s">
        <v>21</v>
      </c>
    </row>
    <row r="31" spans="3:35" ht="16.5">
      <c r="C31" s="37" t="s">
        <v>24</v>
      </c>
      <c r="E31" s="254"/>
      <c r="F31" s="38"/>
      <c r="G31" s="41">
        <f>COUNTIFS(General!F:F, "IP CERRADA", General!M:M, "G DICLEMENTE", General!H:H, "PTE. APROBACION", General!G:G, "ENVIO DE ORDEN", General!O:O, "&gt;="&amp;DATE(2025,8,1), General!O:O, "&lt;="&amp;DATE(2025,8,31))</f>
        <v>0</v>
      </c>
      <c r="H31" s="42">
        <f>G31*AH10</f>
        <v>0</v>
      </c>
      <c r="J31" s="254"/>
      <c r="K31" s="38"/>
      <c r="L31" s="41">
        <f>COUNTIFS(General!F:F, "IP CERRADA", General!M:M, "R. FRANCO", General!H:H, "PTE. APROBACION", General!G:G, "ENVIO DE ORDEN", General!O:O, "&gt;="&amp;DATE(2025,8,1), General!O:O, "&lt;="&amp;DATE(2025,8,31))</f>
        <v>0</v>
      </c>
      <c r="M31" s="42">
        <f>L31*AH10</f>
        <v>0</v>
      </c>
      <c r="O31" s="254"/>
      <c r="P31" s="38"/>
      <c r="Q31" s="41">
        <f>COUNTIFS(General!F:F, "IP CERRADA", General!M:M, "R ARIN", General!H:H, "PTE. APROBACION", General!G:G, "ENVIO DE ORDEN", General!O:O, "&gt;="&amp;DATE(2025,8,1), General!O:O, "&lt;="&amp;DATE(2025,8,31))</f>
        <v>0</v>
      </c>
      <c r="R31" s="42">
        <f>Q31*AH10</f>
        <v>0</v>
      </c>
      <c r="T31" s="254"/>
      <c r="U31" s="38"/>
      <c r="V31" s="41">
        <f>COUNTIFS(General!P:P, "IP SIN ORDEN", General!AC:AC, "J. FERLANTI", General!R:R, "PTE. APROBACION", General!Q:Q, "ENVIO DE ORDEN", General!AE:AE, "&gt;="&amp;DATE(2024,5,1), General!AE:AE, "&lt;="&amp;DATE(2024,5,31)) + COUNTIFS(General!P:P, "PARA FACTURAR", General!AC:AC, "J. FERLANTI", General!R:R, "EN TRAMITE", General!Q:Q, "ENVIO DE ORDEN", General!AE:AE, "&gt;="&amp;DATE(2024,5,1), General!AE:AE, "&lt;="&amp;DATE(2024,5,31))</f>
        <v>0</v>
      </c>
      <c r="W31" s="42">
        <f>V31*AH10</f>
        <v>0</v>
      </c>
      <c r="Y31" s="254"/>
      <c r="Z31" s="38"/>
      <c r="AA31" s="41"/>
      <c r="AB31" s="42">
        <f>AA31*AH10</f>
        <v>0</v>
      </c>
      <c r="AD31" s="37" t="s">
        <v>24</v>
      </c>
    </row>
    <row r="32" spans="3:35" ht="16.5">
      <c r="C32" s="261" t="s">
        <v>29</v>
      </c>
      <c r="E32" s="39">
        <f>COUNTIFS(General!F:F, "IP CERRADA", General!K:K, "G DICLEMENTE", General!H:H, "PTE. APROBACION", General!G:G, "IP CAMIONES", General!O:O, "&gt;="&amp;DATE(2025,8,1), General!O:O, "&lt;="&amp;DATE(2025,8,31))</f>
        <v>0</v>
      </c>
      <c r="F32" s="40">
        <f>E32*AG15</f>
        <v>0</v>
      </c>
      <c r="G32" s="43">
        <f>COUNTIFS(General!F:F, "IP CERRADA", General!M:M, "G DICLEMENTE", General!H:H, "PTE. APROBACION", General!G:G, "IP CAMIONES", General!O:O, "&gt;="&amp;DATE(2025,8,1), General!O:O, "&lt;="&amp;DATE(2025,8,31))</f>
        <v>0</v>
      </c>
      <c r="H32" s="44">
        <f>G32*AH15</f>
        <v>0</v>
      </c>
      <c r="J32" s="39">
        <f>COUNTIFS(General!F:F, "IP CERRADA", General!K:K, "R. FRANCO", General!H:H, "PTE. APROBACION", General!G:G, "IP CAMIONES", General!O:O, "&gt;="&amp;DATE(2025,8,1), General!O:O, "&lt;="&amp;DATE(2025,8,31))</f>
        <v>0</v>
      </c>
      <c r="K32" s="40">
        <f>J32*AG15</f>
        <v>0</v>
      </c>
      <c r="L32" s="43">
        <f>COUNTIFS(General!F:F, "IP CERRADA", General!M:M, "R. FRANCO", General!H:H, "PTE. APROBACION", General!G:G, "IP CAMIONES", General!O:O, "&gt;="&amp;DATE(2025,8,1), General!O:O, "&lt;="&amp;DATE(2025,8,31))</f>
        <v>0</v>
      </c>
      <c r="M32" s="44">
        <f>L32*AH15</f>
        <v>0</v>
      </c>
      <c r="O32" s="39">
        <f>COUNTIFS(General!F:F, "IP CERRADA", General!K:K, "R ARIN", General!H:H, "PTE. APROBACION", General!G:G, "IP CAMIONES", General!O:O, "&gt;="&amp;DATE(2025,8,1), General!O:O, "&lt;="&amp;DATE(2025,8,31))</f>
        <v>0</v>
      </c>
      <c r="P32" s="40">
        <f>O32*AG15</f>
        <v>0</v>
      </c>
      <c r="Q32" s="43">
        <f>COUNTIFS(General!F:F, "IP CERRADA", General!M:M, "R ARIN", General!H:H, "PTE. APROBACION", General!G:G, "IP CAMIONES", General!O:O, "&gt;="&amp;DATE(2025,8,1), General!O:O, "&lt;="&amp;DATE(2025,8,31))</f>
        <v>0</v>
      </c>
      <c r="R32" s="44">
        <f>Q32*AH15</f>
        <v>0</v>
      </c>
      <c r="T32" s="39">
        <f>COUNTIFS(General!F:F, "IP CERRADA", General!K:K, "C. CRIBARI", General!H:H, "PTE. APROBACION", General!G:G, "IP CAMIONES", General!O:O, "&gt;="&amp;DATE(2025,8,1), General!O:O, "&lt;="&amp;DATE(2025,8,31)) + COUNTIFS(General!F:F, "PARA FACTURAR", General!K:K, "C. CRIBARI", General!G:G, "IP CAMIONES", General!O:O, "&gt;="&amp;DATE(2025,8,1), General!O:O, "&lt;="&amp;DATE(2025,8,31))</f>
        <v>0</v>
      </c>
      <c r="U32" s="40">
        <f>T32*AG15</f>
        <v>0</v>
      </c>
      <c r="V32" s="43">
        <f>COUNTIFS(General!P:P, "IP CERRADA", General!AC:AC, "J. FERLANTI", General!R:R, "PTE. APROBACION", General!Q:Q, "IP CAMIONES", General!AE:AE, "&gt;="&amp;DATE(2024,5,1), General!AE:AE, "&lt;="&amp;DATE(2024,5,31))</f>
        <v>0</v>
      </c>
      <c r="W32" s="44">
        <f>V32*AH15</f>
        <v>0</v>
      </c>
      <c r="Y32" s="39">
        <f>COUNTIFS(General!F:F, "IP CERRADA", General!K:K, "E DZYHAJLO", General!H:H, "PTE. APROBACION", General!G:G, "IP CAMIONES", General!O:O, "&gt;="&amp;DATE(2025,8,1), General!O:O, "&lt;="&amp;DATE(2025,8,31))</f>
        <v>0</v>
      </c>
      <c r="Z32" s="40">
        <f>Y32*AG15</f>
        <v>0</v>
      </c>
      <c r="AA32" s="43"/>
      <c r="AB32" s="44">
        <f>AA32*AH15</f>
        <v>0</v>
      </c>
      <c r="AD32" s="261" t="s">
        <v>29</v>
      </c>
    </row>
    <row r="33" spans="3:30" ht="16.5">
      <c r="C33" s="37" t="s">
        <v>30</v>
      </c>
      <c r="E33" s="254">
        <f>COUNTIFS(General!F:F, "IP CERRADA", General!K:K, "G DICLEMENTE", General!H:H, "PTE. APROBACION", General!G:G, "TERCEROS", General!O:O, "&gt;="&amp;DATE(2024,3,1), General!O:O, "&gt;="&amp;DATE(2025,8,1), General!O:O, "&lt;="&amp;DATE(2025,8,31))</f>
        <v>0</v>
      </c>
      <c r="F33" s="38">
        <f>E33*AG12</f>
        <v>0</v>
      </c>
      <c r="G33" s="41">
        <f>COUNTIFS(General!F:F, "IP CERRADA", General!M:M, "G DICLEMENTE", General!H:H, "PTE. APROBACION", General!G:G, "TERCEROS", General!O:O, "&gt;="&amp;DATE(2025,8,1), General!O:O, "&lt;="&amp;DATE(2025,8,31))</f>
        <v>0</v>
      </c>
      <c r="H33" s="42">
        <f>G33*AH12</f>
        <v>0</v>
      </c>
      <c r="J33" s="254">
        <f>COUNTIFS(General!F:F, "IP CERRADA", General!K:K, "R. FRANCO", General!H:H, "PTE. APROBACION", General!G:G, "TERCEROS", General!O:O, "&gt;="&amp;DATE(2024,3,1), General!O:O, "&gt;="&amp;DATE(2025,8,1), General!O:O, "&lt;="&amp;DATE(2025,8,31))</f>
        <v>0</v>
      </c>
      <c r="K33" s="38">
        <f>J33*AG12</f>
        <v>0</v>
      </c>
      <c r="L33" s="41">
        <f>COUNTIFS(General!F:F, "IP CERRADA", General!M:M, "R. FRANCO", General!H:H, "PTE. APROBACION", General!G:G, "TERCEROS", General!O:O, "&gt;="&amp;DATE(2025,8,1), General!O:O, "&lt;="&amp;DATE(2025,8,31))</f>
        <v>0</v>
      </c>
      <c r="M33" s="42">
        <f>L33*AH12</f>
        <v>0</v>
      </c>
      <c r="O33" s="254">
        <f>COUNTIFS(General!F:F, "IP CERRADA", General!K:K, "R ARIN", General!H:H, "PTE. APROBACION", General!G:G, "TERCEROS", General!O:O, "&gt;="&amp;DATE(2024,3,1), General!O:O, "&gt;="&amp;DATE(2025,8,1), General!O:O, "&lt;="&amp;DATE(2025,8,31))</f>
        <v>0</v>
      </c>
      <c r="P33" s="38">
        <f>O33*AG12</f>
        <v>0</v>
      </c>
      <c r="Q33" s="41">
        <f>COUNTIFS(General!F:F, "IP CERRADA", General!M:M, "R ARIN", General!H:H, "PTE. APROBACION", General!G:G, "TERCEROS", General!O:O, "&gt;="&amp;DATE(2025,8,1), General!O:O, "&lt;="&amp;DATE(2025,8,31))</f>
        <v>0</v>
      </c>
      <c r="R33" s="42">
        <f>Q33*AH12</f>
        <v>0</v>
      </c>
      <c r="T33" s="254">
        <f>COUNTIFS(General!F:F, "IP CERRADA", General!K:K, "C. CRIBARI", General!H:H, "PTE. APROBACION", General!G:G, "TERCEROS", General!O:O, "&gt;="&amp;DATE(2024,3,1), General!O:O, "&gt;="&amp;DATE(2025,8,1), General!O:O, "&lt;="&amp;DATE(2025,8,31)) + COUNTIFS(General!F:F, "PARA FACTURAR", General!K:K, "C. CRIBARI", General!G:G, "TERCEROS", General!O:O, "&gt;="&amp;DATE(2025,8,1), General!O:O, "&lt;="&amp;DATE(2025,8,31))</f>
        <v>0</v>
      </c>
      <c r="U33" s="38">
        <f>T33*AG12</f>
        <v>0</v>
      </c>
      <c r="V33" s="41">
        <f>COUNTIFS(General!F:F, "IP CERRADA", General!M:M, "J. FERLANTI", General!H:H, "PTE. APROBACION", General!G:G, "IP CAMIONES", General!O:O, "&gt;="&amp;DATE(2025,8,1), General!O:O, "&lt;="&amp;DATE(2025,8,31))</f>
        <v>0</v>
      </c>
      <c r="W33" s="42">
        <f>V33*AH12</f>
        <v>0</v>
      </c>
      <c r="Y33" s="254">
        <f>COUNTIFS(General!F:F, "IP CERRADA", General!K:K, "E DZYHAJLO", General!H:H, "PTE. APROBACION", General!G:G, "TERCEROS", General!O:O, "&gt;="&amp;DATE(2024,3,1), General!O:O, "&gt;="&amp;DATE(2025,8,1), General!O:O, "&lt;="&amp;DATE(2025,8,31))</f>
        <v>0</v>
      </c>
      <c r="Z33" s="38">
        <f>Y33*AG12</f>
        <v>0</v>
      </c>
      <c r="AA33" s="41"/>
      <c r="AB33" s="42">
        <f>AA33*AH12</f>
        <v>0</v>
      </c>
      <c r="AD33" s="37" t="s">
        <v>30</v>
      </c>
    </row>
    <row r="34" spans="3:30" ht="16.5">
      <c r="C34" s="261" t="s">
        <v>32</v>
      </c>
      <c r="E34" s="39"/>
      <c r="F34" s="40"/>
      <c r="G34" s="43">
        <f>COUNTIFS(General!F:F, "IP CERRADA", General!M:M, "G DICLEMENTE", General!H:H, "PTE. APROBACION", General!G:G, "FOTOS", General!O:O, "&gt;="&amp;DATE(2025,8,1), General!O:O, "&lt;="&amp;DATE(2025,8,31))</f>
        <v>0</v>
      </c>
      <c r="H34" s="44">
        <f>G34*AH13</f>
        <v>0</v>
      </c>
      <c r="J34" s="39"/>
      <c r="K34" s="40"/>
      <c r="L34" s="43">
        <f>COUNTIFS(General!F:F, "IP CERRADA", General!M:M, "R. FRANCO", General!H:H, "PTE. APROBACION", General!G:G, "FOTOS", General!O:O, "&gt;="&amp;DATE(2025,8,1), General!O:O, "&lt;="&amp;DATE(2025,8,31))</f>
        <v>0</v>
      </c>
      <c r="M34" s="44">
        <f>L34*AH13</f>
        <v>0</v>
      </c>
      <c r="O34" s="39"/>
      <c r="P34" s="40"/>
      <c r="Q34" s="43">
        <f>COUNTIFS(General!F:F, "IP CERRADA", General!M:M, "R ARIN", General!H:H, "PTE. APROBACION", General!G:G, "FOTOS", General!O:O, "&gt;="&amp;DATE(2025,8,1), General!O:O, "&lt;="&amp;DATE(2025,8,31))</f>
        <v>0</v>
      </c>
      <c r="R34" s="44">
        <f>Q34*AH13</f>
        <v>0</v>
      </c>
      <c r="T34" s="39"/>
      <c r="U34" s="40"/>
      <c r="V34" s="43">
        <f>COUNTIFS(General!P:P, "IP SIN ORDEN", General!AC:AC, "J. FERLANTI", General!R:R, "PTE. APROBACION", General!Q:Q, "FOTOS", General!AE:AE, "&gt;="&amp;DATE(2024,5,1), General!AE:AE, "&lt;="&amp;DATE(2024,5,31)) + COUNTIFS(General!P:P, "PARA FACTURAR", General!AC:AC, "J. FERLANTI", General!R:R, "EN TRAMITE", General!Q:Q, "FOTOS", General!AE:AE, "&gt;="&amp;DATE(2024,5,1), General!AE:AE, "&lt;="&amp;DATE(2024,5,31))</f>
        <v>0</v>
      </c>
      <c r="W34" s="44">
        <f>V34*AH13</f>
        <v>0</v>
      </c>
      <c r="Y34" s="39"/>
      <c r="Z34" s="40"/>
      <c r="AA34" s="43"/>
      <c r="AB34" s="44">
        <f>AA34*AH13</f>
        <v>0</v>
      </c>
      <c r="AD34" s="261" t="s">
        <v>32</v>
      </c>
    </row>
    <row r="35" spans="3:30" ht="16.5">
      <c r="C35" s="37" t="s">
        <v>34</v>
      </c>
      <c r="E35" s="254">
        <f>COUNTIFS(General!F:F, "IP CERRADA", General!K:K, "G DICLEMENTE", General!H:H, "PTE. APROBACION", General!G:G, "IP REMOTA", General!O:O, "&gt;="&amp;DATE(2025,8,1), General!O:O, "&lt;="&amp;DATE(2025,8,31))</f>
        <v>0</v>
      </c>
      <c r="F35" s="38">
        <f>E35*AG14</f>
        <v>0</v>
      </c>
      <c r="G35" s="41">
        <f>COUNTIFS(General!F:F, "IP CERRADA", General!M:M, "G DICLEMENTE", General!H:H, "PTE. APROBACION", General!G:G, "IP REMOTA", General!O:O, "&gt;="&amp;DATE(2025,8,1), General!O:O, "&lt;="&amp;DATE(2025,8,31))</f>
        <v>0</v>
      </c>
      <c r="H35" s="42">
        <f>G35*AH14</f>
        <v>0</v>
      </c>
      <c r="J35" s="254">
        <f>COUNTIFS(General!F:F, "IP CERRADA", General!K:K, "R. FRANCO", General!H:H, "PTE. APROBACION", General!G:G, "IP REMOTA", General!O:O, "&gt;="&amp;DATE(2025,8,1), General!O:O, "&lt;="&amp;DATE(2025,8,31))</f>
        <v>0</v>
      </c>
      <c r="K35" s="38">
        <f>J35*AG14</f>
        <v>0</v>
      </c>
      <c r="L35" s="41">
        <f>COUNTIFS(General!F:F, "IP CERRADA", General!M:M, "R. FRANCO", General!H:H, "PTE. APROBACION", General!G:G, "IP REMOTA", General!O:O, "&gt;="&amp;DATE(2025,8,1), General!O:O, "&lt;="&amp;DATE(2025,8,31))</f>
        <v>0</v>
      </c>
      <c r="M35" s="42">
        <f>L35*AH14</f>
        <v>0</v>
      </c>
      <c r="O35" s="254">
        <f>COUNTIFS(General!F:F, "IP CERRADA", General!K:K, "R ARIN", General!H:H, "PTE. APROBACION", General!G:G, "IP REMOTA", General!O:O, "&gt;="&amp;DATE(2025,8,1), General!O:O, "&lt;="&amp;DATE(2025,8,31))</f>
        <v>0</v>
      </c>
      <c r="P35" s="38">
        <f>O35*AG14</f>
        <v>0</v>
      </c>
      <c r="Q35" s="41">
        <f>COUNTIFS(General!F:F, "IP CERRADA", General!M:M, "R ARIN", General!H:H, "PTE. APROBACION", General!G:G, "IP REMOTA", General!O:O, "&gt;="&amp;DATE(2025,8,1), General!O:O, "&lt;="&amp;DATE(2025,8,31))</f>
        <v>0</v>
      </c>
      <c r="R35" s="42">
        <f>Q35*AH14</f>
        <v>0</v>
      </c>
      <c r="T35" s="254">
        <f>COUNTIFS(General!F:F, "IP CERRADA", General!K:K, "C. CRIBARI", General!H:H, "PTE. APROBACION", General!G:G, "IP REMOTA", General!O:O, "&gt;="&amp;DATE(2025,8,1), General!O:O, "&lt;="&amp;DATE(2025,8,31))</f>
        <v>0</v>
      </c>
      <c r="U35" s="38">
        <f>T35*AG14</f>
        <v>0</v>
      </c>
      <c r="V35" s="41">
        <f>COUNTIFS(General!P:P, "IP SIN ORDEN", General!AC:AC, "J. FERLANTI", General!R:R, "PTE. APROBACION", General!Q:Q, "IP REMOTA", General!AE:AE, "&gt;="&amp;DATE(2024,5,1), General!AE:AE, "&lt;="&amp;DATE(2024,5,31)) + COUNTIFS(General!P:P, "PARA FACTURAR", General!AC:AC, "J. FERLANTI", General!R:R, "EN TRAMITE", General!Q:Q, "IP REMOTA", General!AE:AE, "&gt;="&amp;DATE(2024,5,1), General!AE:AE, "&lt;="&amp;DATE(2024,5,31))</f>
        <v>0</v>
      </c>
      <c r="W35" s="42">
        <f>V35*AH14</f>
        <v>0</v>
      </c>
      <c r="Y35" s="254">
        <f>COUNTIFS(General!F:F, "IP CERRADA", General!K:K, "E DZYHAJLO", General!H:H, "PTE. APROBACION", General!G:G, "IP REMOTA", General!O:O, "&gt;="&amp;DATE(2025,8,1), General!O:O, "&lt;="&amp;DATE(2025,8,31))</f>
        <v>0</v>
      </c>
      <c r="Z35" s="38">
        <f>Y35*AG14</f>
        <v>0</v>
      </c>
      <c r="AA35" s="41"/>
      <c r="AB35" s="42">
        <f>AA35*AH14</f>
        <v>0</v>
      </c>
      <c r="AD35" s="37" t="s">
        <v>34</v>
      </c>
    </row>
    <row r="36" spans="3:30" ht="16.5">
      <c r="C36" s="261" t="s">
        <v>37</v>
      </c>
      <c r="E36" s="39"/>
      <c r="F36" s="40"/>
      <c r="G36" s="43">
        <f>COUNTIFS(General!F:F, "IP CERRADA", General!M:M, "G DICLEMENTE", General!H:H, "PTE. APROBACION", General!G:G, "IP VIRTUAL", General!O:O, "&gt;="&amp;DATE(2025,8,1), General!O:O, "&lt;="&amp;DATE(2025,8,31))</f>
        <v>0</v>
      </c>
      <c r="H36" s="44">
        <f>G36*AH16</f>
        <v>0</v>
      </c>
      <c r="J36" s="39"/>
      <c r="K36" s="40"/>
      <c r="L36" s="43">
        <f>COUNTIFS(General!F:F, "IP CERRADA", General!M:M, "R. FRANCO", General!H:H, "PTE. APROBACION", General!G:G, "IP VIRTUAL", General!O:O, "&gt;="&amp;DATE(2025,8,1), General!O:O, "&lt;="&amp;DATE(2025,8,31))</f>
        <v>0</v>
      </c>
      <c r="M36" s="44">
        <f>L36*AH16</f>
        <v>0</v>
      </c>
      <c r="O36" s="39"/>
      <c r="P36" s="40"/>
      <c r="Q36" s="43">
        <f>COUNTIFS(General!F:F, "IP CERRADA", General!M:M, "R ARIN", General!H:H, "PTE. APROBACION", General!G:G, "IP VIRTUAL", General!O:O, "&gt;="&amp;DATE(2025,8,1), General!O:O, "&lt;="&amp;DATE(2025,8,31))</f>
        <v>0</v>
      </c>
      <c r="R36" s="44">
        <f>Q36*AH16</f>
        <v>0</v>
      </c>
      <c r="T36" s="39"/>
      <c r="U36" s="40"/>
      <c r="V36" s="43">
        <f>COUNTIFS(General!P:P, "IP SIN ORDEN", General!AC:AC, "J. FERLANTI", General!R:R, "PTE. APROBACION", General!Q:Q, "IP VIRTUAL", General!AE:AE, "&gt;="&amp;DATE(2024,5,1), General!AE:AE, "&lt;="&amp;DATE(2024,5,31)) + COUNTIFS(General!P:P, "PARA FACTURAR", General!AC:AC, "J. FERLANTI", General!R:R, "EN TRAMITE", General!Q:Q, "IP VIRTUAL", General!AE:AE, "&gt;="&amp;DATE(2024,5,1), General!AE:AE, "&lt;="&amp;DATE(2024,5,31))</f>
        <v>0</v>
      </c>
      <c r="W36" s="44">
        <f>V36*AH16</f>
        <v>0</v>
      </c>
      <c r="Y36" s="39"/>
      <c r="Z36" s="40"/>
      <c r="AA36" s="43"/>
      <c r="AB36" s="44">
        <f>AA36*AH16</f>
        <v>0</v>
      </c>
      <c r="AD36" s="261" t="s">
        <v>37</v>
      </c>
    </row>
    <row r="37" spans="3:30" ht="16.5">
      <c r="C37" s="37" t="s">
        <v>26</v>
      </c>
      <c r="E37" s="254">
        <f>COUNTIFS(General!F:F, "IP CERRADA", General!K:K, "G DICLEMENTE", General!H:H, "PTE. APROBACION", General!G:G, "AUSENTE", General!O:O, "&gt;="&amp;DATE(2025,8,1), General!O:O, "&lt;="&amp;DATE(2025,8,31))</f>
        <v>0</v>
      </c>
      <c r="F37" s="38">
        <f>E36*AG11</f>
        <v>0</v>
      </c>
      <c r="G37" s="41"/>
      <c r="H37" s="42"/>
      <c r="J37" s="254">
        <f>COUNTIFS(General!F:F, "IP CERRADA", General!K:K, "R. FRANCO", General!H:H, "PTE. APROBACION", General!G:G, "AUSENTE", General!L:L, "&gt;="&amp;DATE(2025,6,1), General!L:L, "&lt;="&amp;DATE(2025,6,31))</f>
        <v>0</v>
      </c>
      <c r="K37" s="38">
        <f>J37*AG11</f>
        <v>0</v>
      </c>
      <c r="L37" s="41"/>
      <c r="M37" s="42"/>
      <c r="O37" s="254">
        <f>COUNTIFS(General!F:F, "IP CERRADA", General!K:K, "R ARIN", General!H:H, "PTE. APROBACION", General!G:G, "AUSENTE", General!O:O, "&gt;="&amp;DATE(2025,8,1), General!O:O, "&lt;="&amp;DATE(2025,8,31))</f>
        <v>0</v>
      </c>
      <c r="P37" s="38">
        <f>O36*AG11</f>
        <v>0</v>
      </c>
      <c r="Q37" s="41"/>
      <c r="R37" s="42"/>
      <c r="T37" s="254">
        <f>COUNTIFS(General!F:F, "IP CERRADA", General!K:K, "C. CRIBARI", General!H:H, "PTE. APROBACION", General!G:G, "AUSENTE", General!O:O, "&gt;="&amp;DATE(2025,8,1), General!O:O, "&lt;="&amp;DATE(2025,8,31))</f>
        <v>0</v>
      </c>
      <c r="U37" s="38">
        <f>T37*AG11</f>
        <v>0</v>
      </c>
      <c r="V37" s="41"/>
      <c r="W37" s="42"/>
      <c r="Y37" s="254">
        <f>COUNTIFS(General!F:F, "IP CERRADA", General!K:K, "E DZYHAJLO", General!H:H, "PTE. APROBACION", General!G:G, "AUSENTE", General!O:O, "&gt;="&amp;DATE(2025,8,1), General!O:O, "&lt;="&amp;DATE(2025,8,31))</f>
        <v>0</v>
      </c>
      <c r="Z37" s="38">
        <f>Y36*AG11</f>
        <v>0</v>
      </c>
      <c r="AA37" s="41"/>
      <c r="AB37" s="42"/>
      <c r="AD37" s="37" t="s">
        <v>26</v>
      </c>
    </row>
    <row r="38" spans="3:30">
      <c r="E38" s="383" t="s">
        <v>44</v>
      </c>
      <c r="F38" s="384"/>
      <c r="G38" s="381" t="s">
        <v>44</v>
      </c>
      <c r="H38" s="382"/>
      <c r="J38" s="383" t="s">
        <v>44</v>
      </c>
      <c r="K38" s="384"/>
      <c r="L38" s="381" t="s">
        <v>44</v>
      </c>
      <c r="M38" s="382"/>
      <c r="O38" s="383" t="s">
        <v>44</v>
      </c>
      <c r="P38" s="384"/>
      <c r="Q38" s="381" t="s">
        <v>44</v>
      </c>
      <c r="R38" s="382"/>
      <c r="T38" s="383" t="s">
        <v>44</v>
      </c>
      <c r="U38" s="384"/>
      <c r="V38" s="381" t="s">
        <v>44</v>
      </c>
      <c r="W38" s="382"/>
      <c r="Y38" s="383" t="s">
        <v>44</v>
      </c>
      <c r="Z38" s="384"/>
      <c r="AA38" s="381" t="s">
        <v>44</v>
      </c>
      <c r="AB38" s="382"/>
    </row>
    <row r="39" spans="3:30">
      <c r="E39" s="37">
        <f>E27+E28+E29+E30+E31+E32+E33+E34+E35+E36+E37</f>
        <v>0</v>
      </c>
      <c r="F39" s="29">
        <f>F27+F28+F29+F30+F31+F32+F33+F34+F35+F36</f>
        <v>0</v>
      </c>
      <c r="G39" s="51">
        <f>G27+G28+G29+G30+G31+G32+G33+G34+G35+G36</f>
        <v>0</v>
      </c>
      <c r="H39" s="45">
        <f>H27+H28+H29+H30+H31+H32+H33+H34+H35+H36</f>
        <v>0</v>
      </c>
      <c r="J39" s="37">
        <f>J27+J28+J29+J30+J31+J32+J33+J34+J35+J36+J37</f>
        <v>0</v>
      </c>
      <c r="K39" s="29">
        <f>K27+K28+K29+K30+K31+K32+K33+K34+K35+K36+K37</f>
        <v>0</v>
      </c>
      <c r="L39" s="51">
        <f>L27+L28+L29+L30+L31+L32+L33+L34+L35+L36</f>
        <v>0</v>
      </c>
      <c r="M39" s="45">
        <f>M27+M28+M29+M30+M31+M32+M33+M34+M35+M36</f>
        <v>0</v>
      </c>
      <c r="O39" s="37">
        <f>O27+O28+O29+O30+O31+O32+O33+O34+O35+O36+O37</f>
        <v>0</v>
      </c>
      <c r="P39" s="29">
        <f>P27+P28+P29+P30+P31+P32+P33+P34+P35+P36</f>
        <v>0</v>
      </c>
      <c r="Q39" s="51">
        <f>Q27+Q28+Q29+Q30+Q31+Q32+Q33+Q34+Q35+Q36</f>
        <v>0</v>
      </c>
      <c r="R39" s="45">
        <f>R27+R28+R29+R30+R31+R32+R33+R34+R35+R36</f>
        <v>0</v>
      </c>
      <c r="T39" s="37">
        <f>T27+T28+T29+T30+T31+T32+T33+T34+T35+T36+T37</f>
        <v>0</v>
      </c>
      <c r="U39" s="29">
        <f>U27+U28+U29+U30+U31+U32+U33+U34+U35+U36+U37</f>
        <v>0</v>
      </c>
      <c r="V39" s="51">
        <f>V27+V28+V29+V30+V31+V32+V33+V34+V35+V36</f>
        <v>0</v>
      </c>
      <c r="W39" s="45">
        <f>W27+W28+W29+W30+W31+W32+W33+W34+W35+W36</f>
        <v>0</v>
      </c>
      <c r="Y39" s="37">
        <f>Y27+Y28+Y29+Y30+Y31+Y32+Y33+Y34+Y35+Y36+Y37</f>
        <v>0</v>
      </c>
      <c r="Z39" s="29">
        <f>Z27+Z28+Z29+Z30+Z31+Z32+Z33+Z34+Z35+Z36</f>
        <v>0</v>
      </c>
      <c r="AA39" s="51">
        <f>AA27+AA28+AA29+AA30+AA31+AA32+AA33+AA34+AA35+AA36</f>
        <v>0</v>
      </c>
      <c r="AB39" s="45">
        <f>AB27+AB28+AB29+AB30+AB31+AB32+AB33+AB34+AB35+AB36</f>
        <v>0</v>
      </c>
    </row>
    <row r="40" spans="3:30">
      <c r="E40" s="48"/>
      <c r="F40" s="49"/>
      <c r="G40" s="48"/>
      <c r="H40" s="49"/>
      <c r="J40" s="48"/>
      <c r="K40" s="49"/>
      <c r="L40" s="48"/>
      <c r="M40" s="49"/>
      <c r="O40" s="48"/>
      <c r="P40" s="49"/>
      <c r="Q40" s="48"/>
      <c r="R40" s="49"/>
      <c r="T40" s="48"/>
      <c r="U40" s="49"/>
      <c r="V40" s="48"/>
      <c r="W40" s="49"/>
      <c r="Y40" s="48"/>
      <c r="Z40" s="49"/>
      <c r="AA40" s="48"/>
      <c r="AB40" s="49"/>
    </row>
    <row r="41" spans="3:30">
      <c r="E41" s="380"/>
      <c r="F41" s="380"/>
      <c r="G41" s="261"/>
      <c r="H41" s="50"/>
      <c r="J41" s="380"/>
      <c r="K41" s="380"/>
      <c r="L41" s="261"/>
      <c r="M41" s="50"/>
      <c r="O41" s="380"/>
      <c r="P41" s="380"/>
      <c r="Q41" s="261"/>
      <c r="R41" s="50"/>
      <c r="T41" s="380"/>
      <c r="U41" s="380"/>
      <c r="V41" s="261"/>
      <c r="W41" s="50"/>
      <c r="Y41" s="380"/>
      <c r="Z41" s="380"/>
      <c r="AA41" s="261"/>
      <c r="AB41" s="50"/>
    </row>
    <row r="42" spans="3:30">
      <c r="E42" s="376" t="s">
        <v>3</v>
      </c>
      <c r="F42" s="377"/>
      <c r="G42" s="95"/>
      <c r="H42" s="96"/>
      <c r="J42" s="376" t="s">
        <v>3</v>
      </c>
      <c r="K42" s="377"/>
      <c r="L42" s="95"/>
      <c r="M42" s="96"/>
      <c r="O42" s="376" t="s">
        <v>3</v>
      </c>
      <c r="P42" s="377"/>
      <c r="Q42" s="95"/>
      <c r="R42" s="96"/>
      <c r="T42" s="376" t="s">
        <v>3</v>
      </c>
      <c r="U42" s="377"/>
      <c r="V42" s="95"/>
      <c r="W42" s="96"/>
      <c r="Y42" s="376" t="s">
        <v>3</v>
      </c>
      <c r="Z42" s="377"/>
      <c r="AA42" s="95"/>
      <c r="AB42" s="96"/>
    </row>
    <row r="43" spans="3:30">
      <c r="E43" s="378" t="s">
        <v>85</v>
      </c>
      <c r="F43" s="379"/>
      <c r="G43" s="97"/>
      <c r="H43" s="98"/>
      <c r="J43" s="378" t="s">
        <v>85</v>
      </c>
      <c r="K43" s="379"/>
      <c r="L43" s="97"/>
      <c r="M43" s="98"/>
      <c r="O43" s="378" t="s">
        <v>85</v>
      </c>
      <c r="P43" s="379"/>
      <c r="Q43" s="97"/>
      <c r="R43" s="98"/>
      <c r="T43" s="378" t="s">
        <v>85</v>
      </c>
      <c r="U43" s="379"/>
      <c r="V43" s="97"/>
      <c r="W43" s="98"/>
      <c r="Y43" s="378" t="s">
        <v>85</v>
      </c>
      <c r="Z43" s="379"/>
      <c r="AA43" s="97"/>
      <c r="AB43" s="98"/>
    </row>
    <row r="44" spans="3:30">
      <c r="E44" s="374" t="s">
        <v>86</v>
      </c>
      <c r="F44" s="375"/>
      <c r="G44" s="46">
        <f>G27+G28+G29+G30+G31+G32+G33+G34+G35+G36+E27+E28+E29+E31+E30+E32+E33+E34+E35+E36</f>
        <v>0</v>
      </c>
      <c r="H44" s="47">
        <f>F39+H39</f>
        <v>0</v>
      </c>
      <c r="J44" s="374" t="s">
        <v>86</v>
      </c>
      <c r="K44" s="375"/>
      <c r="L44" s="46">
        <f>L27+L28+L29+L30+L31+L32+L33+L34+L35+L36+J27+J28+J29+J31+J30+J32+J33+J34+J35+J36</f>
        <v>0</v>
      </c>
      <c r="M44" s="47">
        <f>K39+M39</f>
        <v>0</v>
      </c>
      <c r="O44" s="374" t="s">
        <v>86</v>
      </c>
      <c r="P44" s="375"/>
      <c r="Q44" s="46">
        <f>Q27+Q28+Q29+Q30+Q31+Q32+Q33+Q34+Q35+Q36+O27+O28+O29+O31+O30+O32+O33+O34+O35+O36</f>
        <v>0</v>
      </c>
      <c r="R44" s="47">
        <f>P39+R39</f>
        <v>0</v>
      </c>
      <c r="T44" s="374" t="s">
        <v>86</v>
      </c>
      <c r="U44" s="375"/>
      <c r="V44" s="46">
        <f>V27+V28+V29+V30+V31+V32+V33+V34+V35+V36+T27+T28+T29+T31+T30+T32+T33+T34+T35+T36</f>
        <v>0</v>
      </c>
      <c r="W44" s="47">
        <f>U39+W39</f>
        <v>0</v>
      </c>
      <c r="Y44" s="374" t="s">
        <v>86</v>
      </c>
      <c r="Z44" s="375"/>
      <c r="AA44" s="46">
        <f>AA27+AA28+AA29+AA30+AA31+AA32+AA33+AA34+AA35+AA36+Y27+Y28+Y29+Y31+Y30+Y32+Y33+Y34+Y35+Y36</f>
        <v>0</v>
      </c>
      <c r="AB44" s="47">
        <f>Z39+AB39</f>
        <v>0</v>
      </c>
    </row>
  </sheetData>
  <mergeCells count="95">
    <mergeCell ref="E44:F44"/>
    <mergeCell ref="J44:K44"/>
    <mergeCell ref="O44:P44"/>
    <mergeCell ref="T44:U44"/>
    <mergeCell ref="Y44:Z44"/>
    <mergeCell ref="E42:F42"/>
    <mergeCell ref="J42:K42"/>
    <mergeCell ref="O42:P42"/>
    <mergeCell ref="T42:U42"/>
    <mergeCell ref="Y42:Z42"/>
    <mergeCell ref="E43:F43"/>
    <mergeCell ref="J43:K43"/>
    <mergeCell ref="O43:P43"/>
    <mergeCell ref="T43:U43"/>
    <mergeCell ref="Y43:Z43"/>
    <mergeCell ref="E41:F41"/>
    <mergeCell ref="J41:K41"/>
    <mergeCell ref="O41:P41"/>
    <mergeCell ref="T41:U41"/>
    <mergeCell ref="Y41:Z41"/>
    <mergeCell ref="Q38:R38"/>
    <mergeCell ref="T38:U38"/>
    <mergeCell ref="V38:W38"/>
    <mergeCell ref="Y38:Z38"/>
    <mergeCell ref="AA38:AB38"/>
    <mergeCell ref="E38:F38"/>
    <mergeCell ref="G38:H38"/>
    <mergeCell ref="J38:K38"/>
    <mergeCell ref="L38:M38"/>
    <mergeCell ref="O38:P38"/>
    <mergeCell ref="Y24:AB25"/>
    <mergeCell ref="AD24:AD25"/>
    <mergeCell ref="E26:F26"/>
    <mergeCell ref="G26:H26"/>
    <mergeCell ref="J26:K26"/>
    <mergeCell ref="L26:M26"/>
    <mergeCell ref="O26:P26"/>
    <mergeCell ref="Q26:R26"/>
    <mergeCell ref="T26:U26"/>
    <mergeCell ref="V26:W26"/>
    <mergeCell ref="Y26:Z26"/>
    <mergeCell ref="AA26:AB26"/>
    <mergeCell ref="E21:F21"/>
    <mergeCell ref="J21:K21"/>
    <mergeCell ref="O21:P21"/>
    <mergeCell ref="T21:U21"/>
    <mergeCell ref="Y21:Z21"/>
    <mergeCell ref="C24:C25"/>
    <mergeCell ref="E24:H25"/>
    <mergeCell ref="J24:M25"/>
    <mergeCell ref="O24:R25"/>
    <mergeCell ref="T24:W25"/>
    <mergeCell ref="E19:F19"/>
    <mergeCell ref="J19:K19"/>
    <mergeCell ref="O19:P19"/>
    <mergeCell ref="T19:U19"/>
    <mergeCell ref="Y19:Z19"/>
    <mergeCell ref="E20:F20"/>
    <mergeCell ref="J20:K20"/>
    <mergeCell ref="O20:P20"/>
    <mergeCell ref="T20:U20"/>
    <mergeCell ref="Y20:Z20"/>
    <mergeCell ref="E18:F18"/>
    <mergeCell ref="J18:K18"/>
    <mergeCell ref="O18:P18"/>
    <mergeCell ref="T18:U18"/>
    <mergeCell ref="Y18:Z18"/>
    <mergeCell ref="Q15:R15"/>
    <mergeCell ref="T15:U15"/>
    <mergeCell ref="V15:W15"/>
    <mergeCell ref="Y15:Z15"/>
    <mergeCell ref="AA15:AB15"/>
    <mergeCell ref="E15:F15"/>
    <mergeCell ref="G15:H15"/>
    <mergeCell ref="J15:K15"/>
    <mergeCell ref="L15:M15"/>
    <mergeCell ref="O15:P15"/>
    <mergeCell ref="Y1:AB2"/>
    <mergeCell ref="AD1:AD2"/>
    <mergeCell ref="E3:F3"/>
    <mergeCell ref="G3:H3"/>
    <mergeCell ref="J3:K3"/>
    <mergeCell ref="L3:M3"/>
    <mergeCell ref="O3:P3"/>
    <mergeCell ref="Q3:R3"/>
    <mergeCell ref="T3:U3"/>
    <mergeCell ref="V3:W3"/>
    <mergeCell ref="T1:W2"/>
    <mergeCell ref="Y3:Z3"/>
    <mergeCell ref="AA3:AB3"/>
    <mergeCell ref="A1:B2"/>
    <mergeCell ref="C1:C2"/>
    <mergeCell ref="E1:H2"/>
    <mergeCell ref="J1:M2"/>
    <mergeCell ref="O1:R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EC6A9-1212-4741-8654-1AFECFC97B27}">
  <sheetPr>
    <tabColor theme="6" tint="0.39997558519241921"/>
  </sheetPr>
  <dimension ref="A1:AC47"/>
  <sheetViews>
    <sheetView workbookViewId="0">
      <selection activeCell="N34" sqref="N34"/>
    </sheetView>
  </sheetViews>
  <sheetFormatPr defaultRowHeight="15"/>
  <cols>
    <col min="3" max="3" width="24.7109375" customWidth="1"/>
    <col min="4" max="4" width="2.85546875" customWidth="1"/>
    <col min="5" max="5" width="11.42578125" customWidth="1"/>
    <col min="6" max="6" width="11" customWidth="1"/>
    <col min="7" max="7" width="3.140625" customWidth="1"/>
    <col min="8" max="8" width="11.140625" customWidth="1"/>
    <col min="9" max="9" width="10.5703125" customWidth="1"/>
    <col min="10" max="10" width="2.85546875" customWidth="1"/>
    <col min="11" max="11" width="11.42578125" customWidth="1"/>
    <col min="12" max="12" width="10.7109375" customWidth="1"/>
    <col min="13" max="13" width="3" customWidth="1"/>
    <col min="14" max="14" width="16.7109375" customWidth="1"/>
    <col min="15" max="15" width="12.140625" customWidth="1"/>
    <col min="16" max="16" width="9.140625" bestFit="1" customWidth="1"/>
    <col min="17" max="17" width="18.5703125" customWidth="1"/>
    <col min="18" max="18" width="9.140625" bestFit="1" customWidth="1"/>
    <col min="19" max="19" width="13.5703125" customWidth="1"/>
    <col min="20" max="20" width="8.5703125" bestFit="1" customWidth="1"/>
    <col min="21" max="21" width="4.85546875" customWidth="1"/>
    <col min="22" max="22" width="21.5703125" customWidth="1"/>
    <col min="23" max="23" width="14.42578125" customWidth="1"/>
    <col min="24" max="24" width="16.140625" customWidth="1"/>
    <col min="25" max="25" width="17.85546875" customWidth="1"/>
  </cols>
  <sheetData>
    <row r="1" spans="1:29">
      <c r="A1" s="367" t="s">
        <v>0</v>
      </c>
      <c r="B1" s="368"/>
      <c r="C1" s="369" t="s">
        <v>1</v>
      </c>
      <c r="E1" s="369" t="s">
        <v>2</v>
      </c>
      <c r="F1" s="369"/>
      <c r="H1" s="370" t="s">
        <v>3</v>
      </c>
      <c r="I1" s="371"/>
      <c r="K1" s="369" t="s">
        <v>4</v>
      </c>
      <c r="L1" s="369"/>
      <c r="N1" s="369" t="s">
        <v>5</v>
      </c>
      <c r="O1" s="369"/>
      <c r="Q1" s="3"/>
      <c r="R1" s="3"/>
      <c r="S1" s="354"/>
      <c r="T1" s="355"/>
      <c r="V1" s="1" t="s">
        <v>6</v>
      </c>
      <c r="W1" s="1" t="s">
        <v>7</v>
      </c>
      <c r="X1" s="1" t="s">
        <v>8</v>
      </c>
      <c r="Z1" s="356" t="s">
        <v>9</v>
      </c>
      <c r="AA1" s="357"/>
      <c r="AB1" s="357"/>
      <c r="AC1" s="358"/>
    </row>
    <row r="2" spans="1:29">
      <c r="A2" s="367"/>
      <c r="B2" s="368"/>
      <c r="C2" s="369"/>
      <c r="E2" s="369"/>
      <c r="F2" s="369"/>
      <c r="H2" s="372"/>
      <c r="I2" s="373"/>
      <c r="K2" s="369"/>
      <c r="L2" s="369"/>
      <c r="N2" s="369"/>
      <c r="O2" s="369"/>
      <c r="Q2" s="10"/>
      <c r="R2" s="13"/>
      <c r="S2" s="359"/>
      <c r="T2" s="360"/>
      <c r="V2" s="118" t="s">
        <v>10</v>
      </c>
      <c r="W2" s="119">
        <v>5625</v>
      </c>
      <c r="X2" s="119">
        <v>5250</v>
      </c>
      <c r="Z2" s="361" t="s">
        <v>11</v>
      </c>
      <c r="AA2" s="362"/>
      <c r="AB2" s="365" t="s">
        <v>12</v>
      </c>
      <c r="AC2" s="365" t="s">
        <v>13</v>
      </c>
    </row>
    <row r="3" spans="1:29" ht="3.75" customHeight="1">
      <c r="A3" s="19"/>
      <c r="B3" s="19"/>
      <c r="C3" s="19"/>
      <c r="E3" s="19"/>
      <c r="F3" s="19"/>
      <c r="H3" s="19"/>
      <c r="I3" s="19"/>
      <c r="K3" s="19"/>
      <c r="L3" s="19"/>
      <c r="N3" s="19"/>
      <c r="O3" s="19"/>
      <c r="Q3" s="12"/>
      <c r="R3" s="15"/>
      <c r="S3" s="351"/>
      <c r="T3" s="352"/>
      <c r="V3" s="118"/>
      <c r="W3" s="119"/>
      <c r="X3" s="119"/>
      <c r="Z3" s="363"/>
      <c r="AA3" s="364"/>
      <c r="AB3" s="366"/>
      <c r="AC3" s="366"/>
    </row>
    <row r="4" spans="1:29" ht="16.5">
      <c r="C4" s="37" t="s">
        <v>10</v>
      </c>
      <c r="E4" s="341">
        <f>COUNTIFS(General!F:F, "IP CERRADA", General!H:H, "PTE. APROBACION", General!G:G, "IP CON ORDEN", General!O:O, "&gt;="&amp;DATE(2025,10,1), General!O:O, "&lt;="&amp;DATE(2025,10,31))</f>
        <v>88</v>
      </c>
      <c r="F4" s="341"/>
      <c r="G4">
        <f>COUNTIFS(General!F:F, "IP CERRADA", General!M:M, "A MIÑO", General!H:H, "PTE. APROBACION", General!G:G, "IP CON ORDEN", General!O:O, "&gt;="&amp;DATE(2025,10,1), General!O:O, "&lt;="&amp;DATE(2025,10,31))</f>
        <v>0</v>
      </c>
      <c r="H4" s="342">
        <f>COUNTIFS(General!F:F, "LICITANDO REPUESTOS", General!G:G, "IP CON ORDEN")</f>
        <v>15</v>
      </c>
      <c r="I4" s="342"/>
      <c r="K4" s="343">
        <f>COUNTIFS(General!F:F, "IP COORDINADA", General!G:G, "IP CON ORDEN")</f>
        <v>32</v>
      </c>
      <c r="L4" s="343"/>
      <c r="N4" s="30" t="s">
        <v>14</v>
      </c>
      <c r="O4" s="31">
        <f>COUNTIFS(General!F:F, "PENDIENTE  COORDINACION")</f>
        <v>5</v>
      </c>
      <c r="Q4" s="11"/>
      <c r="R4" s="14"/>
      <c r="S4" s="346"/>
      <c r="T4" s="347"/>
      <c r="V4" s="120" t="s">
        <v>15</v>
      </c>
      <c r="W4" s="121">
        <v>5625</v>
      </c>
      <c r="X4" s="121">
        <v>5250</v>
      </c>
      <c r="Z4" s="70" t="s">
        <v>16</v>
      </c>
      <c r="AA4" s="71" t="e">
        <f>#REF!</f>
        <v>#REF!</v>
      </c>
      <c r="AB4" s="72" t="e">
        <f>AA4*$R$14</f>
        <v>#REF!</v>
      </c>
      <c r="AC4" s="72" t="e">
        <f>AB4*$T$14</f>
        <v>#REF!</v>
      </c>
    </row>
    <row r="5" spans="1:29" ht="16.5">
      <c r="C5" s="261" t="s">
        <v>15</v>
      </c>
      <c r="E5" s="353">
        <f>COUNTIFS(General!F:F, "IP CERRADA", General!H:H, "PTE. APROBACION", General!G:G, "POSIBLE DT", General!O:O, "&gt;="&amp;DATE(2025,10,1), General!O:O, "&lt;="&amp;DATE(2025,10,31))</f>
        <v>6</v>
      </c>
      <c r="F5" s="353"/>
      <c r="H5" s="349">
        <f>COUNTIFS(General!F:F, "LICITANDO REPUESTOS", General!G:G, "POSIBLE DT")</f>
        <v>0</v>
      </c>
      <c r="I5" s="349"/>
      <c r="K5" s="350">
        <f>COUNTIFS(General!F:F, "IP COORDINADA", General!G:G, "POSIBLE DT")</f>
        <v>2</v>
      </c>
      <c r="L5" s="350"/>
      <c r="N5" s="32" t="s">
        <v>17</v>
      </c>
      <c r="O5" s="33">
        <f>COUNTIFS(General!F:F, "CONTACTADO")</f>
        <v>2</v>
      </c>
      <c r="Q5" s="12"/>
      <c r="R5" s="15"/>
      <c r="S5" s="351"/>
      <c r="T5" s="352"/>
      <c r="V5" s="118" t="s">
        <v>18</v>
      </c>
      <c r="W5" s="119">
        <v>5625</v>
      </c>
      <c r="X5" s="119">
        <v>5250</v>
      </c>
      <c r="Z5" s="73" t="s">
        <v>19</v>
      </c>
      <c r="AA5" s="74" t="e">
        <f>#REF!</f>
        <v>#REF!</v>
      </c>
      <c r="AB5" s="75" t="e">
        <f>AA5*$R$14</f>
        <v>#REF!</v>
      </c>
      <c r="AC5" s="75" t="e">
        <f>AB5*$T$14</f>
        <v>#REF!</v>
      </c>
    </row>
    <row r="6" spans="1:29" ht="16.5">
      <c r="C6" s="37" t="s">
        <v>18</v>
      </c>
      <c r="E6" s="341">
        <f>COUNTIFS(General!F:F, "IP CERRADA", General!H:H, "PTE. APROBACION", General!G:G, "IP SIN ORDEN", General!O:O, "&gt;="&amp;DATE(2025,10,1), General!O:O, "&lt;="&amp;DATE(2025,10,31))</f>
        <v>46</v>
      </c>
      <c r="F6" s="341"/>
      <c r="H6" s="342">
        <f>COUNTIFS(General!F:F, "LICITANDO REPUESTOS", General!G:G, "IP SIN ORDEN")</f>
        <v>0</v>
      </c>
      <c r="I6" s="342"/>
      <c r="K6" s="343">
        <f>COUNTIFS(General!F:F, "IP COORDINADA", General!G:G, "IP SIN ORDEN")</f>
        <v>0</v>
      </c>
      <c r="L6" s="343"/>
      <c r="N6" s="30" t="s">
        <v>20</v>
      </c>
      <c r="O6" s="34">
        <f>COUNTIFS(General!F:F, "PENDIENTE DE OFRECIMIENTO")</f>
        <v>0</v>
      </c>
      <c r="Q6" s="11"/>
      <c r="R6" s="14"/>
      <c r="S6" s="346"/>
      <c r="T6" s="347"/>
      <c r="V6" s="120" t="s">
        <v>21</v>
      </c>
      <c r="W6" s="121">
        <v>2500</v>
      </c>
      <c r="X6" s="121">
        <v>2000</v>
      </c>
      <c r="Z6" s="76" t="s">
        <v>22</v>
      </c>
      <c r="AA6" s="77" t="e">
        <f>#REF!</f>
        <v>#REF!</v>
      </c>
      <c r="AB6" s="72" t="e">
        <f>AA6*$R$14</f>
        <v>#REF!</v>
      </c>
      <c r="AC6" s="72" t="e">
        <f>AB6*$T$14</f>
        <v>#REF!</v>
      </c>
    </row>
    <row r="7" spans="1:29" ht="16.5">
      <c r="C7" s="261" t="s">
        <v>21</v>
      </c>
      <c r="E7" s="353">
        <f>COUNTIFS(General!F:F, "IP CERRADA", General!H:H, "PTE. APROBACION", General!G:G, "AMPLIACION", General!O:O, "&gt;="&amp;DATE(2025,10,1), General!O:O, "&lt;="&amp;DATE(2025,10,31))</f>
        <v>23</v>
      </c>
      <c r="F7" s="353"/>
      <c r="H7" s="349">
        <f>COUNTIFS(General!F:F, "LICITANDO REPUESTOS", General!G:G, "AMPLIACION")</f>
        <v>1</v>
      </c>
      <c r="I7" s="349"/>
      <c r="K7" s="350">
        <f>COUNTIFS(General!F:F, "IP COORDINADA", General!G:G, "AMPLIACION")</f>
        <v>0</v>
      </c>
      <c r="L7" s="350"/>
      <c r="N7" s="35" t="s">
        <v>23</v>
      </c>
      <c r="O7" s="36">
        <f>COUNTIFS(General!F:F, "REVISAR MAIL - SIN RESOLVER")</f>
        <v>0</v>
      </c>
      <c r="Q7" s="12"/>
      <c r="R7" s="15"/>
      <c r="S7" s="351"/>
      <c r="T7" s="352"/>
      <c r="V7" s="118" t="s">
        <v>24</v>
      </c>
      <c r="W7" s="119">
        <v>0</v>
      </c>
      <c r="X7" s="119">
        <v>0</v>
      </c>
      <c r="Z7" s="73" t="s">
        <v>25</v>
      </c>
      <c r="AA7" s="74" t="e">
        <f>#REF!</f>
        <v>#REF!</v>
      </c>
      <c r="AB7" s="75" t="e">
        <f>AA7*$R$14</f>
        <v>#REF!</v>
      </c>
      <c r="AC7" s="75" t="e">
        <f>AB7*$T$14</f>
        <v>#REF!</v>
      </c>
    </row>
    <row r="8" spans="1:29" ht="16.5">
      <c r="C8" s="37" t="s">
        <v>24</v>
      </c>
      <c r="E8" s="341">
        <f>COUNTIFS(General!F:F, "IP CERRADA", General!H:H, "PTE. APROBACION", General!G:G, "ENVIO DE ORDEN", General!O:O, "&gt;="&amp;DATE(2025,10,1), General!O:O, "&lt;="&amp;DATE(2025,10,31))</f>
        <v>0</v>
      </c>
      <c r="F8" s="341"/>
      <c r="H8" s="342">
        <f>COUNTIFS(General!F:F, "LICITANDO REPUESTOS", General!G:G, "ENVIO DE ORDEN")</f>
        <v>0</v>
      </c>
      <c r="I8" s="342"/>
      <c r="K8" s="343">
        <f>COUNTIFS(General!F:F, "ENVIO DE ORDEN", General!G:G, "ENVIO DE ORDEN")</f>
        <v>0</v>
      </c>
      <c r="L8" s="343"/>
      <c r="Q8" s="11"/>
      <c r="R8" s="14"/>
      <c r="S8" s="346"/>
      <c r="T8" s="347"/>
      <c r="V8" s="120" t="s">
        <v>26</v>
      </c>
      <c r="W8" s="121">
        <v>1500</v>
      </c>
      <c r="X8" s="121" t="s">
        <v>27</v>
      </c>
      <c r="Z8" s="76" t="s">
        <v>28</v>
      </c>
      <c r="AA8" s="77" t="e">
        <f>#REF!</f>
        <v>#REF!</v>
      </c>
      <c r="AB8" s="72" t="e">
        <f>AA8*$R$14</f>
        <v>#REF!</v>
      </c>
      <c r="AC8" s="72" t="e">
        <f>AB8*$T$14</f>
        <v>#REF!</v>
      </c>
    </row>
    <row r="9" spans="1:29" ht="16.5">
      <c r="C9" s="261" t="s">
        <v>29</v>
      </c>
      <c r="E9" s="353">
        <f>COUNTIFS(General!F:F, "IP CERRADA", General!H:H, "PTE. APROBACION", General!G:G, "IP CAMIONES", General!O:O, "&gt;="&amp;DATE(2025,10,1), General!O:O, "&lt;="&amp;DATE(2025,10,31))</f>
        <v>0</v>
      </c>
      <c r="F9" s="353"/>
      <c r="H9" s="349">
        <f>COUNTIFS(General!F:F, "LICITANDO REPUESTOS", General!G:G, "IP CAMIONES")</f>
        <v>0</v>
      </c>
      <c r="I9" s="349"/>
      <c r="K9" s="350">
        <f>COUNTIFS(General!F:F, "IP COORDINADA", General!G:G, "IP CAMIONES")</f>
        <v>0</v>
      </c>
      <c r="L9" s="350"/>
      <c r="N9" s="115" t="s">
        <v>26</v>
      </c>
      <c r="O9" s="115">
        <f>COUNTIFS(General!F:F, "IP CERRADA", General!H:H, "PTE. APROBACION", General!G:G, "AUSENTE", General!O:O, "&gt;="&amp;DATE(2025,10,1), General!O:O, "&lt;="&amp;DATE(2025,10,31))</f>
        <v>12</v>
      </c>
      <c r="Q9" s="12"/>
      <c r="R9" s="15"/>
      <c r="S9" s="351"/>
      <c r="T9" s="352"/>
      <c r="V9" s="118" t="s">
        <v>30</v>
      </c>
      <c r="W9" s="119">
        <v>5625</v>
      </c>
      <c r="X9" s="119">
        <v>5625</v>
      </c>
      <c r="Z9" s="73" t="s">
        <v>31</v>
      </c>
      <c r="AA9" s="74" t="e">
        <f>#REF!</f>
        <v>#REF!</v>
      </c>
      <c r="AB9" s="75" t="e">
        <f>AA9*$R$14</f>
        <v>#REF!</v>
      </c>
      <c r="AC9" s="75" t="e">
        <f>AB9*$T$14</f>
        <v>#REF!</v>
      </c>
    </row>
    <row r="10" spans="1:29" ht="16.5">
      <c r="C10" s="37" t="s">
        <v>30</v>
      </c>
      <c r="E10" s="341">
        <f>COUNTIFS(General!F:F, "IP CERRADA", General!H:H, "PTE. APROBACION", General!G:G, "TERCEROS", General!O:O, "&gt;="&amp;DATE(2024,3,1), General!O:O, "&gt;="&amp;DATE(2025,10,1), General!O:O, "&lt;="&amp;DATE(2025,10,31))</f>
        <v>0</v>
      </c>
      <c r="F10" s="341"/>
      <c r="H10" s="342">
        <f>COUNTIFS(General!F:F, "LICITANDO REPUESTOS", General!G:G, "TERCEROS")</f>
        <v>0</v>
      </c>
      <c r="I10" s="342"/>
      <c r="K10" s="343">
        <f>COUNTIFS(General!F:F, "IP COORDINADA", General!G:G, "TERCEROS")</f>
        <v>0</v>
      </c>
      <c r="L10" s="343"/>
      <c r="N10" s="114"/>
      <c r="O10" s="49"/>
      <c r="Q10" s="11"/>
      <c r="R10" s="14"/>
      <c r="S10" s="346"/>
      <c r="T10" s="347"/>
      <c r="V10" s="120" t="s">
        <v>32</v>
      </c>
      <c r="W10" s="121">
        <v>0</v>
      </c>
      <c r="X10" s="121">
        <v>0</v>
      </c>
      <c r="Z10" s="76" t="s">
        <v>33</v>
      </c>
      <c r="AA10" s="77" t="e">
        <f>#REF!</f>
        <v>#REF!</v>
      </c>
      <c r="AB10" s="78" t="e">
        <f>AA10*$R$14</f>
        <v>#REF!</v>
      </c>
      <c r="AC10" s="78" t="e">
        <f>AB10*$T$14</f>
        <v>#REF!</v>
      </c>
    </row>
    <row r="11" spans="1:29" ht="16.5">
      <c r="C11" s="261" t="s">
        <v>32</v>
      </c>
      <c r="E11" s="353">
        <f>COUNTIFS(General!F:F, "IP CERRADA", General!H:H, "PTE. APROBACION", General!G:G, "FOTOS", General!O:O, "&gt;="&amp;DATE(2025,10,1), General!O:O, "&lt;="&amp;DATE(2025,10,31))</f>
        <v>0</v>
      </c>
      <c r="F11" s="353"/>
      <c r="H11" s="349">
        <f>COUNTIFS(General!F:F, "LICITANDO REPUESTOS", General!G:G, "FOTOS")</f>
        <v>0</v>
      </c>
      <c r="I11" s="349"/>
      <c r="K11" s="350">
        <f>COUNTIFS(General!F:F, "IP COORDINADA", General!G:G, "FOTOS")</f>
        <v>0</v>
      </c>
      <c r="L11" s="350"/>
      <c r="Q11" s="12"/>
      <c r="R11" s="15"/>
      <c r="S11" s="351"/>
      <c r="T11" s="352"/>
      <c r="V11" s="118" t="s">
        <v>34</v>
      </c>
      <c r="W11" s="119">
        <v>0</v>
      </c>
      <c r="X11" s="119">
        <v>0</v>
      </c>
      <c r="Z11" s="79" t="s">
        <v>35</v>
      </c>
      <c r="AA11" s="80" t="e">
        <f>#REF!</f>
        <v>#REF!</v>
      </c>
      <c r="AB11" s="81" t="e">
        <f>AA11*$R$14</f>
        <v>#REF!</v>
      </c>
      <c r="AC11" s="81" t="e">
        <f>AB11*$T$14</f>
        <v>#REF!</v>
      </c>
    </row>
    <row r="12" spans="1:29" ht="16.5">
      <c r="C12" s="37" t="s">
        <v>34</v>
      </c>
      <c r="E12" s="341">
        <f>COUNTIFS(General!F:F, "IP CERRADA", General!H:H, "PTE. APROBACION", General!G:G, "IP REMOTA", General!O:O, "&gt;="&amp;DATE(2025,10,1), General!O:O, "&lt;="&amp;DATE(2025,10,31))</f>
        <v>0</v>
      </c>
      <c r="F12" s="341"/>
      <c r="H12" s="342">
        <f>COUNTIFS(General!F:F, "LICITANDO REPUESTOS", General!G:G, "IP REMOTA")</f>
        <v>0</v>
      </c>
      <c r="I12" s="342"/>
      <c r="K12" s="343">
        <f>COUNTIFS(General!F:F, "IP COORDINADA", General!G:G, "IP REMOTA")</f>
        <v>0</v>
      </c>
      <c r="L12" s="343"/>
      <c r="N12" s="344" t="s">
        <v>36</v>
      </c>
      <c r="O12" s="345"/>
      <c r="Q12" s="11"/>
      <c r="R12" s="14"/>
      <c r="S12" s="346"/>
      <c r="T12" s="347"/>
      <c r="V12" s="120" t="s">
        <v>29</v>
      </c>
      <c r="W12" s="121">
        <v>5625</v>
      </c>
      <c r="X12" s="121">
        <v>5250</v>
      </c>
      <c r="Z12" s="82"/>
      <c r="AA12" s="83"/>
      <c r="AB12" s="84"/>
      <c r="AC12" s="84"/>
    </row>
    <row r="13" spans="1:29" ht="16.5">
      <c r="C13" s="261" t="s">
        <v>37</v>
      </c>
      <c r="E13" s="348">
        <f>COUNTIFS(General!F:F, "IP CERRADA", General!H:H, "PTE. APROBACION", General!G:G, "IP VIRTUAL", General!O:O, "&gt;="&amp;DATE(2025,10,1), General!O:O, "&lt;="&amp;DATE(2025,10,31))</f>
        <v>0</v>
      </c>
      <c r="F13" s="348"/>
      <c r="H13" s="349">
        <f>COUNTIFS(General!F:F, "LICITANDO REPUESTOS", General!G:G, "IP VIRTUAL")</f>
        <v>0</v>
      </c>
      <c r="I13" s="349"/>
      <c r="K13" s="350">
        <f>COUNTIFS(General!F:F, "IP COORDINADA", General!G:G, "IP VIRTUAL")</f>
        <v>0</v>
      </c>
      <c r="L13" s="350"/>
      <c r="N13" s="344">
        <f>SUMIFS(General!P2:P2771, General!L2:L2771, "&gt;=01/06/2024", General!L2:L2771, "&lt;=31/06/2024")</f>
        <v>0</v>
      </c>
      <c r="O13" s="345"/>
      <c r="Q13" s="12"/>
      <c r="R13" s="15"/>
      <c r="S13" s="351"/>
      <c r="T13" s="352"/>
      <c r="V13" s="118" t="s">
        <v>37</v>
      </c>
      <c r="W13" s="119" t="s">
        <v>27</v>
      </c>
      <c r="X13" s="119" t="s">
        <v>27</v>
      </c>
      <c r="Z13" s="85"/>
      <c r="AA13" s="86"/>
      <c r="AB13" s="87"/>
      <c r="AC13" s="87"/>
    </row>
    <row r="14" spans="1:29" ht="16.5">
      <c r="E14" s="112">
        <f>E4+E5+E6+E7+E8+E9+E10+E11+E12+E13</f>
        <v>163</v>
      </c>
      <c r="F14" s="113" t="s">
        <v>38</v>
      </c>
      <c r="H14" s="110">
        <f>H4+H5+H6+H7+H8+H9+H10+H11+H12+H13</f>
        <v>16</v>
      </c>
      <c r="I14" s="111" t="s">
        <v>38</v>
      </c>
      <c r="K14" s="260">
        <f>K4+K5+K6+K7+K8+K9+K10+K11+K12+K13</f>
        <v>34</v>
      </c>
      <c r="L14" s="109" t="s">
        <v>38</v>
      </c>
      <c r="N14" s="332">
        <f>N13*T14</f>
        <v>0</v>
      </c>
      <c r="O14" s="333"/>
      <c r="Q14" s="62"/>
      <c r="R14" s="63"/>
      <c r="S14" s="334"/>
      <c r="T14" s="335"/>
      <c r="V14" s="118"/>
      <c r="W14" s="119"/>
      <c r="X14" s="119"/>
      <c r="Z14" s="85"/>
      <c r="AA14" s="86"/>
      <c r="AB14" s="87"/>
      <c r="AC14" s="87"/>
    </row>
    <row r="15" spans="1:29">
      <c r="E15" s="19"/>
      <c r="F15" s="19"/>
      <c r="V15" s="118"/>
      <c r="W15" s="119"/>
      <c r="X15" s="119"/>
      <c r="Z15" s="82"/>
      <c r="AA15" s="88"/>
      <c r="AB15" s="89"/>
      <c r="AC15" s="89"/>
    </row>
    <row r="16" spans="1:29" ht="16.5">
      <c r="E16" s="336" t="s">
        <v>39</v>
      </c>
      <c r="F16" s="336"/>
      <c r="H16" s="337" t="s">
        <v>40</v>
      </c>
      <c r="I16" s="337"/>
      <c r="K16" s="338" t="s">
        <v>41</v>
      </c>
      <c r="L16" s="338"/>
      <c r="N16" s="28" t="s">
        <v>42</v>
      </c>
      <c r="O16" s="253">
        <f>COUNTIFS(General!H:H, "EN TRAMITE")</f>
        <v>98</v>
      </c>
      <c r="V16" s="122" t="s">
        <v>43</v>
      </c>
      <c r="W16" s="123">
        <v>300</v>
      </c>
      <c r="X16" s="123" t="s">
        <v>27</v>
      </c>
      <c r="Z16" s="90" t="s">
        <v>44</v>
      </c>
      <c r="AA16" s="91" t="e">
        <f>AA4+AA5+AA6+AA7+AA8+AA9+AA10+AA11</f>
        <v>#REF!</v>
      </c>
      <c r="AB16" s="92" t="e">
        <f>AB4+AB5+AB6+AB7+AB8+AB9+AB10+AB11</f>
        <v>#REF!</v>
      </c>
      <c r="AC16" s="93" t="e">
        <f>AC4+AC5+AC6+AC7+AC8+AC9+AC10+AC11</f>
        <v>#REF!</v>
      </c>
    </row>
    <row r="17" spans="3:24" ht="16.5">
      <c r="E17" s="336">
        <f>E4+E5+E6+E7+E8+E9+E10+E12+O9+E13</f>
        <v>175</v>
      </c>
      <c r="F17" s="336"/>
      <c r="H17" s="337">
        <f>H4+H5+H6+H7+H8+H9+H10+H11+H12+H13</f>
        <v>16</v>
      </c>
      <c r="I17" s="337"/>
      <c r="K17" s="338">
        <f>K4+K5+K6+K7+K8+K9+K10+K11+K12+K13</f>
        <v>34</v>
      </c>
      <c r="L17" s="338"/>
      <c r="N17" s="28" t="s">
        <v>45</v>
      </c>
      <c r="O17" s="253">
        <f>COUNTIFS(General!H:H, "PTE. APROBACION")</f>
        <v>3403</v>
      </c>
      <c r="Q17" s="339" t="s">
        <v>46</v>
      </c>
      <c r="R17" s="340"/>
      <c r="S17" s="340"/>
      <c r="T17" s="340"/>
    </row>
    <row r="18" spans="3:24" ht="16.5">
      <c r="N18" s="102" t="s">
        <v>47</v>
      </c>
      <c r="O18" s="253">
        <f>COUNTIFS(General!H:H, "ANULADO")</f>
        <v>198</v>
      </c>
      <c r="Q18" s="315" t="s">
        <v>48</v>
      </c>
      <c r="R18" s="316"/>
      <c r="S18" s="315" t="s">
        <v>12</v>
      </c>
      <c r="T18" s="319"/>
      <c r="V18" s="108" t="s">
        <v>10</v>
      </c>
      <c r="W18" s="103">
        <f>COUNTIFS(General!F:F, "PARA FACTURAR", General!G:G, "IP CON ORDEN")</f>
        <v>13</v>
      </c>
      <c r="X18" s="107"/>
    </row>
    <row r="19" spans="3:24" ht="15" customHeight="1">
      <c r="C19" s="321" t="s">
        <v>49</v>
      </c>
      <c r="D19" s="321"/>
      <c r="E19" s="257">
        <f>E21+E22+E23+E24+E25+E26+E27+E28+E29+E30+E31+E32</f>
        <v>3248</v>
      </c>
      <c r="F19" s="240">
        <f>(E19-E34)/E34</f>
        <v>0.58207501217730151</v>
      </c>
      <c r="H19" s="322" t="s">
        <v>50</v>
      </c>
      <c r="I19" s="323"/>
      <c r="N19" s="101" t="s">
        <v>51</v>
      </c>
      <c r="O19" s="101">
        <f>COUNTIFS(General!F:F, "PARA FACTURAR")</f>
        <v>22</v>
      </c>
      <c r="Q19" s="317"/>
      <c r="R19" s="318"/>
      <c r="S19" s="317"/>
      <c r="T19" s="320"/>
      <c r="V19" s="108" t="s">
        <v>15</v>
      </c>
      <c r="W19" s="103">
        <f>COUNTIFS(General!F:F, "PARA FACTURAR", General!G:G, "POSIBLE DT")</f>
        <v>2</v>
      </c>
      <c r="X19" s="107"/>
    </row>
    <row r="20" spans="3:24" ht="16.5">
      <c r="C20" s="324" t="s">
        <v>52</v>
      </c>
      <c r="D20" s="325"/>
      <c r="E20" s="258" t="s">
        <v>53</v>
      </c>
      <c r="F20" s="257">
        <f>E19-E34</f>
        <v>1195</v>
      </c>
      <c r="H20" s="326">
        <f>E17+H17+K17+O19</f>
        <v>247</v>
      </c>
      <c r="I20" s="327"/>
      <c r="Q20" s="328" t="s">
        <v>35</v>
      </c>
      <c r="R20" s="329"/>
      <c r="S20" s="330"/>
      <c r="T20" s="331"/>
      <c r="V20" s="108" t="s">
        <v>18</v>
      </c>
      <c r="W20" s="103">
        <f>COUNTIFS(General!F:F, "PARA FACTURAR", General!G:G, "IP SIN ORDEN")</f>
        <v>6</v>
      </c>
      <c r="X20" s="107"/>
    </row>
    <row r="21" spans="3:24" ht="16.5">
      <c r="C21" s="313" t="s">
        <v>54</v>
      </c>
      <c r="D21" s="314"/>
      <c r="E21" s="219">
        <f>COUNTIFS(General!B:B, "&gt;="&amp;DATE(2025,1,1), General!B:B, "&lt;="&amp;DATE(2025,1,31))</f>
        <v>260</v>
      </c>
      <c r="F21" s="241">
        <f>(E21-E36)/E36</f>
        <v>0.96969696969696972</v>
      </c>
      <c r="Q21" s="295" t="s">
        <v>19</v>
      </c>
      <c r="R21" s="296"/>
      <c r="S21" s="280">
        <f>PeritosOctubre!H21</f>
        <v>0</v>
      </c>
      <c r="T21" s="281"/>
      <c r="V21" s="108" t="s">
        <v>21</v>
      </c>
      <c r="W21" s="103">
        <f>COUNTIFS(General!F:F, "PARA FACTURAR", General!G:G, "AMPLIACION")</f>
        <v>1</v>
      </c>
      <c r="X21" s="107"/>
    </row>
    <row r="22" spans="3:24" ht="16.5">
      <c r="C22" s="306" t="s">
        <v>55</v>
      </c>
      <c r="D22" s="310"/>
      <c r="E22" s="220">
        <f>COUNTIFS(General!B:B, "&gt;="&amp;DATE(2025,2,1), General!B:B, "&lt;="&amp;DATE(2025,2,31))</f>
        <v>194</v>
      </c>
      <c r="F22" s="217">
        <f>(E22-E37)/E37</f>
        <v>0.43703703703703706</v>
      </c>
      <c r="H22" s="67"/>
      <c r="I22" s="67"/>
      <c r="Q22" s="299" t="s">
        <v>22</v>
      </c>
      <c r="R22" s="300"/>
      <c r="S22" s="301"/>
      <c r="T22" s="302"/>
      <c r="V22" s="108" t="s">
        <v>24</v>
      </c>
      <c r="W22" s="103">
        <f>COUNTIFS(General!F:F, "PARA FACTURAR", General!G:G, "ENVIO DE ORDEN")</f>
        <v>0</v>
      </c>
      <c r="X22" s="107"/>
    </row>
    <row r="23" spans="3:24" ht="16.5">
      <c r="C23" s="308" t="s">
        <v>56</v>
      </c>
      <c r="D23" s="309"/>
      <c r="E23" s="221">
        <f>COUNTIFS(General!B:B, "&gt;="&amp;DATE(2025,3,1), General!B:B, "&lt;="&amp;DATE(2025,3,31))</f>
        <v>219</v>
      </c>
      <c r="F23" s="217">
        <f>(E23-E38)/E38</f>
        <v>0.23728813559322035</v>
      </c>
      <c r="H23" s="67"/>
      <c r="I23" s="67"/>
      <c r="Q23" s="295" t="s">
        <v>25</v>
      </c>
      <c r="R23" s="296"/>
      <c r="S23" s="280"/>
      <c r="T23" s="281"/>
      <c r="V23" s="108" t="s">
        <v>29</v>
      </c>
      <c r="W23" s="103">
        <f>COUNTIFS(General!F:F, "PARA FACTURAR", General!G:G, "IP CAMIONES")</f>
        <v>0</v>
      </c>
      <c r="X23" s="107"/>
    </row>
    <row r="24" spans="3:24" ht="16.5">
      <c r="C24" s="306" t="s">
        <v>57</v>
      </c>
      <c r="D24" s="310"/>
      <c r="E24" s="220">
        <f>COUNTIFS(General!B:B, "&gt;="&amp;DATE(2025,4,1), General!B:B, "&lt;="&amp;DATE(2025,4,31))</f>
        <v>541</v>
      </c>
      <c r="F24" s="217">
        <f>(E24-E39)/E39</f>
        <v>1.4816513761467891</v>
      </c>
      <c r="H24" s="312" t="s">
        <v>58</v>
      </c>
      <c r="I24" s="312"/>
      <c r="Q24" s="299" t="s">
        <v>59</v>
      </c>
      <c r="R24" s="300"/>
      <c r="S24" s="301">
        <f>PeritosOctubre!AB21</f>
        <v>223125</v>
      </c>
      <c r="T24" s="302"/>
      <c r="V24" s="108" t="s">
        <v>30</v>
      </c>
      <c r="W24" s="103">
        <f>COUNTIFS(General!F:F, "PARA FACTURAR", General!G:G, "TERCEROS")</f>
        <v>0</v>
      </c>
      <c r="X24" s="107"/>
    </row>
    <row r="25" spans="3:24" ht="16.5">
      <c r="C25" s="308" t="s">
        <v>60</v>
      </c>
      <c r="D25" s="309"/>
      <c r="E25" s="221">
        <f>COUNTIFS(General!B:B, "&gt;="&amp;DATE(2025,5,1), General!B:B, "&lt;="&amp;DATE(2025,5,31))</f>
        <v>548</v>
      </c>
      <c r="F25" s="217">
        <f>(E25-E40)/E40</f>
        <v>1.4684684684684686</v>
      </c>
      <c r="H25" s="294" t="s">
        <v>61</v>
      </c>
      <c r="I25" s="294"/>
      <c r="K25" s="158">
        <f>AVERAGEIFS(General!S:S,General!B:B,"&gt;="&amp;DATE(2025,5,1),General!B:B,"&lt;="&amp;DATE(2025,5,31),General!F:F,"IP CERRADA")</f>
        <v>4.3580952380952382</v>
      </c>
      <c r="Q25" s="295" t="s">
        <v>31</v>
      </c>
      <c r="R25" s="296"/>
      <c r="S25" s="280"/>
      <c r="T25" s="281"/>
      <c r="V25" s="108" t="s">
        <v>32</v>
      </c>
      <c r="W25" s="103">
        <f>COUNTIFS(General!F:F, "PARA FACTURAR", General!G:G, "FOTOS")</f>
        <v>0</v>
      </c>
      <c r="X25" s="107"/>
    </row>
    <row r="26" spans="3:24" ht="16.5">
      <c r="C26" s="306" t="s">
        <v>62</v>
      </c>
      <c r="D26" s="310"/>
      <c r="E26" s="220">
        <f>COUNTIFS(General!B:B, "&gt;="&amp;DATE(2025,6,1), General!B:B, "&lt;="&amp;DATE(2025,6,31))</f>
        <v>258</v>
      </c>
      <c r="F26" s="217">
        <f>(E26-E41)/E41</f>
        <v>0.59259259259259256</v>
      </c>
      <c r="H26" s="311" t="s">
        <v>63</v>
      </c>
      <c r="I26" s="311"/>
      <c r="K26" s="158">
        <f>AVERAGEIFS(General!T:T,General!B:B,"&gt;="&amp;DATE(2025,5,1),General!B:B,"&lt;="&amp;DATE(2025,5,31),General!F:F,"IP CERRADA")</f>
        <v>1.0361904761904761</v>
      </c>
      <c r="Q26" s="299" t="s">
        <v>33</v>
      </c>
      <c r="R26" s="300"/>
      <c r="S26" s="301"/>
      <c r="T26" s="302"/>
      <c r="V26" s="108" t="s">
        <v>34</v>
      </c>
      <c r="W26" s="103">
        <f>COUNTIFS(General!F:F, "PARA FACTURAR", General!G:G, "IP REMOTA")</f>
        <v>0</v>
      </c>
      <c r="X26" s="107"/>
    </row>
    <row r="27" spans="3:24" ht="16.5">
      <c r="C27" s="303" t="s">
        <v>64</v>
      </c>
      <c r="D27" s="304"/>
      <c r="E27" s="222">
        <f>COUNTIFS(General!B:B, "&gt;="&amp;DATE(2025,7,1), General!B:B, "&lt;="&amp;DATE(2025,7,31))</f>
        <v>275</v>
      </c>
      <c r="F27" s="217">
        <f>(E27-E42)/E42</f>
        <v>0.28504672897196259</v>
      </c>
      <c r="H27" s="305" t="s">
        <v>65</v>
      </c>
      <c r="I27" s="305"/>
      <c r="K27" s="158">
        <f>AVERAGEIFS(General!U:U,General!B:B,"&gt;="&amp;DATE(2025,5,1),General!B:B,"&lt;="&amp;DATE(2025,5,31),General!F:F,"IP CERRADA")</f>
        <v>174.93548387096774</v>
      </c>
      <c r="Q27" s="295" t="s">
        <v>66</v>
      </c>
      <c r="R27" s="296"/>
      <c r="S27" s="280">
        <f>PeritosOctubre!M21</f>
        <v>831750</v>
      </c>
      <c r="T27" s="281"/>
      <c r="V27" s="108" t="s">
        <v>37</v>
      </c>
      <c r="W27" s="103">
        <f>COUNTIFS(General!F:F, "PARA FACTURAR", General!G:G, "IP VIRTUAL")</f>
        <v>0</v>
      </c>
      <c r="X27" s="107"/>
    </row>
    <row r="28" spans="3:24" ht="16.5">
      <c r="C28" s="306" t="s">
        <v>67</v>
      </c>
      <c r="D28" s="307"/>
      <c r="E28" s="220">
        <f>COUNTIFS(General!B:B, "&gt;="&amp;DATE(2025,8,1), General!B:B, "&lt;="&amp;DATE(2025,8,31))</f>
        <v>194</v>
      </c>
      <c r="F28" s="217">
        <f>(E28-E43)/E43</f>
        <v>0.31972789115646261</v>
      </c>
      <c r="H28" s="294" t="s">
        <v>68</v>
      </c>
      <c r="I28" s="294"/>
      <c r="K28" s="158">
        <f>AVERAGEIFS(General!V:V,General!B:B,"&gt;="&amp;DATE(2025,5,1),General!B:B,"&lt;="&amp;DATE(2025,5,31),General!F:F,"IP CERRADA")</f>
        <v>6.5332068311195446</v>
      </c>
      <c r="Q28" s="299" t="s">
        <v>69</v>
      </c>
      <c r="R28" s="300"/>
      <c r="S28" s="301"/>
      <c r="T28" s="302"/>
      <c r="V28" s="108" t="s">
        <v>70</v>
      </c>
      <c r="W28" s="103">
        <f>COUNTIFS(General!F:F, "PARA FACTURAR", General!G:G, "SIN HONORARIOS")</f>
        <v>0</v>
      </c>
      <c r="X28" s="107"/>
    </row>
    <row r="29" spans="3:24" ht="16.5">
      <c r="C29" s="292" t="s">
        <v>71</v>
      </c>
      <c r="D29" s="293"/>
      <c r="E29" s="223">
        <f>COUNTIFS(General!B:B, "&gt;="&amp;DATE(2025,9,1), General!B:B, "&lt;="&amp;DATE(2025,9,31))</f>
        <v>206</v>
      </c>
      <c r="F29" s="217">
        <f>(E29-E44)/E44</f>
        <v>0.54887218045112784</v>
      </c>
      <c r="H29" s="294" t="s">
        <v>72</v>
      </c>
      <c r="I29" s="294"/>
      <c r="J29" s="65"/>
      <c r="K29" s="158">
        <f>AVERAGEIFS(General!W:W,General!B:B,"&gt;="&amp;DATE(2025,5,1),General!B:B,"&lt;="&amp;DATE(2025,5,31),General!F:F,"IP CERRADA")</f>
        <v>175.96774193548387</v>
      </c>
      <c r="Q29" s="295" t="s">
        <v>16</v>
      </c>
      <c r="R29" s="296"/>
      <c r="S29" s="280">
        <f>PeritosOctubre!W21</f>
        <v>573125</v>
      </c>
      <c r="T29" s="281"/>
      <c r="V29" s="108" t="s">
        <v>26</v>
      </c>
      <c r="W29" s="103">
        <f>COUNTIFS(General!F:F, "PARA FACTURAR", General!G:G, "AUSENTE")</f>
        <v>0</v>
      </c>
      <c r="X29" s="107"/>
    </row>
    <row r="30" spans="3:24">
      <c r="C30" s="297" t="s">
        <v>73</v>
      </c>
      <c r="D30" s="298"/>
      <c r="E30" s="220">
        <f>COUNTIFS(General!B:B, "&gt;="&amp;DATE(2025,10,1), General!B:B, "&lt;="&amp;DATE(2025,10,31))</f>
        <v>217</v>
      </c>
      <c r="F30" s="217">
        <f>(E30-E45)/E45</f>
        <v>4.8309178743961352E-2</v>
      </c>
      <c r="H30" s="294" t="s">
        <v>74</v>
      </c>
      <c r="I30" s="294"/>
      <c r="J30" s="65"/>
      <c r="K30" s="158">
        <f>AVERAGEIFS(General!X:X,General!B:B,"&gt;="&amp;DATE(2025,5,1),General!B:B,"&lt;="&amp;DATE(2025,5,31),General!F:F,"IP CERRADA")</f>
        <v>7.6228571428571428</v>
      </c>
      <c r="L30" s="67"/>
      <c r="Q30" s="299" t="s">
        <v>75</v>
      </c>
      <c r="R30" s="300"/>
      <c r="S30" s="301"/>
      <c r="T30" s="302"/>
    </row>
    <row r="31" spans="3:24">
      <c r="C31" s="276" t="s">
        <v>76</v>
      </c>
      <c r="D31" s="277"/>
      <c r="E31" s="224">
        <f>COUNTIFS(General!B:B, "&gt;="&amp;DATE(2025,11,1), General!B:B, "&lt;="&amp;DATE(2025,11,31))</f>
        <v>147</v>
      </c>
      <c r="F31" s="218">
        <f>(E31-E46)/E46</f>
        <v>3.5211267605633804E-2</v>
      </c>
      <c r="H31" s="64"/>
      <c r="I31" s="64"/>
      <c r="J31" s="65"/>
      <c r="K31" s="65"/>
      <c r="L31" s="66"/>
      <c r="Q31" s="278" t="s">
        <v>77</v>
      </c>
      <c r="R31" s="279"/>
      <c r="S31" s="280"/>
      <c r="T31" s="281"/>
      <c r="V31" s="282" t="s">
        <v>78</v>
      </c>
      <c r="W31" s="283"/>
    </row>
    <row r="32" spans="3:24">
      <c r="C32" s="284" t="s">
        <v>79</v>
      </c>
      <c r="D32" s="285"/>
      <c r="E32" s="225">
        <f>COUNTIFS(General!B:B, "&gt;="&amp;DATE(2025,12,1), General!B:B, "&lt;="&amp;DATE(2025,12,31))</f>
        <v>189</v>
      </c>
      <c r="F32" s="218">
        <f>(E32-E47)/E47</f>
        <v>0.1524390243902439</v>
      </c>
      <c r="H32" s="64"/>
      <c r="I32" s="64"/>
      <c r="J32" s="65"/>
      <c r="K32" s="65"/>
      <c r="L32" s="67"/>
      <c r="Q32" s="286" t="s">
        <v>44</v>
      </c>
      <c r="R32" s="287"/>
      <c r="S32" s="288">
        <f>S20+S21+S22+S23+S24+S25+S26+S27+S28+S29</f>
        <v>1628000</v>
      </c>
      <c r="T32" s="289"/>
      <c r="V32" s="290">
        <f>W18+W19+W20+W21+W22+W23+W24+W25+W26+W27+W28+W29</f>
        <v>22</v>
      </c>
      <c r="W32" s="291"/>
    </row>
    <row r="33" spans="3:12">
      <c r="L33" s="104"/>
    </row>
    <row r="34" spans="3:12" ht="18.75" customHeight="1">
      <c r="C34" s="270" t="s">
        <v>80</v>
      </c>
      <c r="D34" s="271"/>
      <c r="E34" s="257">
        <f>E36+E37+E38+E39+E40+E41+E42+E43+E44+E45+E46+E47</f>
        <v>2053</v>
      </c>
      <c r="H34" s="68"/>
      <c r="I34" s="68"/>
      <c r="J34" s="69"/>
      <c r="K34" s="69"/>
    </row>
    <row r="35" spans="3:12" ht="15" customHeight="1">
      <c r="C35" s="272" t="s">
        <v>81</v>
      </c>
      <c r="D35" s="273"/>
      <c r="E35" s="135" t="s">
        <v>53</v>
      </c>
      <c r="H35" s="68"/>
      <c r="I35" s="68"/>
      <c r="J35" s="69"/>
      <c r="K35" s="69"/>
    </row>
    <row r="36" spans="3:12">
      <c r="C36" s="274" t="s">
        <v>54</v>
      </c>
      <c r="D36" s="275"/>
      <c r="E36" s="131">
        <v>132</v>
      </c>
    </row>
    <row r="37" spans="3:12">
      <c r="C37" s="266" t="s">
        <v>55</v>
      </c>
      <c r="D37" s="267"/>
      <c r="E37" s="132">
        <v>135</v>
      </c>
    </row>
    <row r="38" spans="3:12">
      <c r="C38" s="262" t="s">
        <v>56</v>
      </c>
      <c r="D38" s="263"/>
      <c r="E38" s="133">
        <v>177</v>
      </c>
    </row>
    <row r="39" spans="3:12">
      <c r="C39" s="266" t="s">
        <v>57</v>
      </c>
      <c r="D39" s="267"/>
      <c r="E39" s="132">
        <v>218</v>
      </c>
    </row>
    <row r="40" spans="3:12">
      <c r="C40" s="262" t="s">
        <v>60</v>
      </c>
      <c r="D40" s="263"/>
      <c r="E40" s="133">
        <v>222</v>
      </c>
    </row>
    <row r="41" spans="3:12">
      <c r="C41" s="266" t="s">
        <v>62</v>
      </c>
      <c r="D41" s="267"/>
      <c r="E41" s="132">
        <v>162</v>
      </c>
    </row>
    <row r="42" spans="3:12">
      <c r="C42" s="262" t="s">
        <v>64</v>
      </c>
      <c r="D42" s="263"/>
      <c r="E42" s="138">
        <v>214</v>
      </c>
    </row>
    <row r="43" spans="3:12">
      <c r="C43" s="266" t="s">
        <v>67</v>
      </c>
      <c r="D43" s="267"/>
      <c r="E43" s="132">
        <v>147</v>
      </c>
    </row>
    <row r="44" spans="3:12">
      <c r="C44" s="262" t="s">
        <v>71</v>
      </c>
      <c r="D44" s="263"/>
      <c r="E44" s="139">
        <v>133</v>
      </c>
    </row>
    <row r="45" spans="3:12">
      <c r="C45" s="268" t="s">
        <v>73</v>
      </c>
      <c r="D45" s="269"/>
      <c r="E45" s="132">
        <v>207</v>
      </c>
    </row>
    <row r="46" spans="3:12">
      <c r="C46" s="262" t="s">
        <v>76</v>
      </c>
      <c r="D46" s="263"/>
      <c r="E46" s="137">
        <v>142</v>
      </c>
    </row>
    <row r="47" spans="3:12">
      <c r="C47" s="264" t="s">
        <v>79</v>
      </c>
      <c r="D47" s="265"/>
      <c r="E47" s="134">
        <v>164</v>
      </c>
    </row>
  </sheetData>
  <mergeCells count="131">
    <mergeCell ref="C46:D46"/>
    <mergeCell ref="C47:D47"/>
    <mergeCell ref="C40:D40"/>
    <mergeCell ref="C41:D41"/>
    <mergeCell ref="C42:D42"/>
    <mergeCell ref="C43:D43"/>
    <mergeCell ref="C44:D44"/>
    <mergeCell ref="C45:D45"/>
    <mergeCell ref="C34:D34"/>
    <mergeCell ref="C35:D35"/>
    <mergeCell ref="C36:D36"/>
    <mergeCell ref="C37:D37"/>
    <mergeCell ref="C38:D38"/>
    <mergeCell ref="C39:D39"/>
    <mergeCell ref="C31:D31"/>
    <mergeCell ref="Q31:R31"/>
    <mergeCell ref="S31:T31"/>
    <mergeCell ref="V31:W31"/>
    <mergeCell ref="C32:D32"/>
    <mergeCell ref="Q32:R32"/>
    <mergeCell ref="S32:T32"/>
    <mergeCell ref="V32:W32"/>
    <mergeCell ref="C29:D29"/>
    <mergeCell ref="H29:I29"/>
    <mergeCell ref="Q29:R29"/>
    <mergeCell ref="S29:T29"/>
    <mergeCell ref="C30:D30"/>
    <mergeCell ref="H30:I30"/>
    <mergeCell ref="Q30:R30"/>
    <mergeCell ref="S30:T30"/>
    <mergeCell ref="C27:D27"/>
    <mergeCell ref="H27:I27"/>
    <mergeCell ref="Q27:R27"/>
    <mergeCell ref="S27:T27"/>
    <mergeCell ref="C28:D28"/>
    <mergeCell ref="H28:I28"/>
    <mergeCell ref="Q28:R28"/>
    <mergeCell ref="S28:T28"/>
    <mergeCell ref="C25:D25"/>
    <mergeCell ref="H25:I25"/>
    <mergeCell ref="Q25:R25"/>
    <mergeCell ref="S25:T25"/>
    <mergeCell ref="C26:D26"/>
    <mergeCell ref="H26:I26"/>
    <mergeCell ref="Q26:R26"/>
    <mergeCell ref="S26:T26"/>
    <mergeCell ref="C23:D23"/>
    <mergeCell ref="Q23:R23"/>
    <mergeCell ref="S23:T23"/>
    <mergeCell ref="C24:D24"/>
    <mergeCell ref="H24:I24"/>
    <mergeCell ref="Q24:R24"/>
    <mergeCell ref="S24:T24"/>
    <mergeCell ref="C21:D21"/>
    <mergeCell ref="Q21:R21"/>
    <mergeCell ref="S21:T21"/>
    <mergeCell ref="C22:D22"/>
    <mergeCell ref="Q22:R22"/>
    <mergeCell ref="S22:T22"/>
    <mergeCell ref="Q18:R19"/>
    <mergeCell ref="S18:T19"/>
    <mergeCell ref="C19:D19"/>
    <mergeCell ref="H19:I19"/>
    <mergeCell ref="C20:D20"/>
    <mergeCell ref="H20:I20"/>
    <mergeCell ref="Q20:R20"/>
    <mergeCell ref="S20:T20"/>
    <mergeCell ref="N14:O14"/>
    <mergeCell ref="S14:T14"/>
    <mergeCell ref="E16:F16"/>
    <mergeCell ref="H16:I16"/>
    <mergeCell ref="K16:L16"/>
    <mergeCell ref="E17:F17"/>
    <mergeCell ref="H17:I17"/>
    <mergeCell ref="K17:L17"/>
    <mergeCell ref="Q17:T17"/>
    <mergeCell ref="E12:F12"/>
    <mergeCell ref="H12:I12"/>
    <mergeCell ref="K12:L12"/>
    <mergeCell ref="N12:O12"/>
    <mergeCell ref="S12:T12"/>
    <mergeCell ref="E13:F13"/>
    <mergeCell ref="H13:I13"/>
    <mergeCell ref="K13:L13"/>
    <mergeCell ref="N13:O13"/>
    <mergeCell ref="S13:T13"/>
    <mergeCell ref="E10:F10"/>
    <mergeCell ref="H10:I10"/>
    <mergeCell ref="K10:L10"/>
    <mergeCell ref="S10:T10"/>
    <mergeCell ref="E11:F11"/>
    <mergeCell ref="H11:I11"/>
    <mergeCell ref="K11:L11"/>
    <mergeCell ref="S11:T11"/>
    <mergeCell ref="E8:F8"/>
    <mergeCell ref="H8:I8"/>
    <mergeCell ref="K8:L8"/>
    <mergeCell ref="S8:T8"/>
    <mergeCell ref="E9:F9"/>
    <mergeCell ref="H9:I9"/>
    <mergeCell ref="K9:L9"/>
    <mergeCell ref="S9:T9"/>
    <mergeCell ref="E6:F6"/>
    <mergeCell ref="H6:I6"/>
    <mergeCell ref="K6:L6"/>
    <mergeCell ref="S6:T6"/>
    <mergeCell ref="E7:F7"/>
    <mergeCell ref="H7:I7"/>
    <mergeCell ref="K7:L7"/>
    <mergeCell ref="S7:T7"/>
    <mergeCell ref="E4:F4"/>
    <mergeCell ref="H4:I4"/>
    <mergeCell ref="K4:L4"/>
    <mergeCell ref="S4:T4"/>
    <mergeCell ref="E5:F5"/>
    <mergeCell ref="H5:I5"/>
    <mergeCell ref="K5:L5"/>
    <mergeCell ref="S5:T5"/>
    <mergeCell ref="S1:T1"/>
    <mergeCell ref="Z1:AC1"/>
    <mergeCell ref="S2:T2"/>
    <mergeCell ref="Z2:AA3"/>
    <mergeCell ref="AB2:AB3"/>
    <mergeCell ref="AC2:AC3"/>
    <mergeCell ref="S3:T3"/>
    <mergeCell ref="A1:B2"/>
    <mergeCell ref="C1:C2"/>
    <mergeCell ref="E1:F2"/>
    <mergeCell ref="H1:I2"/>
    <mergeCell ref="K1:L2"/>
    <mergeCell ref="N1:O2"/>
  </mergeCells>
  <conditionalFormatting sqref="N19:O19">
    <cfRule type="expression" dxfId="762" priority="20">
      <formula>#REF!="ESPERANDO RESPUESTA 3°"</formula>
    </cfRule>
    <cfRule type="expression" dxfId="761" priority="21">
      <formula>#REF!="PENDIENTE DE OFRECIMIENTO"</formula>
    </cfRule>
    <cfRule type="expression" dxfId="760" priority="22">
      <formula>#REF!="EN CONSULTA CON CIA"</formula>
    </cfRule>
    <cfRule type="expression" dxfId="759" priority="23">
      <formula>#REF!="IP REALIZADA"</formula>
    </cfRule>
    <cfRule type="expression" dxfId="758" priority="24">
      <formula>#REF!="PENDIENTE  COORDINACION"</formula>
    </cfRule>
    <cfRule type="expression" dxfId="757" priority="25">
      <formula>#REF!="LICITANDO REPUESTOS"</formula>
    </cfRule>
    <cfRule type="expression" dxfId="756" priority="26">
      <formula>#REF!="PENDIENTE PRESUPUESTO"</formula>
    </cfRule>
    <cfRule type="expression" dxfId="755" priority="27">
      <formula>#REF!="REVISAR MAIL - RESUELTO"</formula>
    </cfRule>
    <cfRule type="expression" dxfId="754" priority="28">
      <formula>#REF!="IP RECLAMADA A PERITO 5"</formula>
    </cfRule>
    <cfRule type="expression" dxfId="753" priority="29">
      <formula>#REF!="IP RECLAMADA A PERITO 4"</formula>
    </cfRule>
    <cfRule type="expression" dxfId="752" priority="30">
      <formula>#REF!="IP RECLAMADA A PERITO 2"</formula>
    </cfRule>
    <cfRule type="expression" dxfId="751" priority="31">
      <formula>#REF!="INSPECCION ANULADA"</formula>
    </cfRule>
    <cfRule type="expression" dxfId="750" priority="32">
      <formula>#REF!="IP COORDINADA"</formula>
    </cfRule>
    <cfRule type="expression" dxfId="749" priority="33">
      <formula>#REF!="CONTACTADO"</formula>
    </cfRule>
    <cfRule type="expression" dxfId="748" priority="34">
      <formula>#REF!="IP CERRADA"</formula>
    </cfRule>
    <cfRule type="expression" dxfId="747" priority="35">
      <formula>#REF!="ENVIO DE ORDEN"</formula>
    </cfRule>
    <cfRule type="expression" dxfId="746" priority="36">
      <formula>#REF!="PARA FACTURAR"</formula>
    </cfRule>
    <cfRule type="expression" dxfId="745" priority="37">
      <formula>#REF!="IP RECLAMADA A PERITO 1"</formula>
    </cfRule>
    <cfRule type="expression" dxfId="744" priority="38">
      <formula>#REF!="REVISAR MAIL - SIN RESOLVER"</formula>
    </cfRule>
  </conditionalFormatting>
  <conditionalFormatting sqref="V31">
    <cfRule type="expression" dxfId="743" priority="1">
      <formula>$V31="PENDIENTE PRESUPUESTO"</formula>
    </cfRule>
    <cfRule type="expression" dxfId="742" priority="2">
      <formula>$V31="ESPERANDO RESPUESTA 3°"</formula>
    </cfRule>
    <cfRule type="expression" dxfId="741" priority="3">
      <formula>$V31="PENDIENTE DE OFRECIMIENTO"</formula>
    </cfRule>
    <cfRule type="expression" dxfId="740" priority="4">
      <formula>$V31="EN CONSULTA CON CIA"</formula>
    </cfRule>
    <cfRule type="expression" dxfId="739" priority="5">
      <formula>$V31="IP REALIZADA"</formula>
    </cfRule>
    <cfRule type="expression" dxfId="738" priority="6">
      <formula>$V31="REVISAR MAIL - RESUELTO"</formula>
    </cfRule>
    <cfRule type="expression" dxfId="737" priority="7">
      <formula>$V31="INSPECCION ANULADA"</formula>
    </cfRule>
    <cfRule type="expression" dxfId="736" priority="8">
      <formula>$V31="IP RECLAMADA A PERITO 5"</formula>
    </cfRule>
    <cfRule type="expression" dxfId="735" priority="9">
      <formula>$V31="IP RECLAMADA A PERITO 4"</formula>
    </cfRule>
    <cfRule type="expression" dxfId="734" priority="10">
      <formula>$V31="IP RECLAMADA A PERITO 2"</formula>
    </cfRule>
    <cfRule type="expression" dxfId="733" priority="11">
      <formula>$V31="PENDIENTE  COORDINACION"</formula>
    </cfRule>
    <cfRule type="expression" dxfId="732" priority="12">
      <formula>$V31="LICITANDO REPUESTOS"</formula>
    </cfRule>
    <cfRule type="expression" dxfId="731" priority="13">
      <formula>$V31="IP COORDINADA"</formula>
    </cfRule>
    <cfRule type="expression" dxfId="730" priority="14">
      <formula>$V31="CONTACTADO"</formula>
    </cfRule>
    <cfRule type="expression" dxfId="729" priority="15">
      <formula>$V31="IP CERRADA"</formula>
    </cfRule>
    <cfRule type="expression" dxfId="728" priority="16">
      <formula>$V31="ENVIO DE ORDEN"</formula>
    </cfRule>
    <cfRule type="expression" dxfId="727" priority="17">
      <formula>$V31="PARA FACTURAR"</formula>
    </cfRule>
    <cfRule type="expression" dxfId="726" priority="18">
      <formula>$V31="IP RECLAMADA A PERITO 1"</formula>
    </cfRule>
    <cfRule type="expression" dxfId="725" priority="19">
      <formula>$V31="REVISAR MAIL - SIN RESOLVER"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E8622-9AE5-4535-871A-E7BDC9B72637}">
  <sheetPr>
    <tabColor rgb="FFFF0000"/>
  </sheetPr>
  <dimension ref="A1:AI44"/>
  <sheetViews>
    <sheetView topLeftCell="E4" workbookViewId="0">
      <selection activeCell="E4" sqref="E4"/>
    </sheetView>
  </sheetViews>
  <sheetFormatPr defaultRowHeight="15"/>
  <cols>
    <col min="3" max="3" width="21.85546875" customWidth="1"/>
    <col min="4" max="4" width="3.7109375" customWidth="1"/>
    <col min="5" max="5" width="12.85546875" customWidth="1"/>
    <col min="6" max="6" width="13.28515625" customWidth="1"/>
    <col min="7" max="7" width="9.140625" bestFit="1" customWidth="1"/>
    <col min="8" max="8" width="13.5703125" customWidth="1"/>
    <col min="9" max="9" width="3.5703125" customWidth="1"/>
    <col min="10" max="10" width="13.140625" customWidth="1"/>
    <col min="11" max="11" width="14.28515625" customWidth="1"/>
    <col min="12" max="12" width="9.140625" bestFit="1" customWidth="1"/>
    <col min="13" max="13" width="13.85546875" customWidth="1"/>
    <col min="14" max="14" width="3.28515625" customWidth="1"/>
    <col min="15" max="15" width="9.140625" bestFit="1" customWidth="1"/>
    <col min="16" max="16" width="13.42578125" customWidth="1"/>
    <col min="17" max="17" width="9.140625" bestFit="1" customWidth="1"/>
    <col min="18" max="18" width="14.85546875" customWidth="1"/>
    <col min="19" max="19" width="3" customWidth="1"/>
    <col min="20" max="20" width="9.140625" bestFit="1" customWidth="1"/>
    <col min="21" max="21" width="14.85546875" customWidth="1"/>
    <col min="22" max="22" width="9.140625" bestFit="1" customWidth="1"/>
    <col min="23" max="23" width="13.28515625" customWidth="1"/>
    <col min="24" max="24" width="3" customWidth="1"/>
    <col min="25" max="25" width="9.140625" bestFit="1" customWidth="1"/>
    <col min="26" max="26" width="14.140625" customWidth="1"/>
    <col min="27" max="27" width="9.140625" bestFit="1" customWidth="1"/>
    <col min="28" max="28" width="13.85546875" customWidth="1"/>
    <col min="29" max="29" width="3.28515625" customWidth="1"/>
    <col min="30" max="30" width="22.7109375" customWidth="1"/>
    <col min="31" max="31" width="9.140625" bestFit="1" customWidth="1"/>
    <col min="32" max="32" width="20.42578125" customWidth="1"/>
  </cols>
  <sheetData>
    <row r="1" spans="1:35">
      <c r="A1" s="367" t="s">
        <v>57</v>
      </c>
      <c r="B1" s="368"/>
      <c r="C1" s="369" t="s">
        <v>1</v>
      </c>
      <c r="E1" s="385" t="s">
        <v>19</v>
      </c>
      <c r="F1" s="386"/>
      <c r="G1" s="386"/>
      <c r="H1" s="387"/>
      <c r="J1" s="399" t="s">
        <v>66</v>
      </c>
      <c r="K1" s="400"/>
      <c r="L1" s="400"/>
      <c r="M1" s="401"/>
      <c r="O1" s="399" t="s">
        <v>69</v>
      </c>
      <c r="P1" s="400"/>
      <c r="Q1" s="400"/>
      <c r="R1" s="401"/>
      <c r="T1" s="399" t="s">
        <v>16</v>
      </c>
      <c r="U1" s="400"/>
      <c r="V1" s="400"/>
      <c r="W1" s="401"/>
      <c r="Y1" s="399" t="s">
        <v>82</v>
      </c>
      <c r="Z1" s="400"/>
      <c r="AA1" s="400"/>
      <c r="AB1" s="401"/>
      <c r="AD1" s="369" t="s">
        <v>1</v>
      </c>
    </row>
    <row r="2" spans="1:35">
      <c r="A2" s="367"/>
      <c r="B2" s="368"/>
      <c r="C2" s="369"/>
      <c r="E2" s="388"/>
      <c r="F2" s="389"/>
      <c r="G2" s="389"/>
      <c r="H2" s="390"/>
      <c r="J2" s="402"/>
      <c r="K2" s="403"/>
      <c r="L2" s="403"/>
      <c r="M2" s="404"/>
      <c r="O2" s="402"/>
      <c r="P2" s="403"/>
      <c r="Q2" s="403"/>
      <c r="R2" s="404"/>
      <c r="T2" s="402"/>
      <c r="U2" s="403"/>
      <c r="V2" s="403"/>
      <c r="W2" s="404"/>
      <c r="Y2" s="402"/>
      <c r="Z2" s="403"/>
      <c r="AA2" s="403"/>
      <c r="AB2" s="404"/>
      <c r="AD2" s="369"/>
    </row>
    <row r="3" spans="1:35">
      <c r="A3" s="19"/>
      <c r="B3" s="19"/>
      <c r="E3" s="391" t="s">
        <v>83</v>
      </c>
      <c r="F3" s="391"/>
      <c r="G3" s="392" t="s">
        <v>8</v>
      </c>
      <c r="H3" s="392"/>
      <c r="J3" s="391" t="s">
        <v>83</v>
      </c>
      <c r="K3" s="391"/>
      <c r="L3" s="392" t="s">
        <v>8</v>
      </c>
      <c r="M3" s="392"/>
      <c r="O3" s="391" t="s">
        <v>83</v>
      </c>
      <c r="P3" s="391"/>
      <c r="Q3" s="392" t="s">
        <v>8</v>
      </c>
      <c r="R3" s="392"/>
      <c r="T3" s="391" t="s">
        <v>83</v>
      </c>
      <c r="U3" s="391"/>
      <c r="V3" s="392" t="s">
        <v>8</v>
      </c>
      <c r="W3" s="392"/>
      <c r="Y3" s="391" t="s">
        <v>83</v>
      </c>
      <c r="Z3" s="391"/>
      <c r="AA3" s="392" t="s">
        <v>8</v>
      </c>
      <c r="AB3" s="392"/>
    </row>
    <row r="4" spans="1:35" ht="16.5">
      <c r="C4" s="37" t="s">
        <v>10</v>
      </c>
      <c r="E4" s="254">
        <f>COUNTIFS(General!F:F, "IP CERRADA", General!K:K, "A MIÑO", General!H:H, "PTE. APROBACION", General!G:G, "IP CON ORDEN", General!O:O, "&gt;="&amp;DATE(2025,9,1), General!O:O, "&lt;="&amp;DATE(2025,9,31))</f>
        <v>0</v>
      </c>
      <c r="F4" s="38">
        <f>E4*AG5</f>
        <v>0</v>
      </c>
      <c r="G4" s="41">
        <f>COUNTIFS(General!F:F, "IP CERRADA", General!M:M, "A MIÑO", General!H:H, "PTE. APROBACION", General!G:G, "IP CON ORDEN", General!O:O, "&gt;="&amp;DATE(2025,9,1), General!O:O, "&lt;="&amp;DATE(2025,9,31))</f>
        <v>0</v>
      </c>
      <c r="H4" s="42">
        <f>G4*AH5</f>
        <v>0</v>
      </c>
      <c r="J4" s="254">
        <f>COUNTIFS(General!F:F, "IP CERRADA", General!K:K, "J. FERLANTI", General!H:H, "PTE. APROBACION", General!G:G, "IP CON ORDEN", General!O:O, "&gt;="&amp;DATE(2025,9,1), General!O:O, "&lt;="&amp;DATE(2025,9,31)) + COUNTIFS(General!F:F, "PARA FACTURAR", General!K:K, "J. FERLANTI", General!G:G, "IP CON ORDEN", General!O:O, "&gt;="&amp;DATE(2025,9,1), General!O:O, "&lt;="&amp;DATE(2025,9,31))</f>
        <v>2</v>
      </c>
      <c r="K4" s="38">
        <f>J4*AG5</f>
        <v>11250</v>
      </c>
      <c r="L4" s="41">
        <f>COUNTIFS(General!F:F, "IP CERRADA", General!M:M, "J. FERLANTI", General!H:H, "PTE. APROBACION", General!G:G, "IP CON ORDEN", General!O:O, "&gt;="&amp;DATE(2025,9,1), General!O:O, "&lt;="&amp;DATE(2025,9,31)) + COUNTIFS(General!F:F, "PARA FACTURAR", General!M:M, "J. FERLANTI", General!H:H, "EN TRAMITE", General!G:G, "IP CON ORDEN", General!O:O, "&gt;="&amp;DATE(2024,10,1), General!O:O, "&lt;="&amp;DATE(2024,10,31) )</f>
        <v>99</v>
      </c>
      <c r="M4" s="42">
        <f>L4*AH5</f>
        <v>519750</v>
      </c>
      <c r="O4" s="254">
        <f>COUNTIFS(General!F:F, "IP CERRADA", General!K:K, "J NEIRA", General!H:H, "PTE. APROBACION", General!G:G, "IP CON ORDEN", General!O:O, "&gt;="&amp;DATE(2025,9,1), General!O:O, "&lt;="&amp;DATE(2025,9,31))</f>
        <v>0</v>
      </c>
      <c r="P4" s="38">
        <f>O4*AG5</f>
        <v>0</v>
      </c>
      <c r="Q4" s="41">
        <f>COUNTIFS(General!F:F, "IP CERRADA", General!M:M, "J NEIRA", General!H:H, "PTE. APROBACION", General!G:G, "IP CON ORDEN", General!O:O, "&gt;="&amp;DATE(2025,9,1), General!O:O, "&lt;="&amp;DATE(2025,9,31))</f>
        <v>0</v>
      </c>
      <c r="R4" s="42">
        <f>Q4*AH5</f>
        <v>0</v>
      </c>
      <c r="T4" s="254">
        <f>COUNTIFS(General!F:F, "IP CERRADA", General!K:K, "L DEL PIERO", General!H:H, "PTE. APROBACION", General!G:G, "IP CON ORDEN", General!O:O, "&gt;="&amp;DATE(2025,9,1), General!O:O, "&lt;="&amp;DATE(2025,9,31))</f>
        <v>59</v>
      </c>
      <c r="U4" s="38">
        <f>T4*AG5</f>
        <v>331875</v>
      </c>
      <c r="V4" s="41">
        <f>COUNTIFS(General!F:F, "IP CERRADA", General!M:M, "L DEL PIERO", General!H:H, "PTE. APROBACION", General!G:G, "IP CON ORDEN", General!O:O, "&gt;="&amp;DATE(2025,9,1), General!O:O, "&lt;="&amp;DATE(2025,9,31))</f>
        <v>0</v>
      </c>
      <c r="W4" s="42">
        <f>V4*AH5</f>
        <v>0</v>
      </c>
      <c r="Y4" s="254">
        <f>COUNTIFS(General!F:F, "IP CERRADA", General!K:K, "E Delia", General!H:H, "PTE. APROBACION", General!G:G, "IP CON ORDEN", General!O:O, "&gt;="&amp;DATE(2025,9,1), General!O:O, "&lt;="&amp;DATE(2025,9,31)) + COUNTIFS(General!F:F, "PARA FACTURAR", General!K:K, "E Delia", General!G:G, "IP CON ORDEN", General!O:O, "&gt;="&amp;DATE(2025,9,1), General!O:O, "&lt;="&amp;DATE(2025,9,31))</f>
        <v>38</v>
      </c>
      <c r="Z4" s="38">
        <f>Y4*AG5</f>
        <v>213750</v>
      </c>
      <c r="AA4" s="41">
        <f>COUNTIFS(General!F:F, "IP CERRADA", General!M:M, "E Delia", General!H:H, "PTE. APROBACION", General!G:G, "IP CON ORDEN", General!O:O, "&gt;="&amp;DATE(2025,9,1), General!O:O, "&lt;="&amp;DATE(2025,9,31))</f>
        <v>0</v>
      </c>
      <c r="AB4" s="42">
        <f>AA4*AH5</f>
        <v>0</v>
      </c>
      <c r="AD4" s="37" t="s">
        <v>10</v>
      </c>
      <c r="AF4" s="1" t="s">
        <v>6</v>
      </c>
      <c r="AG4" s="1" t="s">
        <v>7</v>
      </c>
      <c r="AH4" s="1" t="s">
        <v>8</v>
      </c>
      <c r="AI4" s="259"/>
    </row>
    <row r="5" spans="1:35" ht="16.5">
      <c r="C5" s="261" t="s">
        <v>15</v>
      </c>
      <c r="E5" s="39">
        <f>COUNTIFS(General!F:F, "IP CERRADA", General!K:K, "A MIÑO", General!H:H, "PTE. APROBACION", General!G:G, "POSIBLE DT", General!O:O, "&gt;="&amp;DATE(2025,9,1), General!O:O, "&lt;="&amp;DATE(2025,9,31))</f>
        <v>0</v>
      </c>
      <c r="F5" s="40">
        <f>E5*AG7</f>
        <v>0</v>
      </c>
      <c r="G5" s="43">
        <f>COUNTIFS(General!F:F, "IP CERRADA", General!M:M, "A MIÑO", General!H:H, "PTE. APROBACION", General!G:G, "POSIBLE DT", General!O:O, "&gt;="&amp;DATE(2025,9,1), General!O:O, "&lt;="&amp;DATE(2025,9,31))</f>
        <v>0</v>
      </c>
      <c r="H5" s="44">
        <f>G5*AH7</f>
        <v>0</v>
      </c>
      <c r="J5" s="39">
        <f>COUNTIFS(General!F:F, "IP CERRADA", General!K:K, "J. FERLANTI", General!H:H, "PTE. APROBACION", General!G:G, "POSIBLE DT", General!O:O, "&gt;="&amp;DATE(2025,9,1), General!O:O, "&lt;="&amp;DATE(2025,9,31)) + COUNTIFS(General!F:F, "PARA FACTURAR", General!K:K, "J. FERLANTI", General!G:G, "POSIBLE DT", General!O:O, "&gt;="&amp;DATE(2025,9,1), General!O:O, "&lt;="&amp;DATE(2025,9,31))</f>
        <v>0</v>
      </c>
      <c r="K5" s="40">
        <f>J5*AG7</f>
        <v>0</v>
      </c>
      <c r="L5" s="43">
        <f>COUNTIFS(General!F:F, "IP CERRADA", General!M:M, "J. FERLANTI", General!H:H, "PTE. APROBACION", General!G:G, "POSIBLE DT", General!O:O, "&gt;="&amp;DATE(2025,9,1), General!O:O, "&lt;="&amp;DATE(2025,9,31)) + COUNTIFS(General!F:F, "PARA FACTURAR", General!M:M, "J. FERLANTI", General!H:H, "EN TRAMITE", General!G:G, "POSIBLE DT", General!O:O, "&gt;="&amp;DATE(2025,9,1), General!O:O, "&lt;="&amp;DATE(2025,9,31))</f>
        <v>19</v>
      </c>
      <c r="M5" s="44">
        <f>L5*AH7</f>
        <v>99750</v>
      </c>
      <c r="O5" s="39">
        <f>COUNTIFS(General!F:F, "IP CERRADA", General!K:K, "J NEIRA", General!H:H, "PTE. APROBACION", General!G:G, "POSIBLE DT", General!O:O, "&gt;="&amp;DATE(2025,9,1), General!O:O, "&lt;="&amp;DATE(2025,9,31))</f>
        <v>0</v>
      </c>
      <c r="P5" s="40">
        <f>O5*AG7</f>
        <v>0</v>
      </c>
      <c r="Q5" s="43">
        <f>COUNTIFS(General!F:F, "IP CERRADA", General!M:M, "J NEIRA", General!H:H, "PTE. APROBACION", General!G:G, "POSIBLE DT", General!O:O, "&gt;="&amp;DATE(2025,9,1), General!O:O, "&lt;="&amp;DATE(2025,9,31))</f>
        <v>0</v>
      </c>
      <c r="R5" s="44">
        <f>Q5*AH7</f>
        <v>0</v>
      </c>
      <c r="T5" s="39">
        <f>COUNTIFS(General!F:F, "IP CERRADA", General!K:K, "L DEL PIERO", General!H:H, "PTE. APROBACION", General!G:G, "POSIBLE DT", General!O:O, "&gt;="&amp;DATE(2025,9,1), General!O:O, "&lt;="&amp;DATE(2025,9,31))</f>
        <v>11</v>
      </c>
      <c r="U5" s="40">
        <f>T5*AG7</f>
        <v>61875</v>
      </c>
      <c r="V5" s="43">
        <f>COUNTIFS(General!F:F, "IP CERRADA", General!M:M, "L DEL PIERO", General!H:H, "PTE. APROBACION", General!G:G, "POSIBLE DT", General!O:O, "&gt;="&amp;DATE(2025,9,1), General!O:O, "&lt;="&amp;DATE(2025,9,31))</f>
        <v>0</v>
      </c>
      <c r="W5" s="44">
        <f>V5*AH7</f>
        <v>0</v>
      </c>
      <c r="Y5" s="39">
        <f>COUNTIFS(General!F:F, "IP CERRADA", General!K:K, "E Delia", General!H:H, "PTE. APROBACION", General!G:G, "POSIBLE DT", General!O:O, "&gt;="&amp;DATE(2025,9,1), General!O:O, "&lt;="&amp;DATE(2025,9,31))</f>
        <v>8</v>
      </c>
      <c r="Z5" s="40">
        <f>Y5*AG7</f>
        <v>45000</v>
      </c>
      <c r="AA5" s="43">
        <f>COUNTIFS(General!F:F, "IP CERRADA", General!M:M, "E Delia", General!H:H, "PTE. APROBACION", General!G:G, "POSIBLE DT", General!O:O, "&gt;="&amp;DATE(2025,9,1), General!O:O, "&lt;="&amp;DATE(2025,9,31))</f>
        <v>0</v>
      </c>
      <c r="AB5" s="44">
        <f>AA5*AH7</f>
        <v>0</v>
      </c>
      <c r="AD5" s="261" t="s">
        <v>15</v>
      </c>
      <c r="AF5" s="118" t="s">
        <v>10</v>
      </c>
      <c r="AG5" s="119">
        <v>5625</v>
      </c>
      <c r="AH5" s="119">
        <v>5250</v>
      </c>
      <c r="AI5" s="116"/>
    </row>
    <row r="6" spans="1:35" ht="16.5">
      <c r="C6" s="37" t="s">
        <v>18</v>
      </c>
      <c r="E6" s="254">
        <f>COUNTIFS(General!F:F, "IP CERRADA", General!K:K, "A MIÑO", General!H:H, "PTE. APROBACION", General!G:G, "IP SIN ORDEN", General!O:O, "&gt;="&amp;DATE(2025,9,1), General!O:O, "&lt;="&amp;DATE(2025,9,31))</f>
        <v>0</v>
      </c>
      <c r="F6" s="38">
        <f>E6*AG8</f>
        <v>0</v>
      </c>
      <c r="G6" s="41">
        <f>COUNTIFS(General!F:F, "IP CERRADA", General!M:M, "A MIÑO", General!H:H, "PTE. APROBACION", General!G:G, "IP SIN ORDEN", General!O:O, "&gt;="&amp;DATE(2025,9,1), General!O:O, "&lt;="&amp;DATE(2025,9,31))</f>
        <v>0</v>
      </c>
      <c r="H6" s="42">
        <f>G6*AH8</f>
        <v>0</v>
      </c>
      <c r="J6" s="254">
        <f>COUNTIFS(General!F:F, "IP CERRADA", General!K:K, "J. FERLANTI", General!H:H, "PTE. APROBACION", General!G:G, "IP SIN ORDEN", General!O:O, "&gt;="&amp;DATE(2025,9,1), General!O:O, "&lt;="&amp;DATE(2025,9,31)) + COUNTIFS(General!F:F, "PARA FACTURAR", General!K:K, "J. FERLANTI", General!G:G, "IP SIN ORDEN", General!O:O, "&gt;="&amp;DATE(2025,9,1), General!O:O, "&lt;="&amp;DATE(2025,9,31))</f>
        <v>5</v>
      </c>
      <c r="K6" s="38">
        <f>J6*AG8</f>
        <v>28125</v>
      </c>
      <c r="L6" s="41">
        <f>COUNTIFS(General!F:F, "IP CERRADA", General!M:M, "J. FERLANTI", General!H:H, "PTE. APROBACION", General!G:G, "IP SIN ORDEN", General!O:O, "&gt;="&amp;DATE(2025,9,1), General!O:O, "&lt;="&amp;DATE(2025,9,31)) + COUNTIFS(General!F:F, "PARA FACTURAR", General!M:M, "J. FERLANTI", General!H:H, "EN TRAMITE", General!G:G, "IP SIN ORDEN", General!O:O, "&gt;="&amp;DATE(2025,9,1), General!O:O, "&lt;="&amp;DATE(2025,9,31))</f>
        <v>45</v>
      </c>
      <c r="M6" s="42">
        <f>L6*AH8</f>
        <v>236250</v>
      </c>
      <c r="O6" s="254">
        <f>COUNTIFS(General!F:F, "IP CERRADA", General!K:K, "J NEIRA", General!H:H, "PTE. APROBACION", General!G:G, "IP SIN ORDEN", General!O:O, "&gt;="&amp;DATE(2025,9,1), General!O:O, "&lt;="&amp;DATE(2025,9,31))</f>
        <v>0</v>
      </c>
      <c r="P6" s="38">
        <f>O6*AG8</f>
        <v>0</v>
      </c>
      <c r="Q6" s="41">
        <f>COUNTIFS(General!F:F, "IP CERRADA", General!M:M, "J NEIRA", General!H:H, "PTE. APROBACION", General!G:G, "IP SIN ORDEN", General!O:O, "&gt;="&amp;DATE(2025,9,1), General!O:O, "&lt;="&amp;DATE(2025,9,31))</f>
        <v>0</v>
      </c>
      <c r="R6" s="42">
        <f>Q6*AH8</f>
        <v>0</v>
      </c>
      <c r="T6" s="254">
        <f>COUNTIFS(General!F:F, "IP CERRADA", General!K:K, "L DEL PIERO", General!H:H, "PTE. APROBACION", General!G:G, "IP SIN ORDEN", General!O:O, "&gt;="&amp;DATE(2025,9,1), General!O:O, "&lt;="&amp;DATE(2025,9,31))</f>
        <v>25</v>
      </c>
      <c r="U6" s="38">
        <f>T6*AG8</f>
        <v>140625</v>
      </c>
      <c r="V6" s="41">
        <f>COUNTIFS(General!F:F, "IP CERRADA", General!M:M, "L DEL PIERO", General!H:H, "PTE. APROBACION", General!G:G, "IP SIN ORDEN", General!O:O, "&gt;="&amp;DATE(2025,9,1), General!O:O, "&lt;="&amp;DATE(2025,9,31))</f>
        <v>0</v>
      </c>
      <c r="W6" s="42">
        <f>V6*AH8</f>
        <v>0</v>
      </c>
      <c r="Y6" s="254">
        <f>COUNTIFS(General!F:F, "IP CERRADA", General!K:K, "E Delia", General!H:H, "PTE. APROBACION", General!G:G, "IP SIN ORDEN", General!O:O, "&gt;="&amp;DATE(2025,9,1), General!O:O, "&lt;="&amp;DATE(2025,9,31))</f>
        <v>15</v>
      </c>
      <c r="Z6" s="38">
        <f>Y6*AG8</f>
        <v>84375</v>
      </c>
      <c r="AA6" s="41">
        <f>COUNTIFS(General!F:F, "IP CERRADA", General!M:M, "E Delia", General!H:H, "PTE. APROBACION", General!G:G, "IP SIN ORDEN", General!O:O, "&gt;="&amp;DATE(2025,9,1), General!O:O, "&lt;="&amp;DATE(2025,9,31))</f>
        <v>0</v>
      </c>
      <c r="AB6" s="42">
        <f>AA6*AH8</f>
        <v>0</v>
      </c>
      <c r="AD6" s="37" t="s">
        <v>18</v>
      </c>
      <c r="AF6" s="118"/>
      <c r="AG6" s="119"/>
      <c r="AH6" s="119"/>
      <c r="AI6" s="116"/>
    </row>
    <row r="7" spans="1:35" ht="16.5">
      <c r="C7" s="261" t="s">
        <v>21</v>
      </c>
      <c r="E7" s="39">
        <f>COUNTIFS(General!F:F, "IP CERRADA", General!K:K, "A MIÑO", General!H:H, "PTE. APROBACION", General!G:G, "AMPLIACION", General!O:O, "&gt;="&amp;DATE(2025,9,1), General!O:O, "&lt;="&amp;DATE(2025,9,31))</f>
        <v>0</v>
      </c>
      <c r="F7" s="40">
        <f>E7*AG9</f>
        <v>0</v>
      </c>
      <c r="G7" s="43">
        <f>COUNTIFS(General!F:F, "IP CERRADA", General!M:M, "A MIÑO", General!H:H, "PTE. APROBACION", General!G:G, "AMPLIACION", General!O:O, "&gt;="&amp;DATE(2025,9,1), General!O:O, "&lt;="&amp;DATE(2025,9,31))</f>
        <v>0</v>
      </c>
      <c r="H7" s="44">
        <f>G7*AH9</f>
        <v>0</v>
      </c>
      <c r="J7" s="39">
        <f>COUNTIFS(General!F:F, "IP CERRADA", General!K:K, "J. FERLANTI", General!H:H, "PTE. APROBACION", General!G:G, "AMPLIACION", General!O:O, "&gt;="&amp;DATE(2025,9,1), General!O:O, "&lt;="&amp;DATE(2025,9,31)) + COUNTIFS(General!F:F, "PARA FACTURAR", General!K:K, "J. FERLANTI", General!G:G, "AMPLIACION", General!O:O, "&gt;="&amp;DATE(2025,9,1), General!O:O, "&lt;="&amp;DATE(2025,9,31))</f>
        <v>4</v>
      </c>
      <c r="K7" s="40">
        <f>J7*AG9</f>
        <v>10000</v>
      </c>
      <c r="L7" s="43">
        <f>COUNTIFS(General!F:F, "IP CERRADA", General!M:M, "J. FERLANTI", General!H:H, "PTE. APROBACION", General!G:G, "AMPLIACION", General!O:O, "&gt;="&amp;DATE(2025,9,1), General!O:O, "&lt;="&amp;DATE(2025,9,31)) + COUNTIFS(General!F:F, "PARA FACTURAR", General!M:M, "J. FERLANTI", General!H:H, "EN TRAMITE", General!G:G, "AMPLIACION", General!O:O, "&gt;="&amp;DATE(2025,9,1), General!O:O, "&lt;="&amp;DATE(2025,9,31))</f>
        <v>21</v>
      </c>
      <c r="M7" s="44">
        <f>L7*AH9</f>
        <v>42000</v>
      </c>
      <c r="O7" s="39">
        <f>COUNTIFS(General!F:F, "IP CERRADA", General!K:K, "J NEIRA", General!H:H, "PTE. APROBACION", General!G:G, "AMPLIACION", General!O:O, "&gt;="&amp;DATE(2025,9,1), General!O:O, "&lt;="&amp;DATE(2025,9,31))</f>
        <v>0</v>
      </c>
      <c r="P7" s="40">
        <f>O7*AG9</f>
        <v>0</v>
      </c>
      <c r="Q7" s="43">
        <f>COUNTIFS(General!F:F, "IP CERRADA", General!M:M, "J NEIRA", General!H:H, "PTE. APROBACION", General!G:G, "AMPLIACION", General!O:O, "&gt;="&amp;DATE(2025,9,1), General!O:O, "&lt;="&amp;DATE(2025,9,31))</f>
        <v>0</v>
      </c>
      <c r="R7" s="44">
        <f>Q7*AH9</f>
        <v>0</v>
      </c>
      <c r="T7" s="39">
        <f>COUNTIFS(General!F:F, "IP CERRADA", General!K:K, "L DEL PIERO", General!H:H, "PTE. APROBACION", General!G:G, "AMPLIACION", General!O:O, "&gt;="&amp;DATE(2025,9,1), General!O:O, "&lt;="&amp;DATE(2025,9,31))</f>
        <v>10</v>
      </c>
      <c r="U7" s="40">
        <f>T7*AG9</f>
        <v>25000</v>
      </c>
      <c r="V7" s="43">
        <f>COUNTIFS(General!F:F, "IP CERRADA", General!M:M, "L DEL PIERO", General!H:H, "PTE. APROBACION", General!G:G, "AMPLIACION", General!O:O, "&gt;="&amp;DATE(2025,9,1), General!O:O, "&lt;="&amp;DATE(2025,9,31))</f>
        <v>0</v>
      </c>
      <c r="W7" s="44">
        <f>V7*AH9</f>
        <v>0</v>
      </c>
      <c r="Y7" s="39">
        <f>COUNTIFS(General!F:F, "IP CERRADA", General!K:K, "E Delia", General!H:H, "PTE. APROBACION", General!G:G, "AMPLIACION", General!O:O, "&gt;="&amp;DATE(2025,9,1), General!O:O, "&lt;="&amp;DATE(2025,9,31))</f>
        <v>7</v>
      </c>
      <c r="Z7" s="40">
        <f>Y7*AG9</f>
        <v>17500</v>
      </c>
      <c r="AA7" s="43">
        <f>COUNTIFS(General!F:F, "IP CERRADA", General!M:M, "E Delia", General!H:H, "PTE. APROBACION", General!G:G, "AMPLIACION", General!O:O, "&gt;="&amp;DATE(2025,9,1), General!O:O, "&lt;="&amp;DATE(2025,9,31))</f>
        <v>0</v>
      </c>
      <c r="AB7" s="44">
        <f>AA7*AH9</f>
        <v>0</v>
      </c>
      <c r="AD7" s="261" t="s">
        <v>21</v>
      </c>
      <c r="AF7" s="120" t="s">
        <v>15</v>
      </c>
      <c r="AG7" s="121">
        <v>5625</v>
      </c>
      <c r="AH7" s="121">
        <v>5250</v>
      </c>
      <c r="AI7" s="116"/>
    </row>
    <row r="8" spans="1:35" ht="16.5">
      <c r="C8" s="37" t="s">
        <v>24</v>
      </c>
      <c r="E8" s="254" t="s">
        <v>27</v>
      </c>
      <c r="F8" s="38" t="s">
        <v>27</v>
      </c>
      <c r="G8" s="41">
        <f>COUNTIFS(General!F:F, "IP CERRADA", General!M:M, "A MIÑO", General!H:H, "PTE. APROBACION", General!G:G, "ENVIO DE ORDEN", General!O:O, "&gt;="&amp;DATE(2025,9,1), General!O:O, "&lt;="&amp;DATE(2025,9,31))</f>
        <v>0</v>
      </c>
      <c r="H8" s="42">
        <f>G8*AH10</f>
        <v>0</v>
      </c>
      <c r="J8" s="254" t="s">
        <v>27</v>
      </c>
      <c r="K8" s="38" t="s">
        <v>27</v>
      </c>
      <c r="L8" s="41">
        <f>COUNTIFS(General!F:F, "IP SIN ORDEN", General!M:M, "J. FERLANTI", General!H:H, "PTE. APROBACION", General!G:G, "ENVIO DE ORDEN", General!O:O, "&gt;="&amp;DATE(2025,9,1), General!O:O, "&lt;="&amp;DATE(2025,9,31)) + COUNTIFS(General!F:F, "PARA FACTURAR", General!M:M, "J. FERLANTI", General!H:H, "EN TRAMITE", General!G:G, "ENVIO DE ORDEN", General!O:O, "&gt;="&amp;DATE(2025,9,1), General!O:O, "&lt;="&amp;DATE(2025,9,31))</f>
        <v>0</v>
      </c>
      <c r="M8" s="42">
        <f>L8*AH10</f>
        <v>0</v>
      </c>
      <c r="O8" s="254"/>
      <c r="P8" s="38"/>
      <c r="Q8" s="41">
        <f>COUNTIFS(General!F:F, "IP CERRADA", General!M:M, "J NEIRA", General!H:H, "PTE. APROBACION", General!G:G, "ENVIO DE ORDEN", General!O:O, "&gt;="&amp;DATE(2025,9,1), General!O:O, "&lt;="&amp;DATE(2025,9,31))</f>
        <v>0</v>
      </c>
      <c r="R8" s="42">
        <f>Q8*AH10</f>
        <v>0</v>
      </c>
      <c r="T8" s="254"/>
      <c r="U8" s="38"/>
      <c r="V8" s="41">
        <f>COUNTIFS(General!F:F, "IP CERRADA", General!M:M, "L DEL PIERO", General!H:H, "PTE. APROBACION", General!G:G, "ENVIO DE ORDEN", General!O:O, "&gt;="&amp;DATE(2025,9,1), General!O:O, "&lt;="&amp;DATE(2025,9,31))</f>
        <v>0</v>
      </c>
      <c r="W8" s="42">
        <f>V8*AH10</f>
        <v>0</v>
      </c>
      <c r="Y8" s="254"/>
      <c r="Z8" s="38"/>
      <c r="AA8" s="41">
        <f>COUNTIFS(General!F:F, "IP CERRADA", General!M:M, "E Delia", General!H:H, "PTE. APROBACION", General!G:G, "ENVIO DE ORDEN", General!O:O, "&gt;="&amp;DATE(2025,9,1), General!O:O, "&lt;="&amp;DATE(2025,9,31))</f>
        <v>0</v>
      </c>
      <c r="AB8" s="42">
        <f>AA8*AH10</f>
        <v>0</v>
      </c>
      <c r="AD8" s="37" t="s">
        <v>24</v>
      </c>
      <c r="AF8" s="118" t="s">
        <v>18</v>
      </c>
      <c r="AG8" s="119">
        <v>5625</v>
      </c>
      <c r="AH8" s="119">
        <v>5250</v>
      </c>
      <c r="AI8" s="116"/>
    </row>
    <row r="9" spans="1:35" ht="16.5">
      <c r="C9" s="261" t="s">
        <v>29</v>
      </c>
      <c r="E9" s="39">
        <f>COUNTIFS(General!F:F, "IP CERRADA", General!K:K, "A MIÑO", General!H:H, "PTE. APROBACION", General!G:G, "IP CAMIONES", General!O:O, "&gt;="&amp;DATE(2025,9,1), General!O:O, "&lt;="&amp;DATE(2025,9,31))</f>
        <v>0</v>
      </c>
      <c r="F9" s="40">
        <f>E9*AG15</f>
        <v>0</v>
      </c>
      <c r="G9" s="43">
        <f>COUNTIFS(General!F:F, "IP SIN ORDEN", General!M:M, "J. FERLANTI", General!H:H, "PTE. APROBACION", General!G:G, "IP CAMIONES", General!O:O, "&gt;="&amp;DATE(2025,9,1), General!O:O, "&lt;="&amp;DATE(2025,9,31)) + COUNTIFS(General!F:F, "PARA FACTURAR", General!M:M, "J. FERLANTI", General!H:H, "EN TRAMITE", General!G:G, "IP CAMIONES", General!O:O, "&gt;="&amp;DATE(2025,9,1), General!O:O, "&lt;="&amp;DATE(2025,9,31))</f>
        <v>0</v>
      </c>
      <c r="H9" s="44">
        <f>G9*AH15</f>
        <v>0</v>
      </c>
      <c r="J9" s="39">
        <f>COUNTIFS(General!F:F, "IP CERRADA", General!K:K, "J. FERLANTI", General!H:H, "PTE. APROBACION", General!G:G, "IP CAMIONES", General!O:O, "&gt;="&amp;DATE(2025,9,1), General!O:O, "&lt;="&amp;DATE(2025,9,31)) + COUNTIFS(General!F:F, "PARA FACTURAR", General!K:K, "J. FERLANTI", General!G:G, "IP CAMIONES", General!O:O, "&gt;="&amp;DATE(2025,9,1), General!O:O, "&lt;="&amp;DATE(2025,9,31))</f>
        <v>0</v>
      </c>
      <c r="K9" s="40">
        <f>J9*AG15</f>
        <v>0</v>
      </c>
      <c r="L9" s="43">
        <f>COUNTIFS(General!F:F, "IP CERRADA", General!M:M, "J. FERLANTI", General!H:H, "PTE. APROBACION", General!G:G, "IP CAMIONES", General!O:O, "&gt;="&amp;DATE(2025,9,1), General!O:O, "&lt;="&amp;DATE(2025,9,31))</f>
        <v>0</v>
      </c>
      <c r="M9" s="44">
        <f>L9*AH15</f>
        <v>0</v>
      </c>
      <c r="O9" s="39">
        <f>COUNTIFS(General!F:F, "IP CERRADA", General!K:K, "J NEIRA", General!H:H, "PTE. APROBACION", General!G:G, "IP CAMIONES", General!O:O, "&gt;="&amp;DATE(2025,9,1), General!O:O, "&lt;="&amp;DATE(2025,9,31))</f>
        <v>0</v>
      </c>
      <c r="P9" s="40">
        <f>O9*AG15</f>
        <v>0</v>
      </c>
      <c r="Q9" s="43">
        <f>COUNTIFS(General!F:F, "IP CERRADA", General!M:M, "J NEIRA", General!H:H, "PTE. APROBACION", General!G:G, "IP CAMIONES", General!O:O, "&gt;="&amp;DATE(2025,9,1), General!O:O, "&lt;="&amp;DATE(2025,9,31))</f>
        <v>0</v>
      </c>
      <c r="R9" s="44">
        <f>Q9*AH15</f>
        <v>0</v>
      </c>
      <c r="T9" s="39">
        <f>COUNTIFS(General!F:F, "IP CERRADA", General!K:K, "L DEL PIERO", General!H:H, "PTE. APROBACION", General!G:G, "IP CAMIONES", General!O:O, "&gt;="&amp;DATE(2025,9,1), General!O:O, "&lt;="&amp;DATE(2025,9,31))</f>
        <v>0</v>
      </c>
      <c r="U9" s="40">
        <f>T9*AG15</f>
        <v>0</v>
      </c>
      <c r="V9" s="43">
        <f>COUNTIFS(General!F:F, "IP CERRADA", General!M:M, "L DEL PIERO", General!H:H, "PTE. APROBACION", General!G:G, "IP CAMIONES", General!O:O, "&gt;="&amp;DATE(2025,9,1), General!O:O, "&lt;="&amp;DATE(2025,9,31))</f>
        <v>0</v>
      </c>
      <c r="W9" s="44">
        <f>V9*AH15</f>
        <v>0</v>
      </c>
      <c r="Y9" s="39">
        <f>COUNTIFS(General!F:F, "IP CERRADA", General!K:K, "E Delia", General!H:H, "PTE. APROBACION", General!G:G, "IP CAMIONES", General!O:O, "&gt;="&amp;DATE(2025,9,1), General!O:O, "&lt;="&amp;DATE(2025,9,31))</f>
        <v>0</v>
      </c>
      <c r="Z9" s="40">
        <f>Y9*AG15</f>
        <v>0</v>
      </c>
      <c r="AA9" s="43">
        <f>COUNTIFS(General!F:F, "IP CERRADA", General!M:M, "E Delia", General!H:H, "PTE. APROBACION", General!G:G, "IP CAMIONES", General!O:O, "&gt;="&amp;DATE(2025,9,1), General!O:O, "&lt;="&amp;DATE(2025,9,31))</f>
        <v>0</v>
      </c>
      <c r="AB9" s="44">
        <f>AA9*AH15</f>
        <v>0</v>
      </c>
      <c r="AD9" s="261" t="s">
        <v>29</v>
      </c>
      <c r="AF9" s="120" t="s">
        <v>21</v>
      </c>
      <c r="AG9" s="121">
        <v>2500</v>
      </c>
      <c r="AH9" s="121">
        <v>2000</v>
      </c>
      <c r="AI9" s="116"/>
    </row>
    <row r="10" spans="1:35" ht="16.5">
      <c r="C10" s="37" t="s">
        <v>30</v>
      </c>
      <c r="E10" s="254">
        <f>COUNTIFS(General!F:F, "IP CERRADA", General!K:K, "A MIÑO", General!H:H, "PTE. APROBACION", General!G:G, "TERCEROS", General!O:O, "&gt;="&amp;DATE(2024,3,1), General!O:O, "&gt;="&amp;DATE(2025,9,1), General!O:O, "&lt;="&amp;DATE(2025,9,31))</f>
        <v>0</v>
      </c>
      <c r="F10" s="38">
        <f>E10*AG12</f>
        <v>0</v>
      </c>
      <c r="G10" s="41">
        <f>COUNTIFS(General!F:F, "IP CERRADA", General!M:M, "A MIÑO", General!H:H, "PTE. APROBACION", General!G:G, "TERCEROS", General!O:O, "&gt;="&amp;DATE(2025,9,1), General!O:O, "&lt;="&amp;DATE(2025,9,31))</f>
        <v>0</v>
      </c>
      <c r="H10" s="42">
        <f>G10*AH12</f>
        <v>0</v>
      </c>
      <c r="J10" s="254">
        <f>COUNTIFS(General!F:F, "IP CERRADA", General!K:K, "J. FERLANTI", General!H:H, "PTE. APROBACION", General!G:G, "TERCEROS", General!O:O, "&gt;="&amp;DATE(2025,9,1), General!O:O, "&lt;="&amp;DATE(2025,9,31)) + COUNTIFS(General!F:F, "PARA FACTURAR", General!K:K, "J. FERLANTI", General!G:G, "TERCEROS", General!O:O, "&gt;="&amp;DATE(2025,9,1), General!O:O, "&lt;="&amp;DATE(2025,9,31))</f>
        <v>2</v>
      </c>
      <c r="K10" s="38">
        <f>J10*AG12</f>
        <v>11250</v>
      </c>
      <c r="L10" s="41">
        <f>COUNTIFS(General!F:F, "IP SIN ORDEN", General!M:M, "J. FERLANTI", General!H:H, "PTE. APROBACION", General!G:G, "TERCEROS", General!O:O, "&gt;="&amp;DATE(2025,9,1), General!O:O, "&lt;="&amp;DATE(2025,9,31)) + COUNTIFS(General!F:F, "PARA FACTURAR", General!M:M, "J. FERLANTI", General!H:H, "EN TRAMITE", General!G:G, "TERCEROS", General!O:O, "&gt;="&amp;DATE(2025,9,1), General!O:O, "&lt;="&amp;DATE(2025,9,31))</f>
        <v>0</v>
      </c>
      <c r="M10" s="42">
        <f>L10*AH12</f>
        <v>0</v>
      </c>
      <c r="O10" s="254">
        <f>COUNTIFS(General!F:F, "IP CERRADA", General!K:K, "J NEIRA", General!H:H, "PTE. APROBACION", General!G:G, "TERCEROS", General!O:O, "&gt;="&amp;DATE(2024,3,1), General!O:O, "&gt;="&amp;DATE(2025,9,1), General!O:O, "&lt;="&amp;DATE(2025,9,31))</f>
        <v>0</v>
      </c>
      <c r="P10" s="38">
        <f>O10*AG12</f>
        <v>0</v>
      </c>
      <c r="Q10" s="41">
        <f>COUNTIFS(General!F:F, "IP CERRADA", General!M:M, "J NEIRA", General!H:H, "PTE. APROBACION", General!G:G, "TERCEROS", General!O:O, "&gt;="&amp;DATE(2025,9,1), General!O:O, "&lt;="&amp;DATE(2025,9,31))</f>
        <v>0</v>
      </c>
      <c r="R10" s="42">
        <f>Q10*AH12</f>
        <v>0</v>
      </c>
      <c r="T10" s="254">
        <f>COUNTIFS(General!F:F, "IP CERRADA", General!K:K, "L DEL PIERO", General!H:H, "PTE. APROBACION", General!G:G, "TERCEROS", General!O:O, "&gt;="&amp;DATE(2024,3,1), General!O:O, "&gt;="&amp;DATE(2025,9,1), General!O:O, "&lt;="&amp;DATE(2025,9,31))</f>
        <v>0</v>
      </c>
      <c r="U10" s="38">
        <f>T10*AG12</f>
        <v>0</v>
      </c>
      <c r="V10" s="41">
        <f>COUNTIFS(General!F:F, "IP CERRADA", General!M:M, "L DEL PIERO", General!H:H, "PTE. APROBACION", General!G:G, "TERCEROS", General!O:O, "&gt;="&amp;DATE(2025,9,1), General!O:O, "&lt;="&amp;DATE(2025,9,31))</f>
        <v>0</v>
      </c>
      <c r="W10" s="42">
        <f>V10*AH12</f>
        <v>0</v>
      </c>
      <c r="Y10" s="254">
        <f>COUNTIFS(General!F:F, "IP CERRADA", General!K:K, "E Delia", General!H:H, "PTE. APROBACION", General!G:G, "TERCEROS", General!O:O, "&gt;="&amp;DATE(2024,3,1), General!O:O, "&gt;="&amp;DATE(2025,9,1), General!O:O, "&lt;="&amp;DATE(2025,9,31))</f>
        <v>0</v>
      </c>
      <c r="Z10" s="38">
        <f>Y10*AG12</f>
        <v>0</v>
      </c>
      <c r="AA10" s="41">
        <f>COUNTIFS(General!F:F, "IP CERRADA", General!M:M, "E Delia", General!H:H, "PTE. APROBACION", General!G:G, "TERCEROS", General!O:O, "&gt;="&amp;DATE(2025,9,1), General!O:O, "&lt;="&amp;DATE(2025,9,31))</f>
        <v>0</v>
      </c>
      <c r="AB10" s="42">
        <f>AA10*AH12</f>
        <v>0</v>
      </c>
      <c r="AD10" s="37" t="s">
        <v>30</v>
      </c>
      <c r="AF10" s="118" t="s">
        <v>24</v>
      </c>
      <c r="AG10" s="119" t="s">
        <v>27</v>
      </c>
      <c r="AH10" s="119"/>
      <c r="AI10" s="116"/>
    </row>
    <row r="11" spans="1:35" ht="16.5">
      <c r="C11" s="261" t="s">
        <v>32</v>
      </c>
      <c r="E11" s="39" t="s">
        <v>27</v>
      </c>
      <c r="F11" s="40" t="s">
        <v>27</v>
      </c>
      <c r="G11" s="43">
        <f>COUNTIFS(General!F:F, "IP CERRADA", General!M:M, "A MIÑO", General!H:H, "PTE. APROBACION", General!G:G, "FOTOS", General!O:O, "&gt;="&amp;DATE(2025,9,1), General!O:O, "&lt;="&amp;DATE(2025,9,31))</f>
        <v>0</v>
      </c>
      <c r="H11" s="44">
        <v>0</v>
      </c>
      <c r="J11" s="39" t="s">
        <v>27</v>
      </c>
      <c r="K11" s="40" t="s">
        <v>27</v>
      </c>
      <c r="L11" s="43">
        <f>COUNTIFS(General!F:F, "IP SIN ORDEN", General!M:M, "J. FERLANTI", General!H:H, "PTE. APROBACION", General!G:G, "FOTOS", General!O:O, "&gt;="&amp;DATE(2025,9,1), General!O:O, "&lt;="&amp;DATE(2025,9,31)) + COUNTIFS(General!F:F, "PARA FACTURAR", General!M:M, "J. FERLANTI", General!H:H, "EN TRAMITE", General!G:G, "FOTOS", General!O:O, "&gt;="&amp;DATE(2025,9,1), General!O:O, "&lt;="&amp;DATE(2025,9,31))</f>
        <v>0</v>
      </c>
      <c r="M11" s="44">
        <f>L11*AH13</f>
        <v>0</v>
      </c>
      <c r="O11" s="39"/>
      <c r="P11" s="40"/>
      <c r="Q11" s="43">
        <f>COUNTIFS(General!F:F, "IP CERRADA", General!M:M, "J NEIRA", General!H:H, "PTE. APROBACION", General!G:G, "FOTOS", General!O:O, "&gt;="&amp;DATE(2025,9,1), General!O:O, "&lt;="&amp;DATE(2025,9,31))</f>
        <v>0</v>
      </c>
      <c r="R11" s="44">
        <f>Q11*AH13</f>
        <v>0</v>
      </c>
      <c r="T11" s="39"/>
      <c r="U11" s="40"/>
      <c r="V11" s="43">
        <f>COUNTIFS(General!F:F, "IP CERRADA", General!M:M, "L DEL PIERO", General!H:H, "PTE. APROBACION", General!G:G, "FOTOS", General!O:O, "&gt;="&amp;DATE(2025,9,1), General!O:O, "&lt;="&amp;DATE(2025,9,31))</f>
        <v>0</v>
      </c>
      <c r="W11" s="44">
        <f>V11*AH13</f>
        <v>0</v>
      </c>
      <c r="Y11" s="39"/>
      <c r="Z11" s="40"/>
      <c r="AA11" s="43">
        <f>COUNTIFS(General!F:F, "IP CERRADA", General!M:M, "E Delia", General!H:H, "PTE. APROBACION", General!G:G, "FOTOS", General!O:O, "&gt;="&amp;DATE(2025,9,1), General!O:O, "&lt;="&amp;DATE(2025,9,31))</f>
        <v>0</v>
      </c>
      <c r="AB11" s="44">
        <f>AA11*AH13</f>
        <v>0</v>
      </c>
      <c r="AD11" s="261" t="s">
        <v>32</v>
      </c>
      <c r="AF11" s="120" t="s">
        <v>26</v>
      </c>
      <c r="AG11" s="121">
        <v>1650</v>
      </c>
      <c r="AH11" s="121" t="s">
        <v>27</v>
      </c>
      <c r="AI11" s="116"/>
    </row>
    <row r="12" spans="1:35" ht="16.5">
      <c r="C12" s="37" t="s">
        <v>84</v>
      </c>
      <c r="E12" s="254">
        <f>COUNTIFS(General!F:F, "IP CERRADA", General!K:K, "A MIÑO", General!K:K, "A MIÑO", General!H:H, "PTE. APROBACION", General!G:G, "IP FINAL/INTERMEDIA", General!O:O, "&gt;="&amp;DATE(2025,9,1), General!O:O, "&lt;="&amp;DATE(2025,9,31))</f>
        <v>0</v>
      </c>
      <c r="F12" s="38">
        <f>E12*AG14</f>
        <v>0</v>
      </c>
      <c r="G12" s="41">
        <f>COUNTIFS(General!F:F, "IP CERRADA", General!M:M, "A MIÑO", General!H:H, "PTE. APROBACION", General!G:G, "IP REMOTA", General!O:O, "&gt;="&amp;DATE(2025,9,1), General!O:O, "&lt;="&amp;DATE(2025,9,31))</f>
        <v>0</v>
      </c>
      <c r="H12" s="42">
        <f>G12*AH14</f>
        <v>0</v>
      </c>
      <c r="J12" s="254">
        <f>COUNTIFS(General!F:F, "IP CERRADA", General!K:K, "J. FERLANTI", General!H:H, "PTE. APROBACION", General!G:G, "IP FINAL/INTERMEDIA", General!O:O, "&gt;="&amp;DATE(2025,9,1), General!O:O, "&lt;="&amp;DATE(2025,9,31)) + COUNTIFS(General!F:F, "PARA FACTURAR", General!K:K, "J. FERLANTI", General!G:G, "IP FINAL/INTERMEDIA", General!O:O, "&gt;="&amp;DATE(2025,9,1), General!O:O, "&lt;="&amp;DATE(2025,9,31))</f>
        <v>1</v>
      </c>
      <c r="K12" s="38">
        <f>J12*AG9</f>
        <v>2500</v>
      </c>
      <c r="L12" s="41">
        <f>COUNTIFS(General!F:F, "IP CERRADA", General!M:M, "J. FERLANTI", General!H:H, "PTE. APROBACION", General!G:G, "IP FINAL/INTERMEDIA", General!O:O, "&gt;="&amp;DATE(2025,9,1), General!O:O, "&lt;="&amp;DATE(2025,9,31)) + COUNTIFS(General!F:F, "PARA FACTURAR", General!M:M, "J. FERLANTI", General!H:H, "EN TRAMITE", General!G:G, "IP FINAL/INTERMEDIA", General!O:O, "&gt;="&amp;DATE(2025,9,1), General!O:O, "&lt;="&amp;DATE(2025,9,31))</f>
        <v>1</v>
      </c>
      <c r="M12" s="42">
        <f>L12*AH9</f>
        <v>2000</v>
      </c>
      <c r="O12" s="254">
        <f>COUNTIFS(General!F:F, "IP CERRADA", General!K:K, "J NEIRA", General!K:K, "A MIÑO", General!H:H, "PTE. APROBACION", General!G:G, "IP REMOTA", General!O:O, "&gt;="&amp;DATE(2025,9,1), General!O:O, "&lt;="&amp;DATE(2025,9,31))</f>
        <v>0</v>
      </c>
      <c r="P12" s="38">
        <f>O12*AG14</f>
        <v>0</v>
      </c>
      <c r="Q12" s="41">
        <f>COUNTIFS(General!F:F, "IP CERRADA", General!M:M, "J NEIRA", General!H:H, "PTE. APROBACION", General!G:G, "IP REMOTA", General!O:O, "&gt;="&amp;DATE(2025,9,1), General!O:O, "&lt;="&amp;DATE(2025,9,31))</f>
        <v>0</v>
      </c>
      <c r="R12" s="42">
        <f>Q12*AH14</f>
        <v>0</v>
      </c>
      <c r="T12" s="254">
        <f>COUNTIFS(General!F:F, "IP CERRADA", General!K:K, "L DEL PIERO", General!K:K, "A MIÑO", General!H:H, "PTE. APROBACION", General!G:G, "IP REMOTA", General!O:O, "&gt;="&amp;DATE(2025,9,1), General!O:O, "&lt;="&amp;DATE(2025,9,31))</f>
        <v>0</v>
      </c>
      <c r="U12" s="38">
        <f>T12*AG14</f>
        <v>0</v>
      </c>
      <c r="V12" s="41">
        <f>COUNTIFS(General!F:F, "IP CERRADA", General!M:M, "L DEL PIERO", General!H:H, "PTE. APROBACION", General!G:G, "IP REMOTA", General!O:O, "&gt;="&amp;DATE(2025,9,1), General!O:O, "&lt;="&amp;DATE(2025,9,31))</f>
        <v>0</v>
      </c>
      <c r="W12" s="42">
        <f>V12*AH14</f>
        <v>0</v>
      </c>
      <c r="Y12" s="254">
        <f>COUNTIFS(General!F:F, "IP CERRADA", General!K:K, "E Delia",  General!H:H, "PTE. APROBACION", General!G:G, "IP FINAL/INTERMEDIA", General!O:O, "&gt;="&amp;DATE(2025,9,1), General!O:O, "&lt;="&amp;DATE(2025,9,31))</f>
        <v>0</v>
      </c>
      <c r="Z12" s="38">
        <f>Y12*AG9</f>
        <v>0</v>
      </c>
      <c r="AA12" s="41">
        <f>COUNTIFS(General!F:F, "IP CERRADA", General!M:M, "E Delia", General!H:H, "PTE. APROBACION", General!G:G, "IP REMOTA", General!O:O, "&gt;="&amp;DATE(2025,9,1), General!O:O, "&lt;="&amp;DATE(2025,9,31))</f>
        <v>0</v>
      </c>
      <c r="AB12" s="42">
        <f>AA12*AH14</f>
        <v>0</v>
      </c>
      <c r="AD12" s="37" t="s">
        <v>34</v>
      </c>
      <c r="AF12" s="118" t="s">
        <v>30</v>
      </c>
      <c r="AG12" s="119">
        <v>5625</v>
      </c>
      <c r="AH12" s="119">
        <v>5250</v>
      </c>
      <c r="AI12" s="116"/>
    </row>
    <row r="13" spans="1:35" ht="16.5">
      <c r="C13" s="261" t="s">
        <v>37</v>
      </c>
      <c r="E13" s="39" t="s">
        <v>27</v>
      </c>
      <c r="F13" s="40" t="s">
        <v>27</v>
      </c>
      <c r="G13" s="43">
        <f>COUNTIFS(General!F:F, "IP CERRADA", General!M:M, "A MIÑO", General!H:H, "PTE. APROBACION", General!G:G, "IP VIRTUAL", General!O:O, "&gt;="&amp;DATE(2025,9,1), General!O:O, "&lt;="&amp;DATE(2025,9,31))</f>
        <v>0</v>
      </c>
      <c r="H13" s="44">
        <f>G13*AH16</f>
        <v>0</v>
      </c>
      <c r="J13" s="39" t="s">
        <v>27</v>
      </c>
      <c r="K13" s="40" t="s">
        <v>27</v>
      </c>
      <c r="L13" s="43">
        <f>COUNTIFS(General!F:F, "IP SIN ORDEN", General!M:M, "J. FERLANTI", General!H:H, "PTE. APROBACION", General!G:G, "IP VIRTUAL", General!O:O, "&gt;="&amp;DATE(2025,9,1), General!O:O, "&lt;="&amp;DATE(2025,9,31)) + COUNTIFS(General!F:F, "PARA FACTURAR", General!M:M, "J. FERLANTI", General!H:H, "EN TRAMITE", General!G:G, "IP VIRTUAL", General!O:O, "&gt;="&amp;DATE(2025,9,1), General!O:O, "&lt;="&amp;DATE(2025,9,31))</f>
        <v>0</v>
      </c>
      <c r="M13" s="44">
        <f>L13*AH16</f>
        <v>0</v>
      </c>
      <c r="O13" s="39"/>
      <c r="P13" s="40"/>
      <c r="Q13" s="43">
        <f>COUNTIFS(General!F:F, "IP CERRADA", General!M:M, "J NEIRA", General!H:H, "PTE. APROBACION", General!G:G, "IP VIRTUAL", General!O:O, "&gt;="&amp;DATE(2025,9,1), General!O:O, "&lt;="&amp;DATE(2025,9,31))</f>
        <v>0</v>
      </c>
      <c r="R13" s="44">
        <f>Q13*AH16</f>
        <v>0</v>
      </c>
      <c r="T13" s="39"/>
      <c r="U13" s="40"/>
      <c r="V13" s="43">
        <f>COUNTIFS(General!F:F, "IP CERRADA", General!M:M, "L DEL PIERO", General!H:H, "PTE. APROBACION", General!G:G, "IP VIRTUAL", General!O:O, "&gt;="&amp;DATE(2025,9,1), General!O:O, "&lt;="&amp;DATE(2025,9,31))</f>
        <v>0</v>
      </c>
      <c r="W13" s="44">
        <f>V13*AH16</f>
        <v>0</v>
      </c>
      <c r="Y13" s="39"/>
      <c r="Z13" s="40"/>
      <c r="AA13" s="43">
        <f>COUNTIFS(General!F:F, "IP CERRADA", General!M:M, "E Delia", General!H:H, "PTE. APROBACION", General!G:G, "IP VIRTUAL", General!O:O, "&gt;="&amp;DATE(2025,9,1), General!O:O, "&lt;="&amp;DATE(2025,9,31))</f>
        <v>0</v>
      </c>
      <c r="AB13" s="44">
        <f>AA13*AH16</f>
        <v>0</v>
      </c>
      <c r="AD13" s="261" t="s">
        <v>37</v>
      </c>
      <c r="AF13" s="120" t="s">
        <v>32</v>
      </c>
      <c r="AG13" s="121" t="s">
        <v>27</v>
      </c>
      <c r="AH13" s="121">
        <v>0</v>
      </c>
      <c r="AI13" s="116"/>
    </row>
    <row r="14" spans="1:35" ht="16.5">
      <c r="C14" s="37" t="s">
        <v>26</v>
      </c>
      <c r="E14" s="254">
        <f>COUNTIFS(General!F:F, "IP CERRADA", General!K:K, "A MIÑO", General!K:K, "A MIÑO", General!H:H, "PTE. APROBACION", General!G:G, "AUSENTE", General!O:O, "&gt;="&amp;DATE(2025,9,1), General!O:O, "&lt;="&amp;DATE(2025,9,31))</f>
        <v>0</v>
      </c>
      <c r="F14" s="38">
        <f>E14*AG11</f>
        <v>0</v>
      </c>
      <c r="G14" s="41" t="s">
        <v>27</v>
      </c>
      <c r="H14" s="42" t="s">
        <v>27</v>
      </c>
      <c r="J14" s="254">
        <f>COUNTIFS(General!F:F, "IP CERRADA", General!K:K, "J. FERLANTI", General!H:H, "PTE. APROBACION", General!G:G, "AUSENTE", General!O:O, "&gt;="&amp;DATE(2025,9,1), General!O:O, "&lt;="&amp;DATE(2025,9,31)) + COUNTIFS(General!F:F, "PARA FACTURAR", General!K:K, "J. FERLANTI", General!G:G, "AUSENTE", General!O:O, "&gt;="&amp;DATE(2025,9,1), General!O:O, "&lt;="&amp;DATE(2025,9,31))</f>
        <v>0</v>
      </c>
      <c r="K14" s="38">
        <f>J14*AG11</f>
        <v>0</v>
      </c>
      <c r="L14" s="41"/>
      <c r="M14" s="42"/>
      <c r="O14" s="254">
        <f>COUNTIFS(General!F:F, "IP CERRADA", General!K:K, "J NEIRA", General!K:K, "A MIÑO", General!H:H, "PTE. APROBACION", General!G:G, "AUSENTE", General!O:O, "&gt;="&amp;DATE(2025,9,1), General!O:O, "&lt;="&amp;DATE(2025,9,31))</f>
        <v>0</v>
      </c>
      <c r="P14" s="38">
        <f>O14*AG11</f>
        <v>0</v>
      </c>
      <c r="Q14" s="41"/>
      <c r="R14" s="42"/>
      <c r="T14" s="254">
        <f>COUNTIFS(General!F:F, "IP CERRADA", General!K:K, "L DEL PIERO", General!K:K, "A MIÑO", General!H:H, "PTE. APROBACION", General!G:G, "AUSENTE", General!O:O, "&gt;="&amp;DATE(2025,9,1), General!O:O, "&lt;="&amp;DATE(2025,9,31))</f>
        <v>0</v>
      </c>
      <c r="U14" s="38">
        <f>T14*AG11</f>
        <v>0</v>
      </c>
      <c r="V14" s="41"/>
      <c r="W14" s="42"/>
      <c r="Y14" s="254">
        <f>COUNTIFS(General!F:F, "IP CERRADA", General!K:K, "E Delia", General!K:K, "E DELIA", General!H:H, "PTE. APROBACION", General!G:G, "AUSENTE", General!O:O, "&gt;="&amp;DATE(2025,9,1), General!O:O, "&lt;="&amp;DATE(2025,9,31))</f>
        <v>1</v>
      </c>
      <c r="Z14" s="38">
        <f>Y14*AG11</f>
        <v>1650</v>
      </c>
      <c r="AA14" s="41"/>
      <c r="AB14" s="42"/>
      <c r="AD14" s="37" t="s">
        <v>26</v>
      </c>
      <c r="AF14" s="118" t="s">
        <v>34</v>
      </c>
      <c r="AG14" s="119">
        <v>0</v>
      </c>
      <c r="AH14" s="119">
        <v>0</v>
      </c>
      <c r="AI14" s="116"/>
    </row>
    <row r="15" spans="1:35">
      <c r="E15" s="395" t="s">
        <v>44</v>
      </c>
      <c r="F15" s="396"/>
      <c r="G15" s="397" t="s">
        <v>44</v>
      </c>
      <c r="H15" s="398"/>
      <c r="J15" s="383" t="s">
        <v>44</v>
      </c>
      <c r="K15" s="384"/>
      <c r="L15" s="381" t="s">
        <v>44</v>
      </c>
      <c r="M15" s="382"/>
      <c r="O15" s="383" t="s">
        <v>44</v>
      </c>
      <c r="P15" s="384"/>
      <c r="Q15" s="381" t="s">
        <v>44</v>
      </c>
      <c r="R15" s="382"/>
      <c r="T15" s="383" t="s">
        <v>44</v>
      </c>
      <c r="U15" s="384"/>
      <c r="V15" s="381" t="s">
        <v>44</v>
      </c>
      <c r="W15" s="382"/>
      <c r="Y15" s="383" t="s">
        <v>44</v>
      </c>
      <c r="Z15" s="384"/>
      <c r="AA15" s="381" t="s">
        <v>44</v>
      </c>
      <c r="AB15" s="382"/>
      <c r="AF15" s="120" t="s">
        <v>29</v>
      </c>
      <c r="AG15" s="121">
        <v>5625</v>
      </c>
      <c r="AH15" s="121">
        <v>5250</v>
      </c>
      <c r="AI15" s="116"/>
    </row>
    <row r="16" spans="1:35">
      <c r="E16" s="37">
        <f>E4+E5+E6+E7+E9+E10+E12+E14</f>
        <v>0</v>
      </c>
      <c r="F16" s="29">
        <f>F4+F5+F6+F7+F9+F10+F12+F14</f>
        <v>0</v>
      </c>
      <c r="G16" s="51">
        <f>G4+G5+G6+G7+G8+G9+G10+G11+G12+G13</f>
        <v>0</v>
      </c>
      <c r="H16" s="45">
        <f>H4+H5+H6+H7+H8+H9+H10+H11+H12+H13</f>
        <v>0</v>
      </c>
      <c r="J16" s="37">
        <f>J4+J5+J6+J7+J9+J10+J12+J14</f>
        <v>14</v>
      </c>
      <c r="K16" s="29">
        <f>K4+K5+K6+K7+K9+K10+K12+K14</f>
        <v>63125</v>
      </c>
      <c r="L16" s="51">
        <f>L4+L5+L6+L7+L8+L9+L10+L11+L12+L13</f>
        <v>185</v>
      </c>
      <c r="M16" s="45">
        <f>M4+M5+M6+M7+M8+M9+M10+M11+M12+M13</f>
        <v>899750</v>
      </c>
      <c r="O16" s="37">
        <f>O4+O5+O6+O7+O8+O9+O10+O11+O12+O13+O14</f>
        <v>0</v>
      </c>
      <c r="P16" s="29">
        <f>P4+P5+P6+P7+P8+P9+P10+P11+P12+P13</f>
        <v>0</v>
      </c>
      <c r="Q16" s="51">
        <f>Q4+Q5+Q6+Q7+Q8+Q9+Q10+Q11+Q12+Q13</f>
        <v>0</v>
      </c>
      <c r="R16" s="45">
        <f>R4+R5+R6+R7+R8+R9+R10+R11+R12+R13</f>
        <v>0</v>
      </c>
      <c r="T16" s="37">
        <f>T4+T5+T6+T7+T8+T9+T10+T11+T12+T13+T14</f>
        <v>105</v>
      </c>
      <c r="U16" s="29">
        <f>U4+U5+U6+U7+U8+U9+U10+U11+U12+U13</f>
        <v>559375</v>
      </c>
      <c r="V16" s="51">
        <f>V4+V5+V6+V7+V8+V9+V10+V11+V12+V13</f>
        <v>0</v>
      </c>
      <c r="W16" s="45">
        <f>W4+W5+W6+W7+W8+W9+W10+W11+W12+W13</f>
        <v>0</v>
      </c>
      <c r="Y16" s="37">
        <f>Y4+Y5+Y6+Y7+Y8+Y9+Y10+Y11+Y12+Y13+Y14</f>
        <v>69</v>
      </c>
      <c r="Z16" s="29">
        <f>Z4+Z5+Z6+Z7+Z8+Z9+Z10+Z11+Z12+Z13</f>
        <v>360625</v>
      </c>
      <c r="AA16" s="51">
        <f>AA4+AA5+AA6+AA7+AA8+AA9+AA10+AA11+AA12+AA13</f>
        <v>0</v>
      </c>
      <c r="AB16" s="45">
        <f>AB4+AB5+AB6+AB7+AB8+AB9+AB10+AB11+AB12+AB13</f>
        <v>0</v>
      </c>
      <c r="AF16" s="118" t="s">
        <v>37</v>
      </c>
      <c r="AG16" s="119" t="s">
        <v>27</v>
      </c>
      <c r="AH16" s="119">
        <v>0</v>
      </c>
      <c r="AI16" s="116"/>
    </row>
    <row r="17" spans="3:35">
      <c r="E17" s="48"/>
      <c r="F17" s="49"/>
      <c r="G17" s="48"/>
      <c r="H17" s="49"/>
      <c r="J17" s="48"/>
      <c r="K17" s="49"/>
      <c r="L17" s="48"/>
      <c r="M17" s="49"/>
      <c r="O17" s="48"/>
      <c r="P17" s="49"/>
      <c r="Q17" s="48"/>
      <c r="R17" s="49"/>
      <c r="T17" s="48"/>
      <c r="U17" s="49"/>
      <c r="V17" s="48"/>
      <c r="W17" s="49"/>
      <c r="Y17" s="48"/>
      <c r="Z17" s="49"/>
      <c r="AA17" s="48"/>
      <c r="AB17" s="49"/>
      <c r="AF17" s="118"/>
      <c r="AG17" s="119"/>
      <c r="AH17" s="119"/>
      <c r="AI17" s="116"/>
    </row>
    <row r="18" spans="3:35">
      <c r="E18" s="395"/>
      <c r="F18" s="396"/>
      <c r="G18" s="261"/>
      <c r="H18" s="52"/>
      <c r="J18" s="380"/>
      <c r="K18" s="380"/>
      <c r="L18" s="261"/>
      <c r="M18" s="50"/>
      <c r="O18" s="380"/>
      <c r="P18" s="380"/>
      <c r="Q18" s="261"/>
      <c r="R18" s="50"/>
      <c r="T18" s="380"/>
      <c r="U18" s="380"/>
      <c r="V18" s="261"/>
      <c r="W18" s="50"/>
      <c r="Y18" s="380"/>
      <c r="Z18" s="380"/>
      <c r="AA18" s="261"/>
      <c r="AB18" s="50"/>
      <c r="AF18" s="118"/>
      <c r="AG18" s="119"/>
      <c r="AH18" s="119"/>
      <c r="AI18" s="116"/>
    </row>
    <row r="19" spans="3:35">
      <c r="E19" s="376" t="s">
        <v>3</v>
      </c>
      <c r="F19" s="377"/>
      <c r="G19" s="99">
        <f>COUNTIFS(General!F:F, "LICITANDO REPUESTOS", General!M:M, "A MIÑO")</f>
        <v>0</v>
      </c>
      <c r="H19" s="100"/>
      <c r="J19" s="376" t="s">
        <v>3</v>
      </c>
      <c r="K19" s="377"/>
      <c r="L19" s="99">
        <f>COUNTIFS(General!F:F, "LICITANDO REPUESTOS", General!M:M, "J. FERLANTI")</f>
        <v>16</v>
      </c>
      <c r="M19" s="100"/>
      <c r="O19" s="393" t="s">
        <v>3</v>
      </c>
      <c r="P19" s="394"/>
      <c r="Q19" s="99">
        <f>COUNTIFS(General!F:F, "LICITANDO REPUESTOS", General!M:M, "J NEIRA")</f>
        <v>0</v>
      </c>
      <c r="R19" s="100"/>
      <c r="T19" s="376" t="s">
        <v>3</v>
      </c>
      <c r="U19" s="377"/>
      <c r="V19" s="95"/>
      <c r="W19" s="96"/>
      <c r="Y19" s="376" t="s">
        <v>3</v>
      </c>
      <c r="Z19" s="377"/>
      <c r="AA19" s="95"/>
      <c r="AB19" s="96"/>
      <c r="AF19" s="122" t="s">
        <v>43</v>
      </c>
      <c r="AG19" s="123">
        <v>300</v>
      </c>
      <c r="AH19" s="123" t="s">
        <v>27</v>
      </c>
      <c r="AI19" s="117"/>
    </row>
    <row r="20" spans="3:35">
      <c r="E20" s="378" t="s">
        <v>85</v>
      </c>
      <c r="F20" s="379"/>
      <c r="G20" s="97"/>
      <c r="H20" s="98"/>
      <c r="J20" s="378" t="s">
        <v>85</v>
      </c>
      <c r="K20" s="379"/>
      <c r="L20" s="97">
        <f>COUNTIFS(General!F:F, "IP COORDINADA", General!M:M, "J. FERLANTI")</f>
        <v>34</v>
      </c>
      <c r="M20" s="98"/>
      <c r="O20" s="378" t="s">
        <v>85</v>
      </c>
      <c r="P20" s="379"/>
      <c r="Q20" s="97"/>
      <c r="R20" s="98"/>
      <c r="T20" s="378" t="s">
        <v>85</v>
      </c>
      <c r="U20" s="379"/>
      <c r="V20" s="97"/>
      <c r="W20" s="98"/>
      <c r="Y20" s="378" t="s">
        <v>85</v>
      </c>
      <c r="Z20" s="379"/>
      <c r="AA20" s="97"/>
      <c r="AB20" s="98"/>
    </row>
    <row r="21" spans="3:35">
      <c r="E21" s="374" t="s">
        <v>86</v>
      </c>
      <c r="F21" s="375"/>
      <c r="G21" s="46">
        <f>E4+E5+E6+E7+E9+E10+E12+E14+G4+G5+G6+G7+G8+G9+G10+G11+G12+G13</f>
        <v>0</v>
      </c>
      <c r="H21" s="47">
        <f>F16+H16+H18</f>
        <v>0</v>
      </c>
      <c r="J21" s="374" t="s">
        <v>86</v>
      </c>
      <c r="K21" s="375"/>
      <c r="L21" s="46">
        <f>J4+J5+J6+J7+J9+J10+J12+J14+L4+L5+L6+L7+L9+L8+L10+L11+L12+L13</f>
        <v>199</v>
      </c>
      <c r="M21" s="47">
        <f>M16+M18+K16</f>
        <v>962875</v>
      </c>
      <c r="O21" s="374" t="s">
        <v>86</v>
      </c>
      <c r="P21" s="375"/>
      <c r="Q21" s="46">
        <f>Q4+Q5+Q6+Q7+Q8+Q9+Q10+Q11+Q12+Q13+O4+O5+O6+O8+O7+O9+O10+O11+O12+O13</f>
        <v>0</v>
      </c>
      <c r="R21" s="47">
        <f>P16+R16</f>
        <v>0</v>
      </c>
      <c r="T21" s="374" t="s">
        <v>86</v>
      </c>
      <c r="U21" s="375"/>
      <c r="V21" s="46">
        <f>V4+V5+V6+V7+V8+V9+V10+V11+V12+V13+T4+T5+T6+T8+T7+T9+T10+T11+T12+T13</f>
        <v>105</v>
      </c>
      <c r="W21" s="47">
        <f>U16+W16</f>
        <v>559375</v>
      </c>
      <c r="Y21" s="374" t="s">
        <v>86</v>
      </c>
      <c r="Z21" s="375"/>
      <c r="AA21" s="46">
        <f>AA4+AA5+AA6+AA7+AA8+AA9+AA10+AA11+AA12+AA13+Y4+Y5+Y6+Y8+Y7+Y9+Y10+Y11+Y12+Y13</f>
        <v>68</v>
      </c>
      <c r="AB21" s="47">
        <f>Z16+AB16</f>
        <v>360625</v>
      </c>
    </row>
    <row r="22" spans="3:35">
      <c r="S22" t="s">
        <v>87</v>
      </c>
    </row>
    <row r="24" spans="3:35">
      <c r="C24" s="369" t="s">
        <v>1</v>
      </c>
      <c r="E24" s="385" t="s">
        <v>33</v>
      </c>
      <c r="F24" s="386"/>
      <c r="G24" s="386"/>
      <c r="H24" s="387"/>
      <c r="J24" s="385" t="s">
        <v>31</v>
      </c>
      <c r="K24" s="386"/>
      <c r="L24" s="386"/>
      <c r="M24" s="387"/>
      <c r="O24" s="385" t="s">
        <v>88</v>
      </c>
      <c r="P24" s="386"/>
      <c r="Q24" s="386"/>
      <c r="R24" s="387"/>
      <c r="T24" s="385" t="s">
        <v>22</v>
      </c>
      <c r="U24" s="386"/>
      <c r="V24" s="386"/>
      <c r="W24" s="387"/>
      <c r="Y24" s="385" t="s">
        <v>28</v>
      </c>
      <c r="Z24" s="386"/>
      <c r="AA24" s="386"/>
      <c r="AB24" s="387"/>
      <c r="AD24" s="369" t="s">
        <v>1</v>
      </c>
    </row>
    <row r="25" spans="3:35">
      <c r="C25" s="369"/>
      <c r="E25" s="388"/>
      <c r="F25" s="389"/>
      <c r="G25" s="389"/>
      <c r="H25" s="390"/>
      <c r="J25" s="388"/>
      <c r="K25" s="389"/>
      <c r="L25" s="389"/>
      <c r="M25" s="390"/>
      <c r="O25" s="388"/>
      <c r="P25" s="389"/>
      <c r="Q25" s="389"/>
      <c r="R25" s="390"/>
      <c r="T25" s="388"/>
      <c r="U25" s="389"/>
      <c r="V25" s="389"/>
      <c r="W25" s="390"/>
      <c r="Y25" s="388"/>
      <c r="Z25" s="389"/>
      <c r="AA25" s="389"/>
      <c r="AB25" s="390"/>
      <c r="AD25" s="369"/>
    </row>
    <row r="26" spans="3:35">
      <c r="E26" s="391" t="s">
        <v>83</v>
      </c>
      <c r="F26" s="391"/>
      <c r="G26" s="392" t="s">
        <v>8</v>
      </c>
      <c r="H26" s="392"/>
      <c r="J26" s="391" t="s">
        <v>83</v>
      </c>
      <c r="K26" s="391"/>
      <c r="L26" s="392" t="s">
        <v>8</v>
      </c>
      <c r="M26" s="392"/>
      <c r="O26" s="391" t="s">
        <v>83</v>
      </c>
      <c r="P26" s="391"/>
      <c r="Q26" s="392" t="s">
        <v>8</v>
      </c>
      <c r="R26" s="392"/>
      <c r="T26" s="391" t="s">
        <v>83</v>
      </c>
      <c r="U26" s="391"/>
      <c r="V26" s="392" t="s">
        <v>8</v>
      </c>
      <c r="W26" s="392"/>
      <c r="Y26" s="391" t="s">
        <v>83</v>
      </c>
      <c r="Z26" s="391"/>
      <c r="AA26" s="392" t="s">
        <v>8</v>
      </c>
      <c r="AB26" s="392"/>
    </row>
    <row r="27" spans="3:35" ht="16.5">
      <c r="C27" s="37" t="s">
        <v>10</v>
      </c>
      <c r="E27" s="254">
        <f>COUNTIFS(General!F:F, "IP CERRADA", General!K:K, "G DICLEMENTE", General!H:H, "PTE. APROBACION", General!G:G, "IP CON ORDEN", General!O:O, "&gt;="&amp;DATE(2025,9,1), General!O:O, "&lt;="&amp;DATE(2025,9,31))</f>
        <v>0</v>
      </c>
      <c r="F27" s="38">
        <f>E27*AG5</f>
        <v>0</v>
      </c>
      <c r="G27" s="55">
        <f>COUNTIFS(General!F:F, "IP CERRADA", General!M:M, "G DICLEMENTE", General!H:H, "PTE. APROBACION", General!G:G, "IP CON ORDEN", General!O:O, "&gt;="&amp;DATE(2025,9,1), General!O:O, "&lt;="&amp;DATE(2025,9,31))</f>
        <v>0</v>
      </c>
      <c r="H27" s="42">
        <f>G27*AH5</f>
        <v>0</v>
      </c>
      <c r="J27" s="254">
        <f>COUNTIFS(General!F:F, "IP CERRADA", General!K:K, "R. FRANCO", General!H:H, "PTE. APROBACION", General!G:G, "IP CON ORDEN", General!O:O, "&gt;="&amp;DATE(2025,9,1), General!O:O, "&lt;="&amp;DATE(2025,9,31))</f>
        <v>0</v>
      </c>
      <c r="K27" s="38">
        <f>J27*AG5</f>
        <v>0</v>
      </c>
      <c r="L27" s="41">
        <f>COUNTIFS(General!F:F, "IP CERRADA", General!M:M, "R. FRANCO", General!H:H, "PTE. APROBACION", General!G:G, "IP CON ORDEN", General!O:O, "&gt;="&amp;DATE(2025,9,1), General!O:O, "&lt;="&amp;DATE(2025,9,31))</f>
        <v>0</v>
      </c>
      <c r="M27" s="42">
        <f>L27*AH5</f>
        <v>0</v>
      </c>
      <c r="O27" s="254">
        <f>COUNTIFS(General!F:F, "IP CERRADA", General!K:K, "R ARIN", General!H:H, "PTE. APROBACION", General!G:G, "IP CON ORDEN", General!O:O, "&gt;="&amp;DATE(2025,9,1), General!O:O, "&lt;="&amp;DATE(2025,9,31))</f>
        <v>0</v>
      </c>
      <c r="P27" s="38">
        <f>O27*AG5</f>
        <v>0</v>
      </c>
      <c r="Q27" s="41">
        <f>COUNTIFS(General!F:F, "IP CERRADA", General!M:M, "R ARIN", General!H:H, "PTE. APROBACION", General!G:G, "IP CON ORDEN", General!O:O, "&gt;="&amp;DATE(2025,9,1), General!O:O, "&lt;="&amp;DATE(2025,9,31))</f>
        <v>0</v>
      </c>
      <c r="R27" s="42">
        <f>Q27*AH5</f>
        <v>0</v>
      </c>
      <c r="T27" s="254">
        <f>COUNTIFS(General!F:F, "IP CERRADA", General!K:K, "C. CRIBARI", General!H:H, "PTE. APROBACION", General!G:G, "IP CON ORDEN", General!O:O, "&gt;="&amp;DATE(2025,9,1), General!O:O, "&lt;="&amp;DATE(2025,9,31)) + COUNTIFS(General!F:F, "PARA FACTURAR", General!K:K, "C. CRIBARI", General!G:G, "IP CON ORDEN", General!O:O, "&gt;="&amp;DATE(2025,9,1), General!O:O, "&lt;="&amp;DATE(2025,9,31))</f>
        <v>0</v>
      </c>
      <c r="U27" s="38">
        <f>T27*AG5</f>
        <v>0</v>
      </c>
      <c r="V27" s="41">
        <f>COUNTIFS(General!F:F, "IP CERRADA", General!M:M, "C. CRIBARI", General!H:H, "PTE. APROBACION", General!G:G, "IP CON ORDEN", General!O:O, "&gt;="&amp;DATE(2025,9,1), General!O:O, "&lt;="&amp;DATE(2025,9,31)) + COUNTIFS(General!F:F, "PARA FACTURAR", General!M:M, "C. CRIBARI", General!H:H, "EN TRAMITE", General!G:G, "IP CON ORDEN")</f>
        <v>0</v>
      </c>
      <c r="W27" s="42">
        <f>V27*AH5</f>
        <v>0</v>
      </c>
      <c r="Y27" s="254">
        <f>COUNTIFS(General!F:F, "IP CERRADA", General!K:K, "E DZYHAJLO", General!H:H, "PTE. APROBACION", General!G:G, "IP CON ORDEN", General!O:O, "&gt;="&amp;DATE(2025,9,1), General!O:O, "&lt;="&amp;DATE(2025,9,31))</f>
        <v>0</v>
      </c>
      <c r="Z27" s="38">
        <f>Y27*AG5</f>
        <v>0</v>
      </c>
      <c r="AA27" s="41"/>
      <c r="AB27" s="42">
        <f>AA27*AH5</f>
        <v>0</v>
      </c>
      <c r="AD27" s="37" t="s">
        <v>10</v>
      </c>
    </row>
    <row r="28" spans="3:35" ht="16.5">
      <c r="C28" s="261" t="s">
        <v>15</v>
      </c>
      <c r="E28" s="39">
        <f>COUNTIFS(General!F:F, "IP CERRADA", General!K:K, "G DICLEMENTE", General!H:H, "PTE. APROBACION", General!G:G, "POSIBLE DT", General!O:O, "&gt;="&amp;DATE(2025,9,1), General!O:O, "&lt;="&amp;DATE(2025,9,31))</f>
        <v>0</v>
      </c>
      <c r="F28" s="53">
        <f>E28*AG7</f>
        <v>0</v>
      </c>
      <c r="G28" s="43">
        <f>COUNTIFS(General!F:F, "IP CERRADA", General!M:M, "G DICLEMENTE", General!H:H, "PTE. APROBACION", General!G:G, "POSIBLE DT", General!O:O, "&gt;="&amp;DATE(2025,9,1), General!O:O, "&lt;="&amp;DATE(2025,9,31))</f>
        <v>0</v>
      </c>
      <c r="H28" s="54">
        <f>G28*AH7</f>
        <v>0</v>
      </c>
      <c r="J28" s="39">
        <f>COUNTIFS(General!F:F, "IP CERRADA", General!K:K, "R. FRANCO", General!H:H, "PTE. APROBACION", General!G:G, "POSIBLE DT", General!O:O, "&gt;="&amp;DATE(2025,9,1), General!O:O, "&lt;="&amp;DATE(2025,9,31))</f>
        <v>0</v>
      </c>
      <c r="K28" s="40">
        <f>J28*AG7</f>
        <v>0</v>
      </c>
      <c r="L28" s="43">
        <f>COUNTIFS(General!F:F, "IP CERRADA", General!M:M, "R. FRANCO", General!H:H, "PTE. APROBACION", General!G:G, "POSIBLE DT", General!O:O, "&gt;="&amp;DATE(2025,9,1), General!O:O, "&lt;="&amp;DATE(2025,9,31))</f>
        <v>0</v>
      </c>
      <c r="M28" s="44">
        <f>L28*AH7</f>
        <v>0</v>
      </c>
      <c r="O28" s="39">
        <f>COUNTIFS(General!F:F, "IP CERRADA", General!K:K, "R ARIN", General!H:H, "PTE. APROBACION", General!G:G, "POSIBLE DT", General!O:O, "&gt;="&amp;DATE(2025,9,1), General!O:O, "&lt;="&amp;DATE(2025,9,31))</f>
        <v>0</v>
      </c>
      <c r="P28" s="40">
        <f>O28*AG7</f>
        <v>0</v>
      </c>
      <c r="Q28" s="43">
        <f>COUNTIFS(General!F:F, "IP CERRADA", General!M:M, "R ARIN", General!H:H, "PTE. APROBACION", General!G:G, "POSIBLE DT", General!O:O, "&gt;="&amp;DATE(2025,9,1), General!O:O, "&lt;="&amp;DATE(2025,9,31))</f>
        <v>0</v>
      </c>
      <c r="R28" s="44">
        <f>Q28*AH7</f>
        <v>0</v>
      </c>
      <c r="T28" s="39">
        <f>COUNTIFS(General!F:F, "IP CERRADA", General!K:K, "C. CRIBARI", General!H:H, "PTE. APROBACION", General!G:G, "POSIBLE DT", General!O:O, "&gt;="&amp;DATE(2025,9,1), General!O:O, "&lt;="&amp;DATE(2025,9,31)) + COUNTIFS(General!F:F, "PARA FACTURAR", General!K:K, "C. CRIBARI", General!G:G, "POSIBLE DT", General!O:O, "&gt;="&amp;DATE(2025,9,1), General!O:O, "&lt;="&amp;DATE(2025,9,31))</f>
        <v>0</v>
      </c>
      <c r="U28" s="40">
        <f>T28*AG7</f>
        <v>0</v>
      </c>
      <c r="V28" s="43">
        <f>COUNTIFS(General!F:F, "IP CERRADA", General!M:M, "C. CRIBARI", General!H:H, "PTE. APROBACION", General!G:G, "POSIBLE DT", General!O:O, "&gt;="&amp;DATE(2025,9,1), General!O:O, "&lt;="&amp;DATE(2025,9,31)) + COUNTIFS(General!F:F, "PARA FACTURAR", General!M:M, "C. CRIBARI", General!H:H, "EN TRAMITE", General!G:G, "POSIBLE DT", General!O:O, "&gt;="&amp;DATE(2025,9,1), General!O:O, "&lt;="&amp;DATE(2025,9,31))</f>
        <v>0</v>
      </c>
      <c r="W28" s="44">
        <f>V28*AH7</f>
        <v>0</v>
      </c>
      <c r="Y28" s="39">
        <f>COUNTIFS(General!F:F, "IP CERRADA", General!K:K, "E DZYHAJLO", General!H:H, "PTE. APROBACION", General!G:G, "POSIBLE DT", General!O:O, "&gt;="&amp;DATE(2025,9,1), General!O:O, "&lt;="&amp;DATE(2025,9,31))</f>
        <v>0</v>
      </c>
      <c r="Z28" s="40">
        <f>Y28*AG7</f>
        <v>0</v>
      </c>
      <c r="AA28" s="43"/>
      <c r="AB28" s="44">
        <f>AA28*AH7</f>
        <v>0</v>
      </c>
      <c r="AD28" s="261" t="s">
        <v>15</v>
      </c>
    </row>
    <row r="29" spans="3:35" ht="16.5">
      <c r="C29" s="37" t="s">
        <v>18</v>
      </c>
      <c r="E29" s="254">
        <f>COUNTIFS(General!F:F, "IP CERRADA", General!K:K, "G DICLEMENTE", General!H:H, "PTE. APROBACION", General!G:G, "IP SIN ORDEN", General!O:O, "&gt;="&amp;DATE(2025,9,1), General!O:O, "&lt;="&amp;DATE(2025,9,31))</f>
        <v>0</v>
      </c>
      <c r="F29" s="38">
        <f>E29*AG8</f>
        <v>0</v>
      </c>
      <c r="G29" s="56">
        <f>COUNTIFS(General!F:F, "IP CERRADA", General!M:M, "G DICLEMENTE", General!H:H, "PTE. APROBACION", General!G:G, "IP SIN ORDEN", General!O:O, "&gt;="&amp;DATE(2025,9,1), General!O:O, "&lt;="&amp;DATE(2025,9,31))</f>
        <v>0</v>
      </c>
      <c r="H29" s="42">
        <f>G29*AH8</f>
        <v>0</v>
      </c>
      <c r="J29" s="254">
        <f>COUNTIFS(General!F:F, "IP CERRADA", General!K:K, "R. FRANCO", General!H:H, "PTE. APROBACION", General!G:G, "IP SIN ORDEN", General!O:O, "&gt;="&amp;DATE(2025,9,1), General!O:O, "&lt;="&amp;DATE(2025,9,31))</f>
        <v>0</v>
      </c>
      <c r="K29" s="38">
        <f>J29*AG8</f>
        <v>0</v>
      </c>
      <c r="L29" s="41">
        <f>COUNTIFS(General!F:F, "IP CERRADA", General!M:M, "R. FRANCO", General!H:H, "PTE. APROBACION", General!G:G, "IP SIN ORDEN", General!O:O, "&gt;="&amp;DATE(2025,9,1), General!O:O, "&lt;="&amp;DATE(2025,9,31))</f>
        <v>0</v>
      </c>
      <c r="M29" s="42">
        <f>L29*AH8</f>
        <v>0</v>
      </c>
      <c r="O29" s="254">
        <f>COUNTIFS(General!F:F, "IP CERRADA", General!K:K, "R ARIN", General!H:H, "PTE. APROBACION", General!G:G, "IP SIN ORDEN", General!O:O, "&gt;="&amp;DATE(2025,9,1), General!O:O, "&lt;="&amp;DATE(2025,9,31))</f>
        <v>0</v>
      </c>
      <c r="P29" s="38">
        <f>O29*AG8</f>
        <v>0</v>
      </c>
      <c r="Q29" s="41">
        <f>COUNTIFS(General!F:F, "IP CERRADA", General!M:M, "R ARIN", General!H:H, "PTE. APROBACION", General!G:G, "IP SIN ORDEN", General!O:O, "&gt;="&amp;DATE(2025,9,1), General!O:O, "&lt;="&amp;DATE(2025,9,31))</f>
        <v>0</v>
      </c>
      <c r="R29" s="42">
        <f>Q29*AH8</f>
        <v>0</v>
      </c>
      <c r="T29" s="254">
        <f>COUNTIFS(General!F:F, "IP CERRADA", General!K:K, "C. CRIBARI", General!H:H, "PTE. APROBACION", General!G:G, "IP SIN ORDEN", General!O:O, "&gt;="&amp;DATE(2025,9,1), General!O:O, "&lt;="&amp;DATE(2025,9,31)) + COUNTIFS(General!F:F, "PARA FACTURAR", General!K:K, "C. CRIBARI", General!G:G, "IP SIN ORDEN", General!O:O, "&gt;="&amp;DATE(2025,9,1), General!O:O, "&lt;="&amp;DATE(2025,9,31))</f>
        <v>0</v>
      </c>
      <c r="U29" s="38">
        <f>T29*AG8</f>
        <v>0</v>
      </c>
      <c r="V29" s="41">
        <f>COUNTIFS(General!F:F, "IP CERRADA", General!M:M, "C. CRIBARI", General!H:H, "PTE. APROBACION", General!G:G, "IP SIN ORDEN", General!O:O, "&gt;="&amp;DATE(2025,9,1), General!O:O, "&lt;="&amp;DATE(2025,9,31)) + COUNTIFS(General!F:F, "PARA FACTURAR", General!M:M, "C. CRIBARI", General!H:H, "EN TRAMITE", General!G:G, "IP SIN ORDEN", General!O:O, "&gt;="&amp;DATE(2025,9,1), General!O:O, "&lt;="&amp;DATE(2025,9,31))</f>
        <v>0</v>
      </c>
      <c r="W29" s="42">
        <f>V29*AH8</f>
        <v>0</v>
      </c>
      <c r="Y29" s="254">
        <f>COUNTIFS(General!F:F, "IP CERRADA", General!K:K, "E DZYHAJLO", General!H:H, "PTE. APROBACION", General!G:G, "IP SIN ORDEN", General!O:O, "&gt;="&amp;DATE(2025,9,1), General!O:O, "&lt;="&amp;DATE(2025,9,31))</f>
        <v>0</v>
      </c>
      <c r="Z29" s="38">
        <f>Y29*AG8</f>
        <v>0</v>
      </c>
      <c r="AA29" s="41"/>
      <c r="AB29" s="42">
        <f>AA29*AH8</f>
        <v>0</v>
      </c>
      <c r="AD29" s="37" t="s">
        <v>18</v>
      </c>
    </row>
    <row r="30" spans="3:35" ht="16.5">
      <c r="C30" s="261" t="s">
        <v>21</v>
      </c>
      <c r="E30" s="39">
        <f>COUNTIFS(General!F:F, "IP CERRADA", General!K:K, "G DICLEMENTE", General!H:H, "PTE. APROBACION", General!G:G, "AMPLIACION", General!O:O, "&gt;="&amp;DATE(2025,9,1), General!O:O, "&lt;="&amp;DATE(2025,9,31))</f>
        <v>0</v>
      </c>
      <c r="F30" s="40">
        <f>E30*AG9</f>
        <v>0</v>
      </c>
      <c r="G30" s="43">
        <f>COUNTIFS(General!F:F, "IP CERRADA", General!M:M, "G DICLEMENTE", General!H:H, "PTE. APROBACION", General!G:G, "AMPLIACION", General!O:O, "&gt;="&amp;DATE(2025,9,1), General!O:O, "&lt;="&amp;DATE(2025,9,31))</f>
        <v>0</v>
      </c>
      <c r="H30" s="44">
        <f>G30*AH9</f>
        <v>0</v>
      </c>
      <c r="J30" s="39">
        <f>COUNTIFS(General!F:F, "IP CERRADA", General!K:K, "R. FRANCO", General!H:H, "PTE. APROBACION", General!G:G, "AMPLIACION", General!O:O, "&gt;="&amp;DATE(2025,9,1), General!O:O, "&lt;="&amp;DATE(2025,9,31))</f>
        <v>0</v>
      </c>
      <c r="K30" s="40">
        <f>J30*AG9</f>
        <v>0</v>
      </c>
      <c r="L30" s="43">
        <f>COUNTIFS(General!F:F, "IP CERRADA", General!M:M, "R. FRANCO", General!H:H, "PTE. APROBACION", General!G:G, "AMPLIACION", General!O:O, "&gt;="&amp;DATE(2025,9,1), General!O:O, "&lt;="&amp;DATE(2025,9,31))</f>
        <v>0</v>
      </c>
      <c r="M30" s="44">
        <f>L30*AH9</f>
        <v>0</v>
      </c>
      <c r="O30" s="39">
        <f>COUNTIFS(General!F:F, "IP CERRADA", General!K:K, "R ARIN", General!H:H, "PTE. APROBACION", General!G:G, "AMPLIACION", General!O:O, "&gt;="&amp;DATE(2025,9,1), General!O:O, "&lt;="&amp;DATE(2025,9,31))</f>
        <v>0</v>
      </c>
      <c r="P30" s="40">
        <f>O30*AG9</f>
        <v>0</v>
      </c>
      <c r="Q30" s="43">
        <f>COUNTIFS(General!F:F, "IP CERRADA", General!M:M, "R ARIN", General!H:H, "PTE. APROBACION", General!G:G, "AMPLIACION", General!O:O, "&gt;="&amp;DATE(2025,9,1), General!O:O, "&lt;="&amp;DATE(2025,9,31))</f>
        <v>0</v>
      </c>
      <c r="R30" s="44">
        <f>Q30*AH9</f>
        <v>0</v>
      </c>
      <c r="T30" s="39">
        <f>COUNTIFS(General!F:F, "IP CERRADA", General!K:K, "C. CRIBARI", General!H:H, "PTE. APROBACION", General!G:G, "AMPLIACION", General!O:O, "&gt;="&amp;DATE(2025,9,1), General!O:O, "&lt;="&amp;DATE(2025,9,31)) + COUNTIFS(General!F:F, "PARA FACTURAR", General!K:K, "C. CRIBARI", General!G:G, "AMPLIACION", General!O:O, "&gt;="&amp;DATE(2025,9,1), General!O:O, "&lt;="&amp;DATE(2025,9,31))</f>
        <v>0</v>
      </c>
      <c r="U30" s="40">
        <f>T30*AG9</f>
        <v>0</v>
      </c>
      <c r="V30" s="43">
        <f>COUNTIFS(General!F:F, "IP SIN ORDEN", General!M:M, "C. CRIBARI", General!H:H, "PTE. APROBACION", General!G:G, "AMPLIACION", General!O:O, "&gt;="&amp;DATE(2025,9,1), General!O:O, "&lt;="&amp;DATE(2025,9,31)) + COUNTIFS(General!F:F, "PARA FACTURAR", General!M:M, "C. CRIBARI", General!H:H, "EN TRAMITE", General!G:G, "AMPLIACION", General!O:O, "&gt;="&amp;DATE(2025,9,1), General!O:O, "&lt;="&amp;DATE(2025,9,31))</f>
        <v>0</v>
      </c>
      <c r="W30" s="44">
        <f>V30*AH9</f>
        <v>0</v>
      </c>
      <c r="Y30" s="39">
        <f>COUNTIFS(General!F:F, "IP CERRADA", General!K:K, "E DZYHAJLO", General!H:H, "PTE. APROBACION", General!G:G, "AMPLIACION", General!O:O, "&gt;="&amp;DATE(2025,9,1), General!O:O, "&lt;="&amp;DATE(2025,9,31))</f>
        <v>0</v>
      </c>
      <c r="Z30" s="40">
        <f>Y30*AG9</f>
        <v>0</v>
      </c>
      <c r="AA30" s="43"/>
      <c r="AB30" s="44">
        <f>AA30*AH9</f>
        <v>0</v>
      </c>
      <c r="AD30" s="261" t="s">
        <v>21</v>
      </c>
    </row>
    <row r="31" spans="3:35" ht="16.5">
      <c r="C31" s="37" t="s">
        <v>24</v>
      </c>
      <c r="E31" s="254"/>
      <c r="F31" s="38"/>
      <c r="G31" s="41">
        <f>COUNTIFS(General!F:F, "IP CERRADA", General!M:M, "G DICLEMENTE", General!H:H, "PTE. APROBACION", General!G:G, "ENVIO DE ORDEN", General!O:O, "&gt;="&amp;DATE(2025,9,1), General!O:O, "&lt;="&amp;DATE(2025,9,31))</f>
        <v>0</v>
      </c>
      <c r="H31" s="42">
        <f>G31*AH10</f>
        <v>0</v>
      </c>
      <c r="J31" s="254"/>
      <c r="K31" s="38"/>
      <c r="L31" s="41">
        <f>COUNTIFS(General!F:F, "IP CERRADA", General!M:M, "R. FRANCO", General!H:H, "PTE. APROBACION", General!G:G, "ENVIO DE ORDEN", General!O:O, "&gt;="&amp;DATE(2025,9,1), General!O:O, "&lt;="&amp;DATE(2025,9,31))</f>
        <v>0</v>
      </c>
      <c r="M31" s="42">
        <f>L31*AH10</f>
        <v>0</v>
      </c>
      <c r="O31" s="254"/>
      <c r="P31" s="38"/>
      <c r="Q31" s="41">
        <f>COUNTIFS(General!F:F, "IP CERRADA", General!M:M, "R ARIN", General!H:H, "PTE. APROBACION", General!G:G, "ENVIO DE ORDEN", General!O:O, "&gt;="&amp;DATE(2025,9,1), General!O:O, "&lt;="&amp;DATE(2025,9,31))</f>
        <v>0</v>
      </c>
      <c r="R31" s="42">
        <f>Q31*AH10</f>
        <v>0</v>
      </c>
      <c r="T31" s="254"/>
      <c r="U31" s="38"/>
      <c r="V31" s="41">
        <f>COUNTIFS(General!P:P, "IP SIN ORDEN", General!AC:AC, "J. FERLANTI", General!R:R, "PTE. APROBACION", General!Q:Q, "ENVIO DE ORDEN", General!AE:AE, "&gt;="&amp;DATE(2024,5,1), General!AE:AE, "&lt;="&amp;DATE(2024,5,31)) + COUNTIFS(General!P:P, "PARA FACTURAR", General!AC:AC, "J. FERLANTI", General!R:R, "EN TRAMITE", General!Q:Q, "ENVIO DE ORDEN", General!AE:AE, "&gt;="&amp;DATE(2024,5,1), General!AE:AE, "&lt;="&amp;DATE(2024,5,31))</f>
        <v>0</v>
      </c>
      <c r="W31" s="42">
        <f>V31*AH10</f>
        <v>0</v>
      </c>
      <c r="Y31" s="254"/>
      <c r="Z31" s="38"/>
      <c r="AA31" s="41"/>
      <c r="AB31" s="42">
        <f>AA31*AH10</f>
        <v>0</v>
      </c>
      <c r="AD31" s="37" t="s">
        <v>24</v>
      </c>
    </row>
    <row r="32" spans="3:35" ht="16.5">
      <c r="C32" s="261" t="s">
        <v>29</v>
      </c>
      <c r="E32" s="39">
        <f>COUNTIFS(General!F:F, "IP CERRADA", General!K:K, "G DICLEMENTE", General!H:H, "PTE. APROBACION", General!G:G, "IP CAMIONES", General!O:O, "&gt;="&amp;DATE(2025,9,1), General!O:O, "&lt;="&amp;DATE(2025,9,31))</f>
        <v>0</v>
      </c>
      <c r="F32" s="40">
        <f>E32*AG15</f>
        <v>0</v>
      </c>
      <c r="G32" s="43">
        <f>COUNTIFS(General!F:F, "IP CERRADA", General!M:M, "G DICLEMENTE", General!H:H, "PTE. APROBACION", General!G:G, "IP CAMIONES", General!O:O, "&gt;="&amp;DATE(2025,9,1), General!O:O, "&lt;="&amp;DATE(2025,9,31))</f>
        <v>0</v>
      </c>
      <c r="H32" s="44">
        <f>G32*AH15</f>
        <v>0</v>
      </c>
      <c r="J32" s="39">
        <f>COUNTIFS(General!F:F, "IP CERRADA", General!K:K, "R. FRANCO", General!H:H, "PTE. APROBACION", General!G:G, "IP CAMIONES", General!O:O, "&gt;="&amp;DATE(2025,9,1), General!O:O, "&lt;="&amp;DATE(2025,9,31))</f>
        <v>0</v>
      </c>
      <c r="K32" s="40">
        <f>J32*AG15</f>
        <v>0</v>
      </c>
      <c r="L32" s="43">
        <f>COUNTIFS(General!F:F, "IP CERRADA", General!M:M, "R. FRANCO", General!H:H, "PTE. APROBACION", General!G:G, "IP CAMIONES", General!O:O, "&gt;="&amp;DATE(2025,9,1), General!O:O, "&lt;="&amp;DATE(2025,9,31))</f>
        <v>0</v>
      </c>
      <c r="M32" s="44">
        <f>L32*AH15</f>
        <v>0</v>
      </c>
      <c r="O32" s="39">
        <f>COUNTIFS(General!F:F, "IP CERRADA", General!K:K, "R ARIN", General!H:H, "PTE. APROBACION", General!G:G, "IP CAMIONES", General!O:O, "&gt;="&amp;DATE(2025,9,1), General!O:O, "&lt;="&amp;DATE(2025,9,31))</f>
        <v>0</v>
      </c>
      <c r="P32" s="40">
        <f>O32*AG15</f>
        <v>0</v>
      </c>
      <c r="Q32" s="43">
        <f>COUNTIFS(General!F:F, "IP CERRADA", General!M:M, "R ARIN", General!H:H, "PTE. APROBACION", General!G:G, "IP CAMIONES", General!O:O, "&gt;="&amp;DATE(2025,9,1), General!O:O, "&lt;="&amp;DATE(2025,9,31))</f>
        <v>0</v>
      </c>
      <c r="R32" s="44">
        <f>Q32*AH15</f>
        <v>0</v>
      </c>
      <c r="T32" s="39">
        <f>COUNTIFS(General!F:F, "IP CERRADA", General!K:K, "C. CRIBARI", General!H:H, "PTE. APROBACION", General!G:G, "IP CAMIONES", General!O:O, "&gt;="&amp;DATE(2025,9,1), General!O:O, "&lt;="&amp;DATE(2025,9,31)) + COUNTIFS(General!F:F, "PARA FACTURAR", General!K:K, "C. CRIBARI", General!G:G, "IP CAMIONES", General!O:O, "&gt;="&amp;DATE(2025,9,1), General!O:O, "&lt;="&amp;DATE(2025,9,31))</f>
        <v>0</v>
      </c>
      <c r="U32" s="40">
        <f>T32*AG15</f>
        <v>0</v>
      </c>
      <c r="V32" s="43">
        <f>COUNTIFS(General!P:P, "IP CERRADA", General!AC:AC, "J. FERLANTI", General!R:R, "PTE. APROBACION", General!Q:Q, "IP CAMIONES", General!AE:AE, "&gt;="&amp;DATE(2024,5,1), General!AE:AE, "&lt;="&amp;DATE(2024,5,31))</f>
        <v>0</v>
      </c>
      <c r="W32" s="44">
        <f>V32*AH15</f>
        <v>0</v>
      </c>
      <c r="Y32" s="39">
        <f>COUNTIFS(General!F:F, "IP CERRADA", General!K:K, "E DZYHAJLO", General!H:H, "PTE. APROBACION", General!G:G, "IP CAMIONES", General!O:O, "&gt;="&amp;DATE(2025,9,1), General!O:O, "&lt;="&amp;DATE(2025,9,31))</f>
        <v>0</v>
      </c>
      <c r="Z32" s="40">
        <f>Y32*AG15</f>
        <v>0</v>
      </c>
      <c r="AA32" s="43"/>
      <c r="AB32" s="44">
        <f>AA32*AH15</f>
        <v>0</v>
      </c>
      <c r="AD32" s="261" t="s">
        <v>29</v>
      </c>
    </row>
    <row r="33" spans="3:30" ht="16.5">
      <c r="C33" s="37" t="s">
        <v>30</v>
      </c>
      <c r="E33" s="254">
        <f>COUNTIFS(General!F:F, "IP CERRADA", General!K:K, "G DICLEMENTE", General!H:H, "PTE. APROBACION", General!G:G, "TERCEROS", General!O:O, "&gt;="&amp;DATE(2024,3,1), General!O:O, "&gt;="&amp;DATE(2025,9,1), General!O:O, "&lt;="&amp;DATE(2025,9,31))</f>
        <v>0</v>
      </c>
      <c r="F33" s="38">
        <f>E33*AG12</f>
        <v>0</v>
      </c>
      <c r="G33" s="41">
        <f>COUNTIFS(General!F:F, "IP CERRADA", General!M:M, "G DICLEMENTE", General!H:H, "PTE. APROBACION", General!G:G, "TERCEROS", General!O:O, "&gt;="&amp;DATE(2025,9,1), General!O:O, "&lt;="&amp;DATE(2025,9,31))</f>
        <v>0</v>
      </c>
      <c r="H33" s="42">
        <f>G33*AH12</f>
        <v>0</v>
      </c>
      <c r="J33" s="254">
        <f>COUNTIFS(General!F:F, "IP CERRADA", General!K:K, "R. FRANCO", General!H:H, "PTE. APROBACION", General!G:G, "TERCEROS", General!O:O, "&gt;="&amp;DATE(2024,3,1), General!O:O, "&gt;="&amp;DATE(2025,9,1), General!O:O, "&lt;="&amp;DATE(2025,9,31))</f>
        <v>0</v>
      </c>
      <c r="K33" s="38">
        <f>J33*AG12</f>
        <v>0</v>
      </c>
      <c r="L33" s="41">
        <f>COUNTIFS(General!F:F, "IP CERRADA", General!M:M, "R. FRANCO", General!H:H, "PTE. APROBACION", General!G:G, "TERCEROS", General!O:O, "&gt;="&amp;DATE(2025,9,1), General!O:O, "&lt;="&amp;DATE(2025,9,31))</f>
        <v>0</v>
      </c>
      <c r="M33" s="42">
        <f>L33*AH12</f>
        <v>0</v>
      </c>
      <c r="O33" s="254">
        <f>COUNTIFS(General!F:F, "IP CERRADA", General!K:K, "R ARIN", General!H:H, "PTE. APROBACION", General!G:G, "TERCEROS", General!O:O, "&gt;="&amp;DATE(2024,3,1), General!O:O, "&gt;="&amp;DATE(2025,9,1), General!O:O, "&lt;="&amp;DATE(2025,9,31))</f>
        <v>0</v>
      </c>
      <c r="P33" s="38">
        <f>O33*AG12</f>
        <v>0</v>
      </c>
      <c r="Q33" s="41">
        <f>COUNTIFS(General!F:F, "IP CERRADA", General!M:M, "R ARIN", General!H:H, "PTE. APROBACION", General!G:G, "TERCEROS", General!O:O, "&gt;="&amp;DATE(2025,9,1), General!O:O, "&lt;="&amp;DATE(2025,9,31))</f>
        <v>0</v>
      </c>
      <c r="R33" s="42">
        <f>Q33*AH12</f>
        <v>0</v>
      </c>
      <c r="T33" s="254">
        <f>COUNTIFS(General!F:F, "IP CERRADA", General!K:K, "C. CRIBARI", General!H:H, "PTE. APROBACION", General!G:G, "TERCEROS", General!O:O, "&gt;="&amp;DATE(2024,3,1), General!O:O, "&gt;="&amp;DATE(2025,9,1), General!O:O, "&lt;="&amp;DATE(2025,9,31)) + COUNTIFS(General!F:F, "PARA FACTURAR", General!K:K, "C. CRIBARI", General!G:G, "TERCEROS", General!O:O, "&gt;="&amp;DATE(2025,9,1), General!O:O, "&lt;="&amp;DATE(2025,9,31))</f>
        <v>0</v>
      </c>
      <c r="U33" s="38">
        <f>T33*AG12</f>
        <v>0</v>
      </c>
      <c r="V33" s="41">
        <f>COUNTIFS(General!F:F, "IP CERRADA", General!M:M, "J. FERLANTI", General!H:H, "PTE. APROBACION", General!G:G, "IP CAMIONES", General!O:O, "&gt;="&amp;DATE(2025,9,1), General!O:O, "&lt;="&amp;DATE(2025,9,31))</f>
        <v>0</v>
      </c>
      <c r="W33" s="42">
        <f>V33*AH12</f>
        <v>0</v>
      </c>
      <c r="Y33" s="254">
        <f>COUNTIFS(General!F:F, "IP CERRADA", General!K:K, "E DZYHAJLO", General!H:H, "PTE. APROBACION", General!G:G, "TERCEROS", General!O:O, "&gt;="&amp;DATE(2024,3,1), General!O:O, "&gt;="&amp;DATE(2025,9,1), General!O:O, "&lt;="&amp;DATE(2025,9,31))</f>
        <v>0</v>
      </c>
      <c r="Z33" s="38">
        <f>Y33*AG12</f>
        <v>0</v>
      </c>
      <c r="AA33" s="41"/>
      <c r="AB33" s="42">
        <f>AA33*AH12</f>
        <v>0</v>
      </c>
      <c r="AD33" s="37" t="s">
        <v>30</v>
      </c>
    </row>
    <row r="34" spans="3:30" ht="16.5">
      <c r="C34" s="261" t="s">
        <v>32</v>
      </c>
      <c r="E34" s="39"/>
      <c r="F34" s="40"/>
      <c r="G34" s="43">
        <f>COUNTIFS(General!F:F, "IP CERRADA", General!M:M, "G DICLEMENTE", General!H:H, "PTE. APROBACION", General!G:G, "FOTOS", General!O:O, "&gt;="&amp;DATE(2025,9,1), General!O:O, "&lt;="&amp;DATE(2025,9,31))</f>
        <v>0</v>
      </c>
      <c r="H34" s="44">
        <f>G34*AH13</f>
        <v>0</v>
      </c>
      <c r="J34" s="39"/>
      <c r="K34" s="40"/>
      <c r="L34" s="43">
        <f>COUNTIFS(General!F:F, "IP CERRADA", General!M:M, "R. FRANCO", General!H:H, "PTE. APROBACION", General!G:G, "FOTOS", General!O:O, "&gt;="&amp;DATE(2025,9,1), General!O:O, "&lt;="&amp;DATE(2025,9,31))</f>
        <v>0</v>
      </c>
      <c r="M34" s="44">
        <f>L34*AH13</f>
        <v>0</v>
      </c>
      <c r="O34" s="39"/>
      <c r="P34" s="40"/>
      <c r="Q34" s="43">
        <f>COUNTIFS(General!F:F, "IP CERRADA", General!M:M, "R ARIN", General!H:H, "PTE. APROBACION", General!G:G, "FOTOS", General!O:O, "&gt;="&amp;DATE(2025,9,1), General!O:O, "&lt;="&amp;DATE(2025,9,31))</f>
        <v>0</v>
      </c>
      <c r="R34" s="44">
        <f>Q34*AH13</f>
        <v>0</v>
      </c>
      <c r="T34" s="39"/>
      <c r="U34" s="40"/>
      <c r="V34" s="43">
        <f>COUNTIFS(General!P:P, "IP SIN ORDEN", General!AC:AC, "J. FERLANTI", General!R:R, "PTE. APROBACION", General!Q:Q, "FOTOS", General!AE:AE, "&gt;="&amp;DATE(2024,5,1), General!AE:AE, "&lt;="&amp;DATE(2024,5,31)) + COUNTIFS(General!P:P, "PARA FACTURAR", General!AC:AC, "J. FERLANTI", General!R:R, "EN TRAMITE", General!Q:Q, "FOTOS", General!AE:AE, "&gt;="&amp;DATE(2024,5,1), General!AE:AE, "&lt;="&amp;DATE(2024,5,31))</f>
        <v>0</v>
      </c>
      <c r="W34" s="44">
        <f>V34*AH13</f>
        <v>0</v>
      </c>
      <c r="Y34" s="39"/>
      <c r="Z34" s="40"/>
      <c r="AA34" s="43"/>
      <c r="AB34" s="44">
        <f>AA34*AH13</f>
        <v>0</v>
      </c>
      <c r="AD34" s="261" t="s">
        <v>32</v>
      </c>
    </row>
    <row r="35" spans="3:30" ht="16.5">
      <c r="C35" s="37" t="s">
        <v>34</v>
      </c>
      <c r="E35" s="254">
        <f>COUNTIFS(General!F:F, "IP CERRADA", General!K:K, "G DICLEMENTE", General!H:H, "PTE. APROBACION", General!G:G, "IP REMOTA", General!O:O, "&gt;="&amp;DATE(2025,9,1), General!O:O, "&lt;="&amp;DATE(2025,9,31))</f>
        <v>0</v>
      </c>
      <c r="F35" s="38">
        <f>E35*AG14</f>
        <v>0</v>
      </c>
      <c r="G35" s="41">
        <f>COUNTIFS(General!F:F, "IP CERRADA", General!M:M, "G DICLEMENTE", General!H:H, "PTE. APROBACION", General!G:G, "IP REMOTA", General!O:O, "&gt;="&amp;DATE(2025,9,1), General!O:O, "&lt;="&amp;DATE(2025,9,31))</f>
        <v>0</v>
      </c>
      <c r="H35" s="42">
        <f>G35*AH14</f>
        <v>0</v>
      </c>
      <c r="J35" s="254">
        <f>COUNTIFS(General!F:F, "IP CERRADA", General!K:K, "R. FRANCO", General!H:H, "PTE. APROBACION", General!G:G, "IP REMOTA", General!O:O, "&gt;="&amp;DATE(2025,9,1), General!O:O, "&lt;="&amp;DATE(2025,9,31))</f>
        <v>0</v>
      </c>
      <c r="K35" s="38">
        <f>J35*AG14</f>
        <v>0</v>
      </c>
      <c r="L35" s="41">
        <f>COUNTIFS(General!F:F, "IP CERRADA", General!M:M, "R. FRANCO", General!H:H, "PTE. APROBACION", General!G:G, "IP REMOTA", General!O:O, "&gt;="&amp;DATE(2025,9,1), General!O:O, "&lt;="&amp;DATE(2025,9,31))</f>
        <v>0</v>
      </c>
      <c r="M35" s="42">
        <f>L35*AH14</f>
        <v>0</v>
      </c>
      <c r="O35" s="254">
        <f>COUNTIFS(General!F:F, "IP CERRADA", General!K:K, "R ARIN", General!H:H, "PTE. APROBACION", General!G:G, "IP REMOTA", General!O:O, "&gt;="&amp;DATE(2025,9,1), General!O:O, "&lt;="&amp;DATE(2025,9,31))</f>
        <v>0</v>
      </c>
      <c r="P35" s="38">
        <f>O35*AG14</f>
        <v>0</v>
      </c>
      <c r="Q35" s="41">
        <f>COUNTIFS(General!F:F, "IP CERRADA", General!M:M, "R ARIN", General!H:H, "PTE. APROBACION", General!G:G, "IP REMOTA", General!O:O, "&gt;="&amp;DATE(2025,9,1), General!O:O, "&lt;="&amp;DATE(2025,9,31))</f>
        <v>0</v>
      </c>
      <c r="R35" s="42">
        <f>Q35*AH14</f>
        <v>0</v>
      </c>
      <c r="T35" s="254">
        <f>COUNTIFS(General!F:F, "IP CERRADA", General!K:K, "C. CRIBARI", General!H:H, "PTE. APROBACION", General!G:G, "IP REMOTA", General!O:O, "&gt;="&amp;DATE(2025,9,1), General!O:O, "&lt;="&amp;DATE(2025,9,31))</f>
        <v>0</v>
      </c>
      <c r="U35" s="38">
        <f>T35*AG14</f>
        <v>0</v>
      </c>
      <c r="V35" s="41">
        <f>COUNTIFS(General!P:P, "IP SIN ORDEN", General!AC:AC, "J. FERLANTI", General!R:R, "PTE. APROBACION", General!Q:Q, "IP REMOTA", General!AE:AE, "&gt;="&amp;DATE(2024,5,1), General!AE:AE, "&lt;="&amp;DATE(2024,5,31)) + COUNTIFS(General!P:P, "PARA FACTURAR", General!AC:AC, "J. FERLANTI", General!R:R, "EN TRAMITE", General!Q:Q, "IP REMOTA", General!AE:AE, "&gt;="&amp;DATE(2024,5,1), General!AE:AE, "&lt;="&amp;DATE(2024,5,31))</f>
        <v>0</v>
      </c>
      <c r="W35" s="42">
        <f>V35*AH14</f>
        <v>0</v>
      </c>
      <c r="Y35" s="254">
        <f>COUNTIFS(General!F:F, "IP CERRADA", General!K:K, "E DZYHAJLO", General!H:H, "PTE. APROBACION", General!G:G, "IP REMOTA", General!O:O, "&gt;="&amp;DATE(2025,9,1), General!O:O, "&lt;="&amp;DATE(2025,9,31))</f>
        <v>0</v>
      </c>
      <c r="Z35" s="38">
        <f>Y35*AG14</f>
        <v>0</v>
      </c>
      <c r="AA35" s="41"/>
      <c r="AB35" s="42">
        <f>AA35*AH14</f>
        <v>0</v>
      </c>
      <c r="AD35" s="37" t="s">
        <v>34</v>
      </c>
    </row>
    <row r="36" spans="3:30" ht="16.5">
      <c r="C36" s="261" t="s">
        <v>37</v>
      </c>
      <c r="E36" s="39"/>
      <c r="F36" s="40"/>
      <c r="G36" s="43">
        <f>COUNTIFS(General!F:F, "IP CERRADA", General!M:M, "G DICLEMENTE", General!H:H, "PTE. APROBACION", General!G:G, "IP VIRTUAL", General!O:O, "&gt;="&amp;DATE(2025,9,1), General!O:O, "&lt;="&amp;DATE(2025,9,31))</f>
        <v>0</v>
      </c>
      <c r="H36" s="44">
        <f>G36*AH16</f>
        <v>0</v>
      </c>
      <c r="J36" s="39"/>
      <c r="K36" s="40"/>
      <c r="L36" s="43">
        <f>COUNTIFS(General!F:F, "IP CERRADA", General!M:M, "R. FRANCO", General!H:H, "PTE. APROBACION", General!G:G, "IP VIRTUAL", General!O:O, "&gt;="&amp;DATE(2025,9,1), General!O:O, "&lt;="&amp;DATE(2025,9,31))</f>
        <v>0</v>
      </c>
      <c r="M36" s="44">
        <f>L36*AH16</f>
        <v>0</v>
      </c>
      <c r="O36" s="39"/>
      <c r="P36" s="40"/>
      <c r="Q36" s="43">
        <f>COUNTIFS(General!F:F, "IP CERRADA", General!M:M, "R ARIN", General!H:H, "PTE. APROBACION", General!G:G, "IP VIRTUAL", General!O:O, "&gt;="&amp;DATE(2025,9,1), General!O:O, "&lt;="&amp;DATE(2025,9,31))</f>
        <v>0</v>
      </c>
      <c r="R36" s="44">
        <f>Q36*AH16</f>
        <v>0</v>
      </c>
      <c r="T36" s="39"/>
      <c r="U36" s="40"/>
      <c r="V36" s="43">
        <f>COUNTIFS(General!P:P, "IP SIN ORDEN", General!AC:AC, "J. FERLANTI", General!R:R, "PTE. APROBACION", General!Q:Q, "IP VIRTUAL", General!AE:AE, "&gt;="&amp;DATE(2024,5,1), General!AE:AE, "&lt;="&amp;DATE(2024,5,31)) + COUNTIFS(General!P:P, "PARA FACTURAR", General!AC:AC, "J. FERLANTI", General!R:R, "EN TRAMITE", General!Q:Q, "IP VIRTUAL", General!AE:AE, "&gt;="&amp;DATE(2024,5,1), General!AE:AE, "&lt;="&amp;DATE(2024,5,31))</f>
        <v>0</v>
      </c>
      <c r="W36" s="44">
        <f>V36*AH16</f>
        <v>0</v>
      </c>
      <c r="Y36" s="39"/>
      <c r="Z36" s="40"/>
      <c r="AA36" s="43"/>
      <c r="AB36" s="44">
        <f>AA36*AH16</f>
        <v>0</v>
      </c>
      <c r="AD36" s="261" t="s">
        <v>37</v>
      </c>
    </row>
    <row r="37" spans="3:30" ht="16.5">
      <c r="C37" s="37" t="s">
        <v>26</v>
      </c>
      <c r="E37" s="254">
        <f>COUNTIFS(General!F:F, "IP CERRADA", General!K:K, "G DICLEMENTE", General!H:H, "PTE. APROBACION", General!G:G, "AUSENTE", General!O:O, "&gt;="&amp;DATE(2025,9,1), General!O:O, "&lt;="&amp;DATE(2025,9,31))</f>
        <v>0</v>
      </c>
      <c r="F37" s="38">
        <f>E36*AG11</f>
        <v>0</v>
      </c>
      <c r="G37" s="41"/>
      <c r="H37" s="42"/>
      <c r="J37" s="254">
        <f>COUNTIFS(General!F:F, "IP CERRADA", General!K:K, "R. FRANCO", General!H:H, "PTE. APROBACION", General!G:G, "AUSENTE", General!L:L, "&gt;="&amp;DATE(2025,6,1), General!L:L, "&lt;="&amp;DATE(2025,6,31))</f>
        <v>0</v>
      </c>
      <c r="K37" s="38">
        <f>J37*AG11</f>
        <v>0</v>
      </c>
      <c r="L37" s="41"/>
      <c r="M37" s="42"/>
      <c r="O37" s="254">
        <f>COUNTIFS(General!F:F, "IP CERRADA", General!K:K, "R ARIN", General!H:H, "PTE. APROBACION", General!G:G, "AUSENTE", General!O:O, "&gt;="&amp;DATE(2025,9,1), General!O:O, "&lt;="&amp;DATE(2025,9,31))</f>
        <v>0</v>
      </c>
      <c r="P37" s="38">
        <f>O36*AG11</f>
        <v>0</v>
      </c>
      <c r="Q37" s="41"/>
      <c r="R37" s="42"/>
      <c r="T37" s="254">
        <f>COUNTIFS(General!F:F, "IP CERRADA", General!K:K, "C. CRIBARI", General!H:H, "PTE. APROBACION", General!G:G, "AUSENTE", General!O:O, "&gt;="&amp;DATE(2025,9,1), General!O:O, "&lt;="&amp;DATE(2025,9,31))</f>
        <v>0</v>
      </c>
      <c r="U37" s="38">
        <f>T37*AG11</f>
        <v>0</v>
      </c>
      <c r="V37" s="41"/>
      <c r="W37" s="42"/>
      <c r="Y37" s="254">
        <f>COUNTIFS(General!F:F, "IP CERRADA", General!K:K, "E DZYHAJLO", General!H:H, "PTE. APROBACION", General!G:G, "AUSENTE", General!O:O, "&gt;="&amp;DATE(2025,9,1), General!O:O, "&lt;="&amp;DATE(2025,9,31))</f>
        <v>0</v>
      </c>
      <c r="Z37" s="38">
        <f>Y36*AG11</f>
        <v>0</v>
      </c>
      <c r="AA37" s="41"/>
      <c r="AB37" s="42"/>
      <c r="AD37" s="37" t="s">
        <v>26</v>
      </c>
    </row>
    <row r="38" spans="3:30">
      <c r="E38" s="383" t="s">
        <v>44</v>
      </c>
      <c r="F38" s="384"/>
      <c r="G38" s="381" t="s">
        <v>44</v>
      </c>
      <c r="H38" s="382"/>
      <c r="J38" s="383" t="s">
        <v>44</v>
      </c>
      <c r="K38" s="384"/>
      <c r="L38" s="381" t="s">
        <v>44</v>
      </c>
      <c r="M38" s="382"/>
      <c r="O38" s="383" t="s">
        <v>44</v>
      </c>
      <c r="P38" s="384"/>
      <c r="Q38" s="381" t="s">
        <v>44</v>
      </c>
      <c r="R38" s="382"/>
      <c r="T38" s="383" t="s">
        <v>44</v>
      </c>
      <c r="U38" s="384"/>
      <c r="V38" s="381" t="s">
        <v>44</v>
      </c>
      <c r="W38" s="382"/>
      <c r="Y38" s="383" t="s">
        <v>44</v>
      </c>
      <c r="Z38" s="384"/>
      <c r="AA38" s="381" t="s">
        <v>44</v>
      </c>
      <c r="AB38" s="382"/>
    </row>
    <row r="39" spans="3:30">
      <c r="E39" s="37">
        <f>E27+E28+E29+E30+E31+E32+E33+E34+E35+E36+E37</f>
        <v>0</v>
      </c>
      <c r="F39" s="29">
        <f>F27+F28+F29+F30+F31+F32+F33+F34+F35+F36</f>
        <v>0</v>
      </c>
      <c r="G39" s="51">
        <f>G27+G28+G29+G30+G31+G32+G33+G34+G35+G36</f>
        <v>0</v>
      </c>
      <c r="H39" s="45">
        <f>H27+H28+H29+H30+H31+H32+H33+H34+H35+H36</f>
        <v>0</v>
      </c>
      <c r="J39" s="37">
        <f>J27+J28+J29+J30+J31+J32+J33+J34+J35+J36+J37</f>
        <v>0</v>
      </c>
      <c r="K39" s="29">
        <f>K27+K28+K29+K30+K31+K32+K33+K34+K35+K36+K37</f>
        <v>0</v>
      </c>
      <c r="L39" s="51">
        <f>L27+L28+L29+L30+L31+L32+L33+L34+L35+L36</f>
        <v>0</v>
      </c>
      <c r="M39" s="45">
        <f>M27+M28+M29+M30+M31+M32+M33+M34+M35+M36</f>
        <v>0</v>
      </c>
      <c r="O39" s="37">
        <f>O27+O28+O29+O30+O31+O32+O33+O34+O35+O36+O37</f>
        <v>0</v>
      </c>
      <c r="P39" s="29">
        <f>P27+P28+P29+P30+P31+P32+P33+P34+P35+P36</f>
        <v>0</v>
      </c>
      <c r="Q39" s="51">
        <f>Q27+Q28+Q29+Q30+Q31+Q32+Q33+Q34+Q35+Q36</f>
        <v>0</v>
      </c>
      <c r="R39" s="45">
        <f>R27+R28+R29+R30+R31+R32+R33+R34+R35+R36</f>
        <v>0</v>
      </c>
      <c r="T39" s="37">
        <f>T27+T28+T29+T30+T31+T32+T33+T34+T35+T36+T37</f>
        <v>0</v>
      </c>
      <c r="U39" s="29">
        <f>U27+U28+U29+U30+U31+U32+U33+U34+U35+U36+U37</f>
        <v>0</v>
      </c>
      <c r="V39" s="51">
        <f>V27+V28+V29+V30+V31+V32+V33+V34+V35+V36</f>
        <v>0</v>
      </c>
      <c r="W39" s="45">
        <f>W27+W28+W29+W30+W31+W32+W33+W34+W35+W36</f>
        <v>0</v>
      </c>
      <c r="Y39" s="37">
        <f>Y27+Y28+Y29+Y30+Y31+Y32+Y33+Y34+Y35+Y36+Y37</f>
        <v>0</v>
      </c>
      <c r="Z39" s="29">
        <f>Z27+Z28+Z29+Z30+Z31+Z32+Z33+Z34+Z35+Z36</f>
        <v>0</v>
      </c>
      <c r="AA39" s="51">
        <f>AA27+AA28+AA29+AA30+AA31+AA32+AA33+AA34+AA35+AA36</f>
        <v>0</v>
      </c>
      <c r="AB39" s="45">
        <f>AB27+AB28+AB29+AB30+AB31+AB32+AB33+AB34+AB35+AB36</f>
        <v>0</v>
      </c>
    </row>
    <row r="40" spans="3:30">
      <c r="E40" s="48"/>
      <c r="F40" s="49"/>
      <c r="G40" s="48"/>
      <c r="H40" s="49"/>
      <c r="J40" s="48"/>
      <c r="K40" s="49"/>
      <c r="L40" s="48"/>
      <c r="M40" s="49"/>
      <c r="O40" s="48"/>
      <c r="P40" s="49"/>
      <c r="Q40" s="48"/>
      <c r="R40" s="49"/>
      <c r="T40" s="48"/>
      <c r="U40" s="49"/>
      <c r="V40" s="48"/>
      <c r="W40" s="49"/>
      <c r="Y40" s="48"/>
      <c r="Z40" s="49"/>
      <c r="AA40" s="48"/>
      <c r="AB40" s="49"/>
    </row>
    <row r="41" spans="3:30">
      <c r="E41" s="380"/>
      <c r="F41" s="380"/>
      <c r="G41" s="261"/>
      <c r="H41" s="50"/>
      <c r="J41" s="380"/>
      <c r="K41" s="380"/>
      <c r="L41" s="261"/>
      <c r="M41" s="50"/>
      <c r="O41" s="380"/>
      <c r="P41" s="380"/>
      <c r="Q41" s="261"/>
      <c r="R41" s="50"/>
      <c r="T41" s="380"/>
      <c r="U41" s="380"/>
      <c r="V41" s="261"/>
      <c r="W41" s="50"/>
      <c r="Y41" s="380"/>
      <c r="Z41" s="380"/>
      <c r="AA41" s="261"/>
      <c r="AB41" s="50"/>
    </row>
    <row r="42" spans="3:30">
      <c r="E42" s="376" t="s">
        <v>3</v>
      </c>
      <c r="F42" s="377"/>
      <c r="G42" s="95"/>
      <c r="H42" s="96"/>
      <c r="J42" s="376" t="s">
        <v>3</v>
      </c>
      <c r="K42" s="377"/>
      <c r="L42" s="95"/>
      <c r="M42" s="96"/>
      <c r="O42" s="376" t="s">
        <v>3</v>
      </c>
      <c r="P42" s="377"/>
      <c r="Q42" s="95"/>
      <c r="R42" s="96"/>
      <c r="T42" s="376" t="s">
        <v>3</v>
      </c>
      <c r="U42" s="377"/>
      <c r="V42" s="95"/>
      <c r="W42" s="96"/>
      <c r="Y42" s="376" t="s">
        <v>3</v>
      </c>
      <c r="Z42" s="377"/>
      <c r="AA42" s="95"/>
      <c r="AB42" s="96"/>
    </row>
    <row r="43" spans="3:30">
      <c r="E43" s="378" t="s">
        <v>85</v>
      </c>
      <c r="F43" s="379"/>
      <c r="G43" s="97"/>
      <c r="H43" s="98"/>
      <c r="J43" s="378" t="s">
        <v>85</v>
      </c>
      <c r="K43" s="379"/>
      <c r="L43" s="97"/>
      <c r="M43" s="98"/>
      <c r="O43" s="378" t="s">
        <v>85</v>
      </c>
      <c r="P43" s="379"/>
      <c r="Q43" s="97"/>
      <c r="R43" s="98"/>
      <c r="T43" s="378" t="s">
        <v>85</v>
      </c>
      <c r="U43" s="379"/>
      <c r="V43" s="97"/>
      <c r="W43" s="98"/>
      <c r="Y43" s="378" t="s">
        <v>85</v>
      </c>
      <c r="Z43" s="379"/>
      <c r="AA43" s="97"/>
      <c r="AB43" s="98"/>
    </row>
    <row r="44" spans="3:30">
      <c r="E44" s="374" t="s">
        <v>86</v>
      </c>
      <c r="F44" s="375"/>
      <c r="G44" s="46">
        <f>G27+G28+G29+G30+G31+G32+G33+G34+G35+G36+E27+E28+E29+E31+E30+E32+E33+E34+E35+E36</f>
        <v>0</v>
      </c>
      <c r="H44" s="47">
        <f>F39+H39</f>
        <v>0</v>
      </c>
      <c r="J44" s="374" t="s">
        <v>86</v>
      </c>
      <c r="K44" s="375"/>
      <c r="L44" s="46">
        <f>L27+L28+L29+L30+L31+L32+L33+L34+L35+L36+J27+J28+J29+J31+J30+J32+J33+J34+J35+J36</f>
        <v>0</v>
      </c>
      <c r="M44" s="47">
        <f>K39+M39</f>
        <v>0</v>
      </c>
      <c r="O44" s="374" t="s">
        <v>86</v>
      </c>
      <c r="P44" s="375"/>
      <c r="Q44" s="46">
        <f>Q27+Q28+Q29+Q30+Q31+Q32+Q33+Q34+Q35+Q36+O27+O28+O29+O31+O30+O32+O33+O34+O35+O36</f>
        <v>0</v>
      </c>
      <c r="R44" s="47">
        <f>P39+R39</f>
        <v>0</v>
      </c>
      <c r="T44" s="374" t="s">
        <v>86</v>
      </c>
      <c r="U44" s="375"/>
      <c r="V44" s="46">
        <f>V27+V28+V29+V30+V31+V32+V33+V34+V35+V36+T27+T28+T29+T31+T30+T32+T33+T34+T35+T36</f>
        <v>0</v>
      </c>
      <c r="W44" s="47">
        <f>U39+W39</f>
        <v>0</v>
      </c>
      <c r="Y44" s="374" t="s">
        <v>86</v>
      </c>
      <c r="Z44" s="375"/>
      <c r="AA44" s="46">
        <f>AA27+AA28+AA29+AA30+AA31+AA32+AA33+AA34+AA35+AA36+Y27+Y28+Y29+Y31+Y30+Y32+Y33+Y34+Y35+Y36</f>
        <v>0</v>
      </c>
      <c r="AB44" s="47">
        <f>Z39+AB39</f>
        <v>0</v>
      </c>
    </row>
  </sheetData>
  <mergeCells count="95">
    <mergeCell ref="A1:B2"/>
    <mergeCell ref="C1:C2"/>
    <mergeCell ref="E1:H2"/>
    <mergeCell ref="J1:M2"/>
    <mergeCell ref="O1:R2"/>
    <mergeCell ref="Y1:AB2"/>
    <mergeCell ref="AD1:AD2"/>
    <mergeCell ref="E3:F3"/>
    <mergeCell ref="G3:H3"/>
    <mergeCell ref="J3:K3"/>
    <mergeCell ref="L3:M3"/>
    <mergeCell ref="O3:P3"/>
    <mergeCell ref="Q3:R3"/>
    <mergeCell ref="T3:U3"/>
    <mergeCell ref="V3:W3"/>
    <mergeCell ref="T1:W2"/>
    <mergeCell ref="Y3:Z3"/>
    <mergeCell ref="AA3:AB3"/>
    <mergeCell ref="E15:F15"/>
    <mergeCell ref="G15:H15"/>
    <mergeCell ref="J15:K15"/>
    <mergeCell ref="L15:M15"/>
    <mergeCell ref="O15:P15"/>
    <mergeCell ref="Q15:R15"/>
    <mergeCell ref="T15:U15"/>
    <mergeCell ref="V15:W15"/>
    <mergeCell ref="Y15:Z15"/>
    <mergeCell ref="AA15:AB15"/>
    <mergeCell ref="E18:F18"/>
    <mergeCell ref="J18:K18"/>
    <mergeCell ref="O18:P18"/>
    <mergeCell ref="T18:U18"/>
    <mergeCell ref="Y18:Z18"/>
    <mergeCell ref="E20:F20"/>
    <mergeCell ref="J20:K20"/>
    <mergeCell ref="O20:P20"/>
    <mergeCell ref="T20:U20"/>
    <mergeCell ref="Y20:Z20"/>
    <mergeCell ref="E19:F19"/>
    <mergeCell ref="J19:K19"/>
    <mergeCell ref="O19:P19"/>
    <mergeCell ref="T19:U19"/>
    <mergeCell ref="Y19:Z19"/>
    <mergeCell ref="C24:C25"/>
    <mergeCell ref="E24:H25"/>
    <mergeCell ref="J24:M25"/>
    <mergeCell ref="O24:R25"/>
    <mergeCell ref="T24:W25"/>
    <mergeCell ref="E21:F21"/>
    <mergeCell ref="J21:K21"/>
    <mergeCell ref="O21:P21"/>
    <mergeCell ref="T21:U21"/>
    <mergeCell ref="Y21:Z21"/>
    <mergeCell ref="Y24:AB25"/>
    <mergeCell ref="AD24:AD25"/>
    <mergeCell ref="E26:F26"/>
    <mergeCell ref="G26:H26"/>
    <mergeCell ref="J26:K26"/>
    <mergeCell ref="L26:M26"/>
    <mergeCell ref="O26:P26"/>
    <mergeCell ref="Q26:R26"/>
    <mergeCell ref="T26:U26"/>
    <mergeCell ref="V26:W26"/>
    <mergeCell ref="Y26:Z26"/>
    <mergeCell ref="AA26:AB26"/>
    <mergeCell ref="E38:F38"/>
    <mergeCell ref="G38:H38"/>
    <mergeCell ref="J38:K38"/>
    <mergeCell ref="L38:M38"/>
    <mergeCell ref="O38:P38"/>
    <mergeCell ref="Q38:R38"/>
    <mergeCell ref="T38:U38"/>
    <mergeCell ref="V38:W38"/>
    <mergeCell ref="Y38:Z38"/>
    <mergeCell ref="AA38:AB38"/>
    <mergeCell ref="E41:F41"/>
    <mergeCell ref="J41:K41"/>
    <mergeCell ref="O41:P41"/>
    <mergeCell ref="T41:U41"/>
    <mergeCell ref="Y41:Z41"/>
    <mergeCell ref="E43:F43"/>
    <mergeCell ref="J43:K43"/>
    <mergeCell ref="O43:P43"/>
    <mergeCell ref="T43:U43"/>
    <mergeCell ref="Y43:Z43"/>
    <mergeCell ref="E42:F42"/>
    <mergeCell ref="J42:K42"/>
    <mergeCell ref="O42:P42"/>
    <mergeCell ref="T42:U42"/>
    <mergeCell ref="Y42:Z42"/>
    <mergeCell ref="E44:F44"/>
    <mergeCell ref="J44:K44"/>
    <mergeCell ref="O44:P44"/>
    <mergeCell ref="T44:U44"/>
    <mergeCell ref="Y44:Z4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EF3E4-927B-4FC3-B6FE-56D9A1F43E3F}">
  <sheetPr>
    <tabColor rgb="FFFF0000"/>
  </sheetPr>
  <dimension ref="A1:AI44"/>
  <sheetViews>
    <sheetView topLeftCell="J1" workbookViewId="0">
      <selection activeCell="AH15" sqref="AH15"/>
    </sheetView>
  </sheetViews>
  <sheetFormatPr defaultRowHeight="15"/>
  <cols>
    <col min="3" max="3" width="21.85546875" customWidth="1"/>
    <col min="4" max="4" width="3.7109375" customWidth="1"/>
    <col min="5" max="5" width="12.85546875" customWidth="1"/>
    <col min="6" max="6" width="13.28515625" customWidth="1"/>
    <col min="7" max="7" width="9.140625" bestFit="1" customWidth="1"/>
    <col min="8" max="8" width="13.5703125" customWidth="1"/>
    <col min="9" max="9" width="3.5703125" customWidth="1"/>
    <col min="10" max="10" width="13.140625" customWidth="1"/>
    <col min="11" max="11" width="14.28515625" customWidth="1"/>
    <col min="12" max="12" width="9.140625" bestFit="1" customWidth="1"/>
    <col min="13" max="13" width="13.85546875" customWidth="1"/>
    <col min="14" max="14" width="3.28515625" customWidth="1"/>
    <col min="15" max="15" width="9.140625" bestFit="1" customWidth="1"/>
    <col min="16" max="16" width="13.42578125" customWidth="1"/>
    <col min="17" max="17" width="9.140625" bestFit="1" customWidth="1"/>
    <col min="18" max="18" width="14.85546875" customWidth="1"/>
    <col min="19" max="19" width="3" customWidth="1"/>
    <col min="20" max="20" width="9.140625" bestFit="1" customWidth="1"/>
    <col min="21" max="21" width="14.85546875" customWidth="1"/>
    <col min="22" max="22" width="9.140625" bestFit="1" customWidth="1"/>
    <col min="23" max="23" width="13.28515625" customWidth="1"/>
    <col min="24" max="24" width="3" customWidth="1"/>
    <col min="25" max="25" width="9.140625" bestFit="1" customWidth="1"/>
    <col min="26" max="26" width="14.140625" customWidth="1"/>
    <col min="27" max="27" width="9.140625" bestFit="1" customWidth="1"/>
    <col min="28" max="28" width="13.85546875" customWidth="1"/>
    <col min="29" max="29" width="3.28515625" customWidth="1"/>
    <col min="30" max="30" width="22.7109375" customWidth="1"/>
    <col min="31" max="31" width="9.140625" bestFit="1" customWidth="1"/>
    <col min="32" max="32" width="20.42578125" customWidth="1"/>
  </cols>
  <sheetData>
    <row r="1" spans="1:35">
      <c r="A1" s="367" t="s">
        <v>57</v>
      </c>
      <c r="B1" s="368"/>
      <c r="C1" s="369" t="s">
        <v>1</v>
      </c>
      <c r="E1" s="385" t="s">
        <v>19</v>
      </c>
      <c r="F1" s="386"/>
      <c r="G1" s="386"/>
      <c r="H1" s="387"/>
      <c r="J1" s="399" t="s">
        <v>66</v>
      </c>
      <c r="K1" s="400"/>
      <c r="L1" s="400"/>
      <c r="M1" s="401"/>
      <c r="O1" s="399" t="s">
        <v>69</v>
      </c>
      <c r="P1" s="400"/>
      <c r="Q1" s="400"/>
      <c r="R1" s="401"/>
      <c r="T1" s="399" t="s">
        <v>16</v>
      </c>
      <c r="U1" s="400"/>
      <c r="V1" s="400"/>
      <c r="W1" s="401"/>
      <c r="Y1" s="399" t="s">
        <v>82</v>
      </c>
      <c r="Z1" s="400"/>
      <c r="AA1" s="400"/>
      <c r="AB1" s="401"/>
      <c r="AD1" s="369" t="s">
        <v>1</v>
      </c>
    </row>
    <row r="2" spans="1:35">
      <c r="A2" s="367"/>
      <c r="B2" s="368"/>
      <c r="C2" s="369"/>
      <c r="E2" s="388"/>
      <c r="F2" s="389"/>
      <c r="G2" s="389"/>
      <c r="H2" s="390"/>
      <c r="J2" s="402"/>
      <c r="K2" s="403"/>
      <c r="L2" s="403"/>
      <c r="M2" s="404"/>
      <c r="O2" s="402"/>
      <c r="P2" s="403"/>
      <c r="Q2" s="403"/>
      <c r="R2" s="404"/>
      <c r="T2" s="402"/>
      <c r="U2" s="403"/>
      <c r="V2" s="403"/>
      <c r="W2" s="404"/>
      <c r="Y2" s="402"/>
      <c r="Z2" s="403"/>
      <c r="AA2" s="403"/>
      <c r="AB2" s="404"/>
      <c r="AD2" s="369"/>
    </row>
    <row r="3" spans="1:35">
      <c r="A3" s="19"/>
      <c r="B3" s="19"/>
      <c r="E3" s="391" t="s">
        <v>83</v>
      </c>
      <c r="F3" s="391"/>
      <c r="G3" s="392" t="s">
        <v>8</v>
      </c>
      <c r="H3" s="392"/>
      <c r="J3" s="391" t="s">
        <v>83</v>
      </c>
      <c r="K3" s="391"/>
      <c r="L3" s="392" t="s">
        <v>8</v>
      </c>
      <c r="M3" s="392"/>
      <c r="O3" s="391" t="s">
        <v>83</v>
      </c>
      <c r="P3" s="391"/>
      <c r="Q3" s="392" t="s">
        <v>8</v>
      </c>
      <c r="R3" s="392"/>
      <c r="T3" s="391" t="s">
        <v>83</v>
      </c>
      <c r="U3" s="391"/>
      <c r="V3" s="392" t="s">
        <v>8</v>
      </c>
      <c r="W3" s="392"/>
      <c r="Y3" s="391" t="s">
        <v>83</v>
      </c>
      <c r="Z3" s="391"/>
      <c r="AA3" s="392" t="s">
        <v>8</v>
      </c>
      <c r="AB3" s="392"/>
    </row>
    <row r="4" spans="1:35" ht="16.5">
      <c r="C4" s="37" t="s">
        <v>10</v>
      </c>
      <c r="E4" s="254">
        <f>COUNTIFS(General!F:F, "IP CERRADA", General!K:K, "A MIÑO", General!H:H, "PTE. APROBACION", General!G:G, "IP CON ORDEN", General!O:O, "&gt;="&amp;DATE(2025,10,1), General!O:O, "&lt;="&amp;DATE(2025,10,31))</f>
        <v>0</v>
      </c>
      <c r="F4" s="38">
        <f>E4*AG5</f>
        <v>0</v>
      </c>
      <c r="G4" s="41">
        <f>COUNTIFS(General!F:F, "IP CERRADA", General!M:M, "A MIÑO", General!H:H, "PTE. APROBACION", General!G:G, "IP CON ORDEN", General!O:O, "&gt;="&amp;DATE(2025,10,1), General!O:O, "&lt;="&amp;DATE(2025,10,31))</f>
        <v>0</v>
      </c>
      <c r="H4" s="42">
        <f>G4*AH5</f>
        <v>0</v>
      </c>
      <c r="J4" s="254">
        <f>COUNTIFS(General!F:F, "IP CERRADA", General!K:K, "J. FERLANTI", General!H:H, "PTE. APROBACION", General!G:G, "IP CON ORDEN", General!O:O, "&gt;="&amp;DATE(2025,10,1), General!O:O, "&lt;="&amp;DATE(2025,10,31)) + COUNTIFS(General!F:F, "PARA FACTURAR", General!K:K, "J. FERLANTI", General!G:G, "IP CON ORDEN", General!O:O, "&gt;="&amp;DATE(2025,10,1), General!O:O, "&lt;="&amp;DATE(2025,10,31))</f>
        <v>3</v>
      </c>
      <c r="K4" s="38">
        <f>J4*AG5</f>
        <v>16875</v>
      </c>
      <c r="L4" s="41">
        <f>COUNTIFS(General!F:F, "IP CERRADA", General!M:M, "J. FERLANTI", General!H:H, "PTE. APROBACION", General!G:G, "IP CON ORDEN", General!O:O, "&gt;="&amp;DATE(2025,10,1), General!O:O, "&lt;="&amp;DATE(2025,10,31)) + COUNTIFS(General!F:F, "PARA FACTURAR", General!M:M, "J. FERLANTI", General!H:H, "EN TRAMITE", General!G:G, "IP CON ORDEN", General!O:O, "&gt;="&amp;DATE(2024,10,1), General!O:O, "&lt;="&amp;DATE(2024,10,31) )</f>
        <v>88</v>
      </c>
      <c r="M4" s="42">
        <f>L4*AH5</f>
        <v>462000</v>
      </c>
      <c r="O4" s="254">
        <f>COUNTIFS(General!F:F, "IP CERRADA", General!K:K, "J NEIRA", General!H:H, "PTE. APROBACION", General!G:G, "IP CON ORDEN", General!O:O, "&gt;="&amp;DATE(2025,10,1), General!O:O, "&lt;="&amp;DATE(2025,10,31))</f>
        <v>0</v>
      </c>
      <c r="P4" s="38">
        <f>O4*AG5</f>
        <v>0</v>
      </c>
      <c r="Q4" s="41">
        <f>COUNTIFS(General!F:F, "IP CERRADA", General!M:M, "J NEIRA", General!H:H, "PTE. APROBACION", General!G:G, "IP CON ORDEN", General!O:O, "&gt;="&amp;DATE(2025,10,1), General!O:O, "&lt;="&amp;DATE(2025,10,31))</f>
        <v>0</v>
      </c>
      <c r="R4" s="42">
        <f>Q4*AH5</f>
        <v>0</v>
      </c>
      <c r="T4" s="254">
        <f>COUNTIFS(General!F:F, "IP CERRADA", General!K:K, "L DEL PIERO", General!H:H, "PTE. APROBACION", General!G:G, "IP CON ORDEN", General!O:O, "&gt;="&amp;DATE(2025,10,1), General!O:O, "&lt;="&amp;DATE(2025,10,31))</f>
        <v>62</v>
      </c>
      <c r="U4" s="38">
        <f>T4*AG5</f>
        <v>348750</v>
      </c>
      <c r="V4" s="41">
        <f>COUNTIFS(General!F:F, "IP CERRADA", General!M:M, "L DEL PIERO", General!H:H, "PTE. APROBACION", General!G:G, "IP CON ORDEN", General!O:O, "&gt;="&amp;DATE(2025,10,1), General!O:O, "&lt;="&amp;DATE(2025,10,31))</f>
        <v>0</v>
      </c>
      <c r="W4" s="42">
        <f>V4*AH5</f>
        <v>0</v>
      </c>
      <c r="Y4" s="254">
        <f>COUNTIFS(General!F:F, "IP CERRADA", General!K:K, "E Delia", General!H:H, "PTE. APROBACION", General!G:G, "IP CON ORDEN", General!O:O, "&gt;="&amp;DATE(2025,10,1), General!O:O, "&lt;="&amp;DATE(2025,10,31)) + COUNTIFS(General!F:F, "PARA FACTURAR", General!K:K, "E Delia", General!G:G, "IP CON ORDEN", General!O:O, "&gt;="&amp;DATE(2025,10,1), General!O:O, "&lt;="&amp;DATE(2025,10,31))</f>
        <v>23</v>
      </c>
      <c r="Z4" s="38">
        <f>Y4*AG5</f>
        <v>129375</v>
      </c>
      <c r="AA4" s="41">
        <f>COUNTIFS(General!F:F, "IP CERRADA", General!M:M, "E Delia", General!H:H, "PTE. APROBACION", General!G:G, "IP CON ORDEN", General!O:O, "&gt;="&amp;DATE(2025,10,1), General!O:O, "&lt;="&amp;DATE(2025,10,31))</f>
        <v>0</v>
      </c>
      <c r="AB4" s="42">
        <f>AA4*AH5</f>
        <v>0</v>
      </c>
      <c r="AD4" s="37" t="s">
        <v>10</v>
      </c>
      <c r="AF4" s="1" t="s">
        <v>6</v>
      </c>
      <c r="AG4" s="1" t="s">
        <v>7</v>
      </c>
      <c r="AH4" s="1" t="s">
        <v>8</v>
      </c>
      <c r="AI4" s="259"/>
    </row>
    <row r="5" spans="1:35" ht="16.5">
      <c r="C5" s="261" t="s">
        <v>15</v>
      </c>
      <c r="E5" s="39">
        <f>COUNTIFS(General!F:F, "IP CERRADA", General!K:K, "A MIÑO", General!H:H, "PTE. APROBACION", General!G:G, "POSIBLE DT", General!O:O, "&gt;="&amp;DATE(2025,10,1), General!O:O, "&lt;="&amp;DATE(2025,10,31))</f>
        <v>0</v>
      </c>
      <c r="F5" s="40">
        <f>E5*AG7</f>
        <v>0</v>
      </c>
      <c r="G5" s="43">
        <f>COUNTIFS(General!F:F, "IP CERRADA", General!M:M, "A MIÑO", General!H:H, "PTE. APROBACION", General!G:G, "POSIBLE DT", General!O:O, "&gt;="&amp;DATE(2025,10,1), General!O:O, "&lt;="&amp;DATE(2025,10,31))</f>
        <v>0</v>
      </c>
      <c r="H5" s="44">
        <f>G5*AH7</f>
        <v>0</v>
      </c>
      <c r="J5" s="39">
        <f>COUNTIFS(General!F:F, "IP CERRADA", General!K:K, "J. FERLANTI", General!H:H, "PTE. APROBACION", General!G:G, "POSIBLE DT", General!O:O, "&gt;="&amp;DATE(2025,10,1), General!O:O, "&lt;="&amp;DATE(2025,10,31)) + COUNTIFS(General!F:F, "PARA FACTURAR", General!K:K, "J. FERLANTI", General!G:G, "POSIBLE DT", General!O:O, "&gt;="&amp;DATE(2025,10,1), General!O:O, "&lt;="&amp;DATE(2025,10,31))</f>
        <v>0</v>
      </c>
      <c r="K5" s="40">
        <f>J5*AG7</f>
        <v>0</v>
      </c>
      <c r="L5" s="43">
        <f>COUNTIFS(General!F:F, "IP CERRADA", General!M:M, "J. FERLANTI", General!H:H, "PTE. APROBACION", General!G:G, "POSIBLE DT", General!O:O, "&gt;="&amp;DATE(2025,10,1), General!O:O, "&lt;="&amp;DATE(2025,10,31)) + COUNTIFS(General!F:F, "PARA FACTURAR", General!M:M, "J. FERLANTI", General!H:H, "EN TRAMITE", General!G:G, "POSIBLE DT", General!O:O, "&gt;="&amp;DATE(2025,10,1), General!O:O, "&lt;="&amp;DATE(2025,10,31))</f>
        <v>6</v>
      </c>
      <c r="M5" s="44">
        <f>L5*AH7</f>
        <v>31500</v>
      </c>
      <c r="O5" s="39">
        <f>COUNTIFS(General!F:F, "IP CERRADA", General!K:K, "J NEIRA", General!H:H, "PTE. APROBACION", General!G:G, "POSIBLE DT", General!O:O, "&gt;="&amp;DATE(2025,10,1), General!O:O, "&lt;="&amp;DATE(2025,10,31))</f>
        <v>0</v>
      </c>
      <c r="P5" s="40">
        <f>O5*AG7</f>
        <v>0</v>
      </c>
      <c r="Q5" s="43">
        <f>COUNTIFS(General!F:F, "IP CERRADA", General!M:M, "J NEIRA", General!H:H, "PTE. APROBACION", General!G:G, "POSIBLE DT", General!O:O, "&gt;="&amp;DATE(2025,10,1), General!O:O, "&lt;="&amp;DATE(2025,10,31))</f>
        <v>0</v>
      </c>
      <c r="R5" s="44">
        <f>Q5*AH7</f>
        <v>0</v>
      </c>
      <c r="T5" s="39">
        <f>COUNTIFS(General!F:F, "IP CERRADA", General!K:K, "L DEL PIERO", General!H:H, "PTE. APROBACION", General!G:G, "POSIBLE DT", General!O:O, "&gt;="&amp;DATE(2025,10,1), General!O:O, "&lt;="&amp;DATE(2025,10,31))</f>
        <v>5</v>
      </c>
      <c r="U5" s="40">
        <f>T5*AG7</f>
        <v>28125</v>
      </c>
      <c r="V5" s="43">
        <f>COUNTIFS(General!F:F, "IP CERRADA", General!M:M, "L DEL PIERO", General!H:H, "PTE. APROBACION", General!G:G, "POSIBLE DT", General!O:O, "&gt;="&amp;DATE(2025,10,1), General!O:O, "&lt;="&amp;DATE(2025,10,31))</f>
        <v>0</v>
      </c>
      <c r="W5" s="44">
        <f>V5*AH7</f>
        <v>0</v>
      </c>
      <c r="Y5" s="39">
        <f>COUNTIFS(General!F:F, "IP CERRADA", General!K:K, "E Delia", General!H:H, "PTE. APROBACION", General!G:G, "POSIBLE DT", General!O:O, "&gt;="&amp;DATE(2025,10,1), General!O:O, "&lt;="&amp;DATE(2025,10,31))</f>
        <v>1</v>
      </c>
      <c r="Z5" s="40">
        <f>Y5*AG7</f>
        <v>5625</v>
      </c>
      <c r="AA5" s="43">
        <f>COUNTIFS(General!F:F, "IP CERRADA", General!M:M, "E Delia", General!H:H, "PTE. APROBACION", General!G:G, "POSIBLE DT", General!O:O, "&gt;="&amp;DATE(2025,10,1), General!O:O, "&lt;="&amp;DATE(2025,10,31))</f>
        <v>0</v>
      </c>
      <c r="AB5" s="44">
        <f>AA5*AH7</f>
        <v>0</v>
      </c>
      <c r="AD5" s="261" t="s">
        <v>15</v>
      </c>
      <c r="AF5" s="118" t="s">
        <v>10</v>
      </c>
      <c r="AG5" s="119">
        <v>5625</v>
      </c>
      <c r="AH5" s="119">
        <v>5250</v>
      </c>
      <c r="AI5" s="116"/>
    </row>
    <row r="6" spans="1:35" ht="16.5">
      <c r="C6" s="37" t="s">
        <v>18</v>
      </c>
      <c r="E6" s="254">
        <f>COUNTIFS(General!F:F, "IP CERRADA", General!K:K, "A MIÑO", General!H:H, "PTE. APROBACION", General!G:G, "IP SIN ORDEN", General!O:O, "&gt;="&amp;DATE(2025,10,1), General!O:O, "&lt;="&amp;DATE(2025,10,31))</f>
        <v>0</v>
      </c>
      <c r="F6" s="38">
        <f>E6*AG8</f>
        <v>0</v>
      </c>
      <c r="G6" s="41">
        <f>COUNTIFS(General!F:F, "IP CERRADA", General!M:M, "A MIÑO", General!H:H, "PTE. APROBACION", General!G:G, "IP SIN ORDEN", General!O:O, "&gt;="&amp;DATE(2025,10,1), General!O:O, "&lt;="&amp;DATE(2025,10,31))</f>
        <v>0</v>
      </c>
      <c r="H6" s="42">
        <f>G6*AH8</f>
        <v>0</v>
      </c>
      <c r="J6" s="254">
        <f>COUNTIFS(General!F:F, "IP CERRADA", General!K:K, "J. FERLANTI", General!H:H, "PTE. APROBACION", General!G:G, "IP SIN ORDEN", General!O:O, "&gt;="&amp;DATE(2025,10,1), General!O:O, "&lt;="&amp;DATE(2025,10,31)) + COUNTIFS(General!F:F, "PARA FACTURAR", General!K:K, "J. FERLANTI", General!G:G, "IP SIN ORDEN", General!O:O, "&gt;="&amp;DATE(2025,10,1), General!O:O, "&lt;="&amp;DATE(2025,10,31))</f>
        <v>3</v>
      </c>
      <c r="K6" s="38">
        <f>J6*AG8</f>
        <v>16875</v>
      </c>
      <c r="L6" s="41">
        <f>COUNTIFS(General!F:F, "IP CERRADA", General!M:M, "J. FERLANTI", General!H:H, "PTE. APROBACION", General!G:G, "IP SIN ORDEN", General!O:O, "&gt;="&amp;DATE(2025,10,1), General!O:O, "&lt;="&amp;DATE(2025,10,31)) + COUNTIFS(General!F:F, "PARA FACTURAR", General!M:M, "J. FERLANTI", General!H:H, "EN TRAMITE", General!G:G, "IP SIN ORDEN", General!O:O, "&gt;="&amp;DATE(2025,10,1), General!O:O, "&lt;="&amp;DATE(2025,10,31))</f>
        <v>46</v>
      </c>
      <c r="M6" s="42">
        <f>L6*AH8</f>
        <v>241500</v>
      </c>
      <c r="O6" s="254">
        <f>COUNTIFS(General!F:F, "IP CERRADA", General!K:K, "J NEIRA", General!H:H, "PTE. APROBACION", General!G:G, "IP SIN ORDEN", General!O:O, "&gt;="&amp;DATE(2025,10,1), General!O:O, "&lt;="&amp;DATE(2025,10,31))</f>
        <v>0</v>
      </c>
      <c r="P6" s="38">
        <f>O6*AG8</f>
        <v>0</v>
      </c>
      <c r="Q6" s="41">
        <f>COUNTIFS(General!F:F, "IP CERRADA", General!M:M, "J NEIRA", General!H:H, "PTE. APROBACION", General!G:G, "IP SIN ORDEN", General!O:O, "&gt;="&amp;DATE(2025,10,1), General!O:O, "&lt;="&amp;DATE(2025,10,31))</f>
        <v>0</v>
      </c>
      <c r="R6" s="42">
        <f>Q6*AH8</f>
        <v>0</v>
      </c>
      <c r="T6" s="254">
        <f>COUNTIFS(General!F:F, "IP CERRADA", General!K:K, "L DEL PIERO", General!H:H, "PTE. APROBACION", General!G:G, "IP SIN ORDEN", General!O:O, "&gt;="&amp;DATE(2025,10,1), General!O:O, "&lt;="&amp;DATE(2025,10,31))</f>
        <v>30</v>
      </c>
      <c r="U6" s="38">
        <f>T6*AG8</f>
        <v>168750</v>
      </c>
      <c r="V6" s="41">
        <f>COUNTIFS(General!F:F, "IP CERRADA", General!M:M, "L DEL PIERO", General!H:H, "PTE. APROBACION", General!G:G, "IP SIN ORDEN", General!O:O, "&gt;="&amp;DATE(2025,10,1), General!O:O, "&lt;="&amp;DATE(2025,10,31))</f>
        <v>0</v>
      </c>
      <c r="W6" s="42">
        <f>V6*AH8</f>
        <v>0</v>
      </c>
      <c r="Y6" s="254">
        <f>COUNTIFS(General!F:F, "IP CERRADA", General!K:K, "E Delia", General!H:H, "PTE. APROBACION", General!G:G, "IP SIN ORDEN", General!O:O, "&gt;="&amp;DATE(2025,10,1), General!O:O, "&lt;="&amp;DATE(2025,10,31))</f>
        <v>13</v>
      </c>
      <c r="Z6" s="38">
        <f>Y6*AG8</f>
        <v>73125</v>
      </c>
      <c r="AA6" s="41">
        <f>COUNTIFS(General!F:F, "IP CERRADA", General!M:M, "E Delia", General!H:H, "PTE. APROBACION", General!G:G, "IP SIN ORDEN", General!O:O, "&gt;="&amp;DATE(2025,10,1), General!O:O, "&lt;="&amp;DATE(2025,10,31))</f>
        <v>0</v>
      </c>
      <c r="AB6" s="42">
        <f>AA6*AH8</f>
        <v>0</v>
      </c>
      <c r="AD6" s="37" t="s">
        <v>18</v>
      </c>
      <c r="AF6" s="118"/>
      <c r="AG6" s="119"/>
      <c r="AH6" s="119"/>
      <c r="AI6" s="116"/>
    </row>
    <row r="7" spans="1:35" ht="16.5">
      <c r="C7" s="261" t="s">
        <v>21</v>
      </c>
      <c r="E7" s="39">
        <f>COUNTIFS(General!F:F, "IP CERRADA", General!K:K, "A MIÑO", General!H:H, "PTE. APROBACION", General!G:G, "AMPLIACION", General!O:O, "&gt;="&amp;DATE(2025,10,1), General!O:O, "&lt;="&amp;DATE(2025,10,31))</f>
        <v>0</v>
      </c>
      <c r="F7" s="40">
        <f>E7*AG9</f>
        <v>0</v>
      </c>
      <c r="G7" s="43">
        <f>COUNTIFS(General!F:F, "IP CERRADA", General!M:M, "A MIÑO", General!H:H, "PTE. APROBACION", General!G:G, "AMPLIACION", General!O:O, "&gt;="&amp;DATE(2025,10,1), General!O:O, "&lt;="&amp;DATE(2025,10,31))</f>
        <v>0</v>
      </c>
      <c r="H7" s="44">
        <f>G7*AH9</f>
        <v>0</v>
      </c>
      <c r="J7" s="39">
        <f>COUNTIFS(General!F:F, "IP CERRADA", General!K:K, "J. FERLANTI", General!H:H, "PTE. APROBACION", General!G:G, "AMPLIACION", General!O:O, "&gt;="&amp;DATE(2025,10,1), General!O:O, "&lt;="&amp;DATE(2025,10,31)) + COUNTIFS(General!F:F, "PARA FACTURAR", General!K:K, "J. FERLANTI", General!G:G, "AMPLIACION", General!O:O, "&gt;="&amp;DATE(2025,10,1), General!O:O, "&lt;="&amp;DATE(2025,10,31))</f>
        <v>6</v>
      </c>
      <c r="K7" s="40">
        <f>J7*AG9</f>
        <v>15000</v>
      </c>
      <c r="L7" s="43">
        <f>COUNTIFS(General!F:F, "IP CERRADA", General!M:M, "J. FERLANTI", General!H:H, "PTE. APROBACION", General!G:G, "AMPLIACION", General!O:O, "&gt;="&amp;DATE(2025,10,1), General!O:O, "&lt;="&amp;DATE(2025,10,31)) + COUNTIFS(General!F:F, "PARA FACTURAR", General!M:M, "J. FERLANTI", General!H:H, "EN TRAMITE", General!G:G, "AMPLIACION", General!O:O, "&gt;="&amp;DATE(2025,10,1), General!O:O, "&lt;="&amp;DATE(2025,10,31))</f>
        <v>23</v>
      </c>
      <c r="M7" s="44">
        <f>L7*AH9</f>
        <v>46000</v>
      </c>
      <c r="O7" s="39">
        <f>COUNTIFS(General!F:F, "IP CERRADA", General!K:K, "J NEIRA", General!H:H, "PTE. APROBACION", General!G:G, "AMPLIACION", General!O:O, "&gt;="&amp;DATE(2025,10,1), General!O:O, "&lt;="&amp;DATE(2025,10,31))</f>
        <v>0</v>
      </c>
      <c r="P7" s="40">
        <f>O7*AG9</f>
        <v>0</v>
      </c>
      <c r="Q7" s="43">
        <f>COUNTIFS(General!F:F, "IP CERRADA", General!M:M, "J NEIRA", General!H:H, "PTE. APROBACION", General!G:G, "AMPLIACION", General!O:O, "&gt;="&amp;DATE(2025,10,1), General!O:O, "&lt;="&amp;DATE(2025,10,31))</f>
        <v>0</v>
      </c>
      <c r="R7" s="44">
        <f>Q7*AH9</f>
        <v>0</v>
      </c>
      <c r="T7" s="39">
        <f>COUNTIFS(General!F:F, "IP CERRADA", General!K:K, "L DEL PIERO", General!H:H, "PTE. APROBACION", General!G:G, "AMPLIACION", General!O:O, "&gt;="&amp;DATE(2025,10,1), General!O:O, "&lt;="&amp;DATE(2025,10,31))</f>
        <v>11</v>
      </c>
      <c r="U7" s="40">
        <f>T7*AG9</f>
        <v>27500</v>
      </c>
      <c r="V7" s="43">
        <f>COUNTIFS(General!F:F, "IP CERRADA", General!M:M, "L DEL PIERO", General!H:H, "PTE. APROBACION", General!G:G, "AMPLIACION", General!O:O, "&gt;="&amp;DATE(2025,10,1), General!O:O, "&lt;="&amp;DATE(2025,10,31))</f>
        <v>0</v>
      </c>
      <c r="W7" s="44">
        <f>V7*AH9</f>
        <v>0</v>
      </c>
      <c r="Y7" s="39">
        <f>COUNTIFS(General!F:F, "IP CERRADA", General!K:K, "E Delia", General!H:H, "PTE. APROBACION", General!G:G, "AMPLIACION", General!O:O, "&gt;="&amp;DATE(2025,10,1), General!O:O, "&lt;="&amp;DATE(2025,10,31))</f>
        <v>6</v>
      </c>
      <c r="Z7" s="40">
        <f>Y7*AG9</f>
        <v>15000</v>
      </c>
      <c r="AA7" s="43">
        <f>COUNTIFS(General!F:F, "IP CERRADA", General!M:M, "E Delia", General!H:H, "PTE. APROBACION", General!G:G, "AMPLIACION", General!O:O, "&gt;="&amp;DATE(2025,10,1), General!O:O, "&lt;="&amp;DATE(2025,10,31))</f>
        <v>0</v>
      </c>
      <c r="AB7" s="44">
        <f>AA7*AH9</f>
        <v>0</v>
      </c>
      <c r="AD7" s="261" t="s">
        <v>21</v>
      </c>
      <c r="AF7" s="120" t="s">
        <v>15</v>
      </c>
      <c r="AG7" s="121">
        <v>5625</v>
      </c>
      <c r="AH7" s="121">
        <v>5250</v>
      </c>
      <c r="AI7" s="116"/>
    </row>
    <row r="8" spans="1:35" ht="16.5">
      <c r="C8" s="37" t="s">
        <v>24</v>
      </c>
      <c r="E8" s="254" t="s">
        <v>27</v>
      </c>
      <c r="F8" s="38" t="s">
        <v>27</v>
      </c>
      <c r="G8" s="41">
        <f>COUNTIFS(General!F:F, "IP CERRADA", General!M:M, "A MIÑO", General!H:H, "PTE. APROBACION", General!G:G, "ENVIO DE ORDEN", General!O:O, "&gt;="&amp;DATE(2025,10,1), General!O:O, "&lt;="&amp;DATE(2025,10,31))</f>
        <v>0</v>
      </c>
      <c r="H8" s="42">
        <f>G8*AH10</f>
        <v>0</v>
      </c>
      <c r="J8" s="254" t="s">
        <v>27</v>
      </c>
      <c r="K8" s="38" t="s">
        <v>27</v>
      </c>
      <c r="L8" s="41">
        <f>COUNTIFS(General!F:F, "IP SIN ORDEN", General!M:M, "J. FERLANTI", General!H:H, "PTE. APROBACION", General!G:G, "ENVIO DE ORDEN", General!O:O, "&gt;="&amp;DATE(2025,10,1), General!O:O, "&lt;="&amp;DATE(2025,10,31)) + COUNTIFS(General!F:F, "PARA FACTURAR", General!M:M, "J. FERLANTI", General!H:H, "EN TRAMITE", General!G:G, "ENVIO DE ORDEN", General!O:O, "&gt;="&amp;DATE(2025,10,1), General!O:O, "&lt;="&amp;DATE(2025,10,31))</f>
        <v>0</v>
      </c>
      <c r="M8" s="42">
        <f>L8*AH10</f>
        <v>0</v>
      </c>
      <c r="O8" s="254"/>
      <c r="P8" s="38"/>
      <c r="Q8" s="41">
        <f>COUNTIFS(General!F:F, "IP CERRADA", General!M:M, "J NEIRA", General!H:H, "PTE. APROBACION", General!G:G, "ENVIO DE ORDEN", General!O:O, "&gt;="&amp;DATE(2025,10,1), General!O:O, "&lt;="&amp;DATE(2025,10,31))</f>
        <v>0</v>
      </c>
      <c r="R8" s="42">
        <f>Q8*AH10</f>
        <v>0</v>
      </c>
      <c r="T8" s="254"/>
      <c r="U8" s="38"/>
      <c r="V8" s="41">
        <f>COUNTIFS(General!F:F, "IP CERRADA", General!M:M, "L DEL PIERO", General!H:H, "PTE. APROBACION", General!G:G, "ENVIO DE ORDEN", General!O:O, "&gt;="&amp;DATE(2025,10,1), General!O:O, "&lt;="&amp;DATE(2025,10,31))</f>
        <v>0</v>
      </c>
      <c r="W8" s="42">
        <f>V8*AH10</f>
        <v>0</v>
      </c>
      <c r="Y8" s="254"/>
      <c r="Z8" s="38"/>
      <c r="AA8" s="41">
        <f>COUNTIFS(General!F:F, "IP CERRADA", General!M:M, "E Delia", General!H:H, "PTE. APROBACION", General!G:G, "ENVIO DE ORDEN", General!O:O, "&gt;="&amp;DATE(2025,10,1), General!O:O, "&lt;="&amp;DATE(2025,10,31))</f>
        <v>0</v>
      </c>
      <c r="AB8" s="42">
        <f>AA8*AH10</f>
        <v>0</v>
      </c>
      <c r="AD8" s="37" t="s">
        <v>24</v>
      </c>
      <c r="AF8" s="118" t="s">
        <v>18</v>
      </c>
      <c r="AG8" s="119">
        <v>5625</v>
      </c>
      <c r="AH8" s="119">
        <v>5250</v>
      </c>
      <c r="AI8" s="116"/>
    </row>
    <row r="9" spans="1:35" ht="16.5">
      <c r="C9" s="261" t="s">
        <v>29</v>
      </c>
      <c r="E9" s="39">
        <f>COUNTIFS(General!F:F, "IP CERRADA", General!K:K, "A MIÑO", General!H:H, "PTE. APROBACION", General!G:G, "IP CAMIONES", General!O:O, "&gt;="&amp;DATE(2025,10,1), General!O:O, "&lt;="&amp;DATE(2025,10,31))</f>
        <v>0</v>
      </c>
      <c r="F9" s="40">
        <f>E9*AG15</f>
        <v>0</v>
      </c>
      <c r="G9" s="43">
        <f>COUNTIFS(General!F:F, "IP SIN ORDEN", General!M:M, "J. FERLANTI", General!H:H, "PTE. APROBACION", General!G:G, "IP CAMIONES", General!O:O, "&gt;="&amp;DATE(2025,10,1), General!O:O, "&lt;="&amp;DATE(2025,10,31)) + COUNTIFS(General!F:F, "PARA FACTURAR", General!M:M, "J. FERLANTI", General!H:H, "EN TRAMITE", General!G:G, "IP CAMIONES", General!O:O, "&gt;="&amp;DATE(2025,10,1), General!O:O, "&lt;="&amp;DATE(2025,10,31))</f>
        <v>0</v>
      </c>
      <c r="H9" s="44">
        <f>G9*AH15</f>
        <v>0</v>
      </c>
      <c r="J9" s="39">
        <f>COUNTIFS(General!F:F, "IP CERRADA", General!K:K, "J. FERLANTI", General!H:H, "PTE. APROBACION", General!G:G, "IP CAMIONES", General!O:O, "&gt;="&amp;DATE(2025,10,1), General!O:O, "&lt;="&amp;DATE(2025,10,31)) + COUNTIFS(General!F:F, "PARA FACTURAR", General!K:K, "J. FERLANTI", General!G:G, "IP CAMIONES", General!O:O, "&gt;="&amp;DATE(2025,10,1), General!O:O, "&lt;="&amp;DATE(2025,10,31))</f>
        <v>0</v>
      </c>
      <c r="K9" s="40">
        <f>J9*AG15</f>
        <v>0</v>
      </c>
      <c r="L9" s="43">
        <f>COUNTIFS(General!F:F, "IP CERRADA", General!M:M, "J. FERLANTI", General!H:H, "PTE. APROBACION", General!G:G, "IP CAMIONES", General!O:O, "&gt;="&amp;DATE(2025,10,1), General!O:O, "&lt;="&amp;DATE(2025,10,31))</f>
        <v>0</v>
      </c>
      <c r="M9" s="44">
        <f>L9*AH15</f>
        <v>0</v>
      </c>
      <c r="O9" s="39">
        <f>COUNTIFS(General!F:F, "IP CERRADA", General!K:K, "J NEIRA", General!H:H, "PTE. APROBACION", General!G:G, "IP CAMIONES", General!O:O, "&gt;="&amp;DATE(2025,10,1), General!O:O, "&lt;="&amp;DATE(2025,10,31))</f>
        <v>0</v>
      </c>
      <c r="P9" s="40">
        <f>O9*AG15</f>
        <v>0</v>
      </c>
      <c r="Q9" s="43">
        <f>COUNTIFS(General!F:F, "IP CERRADA", General!M:M, "J NEIRA", General!H:H, "PTE. APROBACION", General!G:G, "IP CAMIONES", General!O:O, "&gt;="&amp;DATE(2025,10,1), General!O:O, "&lt;="&amp;DATE(2025,10,31))</f>
        <v>0</v>
      </c>
      <c r="R9" s="44">
        <f>Q9*AH15</f>
        <v>0</v>
      </c>
      <c r="T9" s="39">
        <f>COUNTIFS(General!F:F, "IP CERRADA", General!K:K, "L DEL PIERO", General!H:H, "PTE. APROBACION", General!G:G, "IP CAMIONES", General!O:O, "&gt;="&amp;DATE(2025,10,1), General!O:O, "&lt;="&amp;DATE(2025,10,31))</f>
        <v>0</v>
      </c>
      <c r="U9" s="40">
        <f>T9*AG15</f>
        <v>0</v>
      </c>
      <c r="V9" s="43">
        <f>COUNTIFS(General!F:F, "IP CERRADA", General!M:M, "L DEL PIERO", General!H:H, "PTE. APROBACION", General!G:G, "IP CAMIONES", General!O:O, "&gt;="&amp;DATE(2025,10,1), General!O:O, "&lt;="&amp;DATE(2025,10,31))</f>
        <v>0</v>
      </c>
      <c r="W9" s="44">
        <f>V9*AH15</f>
        <v>0</v>
      </c>
      <c r="Y9" s="39">
        <f>COUNTIFS(General!F:F, "IP CERRADA", General!K:K, "E Delia", General!H:H, "PTE. APROBACION", General!G:G, "IP CAMIONES", General!O:O, "&gt;="&amp;DATE(2025,10,1), General!O:O, "&lt;="&amp;DATE(2025,10,31))</f>
        <v>0</v>
      </c>
      <c r="Z9" s="40">
        <f>Y9*AG15</f>
        <v>0</v>
      </c>
      <c r="AA9" s="43">
        <f>COUNTIFS(General!F:F, "IP CERRADA", General!M:M, "E Delia", General!H:H, "PTE. APROBACION", General!G:G, "IP CAMIONES", General!O:O, "&gt;="&amp;DATE(2025,10,1), General!O:O, "&lt;="&amp;DATE(2025,10,31))</f>
        <v>0</v>
      </c>
      <c r="AB9" s="44">
        <f>AA9*AH15</f>
        <v>0</v>
      </c>
      <c r="AD9" s="261" t="s">
        <v>29</v>
      </c>
      <c r="AF9" s="120" t="s">
        <v>21</v>
      </c>
      <c r="AG9" s="121">
        <v>2500</v>
      </c>
      <c r="AH9" s="121">
        <v>2000</v>
      </c>
      <c r="AI9" s="116"/>
    </row>
    <row r="10" spans="1:35" ht="16.5">
      <c r="C10" s="37" t="s">
        <v>30</v>
      </c>
      <c r="E10" s="254">
        <f>COUNTIFS(General!F:F, "IP CERRADA", General!K:K, "A MIÑO", General!H:H, "PTE. APROBACION", General!G:G, "TERCEROS", General!O:O, "&gt;="&amp;DATE(2024,3,1), General!O:O, "&gt;="&amp;DATE(2025,10,1), General!O:O, "&lt;="&amp;DATE(2025,10,31))</f>
        <v>0</v>
      </c>
      <c r="F10" s="38">
        <f>E10*AG12</f>
        <v>0</v>
      </c>
      <c r="G10" s="41">
        <f>COUNTIFS(General!F:F, "IP CERRADA", General!M:M, "A MIÑO", General!H:H, "PTE. APROBACION", General!G:G, "TERCEROS", General!O:O, "&gt;="&amp;DATE(2025,10,1), General!O:O, "&lt;="&amp;DATE(2025,10,31))</f>
        <v>0</v>
      </c>
      <c r="H10" s="42">
        <f>G10*AH12</f>
        <v>0</v>
      </c>
      <c r="J10" s="254">
        <f>COUNTIFS(General!F:F, "IP CERRADA", General!K:K, "J. FERLANTI", General!H:H, "PTE. APROBACION", General!G:G, "TERCEROS", General!O:O, "&gt;="&amp;DATE(2025,10,1), General!O:O, "&lt;="&amp;DATE(2025,10,31)) + COUNTIFS(General!F:F, "PARA FACTURAR", General!K:K, "J. FERLANTI", General!G:G, "TERCEROS", General!O:O, "&gt;="&amp;DATE(2025,10,1), General!O:O, "&lt;="&amp;DATE(2025,10,31))</f>
        <v>0</v>
      </c>
      <c r="K10" s="38">
        <f>J10*AG12</f>
        <v>0</v>
      </c>
      <c r="L10" s="41">
        <f>COUNTIFS(General!F:F, "IP SIN ORDEN", General!M:M, "J. FERLANTI", General!H:H, "PTE. APROBACION", General!G:G, "TERCEROS", General!O:O, "&gt;="&amp;DATE(2025,10,1), General!O:O, "&lt;="&amp;DATE(2025,10,31)) + COUNTIFS(General!F:F, "PARA FACTURAR", General!M:M, "J. FERLANTI", General!H:H, "EN TRAMITE", General!G:G, "TERCEROS", General!O:O, "&gt;="&amp;DATE(2025,10,1), General!O:O, "&lt;="&amp;DATE(2025,10,31))</f>
        <v>0</v>
      </c>
      <c r="M10" s="42">
        <f>L10*AH12</f>
        <v>0</v>
      </c>
      <c r="O10" s="254">
        <f>COUNTIFS(General!F:F, "IP CERRADA", General!K:K, "J NEIRA", General!H:H, "PTE. APROBACION", General!G:G, "TERCEROS", General!O:O, "&gt;="&amp;DATE(2024,3,1), General!O:O, "&gt;="&amp;DATE(2025,10,1), General!O:O, "&lt;="&amp;DATE(2025,10,31))</f>
        <v>0</v>
      </c>
      <c r="P10" s="38">
        <f>O10*AG12</f>
        <v>0</v>
      </c>
      <c r="Q10" s="41">
        <f>COUNTIFS(General!F:F, "IP CERRADA", General!M:M, "J NEIRA", General!H:H, "PTE. APROBACION", General!G:G, "TERCEROS", General!O:O, "&gt;="&amp;DATE(2025,10,1), General!O:O, "&lt;="&amp;DATE(2025,10,31))</f>
        <v>0</v>
      </c>
      <c r="R10" s="42">
        <f>Q10*AH12</f>
        <v>0</v>
      </c>
      <c r="T10" s="254">
        <f>COUNTIFS(General!F:F, "IP CERRADA", General!K:K, "L DEL PIERO", General!H:H, "PTE. APROBACION", General!G:G, "TERCEROS", General!O:O, "&gt;="&amp;DATE(2024,3,1), General!O:O, "&gt;="&amp;DATE(2025,10,1), General!O:O, "&lt;="&amp;DATE(2025,10,31))</f>
        <v>0</v>
      </c>
      <c r="U10" s="38">
        <f>T10*AG12</f>
        <v>0</v>
      </c>
      <c r="V10" s="41">
        <f>COUNTIFS(General!F:F, "IP CERRADA", General!M:M, "L DEL PIERO", General!H:H, "PTE. APROBACION", General!G:G, "TERCEROS", General!O:O, "&gt;="&amp;DATE(2025,10,1), General!O:O, "&lt;="&amp;DATE(2025,10,31))</f>
        <v>0</v>
      </c>
      <c r="W10" s="42">
        <f>V10*AH12</f>
        <v>0</v>
      </c>
      <c r="Y10" s="254">
        <f>COUNTIFS(General!F:F, "IP CERRADA", General!K:K, "E Delia", General!H:H, "PTE. APROBACION", General!G:G, "TERCEROS", General!O:O, "&gt;="&amp;DATE(2024,3,1), General!O:O, "&gt;="&amp;DATE(2025,10,1), General!O:O, "&lt;="&amp;DATE(2025,10,31))</f>
        <v>0</v>
      </c>
      <c r="Z10" s="38">
        <f>Y10*AG12</f>
        <v>0</v>
      </c>
      <c r="AA10" s="41">
        <f>COUNTIFS(General!F:F, "IP CERRADA", General!M:M, "E Delia", General!H:H, "PTE. APROBACION", General!G:G, "TERCEROS", General!O:O, "&gt;="&amp;DATE(2025,10,1), General!O:O, "&lt;="&amp;DATE(2025,10,31))</f>
        <v>0</v>
      </c>
      <c r="AB10" s="42">
        <f>AA10*AH12</f>
        <v>0</v>
      </c>
      <c r="AD10" s="37" t="s">
        <v>30</v>
      </c>
      <c r="AF10" s="118" t="s">
        <v>24</v>
      </c>
      <c r="AG10" s="119" t="s">
        <v>27</v>
      </c>
      <c r="AH10" s="119"/>
      <c r="AI10" s="116"/>
    </row>
    <row r="11" spans="1:35" ht="16.5">
      <c r="C11" s="261" t="s">
        <v>32</v>
      </c>
      <c r="E11" s="39" t="s">
        <v>27</v>
      </c>
      <c r="F11" s="40" t="s">
        <v>27</v>
      </c>
      <c r="G11" s="43">
        <f>COUNTIFS(General!F:F, "IP CERRADA", General!M:M, "A MIÑO", General!H:H, "PTE. APROBACION", General!G:G, "FOTOS", General!O:O, "&gt;="&amp;DATE(2025,10,1), General!O:O, "&lt;="&amp;DATE(2025,10,31))</f>
        <v>0</v>
      </c>
      <c r="H11" s="44">
        <v>0</v>
      </c>
      <c r="J11" s="39" t="s">
        <v>27</v>
      </c>
      <c r="K11" s="40" t="s">
        <v>27</v>
      </c>
      <c r="L11" s="43">
        <f>COUNTIFS(General!F:F, "IP SIN ORDEN", General!M:M, "J. FERLANTI", General!H:H, "PTE. APROBACION", General!G:G, "FOTOS", General!O:O, "&gt;="&amp;DATE(2025,10,1), General!O:O, "&lt;="&amp;DATE(2025,10,31)) + COUNTIFS(General!F:F, "PARA FACTURAR", General!M:M, "J. FERLANTI", General!H:H, "EN TRAMITE", General!G:G, "FOTOS", General!O:O, "&gt;="&amp;DATE(2025,10,1), General!O:O, "&lt;="&amp;DATE(2025,10,31))</f>
        <v>0</v>
      </c>
      <c r="M11" s="44">
        <f>L11*AH13</f>
        <v>0</v>
      </c>
      <c r="O11" s="39"/>
      <c r="P11" s="40"/>
      <c r="Q11" s="43">
        <f>COUNTIFS(General!F:F, "IP CERRADA", General!M:M, "J NEIRA", General!H:H, "PTE. APROBACION", General!G:G, "FOTOS", General!O:O, "&gt;="&amp;DATE(2025,10,1), General!O:O, "&lt;="&amp;DATE(2025,10,31))</f>
        <v>0</v>
      </c>
      <c r="R11" s="44">
        <f>Q11*AH13</f>
        <v>0</v>
      </c>
      <c r="T11" s="39"/>
      <c r="U11" s="40"/>
      <c r="V11" s="43">
        <f>COUNTIFS(General!F:F, "IP CERRADA", General!M:M, "L DEL PIERO", General!H:H, "PTE. APROBACION", General!G:G, "FOTOS", General!O:O, "&gt;="&amp;DATE(2025,10,1), General!O:O, "&lt;="&amp;DATE(2025,10,31))</f>
        <v>0</v>
      </c>
      <c r="W11" s="44">
        <f>V11*AH13</f>
        <v>0</v>
      </c>
      <c r="Y11" s="39"/>
      <c r="Z11" s="40"/>
      <c r="AA11" s="43">
        <f>COUNTIFS(General!F:F, "IP CERRADA", General!M:M, "E Delia", General!H:H, "PTE. APROBACION", General!G:G, "FOTOS", General!O:O, "&gt;="&amp;DATE(2025,10,1), General!O:O, "&lt;="&amp;DATE(2025,10,31))</f>
        <v>0</v>
      </c>
      <c r="AB11" s="44">
        <f>AA11*AH13</f>
        <v>0</v>
      </c>
      <c r="AD11" s="261" t="s">
        <v>32</v>
      </c>
      <c r="AF11" s="120" t="s">
        <v>26</v>
      </c>
      <c r="AG11" s="121">
        <v>1650</v>
      </c>
      <c r="AH11" s="121" t="s">
        <v>27</v>
      </c>
      <c r="AI11" s="116"/>
    </row>
    <row r="12" spans="1:35" ht="16.5">
      <c r="C12" s="37" t="s">
        <v>84</v>
      </c>
      <c r="E12" s="254">
        <f>COUNTIFS(General!F:F, "IP CERRADA", General!K:K, "A MIÑO", General!K:K, "A MIÑO", General!H:H, "PTE. APROBACION", General!G:G, "IP FINAL/INTERMEDIA", General!O:O, "&gt;="&amp;DATE(2025,10,1), General!O:O, "&lt;="&amp;DATE(2025,10,31))</f>
        <v>0</v>
      </c>
      <c r="F12" s="38">
        <f>E12*AG14</f>
        <v>0</v>
      </c>
      <c r="G12" s="41">
        <f>COUNTIFS(General!F:F, "IP CERRADA", General!M:M, "A MIÑO", General!H:H, "PTE. APROBACION", General!G:G, "IP REMOTA", General!O:O, "&gt;="&amp;DATE(2025,10,1), General!O:O, "&lt;="&amp;DATE(2025,10,31))</f>
        <v>0</v>
      </c>
      <c r="H12" s="42">
        <f>G12*AH14</f>
        <v>0</v>
      </c>
      <c r="J12" s="254">
        <f>COUNTIFS(General!F:F, "IP CERRADA", General!K:K, "J. FERLANTI", General!H:H, "PTE. APROBACION", General!G:G, "IP FINAL/INTERMEDIA", General!O:O, "&gt;="&amp;DATE(2025,10,1), General!O:O, "&lt;="&amp;DATE(2025,10,31)) + COUNTIFS(General!F:F, "PARA FACTURAR", General!K:K, "J. FERLANTI", General!G:G, "IP FINAL/INTERMEDIA", General!O:O, "&gt;="&amp;DATE(2025,10,1), General!O:O, "&lt;="&amp;DATE(2025,10,31))</f>
        <v>0</v>
      </c>
      <c r="K12" s="38">
        <f>J12*AG9</f>
        <v>0</v>
      </c>
      <c r="L12" s="41">
        <f>COUNTIFS(General!F:F, "IP CERRADA", General!M:M, "J. FERLANTI", General!H:H, "PTE. APROBACION", General!G:G, "IP FINAL/INTERMEDIA", General!O:O, "&gt;="&amp;DATE(2025,10,1), General!O:O, "&lt;="&amp;DATE(2025,10,31)) + COUNTIFS(General!F:F, "PARA FACTURAR", General!M:M, "J. FERLANTI", General!H:H, "EN TRAMITE", General!G:G, "IP FINAL/INTERMEDIA", General!O:O, "&gt;="&amp;DATE(2025,10,1), General!O:O, "&lt;="&amp;DATE(2025,10,31))</f>
        <v>1</v>
      </c>
      <c r="M12" s="42">
        <f>L12*AH9</f>
        <v>2000</v>
      </c>
      <c r="O12" s="254">
        <f>COUNTIFS(General!F:F, "IP CERRADA", General!K:K, "J NEIRA", General!K:K, "A MIÑO", General!H:H, "PTE. APROBACION", General!G:G, "IP REMOTA", General!O:O, "&gt;="&amp;DATE(2025,10,1), General!O:O, "&lt;="&amp;DATE(2025,10,31))</f>
        <v>0</v>
      </c>
      <c r="P12" s="38">
        <f>O12*AG14</f>
        <v>0</v>
      </c>
      <c r="Q12" s="41">
        <f>COUNTIFS(General!F:F, "IP CERRADA", General!M:M, "J NEIRA", General!H:H, "PTE. APROBACION", General!G:G, "IP REMOTA", General!O:O, "&gt;="&amp;DATE(2025,10,1), General!O:O, "&lt;="&amp;DATE(2025,10,31))</f>
        <v>0</v>
      </c>
      <c r="R12" s="42">
        <f>Q12*AH14</f>
        <v>0</v>
      </c>
      <c r="T12" s="254">
        <f>COUNTIFS(General!F:F, "IP CERRADA", General!K:K, "L DEL PIERO", General!K:K, "A MIÑO", General!H:H, "PTE. APROBACION", General!G:G, "IP REMOTA", General!O:O, "&gt;="&amp;DATE(2025,10,1), General!O:O, "&lt;="&amp;DATE(2025,10,31))</f>
        <v>0</v>
      </c>
      <c r="U12" s="38">
        <f>T12*AG14</f>
        <v>0</v>
      </c>
      <c r="V12" s="41">
        <f>COUNTIFS(General!F:F, "IP CERRADA", General!M:M, "L DEL PIERO", General!H:H, "PTE. APROBACION", General!G:G, "IP REMOTA", General!O:O, "&gt;="&amp;DATE(2025,10,1), General!O:O, "&lt;="&amp;DATE(2025,10,31))</f>
        <v>0</v>
      </c>
      <c r="W12" s="42">
        <f>V12*AH14</f>
        <v>0</v>
      </c>
      <c r="Y12" s="254">
        <f>COUNTIFS(General!F:F, "IP CERRADA", General!K:K, "E Delia",  General!H:H, "PTE. APROBACION", General!G:G, "IP FINAL/INTERMEDIA", General!O:O, "&gt;="&amp;DATE(2025,10,1), General!O:O, "&lt;="&amp;DATE(2025,10,31))</f>
        <v>0</v>
      </c>
      <c r="Z12" s="38">
        <f>Y12*AG9</f>
        <v>0</v>
      </c>
      <c r="AA12" s="41">
        <f>COUNTIFS(General!F:F, "IP CERRADA", General!M:M, "E Delia", General!H:H, "PTE. APROBACION", General!G:G, "IP REMOTA", General!O:O, "&gt;="&amp;DATE(2025,10,1), General!O:O, "&lt;="&amp;DATE(2025,10,31))</f>
        <v>0</v>
      </c>
      <c r="AB12" s="42">
        <f>AA12*AH14</f>
        <v>0</v>
      </c>
      <c r="AD12" s="37" t="s">
        <v>34</v>
      </c>
      <c r="AF12" s="118" t="s">
        <v>30</v>
      </c>
      <c r="AG12" s="119">
        <v>5625</v>
      </c>
      <c r="AH12" s="119">
        <v>5250</v>
      </c>
      <c r="AI12" s="116"/>
    </row>
    <row r="13" spans="1:35" ht="16.5">
      <c r="C13" s="261" t="s">
        <v>37</v>
      </c>
      <c r="E13" s="39" t="s">
        <v>27</v>
      </c>
      <c r="F13" s="40" t="s">
        <v>27</v>
      </c>
      <c r="G13" s="43">
        <f>COUNTIFS(General!F:F, "IP CERRADA", General!M:M, "A MIÑO", General!H:H, "PTE. APROBACION", General!G:G, "IP VIRTUAL", General!O:O, "&gt;="&amp;DATE(2025,10,1), General!O:O, "&lt;="&amp;DATE(2025,10,31))</f>
        <v>0</v>
      </c>
      <c r="H13" s="44">
        <f>G13*AH16</f>
        <v>0</v>
      </c>
      <c r="J13" s="39" t="s">
        <v>27</v>
      </c>
      <c r="K13" s="40" t="s">
        <v>27</v>
      </c>
      <c r="L13" s="43">
        <f>COUNTIFS(General!F:F, "IP SIN ORDEN", General!M:M, "J. FERLANTI", General!H:H, "PTE. APROBACION", General!G:G, "IP VIRTUAL", General!O:O, "&gt;="&amp;DATE(2025,10,1), General!O:O, "&lt;="&amp;DATE(2025,10,31)) + COUNTIFS(General!F:F, "PARA FACTURAR", General!M:M, "J. FERLANTI", General!H:H, "EN TRAMITE", General!G:G, "IP VIRTUAL", General!O:O, "&gt;="&amp;DATE(2025,10,1), General!O:O, "&lt;="&amp;DATE(2025,10,31))</f>
        <v>0</v>
      </c>
      <c r="M13" s="44">
        <f>L13*AH16</f>
        <v>0</v>
      </c>
      <c r="O13" s="39"/>
      <c r="P13" s="40"/>
      <c r="Q13" s="43">
        <f>COUNTIFS(General!F:F, "IP CERRADA", General!M:M, "J NEIRA", General!H:H, "PTE. APROBACION", General!G:G, "IP VIRTUAL", General!O:O, "&gt;="&amp;DATE(2025,10,1), General!O:O, "&lt;="&amp;DATE(2025,10,31))</f>
        <v>0</v>
      </c>
      <c r="R13" s="44">
        <f>Q13*AH16</f>
        <v>0</v>
      </c>
      <c r="T13" s="39"/>
      <c r="U13" s="40"/>
      <c r="V13" s="43">
        <f>COUNTIFS(General!F:F, "IP CERRADA", General!M:M, "L DEL PIERO", General!H:H, "PTE. APROBACION", General!G:G, "IP VIRTUAL", General!O:O, "&gt;="&amp;DATE(2025,10,1), General!O:O, "&lt;="&amp;DATE(2025,10,31))</f>
        <v>0</v>
      </c>
      <c r="W13" s="44">
        <f>V13*AH16</f>
        <v>0</v>
      </c>
      <c r="Y13" s="39"/>
      <c r="Z13" s="40"/>
      <c r="AA13" s="43">
        <f>COUNTIFS(General!F:F, "IP CERRADA", General!M:M, "E Delia", General!H:H, "PTE. APROBACION", General!G:G, "IP VIRTUAL", General!O:O, "&gt;="&amp;DATE(2025,10,1), General!O:O, "&lt;="&amp;DATE(2025,10,31))</f>
        <v>0</v>
      </c>
      <c r="AB13" s="44">
        <f>AA13*AH16</f>
        <v>0</v>
      </c>
      <c r="AD13" s="261" t="s">
        <v>37</v>
      </c>
      <c r="AF13" s="120" t="s">
        <v>32</v>
      </c>
      <c r="AG13" s="121" t="s">
        <v>27</v>
      </c>
      <c r="AH13" s="121">
        <v>0</v>
      </c>
      <c r="AI13" s="116"/>
    </row>
    <row r="14" spans="1:35" ht="16.5">
      <c r="C14" s="37" t="s">
        <v>26</v>
      </c>
      <c r="E14" s="254">
        <f>COUNTIFS(General!F:F, "IP CERRADA", General!K:K, "A MIÑO", General!K:K, "A MIÑO", General!H:H, "PTE. APROBACION", General!G:G, "AUSENTE", General!O:O, "&gt;="&amp;DATE(2025,10,1), General!O:O, "&lt;="&amp;DATE(2025,10,31))</f>
        <v>0</v>
      </c>
      <c r="F14" s="38">
        <f>E14*AG11</f>
        <v>0</v>
      </c>
      <c r="G14" s="41" t="s">
        <v>27</v>
      </c>
      <c r="H14" s="42" t="s">
        <v>27</v>
      </c>
      <c r="J14" s="254">
        <f>COUNTIFS(General!F:F, "IP CERRADA", General!K:K, "J. FERLANTI", General!H:H, "PTE. APROBACION", General!G:G, "AUSENTE", General!O:O, "&gt;="&amp;DATE(2025,10,1), General!O:O, "&lt;="&amp;DATE(2025,10,31)) + COUNTIFS(General!F:F, "PARA FACTURAR", General!K:K, "J. FERLANTI", General!G:G, "AUSENTE", General!O:O, "&gt;="&amp;DATE(2025,10,1), General!O:O, "&lt;="&amp;DATE(2025,10,31))</f>
        <v>0</v>
      </c>
      <c r="K14" s="38">
        <f>J14*AG11</f>
        <v>0</v>
      </c>
      <c r="L14" s="41"/>
      <c r="M14" s="42"/>
      <c r="O14" s="254">
        <f>COUNTIFS(General!F:F, "IP CERRADA", General!K:K, "J NEIRA", General!K:K, "A MIÑO", General!H:H, "PTE. APROBACION", General!G:G, "AUSENTE", General!O:O, "&gt;="&amp;DATE(2025,10,1), General!O:O, "&lt;="&amp;DATE(2025,10,31))</f>
        <v>0</v>
      </c>
      <c r="P14" s="38">
        <f>O14*AG11</f>
        <v>0</v>
      </c>
      <c r="Q14" s="41"/>
      <c r="R14" s="42"/>
      <c r="T14" s="254">
        <f>COUNTIFS(General!F:F, "IP CERRADA", General!K:K, "L DEL PIERO", General!K:K, "A MIÑO", General!H:H, "PTE. APROBACION", General!G:G, "AUSENTE", General!O:O, "&gt;="&amp;DATE(2025,10,1), General!O:O, "&lt;="&amp;DATE(2025,10,31))</f>
        <v>0</v>
      </c>
      <c r="U14" s="38">
        <f>T14*AG11</f>
        <v>0</v>
      </c>
      <c r="V14" s="41"/>
      <c r="W14" s="42"/>
      <c r="Y14" s="254">
        <f>COUNTIFS(General!F:F, "IP CERRADA", General!K:K, "E Delia", General!K:K, "E DELIA", General!H:H, "PTE. APROBACION", General!G:G, "AUSENTE", General!O:O, "&gt;="&amp;DATE(2025,10,1), General!O:O, "&lt;="&amp;DATE(2025,10,31))</f>
        <v>8</v>
      </c>
      <c r="Z14" s="38">
        <f>Y14*AG11</f>
        <v>13200</v>
      </c>
      <c r="AA14" s="41"/>
      <c r="AB14" s="42"/>
      <c r="AD14" s="37" t="s">
        <v>26</v>
      </c>
      <c r="AF14" s="118" t="s">
        <v>34</v>
      </c>
      <c r="AG14" s="119">
        <v>0</v>
      </c>
      <c r="AH14" s="119">
        <v>0</v>
      </c>
      <c r="AI14" s="116"/>
    </row>
    <row r="15" spans="1:35">
      <c r="E15" s="395" t="s">
        <v>44</v>
      </c>
      <c r="F15" s="396"/>
      <c r="G15" s="397" t="s">
        <v>44</v>
      </c>
      <c r="H15" s="398"/>
      <c r="J15" s="383" t="s">
        <v>44</v>
      </c>
      <c r="K15" s="384"/>
      <c r="L15" s="381" t="s">
        <v>44</v>
      </c>
      <c r="M15" s="382"/>
      <c r="O15" s="383" t="s">
        <v>44</v>
      </c>
      <c r="P15" s="384"/>
      <c r="Q15" s="381" t="s">
        <v>44</v>
      </c>
      <c r="R15" s="382"/>
      <c r="T15" s="383" t="s">
        <v>44</v>
      </c>
      <c r="U15" s="384"/>
      <c r="V15" s="381" t="s">
        <v>44</v>
      </c>
      <c r="W15" s="382"/>
      <c r="Y15" s="383" t="s">
        <v>44</v>
      </c>
      <c r="Z15" s="384"/>
      <c r="AA15" s="381" t="s">
        <v>44</v>
      </c>
      <c r="AB15" s="382"/>
      <c r="AF15" s="120" t="s">
        <v>29</v>
      </c>
      <c r="AG15" s="121">
        <v>5625</v>
      </c>
      <c r="AH15" s="121">
        <v>5250</v>
      </c>
      <c r="AI15" s="116"/>
    </row>
    <row r="16" spans="1:35">
      <c r="E16" s="37">
        <f>E4+E5+E6+E7+E9+E10+E12+E14</f>
        <v>0</v>
      </c>
      <c r="F16" s="29">
        <f>F4+F5+F6+F7+F9+F10+F12+F14</f>
        <v>0</v>
      </c>
      <c r="G16" s="51">
        <f>G4+G5+G6+G7+G8+G9+G10+G11+G12+G13</f>
        <v>0</v>
      </c>
      <c r="H16" s="45">
        <f>H4+H5+H6+H7+H8+H9+H10+H11+H12+H13</f>
        <v>0</v>
      </c>
      <c r="J16" s="37">
        <f>J4+J5+J6+J7+J9+J10+J12+J14</f>
        <v>12</v>
      </c>
      <c r="K16" s="29">
        <f>K4+K5+K6+K7+K9+K10+K12+K14</f>
        <v>48750</v>
      </c>
      <c r="L16" s="51">
        <f>L4+L5+L6+L7+L8+L9+L10+L11+L12+L13</f>
        <v>164</v>
      </c>
      <c r="M16" s="45">
        <f>M4+M5+M6+M7+M8+M9+M10+M11+M12+M13</f>
        <v>783000</v>
      </c>
      <c r="O16" s="37">
        <f>O4+O5+O6+O7+O8+O9+O10+O11+O12+O13+O14</f>
        <v>0</v>
      </c>
      <c r="P16" s="29">
        <f>P4+P5+P6+P7+P8+P9+P10+P11+P12+P13</f>
        <v>0</v>
      </c>
      <c r="Q16" s="51">
        <f>Q4+Q5+Q6+Q7+Q8+Q9+Q10+Q11+Q12+Q13</f>
        <v>0</v>
      </c>
      <c r="R16" s="45">
        <f>R4+R5+R6+R7+R8+R9+R10+R11+R12+R13</f>
        <v>0</v>
      </c>
      <c r="T16" s="37">
        <f>T4+T5+T6+T7+T8+T9+T10+T11+T12+T13+T14</f>
        <v>108</v>
      </c>
      <c r="U16" s="29">
        <f>U4+U5+U6+U7+U8+U9+U10+U11+U12+U13</f>
        <v>573125</v>
      </c>
      <c r="V16" s="51">
        <f>V4+V5+V6+V7+V8+V9+V10+V11+V12+V13</f>
        <v>0</v>
      </c>
      <c r="W16" s="45">
        <f>W4+W5+W6+W7+W8+W9+W10+W11+W12+W13</f>
        <v>0</v>
      </c>
      <c r="Y16" s="37">
        <f>Y4+Y5+Y6+Y7+Y8+Y9+Y10+Y11+Y12+Y13+Y14</f>
        <v>51</v>
      </c>
      <c r="Z16" s="29">
        <f>Z4+Z5+Z6+Z7+Z8+Z9+Z10+Z11+Z12+Z13</f>
        <v>223125</v>
      </c>
      <c r="AA16" s="51">
        <f>AA4+AA5+AA6+AA7+AA8+AA9+AA10+AA11+AA12+AA13</f>
        <v>0</v>
      </c>
      <c r="AB16" s="45">
        <f>AB4+AB5+AB6+AB7+AB8+AB9+AB10+AB11+AB12+AB13</f>
        <v>0</v>
      </c>
      <c r="AF16" s="118" t="s">
        <v>37</v>
      </c>
      <c r="AG16" s="119" t="s">
        <v>27</v>
      </c>
      <c r="AH16" s="119">
        <v>0</v>
      </c>
      <c r="AI16" s="116"/>
    </row>
    <row r="17" spans="3:35">
      <c r="E17" s="48"/>
      <c r="F17" s="49"/>
      <c r="G17" s="48"/>
      <c r="H17" s="49"/>
      <c r="J17" s="48"/>
      <c r="K17" s="49"/>
      <c r="L17" s="48"/>
      <c r="M17" s="49"/>
      <c r="O17" s="48"/>
      <c r="P17" s="49"/>
      <c r="Q17" s="48"/>
      <c r="R17" s="49"/>
      <c r="T17" s="48"/>
      <c r="U17" s="49"/>
      <c r="V17" s="48"/>
      <c r="W17" s="49"/>
      <c r="Y17" s="48"/>
      <c r="Z17" s="49"/>
      <c r="AA17" s="48"/>
      <c r="AB17" s="49"/>
      <c r="AF17" s="118"/>
      <c r="AG17" s="119"/>
      <c r="AH17" s="119"/>
      <c r="AI17" s="116"/>
    </row>
    <row r="18" spans="3:35">
      <c r="E18" s="395"/>
      <c r="F18" s="396"/>
      <c r="G18" s="261"/>
      <c r="H18" s="52"/>
      <c r="J18" s="380"/>
      <c r="K18" s="380"/>
      <c r="L18" s="261"/>
      <c r="M18" s="50"/>
      <c r="O18" s="380"/>
      <c r="P18" s="380"/>
      <c r="Q18" s="261"/>
      <c r="R18" s="50"/>
      <c r="T18" s="380"/>
      <c r="U18" s="380"/>
      <c r="V18" s="261"/>
      <c r="W18" s="50"/>
      <c r="Y18" s="380"/>
      <c r="Z18" s="380"/>
      <c r="AA18" s="261"/>
      <c r="AB18" s="50"/>
      <c r="AF18" s="118"/>
      <c r="AG18" s="119"/>
      <c r="AH18" s="119"/>
      <c r="AI18" s="116"/>
    </row>
    <row r="19" spans="3:35">
      <c r="E19" s="376" t="s">
        <v>3</v>
      </c>
      <c r="F19" s="377"/>
      <c r="G19" s="99">
        <f>COUNTIFS(General!F:F, "LICITANDO REPUESTOS", General!M:M, "A MIÑO")</f>
        <v>0</v>
      </c>
      <c r="H19" s="100"/>
      <c r="J19" s="376" t="s">
        <v>3</v>
      </c>
      <c r="K19" s="377"/>
      <c r="L19" s="99">
        <f>COUNTIFS(General!F:F, "LICITANDO REPUESTOS", General!M:M, "J. FERLANTI")</f>
        <v>16</v>
      </c>
      <c r="M19" s="100"/>
      <c r="O19" s="393" t="s">
        <v>3</v>
      </c>
      <c r="P19" s="394"/>
      <c r="Q19" s="99">
        <f>COUNTIFS(General!F:F, "LICITANDO REPUESTOS", General!M:M, "J NEIRA")</f>
        <v>0</v>
      </c>
      <c r="R19" s="100"/>
      <c r="T19" s="376" t="s">
        <v>3</v>
      </c>
      <c r="U19" s="377"/>
      <c r="V19" s="95"/>
      <c r="W19" s="96"/>
      <c r="Y19" s="376" t="s">
        <v>3</v>
      </c>
      <c r="Z19" s="377"/>
      <c r="AA19" s="95"/>
      <c r="AB19" s="96"/>
      <c r="AF19" s="122" t="s">
        <v>43</v>
      </c>
      <c r="AG19" s="123">
        <v>300</v>
      </c>
      <c r="AH19" s="123" t="s">
        <v>27</v>
      </c>
      <c r="AI19" s="117"/>
    </row>
    <row r="20" spans="3:35">
      <c r="E20" s="378" t="s">
        <v>85</v>
      </c>
      <c r="F20" s="379"/>
      <c r="G20" s="97"/>
      <c r="H20" s="98"/>
      <c r="J20" s="378" t="s">
        <v>85</v>
      </c>
      <c r="K20" s="379"/>
      <c r="L20" s="97">
        <f>COUNTIFS(General!F:F, "IP COORDINADA", General!M:M, "J. FERLANTI")</f>
        <v>34</v>
      </c>
      <c r="M20" s="98"/>
      <c r="O20" s="378" t="s">
        <v>85</v>
      </c>
      <c r="P20" s="379"/>
      <c r="Q20" s="97"/>
      <c r="R20" s="98"/>
      <c r="T20" s="378" t="s">
        <v>85</v>
      </c>
      <c r="U20" s="379"/>
      <c r="V20" s="97"/>
      <c r="W20" s="98"/>
      <c r="Y20" s="378" t="s">
        <v>85</v>
      </c>
      <c r="Z20" s="379"/>
      <c r="AA20" s="97"/>
      <c r="AB20" s="98"/>
    </row>
    <row r="21" spans="3:35">
      <c r="E21" s="374" t="s">
        <v>86</v>
      </c>
      <c r="F21" s="375"/>
      <c r="G21" s="46">
        <f>E4+E5+E6+E7+E9+E10+E12+E14+G4+G5+G6+G7+G8+G9+G10+G11+G12+G13</f>
        <v>0</v>
      </c>
      <c r="H21" s="47">
        <f>F16+H16+H18</f>
        <v>0</v>
      </c>
      <c r="J21" s="374" t="s">
        <v>86</v>
      </c>
      <c r="K21" s="375"/>
      <c r="L21" s="46">
        <f>J4+J5+J6+J7+J9+J10+J12+J14+L4+L5+L6+L7+L9+L8+L10+L11+L12+L13</f>
        <v>176</v>
      </c>
      <c r="M21" s="47">
        <f>M16+M18+K16</f>
        <v>831750</v>
      </c>
      <c r="O21" s="374" t="s">
        <v>86</v>
      </c>
      <c r="P21" s="375"/>
      <c r="Q21" s="46">
        <f>Q4+Q5+Q6+Q7+Q8+Q9+Q10+Q11+Q12+Q13+O4+O5+O6+O8+O7+O9+O10+O11+O12+O13</f>
        <v>0</v>
      </c>
      <c r="R21" s="47">
        <f>P16+R16</f>
        <v>0</v>
      </c>
      <c r="T21" s="374" t="s">
        <v>86</v>
      </c>
      <c r="U21" s="375"/>
      <c r="V21" s="46">
        <f>V4+V5+V6+V7+V8+V9+V10+V11+V12+V13+T4+T5+T6+T8+T7+T9+T10+T11+T12+T13</f>
        <v>108</v>
      </c>
      <c r="W21" s="47">
        <f>U16+W16</f>
        <v>573125</v>
      </c>
      <c r="Y21" s="374" t="s">
        <v>86</v>
      </c>
      <c r="Z21" s="375"/>
      <c r="AA21" s="46">
        <f>AA4+AA5+AA6+AA7+AA8+AA9+AA10+AA11+AA12+AA13+Y4+Y5+Y6+Y8+Y7+Y9+Y10+Y11+Y12+Y13</f>
        <v>43</v>
      </c>
      <c r="AB21" s="47">
        <f>Z16+AB16</f>
        <v>223125</v>
      </c>
    </row>
    <row r="22" spans="3:35">
      <c r="S22" t="s">
        <v>87</v>
      </c>
    </row>
    <row r="24" spans="3:35">
      <c r="C24" s="369" t="s">
        <v>1</v>
      </c>
      <c r="E24" s="385" t="s">
        <v>33</v>
      </c>
      <c r="F24" s="386"/>
      <c r="G24" s="386"/>
      <c r="H24" s="387"/>
      <c r="J24" s="385" t="s">
        <v>31</v>
      </c>
      <c r="K24" s="386"/>
      <c r="L24" s="386"/>
      <c r="M24" s="387"/>
      <c r="O24" s="385" t="s">
        <v>88</v>
      </c>
      <c r="P24" s="386"/>
      <c r="Q24" s="386"/>
      <c r="R24" s="387"/>
      <c r="T24" s="385" t="s">
        <v>22</v>
      </c>
      <c r="U24" s="386"/>
      <c r="V24" s="386"/>
      <c r="W24" s="387"/>
      <c r="Y24" s="385" t="s">
        <v>28</v>
      </c>
      <c r="Z24" s="386"/>
      <c r="AA24" s="386"/>
      <c r="AB24" s="387"/>
      <c r="AD24" s="369" t="s">
        <v>1</v>
      </c>
    </row>
    <row r="25" spans="3:35">
      <c r="C25" s="369"/>
      <c r="E25" s="388"/>
      <c r="F25" s="389"/>
      <c r="G25" s="389"/>
      <c r="H25" s="390"/>
      <c r="J25" s="388"/>
      <c r="K25" s="389"/>
      <c r="L25" s="389"/>
      <c r="M25" s="390"/>
      <c r="O25" s="388"/>
      <c r="P25" s="389"/>
      <c r="Q25" s="389"/>
      <c r="R25" s="390"/>
      <c r="T25" s="388"/>
      <c r="U25" s="389"/>
      <c r="V25" s="389"/>
      <c r="W25" s="390"/>
      <c r="Y25" s="388"/>
      <c r="Z25" s="389"/>
      <c r="AA25" s="389"/>
      <c r="AB25" s="390"/>
      <c r="AD25" s="369"/>
    </row>
    <row r="26" spans="3:35">
      <c r="E26" s="391" t="s">
        <v>83</v>
      </c>
      <c r="F26" s="391"/>
      <c r="G26" s="392" t="s">
        <v>8</v>
      </c>
      <c r="H26" s="392"/>
      <c r="J26" s="391" t="s">
        <v>83</v>
      </c>
      <c r="K26" s="391"/>
      <c r="L26" s="392" t="s">
        <v>8</v>
      </c>
      <c r="M26" s="392"/>
      <c r="O26" s="391" t="s">
        <v>83</v>
      </c>
      <c r="P26" s="391"/>
      <c r="Q26" s="392" t="s">
        <v>8</v>
      </c>
      <c r="R26" s="392"/>
      <c r="T26" s="391" t="s">
        <v>83</v>
      </c>
      <c r="U26" s="391"/>
      <c r="V26" s="392" t="s">
        <v>8</v>
      </c>
      <c r="W26" s="392"/>
      <c r="Y26" s="391" t="s">
        <v>83</v>
      </c>
      <c r="Z26" s="391"/>
      <c r="AA26" s="392" t="s">
        <v>8</v>
      </c>
      <c r="AB26" s="392"/>
    </row>
    <row r="27" spans="3:35" ht="16.5">
      <c r="C27" s="37" t="s">
        <v>10</v>
      </c>
      <c r="E27" s="254">
        <f>COUNTIFS(General!F:F, "IP CERRADA", General!K:K, "G DICLEMENTE", General!H:H, "PTE. APROBACION", General!G:G, "IP CON ORDEN", General!O:O, "&gt;="&amp;DATE(2025,10,1), General!O:O, "&lt;="&amp;DATE(2025,10,31))</f>
        <v>0</v>
      </c>
      <c r="F27" s="38">
        <f>E27*AG5</f>
        <v>0</v>
      </c>
      <c r="G27" s="55">
        <f>COUNTIFS(General!F:F, "IP CERRADA", General!M:M, "G DICLEMENTE", General!H:H, "PTE. APROBACION", General!G:G, "IP CON ORDEN", General!O:O, "&gt;="&amp;DATE(2025,10,1), General!O:O, "&lt;="&amp;DATE(2025,10,31))</f>
        <v>0</v>
      </c>
      <c r="H27" s="42">
        <f>G27*AH5</f>
        <v>0</v>
      </c>
      <c r="J27" s="254">
        <f>COUNTIFS(General!F:F, "IP CERRADA", General!K:K, "R. FRANCO", General!H:H, "PTE. APROBACION", General!G:G, "IP CON ORDEN", General!O:O, "&gt;="&amp;DATE(2025,10,1), General!O:O, "&lt;="&amp;DATE(2025,10,31))</f>
        <v>0</v>
      </c>
      <c r="K27" s="38">
        <f>J27*AG5</f>
        <v>0</v>
      </c>
      <c r="L27" s="41">
        <f>COUNTIFS(General!F:F, "IP CERRADA", General!M:M, "R. FRANCO", General!H:H, "PTE. APROBACION", General!G:G, "IP CON ORDEN", General!O:O, "&gt;="&amp;DATE(2025,10,1), General!O:O, "&lt;="&amp;DATE(2025,10,31))</f>
        <v>0</v>
      </c>
      <c r="M27" s="42">
        <f>L27*AH5</f>
        <v>0</v>
      </c>
      <c r="O27" s="254">
        <f>COUNTIFS(General!F:F, "IP CERRADA", General!K:K, "R ARIN", General!H:H, "PTE. APROBACION", General!G:G, "IP CON ORDEN", General!O:O, "&gt;="&amp;DATE(2025,10,1), General!O:O, "&lt;="&amp;DATE(2025,10,31))</f>
        <v>0</v>
      </c>
      <c r="P27" s="38">
        <f>O27*AG5</f>
        <v>0</v>
      </c>
      <c r="Q27" s="41">
        <f>COUNTIFS(General!F:F, "IP CERRADA", General!M:M, "R ARIN", General!H:H, "PTE. APROBACION", General!G:G, "IP CON ORDEN", General!O:O, "&gt;="&amp;DATE(2025,10,1), General!O:O, "&lt;="&amp;DATE(2025,10,31))</f>
        <v>0</v>
      </c>
      <c r="R27" s="42">
        <f>Q27*AH5</f>
        <v>0</v>
      </c>
      <c r="T27" s="254">
        <f>COUNTIFS(General!F:F, "IP CERRADA", General!K:K, "C. CRIBARI", General!H:H, "PTE. APROBACION", General!G:G, "IP CON ORDEN", General!O:O, "&gt;="&amp;DATE(2025,10,1), General!O:O, "&lt;="&amp;DATE(2025,10,31)) + COUNTIFS(General!F:F, "PARA FACTURAR", General!K:K, "C. CRIBARI", General!G:G, "IP CON ORDEN", General!O:O, "&gt;="&amp;DATE(2025,10,1), General!O:O, "&lt;="&amp;DATE(2025,10,31))</f>
        <v>0</v>
      </c>
      <c r="U27" s="38">
        <f>T27*AG5</f>
        <v>0</v>
      </c>
      <c r="V27" s="41">
        <f>COUNTIFS(General!F:F, "IP CERRADA", General!M:M, "C. CRIBARI", General!H:H, "PTE. APROBACION", General!G:G, "IP CON ORDEN", General!O:O, "&gt;="&amp;DATE(2025,10,1), General!O:O, "&lt;="&amp;DATE(2025,10,31)) + COUNTIFS(General!F:F, "PARA FACTURAR", General!M:M, "C. CRIBARI", General!H:H, "EN TRAMITE", General!G:G, "IP CON ORDEN")</f>
        <v>0</v>
      </c>
      <c r="W27" s="42">
        <f>V27*AH5</f>
        <v>0</v>
      </c>
      <c r="Y27" s="254">
        <f>COUNTIFS(General!F:F, "IP CERRADA", General!K:K, "E DZYHAJLO", General!H:H, "PTE. APROBACION", General!G:G, "IP CON ORDEN", General!O:O, "&gt;="&amp;DATE(2025,10,1), General!O:O, "&lt;="&amp;DATE(2025,10,31))</f>
        <v>0</v>
      </c>
      <c r="Z27" s="38">
        <f>Y27*AG5</f>
        <v>0</v>
      </c>
      <c r="AA27" s="41"/>
      <c r="AB27" s="42">
        <f>AA27*AH5</f>
        <v>0</v>
      </c>
      <c r="AD27" s="37" t="s">
        <v>10</v>
      </c>
    </row>
    <row r="28" spans="3:35" ht="16.5">
      <c r="C28" s="261" t="s">
        <v>15</v>
      </c>
      <c r="E28" s="39">
        <f>COUNTIFS(General!F:F, "IP CERRADA", General!K:K, "G DICLEMENTE", General!H:H, "PTE. APROBACION", General!G:G, "POSIBLE DT", General!O:O, "&gt;="&amp;DATE(2025,10,1), General!O:O, "&lt;="&amp;DATE(2025,10,31))</f>
        <v>0</v>
      </c>
      <c r="F28" s="53">
        <f>E28*AG7</f>
        <v>0</v>
      </c>
      <c r="G28" s="43">
        <f>COUNTIFS(General!F:F, "IP CERRADA", General!M:M, "G DICLEMENTE", General!H:H, "PTE. APROBACION", General!G:G, "POSIBLE DT", General!O:O, "&gt;="&amp;DATE(2025,10,1), General!O:O, "&lt;="&amp;DATE(2025,10,31))</f>
        <v>0</v>
      </c>
      <c r="H28" s="54">
        <f>G28*AH7</f>
        <v>0</v>
      </c>
      <c r="J28" s="39">
        <f>COUNTIFS(General!F:F, "IP CERRADA", General!K:K, "R. FRANCO", General!H:H, "PTE. APROBACION", General!G:G, "POSIBLE DT", General!O:O, "&gt;="&amp;DATE(2025,10,1), General!O:O, "&lt;="&amp;DATE(2025,10,31))</f>
        <v>0</v>
      </c>
      <c r="K28" s="40">
        <f>J28*AG7</f>
        <v>0</v>
      </c>
      <c r="L28" s="43">
        <f>COUNTIFS(General!F:F, "IP CERRADA", General!M:M, "R. FRANCO", General!H:H, "PTE. APROBACION", General!G:G, "POSIBLE DT", General!O:O, "&gt;="&amp;DATE(2025,10,1), General!O:O, "&lt;="&amp;DATE(2025,10,31))</f>
        <v>0</v>
      </c>
      <c r="M28" s="44">
        <f>L28*AH7</f>
        <v>0</v>
      </c>
      <c r="O28" s="39">
        <f>COUNTIFS(General!F:F, "IP CERRADA", General!K:K, "R ARIN", General!H:H, "PTE. APROBACION", General!G:G, "POSIBLE DT", General!O:O, "&gt;="&amp;DATE(2025,10,1), General!O:O, "&lt;="&amp;DATE(2025,10,31))</f>
        <v>0</v>
      </c>
      <c r="P28" s="40">
        <f>O28*AG7</f>
        <v>0</v>
      </c>
      <c r="Q28" s="43">
        <f>COUNTIFS(General!F:F, "IP CERRADA", General!M:M, "R ARIN", General!H:H, "PTE. APROBACION", General!G:G, "POSIBLE DT", General!O:O, "&gt;="&amp;DATE(2025,10,1), General!O:O, "&lt;="&amp;DATE(2025,10,31))</f>
        <v>0</v>
      </c>
      <c r="R28" s="44">
        <f>Q28*AH7</f>
        <v>0</v>
      </c>
      <c r="T28" s="39">
        <f>COUNTIFS(General!F:F, "IP CERRADA", General!K:K, "C. CRIBARI", General!H:H, "PTE. APROBACION", General!G:G, "POSIBLE DT", General!O:O, "&gt;="&amp;DATE(2025,10,1), General!O:O, "&lt;="&amp;DATE(2025,10,31)) + COUNTIFS(General!F:F, "PARA FACTURAR", General!K:K, "C. CRIBARI", General!G:G, "POSIBLE DT", General!O:O, "&gt;="&amp;DATE(2025,10,1), General!O:O, "&lt;="&amp;DATE(2025,10,31))</f>
        <v>0</v>
      </c>
      <c r="U28" s="40">
        <f>T28*AG7</f>
        <v>0</v>
      </c>
      <c r="V28" s="43">
        <f>COUNTIFS(General!F:F, "IP CERRADA", General!M:M, "C. CRIBARI", General!H:H, "PTE. APROBACION", General!G:G, "POSIBLE DT", General!O:O, "&gt;="&amp;DATE(2025,10,1), General!O:O, "&lt;="&amp;DATE(2025,10,31)) + COUNTIFS(General!F:F, "PARA FACTURAR", General!M:M, "C. CRIBARI", General!H:H, "EN TRAMITE", General!G:G, "POSIBLE DT", General!O:O, "&gt;="&amp;DATE(2025,10,1), General!O:O, "&lt;="&amp;DATE(2025,10,31))</f>
        <v>0</v>
      </c>
      <c r="W28" s="44">
        <f>V28*AH7</f>
        <v>0</v>
      </c>
      <c r="Y28" s="39">
        <f>COUNTIFS(General!F:F, "IP CERRADA", General!K:K, "E DZYHAJLO", General!H:H, "PTE. APROBACION", General!G:G, "POSIBLE DT", General!O:O, "&gt;="&amp;DATE(2025,10,1), General!O:O, "&lt;="&amp;DATE(2025,10,31))</f>
        <v>0</v>
      </c>
      <c r="Z28" s="40">
        <f>Y28*AG7</f>
        <v>0</v>
      </c>
      <c r="AA28" s="43"/>
      <c r="AB28" s="44">
        <f>AA28*AH7</f>
        <v>0</v>
      </c>
      <c r="AD28" s="261" t="s">
        <v>15</v>
      </c>
    </row>
    <row r="29" spans="3:35" ht="16.5">
      <c r="C29" s="37" t="s">
        <v>18</v>
      </c>
      <c r="E29" s="254">
        <f>COUNTIFS(General!F:F, "IP CERRADA", General!K:K, "G DICLEMENTE", General!H:H, "PTE. APROBACION", General!G:G, "IP SIN ORDEN", General!O:O, "&gt;="&amp;DATE(2025,10,1), General!O:O, "&lt;="&amp;DATE(2025,10,31))</f>
        <v>0</v>
      </c>
      <c r="F29" s="38">
        <f>E29*AG8</f>
        <v>0</v>
      </c>
      <c r="G29" s="56">
        <f>COUNTIFS(General!F:F, "IP CERRADA", General!M:M, "G DICLEMENTE", General!H:H, "PTE. APROBACION", General!G:G, "IP SIN ORDEN", General!O:O, "&gt;="&amp;DATE(2025,10,1), General!O:O, "&lt;="&amp;DATE(2025,10,31))</f>
        <v>0</v>
      </c>
      <c r="H29" s="42">
        <f>G29*AH8</f>
        <v>0</v>
      </c>
      <c r="J29" s="254">
        <f>COUNTIFS(General!F:F, "IP CERRADA", General!K:K, "R. FRANCO", General!H:H, "PTE. APROBACION", General!G:G, "IP SIN ORDEN", General!O:O, "&gt;="&amp;DATE(2025,10,1), General!O:O, "&lt;="&amp;DATE(2025,10,31))</f>
        <v>0</v>
      </c>
      <c r="K29" s="38">
        <f>J29*AG8</f>
        <v>0</v>
      </c>
      <c r="L29" s="41">
        <f>COUNTIFS(General!F:F, "IP CERRADA", General!M:M, "R. FRANCO", General!H:H, "PTE. APROBACION", General!G:G, "IP SIN ORDEN", General!O:O, "&gt;="&amp;DATE(2025,10,1), General!O:O, "&lt;="&amp;DATE(2025,10,31))</f>
        <v>0</v>
      </c>
      <c r="M29" s="42">
        <f>L29*AH8</f>
        <v>0</v>
      </c>
      <c r="O29" s="254">
        <f>COUNTIFS(General!F:F, "IP CERRADA", General!K:K, "R ARIN", General!H:H, "PTE. APROBACION", General!G:G, "IP SIN ORDEN", General!O:O, "&gt;="&amp;DATE(2025,10,1), General!O:O, "&lt;="&amp;DATE(2025,10,31))</f>
        <v>0</v>
      </c>
      <c r="P29" s="38">
        <f>O29*AG8</f>
        <v>0</v>
      </c>
      <c r="Q29" s="41">
        <f>COUNTIFS(General!F:F, "IP CERRADA", General!M:M, "R ARIN", General!H:H, "PTE. APROBACION", General!G:G, "IP SIN ORDEN", General!O:O, "&gt;="&amp;DATE(2025,10,1), General!O:O, "&lt;="&amp;DATE(2025,10,31))</f>
        <v>0</v>
      </c>
      <c r="R29" s="42">
        <f>Q29*AH8</f>
        <v>0</v>
      </c>
      <c r="T29" s="254">
        <f>COUNTIFS(General!F:F, "IP CERRADA", General!K:K, "C. CRIBARI", General!H:H, "PTE. APROBACION", General!G:G, "IP SIN ORDEN", General!O:O, "&gt;="&amp;DATE(2025,10,1), General!O:O, "&lt;="&amp;DATE(2025,10,31)) + COUNTIFS(General!F:F, "PARA FACTURAR", General!K:K, "C. CRIBARI", General!G:G, "IP SIN ORDEN", General!O:O, "&gt;="&amp;DATE(2025,10,1), General!O:O, "&lt;="&amp;DATE(2025,10,31))</f>
        <v>0</v>
      </c>
      <c r="U29" s="38">
        <f>T29*AG8</f>
        <v>0</v>
      </c>
      <c r="V29" s="41">
        <f>COUNTIFS(General!F:F, "IP CERRADA", General!M:M, "C. CRIBARI", General!H:H, "PTE. APROBACION", General!G:G, "IP SIN ORDEN", General!O:O, "&gt;="&amp;DATE(2025,10,1), General!O:O, "&lt;="&amp;DATE(2025,10,31)) + COUNTIFS(General!F:F, "PARA FACTURAR", General!M:M, "C. CRIBARI", General!H:H, "EN TRAMITE", General!G:G, "IP SIN ORDEN", General!O:O, "&gt;="&amp;DATE(2025,10,1), General!O:O, "&lt;="&amp;DATE(2025,10,31))</f>
        <v>0</v>
      </c>
      <c r="W29" s="42">
        <f>V29*AH8</f>
        <v>0</v>
      </c>
      <c r="Y29" s="254">
        <f>COUNTIFS(General!F:F, "IP CERRADA", General!K:K, "E DZYHAJLO", General!H:H, "PTE. APROBACION", General!G:G, "IP SIN ORDEN", General!O:O, "&gt;="&amp;DATE(2025,10,1), General!O:O, "&lt;="&amp;DATE(2025,10,31))</f>
        <v>0</v>
      </c>
      <c r="Z29" s="38">
        <f>Y29*AG8</f>
        <v>0</v>
      </c>
      <c r="AA29" s="41"/>
      <c r="AB29" s="42">
        <f>AA29*AH8</f>
        <v>0</v>
      </c>
      <c r="AD29" s="37" t="s">
        <v>18</v>
      </c>
    </row>
    <row r="30" spans="3:35" ht="16.5">
      <c r="C30" s="261" t="s">
        <v>21</v>
      </c>
      <c r="E30" s="39">
        <f>COUNTIFS(General!F:F, "IP CERRADA", General!K:K, "G DICLEMENTE", General!H:H, "PTE. APROBACION", General!G:G, "AMPLIACION", General!O:O, "&gt;="&amp;DATE(2025,10,1), General!O:O, "&lt;="&amp;DATE(2025,10,31))</f>
        <v>0</v>
      </c>
      <c r="F30" s="40">
        <f>E30*AG9</f>
        <v>0</v>
      </c>
      <c r="G30" s="43">
        <f>COUNTIFS(General!F:F, "IP CERRADA", General!M:M, "G DICLEMENTE", General!H:H, "PTE. APROBACION", General!G:G, "AMPLIACION", General!O:O, "&gt;="&amp;DATE(2025,10,1), General!O:O, "&lt;="&amp;DATE(2025,10,31))</f>
        <v>0</v>
      </c>
      <c r="H30" s="44">
        <f>G30*AH9</f>
        <v>0</v>
      </c>
      <c r="J30" s="39">
        <f>COUNTIFS(General!F:F, "IP CERRADA", General!K:K, "R. FRANCO", General!H:H, "PTE. APROBACION", General!G:G, "AMPLIACION", General!O:O, "&gt;="&amp;DATE(2025,10,1), General!O:O, "&lt;="&amp;DATE(2025,10,31))</f>
        <v>0</v>
      </c>
      <c r="K30" s="40">
        <f>J30*AG9</f>
        <v>0</v>
      </c>
      <c r="L30" s="43">
        <f>COUNTIFS(General!F:F, "IP CERRADA", General!M:M, "R. FRANCO", General!H:H, "PTE. APROBACION", General!G:G, "AMPLIACION", General!O:O, "&gt;="&amp;DATE(2025,10,1), General!O:O, "&lt;="&amp;DATE(2025,10,31))</f>
        <v>0</v>
      </c>
      <c r="M30" s="44">
        <f>L30*AH9</f>
        <v>0</v>
      </c>
      <c r="O30" s="39">
        <f>COUNTIFS(General!F:F, "IP CERRADA", General!K:K, "R ARIN", General!H:H, "PTE. APROBACION", General!G:G, "AMPLIACION", General!O:O, "&gt;="&amp;DATE(2025,10,1), General!O:O, "&lt;="&amp;DATE(2025,10,31))</f>
        <v>0</v>
      </c>
      <c r="P30" s="40">
        <f>O30*AG9</f>
        <v>0</v>
      </c>
      <c r="Q30" s="43">
        <f>COUNTIFS(General!F:F, "IP CERRADA", General!M:M, "R ARIN", General!H:H, "PTE. APROBACION", General!G:G, "AMPLIACION", General!O:O, "&gt;="&amp;DATE(2025,10,1), General!O:O, "&lt;="&amp;DATE(2025,10,31))</f>
        <v>0</v>
      </c>
      <c r="R30" s="44">
        <f>Q30*AH9</f>
        <v>0</v>
      </c>
      <c r="T30" s="39">
        <f>COUNTIFS(General!F:F, "IP CERRADA", General!K:K, "C. CRIBARI", General!H:H, "PTE. APROBACION", General!G:G, "AMPLIACION", General!O:O, "&gt;="&amp;DATE(2025,10,1), General!O:O, "&lt;="&amp;DATE(2025,10,31)) + COUNTIFS(General!F:F, "PARA FACTURAR", General!K:K, "C. CRIBARI", General!G:G, "AMPLIACION", General!O:O, "&gt;="&amp;DATE(2025,10,1), General!O:O, "&lt;="&amp;DATE(2025,10,31))</f>
        <v>0</v>
      </c>
      <c r="U30" s="40">
        <f>T30*AG9</f>
        <v>0</v>
      </c>
      <c r="V30" s="43">
        <f>COUNTIFS(General!F:F, "IP SIN ORDEN", General!M:M, "C. CRIBARI", General!H:H, "PTE. APROBACION", General!G:G, "AMPLIACION", General!O:O, "&gt;="&amp;DATE(2025,10,1), General!O:O, "&lt;="&amp;DATE(2025,10,31)) + COUNTIFS(General!F:F, "PARA FACTURAR", General!M:M, "C. CRIBARI", General!H:H, "EN TRAMITE", General!G:G, "AMPLIACION", General!O:O, "&gt;="&amp;DATE(2025,10,1), General!O:O, "&lt;="&amp;DATE(2025,10,31))</f>
        <v>0</v>
      </c>
      <c r="W30" s="44">
        <f>V30*AH9</f>
        <v>0</v>
      </c>
      <c r="Y30" s="39">
        <f>COUNTIFS(General!F:F, "IP CERRADA", General!K:K, "E DZYHAJLO", General!H:H, "PTE. APROBACION", General!G:G, "AMPLIACION", General!O:O, "&gt;="&amp;DATE(2025,10,1), General!O:O, "&lt;="&amp;DATE(2025,10,31))</f>
        <v>0</v>
      </c>
      <c r="Z30" s="40">
        <f>Y30*AG9</f>
        <v>0</v>
      </c>
      <c r="AA30" s="43"/>
      <c r="AB30" s="44">
        <f>AA30*AH9</f>
        <v>0</v>
      </c>
      <c r="AD30" s="261" t="s">
        <v>21</v>
      </c>
    </row>
    <row r="31" spans="3:35" ht="16.5">
      <c r="C31" s="37" t="s">
        <v>24</v>
      </c>
      <c r="E31" s="254"/>
      <c r="F31" s="38"/>
      <c r="G31" s="41">
        <f>COUNTIFS(General!F:F, "IP CERRADA", General!M:M, "G DICLEMENTE", General!H:H, "PTE. APROBACION", General!G:G, "ENVIO DE ORDEN", General!O:O, "&gt;="&amp;DATE(2025,10,1), General!O:O, "&lt;="&amp;DATE(2025,10,31))</f>
        <v>0</v>
      </c>
      <c r="H31" s="42">
        <f>G31*AH10</f>
        <v>0</v>
      </c>
      <c r="J31" s="254"/>
      <c r="K31" s="38"/>
      <c r="L31" s="41">
        <f>COUNTIFS(General!F:F, "IP CERRADA", General!M:M, "R. FRANCO", General!H:H, "PTE. APROBACION", General!G:G, "ENVIO DE ORDEN", General!O:O, "&gt;="&amp;DATE(2025,10,1), General!O:O, "&lt;="&amp;DATE(2025,10,31))</f>
        <v>0</v>
      </c>
      <c r="M31" s="42">
        <f>L31*AH10</f>
        <v>0</v>
      </c>
      <c r="O31" s="254"/>
      <c r="P31" s="38"/>
      <c r="Q31" s="41">
        <f>COUNTIFS(General!F:F, "IP CERRADA", General!M:M, "R ARIN", General!H:H, "PTE. APROBACION", General!G:G, "ENVIO DE ORDEN", General!O:O, "&gt;="&amp;DATE(2025,10,1), General!O:O, "&lt;="&amp;DATE(2025,10,31))</f>
        <v>0</v>
      </c>
      <c r="R31" s="42">
        <f>Q31*AH10</f>
        <v>0</v>
      </c>
      <c r="T31" s="254"/>
      <c r="U31" s="38"/>
      <c r="V31" s="41">
        <f>COUNTIFS(General!P:P, "IP SIN ORDEN", General!AC:AC, "J. FERLANTI", General!R:R, "PTE. APROBACION", General!Q:Q, "ENVIO DE ORDEN", General!AE:AE, "&gt;="&amp;DATE(2024,5,1), General!AE:AE, "&lt;="&amp;DATE(2024,5,31)) + COUNTIFS(General!P:P, "PARA FACTURAR", General!AC:AC, "J. FERLANTI", General!R:R, "EN TRAMITE", General!Q:Q, "ENVIO DE ORDEN", General!AE:AE, "&gt;="&amp;DATE(2024,5,1), General!AE:AE, "&lt;="&amp;DATE(2024,5,31))</f>
        <v>0</v>
      </c>
      <c r="W31" s="42">
        <f>V31*AH10</f>
        <v>0</v>
      </c>
      <c r="Y31" s="254"/>
      <c r="Z31" s="38"/>
      <c r="AA31" s="41"/>
      <c r="AB31" s="42">
        <f>AA31*AH10</f>
        <v>0</v>
      </c>
      <c r="AD31" s="37" t="s">
        <v>24</v>
      </c>
    </row>
    <row r="32" spans="3:35" ht="16.5">
      <c r="C32" s="261" t="s">
        <v>29</v>
      </c>
      <c r="E32" s="39">
        <f>COUNTIFS(General!F:F, "IP CERRADA", General!K:K, "G DICLEMENTE", General!H:H, "PTE. APROBACION", General!G:G, "IP CAMIONES", General!O:O, "&gt;="&amp;DATE(2025,10,1), General!O:O, "&lt;="&amp;DATE(2025,10,31))</f>
        <v>0</v>
      </c>
      <c r="F32" s="40">
        <f>E32*AG15</f>
        <v>0</v>
      </c>
      <c r="G32" s="43">
        <f>COUNTIFS(General!F:F, "IP CERRADA", General!M:M, "G DICLEMENTE", General!H:H, "PTE. APROBACION", General!G:G, "IP CAMIONES", General!O:O, "&gt;="&amp;DATE(2025,10,1), General!O:O, "&lt;="&amp;DATE(2025,10,31))</f>
        <v>0</v>
      </c>
      <c r="H32" s="44">
        <f>G32*AH15</f>
        <v>0</v>
      </c>
      <c r="J32" s="39">
        <f>COUNTIFS(General!F:F, "IP CERRADA", General!K:K, "R. FRANCO", General!H:H, "PTE. APROBACION", General!G:G, "IP CAMIONES", General!O:O, "&gt;="&amp;DATE(2025,10,1), General!O:O, "&lt;="&amp;DATE(2025,10,31))</f>
        <v>0</v>
      </c>
      <c r="K32" s="40">
        <f>J32*AG15</f>
        <v>0</v>
      </c>
      <c r="L32" s="43">
        <f>COUNTIFS(General!F:F, "IP CERRADA", General!M:M, "R. FRANCO", General!H:H, "PTE. APROBACION", General!G:G, "IP CAMIONES", General!O:O, "&gt;="&amp;DATE(2025,10,1), General!O:O, "&lt;="&amp;DATE(2025,10,31))</f>
        <v>0</v>
      </c>
      <c r="M32" s="44">
        <f>L32*AH15</f>
        <v>0</v>
      </c>
      <c r="O32" s="39">
        <f>COUNTIFS(General!F:F, "IP CERRADA", General!K:K, "R ARIN", General!H:H, "PTE. APROBACION", General!G:G, "IP CAMIONES", General!O:O, "&gt;="&amp;DATE(2025,10,1), General!O:O, "&lt;="&amp;DATE(2025,10,31))</f>
        <v>0</v>
      </c>
      <c r="P32" s="40">
        <f>O32*AG15</f>
        <v>0</v>
      </c>
      <c r="Q32" s="43">
        <f>COUNTIFS(General!F:F, "IP CERRADA", General!M:M, "R ARIN", General!H:H, "PTE. APROBACION", General!G:G, "IP CAMIONES", General!O:O, "&gt;="&amp;DATE(2025,10,1), General!O:O, "&lt;="&amp;DATE(2025,10,31))</f>
        <v>0</v>
      </c>
      <c r="R32" s="44">
        <f>Q32*AH15</f>
        <v>0</v>
      </c>
      <c r="T32" s="39">
        <f>COUNTIFS(General!F:F, "IP CERRADA", General!K:K, "C. CRIBARI", General!H:H, "PTE. APROBACION", General!G:G, "IP CAMIONES", General!O:O, "&gt;="&amp;DATE(2025,10,1), General!O:O, "&lt;="&amp;DATE(2025,10,31)) + COUNTIFS(General!F:F, "PARA FACTURAR", General!K:K, "C. CRIBARI", General!G:G, "IP CAMIONES", General!O:O, "&gt;="&amp;DATE(2025,10,1), General!O:O, "&lt;="&amp;DATE(2025,10,31))</f>
        <v>0</v>
      </c>
      <c r="U32" s="40">
        <f>T32*AG15</f>
        <v>0</v>
      </c>
      <c r="V32" s="43">
        <f>COUNTIFS(General!P:P, "IP CERRADA", General!AC:AC, "J. FERLANTI", General!R:R, "PTE. APROBACION", General!Q:Q, "IP CAMIONES", General!AE:AE, "&gt;="&amp;DATE(2024,5,1), General!AE:AE, "&lt;="&amp;DATE(2024,5,31))</f>
        <v>0</v>
      </c>
      <c r="W32" s="44">
        <f>V32*AH15</f>
        <v>0</v>
      </c>
      <c r="Y32" s="39">
        <f>COUNTIFS(General!F:F, "IP CERRADA", General!K:K, "E DZYHAJLO", General!H:H, "PTE. APROBACION", General!G:G, "IP CAMIONES", General!O:O, "&gt;="&amp;DATE(2025,10,1), General!O:O, "&lt;="&amp;DATE(2025,10,31))</f>
        <v>0</v>
      </c>
      <c r="Z32" s="40">
        <f>Y32*AG15</f>
        <v>0</v>
      </c>
      <c r="AA32" s="43"/>
      <c r="AB32" s="44">
        <f>AA32*AH15</f>
        <v>0</v>
      </c>
      <c r="AD32" s="261" t="s">
        <v>29</v>
      </c>
    </row>
    <row r="33" spans="3:30" ht="16.5">
      <c r="C33" s="37" t="s">
        <v>30</v>
      </c>
      <c r="E33" s="254">
        <f>COUNTIFS(General!F:F, "IP CERRADA", General!K:K, "G DICLEMENTE", General!H:H, "PTE. APROBACION", General!G:G, "TERCEROS", General!O:O, "&gt;="&amp;DATE(2024,3,1), General!O:O, "&gt;="&amp;DATE(2025,10,1), General!O:O, "&lt;="&amp;DATE(2025,10,31))</f>
        <v>0</v>
      </c>
      <c r="F33" s="38">
        <f>E33*AG12</f>
        <v>0</v>
      </c>
      <c r="G33" s="41">
        <f>COUNTIFS(General!F:F, "IP CERRADA", General!M:M, "G DICLEMENTE", General!H:H, "PTE. APROBACION", General!G:G, "TERCEROS", General!O:O, "&gt;="&amp;DATE(2025,10,1), General!O:O, "&lt;="&amp;DATE(2025,10,31))</f>
        <v>0</v>
      </c>
      <c r="H33" s="42">
        <f>G33*AH12</f>
        <v>0</v>
      </c>
      <c r="J33" s="254">
        <f>COUNTIFS(General!F:F, "IP CERRADA", General!K:K, "R. FRANCO", General!H:H, "PTE. APROBACION", General!G:G, "TERCEROS", General!O:O, "&gt;="&amp;DATE(2024,3,1), General!O:O, "&gt;="&amp;DATE(2025,10,1), General!O:O, "&lt;="&amp;DATE(2025,10,31))</f>
        <v>0</v>
      </c>
      <c r="K33" s="38">
        <f>J33*AG12</f>
        <v>0</v>
      </c>
      <c r="L33" s="41">
        <f>COUNTIFS(General!F:F, "IP CERRADA", General!M:M, "R. FRANCO", General!H:H, "PTE. APROBACION", General!G:G, "TERCEROS", General!O:O, "&gt;="&amp;DATE(2025,10,1), General!O:O, "&lt;="&amp;DATE(2025,10,31))</f>
        <v>0</v>
      </c>
      <c r="M33" s="42">
        <f>L33*AH12</f>
        <v>0</v>
      </c>
      <c r="O33" s="254">
        <f>COUNTIFS(General!F:F, "IP CERRADA", General!K:K, "R ARIN", General!H:H, "PTE. APROBACION", General!G:G, "TERCEROS", General!O:O, "&gt;="&amp;DATE(2024,3,1), General!O:O, "&gt;="&amp;DATE(2025,10,1), General!O:O, "&lt;="&amp;DATE(2025,10,31))</f>
        <v>0</v>
      </c>
      <c r="P33" s="38">
        <f>O33*AG12</f>
        <v>0</v>
      </c>
      <c r="Q33" s="41">
        <f>COUNTIFS(General!F:F, "IP CERRADA", General!M:M, "R ARIN", General!H:H, "PTE. APROBACION", General!G:G, "TERCEROS", General!O:O, "&gt;="&amp;DATE(2025,10,1), General!O:O, "&lt;="&amp;DATE(2025,10,31))</f>
        <v>0</v>
      </c>
      <c r="R33" s="42">
        <f>Q33*AH12</f>
        <v>0</v>
      </c>
      <c r="T33" s="254">
        <f>COUNTIFS(General!F:F, "IP CERRADA", General!K:K, "C. CRIBARI", General!H:H, "PTE. APROBACION", General!G:G, "TERCEROS", General!O:O, "&gt;="&amp;DATE(2024,3,1), General!O:O, "&gt;="&amp;DATE(2025,10,1), General!O:O, "&lt;="&amp;DATE(2025,10,31)) + COUNTIFS(General!F:F, "PARA FACTURAR", General!K:K, "C. CRIBARI", General!G:G, "TERCEROS", General!O:O, "&gt;="&amp;DATE(2025,10,1), General!O:O, "&lt;="&amp;DATE(2025,10,31))</f>
        <v>0</v>
      </c>
      <c r="U33" s="38">
        <f>T33*AG12</f>
        <v>0</v>
      </c>
      <c r="V33" s="41">
        <f>COUNTIFS(General!F:F, "IP CERRADA", General!M:M, "J. FERLANTI", General!H:H, "PTE. APROBACION", General!G:G, "IP CAMIONES", General!O:O, "&gt;="&amp;DATE(2025,10,1), General!O:O, "&lt;="&amp;DATE(2025,10,31))</f>
        <v>0</v>
      </c>
      <c r="W33" s="42">
        <f>V33*AH12</f>
        <v>0</v>
      </c>
      <c r="Y33" s="254">
        <f>COUNTIFS(General!F:F, "IP CERRADA", General!K:K, "E DZYHAJLO", General!H:H, "PTE. APROBACION", General!G:G, "TERCEROS", General!O:O, "&gt;="&amp;DATE(2024,3,1), General!O:O, "&gt;="&amp;DATE(2025,10,1), General!O:O, "&lt;="&amp;DATE(2025,10,31))</f>
        <v>0</v>
      </c>
      <c r="Z33" s="38">
        <f>Y33*AG12</f>
        <v>0</v>
      </c>
      <c r="AA33" s="41"/>
      <c r="AB33" s="42">
        <f>AA33*AH12</f>
        <v>0</v>
      </c>
      <c r="AD33" s="37" t="s">
        <v>30</v>
      </c>
    </row>
    <row r="34" spans="3:30" ht="16.5">
      <c r="C34" s="261" t="s">
        <v>32</v>
      </c>
      <c r="E34" s="39"/>
      <c r="F34" s="40"/>
      <c r="G34" s="43">
        <f>COUNTIFS(General!F:F, "IP CERRADA", General!M:M, "G DICLEMENTE", General!H:H, "PTE. APROBACION", General!G:G, "FOTOS", General!O:O, "&gt;="&amp;DATE(2025,10,1), General!O:O, "&lt;="&amp;DATE(2025,10,31))</f>
        <v>0</v>
      </c>
      <c r="H34" s="44">
        <f>G34*AH13</f>
        <v>0</v>
      </c>
      <c r="J34" s="39"/>
      <c r="K34" s="40"/>
      <c r="L34" s="43">
        <f>COUNTIFS(General!F:F, "IP CERRADA", General!M:M, "R. FRANCO", General!H:H, "PTE. APROBACION", General!G:G, "FOTOS", General!O:O, "&gt;="&amp;DATE(2025,10,1), General!O:O, "&lt;="&amp;DATE(2025,10,31))</f>
        <v>0</v>
      </c>
      <c r="M34" s="44">
        <f>L34*AH13</f>
        <v>0</v>
      </c>
      <c r="O34" s="39"/>
      <c r="P34" s="40"/>
      <c r="Q34" s="43">
        <f>COUNTIFS(General!F:F, "IP CERRADA", General!M:M, "R ARIN", General!H:H, "PTE. APROBACION", General!G:G, "FOTOS", General!O:O, "&gt;="&amp;DATE(2025,10,1), General!O:O, "&lt;="&amp;DATE(2025,10,31))</f>
        <v>0</v>
      </c>
      <c r="R34" s="44">
        <f>Q34*AH13</f>
        <v>0</v>
      </c>
      <c r="T34" s="39"/>
      <c r="U34" s="40"/>
      <c r="V34" s="43">
        <f>COUNTIFS(General!P:P, "IP SIN ORDEN", General!AC:AC, "J. FERLANTI", General!R:R, "PTE. APROBACION", General!Q:Q, "FOTOS", General!AE:AE, "&gt;="&amp;DATE(2024,5,1), General!AE:AE, "&lt;="&amp;DATE(2024,5,31)) + COUNTIFS(General!P:P, "PARA FACTURAR", General!AC:AC, "J. FERLANTI", General!R:R, "EN TRAMITE", General!Q:Q, "FOTOS", General!AE:AE, "&gt;="&amp;DATE(2024,5,1), General!AE:AE, "&lt;="&amp;DATE(2024,5,31))</f>
        <v>0</v>
      </c>
      <c r="W34" s="44">
        <f>V34*AH13</f>
        <v>0</v>
      </c>
      <c r="Y34" s="39"/>
      <c r="Z34" s="40"/>
      <c r="AA34" s="43"/>
      <c r="AB34" s="44">
        <f>AA34*AH13</f>
        <v>0</v>
      </c>
      <c r="AD34" s="261" t="s">
        <v>32</v>
      </c>
    </row>
    <row r="35" spans="3:30" ht="16.5">
      <c r="C35" s="37" t="s">
        <v>34</v>
      </c>
      <c r="E35" s="254">
        <f>COUNTIFS(General!F:F, "IP CERRADA", General!K:K, "G DICLEMENTE", General!H:H, "PTE. APROBACION", General!G:G, "IP REMOTA", General!O:O, "&gt;="&amp;DATE(2025,10,1), General!O:O, "&lt;="&amp;DATE(2025,10,31))</f>
        <v>0</v>
      </c>
      <c r="F35" s="38">
        <f>E35*AG14</f>
        <v>0</v>
      </c>
      <c r="G35" s="41">
        <f>COUNTIFS(General!F:F, "IP CERRADA", General!M:M, "G DICLEMENTE", General!H:H, "PTE. APROBACION", General!G:G, "IP REMOTA", General!O:O, "&gt;="&amp;DATE(2025,10,1), General!O:O, "&lt;="&amp;DATE(2025,10,31))</f>
        <v>0</v>
      </c>
      <c r="H35" s="42">
        <f>G35*AH14</f>
        <v>0</v>
      </c>
      <c r="J35" s="254">
        <f>COUNTIFS(General!F:F, "IP CERRADA", General!K:K, "R. FRANCO", General!H:H, "PTE. APROBACION", General!G:G, "IP REMOTA", General!O:O, "&gt;="&amp;DATE(2025,10,1), General!O:O, "&lt;="&amp;DATE(2025,10,31))</f>
        <v>0</v>
      </c>
      <c r="K35" s="38">
        <f>J35*AG14</f>
        <v>0</v>
      </c>
      <c r="L35" s="41">
        <f>COUNTIFS(General!F:F, "IP CERRADA", General!M:M, "R. FRANCO", General!H:H, "PTE. APROBACION", General!G:G, "IP REMOTA", General!O:O, "&gt;="&amp;DATE(2025,10,1), General!O:O, "&lt;="&amp;DATE(2025,10,31))</f>
        <v>0</v>
      </c>
      <c r="M35" s="42">
        <f>L35*AH14</f>
        <v>0</v>
      </c>
      <c r="O35" s="254">
        <f>COUNTIFS(General!F:F, "IP CERRADA", General!K:K, "R ARIN", General!H:H, "PTE. APROBACION", General!G:G, "IP REMOTA", General!O:O, "&gt;="&amp;DATE(2025,10,1), General!O:O, "&lt;="&amp;DATE(2025,10,31))</f>
        <v>0</v>
      </c>
      <c r="P35" s="38">
        <f>O35*AG14</f>
        <v>0</v>
      </c>
      <c r="Q35" s="41">
        <f>COUNTIFS(General!F:F, "IP CERRADA", General!M:M, "R ARIN", General!H:H, "PTE. APROBACION", General!G:G, "IP REMOTA", General!O:O, "&gt;="&amp;DATE(2025,10,1), General!O:O, "&lt;="&amp;DATE(2025,10,31))</f>
        <v>0</v>
      </c>
      <c r="R35" s="42">
        <f>Q35*AH14</f>
        <v>0</v>
      </c>
      <c r="T35" s="254">
        <f>COUNTIFS(General!F:F, "IP CERRADA", General!K:K, "C. CRIBARI", General!H:H, "PTE. APROBACION", General!G:G, "IP REMOTA", General!O:O, "&gt;="&amp;DATE(2025,10,1), General!O:O, "&lt;="&amp;DATE(2025,10,31))</f>
        <v>0</v>
      </c>
      <c r="U35" s="38">
        <f>T35*AG14</f>
        <v>0</v>
      </c>
      <c r="V35" s="41">
        <f>COUNTIFS(General!P:P, "IP SIN ORDEN", General!AC:AC, "J. FERLANTI", General!R:R, "PTE. APROBACION", General!Q:Q, "IP REMOTA", General!AE:AE, "&gt;="&amp;DATE(2024,5,1), General!AE:AE, "&lt;="&amp;DATE(2024,5,31)) + COUNTIFS(General!P:P, "PARA FACTURAR", General!AC:AC, "J. FERLANTI", General!R:R, "EN TRAMITE", General!Q:Q, "IP REMOTA", General!AE:AE, "&gt;="&amp;DATE(2024,5,1), General!AE:AE, "&lt;="&amp;DATE(2024,5,31))</f>
        <v>0</v>
      </c>
      <c r="W35" s="42">
        <f>V35*AH14</f>
        <v>0</v>
      </c>
      <c r="Y35" s="254">
        <f>COUNTIFS(General!F:F, "IP CERRADA", General!K:K, "E DZYHAJLO", General!H:H, "PTE. APROBACION", General!G:G, "IP REMOTA", General!O:O, "&gt;="&amp;DATE(2025,10,1), General!O:O, "&lt;="&amp;DATE(2025,10,31))</f>
        <v>0</v>
      </c>
      <c r="Z35" s="38">
        <f>Y35*AG14</f>
        <v>0</v>
      </c>
      <c r="AA35" s="41"/>
      <c r="AB35" s="42">
        <f>AA35*AH14</f>
        <v>0</v>
      </c>
      <c r="AD35" s="37" t="s">
        <v>34</v>
      </c>
    </row>
    <row r="36" spans="3:30" ht="16.5">
      <c r="C36" s="261" t="s">
        <v>37</v>
      </c>
      <c r="E36" s="39"/>
      <c r="F36" s="40"/>
      <c r="G36" s="43">
        <f>COUNTIFS(General!F:F, "IP CERRADA", General!M:M, "G DICLEMENTE", General!H:H, "PTE. APROBACION", General!G:G, "IP VIRTUAL", General!O:O, "&gt;="&amp;DATE(2025,10,1), General!O:O, "&lt;="&amp;DATE(2025,10,31))</f>
        <v>0</v>
      </c>
      <c r="H36" s="44">
        <f>G36*AH16</f>
        <v>0</v>
      </c>
      <c r="J36" s="39"/>
      <c r="K36" s="40"/>
      <c r="L36" s="43">
        <f>COUNTIFS(General!F:F, "IP CERRADA", General!M:M, "R. FRANCO", General!H:H, "PTE. APROBACION", General!G:G, "IP VIRTUAL", General!O:O, "&gt;="&amp;DATE(2025,10,1), General!O:O, "&lt;="&amp;DATE(2025,10,31))</f>
        <v>0</v>
      </c>
      <c r="M36" s="44">
        <f>L36*AH16</f>
        <v>0</v>
      </c>
      <c r="O36" s="39"/>
      <c r="P36" s="40"/>
      <c r="Q36" s="43">
        <f>COUNTIFS(General!F:F, "IP CERRADA", General!M:M, "R ARIN", General!H:H, "PTE. APROBACION", General!G:G, "IP VIRTUAL", General!O:O, "&gt;="&amp;DATE(2025,10,1), General!O:O, "&lt;="&amp;DATE(2025,10,31))</f>
        <v>0</v>
      </c>
      <c r="R36" s="44">
        <f>Q36*AH16</f>
        <v>0</v>
      </c>
      <c r="T36" s="39"/>
      <c r="U36" s="40"/>
      <c r="V36" s="43">
        <f>COUNTIFS(General!P:P, "IP SIN ORDEN", General!AC:AC, "J. FERLANTI", General!R:R, "PTE. APROBACION", General!Q:Q, "IP VIRTUAL", General!AE:AE, "&gt;="&amp;DATE(2024,5,1), General!AE:AE, "&lt;="&amp;DATE(2024,5,31)) + COUNTIFS(General!P:P, "PARA FACTURAR", General!AC:AC, "J. FERLANTI", General!R:R, "EN TRAMITE", General!Q:Q, "IP VIRTUAL", General!AE:AE, "&gt;="&amp;DATE(2024,5,1), General!AE:AE, "&lt;="&amp;DATE(2024,5,31))</f>
        <v>0</v>
      </c>
      <c r="W36" s="44">
        <f>V36*AH16</f>
        <v>0</v>
      </c>
      <c r="Y36" s="39"/>
      <c r="Z36" s="40"/>
      <c r="AA36" s="43"/>
      <c r="AB36" s="44">
        <f>AA36*AH16</f>
        <v>0</v>
      </c>
      <c r="AD36" s="261" t="s">
        <v>37</v>
      </c>
    </row>
    <row r="37" spans="3:30" ht="16.5">
      <c r="C37" s="37" t="s">
        <v>26</v>
      </c>
      <c r="E37" s="254">
        <f>COUNTIFS(General!F:F, "IP CERRADA", General!K:K, "G DICLEMENTE", General!H:H, "PTE. APROBACION", General!G:G, "AUSENTE", General!O:O, "&gt;="&amp;DATE(2025,10,1), General!O:O, "&lt;="&amp;DATE(2025,10,31))</f>
        <v>0</v>
      </c>
      <c r="F37" s="38">
        <f>E36*AG11</f>
        <v>0</v>
      </c>
      <c r="G37" s="41"/>
      <c r="H37" s="42"/>
      <c r="J37" s="254">
        <f>COUNTIFS(General!F:F, "IP CERRADA", General!K:K, "R. FRANCO", General!H:H, "PTE. APROBACION", General!G:G, "AUSENTE", General!L:L, "&gt;="&amp;DATE(2025,6,1), General!L:L, "&lt;="&amp;DATE(2025,6,31))</f>
        <v>0</v>
      </c>
      <c r="K37" s="38">
        <f>J37*AG11</f>
        <v>0</v>
      </c>
      <c r="L37" s="41"/>
      <c r="M37" s="42"/>
      <c r="O37" s="254">
        <f>COUNTIFS(General!F:F, "IP CERRADA", General!K:K, "R ARIN", General!H:H, "PTE. APROBACION", General!G:G, "AUSENTE", General!O:O, "&gt;="&amp;DATE(2025,10,1), General!O:O, "&lt;="&amp;DATE(2025,10,31))</f>
        <v>0</v>
      </c>
      <c r="P37" s="38">
        <f>O36*AG11</f>
        <v>0</v>
      </c>
      <c r="Q37" s="41"/>
      <c r="R37" s="42"/>
      <c r="T37" s="254">
        <f>COUNTIFS(General!F:F, "IP CERRADA", General!K:K, "C. CRIBARI", General!H:H, "PTE. APROBACION", General!G:G, "AUSENTE", General!O:O, "&gt;="&amp;DATE(2025,10,1), General!O:O, "&lt;="&amp;DATE(2025,10,31))</f>
        <v>0</v>
      </c>
      <c r="U37" s="38">
        <f>T37*AG11</f>
        <v>0</v>
      </c>
      <c r="V37" s="41"/>
      <c r="W37" s="42"/>
      <c r="Y37" s="254">
        <f>COUNTIFS(General!F:F, "IP CERRADA", General!K:K, "E DZYHAJLO", General!H:H, "PTE. APROBACION", General!G:G, "AUSENTE", General!O:O, "&gt;="&amp;DATE(2025,10,1), General!O:O, "&lt;="&amp;DATE(2025,10,31))</f>
        <v>0</v>
      </c>
      <c r="Z37" s="38">
        <f>Y36*AG11</f>
        <v>0</v>
      </c>
      <c r="AA37" s="41"/>
      <c r="AB37" s="42"/>
      <c r="AD37" s="37" t="s">
        <v>26</v>
      </c>
    </row>
    <row r="38" spans="3:30">
      <c r="E38" s="383" t="s">
        <v>44</v>
      </c>
      <c r="F38" s="384"/>
      <c r="G38" s="381" t="s">
        <v>44</v>
      </c>
      <c r="H38" s="382"/>
      <c r="J38" s="383" t="s">
        <v>44</v>
      </c>
      <c r="K38" s="384"/>
      <c r="L38" s="381" t="s">
        <v>44</v>
      </c>
      <c r="M38" s="382"/>
      <c r="O38" s="383" t="s">
        <v>44</v>
      </c>
      <c r="P38" s="384"/>
      <c r="Q38" s="381" t="s">
        <v>44</v>
      </c>
      <c r="R38" s="382"/>
      <c r="T38" s="383" t="s">
        <v>44</v>
      </c>
      <c r="U38" s="384"/>
      <c r="V38" s="381" t="s">
        <v>44</v>
      </c>
      <c r="W38" s="382"/>
      <c r="Y38" s="383" t="s">
        <v>44</v>
      </c>
      <c r="Z38" s="384"/>
      <c r="AA38" s="381" t="s">
        <v>44</v>
      </c>
      <c r="AB38" s="382"/>
    </row>
    <row r="39" spans="3:30">
      <c r="E39" s="37">
        <f>E27+E28+E29+E30+E31+E32+E33+E34+E35+E36+E37</f>
        <v>0</v>
      </c>
      <c r="F39" s="29">
        <f>F27+F28+F29+F30+F31+F32+F33+F34+F35+F36</f>
        <v>0</v>
      </c>
      <c r="G39" s="51">
        <f>G27+G28+G29+G30+G31+G32+G33+G34+G35+G36</f>
        <v>0</v>
      </c>
      <c r="H39" s="45">
        <f>H27+H28+H29+H30+H31+H32+H33+H34+H35+H36</f>
        <v>0</v>
      </c>
      <c r="J39" s="37">
        <f>J27+J28+J29+J30+J31+J32+J33+J34+J35+J36+J37</f>
        <v>0</v>
      </c>
      <c r="K39" s="29">
        <f>K27+K28+K29+K30+K31+K32+K33+K34+K35+K36+K37</f>
        <v>0</v>
      </c>
      <c r="L39" s="51">
        <f>L27+L28+L29+L30+L31+L32+L33+L34+L35+L36</f>
        <v>0</v>
      </c>
      <c r="M39" s="45">
        <f>M27+M28+M29+M30+M31+M32+M33+M34+M35+M36</f>
        <v>0</v>
      </c>
      <c r="O39" s="37">
        <f>O27+O28+O29+O30+O31+O32+O33+O34+O35+O36+O37</f>
        <v>0</v>
      </c>
      <c r="P39" s="29">
        <f>P27+P28+P29+P30+P31+P32+P33+P34+P35+P36</f>
        <v>0</v>
      </c>
      <c r="Q39" s="51">
        <f>Q27+Q28+Q29+Q30+Q31+Q32+Q33+Q34+Q35+Q36</f>
        <v>0</v>
      </c>
      <c r="R39" s="45">
        <f>R27+R28+R29+R30+R31+R32+R33+R34+R35+R36</f>
        <v>0</v>
      </c>
      <c r="T39" s="37">
        <f>T27+T28+T29+T30+T31+T32+T33+T34+T35+T36+T37</f>
        <v>0</v>
      </c>
      <c r="U39" s="29">
        <f>U27+U28+U29+U30+U31+U32+U33+U34+U35+U36+U37</f>
        <v>0</v>
      </c>
      <c r="V39" s="51">
        <f>V27+V28+V29+V30+V31+V32+V33+V34+V35+V36</f>
        <v>0</v>
      </c>
      <c r="W39" s="45">
        <f>W27+W28+W29+W30+W31+W32+W33+W34+W35+W36</f>
        <v>0</v>
      </c>
      <c r="Y39" s="37">
        <f>Y27+Y28+Y29+Y30+Y31+Y32+Y33+Y34+Y35+Y36+Y37</f>
        <v>0</v>
      </c>
      <c r="Z39" s="29">
        <f>Z27+Z28+Z29+Z30+Z31+Z32+Z33+Z34+Z35+Z36</f>
        <v>0</v>
      </c>
      <c r="AA39" s="51">
        <f>AA27+AA28+AA29+AA30+AA31+AA32+AA33+AA34+AA35+AA36</f>
        <v>0</v>
      </c>
      <c r="AB39" s="45">
        <f>AB27+AB28+AB29+AB30+AB31+AB32+AB33+AB34+AB35+AB36</f>
        <v>0</v>
      </c>
    </row>
    <row r="40" spans="3:30">
      <c r="E40" s="48"/>
      <c r="F40" s="49"/>
      <c r="G40" s="48"/>
      <c r="H40" s="49"/>
      <c r="J40" s="48"/>
      <c r="K40" s="49"/>
      <c r="L40" s="48"/>
      <c r="M40" s="49"/>
      <c r="O40" s="48"/>
      <c r="P40" s="49"/>
      <c r="Q40" s="48"/>
      <c r="R40" s="49"/>
      <c r="T40" s="48"/>
      <c r="U40" s="49"/>
      <c r="V40" s="48"/>
      <c r="W40" s="49"/>
      <c r="Y40" s="48"/>
      <c r="Z40" s="49"/>
      <c r="AA40" s="48"/>
      <c r="AB40" s="49"/>
    </row>
    <row r="41" spans="3:30">
      <c r="E41" s="380"/>
      <c r="F41" s="380"/>
      <c r="G41" s="261"/>
      <c r="H41" s="50"/>
      <c r="J41" s="380"/>
      <c r="K41" s="380"/>
      <c r="L41" s="261"/>
      <c r="M41" s="50"/>
      <c r="O41" s="380"/>
      <c r="P41" s="380"/>
      <c r="Q41" s="261"/>
      <c r="R41" s="50"/>
      <c r="T41" s="380"/>
      <c r="U41" s="380"/>
      <c r="V41" s="261"/>
      <c r="W41" s="50"/>
      <c r="Y41" s="380"/>
      <c r="Z41" s="380"/>
      <c r="AA41" s="261"/>
      <c r="AB41" s="50"/>
    </row>
    <row r="42" spans="3:30">
      <c r="E42" s="376" t="s">
        <v>3</v>
      </c>
      <c r="F42" s="377"/>
      <c r="G42" s="95"/>
      <c r="H42" s="96"/>
      <c r="J42" s="376" t="s">
        <v>3</v>
      </c>
      <c r="K42" s="377"/>
      <c r="L42" s="95"/>
      <c r="M42" s="96"/>
      <c r="O42" s="376" t="s">
        <v>3</v>
      </c>
      <c r="P42" s="377"/>
      <c r="Q42" s="95"/>
      <c r="R42" s="96"/>
      <c r="T42" s="376" t="s">
        <v>3</v>
      </c>
      <c r="U42" s="377"/>
      <c r="V42" s="95"/>
      <c r="W42" s="96"/>
      <c r="Y42" s="376" t="s">
        <v>3</v>
      </c>
      <c r="Z42" s="377"/>
      <c r="AA42" s="95"/>
      <c r="AB42" s="96"/>
    </row>
    <row r="43" spans="3:30">
      <c r="E43" s="378" t="s">
        <v>85</v>
      </c>
      <c r="F43" s="379"/>
      <c r="G43" s="97"/>
      <c r="H43" s="98"/>
      <c r="J43" s="378" t="s">
        <v>85</v>
      </c>
      <c r="K43" s="379"/>
      <c r="L43" s="97"/>
      <c r="M43" s="98"/>
      <c r="O43" s="378" t="s">
        <v>85</v>
      </c>
      <c r="P43" s="379"/>
      <c r="Q43" s="97"/>
      <c r="R43" s="98"/>
      <c r="T43" s="378" t="s">
        <v>85</v>
      </c>
      <c r="U43" s="379"/>
      <c r="V43" s="97"/>
      <c r="W43" s="98"/>
      <c r="Y43" s="378" t="s">
        <v>85</v>
      </c>
      <c r="Z43" s="379"/>
      <c r="AA43" s="97"/>
      <c r="AB43" s="98"/>
    </row>
    <row r="44" spans="3:30">
      <c r="E44" s="374" t="s">
        <v>86</v>
      </c>
      <c r="F44" s="375"/>
      <c r="G44" s="46">
        <f>G27+G28+G29+G30+G31+G32+G33+G34+G35+G36+E27+E28+E29+E31+E30+E32+E33+E34+E35+E36</f>
        <v>0</v>
      </c>
      <c r="H44" s="47">
        <f>F39+H39</f>
        <v>0</v>
      </c>
      <c r="J44" s="374" t="s">
        <v>86</v>
      </c>
      <c r="K44" s="375"/>
      <c r="L44" s="46">
        <f>L27+L28+L29+L30+L31+L32+L33+L34+L35+L36+J27+J28+J29+J31+J30+J32+J33+J34+J35+J36</f>
        <v>0</v>
      </c>
      <c r="M44" s="47">
        <f>K39+M39</f>
        <v>0</v>
      </c>
      <c r="O44" s="374" t="s">
        <v>86</v>
      </c>
      <c r="P44" s="375"/>
      <c r="Q44" s="46">
        <f>Q27+Q28+Q29+Q30+Q31+Q32+Q33+Q34+Q35+Q36+O27+O28+O29+O31+O30+O32+O33+O34+O35+O36</f>
        <v>0</v>
      </c>
      <c r="R44" s="47">
        <f>P39+R39</f>
        <v>0</v>
      </c>
      <c r="T44" s="374" t="s">
        <v>86</v>
      </c>
      <c r="U44" s="375"/>
      <c r="V44" s="46">
        <f>V27+V28+V29+V30+V31+V32+V33+V34+V35+V36+T27+T28+T29+T31+T30+T32+T33+T34+T35+T36</f>
        <v>0</v>
      </c>
      <c r="W44" s="47">
        <f>U39+W39</f>
        <v>0</v>
      </c>
      <c r="Y44" s="374" t="s">
        <v>86</v>
      </c>
      <c r="Z44" s="375"/>
      <c r="AA44" s="46">
        <f>AA27+AA28+AA29+AA30+AA31+AA32+AA33+AA34+AA35+AA36+Y27+Y28+Y29+Y31+Y30+Y32+Y33+Y34+Y35+Y36</f>
        <v>0</v>
      </c>
      <c r="AB44" s="47">
        <f>Z39+AB39</f>
        <v>0</v>
      </c>
    </row>
  </sheetData>
  <mergeCells count="95">
    <mergeCell ref="E44:F44"/>
    <mergeCell ref="J44:K44"/>
    <mergeCell ref="O44:P44"/>
    <mergeCell ref="T44:U44"/>
    <mergeCell ref="Y44:Z44"/>
    <mergeCell ref="E42:F42"/>
    <mergeCell ref="J42:K42"/>
    <mergeCell ref="O42:P42"/>
    <mergeCell ref="T42:U42"/>
    <mergeCell ref="Y42:Z42"/>
    <mergeCell ref="E43:F43"/>
    <mergeCell ref="J43:K43"/>
    <mergeCell ref="O43:P43"/>
    <mergeCell ref="T43:U43"/>
    <mergeCell ref="Y43:Z43"/>
    <mergeCell ref="E41:F41"/>
    <mergeCell ref="J41:K41"/>
    <mergeCell ref="O41:P41"/>
    <mergeCell ref="T41:U41"/>
    <mergeCell ref="Y41:Z41"/>
    <mergeCell ref="Q38:R38"/>
    <mergeCell ref="T38:U38"/>
    <mergeCell ref="V38:W38"/>
    <mergeCell ref="Y38:Z38"/>
    <mergeCell ref="AA38:AB38"/>
    <mergeCell ref="E38:F38"/>
    <mergeCell ref="G38:H38"/>
    <mergeCell ref="J38:K38"/>
    <mergeCell ref="L38:M38"/>
    <mergeCell ref="O38:P38"/>
    <mergeCell ref="Y24:AB25"/>
    <mergeCell ref="AD24:AD25"/>
    <mergeCell ref="E26:F26"/>
    <mergeCell ref="G26:H26"/>
    <mergeCell ref="J26:K26"/>
    <mergeCell ref="L26:M26"/>
    <mergeCell ref="O26:P26"/>
    <mergeCell ref="Q26:R26"/>
    <mergeCell ref="T26:U26"/>
    <mergeCell ref="V26:W26"/>
    <mergeCell ref="Y26:Z26"/>
    <mergeCell ref="AA26:AB26"/>
    <mergeCell ref="E21:F21"/>
    <mergeCell ref="J21:K21"/>
    <mergeCell ref="O21:P21"/>
    <mergeCell ref="T21:U21"/>
    <mergeCell ref="Y21:Z21"/>
    <mergeCell ref="C24:C25"/>
    <mergeCell ref="E24:H25"/>
    <mergeCell ref="J24:M25"/>
    <mergeCell ref="O24:R25"/>
    <mergeCell ref="T24:W25"/>
    <mergeCell ref="E19:F19"/>
    <mergeCell ref="J19:K19"/>
    <mergeCell ref="O19:P19"/>
    <mergeCell ref="T19:U19"/>
    <mergeCell ref="Y19:Z19"/>
    <mergeCell ref="E20:F20"/>
    <mergeCell ref="J20:K20"/>
    <mergeCell ref="O20:P20"/>
    <mergeCell ref="T20:U20"/>
    <mergeCell ref="Y20:Z20"/>
    <mergeCell ref="E18:F18"/>
    <mergeCell ref="J18:K18"/>
    <mergeCell ref="O18:P18"/>
    <mergeCell ref="T18:U18"/>
    <mergeCell ref="Y18:Z18"/>
    <mergeCell ref="Q15:R15"/>
    <mergeCell ref="T15:U15"/>
    <mergeCell ref="V15:W15"/>
    <mergeCell ref="Y15:Z15"/>
    <mergeCell ref="AA15:AB15"/>
    <mergeCell ref="E15:F15"/>
    <mergeCell ref="G15:H15"/>
    <mergeCell ref="J15:K15"/>
    <mergeCell ref="L15:M15"/>
    <mergeCell ref="O15:P15"/>
    <mergeCell ref="Y1:AB2"/>
    <mergeCell ref="AD1:AD2"/>
    <mergeCell ref="E3:F3"/>
    <mergeCell ref="G3:H3"/>
    <mergeCell ref="J3:K3"/>
    <mergeCell ref="L3:M3"/>
    <mergeCell ref="O3:P3"/>
    <mergeCell ref="Q3:R3"/>
    <mergeCell ref="T3:U3"/>
    <mergeCell ref="V3:W3"/>
    <mergeCell ref="T1:W2"/>
    <mergeCell ref="Y3:Z3"/>
    <mergeCell ref="AA3:AB3"/>
    <mergeCell ref="A1:B2"/>
    <mergeCell ref="C1:C2"/>
    <mergeCell ref="E1:H2"/>
    <mergeCell ref="J1:M2"/>
    <mergeCell ref="O1:R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70D4B-3454-4397-950F-1228BDB237BF}">
  <sheetPr>
    <tabColor theme="6" tint="0.39997558519241921"/>
  </sheetPr>
  <dimension ref="A1:AC47"/>
  <sheetViews>
    <sheetView topLeftCell="A11" workbookViewId="0">
      <selection activeCell="N32" sqref="N32"/>
    </sheetView>
  </sheetViews>
  <sheetFormatPr defaultRowHeight="15"/>
  <cols>
    <col min="3" max="3" width="24.7109375" customWidth="1"/>
    <col min="4" max="4" width="2.85546875" customWidth="1"/>
    <col min="5" max="5" width="11.42578125" customWidth="1"/>
    <col min="6" max="6" width="11" customWidth="1"/>
    <col min="7" max="7" width="3.140625" customWidth="1"/>
    <col min="8" max="8" width="11.140625" customWidth="1"/>
    <col min="9" max="9" width="10.5703125" customWidth="1"/>
    <col min="10" max="10" width="2.85546875" customWidth="1"/>
    <col min="11" max="11" width="11.42578125" customWidth="1"/>
    <col min="12" max="12" width="10.7109375" customWidth="1"/>
    <col min="13" max="13" width="3" customWidth="1"/>
    <col min="14" max="14" width="16.7109375" customWidth="1"/>
    <col min="15" max="15" width="12.140625" customWidth="1"/>
    <col min="16" max="16" width="9.140625" bestFit="1" customWidth="1"/>
    <col min="17" max="17" width="18.5703125" customWidth="1"/>
    <col min="18" max="18" width="9.140625" bestFit="1" customWidth="1"/>
    <col min="19" max="19" width="13.5703125" customWidth="1"/>
    <col min="20" max="20" width="8.5703125" bestFit="1" customWidth="1"/>
    <col min="21" max="21" width="4.85546875" customWidth="1"/>
    <col min="22" max="22" width="21.5703125" customWidth="1"/>
    <col min="23" max="23" width="14.42578125" customWidth="1"/>
    <col min="24" max="24" width="16.140625" customWidth="1"/>
    <col min="25" max="25" width="17.85546875" customWidth="1"/>
  </cols>
  <sheetData>
    <row r="1" spans="1:29">
      <c r="A1" s="367" t="s">
        <v>0</v>
      </c>
      <c r="B1" s="368"/>
      <c r="C1" s="369" t="s">
        <v>1</v>
      </c>
      <c r="E1" s="369" t="s">
        <v>2</v>
      </c>
      <c r="F1" s="369"/>
      <c r="H1" s="370" t="s">
        <v>3</v>
      </c>
      <c r="I1" s="371"/>
      <c r="K1" s="369" t="s">
        <v>4</v>
      </c>
      <c r="L1" s="369"/>
      <c r="N1" s="369" t="s">
        <v>5</v>
      </c>
      <c r="O1" s="369"/>
      <c r="Q1" s="3"/>
      <c r="R1" s="3"/>
      <c r="S1" s="354"/>
      <c r="T1" s="355"/>
      <c r="V1" s="1" t="s">
        <v>6</v>
      </c>
      <c r="W1" s="1" t="s">
        <v>7</v>
      </c>
      <c r="X1" s="1" t="s">
        <v>8</v>
      </c>
      <c r="Z1" s="356" t="s">
        <v>9</v>
      </c>
      <c r="AA1" s="357"/>
      <c r="AB1" s="357"/>
      <c r="AC1" s="358"/>
    </row>
    <row r="2" spans="1:29">
      <c r="A2" s="367"/>
      <c r="B2" s="368"/>
      <c r="C2" s="369"/>
      <c r="E2" s="369"/>
      <c r="F2" s="369"/>
      <c r="H2" s="372"/>
      <c r="I2" s="373"/>
      <c r="K2" s="369"/>
      <c r="L2" s="369"/>
      <c r="N2" s="369"/>
      <c r="O2" s="369"/>
      <c r="Q2" s="10"/>
      <c r="R2" s="13"/>
      <c r="S2" s="359"/>
      <c r="T2" s="360"/>
      <c r="V2" s="118" t="s">
        <v>10</v>
      </c>
      <c r="W2" s="119">
        <v>5625</v>
      </c>
      <c r="X2" s="119">
        <v>5250</v>
      </c>
      <c r="Z2" s="361" t="s">
        <v>11</v>
      </c>
      <c r="AA2" s="362"/>
      <c r="AB2" s="365" t="s">
        <v>12</v>
      </c>
      <c r="AC2" s="365" t="s">
        <v>13</v>
      </c>
    </row>
    <row r="3" spans="1:29" ht="3.75" customHeight="1">
      <c r="A3" s="19"/>
      <c r="B3" s="19"/>
      <c r="C3" s="19"/>
      <c r="E3" s="19"/>
      <c r="F3" s="19"/>
      <c r="H3" s="19"/>
      <c r="I3" s="19"/>
      <c r="K3" s="19"/>
      <c r="L3" s="19"/>
      <c r="N3" s="19"/>
      <c r="O3" s="19"/>
      <c r="Q3" s="12"/>
      <c r="R3" s="15"/>
      <c r="S3" s="351"/>
      <c r="T3" s="352"/>
      <c r="V3" s="118"/>
      <c r="W3" s="119"/>
      <c r="X3" s="119"/>
      <c r="Z3" s="363"/>
      <c r="AA3" s="364"/>
      <c r="AB3" s="366"/>
      <c r="AC3" s="366"/>
    </row>
    <row r="4" spans="1:29" ht="16.5">
      <c r="C4" s="37" t="s">
        <v>10</v>
      </c>
      <c r="E4" s="341">
        <f>COUNTIFS(General!F:F, "IP CERRADA", General!H:H, "PTE. APROBACION", General!G:G, "IP CON ORDEN", General!O:O, "&gt;="&amp;DATE(2025,11,1), General!O:O, "&lt;="&amp;DATE(2025,11,31))</f>
        <v>87</v>
      </c>
      <c r="F4" s="341"/>
      <c r="G4">
        <f>COUNTIFS(General!F:F, "IP CERRADA", General!M:M, "A MIÑO", General!H:H, "PTE. APROBACION", General!G:G, "IP CON ORDEN", General!O:O, "&gt;="&amp;DATE(2025,11,1), General!O:O, "&lt;="&amp;DATE(2025,11,31))</f>
        <v>0</v>
      </c>
      <c r="H4" s="342">
        <f>COUNTIFS(General!F:F, "LICITANDO REPUESTOS", General!G:G, "IP CON ORDEN")</f>
        <v>15</v>
      </c>
      <c r="I4" s="342"/>
      <c r="K4" s="343">
        <f>COUNTIFS(General!F:F, "IP COORDINADA", General!G:G, "IP CON ORDEN")</f>
        <v>32</v>
      </c>
      <c r="L4" s="343"/>
      <c r="N4" s="30" t="s">
        <v>14</v>
      </c>
      <c r="O4" s="31">
        <f>COUNTIFS(General!F:F, "PENDIENTE  COORDINACION")</f>
        <v>5</v>
      </c>
      <c r="Q4" s="11"/>
      <c r="R4" s="14"/>
      <c r="S4" s="346"/>
      <c r="T4" s="347"/>
      <c r="V4" s="120" t="s">
        <v>15</v>
      </c>
      <c r="W4" s="121">
        <v>5625</v>
      </c>
      <c r="X4" s="121">
        <v>5250</v>
      </c>
      <c r="Z4" s="70" t="s">
        <v>16</v>
      </c>
      <c r="AA4" s="71" t="e">
        <f>#REF!</f>
        <v>#REF!</v>
      </c>
      <c r="AB4" s="72" t="e">
        <f>AA4*$R$14</f>
        <v>#REF!</v>
      </c>
      <c r="AC4" s="72" t="e">
        <f>AB4*$T$14</f>
        <v>#REF!</v>
      </c>
    </row>
    <row r="5" spans="1:29" ht="16.5">
      <c r="C5" s="261" t="s">
        <v>15</v>
      </c>
      <c r="E5" s="353">
        <f>COUNTIFS(General!F:F, "IP CERRADA", General!H:H, "PTE. APROBACION", General!G:G, "POSIBLE DT", General!O:O, "&gt;="&amp;DATE(2025,11,1), General!O:O, "&lt;="&amp;DATE(2025,11,31))</f>
        <v>20</v>
      </c>
      <c r="F5" s="353"/>
      <c r="H5" s="349">
        <f>COUNTIFS(General!F:F, "LICITANDO REPUESTOS", General!G:G, "POSIBLE DT")</f>
        <v>0</v>
      </c>
      <c r="I5" s="349"/>
      <c r="K5" s="350">
        <f>COUNTIFS(General!F:F, "IP COORDINADA", General!G:G, "POSIBLE DT")</f>
        <v>2</v>
      </c>
      <c r="L5" s="350"/>
      <c r="N5" s="32" t="s">
        <v>17</v>
      </c>
      <c r="O5" s="33">
        <f>COUNTIFS(General!F:F, "CONTACTADO")</f>
        <v>2</v>
      </c>
      <c r="Q5" s="12"/>
      <c r="R5" s="15"/>
      <c r="S5" s="351"/>
      <c r="T5" s="352"/>
      <c r="V5" s="118" t="s">
        <v>18</v>
      </c>
      <c r="W5" s="119">
        <v>5625</v>
      </c>
      <c r="X5" s="119">
        <v>5250</v>
      </c>
      <c r="Z5" s="73" t="s">
        <v>19</v>
      </c>
      <c r="AA5" s="74" t="e">
        <f>#REF!</f>
        <v>#REF!</v>
      </c>
      <c r="AB5" s="75" t="e">
        <f>AA5*$R$14</f>
        <v>#REF!</v>
      </c>
      <c r="AC5" s="75" t="e">
        <f>AB5*$T$14</f>
        <v>#REF!</v>
      </c>
    </row>
    <row r="6" spans="1:29" ht="16.5">
      <c r="C6" s="37" t="s">
        <v>18</v>
      </c>
      <c r="E6" s="341">
        <f>COUNTIFS(General!F:F, "IP CERRADA", General!H:H, "PTE. APROBACION", General!G:G, "IP SIN ORDEN", General!O:O, "&gt;="&amp;DATE(2025,11,1), General!O:O, "&lt;="&amp;DATE(2025,11,31))</f>
        <v>38</v>
      </c>
      <c r="F6" s="341"/>
      <c r="H6" s="342">
        <f>COUNTIFS(General!F:F, "LICITANDO REPUESTOS", General!G:G, "IP SIN ORDEN")</f>
        <v>0</v>
      </c>
      <c r="I6" s="342"/>
      <c r="K6" s="343">
        <f>COUNTIFS(General!F:F, "IP COORDINADA", General!G:G, "IP SIN ORDEN")</f>
        <v>0</v>
      </c>
      <c r="L6" s="343"/>
      <c r="N6" s="30" t="s">
        <v>20</v>
      </c>
      <c r="O6" s="34">
        <f>COUNTIFS(General!F:F, "PENDIENTE DE OFRECIMIENTO")</f>
        <v>0</v>
      </c>
      <c r="Q6" s="11"/>
      <c r="R6" s="14"/>
      <c r="S6" s="346"/>
      <c r="T6" s="347"/>
      <c r="V6" s="120" t="s">
        <v>21</v>
      </c>
      <c r="W6" s="121">
        <v>2500</v>
      </c>
      <c r="X6" s="121">
        <v>2000</v>
      </c>
      <c r="Z6" s="76" t="s">
        <v>22</v>
      </c>
      <c r="AA6" s="77" t="e">
        <f>#REF!</f>
        <v>#REF!</v>
      </c>
      <c r="AB6" s="72" t="e">
        <f>AA6*$R$14</f>
        <v>#REF!</v>
      </c>
      <c r="AC6" s="72" t="e">
        <f>AB6*$T$14</f>
        <v>#REF!</v>
      </c>
    </row>
    <row r="7" spans="1:29" ht="16.5">
      <c r="C7" s="261" t="s">
        <v>21</v>
      </c>
      <c r="E7" s="353">
        <f>COUNTIFS(General!F:F, "IP CERRADA", General!H:H, "PTE. APROBACION", General!G:G, "AMPLIACION", General!O:O, "&gt;="&amp;DATE(2025,11,1), General!O:O, "&lt;="&amp;DATE(2025,11,31))</f>
        <v>19</v>
      </c>
      <c r="F7" s="353"/>
      <c r="H7" s="349">
        <f>COUNTIFS(General!F:F, "LICITANDO REPUESTOS", General!G:G, "AMPLIACION")</f>
        <v>1</v>
      </c>
      <c r="I7" s="349"/>
      <c r="K7" s="350">
        <f>COUNTIFS(General!F:F, "IP COORDINADA", General!G:G, "AMPLIACION")</f>
        <v>0</v>
      </c>
      <c r="L7" s="350"/>
      <c r="N7" s="35" t="s">
        <v>23</v>
      </c>
      <c r="O7" s="36">
        <f>COUNTIFS(General!F:F, "REVISAR MAIL - SIN RESOLVER")</f>
        <v>0</v>
      </c>
      <c r="Q7" s="12"/>
      <c r="R7" s="15"/>
      <c r="S7" s="351"/>
      <c r="T7" s="352"/>
      <c r="V7" s="118" t="s">
        <v>24</v>
      </c>
      <c r="W7" s="119">
        <v>0</v>
      </c>
      <c r="X7" s="119">
        <v>0</v>
      </c>
      <c r="Z7" s="73" t="s">
        <v>25</v>
      </c>
      <c r="AA7" s="74" t="e">
        <f>#REF!</f>
        <v>#REF!</v>
      </c>
      <c r="AB7" s="75" t="e">
        <f>AA7*$R$14</f>
        <v>#REF!</v>
      </c>
      <c r="AC7" s="75" t="e">
        <f>AB7*$T$14</f>
        <v>#REF!</v>
      </c>
    </row>
    <row r="8" spans="1:29" ht="16.5">
      <c r="C8" s="37" t="s">
        <v>24</v>
      </c>
      <c r="E8" s="341">
        <f>COUNTIFS(General!F:F, "IP CERRADA", General!H:H, "PTE. APROBACION", General!G:G, "ENVIO DE ORDEN", General!O:O, "&gt;="&amp;DATE(2025,11,1), General!O:O, "&lt;="&amp;DATE(2025,11,31))</f>
        <v>0</v>
      </c>
      <c r="F8" s="341"/>
      <c r="H8" s="342">
        <f>COUNTIFS(General!F:F, "LICITANDO REPUESTOS", General!G:G, "ENVIO DE ORDEN")</f>
        <v>0</v>
      </c>
      <c r="I8" s="342"/>
      <c r="K8" s="343">
        <f>COUNTIFS(General!F:F, "ENVIO DE ORDEN", General!G:G, "ENVIO DE ORDEN")</f>
        <v>0</v>
      </c>
      <c r="L8" s="343"/>
      <c r="Q8" s="11"/>
      <c r="R8" s="14"/>
      <c r="S8" s="346"/>
      <c r="T8" s="347"/>
      <c r="V8" s="120" t="s">
        <v>26</v>
      </c>
      <c r="W8" s="121">
        <v>1500</v>
      </c>
      <c r="X8" s="121" t="s">
        <v>27</v>
      </c>
      <c r="Z8" s="76" t="s">
        <v>28</v>
      </c>
      <c r="AA8" s="77" t="e">
        <f>#REF!</f>
        <v>#REF!</v>
      </c>
      <c r="AB8" s="72" t="e">
        <f>AA8*$R$14</f>
        <v>#REF!</v>
      </c>
      <c r="AC8" s="72" t="e">
        <f>AB8*$T$14</f>
        <v>#REF!</v>
      </c>
    </row>
    <row r="9" spans="1:29" ht="16.5">
      <c r="C9" s="261" t="s">
        <v>29</v>
      </c>
      <c r="E9" s="353">
        <f>COUNTIFS(General!F:F, "IP CERRADA", General!H:H, "PTE. APROBACION", General!G:G, "IP CAMIONES", General!O:O, "&gt;="&amp;DATE(2025,11,1), General!O:O, "&lt;="&amp;DATE(2025,11,31))</f>
        <v>0</v>
      </c>
      <c r="F9" s="353"/>
      <c r="H9" s="349">
        <f>COUNTIFS(General!F:F, "LICITANDO REPUESTOS", General!G:G, "IP CAMIONES")</f>
        <v>0</v>
      </c>
      <c r="I9" s="349"/>
      <c r="K9" s="350">
        <f>COUNTIFS(General!F:F, "IP COORDINADA", General!G:G, "IP CAMIONES")</f>
        <v>0</v>
      </c>
      <c r="L9" s="350"/>
      <c r="N9" s="115" t="s">
        <v>26</v>
      </c>
      <c r="O9" s="115">
        <f>COUNTIFS(General!F:F, "IP CERRADA", General!H:H, "PTE. APROBACION", General!G:G, "AUSENTE", General!O:O, "&gt;="&amp;DATE(2025,11,1), General!O:O, "&lt;="&amp;DATE(2025,11,31))</f>
        <v>13</v>
      </c>
      <c r="Q9" s="12"/>
      <c r="R9" s="15"/>
      <c r="S9" s="351"/>
      <c r="T9" s="352"/>
      <c r="V9" s="118" t="s">
        <v>30</v>
      </c>
      <c r="W9" s="119">
        <v>5625</v>
      </c>
      <c r="X9" s="119">
        <v>5625</v>
      </c>
      <c r="Z9" s="73" t="s">
        <v>31</v>
      </c>
      <c r="AA9" s="74" t="e">
        <f>#REF!</f>
        <v>#REF!</v>
      </c>
      <c r="AB9" s="75" t="e">
        <f>AA9*$R$14</f>
        <v>#REF!</v>
      </c>
      <c r="AC9" s="75" t="e">
        <f>AB9*$T$14</f>
        <v>#REF!</v>
      </c>
    </row>
    <row r="10" spans="1:29" ht="16.5">
      <c r="C10" s="37" t="s">
        <v>30</v>
      </c>
      <c r="E10" s="341">
        <f>COUNTIFS(General!F:F, "IP CERRADA", General!H:H, "PTE. APROBACION", General!G:G, "TERCEROS", General!O:O, "&gt;="&amp;DATE(2024,3,1), General!O:O, "&gt;="&amp;DATE(2025,11,1), General!O:O, "&lt;="&amp;DATE(2025,11,31))</f>
        <v>0</v>
      </c>
      <c r="F10" s="341"/>
      <c r="H10" s="342">
        <f>COUNTIFS(General!F:F, "LICITANDO REPUESTOS", General!G:G, "TERCEROS")</f>
        <v>0</v>
      </c>
      <c r="I10" s="342"/>
      <c r="K10" s="343">
        <f>COUNTIFS(General!F:F, "IP COORDINADA", General!G:G, "TERCEROS")</f>
        <v>0</v>
      </c>
      <c r="L10" s="343"/>
      <c r="N10" s="114"/>
      <c r="O10" s="49"/>
      <c r="Q10" s="11"/>
      <c r="R10" s="14"/>
      <c r="S10" s="346"/>
      <c r="T10" s="347"/>
      <c r="V10" s="120" t="s">
        <v>32</v>
      </c>
      <c r="W10" s="121">
        <v>0</v>
      </c>
      <c r="X10" s="121">
        <v>0</v>
      </c>
      <c r="Z10" s="76" t="s">
        <v>33</v>
      </c>
      <c r="AA10" s="77" t="e">
        <f>#REF!</f>
        <v>#REF!</v>
      </c>
      <c r="AB10" s="78" t="e">
        <f>AA10*$R$14</f>
        <v>#REF!</v>
      </c>
      <c r="AC10" s="78" t="e">
        <f>AB10*$T$14</f>
        <v>#REF!</v>
      </c>
    </row>
    <row r="11" spans="1:29" ht="16.5">
      <c r="C11" s="261" t="s">
        <v>32</v>
      </c>
      <c r="E11" s="353">
        <f>COUNTIFS(General!F:F, "IP CERRADA", General!H:H, "PTE. APROBACION", General!G:G, "FOTOS", General!O:O, "&gt;="&amp;DATE(2025,11,1), General!O:O, "&lt;="&amp;DATE(2025,11,31))</f>
        <v>0</v>
      </c>
      <c r="F11" s="353"/>
      <c r="H11" s="349">
        <f>COUNTIFS(General!F:F, "LICITANDO REPUESTOS", General!G:G, "FOTOS")</f>
        <v>0</v>
      </c>
      <c r="I11" s="349"/>
      <c r="K11" s="350">
        <f>COUNTIFS(General!F:F, "IP COORDINADA", General!G:G, "FOTOS")</f>
        <v>0</v>
      </c>
      <c r="L11" s="350"/>
      <c r="Q11" s="12"/>
      <c r="R11" s="15"/>
      <c r="S11" s="351"/>
      <c r="T11" s="352"/>
      <c r="V11" s="118" t="s">
        <v>34</v>
      </c>
      <c r="W11" s="119">
        <v>0</v>
      </c>
      <c r="X11" s="119">
        <v>0</v>
      </c>
      <c r="Z11" s="79" t="s">
        <v>35</v>
      </c>
      <c r="AA11" s="80" t="e">
        <f>#REF!</f>
        <v>#REF!</v>
      </c>
      <c r="AB11" s="81" t="e">
        <f>AA11*$R$14</f>
        <v>#REF!</v>
      </c>
      <c r="AC11" s="81" t="e">
        <f>AB11*$T$14</f>
        <v>#REF!</v>
      </c>
    </row>
    <row r="12" spans="1:29" ht="16.5">
      <c r="C12" s="37" t="s">
        <v>34</v>
      </c>
      <c r="E12" s="341">
        <f>COUNTIFS(General!F:F, "IP CERRADA", General!H:H, "PTE. APROBACION", General!G:G, "IP REMOTA", General!O:O, "&gt;="&amp;DATE(2025,11,1), General!O:O, "&lt;="&amp;DATE(2025,11,31))</f>
        <v>0</v>
      </c>
      <c r="F12" s="341"/>
      <c r="H12" s="342">
        <f>COUNTIFS(General!F:F, "LICITANDO REPUESTOS", General!G:G, "IP REMOTA")</f>
        <v>0</v>
      </c>
      <c r="I12" s="342"/>
      <c r="K12" s="343">
        <f>COUNTIFS(General!F:F, "IP COORDINADA", General!G:G, "IP REMOTA")</f>
        <v>0</v>
      </c>
      <c r="L12" s="343"/>
      <c r="N12" s="344" t="s">
        <v>36</v>
      </c>
      <c r="O12" s="345"/>
      <c r="Q12" s="11"/>
      <c r="R12" s="14"/>
      <c r="S12" s="346"/>
      <c r="T12" s="347"/>
      <c r="V12" s="120" t="s">
        <v>29</v>
      </c>
      <c r="W12" s="121">
        <v>5625</v>
      </c>
      <c r="X12" s="121">
        <v>5250</v>
      </c>
      <c r="Z12" s="82"/>
      <c r="AA12" s="83"/>
      <c r="AB12" s="84"/>
      <c r="AC12" s="84"/>
    </row>
    <row r="13" spans="1:29" ht="16.5">
      <c r="C13" s="261" t="s">
        <v>37</v>
      </c>
      <c r="E13" s="348">
        <f>COUNTIFS(General!F:F, "IP CERRADA", General!H:H, "PTE. APROBACION", General!G:G, "IP VIRTUAL", General!O:O, "&gt;="&amp;DATE(2025,11,1), General!O:O, "&lt;="&amp;DATE(2025,11,31))</f>
        <v>0</v>
      </c>
      <c r="F13" s="348"/>
      <c r="H13" s="349">
        <f>COUNTIFS(General!F:F, "LICITANDO REPUESTOS", General!G:G, "IP VIRTUAL")</f>
        <v>0</v>
      </c>
      <c r="I13" s="349"/>
      <c r="K13" s="350">
        <f>COUNTIFS(General!F:F, "IP COORDINADA", General!G:G, "IP VIRTUAL")</f>
        <v>0</v>
      </c>
      <c r="L13" s="350"/>
      <c r="N13" s="344">
        <f>SUMIFS(General!P2:P2771, General!L2:L2771, "&gt;=01/06/2024", General!L2:L2771, "&lt;=31/06/2024")</f>
        <v>0</v>
      </c>
      <c r="O13" s="345"/>
      <c r="Q13" s="12"/>
      <c r="R13" s="15"/>
      <c r="S13" s="351"/>
      <c r="T13" s="352"/>
      <c r="V13" s="118" t="s">
        <v>37</v>
      </c>
      <c r="W13" s="119" t="s">
        <v>27</v>
      </c>
      <c r="X13" s="119" t="s">
        <v>27</v>
      </c>
      <c r="Z13" s="85"/>
      <c r="AA13" s="86"/>
      <c r="AB13" s="87"/>
      <c r="AC13" s="87"/>
    </row>
    <row r="14" spans="1:29" ht="16.5">
      <c r="E14" s="112">
        <f>E4+E5+E6+E7+E8+E9+E10+E11+E12+E13</f>
        <v>164</v>
      </c>
      <c r="F14" s="113" t="s">
        <v>38</v>
      </c>
      <c r="H14" s="110">
        <f>H4+H5+H6+H7+H8+H9+H10+H11+H12+H13</f>
        <v>16</v>
      </c>
      <c r="I14" s="111" t="s">
        <v>38</v>
      </c>
      <c r="K14" s="260">
        <f>K4+K5+K6+K7+K8+K9+K10+K11+K12+K13</f>
        <v>34</v>
      </c>
      <c r="L14" s="109" t="s">
        <v>38</v>
      </c>
      <c r="N14" s="332">
        <f>N13*T14</f>
        <v>0</v>
      </c>
      <c r="O14" s="333"/>
      <c r="Q14" s="62"/>
      <c r="R14" s="63"/>
      <c r="S14" s="334"/>
      <c r="T14" s="335"/>
      <c r="V14" s="118"/>
      <c r="W14" s="119"/>
      <c r="X14" s="119"/>
      <c r="Z14" s="85"/>
      <c r="AA14" s="86"/>
      <c r="AB14" s="87"/>
      <c r="AC14" s="87"/>
    </row>
    <row r="15" spans="1:29">
      <c r="E15" s="19"/>
      <c r="F15" s="19"/>
      <c r="V15" s="118"/>
      <c r="W15" s="119"/>
      <c r="X15" s="119"/>
      <c r="Z15" s="82"/>
      <c r="AA15" s="88"/>
      <c r="AB15" s="89"/>
      <c r="AC15" s="89"/>
    </row>
    <row r="16" spans="1:29" ht="16.5">
      <c r="E16" s="336" t="s">
        <v>39</v>
      </c>
      <c r="F16" s="336"/>
      <c r="H16" s="337" t="s">
        <v>40</v>
      </c>
      <c r="I16" s="337"/>
      <c r="K16" s="338" t="s">
        <v>41</v>
      </c>
      <c r="L16" s="338"/>
      <c r="N16" s="28" t="s">
        <v>42</v>
      </c>
      <c r="O16" s="253">
        <f>COUNTIFS(General!H:H, "EN TRAMITE")</f>
        <v>98</v>
      </c>
      <c r="V16" s="122" t="s">
        <v>43</v>
      </c>
      <c r="W16" s="123">
        <v>300</v>
      </c>
      <c r="X16" s="123" t="s">
        <v>27</v>
      </c>
      <c r="Z16" s="90" t="s">
        <v>44</v>
      </c>
      <c r="AA16" s="91" t="e">
        <f>AA4+AA5+AA6+AA7+AA8+AA9+AA10+AA11</f>
        <v>#REF!</v>
      </c>
      <c r="AB16" s="92" t="e">
        <f>AB4+AB5+AB6+AB7+AB8+AB9+AB10+AB11</f>
        <v>#REF!</v>
      </c>
      <c r="AC16" s="93" t="e">
        <f>AC4+AC5+AC6+AC7+AC8+AC9+AC10+AC11</f>
        <v>#REF!</v>
      </c>
    </row>
    <row r="17" spans="3:24" ht="16.5">
      <c r="E17" s="336">
        <f>E4+E5+E6+E7+E8+E9+E10+E12+O9+E13</f>
        <v>177</v>
      </c>
      <c r="F17" s="336"/>
      <c r="H17" s="337">
        <f>H4+H5+H6+H7+H8+H9+H10+H11+H12+H13</f>
        <v>16</v>
      </c>
      <c r="I17" s="337"/>
      <c r="K17" s="338">
        <f>K4+K5+K6+K7+K8+K9+K10+K11+K12+K13</f>
        <v>34</v>
      </c>
      <c r="L17" s="338"/>
      <c r="N17" s="28" t="s">
        <v>45</v>
      </c>
      <c r="O17" s="253">
        <f>COUNTIFS(General!H:H, "PTE. APROBACION")</f>
        <v>3403</v>
      </c>
      <c r="Q17" s="339" t="s">
        <v>46</v>
      </c>
      <c r="R17" s="340"/>
      <c r="S17" s="340"/>
      <c r="T17" s="340"/>
    </row>
    <row r="18" spans="3:24" ht="16.5">
      <c r="N18" s="102" t="s">
        <v>47</v>
      </c>
      <c r="O18" s="253">
        <f>COUNTIFS(General!H:H, "ANULADO")</f>
        <v>198</v>
      </c>
      <c r="Q18" s="315" t="s">
        <v>48</v>
      </c>
      <c r="R18" s="316"/>
      <c r="S18" s="315" t="s">
        <v>12</v>
      </c>
      <c r="T18" s="319"/>
      <c r="V18" s="108" t="s">
        <v>10</v>
      </c>
      <c r="W18" s="103">
        <f>COUNTIFS(General!F:F, "PARA FACTURAR", General!G:G, "IP CON ORDEN")</f>
        <v>13</v>
      </c>
      <c r="X18" s="107"/>
    </row>
    <row r="19" spans="3:24" ht="15" customHeight="1">
      <c r="C19" s="321" t="s">
        <v>49</v>
      </c>
      <c r="D19" s="321"/>
      <c r="E19" s="257">
        <f>E21+E22+E23+E24+E25+E26+E27+E28+E29+E30+E31+E32</f>
        <v>3248</v>
      </c>
      <c r="F19" s="240">
        <f>(E19-E34)/E34</f>
        <v>0.58207501217730151</v>
      </c>
      <c r="H19" s="322" t="s">
        <v>50</v>
      </c>
      <c r="I19" s="323"/>
      <c r="N19" s="101" t="s">
        <v>51</v>
      </c>
      <c r="O19" s="101">
        <f>COUNTIFS(General!F:F, "PARA FACTURAR")</f>
        <v>22</v>
      </c>
      <c r="Q19" s="317"/>
      <c r="R19" s="318"/>
      <c r="S19" s="317"/>
      <c r="T19" s="320"/>
      <c r="V19" s="108" t="s">
        <v>15</v>
      </c>
      <c r="W19" s="103">
        <f>COUNTIFS(General!F:F, "PARA FACTURAR", General!G:G, "POSIBLE DT")</f>
        <v>2</v>
      </c>
      <c r="X19" s="107"/>
    </row>
    <row r="20" spans="3:24" ht="16.5">
      <c r="C20" s="324" t="s">
        <v>52</v>
      </c>
      <c r="D20" s="325"/>
      <c r="E20" s="258" t="s">
        <v>53</v>
      </c>
      <c r="F20" s="257">
        <f>E19-E34</f>
        <v>1195</v>
      </c>
      <c r="H20" s="326">
        <f>E17+H17+K17+O19</f>
        <v>249</v>
      </c>
      <c r="I20" s="327"/>
      <c r="Q20" s="328" t="s">
        <v>35</v>
      </c>
      <c r="R20" s="329"/>
      <c r="S20" s="330"/>
      <c r="T20" s="331"/>
      <c r="V20" s="108" t="s">
        <v>18</v>
      </c>
      <c r="W20" s="103">
        <f>COUNTIFS(General!F:F, "PARA FACTURAR", General!G:G, "IP SIN ORDEN")</f>
        <v>6</v>
      </c>
      <c r="X20" s="107"/>
    </row>
    <row r="21" spans="3:24" ht="16.5">
      <c r="C21" s="313" t="s">
        <v>54</v>
      </c>
      <c r="D21" s="314"/>
      <c r="E21" s="219">
        <f>COUNTIFS(General!B:B, "&gt;="&amp;DATE(2025,1,1), General!B:B, "&lt;="&amp;DATE(2025,1,31))</f>
        <v>260</v>
      </c>
      <c r="F21" s="241">
        <f>(E21-E36)/E36</f>
        <v>0.96969696969696972</v>
      </c>
      <c r="Q21" s="295" t="s">
        <v>19</v>
      </c>
      <c r="R21" s="296"/>
      <c r="S21" s="280">
        <f>PeritosNoviembre!H21</f>
        <v>9562</v>
      </c>
      <c r="T21" s="281"/>
      <c r="V21" s="108" t="s">
        <v>21</v>
      </c>
      <c r="W21" s="103">
        <f>COUNTIFS(General!F:F, "PARA FACTURAR", General!G:G, "AMPLIACION")</f>
        <v>1</v>
      </c>
      <c r="X21" s="107"/>
    </row>
    <row r="22" spans="3:24" ht="16.5">
      <c r="C22" s="306" t="s">
        <v>55</v>
      </c>
      <c r="D22" s="310"/>
      <c r="E22" s="220">
        <f>COUNTIFS(General!B:B, "&gt;="&amp;DATE(2025,2,1), General!B:B, "&lt;="&amp;DATE(2025,2,31))</f>
        <v>194</v>
      </c>
      <c r="F22" s="217">
        <f>(E22-E37)/E37</f>
        <v>0.43703703703703706</v>
      </c>
      <c r="H22" s="67"/>
      <c r="I22" s="67"/>
      <c r="Q22" s="299" t="s">
        <v>22</v>
      </c>
      <c r="R22" s="300"/>
      <c r="S22" s="301"/>
      <c r="T22" s="302"/>
      <c r="V22" s="108" t="s">
        <v>24</v>
      </c>
      <c r="W22" s="103">
        <f>COUNTIFS(General!F:F, "PARA FACTURAR", General!G:G, "ENVIO DE ORDEN")</f>
        <v>0</v>
      </c>
      <c r="X22" s="107"/>
    </row>
    <row r="23" spans="3:24" ht="16.5">
      <c r="C23" s="308" t="s">
        <v>56</v>
      </c>
      <c r="D23" s="309"/>
      <c r="E23" s="221">
        <f>COUNTIFS(General!B:B, "&gt;="&amp;DATE(2025,3,1), General!B:B, "&lt;="&amp;DATE(2025,3,31))</f>
        <v>219</v>
      </c>
      <c r="F23" s="217">
        <f>(E23-E38)/E38</f>
        <v>0.23728813559322035</v>
      </c>
      <c r="H23" s="67"/>
      <c r="I23" s="67"/>
      <c r="Q23" s="295" t="s">
        <v>25</v>
      </c>
      <c r="R23" s="296"/>
      <c r="S23" s="280"/>
      <c r="T23" s="281"/>
      <c r="V23" s="108" t="s">
        <v>29</v>
      </c>
      <c r="W23" s="103">
        <f>COUNTIFS(General!F:F, "PARA FACTURAR", General!G:G, "IP CAMIONES")</f>
        <v>0</v>
      </c>
      <c r="X23" s="107"/>
    </row>
    <row r="24" spans="3:24" ht="16.5">
      <c r="C24" s="306" t="s">
        <v>57</v>
      </c>
      <c r="D24" s="310"/>
      <c r="E24" s="220">
        <f>COUNTIFS(General!B:B, "&gt;="&amp;DATE(2025,4,1), General!B:B, "&lt;="&amp;DATE(2025,4,31))</f>
        <v>541</v>
      </c>
      <c r="F24" s="217">
        <f>(E24-E39)/E39</f>
        <v>1.4816513761467891</v>
      </c>
      <c r="H24" s="312" t="s">
        <v>58</v>
      </c>
      <c r="I24" s="312"/>
      <c r="Q24" s="299" t="s">
        <v>59</v>
      </c>
      <c r="R24" s="300"/>
      <c r="S24" s="301">
        <f>PeritosNoviembre!AB21</f>
        <v>701214</v>
      </c>
      <c r="T24" s="302"/>
      <c r="V24" s="108" t="s">
        <v>30</v>
      </c>
      <c r="W24" s="103">
        <f>COUNTIFS(General!F:F, "PARA FACTURAR", General!G:G, "TERCEROS")</f>
        <v>0</v>
      </c>
      <c r="X24" s="107"/>
    </row>
    <row r="25" spans="3:24" ht="16.5">
      <c r="C25" s="308" t="s">
        <v>60</v>
      </c>
      <c r="D25" s="309"/>
      <c r="E25" s="221">
        <f>COUNTIFS(General!B:B, "&gt;="&amp;DATE(2025,5,1), General!B:B, "&lt;="&amp;DATE(2025,5,31))</f>
        <v>548</v>
      </c>
      <c r="F25" s="217">
        <f>(E25-E40)/E40</f>
        <v>1.4684684684684686</v>
      </c>
      <c r="H25" s="294" t="s">
        <v>61</v>
      </c>
      <c r="I25" s="294"/>
      <c r="K25" s="158">
        <f>AVERAGEIFS(General!S:S,General!B:B,"&gt;="&amp;DATE(2025,5,1),General!B:B,"&lt;="&amp;DATE(2025,5,31),General!F:F,"IP CERRADA")</f>
        <v>4.3580952380952382</v>
      </c>
      <c r="Q25" s="295" t="s">
        <v>31</v>
      </c>
      <c r="R25" s="296"/>
      <c r="S25" s="280"/>
      <c r="T25" s="281"/>
      <c r="V25" s="108" t="s">
        <v>32</v>
      </c>
      <c r="W25" s="103">
        <f>COUNTIFS(General!F:F, "PARA FACTURAR", General!G:G, "FOTOS")</f>
        <v>0</v>
      </c>
      <c r="X25" s="107"/>
    </row>
    <row r="26" spans="3:24" ht="16.5">
      <c r="C26" s="306" t="s">
        <v>62</v>
      </c>
      <c r="D26" s="310"/>
      <c r="E26" s="220">
        <f>COUNTIFS(General!B:B, "&gt;="&amp;DATE(2025,6,1), General!B:B, "&lt;="&amp;DATE(2025,6,31))</f>
        <v>258</v>
      </c>
      <c r="F26" s="217">
        <f>(E26-E41)/E41</f>
        <v>0.59259259259259256</v>
      </c>
      <c r="H26" s="311" t="s">
        <v>63</v>
      </c>
      <c r="I26" s="311"/>
      <c r="K26" s="158">
        <f>AVERAGEIFS(General!T:T,General!B:B,"&gt;="&amp;DATE(2025,5,1),General!B:B,"&lt;="&amp;DATE(2025,5,31),General!F:F,"IP CERRADA")</f>
        <v>1.0361904761904761</v>
      </c>
      <c r="Q26" s="299" t="s">
        <v>33</v>
      </c>
      <c r="R26" s="300"/>
      <c r="S26" s="301"/>
      <c r="T26" s="302"/>
      <c r="V26" s="108" t="s">
        <v>34</v>
      </c>
      <c r="W26" s="103">
        <f>COUNTIFS(General!F:F, "PARA FACTURAR", General!G:G, "IP REMOTA")</f>
        <v>0</v>
      </c>
      <c r="X26" s="107"/>
    </row>
    <row r="27" spans="3:24" ht="16.5">
      <c r="C27" s="303" t="s">
        <v>64</v>
      </c>
      <c r="D27" s="304"/>
      <c r="E27" s="222">
        <f>COUNTIFS(General!B:B, "&gt;="&amp;DATE(2025,7,1), General!B:B, "&lt;="&amp;DATE(2025,7,31))</f>
        <v>275</v>
      </c>
      <c r="F27" s="217">
        <f>(E27-E42)/E42</f>
        <v>0.28504672897196259</v>
      </c>
      <c r="H27" s="305" t="s">
        <v>65</v>
      </c>
      <c r="I27" s="305"/>
      <c r="K27" s="158">
        <f>AVERAGEIFS(General!U:U,General!B:B,"&gt;="&amp;DATE(2025,5,1),General!B:B,"&lt;="&amp;DATE(2025,5,31),General!F:F,"IP CERRADA")</f>
        <v>174.93548387096774</v>
      </c>
      <c r="Q27" s="295" t="s">
        <v>66</v>
      </c>
      <c r="R27" s="296"/>
      <c r="S27" s="280">
        <f>PeritosNoviembre!M21</f>
        <v>1389499</v>
      </c>
      <c r="T27" s="281"/>
      <c r="V27" s="108" t="s">
        <v>37</v>
      </c>
      <c r="W27" s="103">
        <f>COUNTIFS(General!F:F, "PARA FACTURAR", General!G:G, "IP VIRTUAL")</f>
        <v>0</v>
      </c>
      <c r="X27" s="107"/>
    </row>
    <row r="28" spans="3:24" ht="16.5">
      <c r="C28" s="306" t="s">
        <v>67</v>
      </c>
      <c r="D28" s="307"/>
      <c r="E28" s="220">
        <f>COUNTIFS(General!B:B, "&gt;="&amp;DATE(2025,8,1), General!B:B, "&lt;="&amp;DATE(2025,8,31))</f>
        <v>194</v>
      </c>
      <c r="F28" s="217">
        <f>(E28-E43)/E43</f>
        <v>0.31972789115646261</v>
      </c>
      <c r="H28" s="294" t="s">
        <v>68</v>
      </c>
      <c r="I28" s="294"/>
      <c r="K28" s="158">
        <f>AVERAGEIFS(General!V:V,General!B:B,"&gt;="&amp;DATE(2025,5,1),General!B:B,"&lt;="&amp;DATE(2025,5,31),General!F:F,"IP CERRADA")</f>
        <v>6.5332068311195446</v>
      </c>
      <c r="Q28" s="299" t="s">
        <v>69</v>
      </c>
      <c r="R28" s="300"/>
      <c r="S28" s="301"/>
      <c r="T28" s="302"/>
      <c r="V28" s="108" t="s">
        <v>70</v>
      </c>
      <c r="W28" s="103">
        <f>COUNTIFS(General!F:F, "PARA FACTURAR", General!G:G, "SIN HONORARIOS")</f>
        <v>0</v>
      </c>
      <c r="X28" s="107"/>
    </row>
    <row r="29" spans="3:24" ht="16.5">
      <c r="C29" s="292" t="s">
        <v>71</v>
      </c>
      <c r="D29" s="293"/>
      <c r="E29" s="223">
        <f>COUNTIFS(General!B:B, "&gt;="&amp;DATE(2025,9,1), General!B:B, "&lt;="&amp;DATE(2025,9,31))</f>
        <v>206</v>
      </c>
      <c r="F29" s="217">
        <f>(E29-E44)/E44</f>
        <v>0.54887218045112784</v>
      </c>
      <c r="H29" s="294" t="s">
        <v>72</v>
      </c>
      <c r="I29" s="294"/>
      <c r="J29" s="65"/>
      <c r="K29" s="158">
        <f>AVERAGEIFS(General!W:W,General!B:B,"&gt;="&amp;DATE(2025,5,1),General!B:B,"&lt;="&amp;DATE(2025,5,31),General!F:F,"IP CERRADA")</f>
        <v>175.96774193548387</v>
      </c>
      <c r="Q29" s="295" t="s">
        <v>16</v>
      </c>
      <c r="R29" s="296"/>
      <c r="S29" s="280">
        <f>PeritosNoviembre!W21</f>
        <v>699090</v>
      </c>
      <c r="T29" s="281"/>
      <c r="V29" s="108" t="s">
        <v>26</v>
      </c>
      <c r="W29" s="103">
        <f>COUNTIFS(General!F:F, "PARA FACTURAR", General!G:G, "AUSENTE")</f>
        <v>0</v>
      </c>
      <c r="X29" s="107"/>
    </row>
    <row r="30" spans="3:24">
      <c r="C30" s="297" t="s">
        <v>73</v>
      </c>
      <c r="D30" s="298"/>
      <c r="E30" s="220">
        <f>COUNTIFS(General!B:B, "&gt;="&amp;DATE(2025,10,1), General!B:B, "&lt;="&amp;DATE(2025,10,31))</f>
        <v>217</v>
      </c>
      <c r="F30" s="217">
        <f>(E30-E45)/E45</f>
        <v>4.8309178743961352E-2</v>
      </c>
      <c r="H30" s="294" t="s">
        <v>74</v>
      </c>
      <c r="I30" s="294"/>
      <c r="J30" s="65"/>
      <c r="K30" s="158">
        <f>AVERAGEIFS(General!X:X,General!B:B,"&gt;="&amp;DATE(2025,5,1),General!B:B,"&lt;="&amp;DATE(2025,5,31),General!F:F,"IP CERRADA")</f>
        <v>7.6228571428571428</v>
      </c>
      <c r="L30" s="67"/>
      <c r="Q30" s="299" t="s">
        <v>75</v>
      </c>
      <c r="R30" s="300"/>
      <c r="S30" s="301"/>
      <c r="T30" s="302"/>
    </row>
    <row r="31" spans="3:24">
      <c r="C31" s="276" t="s">
        <v>76</v>
      </c>
      <c r="D31" s="277"/>
      <c r="E31" s="224">
        <f>COUNTIFS(General!B:B, "&gt;="&amp;DATE(2025,11,1), General!B:B, "&lt;="&amp;DATE(2025,11,31))</f>
        <v>147</v>
      </c>
      <c r="F31" s="218">
        <f>(E31-E46)/E46</f>
        <v>3.5211267605633804E-2</v>
      </c>
      <c r="H31" s="64"/>
      <c r="I31" s="64"/>
      <c r="J31" s="65"/>
      <c r="K31" s="65"/>
      <c r="L31" s="66"/>
      <c r="Q31" s="278" t="s">
        <v>77</v>
      </c>
      <c r="R31" s="279"/>
      <c r="S31" s="280"/>
      <c r="T31" s="281"/>
      <c r="V31" s="282" t="s">
        <v>78</v>
      </c>
      <c r="W31" s="283"/>
    </row>
    <row r="32" spans="3:24">
      <c r="C32" s="284" t="s">
        <v>79</v>
      </c>
      <c r="D32" s="285"/>
      <c r="E32" s="225">
        <f>COUNTIFS(General!B:B, "&gt;="&amp;DATE(2025,12,1), General!B:B, "&lt;="&amp;DATE(2025,12,31))</f>
        <v>189</v>
      </c>
      <c r="F32" s="218">
        <f>(E32-E47)/E47</f>
        <v>0.1524390243902439</v>
      </c>
      <c r="H32" s="64"/>
      <c r="I32" s="64"/>
      <c r="J32" s="65"/>
      <c r="K32" s="65"/>
      <c r="L32" s="67"/>
      <c r="Q32" s="286" t="s">
        <v>44</v>
      </c>
      <c r="R32" s="287"/>
      <c r="S32" s="288">
        <f>S20+S21+S22+S23+S24+S25+S26+S27+S28+S29</f>
        <v>2799365</v>
      </c>
      <c r="T32" s="289"/>
      <c r="V32" s="290">
        <f>W18+W19+W20+W21+W22+W23+W24+W25+W26+W27+W28+W29</f>
        <v>22</v>
      </c>
      <c r="W32" s="291"/>
    </row>
    <row r="33" spans="3:12">
      <c r="L33" s="104"/>
    </row>
    <row r="34" spans="3:12" ht="18.75" customHeight="1">
      <c r="C34" s="270" t="s">
        <v>80</v>
      </c>
      <c r="D34" s="271"/>
      <c r="E34" s="257">
        <f>E36+E37+E38+E39+E40+E41+E42+E43+E44+E45+E46+E47</f>
        <v>2053</v>
      </c>
      <c r="H34" s="68"/>
      <c r="I34" s="68"/>
      <c r="J34" s="69"/>
      <c r="K34" s="69"/>
    </row>
    <row r="35" spans="3:12" ht="15" customHeight="1">
      <c r="C35" s="272" t="s">
        <v>81</v>
      </c>
      <c r="D35" s="273"/>
      <c r="E35" s="135" t="s">
        <v>53</v>
      </c>
      <c r="H35" s="68"/>
      <c r="I35" s="68"/>
      <c r="J35" s="69"/>
      <c r="K35" s="69"/>
    </row>
    <row r="36" spans="3:12">
      <c r="C36" s="274" t="s">
        <v>54</v>
      </c>
      <c r="D36" s="275"/>
      <c r="E36" s="131">
        <v>132</v>
      </c>
    </row>
    <row r="37" spans="3:12">
      <c r="C37" s="266" t="s">
        <v>55</v>
      </c>
      <c r="D37" s="267"/>
      <c r="E37" s="132">
        <v>135</v>
      </c>
    </row>
    <row r="38" spans="3:12">
      <c r="C38" s="262" t="s">
        <v>56</v>
      </c>
      <c r="D38" s="263"/>
      <c r="E38" s="133">
        <v>177</v>
      </c>
    </row>
    <row r="39" spans="3:12">
      <c r="C39" s="266" t="s">
        <v>57</v>
      </c>
      <c r="D39" s="267"/>
      <c r="E39" s="132">
        <v>218</v>
      </c>
    </row>
    <row r="40" spans="3:12">
      <c r="C40" s="262" t="s">
        <v>60</v>
      </c>
      <c r="D40" s="263"/>
      <c r="E40" s="133">
        <v>222</v>
      </c>
    </row>
    <row r="41" spans="3:12">
      <c r="C41" s="266" t="s">
        <v>62</v>
      </c>
      <c r="D41" s="267"/>
      <c r="E41" s="132">
        <v>162</v>
      </c>
    </row>
    <row r="42" spans="3:12">
      <c r="C42" s="262" t="s">
        <v>64</v>
      </c>
      <c r="D42" s="263"/>
      <c r="E42" s="138">
        <v>214</v>
      </c>
    </row>
    <row r="43" spans="3:12">
      <c r="C43" s="266" t="s">
        <v>67</v>
      </c>
      <c r="D43" s="267"/>
      <c r="E43" s="132">
        <v>147</v>
      </c>
    </row>
    <row r="44" spans="3:12">
      <c r="C44" s="262" t="s">
        <v>71</v>
      </c>
      <c r="D44" s="263"/>
      <c r="E44" s="139">
        <v>133</v>
      </c>
    </row>
    <row r="45" spans="3:12">
      <c r="C45" s="268" t="s">
        <v>73</v>
      </c>
      <c r="D45" s="269"/>
      <c r="E45" s="132">
        <v>207</v>
      </c>
    </row>
    <row r="46" spans="3:12">
      <c r="C46" s="262" t="s">
        <v>76</v>
      </c>
      <c r="D46" s="263"/>
      <c r="E46" s="137">
        <v>142</v>
      </c>
    </row>
    <row r="47" spans="3:12">
      <c r="C47" s="264" t="s">
        <v>79</v>
      </c>
      <c r="D47" s="265"/>
      <c r="E47" s="134">
        <v>164</v>
      </c>
    </row>
  </sheetData>
  <mergeCells count="131">
    <mergeCell ref="S1:T1"/>
    <mergeCell ref="Z1:AC1"/>
    <mergeCell ref="S2:T2"/>
    <mergeCell ref="Z2:AA3"/>
    <mergeCell ref="AB2:AB3"/>
    <mergeCell ref="AC2:AC3"/>
    <mergeCell ref="S3:T3"/>
    <mergeCell ref="A1:B2"/>
    <mergeCell ref="C1:C2"/>
    <mergeCell ref="E1:F2"/>
    <mergeCell ref="H1:I2"/>
    <mergeCell ref="K1:L2"/>
    <mergeCell ref="N1:O2"/>
    <mergeCell ref="E6:F6"/>
    <mergeCell ref="H6:I6"/>
    <mergeCell ref="K6:L6"/>
    <mergeCell ref="S6:T6"/>
    <mergeCell ref="E7:F7"/>
    <mergeCell ref="H7:I7"/>
    <mergeCell ref="K7:L7"/>
    <mergeCell ref="S7:T7"/>
    <mergeCell ref="E4:F4"/>
    <mergeCell ref="H4:I4"/>
    <mergeCell ref="K4:L4"/>
    <mergeCell ref="S4:T4"/>
    <mergeCell ref="E5:F5"/>
    <mergeCell ref="H5:I5"/>
    <mergeCell ref="K5:L5"/>
    <mergeCell ref="S5:T5"/>
    <mergeCell ref="E10:F10"/>
    <mergeCell ref="H10:I10"/>
    <mergeCell ref="K10:L10"/>
    <mergeCell ref="S10:T10"/>
    <mergeCell ref="E11:F11"/>
    <mergeCell ref="H11:I11"/>
    <mergeCell ref="K11:L11"/>
    <mergeCell ref="S11:T11"/>
    <mergeCell ref="E8:F8"/>
    <mergeCell ref="H8:I8"/>
    <mergeCell ref="K8:L8"/>
    <mergeCell ref="S8:T8"/>
    <mergeCell ref="E9:F9"/>
    <mergeCell ref="H9:I9"/>
    <mergeCell ref="K9:L9"/>
    <mergeCell ref="S9:T9"/>
    <mergeCell ref="E12:F12"/>
    <mergeCell ref="H12:I12"/>
    <mergeCell ref="K12:L12"/>
    <mergeCell ref="N12:O12"/>
    <mergeCell ref="S12:T12"/>
    <mergeCell ref="E13:F13"/>
    <mergeCell ref="H13:I13"/>
    <mergeCell ref="K13:L13"/>
    <mergeCell ref="N13:O13"/>
    <mergeCell ref="S13:T13"/>
    <mergeCell ref="Q18:R19"/>
    <mergeCell ref="S18:T19"/>
    <mergeCell ref="C19:D19"/>
    <mergeCell ref="H19:I19"/>
    <mergeCell ref="C20:D20"/>
    <mergeCell ref="H20:I20"/>
    <mergeCell ref="Q20:R20"/>
    <mergeCell ref="S20:T20"/>
    <mergeCell ref="N14:O14"/>
    <mergeCell ref="S14:T14"/>
    <mergeCell ref="E16:F16"/>
    <mergeCell ref="H16:I16"/>
    <mergeCell ref="K16:L16"/>
    <mergeCell ref="E17:F17"/>
    <mergeCell ref="H17:I17"/>
    <mergeCell ref="K17:L17"/>
    <mergeCell ref="Q17:T17"/>
    <mergeCell ref="C23:D23"/>
    <mergeCell ref="Q23:R23"/>
    <mergeCell ref="S23:T23"/>
    <mergeCell ref="C24:D24"/>
    <mergeCell ref="H24:I24"/>
    <mergeCell ref="Q24:R24"/>
    <mergeCell ref="S24:T24"/>
    <mergeCell ref="C21:D21"/>
    <mergeCell ref="Q21:R21"/>
    <mergeCell ref="S21:T21"/>
    <mergeCell ref="C22:D22"/>
    <mergeCell ref="Q22:R22"/>
    <mergeCell ref="S22:T22"/>
    <mergeCell ref="C27:D27"/>
    <mergeCell ref="H27:I27"/>
    <mergeCell ref="Q27:R27"/>
    <mergeCell ref="S27:T27"/>
    <mergeCell ref="C28:D28"/>
    <mergeCell ref="H28:I28"/>
    <mergeCell ref="Q28:R28"/>
    <mergeCell ref="S28:T28"/>
    <mergeCell ref="C25:D25"/>
    <mergeCell ref="H25:I25"/>
    <mergeCell ref="Q25:R25"/>
    <mergeCell ref="S25:T25"/>
    <mergeCell ref="C26:D26"/>
    <mergeCell ref="H26:I26"/>
    <mergeCell ref="Q26:R26"/>
    <mergeCell ref="S26:T26"/>
    <mergeCell ref="C31:D31"/>
    <mergeCell ref="Q31:R31"/>
    <mergeCell ref="S31:T31"/>
    <mergeCell ref="V31:W31"/>
    <mergeCell ref="C32:D32"/>
    <mergeCell ref="Q32:R32"/>
    <mergeCell ref="S32:T32"/>
    <mergeCell ref="V32:W32"/>
    <mergeCell ref="C29:D29"/>
    <mergeCell ref="H29:I29"/>
    <mergeCell ref="Q29:R29"/>
    <mergeCell ref="S29:T29"/>
    <mergeCell ref="C30:D30"/>
    <mergeCell ref="H30:I30"/>
    <mergeCell ref="Q30:R30"/>
    <mergeCell ref="S30:T30"/>
    <mergeCell ref="C46:D46"/>
    <mergeCell ref="C47:D47"/>
    <mergeCell ref="C40:D40"/>
    <mergeCell ref="C41:D41"/>
    <mergeCell ref="C42:D42"/>
    <mergeCell ref="C43:D43"/>
    <mergeCell ref="C44:D44"/>
    <mergeCell ref="C45:D45"/>
    <mergeCell ref="C34:D34"/>
    <mergeCell ref="C35:D35"/>
    <mergeCell ref="C36:D36"/>
    <mergeCell ref="C37:D37"/>
    <mergeCell ref="C38:D38"/>
    <mergeCell ref="C39:D39"/>
  </mergeCells>
  <conditionalFormatting sqref="N19:O19">
    <cfRule type="expression" dxfId="724" priority="20">
      <formula>#REF!="ESPERANDO RESPUESTA 3°"</formula>
    </cfRule>
    <cfRule type="expression" dxfId="723" priority="21">
      <formula>#REF!="PENDIENTE DE OFRECIMIENTO"</formula>
    </cfRule>
    <cfRule type="expression" dxfId="722" priority="22">
      <formula>#REF!="EN CONSULTA CON CIA"</formula>
    </cfRule>
    <cfRule type="expression" dxfId="721" priority="23">
      <formula>#REF!="IP REALIZADA"</formula>
    </cfRule>
    <cfRule type="expression" dxfId="720" priority="24">
      <formula>#REF!="PENDIENTE  COORDINACION"</formula>
    </cfRule>
    <cfRule type="expression" dxfId="719" priority="25">
      <formula>#REF!="LICITANDO REPUESTOS"</formula>
    </cfRule>
    <cfRule type="expression" dxfId="718" priority="26">
      <formula>#REF!="PENDIENTE PRESUPUESTO"</formula>
    </cfRule>
    <cfRule type="expression" dxfId="717" priority="27">
      <formula>#REF!="REVISAR MAIL - RESUELTO"</formula>
    </cfRule>
    <cfRule type="expression" dxfId="716" priority="28">
      <formula>#REF!="IP RECLAMADA A PERITO 5"</formula>
    </cfRule>
    <cfRule type="expression" dxfId="715" priority="29">
      <formula>#REF!="IP RECLAMADA A PERITO 4"</formula>
    </cfRule>
    <cfRule type="expression" dxfId="714" priority="30">
      <formula>#REF!="IP RECLAMADA A PERITO 2"</formula>
    </cfRule>
    <cfRule type="expression" dxfId="713" priority="31">
      <formula>#REF!="INSPECCION ANULADA"</formula>
    </cfRule>
    <cfRule type="expression" dxfId="712" priority="32">
      <formula>#REF!="IP COORDINADA"</formula>
    </cfRule>
    <cfRule type="expression" dxfId="711" priority="33">
      <formula>#REF!="CONTACTADO"</formula>
    </cfRule>
    <cfRule type="expression" dxfId="710" priority="34">
      <formula>#REF!="IP CERRADA"</formula>
    </cfRule>
    <cfRule type="expression" dxfId="709" priority="35">
      <formula>#REF!="ENVIO DE ORDEN"</formula>
    </cfRule>
    <cfRule type="expression" dxfId="708" priority="36">
      <formula>#REF!="PARA FACTURAR"</formula>
    </cfRule>
    <cfRule type="expression" dxfId="707" priority="37">
      <formula>#REF!="IP RECLAMADA A PERITO 1"</formula>
    </cfRule>
    <cfRule type="expression" dxfId="706" priority="38">
      <formula>#REF!="REVISAR MAIL - SIN RESOLVER"</formula>
    </cfRule>
  </conditionalFormatting>
  <conditionalFormatting sqref="V31">
    <cfRule type="expression" dxfId="705" priority="1">
      <formula>$V31="PENDIENTE PRESUPUESTO"</formula>
    </cfRule>
    <cfRule type="expression" dxfId="704" priority="2">
      <formula>$V31="ESPERANDO RESPUESTA 3°"</formula>
    </cfRule>
    <cfRule type="expression" dxfId="703" priority="3">
      <formula>$V31="PENDIENTE DE OFRECIMIENTO"</formula>
    </cfRule>
    <cfRule type="expression" dxfId="702" priority="4">
      <formula>$V31="EN CONSULTA CON CIA"</formula>
    </cfRule>
    <cfRule type="expression" dxfId="701" priority="5">
      <formula>$V31="IP REALIZADA"</formula>
    </cfRule>
    <cfRule type="expression" dxfId="700" priority="6">
      <formula>$V31="REVISAR MAIL - RESUELTO"</formula>
    </cfRule>
    <cfRule type="expression" dxfId="699" priority="7">
      <formula>$V31="INSPECCION ANULADA"</formula>
    </cfRule>
    <cfRule type="expression" dxfId="698" priority="8">
      <formula>$V31="IP RECLAMADA A PERITO 5"</formula>
    </cfRule>
    <cfRule type="expression" dxfId="697" priority="9">
      <formula>$V31="IP RECLAMADA A PERITO 4"</formula>
    </cfRule>
    <cfRule type="expression" dxfId="696" priority="10">
      <formula>$V31="IP RECLAMADA A PERITO 2"</formula>
    </cfRule>
    <cfRule type="expression" dxfId="695" priority="11">
      <formula>$V31="PENDIENTE  COORDINACION"</formula>
    </cfRule>
    <cfRule type="expression" dxfId="694" priority="12">
      <formula>$V31="LICITANDO REPUESTOS"</formula>
    </cfRule>
    <cfRule type="expression" dxfId="693" priority="13">
      <formula>$V31="IP COORDINADA"</formula>
    </cfRule>
    <cfRule type="expression" dxfId="692" priority="14">
      <formula>$V31="CONTACTADO"</formula>
    </cfRule>
    <cfRule type="expression" dxfId="691" priority="15">
      <formula>$V31="IP CERRADA"</formula>
    </cfRule>
    <cfRule type="expression" dxfId="690" priority="16">
      <formula>$V31="ENVIO DE ORDEN"</formula>
    </cfRule>
    <cfRule type="expression" dxfId="689" priority="17">
      <formula>$V31="PARA FACTURAR"</formula>
    </cfRule>
    <cfRule type="expression" dxfId="688" priority="18">
      <formula>$V31="IP RECLAMADA A PERITO 1"</formula>
    </cfRule>
    <cfRule type="expression" dxfId="687" priority="19">
      <formula>$V31="REVISAR MAIL - SIN RESOLVER"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AF87E-8B6B-428B-A8DD-70180A5335D6}">
  <sheetPr>
    <tabColor theme="6" tint="0.39997558519241921"/>
  </sheetPr>
  <dimension ref="A1:AC47"/>
  <sheetViews>
    <sheetView topLeftCell="A25" workbookViewId="0">
      <selection activeCell="F32" sqref="F32"/>
    </sheetView>
  </sheetViews>
  <sheetFormatPr defaultRowHeight="15"/>
  <cols>
    <col min="3" max="3" width="24.7109375" customWidth="1"/>
    <col min="4" max="4" width="2.85546875" customWidth="1"/>
    <col min="5" max="5" width="11.42578125" customWidth="1"/>
    <col min="6" max="6" width="11" customWidth="1"/>
    <col min="7" max="7" width="3.140625" customWidth="1"/>
    <col min="8" max="8" width="11.140625" customWidth="1"/>
    <col min="9" max="9" width="10.5703125" customWidth="1"/>
    <col min="10" max="10" width="2.85546875" customWidth="1"/>
    <col min="11" max="11" width="11.42578125" customWidth="1"/>
    <col min="12" max="12" width="10.7109375" customWidth="1"/>
    <col min="13" max="13" width="3" customWidth="1"/>
    <col min="14" max="14" width="16.7109375" customWidth="1"/>
    <col min="15" max="15" width="12.140625" customWidth="1"/>
    <col min="16" max="16" width="9.140625" bestFit="1" customWidth="1"/>
    <col min="17" max="17" width="18.5703125" customWidth="1"/>
    <col min="18" max="18" width="9.140625" bestFit="1" customWidth="1"/>
    <col min="19" max="19" width="13.5703125" customWidth="1"/>
    <col min="20" max="20" width="8.5703125" bestFit="1" customWidth="1"/>
    <col min="21" max="21" width="4.85546875" customWidth="1"/>
    <col min="22" max="22" width="21.5703125" customWidth="1"/>
    <col min="23" max="23" width="14.42578125" customWidth="1"/>
    <col min="24" max="24" width="16.140625" customWidth="1"/>
    <col min="25" max="25" width="17.85546875" customWidth="1"/>
  </cols>
  <sheetData>
    <row r="1" spans="1:29">
      <c r="A1" s="367" t="s">
        <v>0</v>
      </c>
      <c r="B1" s="368"/>
      <c r="C1" s="369" t="s">
        <v>1</v>
      </c>
      <c r="E1" s="369" t="s">
        <v>2</v>
      </c>
      <c r="F1" s="369"/>
      <c r="H1" s="370" t="s">
        <v>3</v>
      </c>
      <c r="I1" s="371"/>
      <c r="K1" s="369" t="s">
        <v>4</v>
      </c>
      <c r="L1" s="369"/>
      <c r="N1" s="369" t="s">
        <v>5</v>
      </c>
      <c r="O1" s="369"/>
      <c r="Q1" s="3"/>
      <c r="R1" s="3"/>
      <c r="S1" s="354"/>
      <c r="T1" s="355"/>
      <c r="V1" s="1" t="s">
        <v>6</v>
      </c>
      <c r="W1" s="1" t="s">
        <v>7</v>
      </c>
      <c r="X1" s="1" t="s">
        <v>8</v>
      </c>
      <c r="Z1" s="356" t="s">
        <v>9</v>
      </c>
      <c r="AA1" s="357"/>
      <c r="AB1" s="357"/>
      <c r="AC1" s="358"/>
    </row>
    <row r="2" spans="1:29">
      <c r="A2" s="367"/>
      <c r="B2" s="368"/>
      <c r="C2" s="369"/>
      <c r="E2" s="369"/>
      <c r="F2" s="369"/>
      <c r="H2" s="372"/>
      <c r="I2" s="373"/>
      <c r="K2" s="369"/>
      <c r="L2" s="369"/>
      <c r="N2" s="369"/>
      <c r="O2" s="369"/>
      <c r="Q2" s="10"/>
      <c r="R2" s="13"/>
      <c r="S2" s="359"/>
      <c r="T2" s="360"/>
      <c r="V2" s="118" t="s">
        <v>10</v>
      </c>
      <c r="W2" s="119">
        <v>5625</v>
      </c>
      <c r="X2" s="119">
        <v>5250</v>
      </c>
      <c r="Z2" s="361" t="s">
        <v>11</v>
      </c>
      <c r="AA2" s="362"/>
      <c r="AB2" s="365" t="s">
        <v>12</v>
      </c>
      <c r="AC2" s="365" t="s">
        <v>13</v>
      </c>
    </row>
    <row r="3" spans="1:29" ht="3.75" customHeight="1">
      <c r="A3" s="19"/>
      <c r="B3" s="19"/>
      <c r="C3" s="19"/>
      <c r="E3" s="19"/>
      <c r="F3" s="19"/>
      <c r="H3" s="19"/>
      <c r="I3" s="19"/>
      <c r="K3" s="19"/>
      <c r="L3" s="19"/>
      <c r="N3" s="19"/>
      <c r="O3" s="19"/>
      <c r="Q3" s="12"/>
      <c r="R3" s="15"/>
      <c r="S3" s="351"/>
      <c r="T3" s="352"/>
      <c r="V3" s="118"/>
      <c r="W3" s="119"/>
      <c r="X3" s="119"/>
      <c r="Z3" s="363"/>
      <c r="AA3" s="364"/>
      <c r="AB3" s="366"/>
      <c r="AC3" s="366"/>
    </row>
    <row r="4" spans="1:29" ht="15.75">
      <c r="C4" s="37" t="s">
        <v>10</v>
      </c>
      <c r="E4" s="341">
        <f>COUNTIFS(General!F:F, "IP CERRADA", General!H:H, "PTE. APROBACION", General!G:G, "IP CON ORDEN", General!O:O, "&gt;="&amp;DATE(2025,12,1), General!O:O, "&lt;="&amp;DATE(2025,12,31))</f>
        <v>93</v>
      </c>
      <c r="F4" s="341"/>
      <c r="G4">
        <f>COUNTIFS(General!F:F, "IP CERRADA", General!M:M, "A MIÑO", General!H:H, "PTE. APROBACION", General!G:G, "IP CON ORDEN", General!O:O, "&gt;="&amp;DATE(2025,12,1), General!O:O, "&lt;="&amp;DATE(2025,12,31))</f>
        <v>0</v>
      </c>
      <c r="H4" s="342">
        <f>COUNTIFS(General!F:F, "LICITANDO REPUESTOS", General!G:G, "IP CON ORDEN")</f>
        <v>15</v>
      </c>
      <c r="I4" s="342"/>
      <c r="K4" s="343">
        <f>COUNTIFS(General!F:F, "IP COORDINADA", General!G:G, "IP CON ORDEN")</f>
        <v>32</v>
      </c>
      <c r="L4" s="343"/>
      <c r="N4" s="30" t="s">
        <v>14</v>
      </c>
      <c r="O4" s="31">
        <f>COUNTIFS(General!F:F, "PENDIENTE  COORDINACION")</f>
        <v>5</v>
      </c>
      <c r="Q4" s="11"/>
      <c r="R4" s="14"/>
      <c r="S4" s="346"/>
      <c r="T4" s="347"/>
      <c r="V4" s="120" t="s">
        <v>15</v>
      </c>
      <c r="W4" s="121">
        <v>5625</v>
      </c>
      <c r="X4" s="121">
        <v>5250</v>
      </c>
      <c r="Z4" s="70" t="s">
        <v>16</v>
      </c>
      <c r="AA4" s="71" t="e">
        <f>#REF!</f>
        <v>#REF!</v>
      </c>
      <c r="AB4" s="72" t="e">
        <f>AA4*$R$14</f>
        <v>#REF!</v>
      </c>
      <c r="AC4" s="72" t="e">
        <f>AB4*$T$14</f>
        <v>#REF!</v>
      </c>
    </row>
    <row r="5" spans="1:29" ht="15.75">
      <c r="C5" s="261" t="s">
        <v>15</v>
      </c>
      <c r="E5" s="353">
        <f>COUNTIFS(General!F:F, "IP CERRADA", General!H:H, "PTE. APROBACION", General!G:G, "POSIBLE DT", General!O:O, "&gt;="&amp;DATE(2025,12,1), General!O:O, "&lt;="&amp;DATE(2025,12,31))</f>
        <v>12</v>
      </c>
      <c r="F5" s="353"/>
      <c r="H5" s="349">
        <f>COUNTIFS(General!F:F, "LICITANDO REPUESTOS", General!G:G, "POSIBLE DT")</f>
        <v>0</v>
      </c>
      <c r="I5" s="349"/>
      <c r="K5" s="350">
        <f>COUNTIFS(General!F:F, "IP COORDINADA", General!G:G, "POSIBLE DT")</f>
        <v>2</v>
      </c>
      <c r="L5" s="350"/>
      <c r="N5" s="32" t="s">
        <v>17</v>
      </c>
      <c r="O5" s="33">
        <f>COUNTIFS(General!F:F, "CONTACTADO")</f>
        <v>2</v>
      </c>
      <c r="Q5" s="12"/>
      <c r="R5" s="15"/>
      <c r="S5" s="351"/>
      <c r="T5" s="352"/>
      <c r="V5" s="118" t="s">
        <v>18</v>
      </c>
      <c r="W5" s="119">
        <v>5625</v>
      </c>
      <c r="X5" s="119">
        <v>5250</v>
      </c>
      <c r="Z5" s="73" t="s">
        <v>19</v>
      </c>
      <c r="AA5" s="74" t="e">
        <f>#REF!</f>
        <v>#REF!</v>
      </c>
      <c r="AB5" s="75" t="e">
        <f>AA5*$R$14</f>
        <v>#REF!</v>
      </c>
      <c r="AC5" s="75" t="e">
        <f>AB5*$T$14</f>
        <v>#REF!</v>
      </c>
    </row>
    <row r="6" spans="1:29" ht="15.75">
      <c r="C6" s="37" t="s">
        <v>18</v>
      </c>
      <c r="E6" s="341">
        <f>COUNTIFS(General!F:F, "IP CERRADA", General!H:H, "PTE. APROBACION", General!G:G, "IP SIN ORDEN", General!O:O, "&gt;="&amp;DATE(2025,12,1), General!O:O, "&lt;="&amp;DATE(2025,12,31))</f>
        <v>24</v>
      </c>
      <c r="F6" s="341"/>
      <c r="H6" s="342">
        <f>COUNTIFS(General!F:F, "LICITANDO REPUESTOS", General!G:G, "IP SIN ORDEN")</f>
        <v>0</v>
      </c>
      <c r="I6" s="342"/>
      <c r="K6" s="343">
        <f>COUNTIFS(General!F:F, "IP COORDINADA", General!G:G, "IP SIN ORDEN")</f>
        <v>0</v>
      </c>
      <c r="L6" s="343"/>
      <c r="N6" s="30" t="s">
        <v>20</v>
      </c>
      <c r="O6" s="34">
        <f>COUNTIFS(General!F:F, "PENDIENTE DE OFRECIMIENTO")</f>
        <v>0</v>
      </c>
      <c r="Q6" s="11"/>
      <c r="R6" s="14"/>
      <c r="S6" s="346"/>
      <c r="T6" s="347"/>
      <c r="V6" s="120" t="s">
        <v>21</v>
      </c>
      <c r="W6" s="121">
        <v>2500</v>
      </c>
      <c r="X6" s="121">
        <v>2000</v>
      </c>
      <c r="Z6" s="76" t="s">
        <v>22</v>
      </c>
      <c r="AA6" s="77" t="e">
        <f>#REF!</f>
        <v>#REF!</v>
      </c>
      <c r="AB6" s="72" t="e">
        <f>AA6*$R$14</f>
        <v>#REF!</v>
      </c>
      <c r="AC6" s="72" t="e">
        <f>AB6*$T$14</f>
        <v>#REF!</v>
      </c>
    </row>
    <row r="7" spans="1:29" ht="15.75">
      <c r="C7" s="261" t="s">
        <v>21</v>
      </c>
      <c r="E7" s="353">
        <f>COUNTIFS(General!F:F, "IP CERRADA", General!H:H, "PTE. APROBACION", General!G:G, "AMPLIACION", General!O:O, "&gt;="&amp;DATE(2025,12,1), General!O:O, "&lt;="&amp;DATE(2025,12,31))</f>
        <v>19</v>
      </c>
      <c r="F7" s="353"/>
      <c r="H7" s="349">
        <f>COUNTIFS(General!F:F, "LICITANDO REPUESTOS", General!G:G, "AMPLIACION")</f>
        <v>1</v>
      </c>
      <c r="I7" s="349"/>
      <c r="K7" s="350">
        <f>COUNTIFS(General!F:F, "IP COORDINADA", General!G:G, "AMPLIACION")</f>
        <v>0</v>
      </c>
      <c r="L7" s="350"/>
      <c r="N7" s="35" t="s">
        <v>23</v>
      </c>
      <c r="O7" s="36">
        <f>COUNTIFS(General!F:F, "REVISAR MAIL - SIN RESOLVER")</f>
        <v>0</v>
      </c>
      <c r="Q7" s="12"/>
      <c r="R7" s="15"/>
      <c r="S7" s="351"/>
      <c r="T7" s="352"/>
      <c r="V7" s="118" t="s">
        <v>24</v>
      </c>
      <c r="W7" s="119">
        <v>0</v>
      </c>
      <c r="X7" s="119">
        <v>0</v>
      </c>
      <c r="Z7" s="73" t="s">
        <v>25</v>
      </c>
      <c r="AA7" s="74" t="e">
        <f>#REF!</f>
        <v>#REF!</v>
      </c>
      <c r="AB7" s="75" t="e">
        <f>AA7*$R$14</f>
        <v>#REF!</v>
      </c>
      <c r="AC7" s="75" t="e">
        <f>AB7*$T$14</f>
        <v>#REF!</v>
      </c>
    </row>
    <row r="8" spans="1:29" ht="15.75">
      <c r="C8" s="37" t="s">
        <v>24</v>
      </c>
      <c r="E8" s="341">
        <f>COUNTIFS(General!F:F, "IP CERRADA", General!H:H, "PTE. APROBACION", General!G:G, "ENVIO DE ORDEN", General!O:O, "&gt;="&amp;DATE(2025,12,1), General!O:O, "&lt;="&amp;DATE(2025,12,31))</f>
        <v>0</v>
      </c>
      <c r="F8" s="341"/>
      <c r="H8" s="342">
        <f>COUNTIFS(General!F:F, "LICITANDO REPUESTOS", General!G:G, "ENVIO DE ORDEN")</f>
        <v>0</v>
      </c>
      <c r="I8" s="342"/>
      <c r="K8" s="343">
        <f>COUNTIFS(General!F:F, "ENVIO DE ORDEN", General!G:G, "ENVIO DE ORDEN")</f>
        <v>0</v>
      </c>
      <c r="L8" s="343"/>
      <c r="Q8" s="11"/>
      <c r="R8" s="14"/>
      <c r="S8" s="346"/>
      <c r="T8" s="347"/>
      <c r="V8" s="120" t="s">
        <v>26</v>
      </c>
      <c r="W8" s="121">
        <v>1500</v>
      </c>
      <c r="X8" s="121" t="s">
        <v>27</v>
      </c>
      <c r="Z8" s="76" t="s">
        <v>28</v>
      </c>
      <c r="AA8" s="77" t="e">
        <f>#REF!</f>
        <v>#REF!</v>
      </c>
      <c r="AB8" s="72" t="e">
        <f>AA8*$R$14</f>
        <v>#REF!</v>
      </c>
      <c r="AC8" s="72" t="e">
        <f>AB8*$T$14</f>
        <v>#REF!</v>
      </c>
    </row>
    <row r="9" spans="1:29" ht="15.75">
      <c r="C9" s="261" t="s">
        <v>29</v>
      </c>
      <c r="E9" s="353">
        <f>COUNTIFS(General!F:F, "IP CERRADA", General!H:H, "PTE. APROBACION", General!G:G, "IP CAMIONES", General!O:O, "&gt;="&amp;DATE(2025,12,1), General!O:O, "&lt;="&amp;DATE(2025,12,31))</f>
        <v>0</v>
      </c>
      <c r="F9" s="353"/>
      <c r="H9" s="349">
        <f>COUNTIFS(General!F:F, "LICITANDO REPUESTOS", General!G:G, "IP CAMIONES")</f>
        <v>0</v>
      </c>
      <c r="I9" s="349"/>
      <c r="K9" s="350">
        <f>COUNTIFS(General!F:F, "IP COORDINADA", General!G:G, "IP CAMIONES")</f>
        <v>0</v>
      </c>
      <c r="L9" s="350"/>
      <c r="N9" s="115" t="s">
        <v>26</v>
      </c>
      <c r="O9" s="115">
        <f>COUNTIFS(General!F:F, "IP CERRADA", General!H:H, "PTE. APROBACION", General!G:G, "AUSENTE", General!O:O, "&gt;="&amp;DATE(2025,12,1), General!O:O, "&lt;="&amp;DATE(2025,12,31))</f>
        <v>19</v>
      </c>
      <c r="Q9" s="12"/>
      <c r="R9" s="15"/>
      <c r="S9" s="351"/>
      <c r="T9" s="352"/>
      <c r="V9" s="118" t="s">
        <v>30</v>
      </c>
      <c r="W9" s="119">
        <v>5625</v>
      </c>
      <c r="X9" s="119">
        <v>5625</v>
      </c>
      <c r="Z9" s="73" t="s">
        <v>31</v>
      </c>
      <c r="AA9" s="74" t="e">
        <f>#REF!</f>
        <v>#REF!</v>
      </c>
      <c r="AB9" s="75" t="e">
        <f>AA9*$R$14</f>
        <v>#REF!</v>
      </c>
      <c r="AC9" s="75" t="e">
        <f>AB9*$T$14</f>
        <v>#REF!</v>
      </c>
    </row>
    <row r="10" spans="1:29" ht="15.75">
      <c r="C10" s="37" t="s">
        <v>30</v>
      </c>
      <c r="E10" s="341">
        <f>COUNTIFS(General!F:F, "IP CERRADA", General!H:H, "PTE. APROBACION", General!G:G, "TERCEROS", General!O:O, "&gt;="&amp;DATE(2024,3,1), General!O:O, "&gt;="&amp;DATE(2025,12,1), General!O:O, "&lt;="&amp;DATE(2025,12,31))</f>
        <v>1</v>
      </c>
      <c r="F10" s="341"/>
      <c r="H10" s="342">
        <f>COUNTIFS(General!F:F, "LICITANDO REPUESTOS", General!G:G, "TERCEROS")</f>
        <v>0</v>
      </c>
      <c r="I10" s="342"/>
      <c r="K10" s="343">
        <f>COUNTIFS(General!F:F, "IP COORDINADA", General!G:G, "TERCEROS")</f>
        <v>0</v>
      </c>
      <c r="L10" s="343"/>
      <c r="N10" s="114"/>
      <c r="O10" s="49"/>
      <c r="Q10" s="11"/>
      <c r="R10" s="14"/>
      <c r="S10" s="346"/>
      <c r="T10" s="347"/>
      <c r="V10" s="120" t="s">
        <v>32</v>
      </c>
      <c r="W10" s="121">
        <v>0</v>
      </c>
      <c r="X10" s="121">
        <v>0</v>
      </c>
      <c r="Z10" s="76" t="s">
        <v>33</v>
      </c>
      <c r="AA10" s="77" t="e">
        <f>#REF!</f>
        <v>#REF!</v>
      </c>
      <c r="AB10" s="78" t="e">
        <f>AA10*$R$14</f>
        <v>#REF!</v>
      </c>
      <c r="AC10" s="78" t="e">
        <f>AB10*$T$14</f>
        <v>#REF!</v>
      </c>
    </row>
    <row r="11" spans="1:29" ht="15.75">
      <c r="C11" s="261" t="s">
        <v>32</v>
      </c>
      <c r="E11" s="353">
        <f>COUNTIFS(General!F:F, "IP CERRADA", General!H:H, "PTE. APROBACION", General!G:G, "FOTOS", General!O:O, "&gt;="&amp;DATE(2025,12,1), General!O:O, "&lt;="&amp;DATE(2025,12,31))</f>
        <v>0</v>
      </c>
      <c r="F11" s="353"/>
      <c r="H11" s="349">
        <f>COUNTIFS(General!F:F, "LICITANDO REPUESTOS", General!G:G, "FOTOS")</f>
        <v>0</v>
      </c>
      <c r="I11" s="349"/>
      <c r="K11" s="350">
        <f>COUNTIFS(General!F:F, "IP COORDINADA", General!G:G, "FOTOS")</f>
        <v>0</v>
      </c>
      <c r="L11" s="350"/>
      <c r="Q11" s="12"/>
      <c r="R11" s="15"/>
      <c r="S11" s="351"/>
      <c r="T11" s="352"/>
      <c r="V11" s="118" t="s">
        <v>34</v>
      </c>
      <c r="W11" s="119">
        <v>0</v>
      </c>
      <c r="X11" s="119">
        <v>0</v>
      </c>
      <c r="Z11" s="79" t="s">
        <v>35</v>
      </c>
      <c r="AA11" s="80" t="e">
        <f>#REF!</f>
        <v>#REF!</v>
      </c>
      <c r="AB11" s="81" t="e">
        <f>AA11*$R$14</f>
        <v>#REF!</v>
      </c>
      <c r="AC11" s="81" t="e">
        <f>AB11*$T$14</f>
        <v>#REF!</v>
      </c>
    </row>
    <row r="12" spans="1:29" ht="15.75">
      <c r="C12" s="37" t="s">
        <v>34</v>
      </c>
      <c r="E12" s="341">
        <f>COUNTIFS(General!F:F, "IP CERRADA", General!H:H, "PTE. APROBACION", General!G:G, "IP REMOTA", General!O:O, "&gt;="&amp;DATE(2025,12,1), General!O:O, "&lt;="&amp;DATE(2025,12,31))</f>
        <v>0</v>
      </c>
      <c r="F12" s="341"/>
      <c r="H12" s="342">
        <f>COUNTIFS(General!F:F, "LICITANDO REPUESTOS", General!G:G, "IP REMOTA")</f>
        <v>0</v>
      </c>
      <c r="I12" s="342"/>
      <c r="K12" s="343">
        <f>COUNTIFS(General!F:F, "IP COORDINADA", General!G:G, "IP REMOTA")</f>
        <v>0</v>
      </c>
      <c r="L12" s="343"/>
      <c r="N12" s="344" t="s">
        <v>36</v>
      </c>
      <c r="O12" s="345"/>
      <c r="Q12" s="11"/>
      <c r="R12" s="14"/>
      <c r="S12" s="346"/>
      <c r="T12" s="347"/>
      <c r="V12" s="120" t="s">
        <v>29</v>
      </c>
      <c r="W12" s="121">
        <v>5625</v>
      </c>
      <c r="X12" s="121">
        <v>5250</v>
      </c>
      <c r="Z12" s="82"/>
      <c r="AA12" s="83"/>
      <c r="AB12" s="84"/>
      <c r="AC12" s="84"/>
    </row>
    <row r="13" spans="1:29" ht="15.75">
      <c r="C13" s="261" t="s">
        <v>37</v>
      </c>
      <c r="E13" s="348">
        <f>COUNTIFS(General!F:F, "IP CERRADA", General!H:H, "PTE. APROBACION", General!G:G, "IP VIRTUAL", General!O:O, "&gt;="&amp;DATE(2025,12,1), General!O:O, "&lt;="&amp;DATE(2025,12,31))</f>
        <v>0</v>
      </c>
      <c r="F13" s="348"/>
      <c r="H13" s="349">
        <f>COUNTIFS(General!F:F, "LICITANDO REPUESTOS", General!G:G, "IP VIRTUAL")</f>
        <v>0</v>
      </c>
      <c r="I13" s="349"/>
      <c r="K13" s="350">
        <f>COUNTIFS(General!F:F, "IP COORDINADA", General!G:G, "IP VIRTUAL")</f>
        <v>0</v>
      </c>
      <c r="L13" s="350"/>
      <c r="N13" s="344">
        <f>SUMIFS(General!P2:P2771, General!L2:L2771, "&gt;=01/06/2024", General!L2:L2771, "&lt;=31/06/2024")</f>
        <v>0</v>
      </c>
      <c r="O13" s="345"/>
      <c r="Q13" s="12"/>
      <c r="R13" s="15"/>
      <c r="S13" s="351"/>
      <c r="T13" s="352"/>
      <c r="V13" s="118" t="s">
        <v>37</v>
      </c>
      <c r="W13" s="119" t="s">
        <v>27</v>
      </c>
      <c r="X13" s="119" t="s">
        <v>27</v>
      </c>
      <c r="Z13" s="85"/>
      <c r="AA13" s="86"/>
      <c r="AB13" s="87"/>
      <c r="AC13" s="87"/>
    </row>
    <row r="14" spans="1:29" ht="15.75">
      <c r="E14" s="112">
        <f>E4+E5+E6+E7+E8+E9+E10+E11+E12+E13</f>
        <v>149</v>
      </c>
      <c r="F14" s="113" t="s">
        <v>38</v>
      </c>
      <c r="H14" s="110">
        <f>H4+H5+H6+H7+H8+H9+H10+H11+H12+H13</f>
        <v>16</v>
      </c>
      <c r="I14" s="111" t="s">
        <v>38</v>
      </c>
      <c r="K14" s="260">
        <f>K4+K5+K6+K7+K8+K9+K10+K11+K12+K13</f>
        <v>34</v>
      </c>
      <c r="L14" s="109" t="s">
        <v>38</v>
      </c>
      <c r="N14" s="332">
        <f>N13*T14</f>
        <v>0</v>
      </c>
      <c r="O14" s="333"/>
      <c r="Q14" s="62"/>
      <c r="R14" s="63"/>
      <c r="S14" s="334"/>
      <c r="T14" s="335"/>
      <c r="V14" s="118"/>
      <c r="W14" s="119"/>
      <c r="X14" s="119"/>
      <c r="Z14" s="85"/>
      <c r="AA14" s="86"/>
      <c r="AB14" s="87"/>
      <c r="AC14" s="87"/>
    </row>
    <row r="15" spans="1:29">
      <c r="E15" s="19"/>
      <c r="F15" s="19"/>
      <c r="V15" s="118"/>
      <c r="W15" s="119"/>
      <c r="X15" s="119"/>
      <c r="Z15" s="82"/>
      <c r="AA15" s="88"/>
      <c r="AB15" s="89"/>
      <c r="AC15" s="89"/>
    </row>
    <row r="16" spans="1:29" ht="15.75">
      <c r="E16" s="336" t="s">
        <v>39</v>
      </c>
      <c r="F16" s="336"/>
      <c r="H16" s="337" t="s">
        <v>40</v>
      </c>
      <c r="I16" s="337"/>
      <c r="K16" s="338" t="s">
        <v>41</v>
      </c>
      <c r="L16" s="338"/>
      <c r="N16" s="28" t="s">
        <v>42</v>
      </c>
      <c r="O16" s="253">
        <f>COUNTIFS(General!H:H, "EN TRAMITE")</f>
        <v>98</v>
      </c>
      <c r="V16" s="122" t="s">
        <v>43</v>
      </c>
      <c r="W16" s="123">
        <v>300</v>
      </c>
      <c r="X16" s="123" t="s">
        <v>27</v>
      </c>
      <c r="Z16" s="90" t="s">
        <v>44</v>
      </c>
      <c r="AA16" s="91" t="e">
        <f>AA4+AA5+AA6+AA7+AA8+AA9+AA10+AA11</f>
        <v>#REF!</v>
      </c>
      <c r="AB16" s="92" t="e">
        <f>AB4+AB5+AB6+AB7+AB8+AB9+AB10+AB11</f>
        <v>#REF!</v>
      </c>
      <c r="AC16" s="93" t="e">
        <f>AC4+AC5+AC6+AC7+AC8+AC9+AC10+AC11</f>
        <v>#REF!</v>
      </c>
    </row>
    <row r="17" spans="3:24" ht="15.75">
      <c r="E17" s="336">
        <f>E4+E5+E6+E7+E8+E9+E10+E12+O9+E13</f>
        <v>168</v>
      </c>
      <c r="F17" s="336"/>
      <c r="H17" s="337">
        <f>H4+H5+H6+H7+H8+H9+H10+H11+H12+H13</f>
        <v>16</v>
      </c>
      <c r="I17" s="337"/>
      <c r="K17" s="338">
        <f>K4+K5+K6+K7+K8+K9+K10+K11+K12+K13</f>
        <v>34</v>
      </c>
      <c r="L17" s="338"/>
      <c r="N17" s="28" t="s">
        <v>45</v>
      </c>
      <c r="O17" s="253">
        <f>COUNTIFS(General!H:H, "PTE. APROBACION")</f>
        <v>3403</v>
      </c>
      <c r="Q17" s="339" t="s">
        <v>46</v>
      </c>
      <c r="R17" s="340"/>
      <c r="S17" s="340"/>
      <c r="T17" s="340"/>
    </row>
    <row r="18" spans="3:24" ht="15.75">
      <c r="N18" s="102" t="s">
        <v>47</v>
      </c>
      <c r="O18" s="253">
        <f>COUNTIFS(General!H:H, "ANULADO")</f>
        <v>198</v>
      </c>
      <c r="Q18" s="315" t="s">
        <v>48</v>
      </c>
      <c r="R18" s="316"/>
      <c r="S18" s="315" t="s">
        <v>12</v>
      </c>
      <c r="T18" s="319"/>
      <c r="V18" s="108" t="s">
        <v>10</v>
      </c>
      <c r="W18" s="103">
        <f>COUNTIFS(General!F:F, "PARA FACTURAR", General!G:G, "IP CON ORDEN")</f>
        <v>13</v>
      </c>
      <c r="X18" s="107"/>
    </row>
    <row r="19" spans="3:24" ht="15" customHeight="1">
      <c r="C19" s="321" t="s">
        <v>49</v>
      </c>
      <c r="D19" s="321"/>
      <c r="E19" s="257">
        <f>E21+E22+E23+E24+E25+E26+E27+E28+E29+E30+E31+E32</f>
        <v>3248</v>
      </c>
      <c r="F19" s="240">
        <f>(E19-E34)/E34</f>
        <v>0.58207501217730151</v>
      </c>
      <c r="H19" s="322" t="s">
        <v>50</v>
      </c>
      <c r="I19" s="323"/>
      <c r="N19" s="101" t="s">
        <v>51</v>
      </c>
      <c r="O19" s="101">
        <f>COUNTIFS(General!F:F, "PARA FACTURAR")</f>
        <v>22</v>
      </c>
      <c r="Q19" s="317"/>
      <c r="R19" s="318"/>
      <c r="S19" s="317"/>
      <c r="T19" s="320"/>
      <c r="V19" s="108" t="s">
        <v>15</v>
      </c>
      <c r="W19" s="103">
        <f>COUNTIFS(General!F:F, "PARA FACTURAR", General!G:G, "POSIBLE DT")</f>
        <v>2</v>
      </c>
      <c r="X19" s="107"/>
    </row>
    <row r="20" spans="3:24" ht="15.75">
      <c r="C20" s="324" t="s">
        <v>52</v>
      </c>
      <c r="D20" s="325"/>
      <c r="E20" s="258" t="s">
        <v>53</v>
      </c>
      <c r="F20" s="257">
        <f>E19-E34</f>
        <v>1195</v>
      </c>
      <c r="H20" s="326">
        <f>E17+H17+K17+O19</f>
        <v>240</v>
      </c>
      <c r="I20" s="327"/>
      <c r="Q20" s="328" t="s">
        <v>35</v>
      </c>
      <c r="R20" s="329"/>
      <c r="S20" s="330"/>
      <c r="T20" s="331"/>
      <c r="V20" s="108" t="s">
        <v>18</v>
      </c>
      <c r="W20" s="103">
        <f>COUNTIFS(General!F:F, "PARA FACTURAR", General!G:G, "IP SIN ORDEN")</f>
        <v>6</v>
      </c>
      <c r="X20" s="107"/>
    </row>
    <row r="21" spans="3:24" ht="15.75">
      <c r="C21" s="313" t="s">
        <v>54</v>
      </c>
      <c r="D21" s="314"/>
      <c r="E21" s="219">
        <f>COUNTIFS(General!B:B, "&gt;="&amp;DATE(2025,1,1), General!B:B, "&lt;="&amp;DATE(2025,1,31))</f>
        <v>260</v>
      </c>
      <c r="F21" s="241">
        <f>(E21-E36)/E36</f>
        <v>0.96969696969696972</v>
      </c>
      <c r="Q21" s="295" t="s">
        <v>19</v>
      </c>
      <c r="R21" s="296"/>
      <c r="S21" s="280">
        <f>PeritosDiciembre!H21</f>
        <v>0</v>
      </c>
      <c r="T21" s="281"/>
      <c r="V21" s="108" t="s">
        <v>21</v>
      </c>
      <c r="W21" s="103">
        <f>COUNTIFS(General!F:F, "PARA FACTURAR", General!G:G, "AMPLIACION")</f>
        <v>1</v>
      </c>
      <c r="X21" s="107"/>
    </row>
    <row r="22" spans="3:24" ht="15.75">
      <c r="C22" s="306" t="s">
        <v>55</v>
      </c>
      <c r="D22" s="310"/>
      <c r="E22" s="220">
        <f>COUNTIFS(General!B:B, "&gt;="&amp;DATE(2025,2,1), General!B:B, "&lt;="&amp;DATE(2025,2,31))</f>
        <v>194</v>
      </c>
      <c r="F22" s="217">
        <f>(E22-E37)/E37</f>
        <v>0.43703703703703706</v>
      </c>
      <c r="H22" s="67"/>
      <c r="I22" s="67"/>
      <c r="Q22" s="299" t="s">
        <v>22</v>
      </c>
      <c r="R22" s="300"/>
      <c r="S22" s="301"/>
      <c r="T22" s="302"/>
      <c r="V22" s="108" t="s">
        <v>24</v>
      </c>
      <c r="W22" s="103">
        <f>COUNTIFS(General!F:F, "PARA FACTURAR", General!G:G, "ENVIO DE ORDEN")</f>
        <v>0</v>
      </c>
      <c r="X22" s="107"/>
    </row>
    <row r="23" spans="3:24" ht="15.75">
      <c r="C23" s="308" t="s">
        <v>56</v>
      </c>
      <c r="D23" s="309"/>
      <c r="E23" s="221">
        <f>COUNTIFS(General!B:B, "&gt;="&amp;DATE(2025,3,1), General!B:B, "&lt;="&amp;DATE(2025,3,31))</f>
        <v>219</v>
      </c>
      <c r="F23" s="217">
        <f>(E23-E38)/E38</f>
        <v>0.23728813559322035</v>
      </c>
      <c r="H23" s="67"/>
      <c r="I23" s="67"/>
      <c r="Q23" s="295" t="s">
        <v>25</v>
      </c>
      <c r="R23" s="296"/>
      <c r="S23" s="280"/>
      <c r="T23" s="281"/>
      <c r="V23" s="108" t="s">
        <v>29</v>
      </c>
      <c r="W23" s="103">
        <f>COUNTIFS(General!F:F, "PARA FACTURAR", General!G:G, "IP CAMIONES")</f>
        <v>0</v>
      </c>
      <c r="X23" s="107"/>
    </row>
    <row r="24" spans="3:24" ht="15.75">
      <c r="C24" s="306" t="s">
        <v>57</v>
      </c>
      <c r="D24" s="310"/>
      <c r="E24" s="220">
        <f>COUNTIFS(General!B:B, "&gt;="&amp;DATE(2025,4,1), General!B:B, "&lt;="&amp;DATE(2025,4,31))</f>
        <v>541</v>
      </c>
      <c r="F24" s="217">
        <f>(E24-E39)/E39</f>
        <v>1.4816513761467891</v>
      </c>
      <c r="H24" s="312" t="s">
        <v>58</v>
      </c>
      <c r="I24" s="312"/>
      <c r="Q24" s="299" t="s">
        <v>59</v>
      </c>
      <c r="R24" s="300"/>
      <c r="S24" s="301">
        <f>PeritosDiciembre!AB21</f>
        <v>454728</v>
      </c>
      <c r="T24" s="302"/>
      <c r="V24" s="108" t="s">
        <v>30</v>
      </c>
      <c r="W24" s="103">
        <f>COUNTIFS(General!F:F, "PARA FACTURAR", General!G:G, "TERCEROS")</f>
        <v>0</v>
      </c>
      <c r="X24" s="107"/>
    </row>
    <row r="25" spans="3:24" ht="15.75">
      <c r="C25" s="308" t="s">
        <v>60</v>
      </c>
      <c r="D25" s="309"/>
      <c r="E25" s="221">
        <f>COUNTIFS(General!B:B, "&gt;="&amp;DATE(2025,5,1), General!B:B, "&lt;="&amp;DATE(2025,5,31))</f>
        <v>548</v>
      </c>
      <c r="F25" s="217">
        <f>(E25-E40)/E40</f>
        <v>1.4684684684684686</v>
      </c>
      <c r="H25" s="294" t="s">
        <v>61</v>
      </c>
      <c r="I25" s="294"/>
      <c r="K25" s="158">
        <f>AVERAGEIFS(General!S:S,General!B:B,"&gt;="&amp;DATE(2025,5,1),General!B:B,"&lt;="&amp;DATE(2025,5,31),General!F:F,"IP CERRADA")</f>
        <v>4.3580952380952382</v>
      </c>
      <c r="Q25" s="295" t="s">
        <v>31</v>
      </c>
      <c r="R25" s="296"/>
      <c r="S25" s="280"/>
      <c r="T25" s="281"/>
      <c r="V25" s="108" t="s">
        <v>32</v>
      </c>
      <c r="W25" s="103">
        <f>COUNTIFS(General!F:F, "PARA FACTURAR", General!G:G, "FOTOS")</f>
        <v>0</v>
      </c>
      <c r="X25" s="107"/>
    </row>
    <row r="26" spans="3:24" ht="15.75">
      <c r="C26" s="306" t="s">
        <v>62</v>
      </c>
      <c r="D26" s="310"/>
      <c r="E26" s="220">
        <f>COUNTIFS(General!B:B, "&gt;="&amp;DATE(2025,6,1), General!B:B, "&lt;="&amp;DATE(2025,6,31))</f>
        <v>258</v>
      </c>
      <c r="F26" s="217">
        <f>(E26-E41)/E41</f>
        <v>0.59259259259259256</v>
      </c>
      <c r="H26" s="311" t="s">
        <v>63</v>
      </c>
      <c r="I26" s="311"/>
      <c r="K26" s="158">
        <f>AVERAGEIFS(General!T:T,General!B:B,"&gt;="&amp;DATE(2025,5,1),General!B:B,"&lt;="&amp;DATE(2025,5,31),General!F:F,"IP CERRADA")</f>
        <v>1.0361904761904761</v>
      </c>
      <c r="Q26" s="299" t="s">
        <v>33</v>
      </c>
      <c r="R26" s="300"/>
      <c r="S26" s="301"/>
      <c r="T26" s="302"/>
      <c r="V26" s="108" t="s">
        <v>34</v>
      </c>
      <c r="W26" s="103">
        <f>COUNTIFS(General!F:F, "PARA FACTURAR", General!G:G, "IP REMOTA")</f>
        <v>0</v>
      </c>
      <c r="X26" s="107"/>
    </row>
    <row r="27" spans="3:24" ht="15.75">
      <c r="C27" s="303" t="s">
        <v>64</v>
      </c>
      <c r="D27" s="304"/>
      <c r="E27" s="222">
        <f>COUNTIFS(General!B:B, "&gt;="&amp;DATE(2025,7,1), General!B:B, "&lt;="&amp;DATE(2025,7,31))</f>
        <v>275</v>
      </c>
      <c r="F27" s="217">
        <f>(E27-E42)/E42</f>
        <v>0.28504672897196259</v>
      </c>
      <c r="H27" s="305" t="s">
        <v>65</v>
      </c>
      <c r="I27" s="305"/>
      <c r="K27" s="158">
        <f>AVERAGEIFS(General!U:U,General!B:B,"&gt;="&amp;DATE(2025,5,1),General!B:B,"&lt;="&amp;DATE(2025,5,31),General!F:F,"IP CERRADA")</f>
        <v>174.93548387096774</v>
      </c>
      <c r="Q27" s="295" t="s">
        <v>66</v>
      </c>
      <c r="R27" s="296"/>
      <c r="S27" s="280">
        <f>PeritosDiciembre!M21</f>
        <v>1286697</v>
      </c>
      <c r="T27" s="281"/>
      <c r="V27" s="108" t="s">
        <v>37</v>
      </c>
      <c r="W27" s="103">
        <f>COUNTIFS(General!F:F, "PARA FACTURAR", General!G:G, "IP VIRTUAL")</f>
        <v>0</v>
      </c>
      <c r="X27" s="107"/>
    </row>
    <row r="28" spans="3:24" ht="15.75">
      <c r="C28" s="306" t="s">
        <v>67</v>
      </c>
      <c r="D28" s="307"/>
      <c r="E28" s="220">
        <f>COUNTIFS(General!B:B, "&gt;="&amp;DATE(2025,8,1), General!B:B, "&lt;="&amp;DATE(2025,8,31))</f>
        <v>194</v>
      </c>
      <c r="F28" s="217">
        <f>(E28-E43)/E43</f>
        <v>0.31972789115646261</v>
      </c>
      <c r="H28" s="294" t="s">
        <v>68</v>
      </c>
      <c r="I28" s="294"/>
      <c r="K28" s="158">
        <f>AVERAGEIFS(General!V:V,General!B:B,"&gt;="&amp;DATE(2025,5,1),General!B:B,"&lt;="&amp;DATE(2025,5,31),General!F:F,"IP CERRADA")</f>
        <v>6.5332068311195446</v>
      </c>
      <c r="Q28" s="299" t="s">
        <v>69</v>
      </c>
      <c r="R28" s="300"/>
      <c r="S28" s="301"/>
      <c r="T28" s="302"/>
      <c r="V28" s="108" t="s">
        <v>70</v>
      </c>
      <c r="W28" s="103">
        <f>COUNTIFS(General!F:F, "PARA FACTURAR", General!G:G, "SIN HONORARIOS")</f>
        <v>0</v>
      </c>
      <c r="X28" s="107"/>
    </row>
    <row r="29" spans="3:24" ht="15.75">
      <c r="C29" s="292" t="s">
        <v>71</v>
      </c>
      <c r="D29" s="293"/>
      <c r="E29" s="223">
        <f>COUNTIFS(General!B:B, "&gt;="&amp;DATE(2025,9,1), General!B:B, "&lt;="&amp;DATE(2025,9,31))</f>
        <v>206</v>
      </c>
      <c r="F29" s="217">
        <f>(E29-E44)/E44</f>
        <v>0.54887218045112784</v>
      </c>
      <c r="H29" s="294" t="s">
        <v>72</v>
      </c>
      <c r="I29" s="294"/>
      <c r="J29" s="65"/>
      <c r="K29" s="158">
        <f>AVERAGEIFS(General!W:W,General!B:B,"&gt;="&amp;DATE(2025,5,1),General!B:B,"&lt;="&amp;DATE(2025,5,31),General!F:F,"IP CERRADA")</f>
        <v>175.96774193548387</v>
      </c>
      <c r="Q29" s="295" t="s">
        <v>16</v>
      </c>
      <c r="R29" s="296"/>
      <c r="S29" s="280">
        <f>PeritosDiciembre!W21</f>
        <v>786210</v>
      </c>
      <c r="T29" s="281"/>
      <c r="V29" s="108" t="s">
        <v>26</v>
      </c>
      <c r="W29" s="103">
        <f>COUNTIFS(General!F:F, "PARA FACTURAR", General!G:G, "AUSENTE")</f>
        <v>0</v>
      </c>
      <c r="X29" s="107"/>
    </row>
    <row r="30" spans="3:24">
      <c r="C30" s="297" t="s">
        <v>73</v>
      </c>
      <c r="D30" s="298"/>
      <c r="E30" s="220">
        <f>COUNTIFS(General!B:B, "&gt;="&amp;DATE(2025,10,1), General!B:B, "&lt;="&amp;DATE(2025,10,31))</f>
        <v>217</v>
      </c>
      <c r="F30" s="217">
        <f>(E30-E45)/E45</f>
        <v>4.8309178743961352E-2</v>
      </c>
      <c r="H30" s="294" t="s">
        <v>74</v>
      </c>
      <c r="I30" s="294"/>
      <c r="J30" s="65"/>
      <c r="K30" s="158">
        <f>AVERAGEIFS(General!X:X,General!B:B,"&gt;="&amp;DATE(2025,5,1),General!B:B,"&lt;="&amp;DATE(2025,5,31),General!F:F,"IP CERRADA")</f>
        <v>7.6228571428571428</v>
      </c>
      <c r="L30" s="67"/>
      <c r="Q30" s="299" t="s">
        <v>75</v>
      </c>
      <c r="R30" s="300"/>
      <c r="S30" s="301"/>
      <c r="T30" s="302"/>
    </row>
    <row r="31" spans="3:24">
      <c r="C31" s="276" t="s">
        <v>76</v>
      </c>
      <c r="D31" s="277"/>
      <c r="E31" s="224">
        <f>COUNTIFS(General!B:B, "&gt;="&amp;DATE(2025,11,1), General!B:B, "&lt;="&amp;DATE(2025,11,31))</f>
        <v>147</v>
      </c>
      <c r="F31" s="217">
        <f>(E31-E46)/E46</f>
        <v>3.5211267605633804E-2</v>
      </c>
      <c r="H31" s="64"/>
      <c r="I31" s="64"/>
      <c r="J31" s="65"/>
      <c r="K31" s="65"/>
      <c r="L31" s="66"/>
      <c r="Q31" s="278" t="s">
        <v>77</v>
      </c>
      <c r="R31" s="279"/>
      <c r="S31" s="280"/>
      <c r="T31" s="281"/>
      <c r="V31" s="282" t="s">
        <v>78</v>
      </c>
      <c r="W31" s="283"/>
    </row>
    <row r="32" spans="3:24">
      <c r="C32" s="284" t="s">
        <v>79</v>
      </c>
      <c r="D32" s="285"/>
      <c r="E32" s="225">
        <f>COUNTIFS(General!B:B, "&gt;="&amp;DATE(2025,12,1), General!B:B, "&lt;="&amp;DATE(2025,12,31))</f>
        <v>189</v>
      </c>
      <c r="F32" s="217">
        <f>(E32-E47)/E47</f>
        <v>0.1524390243902439</v>
      </c>
      <c r="H32" s="64"/>
      <c r="I32" s="64"/>
      <c r="J32" s="65"/>
      <c r="K32" s="65"/>
      <c r="L32" s="67"/>
      <c r="Q32" s="286" t="s">
        <v>44</v>
      </c>
      <c r="R32" s="287"/>
      <c r="S32" s="288">
        <f>S20+S21+S22+S23+S24+S25+S26+S27+S28+S29</f>
        <v>2527635</v>
      </c>
      <c r="T32" s="289"/>
      <c r="V32" s="290">
        <f>W18+W19+W20+W21+W22+W23+W24+W25+W26+W27+W28+W29</f>
        <v>22</v>
      </c>
      <c r="W32" s="291"/>
    </row>
    <row r="33" spans="3:12">
      <c r="L33" s="104"/>
    </row>
    <row r="34" spans="3:12" ht="18.75" customHeight="1">
      <c r="C34" s="270" t="s">
        <v>80</v>
      </c>
      <c r="D34" s="271"/>
      <c r="E34" s="257">
        <f>E36+E37+E38+E39+E40+E41+E42+E43+E44+E45+E46+E47</f>
        <v>2053</v>
      </c>
      <c r="H34" s="68"/>
      <c r="I34" s="68"/>
      <c r="J34" s="69"/>
      <c r="K34" s="69"/>
    </row>
    <row r="35" spans="3:12" ht="15" customHeight="1">
      <c r="C35" s="272" t="s">
        <v>81</v>
      </c>
      <c r="D35" s="273"/>
      <c r="E35" s="135" t="s">
        <v>53</v>
      </c>
      <c r="H35" s="68"/>
      <c r="I35" s="68"/>
      <c r="J35" s="69"/>
      <c r="K35" s="69"/>
    </row>
    <row r="36" spans="3:12">
      <c r="C36" s="274" t="s">
        <v>54</v>
      </c>
      <c r="D36" s="275"/>
      <c r="E36" s="131">
        <v>132</v>
      </c>
    </row>
    <row r="37" spans="3:12">
      <c r="C37" s="266" t="s">
        <v>55</v>
      </c>
      <c r="D37" s="267"/>
      <c r="E37" s="132">
        <v>135</v>
      </c>
    </row>
    <row r="38" spans="3:12">
      <c r="C38" s="262" t="s">
        <v>56</v>
      </c>
      <c r="D38" s="263"/>
      <c r="E38" s="133">
        <v>177</v>
      </c>
    </row>
    <row r="39" spans="3:12">
      <c r="C39" s="266" t="s">
        <v>57</v>
      </c>
      <c r="D39" s="267"/>
      <c r="E39" s="132">
        <v>218</v>
      </c>
    </row>
    <row r="40" spans="3:12">
      <c r="C40" s="262" t="s">
        <v>60</v>
      </c>
      <c r="D40" s="263"/>
      <c r="E40" s="133">
        <v>222</v>
      </c>
    </row>
    <row r="41" spans="3:12">
      <c r="C41" s="266" t="s">
        <v>62</v>
      </c>
      <c r="D41" s="267"/>
      <c r="E41" s="132">
        <v>162</v>
      </c>
    </row>
    <row r="42" spans="3:12">
      <c r="C42" s="262" t="s">
        <v>64</v>
      </c>
      <c r="D42" s="263"/>
      <c r="E42" s="138">
        <v>214</v>
      </c>
    </row>
    <row r="43" spans="3:12">
      <c r="C43" s="266" t="s">
        <v>67</v>
      </c>
      <c r="D43" s="267"/>
      <c r="E43" s="132">
        <v>147</v>
      </c>
    </row>
    <row r="44" spans="3:12">
      <c r="C44" s="262" t="s">
        <v>71</v>
      </c>
      <c r="D44" s="263"/>
      <c r="E44" s="139">
        <v>133</v>
      </c>
    </row>
    <row r="45" spans="3:12">
      <c r="C45" s="268" t="s">
        <v>73</v>
      </c>
      <c r="D45" s="269"/>
      <c r="E45" s="132">
        <v>207</v>
      </c>
    </row>
    <row r="46" spans="3:12">
      <c r="C46" s="262" t="s">
        <v>76</v>
      </c>
      <c r="D46" s="263"/>
      <c r="E46" s="137">
        <v>142</v>
      </c>
    </row>
    <row r="47" spans="3:12">
      <c r="C47" s="264" t="s">
        <v>79</v>
      </c>
      <c r="D47" s="265"/>
      <c r="E47" s="134">
        <v>164</v>
      </c>
    </row>
  </sheetData>
  <mergeCells count="131">
    <mergeCell ref="C46:D46"/>
    <mergeCell ref="C47:D47"/>
    <mergeCell ref="C40:D40"/>
    <mergeCell ref="C41:D41"/>
    <mergeCell ref="C42:D42"/>
    <mergeCell ref="C43:D43"/>
    <mergeCell ref="C44:D44"/>
    <mergeCell ref="C45:D45"/>
    <mergeCell ref="C34:D34"/>
    <mergeCell ref="C35:D35"/>
    <mergeCell ref="C36:D36"/>
    <mergeCell ref="C37:D37"/>
    <mergeCell ref="C38:D38"/>
    <mergeCell ref="C39:D39"/>
    <mergeCell ref="C31:D31"/>
    <mergeCell ref="Q31:R31"/>
    <mergeCell ref="S31:T31"/>
    <mergeCell ref="V31:W31"/>
    <mergeCell ref="C32:D32"/>
    <mergeCell ref="Q32:R32"/>
    <mergeCell ref="S32:T32"/>
    <mergeCell ref="V32:W32"/>
    <mergeCell ref="C29:D29"/>
    <mergeCell ref="H29:I29"/>
    <mergeCell ref="Q29:R29"/>
    <mergeCell ref="S29:T29"/>
    <mergeCell ref="C30:D30"/>
    <mergeCell ref="H30:I30"/>
    <mergeCell ref="Q30:R30"/>
    <mergeCell ref="S30:T30"/>
    <mergeCell ref="C27:D27"/>
    <mergeCell ref="H27:I27"/>
    <mergeCell ref="Q27:R27"/>
    <mergeCell ref="S27:T27"/>
    <mergeCell ref="C28:D28"/>
    <mergeCell ref="H28:I28"/>
    <mergeCell ref="Q28:R28"/>
    <mergeCell ref="S28:T28"/>
    <mergeCell ref="C25:D25"/>
    <mergeCell ref="H25:I25"/>
    <mergeCell ref="Q25:R25"/>
    <mergeCell ref="S25:T25"/>
    <mergeCell ref="C26:D26"/>
    <mergeCell ref="H26:I26"/>
    <mergeCell ref="Q26:R26"/>
    <mergeCell ref="S26:T26"/>
    <mergeCell ref="C23:D23"/>
    <mergeCell ref="Q23:R23"/>
    <mergeCell ref="S23:T23"/>
    <mergeCell ref="C24:D24"/>
    <mergeCell ref="H24:I24"/>
    <mergeCell ref="Q24:R24"/>
    <mergeCell ref="S24:T24"/>
    <mergeCell ref="C21:D21"/>
    <mergeCell ref="Q21:R21"/>
    <mergeCell ref="S21:T21"/>
    <mergeCell ref="C22:D22"/>
    <mergeCell ref="Q22:R22"/>
    <mergeCell ref="S22:T22"/>
    <mergeCell ref="Q18:R19"/>
    <mergeCell ref="S18:T19"/>
    <mergeCell ref="C19:D19"/>
    <mergeCell ref="H19:I19"/>
    <mergeCell ref="C20:D20"/>
    <mergeCell ref="H20:I20"/>
    <mergeCell ref="Q20:R20"/>
    <mergeCell ref="S20:T20"/>
    <mergeCell ref="N14:O14"/>
    <mergeCell ref="S14:T14"/>
    <mergeCell ref="E16:F16"/>
    <mergeCell ref="H16:I16"/>
    <mergeCell ref="K16:L16"/>
    <mergeCell ref="E17:F17"/>
    <mergeCell ref="H17:I17"/>
    <mergeCell ref="K17:L17"/>
    <mergeCell ref="Q17:T17"/>
    <mergeCell ref="E12:F12"/>
    <mergeCell ref="H12:I12"/>
    <mergeCell ref="K12:L12"/>
    <mergeCell ref="N12:O12"/>
    <mergeCell ref="S12:T12"/>
    <mergeCell ref="E13:F13"/>
    <mergeCell ref="H13:I13"/>
    <mergeCell ref="K13:L13"/>
    <mergeCell ref="N13:O13"/>
    <mergeCell ref="S13:T13"/>
    <mergeCell ref="E10:F10"/>
    <mergeCell ref="H10:I10"/>
    <mergeCell ref="K10:L10"/>
    <mergeCell ref="S10:T10"/>
    <mergeCell ref="E11:F11"/>
    <mergeCell ref="H11:I11"/>
    <mergeCell ref="K11:L11"/>
    <mergeCell ref="S11:T11"/>
    <mergeCell ref="E8:F8"/>
    <mergeCell ref="H8:I8"/>
    <mergeCell ref="K8:L8"/>
    <mergeCell ref="S8:T8"/>
    <mergeCell ref="E9:F9"/>
    <mergeCell ref="H9:I9"/>
    <mergeCell ref="K9:L9"/>
    <mergeCell ref="S9:T9"/>
    <mergeCell ref="E6:F6"/>
    <mergeCell ref="H6:I6"/>
    <mergeCell ref="K6:L6"/>
    <mergeCell ref="S6:T6"/>
    <mergeCell ref="E7:F7"/>
    <mergeCell ref="H7:I7"/>
    <mergeCell ref="K7:L7"/>
    <mergeCell ref="S7:T7"/>
    <mergeCell ref="E4:F4"/>
    <mergeCell ref="H4:I4"/>
    <mergeCell ref="K4:L4"/>
    <mergeCell ref="S4:T4"/>
    <mergeCell ref="E5:F5"/>
    <mergeCell ref="H5:I5"/>
    <mergeCell ref="K5:L5"/>
    <mergeCell ref="S5:T5"/>
    <mergeCell ref="S1:T1"/>
    <mergeCell ref="Z1:AC1"/>
    <mergeCell ref="S2:T2"/>
    <mergeCell ref="Z2:AA3"/>
    <mergeCell ref="AB2:AB3"/>
    <mergeCell ref="AC2:AC3"/>
    <mergeCell ref="S3:T3"/>
    <mergeCell ref="A1:B2"/>
    <mergeCell ref="C1:C2"/>
    <mergeCell ref="E1:F2"/>
    <mergeCell ref="H1:I2"/>
    <mergeCell ref="K1:L2"/>
    <mergeCell ref="N1:O2"/>
  </mergeCells>
  <conditionalFormatting sqref="N19:O19">
    <cfRule type="expression" dxfId="686" priority="20">
      <formula>#REF!="ESPERANDO RESPUESTA 3°"</formula>
    </cfRule>
    <cfRule type="expression" dxfId="685" priority="21">
      <formula>#REF!="PENDIENTE DE OFRECIMIENTO"</formula>
    </cfRule>
    <cfRule type="expression" dxfId="684" priority="22">
      <formula>#REF!="EN CONSULTA CON CIA"</formula>
    </cfRule>
    <cfRule type="expression" dxfId="683" priority="23">
      <formula>#REF!="IP REALIZADA"</formula>
    </cfRule>
    <cfRule type="expression" dxfId="682" priority="24">
      <formula>#REF!="PENDIENTE  COORDINACION"</formula>
    </cfRule>
    <cfRule type="expression" dxfId="681" priority="25">
      <formula>#REF!="LICITANDO REPUESTOS"</formula>
    </cfRule>
    <cfRule type="expression" dxfId="680" priority="26">
      <formula>#REF!="PENDIENTE PRESUPUESTO"</formula>
    </cfRule>
    <cfRule type="expression" dxfId="679" priority="27">
      <formula>#REF!="REVISAR MAIL - RESUELTO"</formula>
    </cfRule>
    <cfRule type="expression" dxfId="678" priority="28">
      <formula>#REF!="IP RECLAMADA A PERITO 5"</formula>
    </cfRule>
    <cfRule type="expression" dxfId="677" priority="29">
      <formula>#REF!="IP RECLAMADA A PERITO 4"</formula>
    </cfRule>
    <cfRule type="expression" dxfId="676" priority="30">
      <formula>#REF!="IP RECLAMADA A PERITO 2"</formula>
    </cfRule>
    <cfRule type="expression" dxfId="675" priority="31">
      <formula>#REF!="INSPECCION ANULADA"</formula>
    </cfRule>
    <cfRule type="expression" dxfId="674" priority="32">
      <formula>#REF!="IP COORDINADA"</formula>
    </cfRule>
    <cfRule type="expression" dxfId="673" priority="33">
      <formula>#REF!="CONTACTADO"</formula>
    </cfRule>
    <cfRule type="expression" dxfId="672" priority="34">
      <formula>#REF!="IP CERRADA"</formula>
    </cfRule>
    <cfRule type="expression" dxfId="671" priority="35">
      <formula>#REF!="ENVIO DE ORDEN"</formula>
    </cfRule>
    <cfRule type="expression" dxfId="670" priority="36">
      <formula>#REF!="PARA FACTURAR"</formula>
    </cfRule>
    <cfRule type="expression" dxfId="669" priority="37">
      <formula>#REF!="IP RECLAMADA A PERITO 1"</formula>
    </cfRule>
    <cfRule type="expression" dxfId="668" priority="38">
      <formula>#REF!="REVISAR MAIL - SIN RESOLVER"</formula>
    </cfRule>
  </conditionalFormatting>
  <conditionalFormatting sqref="V31">
    <cfRule type="expression" dxfId="667" priority="1">
      <formula>$V31="PENDIENTE PRESUPUESTO"</formula>
    </cfRule>
    <cfRule type="expression" dxfId="666" priority="2">
      <formula>$V31="ESPERANDO RESPUESTA 3°"</formula>
    </cfRule>
    <cfRule type="expression" dxfId="665" priority="3">
      <formula>$V31="PENDIENTE DE OFRECIMIENTO"</formula>
    </cfRule>
    <cfRule type="expression" dxfId="664" priority="4">
      <formula>$V31="EN CONSULTA CON CIA"</formula>
    </cfRule>
    <cfRule type="expression" dxfId="663" priority="5">
      <formula>$V31="IP REALIZADA"</formula>
    </cfRule>
    <cfRule type="expression" dxfId="662" priority="6">
      <formula>$V31="REVISAR MAIL - RESUELTO"</formula>
    </cfRule>
    <cfRule type="expression" dxfId="661" priority="7">
      <formula>$V31="INSPECCION ANULADA"</formula>
    </cfRule>
    <cfRule type="expression" dxfId="660" priority="8">
      <formula>$V31="IP RECLAMADA A PERITO 5"</formula>
    </cfRule>
    <cfRule type="expression" dxfId="659" priority="9">
      <formula>$V31="IP RECLAMADA A PERITO 4"</formula>
    </cfRule>
    <cfRule type="expression" dxfId="658" priority="10">
      <formula>$V31="IP RECLAMADA A PERITO 2"</formula>
    </cfRule>
    <cfRule type="expression" dxfId="657" priority="11">
      <formula>$V31="PENDIENTE  COORDINACION"</formula>
    </cfRule>
    <cfRule type="expression" dxfId="656" priority="12">
      <formula>$V31="LICITANDO REPUESTOS"</formula>
    </cfRule>
    <cfRule type="expression" dxfId="655" priority="13">
      <formula>$V31="IP COORDINADA"</formula>
    </cfRule>
    <cfRule type="expression" dxfId="654" priority="14">
      <formula>$V31="CONTACTADO"</formula>
    </cfRule>
    <cfRule type="expression" dxfId="653" priority="15">
      <formula>$V31="IP CERRADA"</formula>
    </cfRule>
    <cfRule type="expression" dxfId="652" priority="16">
      <formula>$V31="ENVIO DE ORDEN"</formula>
    </cfRule>
    <cfRule type="expression" dxfId="651" priority="17">
      <formula>$V31="PARA FACTURAR"</formula>
    </cfRule>
    <cfRule type="expression" dxfId="650" priority="18">
      <formula>$V31="IP RECLAMADA A PERITO 1"</formula>
    </cfRule>
    <cfRule type="expression" dxfId="649" priority="19">
      <formula>$V31="REVISAR MAIL - SIN RESOLVER"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65978-53E1-4C90-8D22-3C781DD941C6}">
  <sheetPr>
    <tabColor rgb="FFFF0000"/>
  </sheetPr>
  <dimension ref="A1:AI44"/>
  <sheetViews>
    <sheetView workbookViewId="0">
      <selection activeCell="AH15" sqref="AH15"/>
    </sheetView>
  </sheetViews>
  <sheetFormatPr defaultRowHeight="15"/>
  <cols>
    <col min="3" max="3" width="21.85546875" customWidth="1"/>
    <col min="4" max="4" width="3.7109375" customWidth="1"/>
    <col min="5" max="5" width="12.85546875" customWidth="1"/>
    <col min="6" max="6" width="13.28515625" customWidth="1"/>
    <col min="7" max="7" width="9.140625" bestFit="1" customWidth="1"/>
    <col min="8" max="8" width="13.5703125" customWidth="1"/>
    <col min="9" max="9" width="3.5703125" customWidth="1"/>
    <col min="10" max="10" width="13.140625" customWidth="1"/>
    <col min="11" max="11" width="14.28515625" customWidth="1"/>
    <col min="12" max="12" width="9.140625" bestFit="1" customWidth="1"/>
    <col min="13" max="13" width="13.85546875" customWidth="1"/>
    <col min="14" max="14" width="3.28515625" customWidth="1"/>
    <col min="15" max="15" width="9.140625" bestFit="1" customWidth="1"/>
    <col min="16" max="16" width="13.42578125" customWidth="1"/>
    <col min="17" max="17" width="9.140625" bestFit="1" customWidth="1"/>
    <col min="18" max="18" width="14.85546875" customWidth="1"/>
    <col min="19" max="19" width="3" customWidth="1"/>
    <col min="20" max="20" width="9.140625" bestFit="1" customWidth="1"/>
    <col min="21" max="21" width="14.85546875" customWidth="1"/>
    <col min="22" max="22" width="9.140625" bestFit="1" customWidth="1"/>
    <col min="23" max="23" width="13.28515625" customWidth="1"/>
    <col min="24" max="24" width="3" customWidth="1"/>
    <col min="25" max="25" width="9.140625" bestFit="1" customWidth="1"/>
    <col min="26" max="26" width="14.140625" customWidth="1"/>
    <col min="27" max="27" width="9.140625" bestFit="1" customWidth="1"/>
    <col min="28" max="28" width="13.85546875" customWidth="1"/>
    <col min="29" max="29" width="3.28515625" customWidth="1"/>
    <col min="30" max="30" width="22.7109375" customWidth="1"/>
    <col min="31" max="31" width="9.140625" bestFit="1" customWidth="1"/>
    <col min="32" max="32" width="20.42578125" customWidth="1"/>
  </cols>
  <sheetData>
    <row r="1" spans="1:35">
      <c r="A1" s="367" t="s">
        <v>57</v>
      </c>
      <c r="B1" s="368"/>
      <c r="C1" s="369" t="s">
        <v>1</v>
      </c>
      <c r="E1" s="385" t="s">
        <v>19</v>
      </c>
      <c r="F1" s="386"/>
      <c r="G1" s="386"/>
      <c r="H1" s="387"/>
      <c r="J1" s="399" t="s">
        <v>66</v>
      </c>
      <c r="K1" s="400"/>
      <c r="L1" s="400"/>
      <c r="M1" s="401"/>
      <c r="O1" s="399" t="s">
        <v>69</v>
      </c>
      <c r="P1" s="400"/>
      <c r="Q1" s="400"/>
      <c r="R1" s="401"/>
      <c r="T1" s="399" t="s">
        <v>16</v>
      </c>
      <c r="U1" s="400"/>
      <c r="V1" s="400"/>
      <c r="W1" s="401"/>
      <c r="Y1" s="399" t="s">
        <v>82</v>
      </c>
      <c r="Z1" s="400"/>
      <c r="AA1" s="400"/>
      <c r="AB1" s="401"/>
      <c r="AD1" s="369" t="s">
        <v>1</v>
      </c>
    </row>
    <row r="2" spans="1:35">
      <c r="A2" s="367"/>
      <c r="B2" s="368"/>
      <c r="C2" s="369"/>
      <c r="E2" s="388"/>
      <c r="F2" s="389"/>
      <c r="G2" s="389"/>
      <c r="H2" s="390"/>
      <c r="J2" s="402"/>
      <c r="K2" s="403"/>
      <c r="L2" s="403"/>
      <c r="M2" s="404"/>
      <c r="O2" s="402"/>
      <c r="P2" s="403"/>
      <c r="Q2" s="403"/>
      <c r="R2" s="404"/>
      <c r="T2" s="402"/>
      <c r="U2" s="403"/>
      <c r="V2" s="403"/>
      <c r="W2" s="404"/>
      <c r="Y2" s="402"/>
      <c r="Z2" s="403"/>
      <c r="AA2" s="403"/>
      <c r="AB2" s="404"/>
      <c r="AD2" s="369"/>
    </row>
    <row r="3" spans="1:35">
      <c r="A3" s="19"/>
      <c r="B3" s="19"/>
      <c r="E3" s="391" t="s">
        <v>83</v>
      </c>
      <c r="F3" s="391"/>
      <c r="G3" s="392" t="s">
        <v>8</v>
      </c>
      <c r="H3" s="392"/>
      <c r="J3" s="391" t="s">
        <v>83</v>
      </c>
      <c r="K3" s="391"/>
      <c r="L3" s="392" t="s">
        <v>8</v>
      </c>
      <c r="M3" s="392"/>
      <c r="O3" s="391" t="s">
        <v>83</v>
      </c>
      <c r="P3" s="391"/>
      <c r="Q3" s="392" t="s">
        <v>8</v>
      </c>
      <c r="R3" s="392"/>
      <c r="T3" s="391" t="s">
        <v>83</v>
      </c>
      <c r="U3" s="391"/>
      <c r="V3" s="392" t="s">
        <v>8</v>
      </c>
      <c r="W3" s="392"/>
      <c r="Y3" s="391" t="s">
        <v>83</v>
      </c>
      <c r="Z3" s="391"/>
      <c r="AA3" s="392" t="s">
        <v>8</v>
      </c>
      <c r="AB3" s="392"/>
    </row>
    <row r="4" spans="1:35" ht="15.75">
      <c r="C4" s="37" t="s">
        <v>10</v>
      </c>
      <c r="E4" s="254">
        <f>COUNTIFS(General!F:F, "IP CERRADA", General!K:K, "A MIÑO", General!H:H, "PTE. APROBACION", General!G:G, "IP CON ORDEN", General!O:O, "&gt;="&amp;DATE(2025,12,1), General!O:O, "&lt;="&amp;DATE(2025,12,31))</f>
        <v>0</v>
      </c>
      <c r="F4" s="38">
        <f>E4*AG5</f>
        <v>0</v>
      </c>
      <c r="G4" s="41">
        <f>COUNTIFS(General!F:F, "IP CERRADA", General!M:M, "A MIÑO", General!H:H, "PTE. APROBACION", General!G:G, "IP CON ORDEN", General!O:O, "&gt;="&amp;DATE(2025,12,1), General!O:O, "&lt;="&amp;DATE(2025,12,31))</f>
        <v>0</v>
      </c>
      <c r="H4" s="42">
        <f>G4*AH5</f>
        <v>0</v>
      </c>
      <c r="J4" s="254">
        <f>COUNTIFS(General!F:F, "IP CERRADA", General!K:K, "J. FERLANTI", General!H:H, "PTE. APROBACION", General!G:G, "IP CON ORDEN", General!O:O, "&gt;="&amp;DATE(2025,12,1), General!O:O, "&lt;="&amp;DATE(2025,12,31)) + COUNTIFS(General!F:F, "PARA FACTURAR", General!K:K, "J. FERLANTI", General!G:G, "IP CON ORDEN", General!O:O, "&gt;="&amp;DATE(2025,12,1), General!O:O, "&lt;="&amp;DATE(2025,12,31))</f>
        <v>3</v>
      </c>
      <c r="K4" s="38">
        <f>J4*AG5</f>
        <v>28686</v>
      </c>
      <c r="L4" s="41">
        <f>COUNTIFS(General!F:F, "IP CERRADA", General!M:M, "J. FERLANTI", General!H:H, "PTE. APROBACION", General!G:G, "IP CON ORDEN", General!O:O, "&gt;="&amp;DATE(2025,12,1), General!O:O, "&lt;="&amp;DATE(2025,12,31)) + COUNTIFS(General!F:F, "PARA FACTURAR", General!M:M, "J. FERLANTI", General!H:H, "EN TRAMITE", General!G:G, "IP CON ORDEN", General!O:O, "&gt;="&amp;DATE(2024,10,1), General!O:O, "&lt;="&amp;DATE(2024,10,31) )</f>
        <v>93</v>
      </c>
      <c r="M4" s="42">
        <f>L4*AH5</f>
        <v>830025</v>
      </c>
      <c r="O4" s="254">
        <f>COUNTIFS(General!F:F, "IP CERRADA", General!K:K, "J NEIRA", General!H:H, "PTE. APROBACION", General!G:G, "IP CON ORDEN", General!O:O, "&gt;="&amp;DATE(2025,12,1), General!O:O, "&lt;="&amp;DATE(2025,12,31))</f>
        <v>0</v>
      </c>
      <c r="P4" s="38">
        <f>O4*AG5</f>
        <v>0</v>
      </c>
      <c r="Q4" s="41">
        <f>COUNTIFS(General!F:F, "IP CERRADA", General!M:M, "J NEIRA", General!H:H, "PTE. APROBACION", General!G:G, "IP CON ORDEN", General!O:O, "&gt;="&amp;DATE(2025,12,1), General!O:O, "&lt;="&amp;DATE(2025,12,31))</f>
        <v>0</v>
      </c>
      <c r="R4" s="42">
        <f>Q4*AH5</f>
        <v>0</v>
      </c>
      <c r="T4" s="254">
        <f>COUNTIFS(General!F:F, "IP CERRADA", General!K:K, "L DEL PIERO", General!H:H, "PTE. APROBACION", General!G:G, "IP CON ORDEN", General!O:O, "&gt;="&amp;DATE(2025,12,1), General!O:O, "&lt;="&amp;DATE(2025,12,31))</f>
        <v>66</v>
      </c>
      <c r="U4" s="38">
        <f>T4*AG5</f>
        <v>631092</v>
      </c>
      <c r="V4" s="41">
        <f>COUNTIFS(General!F:F, "IP CERRADA", General!M:M, "L DEL PIERO", General!H:H, "PTE. APROBACION", General!G:G, "IP CON ORDEN", General!O:O, "&gt;="&amp;DATE(2025,12,1), General!O:O, "&lt;="&amp;DATE(2025,12,31))</f>
        <v>0</v>
      </c>
      <c r="W4" s="42">
        <f>V4*AH5</f>
        <v>0</v>
      </c>
      <c r="Y4" s="254">
        <f>COUNTIFS(General!F:F, "IP CERRADA", General!K:K, "E Delia", General!H:H, "PTE. APROBACION", General!G:G, "IP CON ORDEN", General!O:O, "&gt;="&amp;DATE(2025,12,1), General!O:O, "&lt;="&amp;DATE(2025,12,31)) + COUNTIFS(General!F:F, "PARA FACTURAR", General!K:K, "E Delia", General!G:G, "IP CON ORDEN", General!O:O, "&gt;="&amp;DATE(2025,12,1), General!O:O, "&lt;="&amp;DATE(2025,12,31))</f>
        <v>24</v>
      </c>
      <c r="Z4" s="38">
        <f>Y4*AG5</f>
        <v>229488</v>
      </c>
      <c r="AA4" s="41">
        <f>COUNTIFS(General!F:F, "IP CERRADA", General!M:M, "E Delia", General!H:H, "PTE. APROBACION", General!G:G, "IP CON ORDEN", General!O:O, "&gt;="&amp;DATE(2025,12,1), General!O:O, "&lt;="&amp;DATE(2025,12,31))</f>
        <v>0</v>
      </c>
      <c r="AB4" s="42">
        <f>AA4*AH5</f>
        <v>0</v>
      </c>
      <c r="AD4" s="37" t="s">
        <v>10</v>
      </c>
      <c r="AF4" s="1" t="s">
        <v>6</v>
      </c>
      <c r="AG4" s="1" t="s">
        <v>7</v>
      </c>
      <c r="AH4" s="1" t="s">
        <v>8</v>
      </c>
      <c r="AI4" s="259"/>
    </row>
    <row r="5" spans="1:35" ht="15.75">
      <c r="C5" s="261" t="s">
        <v>15</v>
      </c>
      <c r="E5" s="39">
        <f>COUNTIFS(General!F:F, "IP CERRADA", General!K:K, "A MIÑO", General!H:H, "PTE. APROBACION", General!G:G, "POSIBLE DT", General!O:O, "&gt;="&amp;DATE(2025,12,1), General!O:O, "&lt;="&amp;DATE(2025,12,31))</f>
        <v>0</v>
      </c>
      <c r="F5" s="40">
        <f>E5*AG7</f>
        <v>0</v>
      </c>
      <c r="G5" s="43">
        <f>COUNTIFS(General!F:F, "IP CERRADA", General!M:M, "A MIÑO", General!H:H, "PTE. APROBACION", General!G:G, "POSIBLE DT", General!O:O, "&gt;="&amp;DATE(2025,12,1), General!O:O, "&lt;="&amp;DATE(2025,12,31))</f>
        <v>0</v>
      </c>
      <c r="H5" s="44">
        <f>G5*AH7</f>
        <v>0</v>
      </c>
      <c r="J5" s="39">
        <f>COUNTIFS(General!F:F, "IP CERRADA", General!K:K, "J. FERLANTI", General!H:H, "PTE. APROBACION", General!G:G, "POSIBLE DT", General!O:O, "&gt;="&amp;DATE(2025,12,1), General!O:O, "&lt;="&amp;DATE(2025,12,31)) + COUNTIFS(General!F:F, "PARA FACTURAR", General!K:K, "J. FERLANTI", General!G:G, "POSIBLE DT", General!O:O, "&gt;="&amp;DATE(2025,12,1), General!O:O, "&lt;="&amp;DATE(2025,12,31))</f>
        <v>0</v>
      </c>
      <c r="K5" s="40">
        <f>J5*AG7</f>
        <v>0</v>
      </c>
      <c r="L5" s="43">
        <f>COUNTIFS(General!F:F, "IP CERRADA", General!M:M, "J. FERLANTI", General!H:H, "PTE. APROBACION", General!G:G, "POSIBLE DT", General!O:O, "&gt;="&amp;DATE(2025,12,1), General!O:O, "&lt;="&amp;DATE(2025,12,31)) + COUNTIFS(General!F:F, "PARA FACTURAR", General!M:M, "J. FERLANTI", General!H:H, "EN TRAMITE", General!G:G, "POSIBLE DT", General!O:O, "&gt;="&amp;DATE(2025,12,1), General!O:O, "&lt;="&amp;DATE(2025,12,31))</f>
        <v>12</v>
      </c>
      <c r="M5" s="44">
        <f>L5*AH7</f>
        <v>107100</v>
      </c>
      <c r="O5" s="39">
        <f>COUNTIFS(General!F:F, "IP CERRADA", General!K:K, "J NEIRA", General!H:H, "PTE. APROBACION", General!G:G, "POSIBLE DT", General!O:O, "&gt;="&amp;DATE(2025,12,1), General!O:O, "&lt;="&amp;DATE(2025,12,31))</f>
        <v>0</v>
      </c>
      <c r="P5" s="40">
        <f>O5*AG7</f>
        <v>0</v>
      </c>
      <c r="Q5" s="43">
        <f>COUNTIFS(General!F:F, "IP CERRADA", General!M:M, "J NEIRA", General!H:H, "PTE. APROBACION", General!G:G, "POSIBLE DT", General!O:O, "&gt;="&amp;DATE(2025,12,1), General!O:O, "&lt;="&amp;DATE(2025,12,31))</f>
        <v>0</v>
      </c>
      <c r="R5" s="44">
        <f>Q5*AH7</f>
        <v>0</v>
      </c>
      <c r="T5" s="39">
        <f>COUNTIFS(General!F:F, "IP CERRADA", General!K:K, "L DEL PIERO", General!H:H, "PTE. APROBACION", General!G:G, "POSIBLE DT", General!O:O, "&gt;="&amp;DATE(2025,12,1), General!O:O, "&lt;="&amp;DATE(2025,12,31))</f>
        <v>4</v>
      </c>
      <c r="U5" s="40">
        <f>T5*AG7</f>
        <v>38248</v>
      </c>
      <c r="V5" s="43">
        <f>COUNTIFS(General!F:F, "IP CERRADA", General!M:M, "L DEL PIERO", General!H:H, "PTE. APROBACION", General!G:G, "POSIBLE DT", General!O:O, "&gt;="&amp;DATE(2025,12,1), General!O:O, "&lt;="&amp;DATE(2025,12,31))</f>
        <v>0</v>
      </c>
      <c r="W5" s="44">
        <f>V5*AH7</f>
        <v>0</v>
      </c>
      <c r="Y5" s="39">
        <f>COUNTIFS(General!F:F, "IP CERRADA", General!K:K, "E Delia", General!H:H, "PTE. APROBACION", General!G:G, "POSIBLE DT", General!O:O, "&gt;="&amp;DATE(2025,12,1), General!O:O, "&lt;="&amp;DATE(2025,12,31))</f>
        <v>8</v>
      </c>
      <c r="Z5" s="40">
        <f>Y5*AG7</f>
        <v>76496</v>
      </c>
      <c r="AA5" s="43">
        <f>COUNTIFS(General!F:F, "IP CERRADA", General!M:M, "E Delia", General!H:H, "PTE. APROBACION", General!G:G, "POSIBLE DT", General!O:O, "&gt;="&amp;DATE(2025,12,1), General!O:O, "&lt;="&amp;DATE(2025,12,31))</f>
        <v>0</v>
      </c>
      <c r="AB5" s="44">
        <f>AA5*AH7</f>
        <v>0</v>
      </c>
      <c r="AD5" s="261" t="s">
        <v>15</v>
      </c>
      <c r="AF5" s="118" t="s">
        <v>10</v>
      </c>
      <c r="AG5" s="119">
        <v>9562</v>
      </c>
      <c r="AH5" s="119">
        <v>8925</v>
      </c>
      <c r="AI5" s="116"/>
    </row>
    <row r="6" spans="1:35" ht="15.75">
      <c r="C6" s="37" t="s">
        <v>18</v>
      </c>
      <c r="E6" s="254">
        <f>COUNTIFS(General!F:F, "IP CERRADA", General!K:K, "A MIÑO", General!H:H, "PTE. APROBACION", General!G:G, "IP SIN ORDEN", General!O:O, "&gt;="&amp;DATE(2025,12,1), General!O:O, "&lt;="&amp;DATE(2025,12,31))</f>
        <v>0</v>
      </c>
      <c r="F6" s="38">
        <f>E6*AG8</f>
        <v>0</v>
      </c>
      <c r="G6" s="41">
        <f>COUNTIFS(General!F:F, "IP CERRADA", General!M:M, "A MIÑO", General!H:H, "PTE. APROBACION", General!G:G, "IP SIN ORDEN", General!O:O, "&gt;="&amp;DATE(2025,12,1), General!O:O, "&lt;="&amp;DATE(2025,12,31))</f>
        <v>0</v>
      </c>
      <c r="H6" s="42">
        <f>G6*AH8</f>
        <v>0</v>
      </c>
      <c r="J6" s="254">
        <f>COUNTIFS(General!F:F, "IP CERRADA", General!K:K, "J. FERLANTI", General!H:H, "PTE. APROBACION", General!G:G, "IP SIN ORDEN", General!O:O, "&gt;="&amp;DATE(2025,12,1), General!O:O, "&lt;="&amp;DATE(2025,12,31)) + COUNTIFS(General!F:F, "PARA FACTURAR", General!K:K, "J. FERLANTI", General!G:G, "IP SIN ORDEN", General!O:O, "&gt;="&amp;DATE(2025,12,1), General!O:O, "&lt;="&amp;DATE(2025,12,31))</f>
        <v>2</v>
      </c>
      <c r="K6" s="38">
        <f>J6*AG8</f>
        <v>19124</v>
      </c>
      <c r="L6" s="41">
        <f>COUNTIFS(General!F:F, "IP CERRADA", General!M:M, "J. FERLANTI", General!H:H, "PTE. APROBACION", General!G:G, "IP SIN ORDEN", General!O:O, "&gt;="&amp;DATE(2025,12,1), General!O:O, "&lt;="&amp;DATE(2025,12,31)) + COUNTIFS(General!F:F, "PARA FACTURAR", General!M:M, "J. FERLANTI", General!H:H, "EN TRAMITE", General!G:G, "IP SIN ORDEN", General!O:O, "&gt;="&amp;DATE(2025,12,1), General!O:O, "&lt;="&amp;DATE(2025,12,31))</f>
        <v>24</v>
      </c>
      <c r="M6" s="42">
        <f>L6*AH8</f>
        <v>214200</v>
      </c>
      <c r="O6" s="254">
        <f>COUNTIFS(General!F:F, "IP CERRADA", General!K:K, "J NEIRA", General!H:H, "PTE. APROBACION", General!G:G, "IP SIN ORDEN", General!O:O, "&gt;="&amp;DATE(2025,12,1), General!O:O, "&lt;="&amp;DATE(2025,12,31))</f>
        <v>0</v>
      </c>
      <c r="P6" s="38">
        <f>O6*AG8</f>
        <v>0</v>
      </c>
      <c r="Q6" s="41">
        <f>COUNTIFS(General!F:F, "IP CERRADA", General!M:M, "J NEIRA", General!H:H, "PTE. APROBACION", General!G:G, "IP SIN ORDEN", General!O:O, "&gt;="&amp;DATE(2025,12,1), General!O:O, "&lt;="&amp;DATE(2025,12,31))</f>
        <v>0</v>
      </c>
      <c r="R6" s="42">
        <f>Q6*AH8</f>
        <v>0</v>
      </c>
      <c r="T6" s="254">
        <f>COUNTIFS(General!F:F, "IP CERRADA", General!K:K, "L DEL PIERO", General!H:H, "PTE. APROBACION", General!G:G, "IP SIN ORDEN", General!O:O, "&gt;="&amp;DATE(2025,12,1), General!O:O, "&lt;="&amp;DATE(2025,12,31))</f>
        <v>10</v>
      </c>
      <c r="U6" s="38">
        <f>T6*AG8</f>
        <v>95620</v>
      </c>
      <c r="V6" s="41">
        <f>COUNTIFS(General!F:F, "IP CERRADA", General!M:M, "L DEL PIERO", General!H:H, "PTE. APROBACION", General!G:G, "IP SIN ORDEN", General!O:O, "&gt;="&amp;DATE(2025,12,1), General!O:O, "&lt;="&amp;DATE(2025,12,31))</f>
        <v>0</v>
      </c>
      <c r="W6" s="42">
        <f>V6*AH8</f>
        <v>0</v>
      </c>
      <c r="Y6" s="254">
        <f>COUNTIFS(General!F:F, "IP CERRADA", General!K:K, "E Delia", General!H:H, "PTE. APROBACION", General!G:G, "IP SIN ORDEN", General!O:O, "&gt;="&amp;DATE(2025,12,1), General!O:O, "&lt;="&amp;DATE(2025,12,31))</f>
        <v>12</v>
      </c>
      <c r="Z6" s="38">
        <f>Y6*AG8</f>
        <v>114744</v>
      </c>
      <c r="AA6" s="41">
        <f>COUNTIFS(General!F:F, "IP CERRADA", General!M:M, "E Delia", General!H:H, "PTE. APROBACION", General!G:G, "IP SIN ORDEN", General!O:O, "&gt;="&amp;DATE(2025,12,1), General!O:O, "&lt;="&amp;DATE(2025,12,31))</f>
        <v>0</v>
      </c>
      <c r="AB6" s="42">
        <f>AA6*AH8</f>
        <v>0</v>
      </c>
      <c r="AD6" s="37" t="s">
        <v>18</v>
      </c>
      <c r="AF6" s="118"/>
      <c r="AG6" s="119"/>
      <c r="AH6" s="119"/>
      <c r="AI6" s="116"/>
    </row>
    <row r="7" spans="1:35" ht="15.75">
      <c r="C7" s="261" t="s">
        <v>21</v>
      </c>
      <c r="E7" s="39">
        <f>COUNTIFS(General!F:F, "IP CERRADA", General!K:K, "A MIÑO", General!H:H, "PTE. APROBACION", General!G:G, "AMPLIACION", General!O:O, "&gt;="&amp;DATE(2025,12,1), General!O:O, "&lt;="&amp;DATE(2025,12,31))</f>
        <v>0</v>
      </c>
      <c r="F7" s="40">
        <f>E7*AG9</f>
        <v>0</v>
      </c>
      <c r="G7" s="43">
        <f>COUNTIFS(General!F:F, "IP CERRADA", General!M:M, "A MIÑO", General!H:H, "PTE. APROBACION", General!G:G, "AMPLIACION", General!O:O, "&gt;="&amp;DATE(2025,12,1), General!O:O, "&lt;="&amp;DATE(2025,12,31))</f>
        <v>0</v>
      </c>
      <c r="H7" s="44">
        <f>G7*AH9</f>
        <v>0</v>
      </c>
      <c r="J7" s="39">
        <f>COUNTIFS(General!F:F, "IP CERRADA", General!K:K, "J. FERLANTI", General!H:H, "PTE. APROBACION", General!G:G, "AMPLIACION", General!O:O, "&gt;="&amp;DATE(2025,12,1), General!O:O, "&lt;="&amp;DATE(2025,12,31)) + COUNTIFS(General!F:F, "PARA FACTURAR", General!K:K, "J. FERLANTI", General!G:G, "AMPLIACION", General!O:O, "&gt;="&amp;DATE(2025,12,1), General!O:O, "&lt;="&amp;DATE(2025,12,31))</f>
        <v>8</v>
      </c>
      <c r="K7" s="40">
        <f>J7*AG9</f>
        <v>34000</v>
      </c>
      <c r="L7" s="43">
        <f>COUNTIFS(General!F:F, "IP CERRADA", General!M:M, "J. FERLANTI", General!H:H, "PTE. APROBACION", General!G:G, "AMPLIACION", General!O:O, "&gt;="&amp;DATE(2025,12,1), General!O:O, "&lt;="&amp;DATE(2025,12,31)) + COUNTIFS(General!F:F, "PARA FACTURAR", General!M:M, "J. FERLANTI", General!H:H, "EN TRAMITE", General!G:G, "AMPLIACION", General!O:O, "&gt;="&amp;DATE(2025,12,1), General!O:O, "&lt;="&amp;DATE(2025,12,31))</f>
        <v>19</v>
      </c>
      <c r="M7" s="44">
        <f>L7*AH9</f>
        <v>38000</v>
      </c>
      <c r="O7" s="39">
        <f>COUNTIFS(General!F:F, "IP CERRADA", General!K:K, "J NEIRA", General!H:H, "PTE. APROBACION", General!G:G, "AMPLIACION", General!O:O, "&gt;="&amp;DATE(2025,12,1), General!O:O, "&lt;="&amp;DATE(2025,12,31))</f>
        <v>0</v>
      </c>
      <c r="P7" s="40">
        <f>O7*AG9</f>
        <v>0</v>
      </c>
      <c r="Q7" s="43">
        <f>COUNTIFS(General!F:F, "IP CERRADA", General!M:M, "J NEIRA", General!H:H, "PTE. APROBACION", General!G:G, "AMPLIACION", General!O:O, "&gt;="&amp;DATE(2025,12,1), General!O:O, "&lt;="&amp;DATE(2025,12,31))</f>
        <v>0</v>
      </c>
      <c r="R7" s="44">
        <f>Q7*AH9</f>
        <v>0</v>
      </c>
      <c r="T7" s="39">
        <f>COUNTIFS(General!F:F, "IP CERRADA", General!K:K, "L DEL PIERO", General!H:H, "PTE. APROBACION", General!G:G, "AMPLIACION", General!O:O, "&gt;="&amp;DATE(2025,12,1), General!O:O, "&lt;="&amp;DATE(2025,12,31))</f>
        <v>5</v>
      </c>
      <c r="U7" s="40">
        <f>T7*AG9</f>
        <v>21250</v>
      </c>
      <c r="V7" s="43">
        <f>COUNTIFS(General!F:F, "IP CERRADA", General!M:M, "L DEL PIERO", General!H:H, "PTE. APROBACION", General!G:G, "AMPLIACION", General!O:O, "&gt;="&amp;DATE(2025,12,1), General!O:O, "&lt;="&amp;DATE(2025,12,31))</f>
        <v>0</v>
      </c>
      <c r="W7" s="44">
        <f>V7*AH9</f>
        <v>0</v>
      </c>
      <c r="Y7" s="39">
        <f>COUNTIFS(General!F:F, "IP CERRADA", General!K:K, "E Delia", General!H:H, "PTE. APROBACION", General!G:G, "AMPLIACION", General!O:O, "&gt;="&amp;DATE(2025,12,1), General!O:O, "&lt;="&amp;DATE(2025,12,31))</f>
        <v>6</v>
      </c>
      <c r="Z7" s="40">
        <f>Y7*AG9</f>
        <v>25500</v>
      </c>
      <c r="AA7" s="43">
        <f>COUNTIFS(General!F:F, "IP CERRADA", General!M:M, "E Delia", General!H:H, "PTE. APROBACION", General!G:G, "AMPLIACION", General!O:O, "&gt;="&amp;DATE(2025,12,1), General!O:O, "&lt;="&amp;DATE(2025,12,31))</f>
        <v>0</v>
      </c>
      <c r="AB7" s="44">
        <f>AA7*AH9</f>
        <v>0</v>
      </c>
      <c r="AD7" s="261" t="s">
        <v>21</v>
      </c>
      <c r="AF7" s="120" t="s">
        <v>15</v>
      </c>
      <c r="AG7" s="121">
        <v>9562</v>
      </c>
      <c r="AH7" s="121">
        <v>8925</v>
      </c>
      <c r="AI7" s="116"/>
    </row>
    <row r="8" spans="1:35" ht="15.75">
      <c r="C8" s="37" t="s">
        <v>24</v>
      </c>
      <c r="E8" s="254" t="s">
        <v>27</v>
      </c>
      <c r="F8" s="38" t="s">
        <v>27</v>
      </c>
      <c r="G8" s="41">
        <f>COUNTIFS(General!F:F, "IP CERRADA", General!M:M, "A MIÑO", General!H:H, "PTE. APROBACION", General!G:G, "ENVIO DE ORDEN", General!O:O, "&gt;="&amp;DATE(2025,12,1), General!O:O, "&lt;="&amp;DATE(2025,12,31))</f>
        <v>0</v>
      </c>
      <c r="H8" s="42">
        <f>G8*AH10</f>
        <v>0</v>
      </c>
      <c r="J8" s="254" t="s">
        <v>27</v>
      </c>
      <c r="K8" s="38" t="s">
        <v>27</v>
      </c>
      <c r="L8" s="41">
        <f>COUNTIFS(General!F:F, "IP SIN ORDEN", General!M:M, "J. FERLANTI", General!H:H, "PTE. APROBACION", General!G:G, "ENVIO DE ORDEN", General!O:O, "&gt;="&amp;DATE(2025,12,1), General!O:O, "&lt;="&amp;DATE(2025,12,31)) + COUNTIFS(General!F:F, "PARA FACTURAR", General!M:M, "J. FERLANTI", General!H:H, "EN TRAMITE", General!G:G, "ENVIO DE ORDEN", General!O:O, "&gt;="&amp;DATE(2025,12,1), General!O:O, "&lt;="&amp;DATE(2025,12,31))</f>
        <v>0</v>
      </c>
      <c r="M8" s="42">
        <f>L8*AH10</f>
        <v>0</v>
      </c>
      <c r="O8" s="254"/>
      <c r="P8" s="38"/>
      <c r="Q8" s="41">
        <f>COUNTIFS(General!F:F, "IP CERRADA", General!M:M, "J NEIRA", General!H:H, "PTE. APROBACION", General!G:G, "ENVIO DE ORDEN", General!O:O, "&gt;="&amp;DATE(2025,12,1), General!O:O, "&lt;="&amp;DATE(2025,12,31))</f>
        <v>0</v>
      </c>
      <c r="R8" s="42">
        <f>Q8*AH10</f>
        <v>0</v>
      </c>
      <c r="T8" s="254"/>
      <c r="U8" s="38"/>
      <c r="V8" s="41">
        <f>COUNTIFS(General!F:F, "IP CERRADA", General!M:M, "L DEL PIERO", General!H:H, "PTE. APROBACION", General!G:G, "ENVIO DE ORDEN", General!O:O, "&gt;="&amp;DATE(2025,12,1), General!O:O, "&lt;="&amp;DATE(2025,12,31))</f>
        <v>0</v>
      </c>
      <c r="W8" s="42">
        <f>V8*AH10</f>
        <v>0</v>
      </c>
      <c r="Y8" s="254"/>
      <c r="Z8" s="38"/>
      <c r="AA8" s="41">
        <f>COUNTIFS(General!F:F, "IP CERRADA", General!M:M, "E Delia", General!H:H, "PTE. APROBACION", General!G:G, "ENVIO DE ORDEN", General!O:O, "&gt;="&amp;DATE(2025,12,1), General!O:O, "&lt;="&amp;DATE(2025,12,31))</f>
        <v>0</v>
      </c>
      <c r="AB8" s="42">
        <f>AA8*AH10</f>
        <v>0</v>
      </c>
      <c r="AD8" s="37" t="s">
        <v>24</v>
      </c>
      <c r="AF8" s="118" t="s">
        <v>18</v>
      </c>
      <c r="AG8" s="119">
        <v>9562</v>
      </c>
      <c r="AH8" s="119">
        <v>8925</v>
      </c>
      <c r="AI8" s="116"/>
    </row>
    <row r="9" spans="1:35" ht="15.75">
      <c r="C9" s="261" t="s">
        <v>29</v>
      </c>
      <c r="E9" s="39">
        <f>COUNTIFS(General!F:F, "IP CERRADA", General!K:K, "A MIÑO", General!H:H, "PTE. APROBACION", General!G:G, "IP CAMIONES", General!O:O, "&gt;="&amp;DATE(2025,12,1), General!O:O, "&lt;="&amp;DATE(2025,12,31))</f>
        <v>0</v>
      </c>
      <c r="F9" s="40">
        <f>E9*AG15</f>
        <v>0</v>
      </c>
      <c r="G9" s="43">
        <f>COUNTIFS(General!F:F, "IP SIN ORDEN", General!M:M, "J. FERLANTI", General!H:H, "PTE. APROBACION", General!G:G, "IP CAMIONES", General!O:O, "&gt;="&amp;DATE(2025,12,1), General!O:O, "&lt;="&amp;DATE(2025,12,31)) + COUNTIFS(General!F:F, "PARA FACTURAR", General!M:M, "J. FERLANTI", General!H:H, "EN TRAMITE", General!G:G, "IP CAMIONES", General!O:O, "&gt;="&amp;DATE(2025,12,1), General!O:O, "&lt;="&amp;DATE(2025,12,31))</f>
        <v>0</v>
      </c>
      <c r="H9" s="44">
        <f>G9*AH15</f>
        <v>0</v>
      </c>
      <c r="J9" s="39">
        <f>COUNTIFS(General!F:F, "IP CERRADA", General!K:K, "J. FERLANTI", General!H:H, "PTE. APROBACION", General!G:G, "IP CAMIONES", General!O:O, "&gt;="&amp;DATE(2025,12,1), General!O:O, "&lt;="&amp;DATE(2025,12,31)) + COUNTIFS(General!F:F, "PARA FACTURAR", General!K:K, "J. FERLANTI", General!G:G, "IP CAMIONES", General!O:O, "&gt;="&amp;DATE(2025,12,1), General!O:O, "&lt;="&amp;DATE(2025,12,31))</f>
        <v>0</v>
      </c>
      <c r="K9" s="40">
        <f>J9*AG15</f>
        <v>0</v>
      </c>
      <c r="L9" s="43">
        <f>COUNTIFS(General!F:F, "IP CERRADA", General!M:M, "J. FERLANTI", General!H:H, "PTE. APROBACION", General!G:G, "IP CAMIONES", General!O:O, "&gt;="&amp;DATE(2025,12,1), General!O:O, "&lt;="&amp;DATE(2025,12,31))</f>
        <v>0</v>
      </c>
      <c r="M9" s="44">
        <f>L9*AH15</f>
        <v>0</v>
      </c>
      <c r="O9" s="39">
        <f>COUNTIFS(General!F:F, "IP CERRADA", General!K:K, "J NEIRA", General!H:H, "PTE. APROBACION", General!G:G, "IP CAMIONES", General!O:O, "&gt;="&amp;DATE(2025,12,1), General!O:O, "&lt;="&amp;DATE(2025,12,31))</f>
        <v>0</v>
      </c>
      <c r="P9" s="40">
        <f>O9*AG15</f>
        <v>0</v>
      </c>
      <c r="Q9" s="43">
        <f>COUNTIFS(General!F:F, "IP CERRADA", General!M:M, "J NEIRA", General!H:H, "PTE. APROBACION", General!G:G, "IP CAMIONES", General!O:O, "&gt;="&amp;DATE(2025,12,1), General!O:O, "&lt;="&amp;DATE(2025,12,31))</f>
        <v>0</v>
      </c>
      <c r="R9" s="44">
        <f>Q9*AH15</f>
        <v>0</v>
      </c>
      <c r="T9" s="39">
        <f>COUNTIFS(General!F:F, "IP CERRADA", General!K:K, "L DEL PIERO", General!H:H, "PTE. APROBACION", General!G:G, "IP CAMIONES", General!O:O, "&gt;="&amp;DATE(2025,12,1), General!O:O, "&lt;="&amp;DATE(2025,12,31))</f>
        <v>0</v>
      </c>
      <c r="U9" s="40">
        <f>T9*AG15</f>
        <v>0</v>
      </c>
      <c r="V9" s="43">
        <f>COUNTIFS(General!F:F, "IP CERRADA", General!M:M, "L DEL PIERO", General!H:H, "PTE. APROBACION", General!G:G, "IP CAMIONES", General!O:O, "&gt;="&amp;DATE(2025,12,1), General!O:O, "&lt;="&amp;DATE(2025,12,31))</f>
        <v>0</v>
      </c>
      <c r="W9" s="44">
        <f>V9*AH15</f>
        <v>0</v>
      </c>
      <c r="Y9" s="39">
        <f>COUNTIFS(General!F:F, "IP CERRADA", General!K:K, "E Delia", General!H:H, "PTE. APROBACION", General!G:G, "IP CAMIONES", General!O:O, "&gt;="&amp;DATE(2025,12,1), General!O:O, "&lt;="&amp;DATE(2025,12,31))</f>
        <v>0</v>
      </c>
      <c r="Z9" s="40">
        <f>Y9*AG15</f>
        <v>0</v>
      </c>
      <c r="AA9" s="43">
        <f>COUNTIFS(General!F:F, "IP CERRADA", General!M:M, "E Delia", General!H:H, "PTE. APROBACION", General!G:G, "IP CAMIONES", General!O:O, "&gt;="&amp;DATE(2025,12,1), General!O:O, "&lt;="&amp;DATE(2025,12,31))</f>
        <v>0</v>
      </c>
      <c r="AB9" s="44">
        <f>AA9*AH15</f>
        <v>0</v>
      </c>
      <c r="AD9" s="261" t="s">
        <v>29</v>
      </c>
      <c r="AF9" s="120" t="s">
        <v>21</v>
      </c>
      <c r="AG9" s="121">
        <v>4250</v>
      </c>
      <c r="AH9" s="121">
        <v>2000</v>
      </c>
      <c r="AI9" s="116"/>
    </row>
    <row r="10" spans="1:35" ht="15.75">
      <c r="C10" s="37" t="s">
        <v>30</v>
      </c>
      <c r="E10" s="254">
        <f>COUNTIFS(General!F:F, "IP CERRADA", General!K:K, "A MIÑO", General!H:H, "PTE. APROBACION", General!G:G, "TERCEROS", General!O:O, "&gt;="&amp;DATE(2024,3,1), General!O:O, "&gt;="&amp;DATE(2025,12,1), General!O:O, "&lt;="&amp;DATE(2025,12,31))</f>
        <v>0</v>
      </c>
      <c r="F10" s="38">
        <f>E10*AG12</f>
        <v>0</v>
      </c>
      <c r="G10" s="41">
        <f>COUNTIFS(General!F:F, "IP CERRADA", General!M:M, "A MIÑO", General!H:H, "PTE. APROBACION", General!G:G, "TERCEROS", General!O:O, "&gt;="&amp;DATE(2025,12,1), General!O:O, "&lt;="&amp;DATE(2025,12,31))</f>
        <v>0</v>
      </c>
      <c r="H10" s="42">
        <f>G10*AH12</f>
        <v>0</v>
      </c>
      <c r="J10" s="254">
        <f>COUNTIFS(General!F:F, "IP CERRADA", General!K:K, "J. FERLANTI", General!H:H, "PTE. APROBACION", General!G:G, "TERCEROS", General!O:O, "&gt;="&amp;DATE(2025,12,1), General!O:O, "&lt;="&amp;DATE(2025,12,31)) + COUNTIFS(General!F:F, "PARA FACTURAR", General!K:K, "J. FERLANTI", General!G:G, "TERCEROS", General!O:O, "&gt;="&amp;DATE(2025,12,1), General!O:O, "&lt;="&amp;DATE(2025,12,31))</f>
        <v>1</v>
      </c>
      <c r="K10" s="38">
        <f>J10*AG12</f>
        <v>9562</v>
      </c>
      <c r="L10" s="41">
        <f>COUNTIFS(General!F:F, "IP SIN ORDEN", General!M:M, "J. FERLANTI", General!H:H, "PTE. APROBACION", General!G:G, "TERCEROS", General!O:O, "&gt;="&amp;DATE(2025,12,1), General!O:O, "&lt;="&amp;DATE(2025,12,31)) + COUNTIFS(General!F:F, "PARA FACTURAR", General!M:M, "J. FERLANTI", General!H:H, "EN TRAMITE", General!G:G, "TERCEROS", General!O:O, "&gt;="&amp;DATE(2025,12,1), General!O:O, "&lt;="&amp;DATE(2025,12,31))</f>
        <v>0</v>
      </c>
      <c r="M10" s="42">
        <f>L10*AH12</f>
        <v>0</v>
      </c>
      <c r="O10" s="254">
        <f>COUNTIFS(General!F:F, "IP CERRADA", General!K:K, "J NEIRA", General!H:H, "PTE. APROBACION", General!G:G, "TERCEROS", General!O:O, "&gt;="&amp;DATE(2024,3,1), General!O:O, "&gt;="&amp;DATE(2025,12,1), General!O:O, "&lt;="&amp;DATE(2025,12,31))</f>
        <v>0</v>
      </c>
      <c r="P10" s="38">
        <f>O10*AG12</f>
        <v>0</v>
      </c>
      <c r="Q10" s="41">
        <f>COUNTIFS(General!F:F, "IP CERRADA", General!M:M, "J NEIRA", General!H:H, "PTE. APROBACION", General!G:G, "TERCEROS", General!O:O, "&gt;="&amp;DATE(2025,12,1), General!O:O, "&lt;="&amp;DATE(2025,12,31))</f>
        <v>0</v>
      </c>
      <c r="R10" s="42">
        <f>Q10*AH12</f>
        <v>0</v>
      </c>
      <c r="T10" s="254">
        <f>COUNTIFS(General!F:F, "IP CERRADA", General!K:K, "L DEL PIERO", General!H:H, "PTE. APROBACION", General!G:G, "TERCEROS", General!O:O, "&gt;="&amp;DATE(2024,3,1), General!O:O, "&gt;="&amp;DATE(2025,12,1), General!O:O, "&lt;="&amp;DATE(2025,12,31))</f>
        <v>0</v>
      </c>
      <c r="U10" s="38">
        <f>T10*AG12</f>
        <v>0</v>
      </c>
      <c r="V10" s="41">
        <f>COUNTIFS(General!F:F, "IP CERRADA", General!M:M, "L DEL PIERO", General!H:H, "PTE. APROBACION", General!G:G, "TERCEROS", General!O:O, "&gt;="&amp;DATE(2025,12,1), General!O:O, "&lt;="&amp;DATE(2025,12,31))</f>
        <v>0</v>
      </c>
      <c r="W10" s="42">
        <f>V10*AH12</f>
        <v>0</v>
      </c>
      <c r="Y10" s="254">
        <f>COUNTIFS(General!F:F, "IP CERRADA", General!K:K, "E Delia", General!H:H, "PTE. APROBACION", General!G:G, "TERCEROS", General!O:O, "&gt;="&amp;DATE(2024,3,1), General!O:O, "&gt;="&amp;DATE(2025,12,1), General!O:O, "&lt;="&amp;DATE(2025,12,31))</f>
        <v>0</v>
      </c>
      <c r="Z10" s="38">
        <f>Y10*AG12</f>
        <v>0</v>
      </c>
      <c r="AA10" s="41">
        <f>COUNTIFS(General!F:F, "IP CERRADA", General!M:M, "E Delia", General!H:H, "PTE. APROBACION", General!G:G, "TERCEROS", General!O:O, "&gt;="&amp;DATE(2025,12,1), General!O:O, "&lt;="&amp;DATE(2025,12,31))</f>
        <v>0</v>
      </c>
      <c r="AB10" s="42">
        <f>AA10*AH12</f>
        <v>0</v>
      </c>
      <c r="AD10" s="37" t="s">
        <v>30</v>
      </c>
      <c r="AF10" s="118" t="s">
        <v>24</v>
      </c>
      <c r="AG10" s="119" t="s">
        <v>27</v>
      </c>
      <c r="AH10" s="119"/>
      <c r="AI10" s="116"/>
    </row>
    <row r="11" spans="1:35" ht="15.75">
      <c r="C11" s="261" t="s">
        <v>32</v>
      </c>
      <c r="E11" s="39" t="s">
        <v>27</v>
      </c>
      <c r="F11" s="40" t="s">
        <v>27</v>
      </c>
      <c r="G11" s="43">
        <f>COUNTIFS(General!F:F, "IP CERRADA", General!M:M, "A MIÑO", General!H:H, "PTE. APROBACION", General!G:G, "FOTOS", General!O:O, "&gt;="&amp;DATE(2025,12,1), General!O:O, "&lt;="&amp;DATE(2025,12,31))</f>
        <v>0</v>
      </c>
      <c r="H11" s="44">
        <v>0</v>
      </c>
      <c r="J11" s="39" t="s">
        <v>27</v>
      </c>
      <c r="K11" s="40" t="s">
        <v>27</v>
      </c>
      <c r="L11" s="43">
        <f>COUNTIFS(General!F:F, "IP SIN ORDEN", General!M:M, "J. FERLANTI", General!H:H, "PTE. APROBACION", General!G:G, "FOTOS", General!O:O, "&gt;="&amp;DATE(2025,12,1), General!O:O, "&lt;="&amp;DATE(2025,12,31)) + COUNTIFS(General!F:F, "PARA FACTURAR", General!M:M, "J. FERLANTI", General!H:H, "EN TRAMITE", General!G:G, "FOTOS", General!O:O, "&gt;="&amp;DATE(2025,12,1), General!O:O, "&lt;="&amp;DATE(2025,12,31))</f>
        <v>0</v>
      </c>
      <c r="M11" s="44">
        <f>L11*AH13</f>
        <v>0</v>
      </c>
      <c r="O11" s="39"/>
      <c r="P11" s="40"/>
      <c r="Q11" s="43">
        <f>COUNTIFS(General!F:F, "IP CERRADA", General!M:M, "J NEIRA", General!H:H, "PTE. APROBACION", General!G:G, "FOTOS", General!O:O, "&gt;="&amp;DATE(2025,12,1), General!O:O, "&lt;="&amp;DATE(2025,12,31))</f>
        <v>0</v>
      </c>
      <c r="R11" s="44">
        <f>Q11*AH13</f>
        <v>0</v>
      </c>
      <c r="T11" s="39"/>
      <c r="U11" s="40"/>
      <c r="V11" s="43">
        <f>COUNTIFS(General!F:F, "IP CERRADA", General!M:M, "L DEL PIERO", General!H:H, "PTE. APROBACION", General!G:G, "FOTOS", General!O:O, "&gt;="&amp;DATE(2025,12,1), General!O:O, "&lt;="&amp;DATE(2025,12,31))</f>
        <v>0</v>
      </c>
      <c r="W11" s="44">
        <f>V11*AH13</f>
        <v>0</v>
      </c>
      <c r="Y11" s="39"/>
      <c r="Z11" s="40"/>
      <c r="AA11" s="43">
        <f>COUNTIFS(General!F:F, "IP CERRADA", General!M:M, "E Delia", General!H:H, "PTE. APROBACION", General!G:G, "FOTOS", General!O:O, "&gt;="&amp;DATE(2025,12,1), General!O:O, "&lt;="&amp;DATE(2025,12,31))</f>
        <v>0</v>
      </c>
      <c r="AB11" s="44">
        <f>AA11*AH13</f>
        <v>0</v>
      </c>
      <c r="AD11" s="261" t="s">
        <v>32</v>
      </c>
      <c r="AF11" s="120" t="s">
        <v>26</v>
      </c>
      <c r="AG11" s="121">
        <v>2550</v>
      </c>
      <c r="AH11" s="121" t="s">
        <v>27</v>
      </c>
      <c r="AI11" s="116"/>
    </row>
    <row r="12" spans="1:35" ht="15.75">
      <c r="C12" s="37" t="s">
        <v>84</v>
      </c>
      <c r="E12" s="254">
        <f>COUNTIFS(General!F:F, "IP CERRADA", General!K:K, "A MIÑO", General!K:K, "A MIÑO", General!H:H, "PTE. APROBACION", General!G:G, "IP FINAL/INTERMEDIA", General!O:O, "&gt;="&amp;DATE(2025,12,1), General!O:O, "&lt;="&amp;DATE(2025,12,31))</f>
        <v>0</v>
      </c>
      <c r="F12" s="38">
        <f>E12*AG14</f>
        <v>0</v>
      </c>
      <c r="G12" s="41">
        <f>COUNTIFS(General!F:F, "IP CERRADA", General!M:M, "A MIÑO", General!H:H, "PTE. APROBACION", General!G:G, "IP REMOTA", General!O:O, "&gt;="&amp;DATE(2025,12,1), General!O:O, "&lt;="&amp;DATE(2025,12,31))</f>
        <v>0</v>
      </c>
      <c r="H12" s="42">
        <f>G12*AH14</f>
        <v>0</v>
      </c>
      <c r="J12" s="254">
        <f>COUNTIFS(General!F:F, "IP CERRADA", General!K:K, "J. FERLANTI", General!H:H, "PTE. APROBACION", General!G:G, "IP FINAL/INTERMEDIA", General!O:O, "&gt;="&amp;DATE(2025,12,1), General!O:O, "&lt;="&amp;DATE(2025,12,31)) + COUNTIFS(General!F:F, "PARA FACTURAR", General!K:K, "J. FERLANTI", General!G:G, "IP FINAL/INTERMEDIA", General!O:O, "&gt;="&amp;DATE(2025,12,1), General!O:O, "&lt;="&amp;DATE(2025,12,31))</f>
        <v>0</v>
      </c>
      <c r="K12" s="38">
        <f>J12*AG9</f>
        <v>0</v>
      </c>
      <c r="L12" s="41">
        <f>COUNTIFS(General!F:F, "IP CERRADA", General!M:M, "J. FERLANTI", General!H:H, "PTE. APROBACION", General!G:G, "IP FINAL/INTERMEDIA", General!O:O, "&gt;="&amp;DATE(2025,12,1), General!O:O, "&lt;="&amp;DATE(2025,12,31)) + COUNTIFS(General!F:F, "PARA FACTURAR", General!M:M, "J. FERLANTI", General!H:H, "EN TRAMITE", General!G:G, "IP FINAL/INTERMEDIA", General!O:O, "&gt;="&amp;DATE(2025,12,1), General!O:O, "&lt;="&amp;DATE(2025,12,31))</f>
        <v>3</v>
      </c>
      <c r="M12" s="42">
        <f>L12*AH9</f>
        <v>6000</v>
      </c>
      <c r="O12" s="254">
        <f>COUNTIFS(General!F:F, "IP CERRADA", General!K:K, "J NEIRA", General!K:K, "A MIÑO", General!H:H, "PTE. APROBACION", General!G:G, "IP REMOTA", General!O:O, "&gt;="&amp;DATE(2025,12,1), General!O:O, "&lt;="&amp;DATE(2025,12,31))</f>
        <v>0</v>
      </c>
      <c r="P12" s="38">
        <f>O12*AG14</f>
        <v>0</v>
      </c>
      <c r="Q12" s="41">
        <f>COUNTIFS(General!F:F, "IP CERRADA", General!M:M, "J NEIRA", General!H:H, "PTE. APROBACION", General!G:G, "IP REMOTA", General!O:O, "&gt;="&amp;DATE(2025,12,1), General!O:O, "&lt;="&amp;DATE(2025,12,31))</f>
        <v>0</v>
      </c>
      <c r="R12" s="42">
        <f>Q12*AH14</f>
        <v>0</v>
      </c>
      <c r="T12" s="254">
        <f>COUNTIFS(General!F:F, "IP CERRADA", General!K:K, "L DEL PIERO", General!K:K, "A MIÑO", General!H:H, "PTE. APROBACION", General!G:G, "IP REMOTA", General!O:O, "&gt;="&amp;DATE(2025,12,1), General!O:O, "&lt;="&amp;DATE(2025,12,31))</f>
        <v>0</v>
      </c>
      <c r="U12" s="38">
        <f>T12*AG14</f>
        <v>0</v>
      </c>
      <c r="V12" s="41">
        <f>COUNTIFS(General!F:F, "IP CERRADA", General!M:M, "L DEL PIERO", General!H:H, "PTE. APROBACION", General!G:G, "IP REMOTA", General!O:O, "&gt;="&amp;DATE(2025,12,1), General!O:O, "&lt;="&amp;DATE(2025,12,31))</f>
        <v>0</v>
      </c>
      <c r="W12" s="42">
        <f>V12*AH14</f>
        <v>0</v>
      </c>
      <c r="Y12" s="254">
        <f>COUNTIFS(General!F:F, "IP CERRADA", General!K:K, "E Delia",  General!H:H, "PTE. APROBACION", General!G:G, "IP FINAL/INTERMEDIA", General!O:O, "&gt;="&amp;DATE(2025,12,1), General!O:O, "&lt;="&amp;DATE(2025,12,31))</f>
        <v>2</v>
      </c>
      <c r="Z12" s="38">
        <f>Y12*AG9</f>
        <v>8500</v>
      </c>
      <c r="AA12" s="41">
        <f>COUNTIFS(General!F:F, "IP CERRADA", General!M:M, "E Delia", General!H:H, "PTE. APROBACION", General!G:G, "IP REMOTA", General!O:O, "&gt;="&amp;DATE(2025,12,1), General!O:O, "&lt;="&amp;DATE(2025,12,31))</f>
        <v>0</v>
      </c>
      <c r="AB12" s="42">
        <f>AA12*AH14</f>
        <v>0</v>
      </c>
      <c r="AD12" s="37" t="s">
        <v>34</v>
      </c>
      <c r="AF12" s="118" t="s">
        <v>30</v>
      </c>
      <c r="AG12" s="119">
        <v>9562</v>
      </c>
      <c r="AH12" s="119">
        <v>8925</v>
      </c>
      <c r="AI12" s="116"/>
    </row>
    <row r="13" spans="1:35" ht="15.75">
      <c r="C13" s="261" t="s">
        <v>37</v>
      </c>
      <c r="E13" s="39" t="s">
        <v>27</v>
      </c>
      <c r="F13" s="40" t="s">
        <v>27</v>
      </c>
      <c r="G13" s="43">
        <f>COUNTIFS(General!F:F, "IP CERRADA", General!M:M, "A MIÑO", General!H:H, "PTE. APROBACION", General!G:G, "IP VIRTUAL", General!O:O, "&gt;="&amp;DATE(2025,12,1), General!O:O, "&lt;="&amp;DATE(2025,12,31))</f>
        <v>0</v>
      </c>
      <c r="H13" s="44">
        <f>G13*AH16</f>
        <v>0</v>
      </c>
      <c r="J13" s="39" t="s">
        <v>27</v>
      </c>
      <c r="K13" s="40" t="s">
        <v>27</v>
      </c>
      <c r="L13" s="43">
        <f>COUNTIFS(General!F:F, "IP SIN ORDEN", General!M:M, "J. FERLANTI", General!H:H, "PTE. APROBACION", General!G:G, "IP VIRTUAL", General!O:O, "&gt;="&amp;DATE(2025,12,1), General!O:O, "&lt;="&amp;DATE(2025,12,31)) + COUNTIFS(General!F:F, "PARA FACTURAR", General!M:M, "J. FERLANTI", General!H:H, "EN TRAMITE", General!G:G, "IP VIRTUAL", General!O:O, "&gt;="&amp;DATE(2025,12,1), General!O:O, "&lt;="&amp;DATE(2025,12,31))</f>
        <v>0</v>
      </c>
      <c r="M13" s="44">
        <f>L13*AH16</f>
        <v>0</v>
      </c>
      <c r="O13" s="39"/>
      <c r="P13" s="40"/>
      <c r="Q13" s="43">
        <f>COUNTIFS(General!F:F, "IP CERRADA", General!M:M, "J NEIRA", General!H:H, "PTE. APROBACION", General!G:G, "IP VIRTUAL", General!O:O, "&gt;="&amp;DATE(2025,12,1), General!O:O, "&lt;="&amp;DATE(2025,12,31))</f>
        <v>0</v>
      </c>
      <c r="R13" s="44">
        <f>Q13*AH16</f>
        <v>0</v>
      </c>
      <c r="T13" s="39"/>
      <c r="U13" s="40"/>
      <c r="V13" s="43">
        <f>COUNTIFS(General!F:F, "IP CERRADA", General!M:M, "L DEL PIERO", General!H:H, "PTE. APROBACION", General!G:G, "IP VIRTUAL", General!O:O, "&gt;="&amp;DATE(2025,12,1), General!O:O, "&lt;="&amp;DATE(2025,12,31))</f>
        <v>0</v>
      </c>
      <c r="W13" s="44">
        <f>V13*AH16</f>
        <v>0</v>
      </c>
      <c r="Y13" s="39"/>
      <c r="Z13" s="40"/>
      <c r="AA13" s="43">
        <f>COUNTIFS(General!F:F, "IP CERRADA", General!M:M, "E Delia", General!H:H, "PTE. APROBACION", General!G:G, "IP VIRTUAL", General!O:O, "&gt;="&amp;DATE(2025,12,1), General!O:O, "&lt;="&amp;DATE(2025,12,31))</f>
        <v>0</v>
      </c>
      <c r="AB13" s="44">
        <f>AA13*AH16</f>
        <v>0</v>
      </c>
      <c r="AD13" s="261" t="s">
        <v>37</v>
      </c>
      <c r="AF13" s="120" t="s">
        <v>32</v>
      </c>
      <c r="AG13" s="121" t="s">
        <v>27</v>
      </c>
      <c r="AH13" s="121">
        <v>0</v>
      </c>
      <c r="AI13" s="116"/>
    </row>
    <row r="14" spans="1:35" ht="15.75">
      <c r="C14" s="37" t="s">
        <v>26</v>
      </c>
      <c r="E14" s="254">
        <f>COUNTIFS(General!F:F, "IP CERRADA", General!K:K, "A MIÑO", General!K:K, "A MIÑO", General!H:H, "PTE. APROBACION", General!G:G, "AUSENTE", General!O:O, "&gt;="&amp;DATE(2025,12,1), General!O:O, "&lt;="&amp;DATE(2025,12,31))</f>
        <v>0</v>
      </c>
      <c r="F14" s="38">
        <f>E14*AG11</f>
        <v>0</v>
      </c>
      <c r="G14" s="41" t="s">
        <v>27</v>
      </c>
      <c r="H14" s="42" t="s">
        <v>27</v>
      </c>
      <c r="J14" s="254">
        <f>COUNTIFS(General!F:F, "IP CERRADA", General!K:K, "J. FERLANTI", General!H:H, "PTE. APROBACION", General!G:G, "AUSENTE", General!O:O, "&gt;="&amp;DATE(2025,12,1), General!O:O, "&lt;="&amp;DATE(2025,12,31)) + COUNTIFS(General!F:F, "PARA FACTURAR", General!K:K, "J. FERLANTI", General!G:G, "AUSENTE", General!O:O, "&gt;="&amp;DATE(2025,12,1), General!O:O, "&lt;="&amp;DATE(2025,12,31))</f>
        <v>0</v>
      </c>
      <c r="K14" s="38">
        <f>J14*AG11</f>
        <v>0</v>
      </c>
      <c r="L14" s="41"/>
      <c r="M14" s="42"/>
      <c r="O14" s="254">
        <f>COUNTIFS(General!F:F, "IP CERRADA", General!K:K, "J NEIRA", General!K:K, "A MIÑO", General!H:H, "PTE. APROBACION", General!G:G, "AUSENTE", General!O:O, "&gt;="&amp;DATE(2025,12,1), General!O:O, "&lt;="&amp;DATE(2025,12,31))</f>
        <v>0</v>
      </c>
      <c r="P14" s="38">
        <f>O14*AG11</f>
        <v>0</v>
      </c>
      <c r="Q14" s="41"/>
      <c r="R14" s="42"/>
      <c r="T14" s="254">
        <f>COUNTIFS(General!F:F, "IP CERRADA", General!K:K, "L DEL PIERO", General!K:K, "A MIÑO", General!H:H, "PTE. APROBACION", General!G:G, "AUSENTE", General!O:O, "&gt;="&amp;DATE(2025,12,1), General!O:O, "&lt;="&amp;DATE(2025,12,31))</f>
        <v>0</v>
      </c>
      <c r="U14" s="38">
        <f>T14*AG11</f>
        <v>0</v>
      </c>
      <c r="V14" s="41"/>
      <c r="W14" s="42"/>
      <c r="Y14" s="254">
        <f>COUNTIFS(General!F:F, "IP CERRADA", General!K:K, "E Delia", General!K:K, "E DELIA", General!H:H, "PTE. APROBACION", General!G:G, "AUSENTE", General!O:O, "&gt;="&amp;DATE(2025,12,1), General!O:O, "&lt;="&amp;DATE(2025,12,31))</f>
        <v>13</v>
      </c>
      <c r="Z14" s="38">
        <f>Y14*AG11</f>
        <v>33150</v>
      </c>
      <c r="AA14" s="41"/>
      <c r="AB14" s="42"/>
      <c r="AD14" s="37" t="s">
        <v>26</v>
      </c>
      <c r="AF14" s="118" t="s">
        <v>34</v>
      </c>
      <c r="AG14" s="119">
        <v>0</v>
      </c>
      <c r="AH14" s="119">
        <v>0</v>
      </c>
      <c r="AI14" s="116"/>
    </row>
    <row r="15" spans="1:35">
      <c r="E15" s="395" t="s">
        <v>44</v>
      </c>
      <c r="F15" s="396"/>
      <c r="G15" s="397" t="s">
        <v>44</v>
      </c>
      <c r="H15" s="398"/>
      <c r="J15" s="383" t="s">
        <v>44</v>
      </c>
      <c r="K15" s="384"/>
      <c r="L15" s="381" t="s">
        <v>44</v>
      </c>
      <c r="M15" s="382"/>
      <c r="O15" s="383" t="s">
        <v>44</v>
      </c>
      <c r="P15" s="384"/>
      <c r="Q15" s="381" t="s">
        <v>44</v>
      </c>
      <c r="R15" s="382"/>
      <c r="T15" s="383" t="s">
        <v>44</v>
      </c>
      <c r="U15" s="384"/>
      <c r="V15" s="381" t="s">
        <v>44</v>
      </c>
      <c r="W15" s="382"/>
      <c r="Y15" s="383" t="s">
        <v>44</v>
      </c>
      <c r="Z15" s="384"/>
      <c r="AA15" s="381" t="s">
        <v>44</v>
      </c>
      <c r="AB15" s="382"/>
      <c r="AF15" s="120" t="s">
        <v>29</v>
      </c>
      <c r="AG15" s="121">
        <v>9562</v>
      </c>
      <c r="AH15" s="121">
        <v>8925</v>
      </c>
      <c r="AI15" s="116"/>
    </row>
    <row r="16" spans="1:35">
      <c r="E16" s="37">
        <f>E4+E5+E6+E7+E9+E10+E12+E14</f>
        <v>0</v>
      </c>
      <c r="F16" s="29">
        <f>F4+F5+F6+F7+F9+F10+F12+F14</f>
        <v>0</v>
      </c>
      <c r="G16" s="51">
        <f>G4+G5+G6+G7+G8+G9+G10+G11+G12+G13</f>
        <v>0</v>
      </c>
      <c r="H16" s="45">
        <f>H4+H5+H6+H7+H8+H9+H10+H11+H12+H13</f>
        <v>0</v>
      </c>
      <c r="J16" s="37">
        <f>J4+J5+J6+J7+J9+J10+J12+J14</f>
        <v>14</v>
      </c>
      <c r="K16" s="29">
        <f>K4+K5+K6+K7+K9+K10+K12+K14</f>
        <v>91372</v>
      </c>
      <c r="L16" s="51">
        <f>L4+L5+L6+L7+L8+L9+L10+L11+L12+L13</f>
        <v>151</v>
      </c>
      <c r="M16" s="45">
        <f>M4+M5+M6+M7+M8+M9+M10+M11+M12+M13</f>
        <v>1195325</v>
      </c>
      <c r="O16" s="37">
        <f>O4+O5+O6+O7+O8+O9+O10+O11+O12+O13+O14</f>
        <v>0</v>
      </c>
      <c r="P16" s="29">
        <f>P4+P5+P6+P7+P8+P9+P10+P11+P12+P13</f>
        <v>0</v>
      </c>
      <c r="Q16" s="51">
        <f>Q4+Q5+Q6+Q7+Q8+Q9+Q10+Q11+Q12+Q13</f>
        <v>0</v>
      </c>
      <c r="R16" s="45">
        <f>R4+R5+R6+R7+R8+R9+R10+R11+R12+R13</f>
        <v>0</v>
      </c>
      <c r="T16" s="37">
        <f>T4+T5+T6+T7+T8+T9+T10+T11+T12+T13+T14</f>
        <v>85</v>
      </c>
      <c r="U16" s="29">
        <f>U4+U5+U6+U7+U8+U9+U10+U11+U12+U13</f>
        <v>786210</v>
      </c>
      <c r="V16" s="51">
        <f>V4+V5+V6+V7+V8+V9+V10+V11+V12+V13</f>
        <v>0</v>
      </c>
      <c r="W16" s="45">
        <f>W4+W5+W6+W7+W8+W9+W10+W11+W12+W13</f>
        <v>0</v>
      </c>
      <c r="Y16" s="37">
        <f>Y4+Y5+Y6+Y7+Y8+Y9+Y10+Y11+Y12+Y13+Y14</f>
        <v>65</v>
      </c>
      <c r="Z16" s="29">
        <f>Z4+Z5+Z6+Z7+Z8+Z9+Z10+Z11+Z12+Z13</f>
        <v>454728</v>
      </c>
      <c r="AA16" s="51">
        <f>AA4+AA5+AA6+AA7+AA8+AA9+AA10+AA11+AA12+AA13</f>
        <v>0</v>
      </c>
      <c r="AB16" s="45">
        <f>AB4+AB5+AB6+AB7+AB8+AB9+AB10+AB11+AB12+AB13</f>
        <v>0</v>
      </c>
      <c r="AF16" s="118" t="s">
        <v>37</v>
      </c>
      <c r="AG16" s="119" t="s">
        <v>27</v>
      </c>
      <c r="AH16" s="119">
        <v>0</v>
      </c>
      <c r="AI16" s="116"/>
    </row>
    <row r="17" spans="3:35">
      <c r="E17" s="48"/>
      <c r="F17" s="49"/>
      <c r="G17" s="48"/>
      <c r="H17" s="49"/>
      <c r="J17" s="48"/>
      <c r="K17" s="49"/>
      <c r="L17" s="48"/>
      <c r="M17" s="49"/>
      <c r="O17" s="48"/>
      <c r="P17" s="49"/>
      <c r="Q17" s="48"/>
      <c r="R17" s="49"/>
      <c r="T17" s="48"/>
      <c r="U17" s="49"/>
      <c r="V17" s="48"/>
      <c r="W17" s="49"/>
      <c r="Y17" s="48"/>
      <c r="Z17" s="49"/>
      <c r="AA17" s="48"/>
      <c r="AB17" s="49"/>
      <c r="AF17" s="118"/>
      <c r="AG17" s="119"/>
      <c r="AH17" s="119"/>
      <c r="AI17" s="116"/>
    </row>
    <row r="18" spans="3:35">
      <c r="E18" s="395"/>
      <c r="F18" s="396"/>
      <c r="G18" s="261"/>
      <c r="H18" s="52"/>
      <c r="J18" s="380"/>
      <c r="K18" s="380"/>
      <c r="L18" s="261"/>
      <c r="M18" s="50"/>
      <c r="O18" s="380"/>
      <c r="P18" s="380"/>
      <c r="Q18" s="261"/>
      <c r="R18" s="50"/>
      <c r="T18" s="380"/>
      <c r="U18" s="380"/>
      <c r="V18" s="261"/>
      <c r="W18" s="50"/>
      <c r="Y18" s="380"/>
      <c r="Z18" s="380"/>
      <c r="AA18" s="261"/>
      <c r="AB18" s="50"/>
      <c r="AF18" s="118"/>
      <c r="AG18" s="119"/>
      <c r="AH18" s="119"/>
      <c r="AI18" s="116"/>
    </row>
    <row r="19" spans="3:35">
      <c r="E19" s="376" t="s">
        <v>3</v>
      </c>
      <c r="F19" s="377"/>
      <c r="G19" s="99">
        <f>COUNTIFS(General!F:F, "LICITANDO REPUESTOS", General!M:M, "A MIÑO")</f>
        <v>0</v>
      </c>
      <c r="H19" s="100"/>
      <c r="J19" s="376" t="s">
        <v>3</v>
      </c>
      <c r="K19" s="377"/>
      <c r="L19" s="99">
        <f>COUNTIFS(General!F:F, "LICITANDO REPUESTOS", General!M:M, "J. FERLANTI")</f>
        <v>16</v>
      </c>
      <c r="M19" s="100"/>
      <c r="O19" s="393" t="s">
        <v>3</v>
      </c>
      <c r="P19" s="394"/>
      <c r="Q19" s="99">
        <f>COUNTIFS(General!F:F, "LICITANDO REPUESTOS", General!M:M, "J NEIRA")</f>
        <v>0</v>
      </c>
      <c r="R19" s="100"/>
      <c r="T19" s="376" t="s">
        <v>3</v>
      </c>
      <c r="U19" s="377"/>
      <c r="V19" s="95"/>
      <c r="W19" s="96"/>
      <c r="Y19" s="376" t="s">
        <v>3</v>
      </c>
      <c r="Z19" s="377"/>
      <c r="AA19" s="95"/>
      <c r="AB19" s="96"/>
      <c r="AF19" s="122" t="s">
        <v>43</v>
      </c>
      <c r="AG19" s="123">
        <v>300</v>
      </c>
      <c r="AH19" s="123" t="s">
        <v>27</v>
      </c>
      <c r="AI19" s="117"/>
    </row>
    <row r="20" spans="3:35">
      <c r="E20" s="378" t="s">
        <v>85</v>
      </c>
      <c r="F20" s="379"/>
      <c r="G20" s="97"/>
      <c r="H20" s="98"/>
      <c r="J20" s="378" t="s">
        <v>85</v>
      </c>
      <c r="K20" s="379"/>
      <c r="L20" s="97">
        <f>COUNTIFS(General!F:F, "IP COORDINADA", General!M:M, "J. FERLANTI")</f>
        <v>34</v>
      </c>
      <c r="M20" s="98"/>
      <c r="O20" s="378" t="s">
        <v>85</v>
      </c>
      <c r="P20" s="379"/>
      <c r="Q20" s="97"/>
      <c r="R20" s="98"/>
      <c r="T20" s="378" t="s">
        <v>85</v>
      </c>
      <c r="U20" s="379"/>
      <c r="V20" s="97"/>
      <c r="W20" s="98"/>
      <c r="Y20" s="378" t="s">
        <v>85</v>
      </c>
      <c r="Z20" s="379"/>
      <c r="AA20" s="97"/>
      <c r="AB20" s="98"/>
    </row>
    <row r="21" spans="3:35">
      <c r="E21" s="374" t="s">
        <v>86</v>
      </c>
      <c r="F21" s="375"/>
      <c r="G21" s="46">
        <f>E4+E5+E6+E7+E9+E10+E12+E14+G4+G5+G6+G7+G8+G9+G10+G11+G12+G13</f>
        <v>0</v>
      </c>
      <c r="H21" s="47">
        <f>F16+H16+H18</f>
        <v>0</v>
      </c>
      <c r="J21" s="374" t="s">
        <v>86</v>
      </c>
      <c r="K21" s="375"/>
      <c r="L21" s="46">
        <f>J4+J5+J6+J7+J9+J10+J12+J14+L4+L5+L6+L7+L9+L8+L10+L11+L12+L13</f>
        <v>165</v>
      </c>
      <c r="M21" s="47">
        <f>M16+M18+K16</f>
        <v>1286697</v>
      </c>
      <c r="O21" s="374" t="s">
        <v>86</v>
      </c>
      <c r="P21" s="375"/>
      <c r="Q21" s="46">
        <f>Q4+Q5+Q6+Q7+Q8+Q9+Q10+Q11+Q12+Q13+O4+O5+O6+O8+O7+O9+O10+O11+O12+O13</f>
        <v>0</v>
      </c>
      <c r="R21" s="47">
        <f>P16+R16</f>
        <v>0</v>
      </c>
      <c r="T21" s="374" t="s">
        <v>86</v>
      </c>
      <c r="U21" s="375"/>
      <c r="V21" s="46">
        <f>V4+V5+V6+V7+V8+V9+V10+V11+V12+V13+T4+T5+T6+T8+T7+T9+T10+T11+T12+T13</f>
        <v>85</v>
      </c>
      <c r="W21" s="47">
        <f>U16+W16</f>
        <v>786210</v>
      </c>
      <c r="Y21" s="374" t="s">
        <v>86</v>
      </c>
      <c r="Z21" s="375"/>
      <c r="AA21" s="46">
        <f>AA4+AA5+AA6+AA7+AA8+AA9+AA10+AA11+AA12+AA13+Y4+Y5+Y6+Y8+Y7+Y9+Y10+Y11+Y12+Y13</f>
        <v>52</v>
      </c>
      <c r="AB21" s="47">
        <f>Z16+AB16</f>
        <v>454728</v>
      </c>
    </row>
    <row r="22" spans="3:35">
      <c r="S22" t="s">
        <v>87</v>
      </c>
    </row>
    <row r="24" spans="3:35">
      <c r="C24" s="369" t="s">
        <v>1</v>
      </c>
      <c r="E24" s="385" t="s">
        <v>33</v>
      </c>
      <c r="F24" s="386"/>
      <c r="G24" s="386"/>
      <c r="H24" s="387"/>
      <c r="J24" s="385" t="s">
        <v>31</v>
      </c>
      <c r="K24" s="386"/>
      <c r="L24" s="386"/>
      <c r="M24" s="387"/>
      <c r="O24" s="385" t="s">
        <v>88</v>
      </c>
      <c r="P24" s="386"/>
      <c r="Q24" s="386"/>
      <c r="R24" s="387"/>
      <c r="T24" s="385" t="s">
        <v>22</v>
      </c>
      <c r="U24" s="386"/>
      <c r="V24" s="386"/>
      <c r="W24" s="387"/>
      <c r="Y24" s="385" t="s">
        <v>28</v>
      </c>
      <c r="Z24" s="386"/>
      <c r="AA24" s="386"/>
      <c r="AB24" s="387"/>
      <c r="AD24" s="369" t="s">
        <v>1</v>
      </c>
    </row>
    <row r="25" spans="3:35">
      <c r="C25" s="369"/>
      <c r="E25" s="388"/>
      <c r="F25" s="389"/>
      <c r="G25" s="389"/>
      <c r="H25" s="390"/>
      <c r="J25" s="388"/>
      <c r="K25" s="389"/>
      <c r="L25" s="389"/>
      <c r="M25" s="390"/>
      <c r="O25" s="388"/>
      <c r="P25" s="389"/>
      <c r="Q25" s="389"/>
      <c r="R25" s="390"/>
      <c r="T25" s="388"/>
      <c r="U25" s="389"/>
      <c r="V25" s="389"/>
      <c r="W25" s="390"/>
      <c r="Y25" s="388"/>
      <c r="Z25" s="389"/>
      <c r="AA25" s="389"/>
      <c r="AB25" s="390"/>
      <c r="AD25" s="369"/>
    </row>
    <row r="26" spans="3:35">
      <c r="E26" s="391" t="s">
        <v>83</v>
      </c>
      <c r="F26" s="391"/>
      <c r="G26" s="392" t="s">
        <v>8</v>
      </c>
      <c r="H26" s="392"/>
      <c r="J26" s="391" t="s">
        <v>83</v>
      </c>
      <c r="K26" s="391"/>
      <c r="L26" s="392" t="s">
        <v>8</v>
      </c>
      <c r="M26" s="392"/>
      <c r="O26" s="391" t="s">
        <v>83</v>
      </c>
      <c r="P26" s="391"/>
      <c r="Q26" s="392" t="s">
        <v>8</v>
      </c>
      <c r="R26" s="392"/>
      <c r="T26" s="391" t="s">
        <v>83</v>
      </c>
      <c r="U26" s="391"/>
      <c r="V26" s="392" t="s">
        <v>8</v>
      </c>
      <c r="W26" s="392"/>
      <c r="Y26" s="391" t="s">
        <v>83</v>
      </c>
      <c r="Z26" s="391"/>
      <c r="AA26" s="392" t="s">
        <v>8</v>
      </c>
      <c r="AB26" s="392"/>
    </row>
    <row r="27" spans="3:35" ht="15.75">
      <c r="C27" s="37" t="s">
        <v>10</v>
      </c>
      <c r="E27" s="254">
        <f>COUNTIFS(General!F:F, "IP CERRADA", General!K:K, "G DICLEMENTE", General!H:H, "PTE. APROBACION", General!G:G, "IP CON ORDEN", General!O:O, "&gt;="&amp;DATE(2025,12,1), General!O:O, "&lt;="&amp;DATE(2025,12,31))</f>
        <v>0</v>
      </c>
      <c r="F27" s="38">
        <f>E27*AG5</f>
        <v>0</v>
      </c>
      <c r="G27" s="55">
        <f>COUNTIFS(General!F:F, "IP CERRADA", General!M:M, "G DICLEMENTE", General!H:H, "PTE. APROBACION", General!G:G, "IP CON ORDEN", General!O:O, "&gt;="&amp;DATE(2025,12,1), General!O:O, "&lt;="&amp;DATE(2025,12,31))</f>
        <v>0</v>
      </c>
      <c r="H27" s="42">
        <f>G27*AH5</f>
        <v>0</v>
      </c>
      <c r="J27" s="254">
        <f>COUNTIFS(General!F:F, "IP CERRADA", General!K:K, "R. FRANCO", General!H:H, "PTE. APROBACION", General!G:G, "IP CON ORDEN", General!O:O, "&gt;="&amp;DATE(2025,12,1), General!O:O, "&lt;="&amp;DATE(2025,12,31))</f>
        <v>0</v>
      </c>
      <c r="K27" s="38">
        <f>J27*AG5</f>
        <v>0</v>
      </c>
      <c r="L27" s="41">
        <f>COUNTIFS(General!F:F, "IP CERRADA", General!M:M, "R. FRANCO", General!H:H, "PTE. APROBACION", General!G:G, "IP CON ORDEN", General!O:O, "&gt;="&amp;DATE(2025,12,1), General!O:O, "&lt;="&amp;DATE(2025,12,31))</f>
        <v>0</v>
      </c>
      <c r="M27" s="42">
        <f>L27*AH5</f>
        <v>0</v>
      </c>
      <c r="O27" s="254">
        <f>COUNTIFS(General!F:F, "IP CERRADA", General!K:K, "R ARIN", General!H:H, "PTE. APROBACION", General!G:G, "IP CON ORDEN", General!O:O, "&gt;="&amp;DATE(2025,12,1), General!O:O, "&lt;="&amp;DATE(2025,12,31))</f>
        <v>0</v>
      </c>
      <c r="P27" s="38">
        <f>O27*AG5</f>
        <v>0</v>
      </c>
      <c r="Q27" s="41">
        <f>COUNTIFS(General!F:F, "IP CERRADA", General!M:M, "R ARIN", General!H:H, "PTE. APROBACION", General!G:G, "IP CON ORDEN", General!O:O, "&gt;="&amp;DATE(2025,12,1), General!O:O, "&lt;="&amp;DATE(2025,12,31))</f>
        <v>0</v>
      </c>
      <c r="R27" s="42">
        <f>Q27*AH5</f>
        <v>0</v>
      </c>
      <c r="T27" s="254">
        <f>COUNTIFS(General!F:F, "IP CERRADA", General!K:K, "C. CRIBARI", General!H:H, "PTE. APROBACION", General!G:G, "IP CON ORDEN", General!O:O, "&gt;="&amp;DATE(2025,12,1), General!O:O, "&lt;="&amp;DATE(2025,12,31)) + COUNTIFS(General!F:F, "PARA FACTURAR", General!K:K, "C. CRIBARI", General!G:G, "IP CON ORDEN", General!O:O, "&gt;="&amp;DATE(2025,12,1), General!O:O, "&lt;="&amp;DATE(2025,12,31))</f>
        <v>0</v>
      </c>
      <c r="U27" s="38">
        <f>T27*AG5</f>
        <v>0</v>
      </c>
      <c r="V27" s="41">
        <f>COUNTIFS(General!F:F, "IP CERRADA", General!M:M, "C. CRIBARI", General!H:H, "PTE. APROBACION", General!G:G, "IP CON ORDEN", General!O:O, "&gt;="&amp;DATE(2025,12,1), General!O:O, "&lt;="&amp;DATE(2025,12,31)) + COUNTIFS(General!F:F, "PARA FACTURAR", General!M:M, "C. CRIBARI", General!H:H, "EN TRAMITE", General!G:G, "IP CON ORDEN")</f>
        <v>0</v>
      </c>
      <c r="W27" s="42">
        <f>V27*AH5</f>
        <v>0</v>
      </c>
      <c r="Y27" s="254">
        <f>COUNTIFS(General!F:F, "IP CERRADA", General!K:K, "E DZYHAJLO", General!H:H, "PTE. APROBACION", General!G:G, "IP CON ORDEN", General!O:O, "&gt;="&amp;DATE(2025,12,1), General!O:O, "&lt;="&amp;DATE(2025,12,31))</f>
        <v>0</v>
      </c>
      <c r="Z27" s="38">
        <f>Y27*AG5</f>
        <v>0</v>
      </c>
      <c r="AA27" s="41"/>
      <c r="AB27" s="42">
        <f>AA27*AH5</f>
        <v>0</v>
      </c>
      <c r="AD27" s="37" t="s">
        <v>10</v>
      </c>
    </row>
    <row r="28" spans="3:35" ht="15.75">
      <c r="C28" s="261" t="s">
        <v>15</v>
      </c>
      <c r="E28" s="39">
        <f>COUNTIFS(General!F:F, "IP CERRADA", General!K:K, "G DICLEMENTE", General!H:H, "PTE. APROBACION", General!G:G, "POSIBLE DT", General!O:O, "&gt;="&amp;DATE(2025,12,1), General!O:O, "&lt;="&amp;DATE(2025,12,31))</f>
        <v>0</v>
      </c>
      <c r="F28" s="53">
        <f>E28*AG7</f>
        <v>0</v>
      </c>
      <c r="G28" s="43">
        <f>COUNTIFS(General!F:F, "IP CERRADA", General!M:M, "G DICLEMENTE", General!H:H, "PTE. APROBACION", General!G:G, "POSIBLE DT", General!O:O, "&gt;="&amp;DATE(2025,12,1), General!O:O, "&lt;="&amp;DATE(2025,12,31))</f>
        <v>0</v>
      </c>
      <c r="H28" s="54">
        <f>G28*AH7</f>
        <v>0</v>
      </c>
      <c r="J28" s="39">
        <f>COUNTIFS(General!F:F, "IP CERRADA", General!K:K, "R. FRANCO", General!H:H, "PTE. APROBACION", General!G:G, "POSIBLE DT", General!O:O, "&gt;="&amp;DATE(2025,12,1), General!O:O, "&lt;="&amp;DATE(2025,12,31))</f>
        <v>0</v>
      </c>
      <c r="K28" s="40">
        <f>J28*AG7</f>
        <v>0</v>
      </c>
      <c r="L28" s="43">
        <f>COUNTIFS(General!F:F, "IP CERRADA", General!M:M, "R. FRANCO", General!H:H, "PTE. APROBACION", General!G:G, "POSIBLE DT", General!O:O, "&gt;="&amp;DATE(2025,12,1), General!O:O, "&lt;="&amp;DATE(2025,12,31))</f>
        <v>0</v>
      </c>
      <c r="M28" s="44">
        <f>L28*AH7</f>
        <v>0</v>
      </c>
      <c r="O28" s="39">
        <f>COUNTIFS(General!F:F, "IP CERRADA", General!K:K, "R ARIN", General!H:H, "PTE. APROBACION", General!G:G, "POSIBLE DT", General!O:O, "&gt;="&amp;DATE(2025,12,1), General!O:O, "&lt;="&amp;DATE(2025,12,31))</f>
        <v>0</v>
      </c>
      <c r="P28" s="40">
        <f>O28*AG7</f>
        <v>0</v>
      </c>
      <c r="Q28" s="43">
        <f>COUNTIFS(General!F:F, "IP CERRADA", General!M:M, "R ARIN", General!H:H, "PTE. APROBACION", General!G:G, "POSIBLE DT", General!O:O, "&gt;="&amp;DATE(2025,12,1), General!O:O, "&lt;="&amp;DATE(2025,12,31))</f>
        <v>0</v>
      </c>
      <c r="R28" s="44">
        <f>Q28*AH7</f>
        <v>0</v>
      </c>
      <c r="T28" s="39">
        <f>COUNTIFS(General!F:F, "IP CERRADA", General!K:K, "C. CRIBARI", General!H:H, "PTE. APROBACION", General!G:G, "POSIBLE DT", General!O:O, "&gt;="&amp;DATE(2025,12,1), General!O:O, "&lt;="&amp;DATE(2025,12,31)) + COUNTIFS(General!F:F, "PARA FACTURAR", General!K:K, "C. CRIBARI", General!G:G, "POSIBLE DT", General!O:O, "&gt;="&amp;DATE(2025,12,1), General!O:O, "&lt;="&amp;DATE(2025,12,31))</f>
        <v>0</v>
      </c>
      <c r="U28" s="40">
        <f>T28*AG7</f>
        <v>0</v>
      </c>
      <c r="V28" s="43">
        <f>COUNTIFS(General!F:F, "IP CERRADA", General!M:M, "C. CRIBARI", General!H:H, "PTE. APROBACION", General!G:G, "POSIBLE DT", General!O:O, "&gt;="&amp;DATE(2025,12,1), General!O:O, "&lt;="&amp;DATE(2025,12,31)) + COUNTIFS(General!F:F, "PARA FACTURAR", General!M:M, "C. CRIBARI", General!H:H, "EN TRAMITE", General!G:G, "POSIBLE DT", General!O:O, "&gt;="&amp;DATE(2025,12,1), General!O:O, "&lt;="&amp;DATE(2025,12,31))</f>
        <v>0</v>
      </c>
      <c r="W28" s="44">
        <f>V28*AH7</f>
        <v>0</v>
      </c>
      <c r="Y28" s="39">
        <f>COUNTIFS(General!F:F, "IP CERRADA", General!K:K, "E DZYHAJLO", General!H:H, "PTE. APROBACION", General!G:G, "POSIBLE DT", General!O:O, "&gt;="&amp;DATE(2025,12,1), General!O:O, "&lt;="&amp;DATE(2025,12,31))</f>
        <v>0</v>
      </c>
      <c r="Z28" s="40">
        <f>Y28*AG7</f>
        <v>0</v>
      </c>
      <c r="AA28" s="43"/>
      <c r="AB28" s="44">
        <f>AA28*AH7</f>
        <v>0</v>
      </c>
      <c r="AD28" s="261" t="s">
        <v>15</v>
      </c>
    </row>
    <row r="29" spans="3:35" ht="15.75">
      <c r="C29" s="37" t="s">
        <v>18</v>
      </c>
      <c r="E29" s="254">
        <f>COUNTIFS(General!F:F, "IP CERRADA", General!K:K, "G DICLEMENTE", General!H:H, "PTE. APROBACION", General!G:G, "IP SIN ORDEN", General!O:O, "&gt;="&amp;DATE(2025,12,1), General!O:O, "&lt;="&amp;DATE(2025,12,31))</f>
        <v>0</v>
      </c>
      <c r="F29" s="38">
        <f>E29*AG8</f>
        <v>0</v>
      </c>
      <c r="G29" s="56">
        <f>COUNTIFS(General!F:F, "IP CERRADA", General!M:M, "G DICLEMENTE", General!H:H, "PTE. APROBACION", General!G:G, "IP SIN ORDEN", General!O:O, "&gt;="&amp;DATE(2025,12,1), General!O:O, "&lt;="&amp;DATE(2025,12,31))</f>
        <v>0</v>
      </c>
      <c r="H29" s="42">
        <f>G29*AH8</f>
        <v>0</v>
      </c>
      <c r="J29" s="254">
        <f>COUNTIFS(General!F:F, "IP CERRADA", General!K:K, "R. FRANCO", General!H:H, "PTE. APROBACION", General!G:G, "IP SIN ORDEN", General!O:O, "&gt;="&amp;DATE(2025,12,1), General!O:O, "&lt;="&amp;DATE(2025,12,31))</f>
        <v>0</v>
      </c>
      <c r="K29" s="38">
        <f>J29*AG8</f>
        <v>0</v>
      </c>
      <c r="L29" s="41">
        <f>COUNTIFS(General!F:F, "IP CERRADA", General!M:M, "R. FRANCO", General!H:H, "PTE. APROBACION", General!G:G, "IP SIN ORDEN", General!O:O, "&gt;="&amp;DATE(2025,12,1), General!O:O, "&lt;="&amp;DATE(2025,12,31))</f>
        <v>0</v>
      </c>
      <c r="M29" s="42">
        <f>L29*AH8</f>
        <v>0</v>
      </c>
      <c r="O29" s="254">
        <f>COUNTIFS(General!F:F, "IP CERRADA", General!K:K, "R ARIN", General!H:H, "PTE. APROBACION", General!G:G, "IP SIN ORDEN", General!O:O, "&gt;="&amp;DATE(2025,12,1), General!O:O, "&lt;="&amp;DATE(2025,12,31))</f>
        <v>0</v>
      </c>
      <c r="P29" s="38">
        <f>O29*AG8</f>
        <v>0</v>
      </c>
      <c r="Q29" s="41">
        <f>COUNTIFS(General!F:F, "IP CERRADA", General!M:M, "R ARIN", General!H:H, "PTE. APROBACION", General!G:G, "IP SIN ORDEN", General!O:O, "&gt;="&amp;DATE(2025,12,1), General!O:O, "&lt;="&amp;DATE(2025,12,31))</f>
        <v>0</v>
      </c>
      <c r="R29" s="42">
        <f>Q29*AH8</f>
        <v>0</v>
      </c>
      <c r="T29" s="254">
        <f>COUNTIFS(General!F:F, "IP CERRADA", General!K:K, "C. CRIBARI", General!H:H, "PTE. APROBACION", General!G:G, "IP SIN ORDEN", General!O:O, "&gt;="&amp;DATE(2025,12,1), General!O:O, "&lt;="&amp;DATE(2025,12,31)) + COUNTIFS(General!F:F, "PARA FACTURAR", General!K:K, "C. CRIBARI", General!G:G, "IP SIN ORDEN", General!O:O, "&gt;="&amp;DATE(2025,12,1), General!O:O, "&lt;="&amp;DATE(2025,12,31))</f>
        <v>0</v>
      </c>
      <c r="U29" s="38">
        <f>T29*AG8</f>
        <v>0</v>
      </c>
      <c r="V29" s="41">
        <f>COUNTIFS(General!F:F, "IP CERRADA", General!M:M, "C. CRIBARI", General!H:H, "PTE. APROBACION", General!G:G, "IP SIN ORDEN", General!O:O, "&gt;="&amp;DATE(2025,12,1), General!O:O, "&lt;="&amp;DATE(2025,12,31)) + COUNTIFS(General!F:F, "PARA FACTURAR", General!M:M, "C. CRIBARI", General!H:H, "EN TRAMITE", General!G:G, "IP SIN ORDEN", General!O:O, "&gt;="&amp;DATE(2025,12,1), General!O:O, "&lt;="&amp;DATE(2025,12,31))</f>
        <v>0</v>
      </c>
      <c r="W29" s="42">
        <f>V29*AH8</f>
        <v>0</v>
      </c>
      <c r="Y29" s="254">
        <f>COUNTIFS(General!F:F, "IP CERRADA", General!K:K, "E DZYHAJLO", General!H:H, "PTE. APROBACION", General!G:G, "IP SIN ORDEN", General!O:O, "&gt;="&amp;DATE(2025,12,1), General!O:O, "&lt;="&amp;DATE(2025,12,31))</f>
        <v>0</v>
      </c>
      <c r="Z29" s="38">
        <f>Y29*AG8</f>
        <v>0</v>
      </c>
      <c r="AA29" s="41"/>
      <c r="AB29" s="42">
        <f>AA29*AH8</f>
        <v>0</v>
      </c>
      <c r="AD29" s="37" t="s">
        <v>18</v>
      </c>
    </row>
    <row r="30" spans="3:35" ht="15.75">
      <c r="C30" s="261" t="s">
        <v>21</v>
      </c>
      <c r="E30" s="39">
        <f>COUNTIFS(General!F:F, "IP CERRADA", General!K:K, "G DICLEMENTE", General!H:H, "PTE. APROBACION", General!G:G, "AMPLIACION", General!O:O, "&gt;="&amp;DATE(2025,12,1), General!O:O, "&lt;="&amp;DATE(2025,12,31))</f>
        <v>0</v>
      </c>
      <c r="F30" s="40">
        <f>E30*AG9</f>
        <v>0</v>
      </c>
      <c r="G30" s="43">
        <f>COUNTIFS(General!F:F, "IP CERRADA", General!M:M, "G DICLEMENTE", General!H:H, "PTE. APROBACION", General!G:G, "AMPLIACION", General!O:O, "&gt;="&amp;DATE(2025,12,1), General!O:O, "&lt;="&amp;DATE(2025,12,31))</f>
        <v>0</v>
      </c>
      <c r="H30" s="44">
        <f>G30*AH9</f>
        <v>0</v>
      </c>
      <c r="J30" s="39">
        <f>COUNTIFS(General!F:F, "IP CERRADA", General!K:K, "R. FRANCO", General!H:H, "PTE. APROBACION", General!G:G, "AMPLIACION", General!O:O, "&gt;="&amp;DATE(2025,12,1), General!O:O, "&lt;="&amp;DATE(2025,12,31))</f>
        <v>0</v>
      </c>
      <c r="K30" s="40">
        <f>J30*AG9</f>
        <v>0</v>
      </c>
      <c r="L30" s="43">
        <f>COUNTIFS(General!F:F, "IP CERRADA", General!M:M, "R. FRANCO", General!H:H, "PTE. APROBACION", General!G:G, "AMPLIACION", General!O:O, "&gt;="&amp;DATE(2025,12,1), General!O:O, "&lt;="&amp;DATE(2025,12,31))</f>
        <v>0</v>
      </c>
      <c r="M30" s="44">
        <f>L30*AH9</f>
        <v>0</v>
      </c>
      <c r="O30" s="39">
        <f>COUNTIFS(General!F:F, "IP CERRADA", General!K:K, "R ARIN", General!H:H, "PTE. APROBACION", General!G:G, "AMPLIACION", General!O:O, "&gt;="&amp;DATE(2025,12,1), General!O:O, "&lt;="&amp;DATE(2025,12,31))</f>
        <v>0</v>
      </c>
      <c r="P30" s="40">
        <f>O30*AG9</f>
        <v>0</v>
      </c>
      <c r="Q30" s="43">
        <f>COUNTIFS(General!F:F, "IP CERRADA", General!M:M, "R ARIN", General!H:H, "PTE. APROBACION", General!G:G, "AMPLIACION", General!O:O, "&gt;="&amp;DATE(2025,12,1), General!O:O, "&lt;="&amp;DATE(2025,12,31))</f>
        <v>0</v>
      </c>
      <c r="R30" s="44">
        <f>Q30*AH9</f>
        <v>0</v>
      </c>
      <c r="T30" s="39">
        <f>COUNTIFS(General!F:F, "IP CERRADA", General!K:K, "C. CRIBARI", General!H:H, "PTE. APROBACION", General!G:G, "AMPLIACION", General!O:O, "&gt;="&amp;DATE(2025,12,1), General!O:O, "&lt;="&amp;DATE(2025,12,31)) + COUNTIFS(General!F:F, "PARA FACTURAR", General!K:K, "C. CRIBARI", General!G:G, "AMPLIACION", General!O:O, "&gt;="&amp;DATE(2025,12,1), General!O:O, "&lt;="&amp;DATE(2025,12,31))</f>
        <v>0</v>
      </c>
      <c r="U30" s="40">
        <f>T30*AG9</f>
        <v>0</v>
      </c>
      <c r="V30" s="43">
        <f>COUNTIFS(General!F:F, "IP SIN ORDEN", General!M:M, "C. CRIBARI", General!H:H, "PTE. APROBACION", General!G:G, "AMPLIACION", General!O:O, "&gt;="&amp;DATE(2025,12,1), General!O:O, "&lt;="&amp;DATE(2025,12,31)) + COUNTIFS(General!F:F, "PARA FACTURAR", General!M:M, "C. CRIBARI", General!H:H, "EN TRAMITE", General!G:G, "AMPLIACION", General!O:O, "&gt;="&amp;DATE(2025,12,1), General!O:O, "&lt;="&amp;DATE(2025,12,31))</f>
        <v>0</v>
      </c>
      <c r="W30" s="44">
        <f>V30*AH9</f>
        <v>0</v>
      </c>
      <c r="Y30" s="39">
        <f>COUNTIFS(General!F:F, "IP CERRADA", General!K:K, "E DZYHAJLO", General!H:H, "PTE. APROBACION", General!G:G, "AMPLIACION", General!O:O, "&gt;="&amp;DATE(2025,12,1), General!O:O, "&lt;="&amp;DATE(2025,12,31))</f>
        <v>0</v>
      </c>
      <c r="Z30" s="40">
        <f>Y30*AG9</f>
        <v>0</v>
      </c>
      <c r="AA30" s="43"/>
      <c r="AB30" s="44">
        <f>AA30*AH9</f>
        <v>0</v>
      </c>
      <c r="AD30" s="261" t="s">
        <v>21</v>
      </c>
    </row>
    <row r="31" spans="3:35" ht="15.75">
      <c r="C31" s="37" t="s">
        <v>24</v>
      </c>
      <c r="E31" s="254"/>
      <c r="F31" s="38"/>
      <c r="G31" s="41">
        <f>COUNTIFS(General!F:F, "IP CERRADA", General!M:M, "G DICLEMENTE", General!H:H, "PTE. APROBACION", General!G:G, "ENVIO DE ORDEN", General!O:O, "&gt;="&amp;DATE(2025,12,1), General!O:O, "&lt;="&amp;DATE(2025,12,31))</f>
        <v>0</v>
      </c>
      <c r="H31" s="42">
        <f>G31*AH10</f>
        <v>0</v>
      </c>
      <c r="J31" s="254"/>
      <c r="K31" s="38"/>
      <c r="L31" s="41">
        <f>COUNTIFS(General!F:F, "IP CERRADA", General!M:M, "R. FRANCO", General!H:H, "PTE. APROBACION", General!G:G, "ENVIO DE ORDEN", General!O:O, "&gt;="&amp;DATE(2025,12,1), General!O:O, "&lt;="&amp;DATE(2025,12,31))</f>
        <v>0</v>
      </c>
      <c r="M31" s="42">
        <f>L31*AH10</f>
        <v>0</v>
      </c>
      <c r="O31" s="254"/>
      <c r="P31" s="38"/>
      <c r="Q31" s="41">
        <f>COUNTIFS(General!F:F, "IP CERRADA", General!M:M, "R ARIN", General!H:H, "PTE. APROBACION", General!G:G, "ENVIO DE ORDEN", General!O:O, "&gt;="&amp;DATE(2025,12,1), General!O:O, "&lt;="&amp;DATE(2025,12,31))</f>
        <v>0</v>
      </c>
      <c r="R31" s="42">
        <f>Q31*AH10</f>
        <v>0</v>
      </c>
      <c r="T31" s="254"/>
      <c r="U31" s="38"/>
      <c r="V31" s="41">
        <f>COUNTIFS(General!P:P, "IP SIN ORDEN", General!AC:AC, "J. FERLANTI", General!R:R, "PTE. APROBACION", General!Q:Q, "ENVIO DE ORDEN", General!AE:AE, "&gt;="&amp;DATE(2024,5,1), General!AE:AE, "&lt;="&amp;DATE(2024,5,31)) + COUNTIFS(General!P:P, "PARA FACTURAR", General!AC:AC, "J. FERLANTI", General!R:R, "EN TRAMITE", General!Q:Q, "ENVIO DE ORDEN", General!AE:AE, "&gt;="&amp;DATE(2024,5,1), General!AE:AE, "&lt;="&amp;DATE(2024,5,31))</f>
        <v>0</v>
      </c>
      <c r="W31" s="42">
        <f>V31*AH10</f>
        <v>0</v>
      </c>
      <c r="Y31" s="254"/>
      <c r="Z31" s="38"/>
      <c r="AA31" s="41"/>
      <c r="AB31" s="42">
        <f>AA31*AH10</f>
        <v>0</v>
      </c>
      <c r="AD31" s="37" t="s">
        <v>24</v>
      </c>
    </row>
    <row r="32" spans="3:35" ht="15.75">
      <c r="C32" s="261" t="s">
        <v>29</v>
      </c>
      <c r="E32" s="39">
        <f>COUNTIFS(General!F:F, "IP CERRADA", General!K:K, "G DICLEMENTE", General!H:H, "PTE. APROBACION", General!G:G, "IP CAMIONES", General!O:O, "&gt;="&amp;DATE(2025,12,1), General!O:O, "&lt;="&amp;DATE(2025,12,31))</f>
        <v>0</v>
      </c>
      <c r="F32" s="40">
        <f>E32*AG15</f>
        <v>0</v>
      </c>
      <c r="G32" s="43">
        <f>COUNTIFS(General!F:F, "IP CERRADA", General!M:M, "G DICLEMENTE", General!H:H, "PTE. APROBACION", General!G:G, "IP CAMIONES", General!O:O, "&gt;="&amp;DATE(2025,12,1), General!O:O, "&lt;="&amp;DATE(2025,12,31))</f>
        <v>0</v>
      </c>
      <c r="H32" s="44">
        <f>G32*AH15</f>
        <v>0</v>
      </c>
      <c r="J32" s="39">
        <f>COUNTIFS(General!F:F, "IP CERRADA", General!K:K, "R. FRANCO", General!H:H, "PTE. APROBACION", General!G:G, "IP CAMIONES", General!O:O, "&gt;="&amp;DATE(2025,12,1), General!O:O, "&lt;="&amp;DATE(2025,12,31))</f>
        <v>0</v>
      </c>
      <c r="K32" s="40">
        <f>J32*AG15</f>
        <v>0</v>
      </c>
      <c r="L32" s="43">
        <f>COUNTIFS(General!F:F, "IP CERRADA", General!M:M, "R. FRANCO", General!H:H, "PTE. APROBACION", General!G:G, "IP CAMIONES", General!O:O, "&gt;="&amp;DATE(2025,12,1), General!O:O, "&lt;="&amp;DATE(2025,12,31))</f>
        <v>0</v>
      </c>
      <c r="M32" s="44">
        <f>L32*AH15</f>
        <v>0</v>
      </c>
      <c r="O32" s="39">
        <f>COUNTIFS(General!F:F, "IP CERRADA", General!K:K, "R ARIN", General!H:H, "PTE. APROBACION", General!G:G, "IP CAMIONES", General!O:O, "&gt;="&amp;DATE(2025,12,1), General!O:O, "&lt;="&amp;DATE(2025,12,31))</f>
        <v>0</v>
      </c>
      <c r="P32" s="40">
        <f>O32*AG15</f>
        <v>0</v>
      </c>
      <c r="Q32" s="43">
        <f>COUNTIFS(General!F:F, "IP CERRADA", General!M:M, "R ARIN", General!H:H, "PTE. APROBACION", General!G:G, "IP CAMIONES", General!O:O, "&gt;="&amp;DATE(2025,12,1), General!O:O, "&lt;="&amp;DATE(2025,12,31))</f>
        <v>0</v>
      </c>
      <c r="R32" s="44">
        <f>Q32*AH15</f>
        <v>0</v>
      </c>
      <c r="T32" s="39">
        <f>COUNTIFS(General!F:F, "IP CERRADA", General!K:K, "C. CRIBARI", General!H:H, "PTE. APROBACION", General!G:G, "IP CAMIONES", General!O:O, "&gt;="&amp;DATE(2025,12,1), General!O:O, "&lt;="&amp;DATE(2025,12,31)) + COUNTIFS(General!F:F, "PARA FACTURAR", General!K:K, "C. CRIBARI", General!G:G, "IP CAMIONES", General!O:O, "&gt;="&amp;DATE(2025,12,1), General!O:O, "&lt;="&amp;DATE(2025,12,31))</f>
        <v>0</v>
      </c>
      <c r="U32" s="40">
        <f>T32*AG15</f>
        <v>0</v>
      </c>
      <c r="V32" s="43">
        <f>COUNTIFS(General!P:P, "IP CERRADA", General!AC:AC, "J. FERLANTI", General!R:R, "PTE. APROBACION", General!Q:Q, "IP CAMIONES", General!AE:AE, "&gt;="&amp;DATE(2024,5,1), General!AE:AE, "&lt;="&amp;DATE(2024,5,31))</f>
        <v>0</v>
      </c>
      <c r="W32" s="44">
        <f>V32*AH15</f>
        <v>0</v>
      </c>
      <c r="Y32" s="39">
        <f>COUNTIFS(General!F:F, "IP CERRADA", General!K:K, "E DZYHAJLO", General!H:H, "PTE. APROBACION", General!G:G, "IP CAMIONES", General!O:O, "&gt;="&amp;DATE(2025,12,1), General!O:O, "&lt;="&amp;DATE(2025,12,31))</f>
        <v>0</v>
      </c>
      <c r="Z32" s="40">
        <f>Y32*AG15</f>
        <v>0</v>
      </c>
      <c r="AA32" s="43"/>
      <c r="AB32" s="44">
        <f>AA32*AH15</f>
        <v>0</v>
      </c>
      <c r="AD32" s="261" t="s">
        <v>29</v>
      </c>
    </row>
    <row r="33" spans="3:30" ht="15.75">
      <c r="C33" s="37" t="s">
        <v>30</v>
      </c>
      <c r="E33" s="254">
        <f>COUNTIFS(General!F:F, "IP CERRADA", General!K:K, "G DICLEMENTE", General!H:H, "PTE. APROBACION", General!G:G, "TERCEROS", General!O:O, "&gt;="&amp;DATE(2024,3,1), General!O:O, "&gt;="&amp;DATE(2025,12,1), General!O:O, "&lt;="&amp;DATE(2025,12,31))</f>
        <v>0</v>
      </c>
      <c r="F33" s="38">
        <f>E33*AG12</f>
        <v>0</v>
      </c>
      <c r="G33" s="41">
        <f>COUNTIFS(General!F:F, "IP CERRADA", General!M:M, "G DICLEMENTE", General!H:H, "PTE. APROBACION", General!G:G, "TERCEROS", General!O:O, "&gt;="&amp;DATE(2025,12,1), General!O:O, "&lt;="&amp;DATE(2025,12,31))</f>
        <v>0</v>
      </c>
      <c r="H33" s="42">
        <f>G33*AH12</f>
        <v>0</v>
      </c>
      <c r="J33" s="254">
        <f>COUNTIFS(General!F:F, "IP CERRADA", General!K:K, "R. FRANCO", General!H:H, "PTE. APROBACION", General!G:G, "TERCEROS", General!O:O, "&gt;="&amp;DATE(2024,3,1), General!O:O, "&gt;="&amp;DATE(2025,12,1), General!O:O, "&lt;="&amp;DATE(2025,12,31))</f>
        <v>0</v>
      </c>
      <c r="K33" s="38">
        <f>J33*AG12</f>
        <v>0</v>
      </c>
      <c r="L33" s="41">
        <f>COUNTIFS(General!F:F, "IP CERRADA", General!M:M, "R. FRANCO", General!H:H, "PTE. APROBACION", General!G:G, "TERCEROS", General!O:O, "&gt;="&amp;DATE(2025,12,1), General!O:O, "&lt;="&amp;DATE(2025,12,31))</f>
        <v>0</v>
      </c>
      <c r="M33" s="42">
        <f>L33*AH12</f>
        <v>0</v>
      </c>
      <c r="O33" s="254">
        <f>COUNTIFS(General!F:F, "IP CERRADA", General!K:K, "R ARIN", General!H:H, "PTE. APROBACION", General!G:G, "TERCEROS", General!O:O, "&gt;="&amp;DATE(2024,3,1), General!O:O, "&gt;="&amp;DATE(2025,12,1), General!O:O, "&lt;="&amp;DATE(2025,12,31))</f>
        <v>0</v>
      </c>
      <c r="P33" s="38">
        <f>O33*AG12</f>
        <v>0</v>
      </c>
      <c r="Q33" s="41">
        <f>COUNTIFS(General!F:F, "IP CERRADA", General!M:M, "R ARIN", General!H:H, "PTE. APROBACION", General!G:G, "TERCEROS", General!O:O, "&gt;="&amp;DATE(2025,12,1), General!O:O, "&lt;="&amp;DATE(2025,12,31))</f>
        <v>0</v>
      </c>
      <c r="R33" s="42">
        <f>Q33*AH12</f>
        <v>0</v>
      </c>
      <c r="T33" s="254">
        <f>COUNTIFS(General!F:F, "IP CERRADA", General!K:K, "C. CRIBARI", General!H:H, "PTE. APROBACION", General!G:G, "TERCEROS", General!O:O, "&gt;="&amp;DATE(2024,3,1), General!O:O, "&gt;="&amp;DATE(2025,12,1), General!O:O, "&lt;="&amp;DATE(2025,12,31)) + COUNTIFS(General!F:F, "PARA FACTURAR", General!K:K, "C. CRIBARI", General!G:G, "TERCEROS", General!O:O, "&gt;="&amp;DATE(2025,12,1), General!O:O, "&lt;="&amp;DATE(2025,12,31))</f>
        <v>0</v>
      </c>
      <c r="U33" s="38">
        <f>T33*AG12</f>
        <v>0</v>
      </c>
      <c r="V33" s="41">
        <f>COUNTIFS(General!F:F, "IP CERRADA", General!M:M, "J. FERLANTI", General!H:H, "PTE. APROBACION", General!G:G, "IP CAMIONES", General!O:O, "&gt;="&amp;DATE(2025,12,1), General!O:O, "&lt;="&amp;DATE(2025,12,31))</f>
        <v>0</v>
      </c>
      <c r="W33" s="42">
        <f>V33*AH12</f>
        <v>0</v>
      </c>
      <c r="Y33" s="254">
        <f>COUNTIFS(General!F:F, "IP CERRADA", General!K:K, "E DZYHAJLO", General!H:H, "PTE. APROBACION", General!G:G, "TERCEROS", General!O:O, "&gt;="&amp;DATE(2024,3,1), General!O:O, "&gt;="&amp;DATE(2025,12,1), General!O:O, "&lt;="&amp;DATE(2025,12,31))</f>
        <v>0</v>
      </c>
      <c r="Z33" s="38">
        <f>Y33*AG12</f>
        <v>0</v>
      </c>
      <c r="AA33" s="41"/>
      <c r="AB33" s="42">
        <f>AA33*AH12</f>
        <v>0</v>
      </c>
      <c r="AD33" s="37" t="s">
        <v>30</v>
      </c>
    </row>
    <row r="34" spans="3:30" ht="15.75">
      <c r="C34" s="261" t="s">
        <v>32</v>
      </c>
      <c r="E34" s="39"/>
      <c r="F34" s="40"/>
      <c r="G34" s="43">
        <f>COUNTIFS(General!F:F, "IP CERRADA", General!M:M, "G DICLEMENTE", General!H:H, "PTE. APROBACION", General!G:G, "FOTOS", General!O:O, "&gt;="&amp;DATE(2025,12,1), General!O:O, "&lt;="&amp;DATE(2025,12,31))</f>
        <v>0</v>
      </c>
      <c r="H34" s="44">
        <f>G34*AH13</f>
        <v>0</v>
      </c>
      <c r="J34" s="39"/>
      <c r="K34" s="40"/>
      <c r="L34" s="43">
        <f>COUNTIFS(General!F:F, "IP CERRADA", General!M:M, "R. FRANCO", General!H:H, "PTE. APROBACION", General!G:G, "FOTOS", General!O:O, "&gt;="&amp;DATE(2025,12,1), General!O:O, "&lt;="&amp;DATE(2025,12,31))</f>
        <v>0</v>
      </c>
      <c r="M34" s="44">
        <f>L34*AH13</f>
        <v>0</v>
      </c>
      <c r="O34" s="39"/>
      <c r="P34" s="40"/>
      <c r="Q34" s="43">
        <f>COUNTIFS(General!F:F, "IP CERRADA", General!M:M, "R ARIN", General!H:H, "PTE. APROBACION", General!G:G, "FOTOS", General!O:O, "&gt;="&amp;DATE(2025,12,1), General!O:O, "&lt;="&amp;DATE(2025,12,31))</f>
        <v>0</v>
      </c>
      <c r="R34" s="44">
        <f>Q34*AH13</f>
        <v>0</v>
      </c>
      <c r="T34" s="39"/>
      <c r="U34" s="40"/>
      <c r="V34" s="43">
        <f>COUNTIFS(General!P:P, "IP SIN ORDEN", General!AC:AC, "J. FERLANTI", General!R:R, "PTE. APROBACION", General!Q:Q, "FOTOS", General!AE:AE, "&gt;="&amp;DATE(2024,5,1), General!AE:AE, "&lt;="&amp;DATE(2024,5,31)) + COUNTIFS(General!P:P, "PARA FACTURAR", General!AC:AC, "J. FERLANTI", General!R:R, "EN TRAMITE", General!Q:Q, "FOTOS", General!AE:AE, "&gt;="&amp;DATE(2024,5,1), General!AE:AE, "&lt;="&amp;DATE(2024,5,31))</f>
        <v>0</v>
      </c>
      <c r="W34" s="44">
        <f>V34*AH13</f>
        <v>0</v>
      </c>
      <c r="Y34" s="39"/>
      <c r="Z34" s="40"/>
      <c r="AA34" s="43"/>
      <c r="AB34" s="44">
        <f>AA34*AH13</f>
        <v>0</v>
      </c>
      <c r="AD34" s="261" t="s">
        <v>32</v>
      </c>
    </row>
    <row r="35" spans="3:30" ht="15.75">
      <c r="C35" s="37" t="s">
        <v>34</v>
      </c>
      <c r="E35" s="254">
        <f>COUNTIFS(General!F:F, "IP CERRADA", General!K:K, "G DICLEMENTE", General!H:H, "PTE. APROBACION", General!G:G, "IP REMOTA", General!O:O, "&gt;="&amp;DATE(2025,12,1), General!O:O, "&lt;="&amp;DATE(2025,12,31))</f>
        <v>0</v>
      </c>
      <c r="F35" s="38">
        <f>E35*AG14</f>
        <v>0</v>
      </c>
      <c r="G35" s="41">
        <f>COUNTIFS(General!F:F, "IP CERRADA", General!M:M, "G DICLEMENTE", General!H:H, "PTE. APROBACION", General!G:G, "IP REMOTA", General!O:O, "&gt;="&amp;DATE(2025,12,1), General!O:O, "&lt;="&amp;DATE(2025,12,31))</f>
        <v>0</v>
      </c>
      <c r="H35" s="42">
        <f>G35*AH14</f>
        <v>0</v>
      </c>
      <c r="J35" s="254">
        <f>COUNTIFS(General!F:F, "IP CERRADA", General!K:K, "R. FRANCO", General!H:H, "PTE. APROBACION", General!G:G, "IP REMOTA", General!O:O, "&gt;="&amp;DATE(2025,12,1), General!O:O, "&lt;="&amp;DATE(2025,12,31))</f>
        <v>0</v>
      </c>
      <c r="K35" s="38">
        <f>J35*AG14</f>
        <v>0</v>
      </c>
      <c r="L35" s="41">
        <f>COUNTIFS(General!F:F, "IP CERRADA", General!M:M, "R. FRANCO", General!H:H, "PTE. APROBACION", General!G:G, "IP REMOTA", General!O:O, "&gt;="&amp;DATE(2025,12,1), General!O:O, "&lt;="&amp;DATE(2025,12,31))</f>
        <v>0</v>
      </c>
      <c r="M35" s="42">
        <f>L35*AH14</f>
        <v>0</v>
      </c>
      <c r="O35" s="254">
        <f>COUNTIFS(General!F:F, "IP CERRADA", General!K:K, "R ARIN", General!H:H, "PTE. APROBACION", General!G:G, "IP REMOTA", General!O:O, "&gt;="&amp;DATE(2025,12,1), General!O:O, "&lt;="&amp;DATE(2025,12,31))</f>
        <v>0</v>
      </c>
      <c r="P35" s="38">
        <f>O35*AG14</f>
        <v>0</v>
      </c>
      <c r="Q35" s="41">
        <f>COUNTIFS(General!F:F, "IP CERRADA", General!M:M, "R ARIN", General!H:H, "PTE. APROBACION", General!G:G, "IP REMOTA", General!O:O, "&gt;="&amp;DATE(2025,12,1), General!O:O, "&lt;="&amp;DATE(2025,12,31))</f>
        <v>0</v>
      </c>
      <c r="R35" s="42">
        <f>Q35*AH14</f>
        <v>0</v>
      </c>
      <c r="T35" s="254">
        <f>COUNTIFS(General!F:F, "IP CERRADA", General!K:K, "C. CRIBARI", General!H:H, "PTE. APROBACION", General!G:G, "IP REMOTA", General!O:O, "&gt;="&amp;DATE(2025,12,1), General!O:O, "&lt;="&amp;DATE(2025,12,31))</f>
        <v>0</v>
      </c>
      <c r="U35" s="38">
        <f>T35*AG14</f>
        <v>0</v>
      </c>
      <c r="V35" s="41">
        <f>COUNTIFS(General!P:P, "IP SIN ORDEN", General!AC:AC, "J. FERLANTI", General!R:R, "PTE. APROBACION", General!Q:Q, "IP REMOTA", General!AE:AE, "&gt;="&amp;DATE(2024,5,1), General!AE:AE, "&lt;="&amp;DATE(2024,5,31)) + COUNTIFS(General!P:P, "PARA FACTURAR", General!AC:AC, "J. FERLANTI", General!R:R, "EN TRAMITE", General!Q:Q, "IP REMOTA", General!AE:AE, "&gt;="&amp;DATE(2024,5,1), General!AE:AE, "&lt;="&amp;DATE(2024,5,31))</f>
        <v>0</v>
      </c>
      <c r="W35" s="42">
        <f>V35*AH14</f>
        <v>0</v>
      </c>
      <c r="Y35" s="254">
        <f>COUNTIFS(General!F:F, "IP CERRADA", General!K:K, "E DZYHAJLO", General!H:H, "PTE. APROBACION", General!G:G, "IP REMOTA", General!O:O, "&gt;="&amp;DATE(2025,12,1), General!O:O, "&lt;="&amp;DATE(2025,12,31))</f>
        <v>0</v>
      </c>
      <c r="Z35" s="38">
        <f>Y35*AG14</f>
        <v>0</v>
      </c>
      <c r="AA35" s="41"/>
      <c r="AB35" s="42">
        <f>AA35*AH14</f>
        <v>0</v>
      </c>
      <c r="AD35" s="37" t="s">
        <v>34</v>
      </c>
    </row>
    <row r="36" spans="3:30" ht="15.75">
      <c r="C36" s="261" t="s">
        <v>37</v>
      </c>
      <c r="E36" s="39"/>
      <c r="F36" s="40"/>
      <c r="G36" s="43">
        <f>COUNTIFS(General!F:F, "IP CERRADA", General!M:M, "G DICLEMENTE", General!H:H, "PTE. APROBACION", General!G:G, "IP VIRTUAL", General!O:O, "&gt;="&amp;DATE(2025,12,1), General!O:O, "&lt;="&amp;DATE(2025,12,31))</f>
        <v>0</v>
      </c>
      <c r="H36" s="44">
        <f>G36*AH16</f>
        <v>0</v>
      </c>
      <c r="J36" s="39"/>
      <c r="K36" s="40"/>
      <c r="L36" s="43">
        <f>COUNTIFS(General!F:F, "IP CERRADA", General!M:M, "R. FRANCO", General!H:H, "PTE. APROBACION", General!G:G, "IP VIRTUAL", General!O:O, "&gt;="&amp;DATE(2025,12,1), General!O:O, "&lt;="&amp;DATE(2025,12,31))</f>
        <v>0</v>
      </c>
      <c r="M36" s="44">
        <f>L36*AH16</f>
        <v>0</v>
      </c>
      <c r="O36" s="39"/>
      <c r="P36" s="40"/>
      <c r="Q36" s="43">
        <f>COUNTIFS(General!F:F, "IP CERRADA", General!M:M, "R ARIN", General!H:H, "PTE. APROBACION", General!G:G, "IP VIRTUAL", General!O:O, "&gt;="&amp;DATE(2025,12,1), General!O:O, "&lt;="&amp;DATE(2025,12,31))</f>
        <v>0</v>
      </c>
      <c r="R36" s="44">
        <f>Q36*AH16</f>
        <v>0</v>
      </c>
      <c r="T36" s="39"/>
      <c r="U36" s="40"/>
      <c r="V36" s="43">
        <f>COUNTIFS(General!P:P, "IP SIN ORDEN", General!AC:AC, "J. FERLANTI", General!R:R, "PTE. APROBACION", General!Q:Q, "IP VIRTUAL", General!AE:AE, "&gt;="&amp;DATE(2024,5,1), General!AE:AE, "&lt;="&amp;DATE(2024,5,31)) + COUNTIFS(General!P:P, "PARA FACTURAR", General!AC:AC, "J. FERLANTI", General!R:R, "EN TRAMITE", General!Q:Q, "IP VIRTUAL", General!AE:AE, "&gt;="&amp;DATE(2024,5,1), General!AE:AE, "&lt;="&amp;DATE(2024,5,31))</f>
        <v>0</v>
      </c>
      <c r="W36" s="44">
        <f>V36*AH16</f>
        <v>0</v>
      </c>
      <c r="Y36" s="39"/>
      <c r="Z36" s="40"/>
      <c r="AA36" s="43"/>
      <c r="AB36" s="44">
        <f>AA36*AH16</f>
        <v>0</v>
      </c>
      <c r="AD36" s="261" t="s">
        <v>37</v>
      </c>
    </row>
    <row r="37" spans="3:30" ht="15.75">
      <c r="C37" s="37" t="s">
        <v>26</v>
      </c>
      <c r="E37" s="254">
        <f>COUNTIFS(General!F:F, "IP CERRADA", General!K:K, "G DICLEMENTE", General!H:H, "PTE. APROBACION", General!G:G, "AUSENTE", General!O:O, "&gt;="&amp;DATE(2025,12,1), General!O:O, "&lt;="&amp;DATE(2025,12,31))</f>
        <v>0</v>
      </c>
      <c r="F37" s="38">
        <f>E36*AG11</f>
        <v>0</v>
      </c>
      <c r="G37" s="41"/>
      <c r="H37" s="42"/>
      <c r="J37" s="254">
        <f>COUNTIFS(General!F:F, "IP CERRADA", General!K:K, "R. FRANCO", General!H:H, "PTE. APROBACION", General!G:G, "AUSENTE", General!L:L, "&gt;="&amp;DATE(2025,6,1), General!L:L, "&lt;="&amp;DATE(2025,6,31))</f>
        <v>0</v>
      </c>
      <c r="K37" s="38">
        <f>J37*AG11</f>
        <v>0</v>
      </c>
      <c r="L37" s="41"/>
      <c r="M37" s="42"/>
      <c r="O37" s="254">
        <f>COUNTIFS(General!F:F, "IP CERRADA", General!K:K, "R ARIN", General!H:H, "PTE. APROBACION", General!G:G, "AUSENTE", General!O:O, "&gt;="&amp;DATE(2025,12,1), General!O:O, "&lt;="&amp;DATE(2025,12,31))</f>
        <v>0</v>
      </c>
      <c r="P37" s="38">
        <f>O36*AG11</f>
        <v>0</v>
      </c>
      <c r="Q37" s="41"/>
      <c r="R37" s="42"/>
      <c r="T37" s="254">
        <f>COUNTIFS(General!F:F, "IP CERRADA", General!K:K, "C. CRIBARI", General!H:H, "PTE. APROBACION", General!G:G, "AUSENTE", General!O:O, "&gt;="&amp;DATE(2025,12,1), General!O:O, "&lt;="&amp;DATE(2025,12,31))</f>
        <v>0</v>
      </c>
      <c r="U37" s="38">
        <f>T37*AG11</f>
        <v>0</v>
      </c>
      <c r="V37" s="41"/>
      <c r="W37" s="42"/>
      <c r="Y37" s="254">
        <f>COUNTIFS(General!F:F, "IP CERRADA", General!K:K, "E DZYHAJLO", General!H:H, "PTE. APROBACION", General!G:G, "AUSENTE", General!O:O, "&gt;="&amp;DATE(2025,12,1), General!O:O, "&lt;="&amp;DATE(2025,12,31))</f>
        <v>0</v>
      </c>
      <c r="Z37" s="38">
        <f>Y36*AG11</f>
        <v>0</v>
      </c>
      <c r="AA37" s="41"/>
      <c r="AB37" s="42"/>
      <c r="AD37" s="37" t="s">
        <v>26</v>
      </c>
    </row>
    <row r="38" spans="3:30">
      <c r="E38" s="383" t="s">
        <v>44</v>
      </c>
      <c r="F38" s="384"/>
      <c r="G38" s="381" t="s">
        <v>44</v>
      </c>
      <c r="H38" s="382"/>
      <c r="J38" s="383" t="s">
        <v>44</v>
      </c>
      <c r="K38" s="384"/>
      <c r="L38" s="381" t="s">
        <v>44</v>
      </c>
      <c r="M38" s="382"/>
      <c r="O38" s="383" t="s">
        <v>44</v>
      </c>
      <c r="P38" s="384"/>
      <c r="Q38" s="381" t="s">
        <v>44</v>
      </c>
      <c r="R38" s="382"/>
      <c r="T38" s="383" t="s">
        <v>44</v>
      </c>
      <c r="U38" s="384"/>
      <c r="V38" s="381" t="s">
        <v>44</v>
      </c>
      <c r="W38" s="382"/>
      <c r="Y38" s="383" t="s">
        <v>44</v>
      </c>
      <c r="Z38" s="384"/>
      <c r="AA38" s="381" t="s">
        <v>44</v>
      </c>
      <c r="AB38" s="382"/>
    </row>
    <row r="39" spans="3:30">
      <c r="E39" s="37">
        <f>E27+E28+E29+E30+E31+E32+E33+E34+E35+E36+E37</f>
        <v>0</v>
      </c>
      <c r="F39" s="29">
        <f>F27+F28+F29+F30+F31+F32+F33+F34+F35+F36</f>
        <v>0</v>
      </c>
      <c r="G39" s="51">
        <f>G27+G28+G29+G30+G31+G32+G33+G34+G35+G36</f>
        <v>0</v>
      </c>
      <c r="H39" s="45">
        <f>H27+H28+H29+H30+H31+H32+H33+H34+H35+H36</f>
        <v>0</v>
      </c>
      <c r="J39" s="37">
        <f>J27+J28+J29+J30+J31+J32+J33+J34+J35+J36+J37</f>
        <v>0</v>
      </c>
      <c r="K39" s="29">
        <f>K27+K28+K29+K30+K31+K32+K33+K34+K35+K36+K37</f>
        <v>0</v>
      </c>
      <c r="L39" s="51">
        <f>L27+L28+L29+L30+L31+L32+L33+L34+L35+L36</f>
        <v>0</v>
      </c>
      <c r="M39" s="45">
        <f>M27+M28+M29+M30+M31+M32+M33+M34+M35+M36</f>
        <v>0</v>
      </c>
      <c r="O39" s="37">
        <f>O27+O28+O29+O30+O31+O32+O33+O34+O35+O36+O37</f>
        <v>0</v>
      </c>
      <c r="P39" s="29">
        <f>P27+P28+P29+P30+P31+P32+P33+P34+P35+P36</f>
        <v>0</v>
      </c>
      <c r="Q39" s="51">
        <f>Q27+Q28+Q29+Q30+Q31+Q32+Q33+Q34+Q35+Q36</f>
        <v>0</v>
      </c>
      <c r="R39" s="45">
        <f>R27+R28+R29+R30+R31+R32+R33+R34+R35+R36</f>
        <v>0</v>
      </c>
      <c r="T39" s="37">
        <f>T27+T28+T29+T30+T31+T32+T33+T34+T35+T36+T37</f>
        <v>0</v>
      </c>
      <c r="U39" s="29">
        <f>U27+U28+U29+U30+U31+U32+U33+U34+U35+U36+U37</f>
        <v>0</v>
      </c>
      <c r="V39" s="51">
        <f>V27+V28+V29+V30+V31+V32+V33+V34+V35+V36</f>
        <v>0</v>
      </c>
      <c r="W39" s="45">
        <f>W27+W28+W29+W30+W31+W32+W33+W34+W35+W36</f>
        <v>0</v>
      </c>
      <c r="Y39" s="37">
        <f>Y27+Y28+Y29+Y30+Y31+Y32+Y33+Y34+Y35+Y36+Y37</f>
        <v>0</v>
      </c>
      <c r="Z39" s="29">
        <f>Z27+Z28+Z29+Z30+Z31+Z32+Z33+Z34+Z35+Z36</f>
        <v>0</v>
      </c>
      <c r="AA39" s="51">
        <f>AA27+AA28+AA29+AA30+AA31+AA32+AA33+AA34+AA35+AA36</f>
        <v>0</v>
      </c>
      <c r="AB39" s="45">
        <f>AB27+AB28+AB29+AB30+AB31+AB32+AB33+AB34+AB35+AB36</f>
        <v>0</v>
      </c>
    </row>
    <row r="40" spans="3:30">
      <c r="E40" s="48"/>
      <c r="F40" s="49"/>
      <c r="G40" s="48"/>
      <c r="H40" s="49"/>
      <c r="J40" s="48"/>
      <c r="K40" s="49"/>
      <c r="L40" s="48"/>
      <c r="M40" s="49"/>
      <c r="O40" s="48"/>
      <c r="P40" s="49"/>
      <c r="Q40" s="48"/>
      <c r="R40" s="49"/>
      <c r="T40" s="48"/>
      <c r="U40" s="49"/>
      <c r="V40" s="48"/>
      <c r="W40" s="49"/>
      <c r="Y40" s="48"/>
      <c r="Z40" s="49"/>
      <c r="AA40" s="48"/>
      <c r="AB40" s="49"/>
    </row>
    <row r="41" spans="3:30">
      <c r="E41" s="380"/>
      <c r="F41" s="380"/>
      <c r="G41" s="261"/>
      <c r="H41" s="50"/>
      <c r="J41" s="380"/>
      <c r="K41" s="380"/>
      <c r="L41" s="261"/>
      <c r="M41" s="50"/>
      <c r="O41" s="380"/>
      <c r="P41" s="380"/>
      <c r="Q41" s="261"/>
      <c r="R41" s="50"/>
      <c r="T41" s="380"/>
      <c r="U41" s="380"/>
      <c r="V41" s="261"/>
      <c r="W41" s="50"/>
      <c r="Y41" s="380"/>
      <c r="Z41" s="380"/>
      <c r="AA41" s="261"/>
      <c r="AB41" s="50"/>
    </row>
    <row r="42" spans="3:30">
      <c r="E42" s="376" t="s">
        <v>3</v>
      </c>
      <c r="F42" s="377"/>
      <c r="G42" s="95"/>
      <c r="H42" s="96"/>
      <c r="J42" s="376" t="s">
        <v>3</v>
      </c>
      <c r="K42" s="377"/>
      <c r="L42" s="95"/>
      <c r="M42" s="96"/>
      <c r="O42" s="376" t="s">
        <v>3</v>
      </c>
      <c r="P42" s="377"/>
      <c r="Q42" s="95"/>
      <c r="R42" s="96"/>
      <c r="T42" s="376" t="s">
        <v>3</v>
      </c>
      <c r="U42" s="377"/>
      <c r="V42" s="95"/>
      <c r="W42" s="96"/>
      <c r="Y42" s="376" t="s">
        <v>3</v>
      </c>
      <c r="Z42" s="377"/>
      <c r="AA42" s="95"/>
      <c r="AB42" s="96"/>
    </row>
    <row r="43" spans="3:30">
      <c r="E43" s="378" t="s">
        <v>85</v>
      </c>
      <c r="F43" s="379"/>
      <c r="G43" s="97"/>
      <c r="H43" s="98"/>
      <c r="J43" s="378" t="s">
        <v>85</v>
      </c>
      <c r="K43" s="379"/>
      <c r="L43" s="97"/>
      <c r="M43" s="98"/>
      <c r="O43" s="378" t="s">
        <v>85</v>
      </c>
      <c r="P43" s="379"/>
      <c r="Q43" s="97"/>
      <c r="R43" s="98"/>
      <c r="T43" s="378" t="s">
        <v>85</v>
      </c>
      <c r="U43" s="379"/>
      <c r="V43" s="97"/>
      <c r="W43" s="98"/>
      <c r="Y43" s="378" t="s">
        <v>85</v>
      </c>
      <c r="Z43" s="379"/>
      <c r="AA43" s="97"/>
      <c r="AB43" s="98"/>
    </row>
    <row r="44" spans="3:30">
      <c r="E44" s="374" t="s">
        <v>86</v>
      </c>
      <c r="F44" s="375"/>
      <c r="G44" s="46">
        <f>G27+G28+G29+G30+G31+G32+G33+G34+G35+G36+E27+E28+E29+E31+E30+E32+E33+E34+E35+E36</f>
        <v>0</v>
      </c>
      <c r="H44" s="47">
        <f>F39+H39</f>
        <v>0</v>
      </c>
      <c r="J44" s="374" t="s">
        <v>86</v>
      </c>
      <c r="K44" s="375"/>
      <c r="L44" s="46">
        <f>L27+L28+L29+L30+L31+L32+L33+L34+L35+L36+J27+J28+J29+J31+J30+J32+J33+J34+J35+J36</f>
        <v>0</v>
      </c>
      <c r="M44" s="47">
        <f>K39+M39</f>
        <v>0</v>
      </c>
      <c r="O44" s="374" t="s">
        <v>86</v>
      </c>
      <c r="P44" s="375"/>
      <c r="Q44" s="46">
        <f>Q27+Q28+Q29+Q30+Q31+Q32+Q33+Q34+Q35+Q36+O27+O28+O29+O31+O30+O32+O33+O34+O35+O36</f>
        <v>0</v>
      </c>
      <c r="R44" s="47">
        <f>P39+R39</f>
        <v>0</v>
      </c>
      <c r="T44" s="374" t="s">
        <v>86</v>
      </c>
      <c r="U44" s="375"/>
      <c r="V44" s="46">
        <f>V27+V28+V29+V30+V31+V32+V33+V34+V35+V36+T27+T28+T29+T31+T30+T32+T33+T34+T35+T36</f>
        <v>0</v>
      </c>
      <c r="W44" s="47">
        <f>U39+W39</f>
        <v>0</v>
      </c>
      <c r="Y44" s="374" t="s">
        <v>86</v>
      </c>
      <c r="Z44" s="375"/>
      <c r="AA44" s="46">
        <f>AA27+AA28+AA29+AA30+AA31+AA32+AA33+AA34+AA35+AA36+Y27+Y28+Y29+Y31+Y30+Y32+Y33+Y34+Y35+Y36</f>
        <v>0</v>
      </c>
      <c r="AB44" s="47">
        <f>Z39+AB39</f>
        <v>0</v>
      </c>
    </row>
  </sheetData>
  <mergeCells count="95">
    <mergeCell ref="E44:F44"/>
    <mergeCell ref="J44:K44"/>
    <mergeCell ref="O44:P44"/>
    <mergeCell ref="T44:U44"/>
    <mergeCell ref="Y44:Z44"/>
    <mergeCell ref="E42:F42"/>
    <mergeCell ref="J42:K42"/>
    <mergeCell ref="O42:P42"/>
    <mergeCell ref="T42:U42"/>
    <mergeCell ref="Y42:Z42"/>
    <mergeCell ref="E43:F43"/>
    <mergeCell ref="J43:K43"/>
    <mergeCell ref="O43:P43"/>
    <mergeCell ref="T43:U43"/>
    <mergeCell ref="Y43:Z43"/>
    <mergeCell ref="E41:F41"/>
    <mergeCell ref="J41:K41"/>
    <mergeCell ref="O41:P41"/>
    <mergeCell ref="T41:U41"/>
    <mergeCell ref="Y41:Z41"/>
    <mergeCell ref="Q38:R38"/>
    <mergeCell ref="T38:U38"/>
    <mergeCell ref="V38:W38"/>
    <mergeCell ref="Y38:Z38"/>
    <mergeCell ref="AA38:AB38"/>
    <mergeCell ref="E38:F38"/>
    <mergeCell ref="G38:H38"/>
    <mergeCell ref="J38:K38"/>
    <mergeCell ref="L38:M38"/>
    <mergeCell ref="O38:P38"/>
    <mergeCell ref="Y24:AB25"/>
    <mergeCell ref="AD24:AD25"/>
    <mergeCell ref="E26:F26"/>
    <mergeCell ref="G26:H26"/>
    <mergeCell ref="J26:K26"/>
    <mergeCell ref="L26:M26"/>
    <mergeCell ref="O26:P26"/>
    <mergeCell ref="Q26:R26"/>
    <mergeCell ref="T26:U26"/>
    <mergeCell ref="V26:W26"/>
    <mergeCell ref="Y26:Z26"/>
    <mergeCell ref="AA26:AB26"/>
    <mergeCell ref="E21:F21"/>
    <mergeCell ref="J21:K21"/>
    <mergeCell ref="O21:P21"/>
    <mergeCell ref="T21:U21"/>
    <mergeCell ref="Y21:Z21"/>
    <mergeCell ref="C24:C25"/>
    <mergeCell ref="E24:H25"/>
    <mergeCell ref="J24:M25"/>
    <mergeCell ref="O24:R25"/>
    <mergeCell ref="T24:W25"/>
    <mergeCell ref="E19:F19"/>
    <mergeCell ref="J19:K19"/>
    <mergeCell ref="O19:P19"/>
    <mergeCell ref="T19:U19"/>
    <mergeCell ref="Y19:Z19"/>
    <mergeCell ref="E20:F20"/>
    <mergeCell ref="J20:K20"/>
    <mergeCell ref="O20:P20"/>
    <mergeCell ref="T20:U20"/>
    <mergeCell ref="Y20:Z20"/>
    <mergeCell ref="E18:F18"/>
    <mergeCell ref="J18:K18"/>
    <mergeCell ref="O18:P18"/>
    <mergeCell ref="T18:U18"/>
    <mergeCell ref="Y18:Z18"/>
    <mergeCell ref="Q15:R15"/>
    <mergeCell ref="T15:U15"/>
    <mergeCell ref="V15:W15"/>
    <mergeCell ref="Y15:Z15"/>
    <mergeCell ref="AA15:AB15"/>
    <mergeCell ref="E15:F15"/>
    <mergeCell ref="G15:H15"/>
    <mergeCell ref="J15:K15"/>
    <mergeCell ref="L15:M15"/>
    <mergeCell ref="O15:P15"/>
    <mergeCell ref="Y1:AB2"/>
    <mergeCell ref="AD1:AD2"/>
    <mergeCell ref="E3:F3"/>
    <mergeCell ref="G3:H3"/>
    <mergeCell ref="J3:K3"/>
    <mergeCell ref="L3:M3"/>
    <mergeCell ref="O3:P3"/>
    <mergeCell ref="Q3:R3"/>
    <mergeCell ref="T3:U3"/>
    <mergeCell ref="V3:W3"/>
    <mergeCell ref="T1:W2"/>
    <mergeCell ref="Y3:Z3"/>
    <mergeCell ref="AA3:AB3"/>
    <mergeCell ref="A1:B2"/>
    <mergeCell ref="C1:C2"/>
    <mergeCell ref="E1:H2"/>
    <mergeCell ref="J1:M2"/>
    <mergeCell ref="O1:R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B1:XFD1034459"/>
  <sheetViews>
    <sheetView tabSelected="1" topLeftCell="B1" workbookViewId="0">
      <selection activeCell="O3632" sqref="O3632"/>
    </sheetView>
  </sheetViews>
  <sheetFormatPr defaultColWidth="0" defaultRowHeight="17.25" customHeight="1"/>
  <cols>
    <col min="1" max="1" width="0" style="20" hidden="1" customWidth="1"/>
    <col min="2" max="2" width="10" style="23" customWidth="1"/>
    <col min="3" max="3" width="17.140625" style="7" customWidth="1"/>
    <col min="4" max="4" width="12" style="20" bestFit="1" customWidth="1"/>
    <col min="5" max="5" width="34.42578125" style="20" customWidth="1"/>
    <col min="6" max="6" width="28.5703125" style="7" customWidth="1"/>
    <col min="7" max="7" width="36.42578125" style="7" customWidth="1"/>
    <col min="8" max="8" width="17.140625" style="7" customWidth="1"/>
    <col min="9" max="9" width="72" style="20" customWidth="1"/>
    <col min="10" max="10" width="13.42578125" style="20" customWidth="1"/>
    <col min="11" max="11" width="16.5703125" style="7" customWidth="1"/>
    <col min="12" max="12" width="17.42578125" style="61" customWidth="1"/>
    <col min="13" max="13" width="17" style="7" bestFit="1" customWidth="1"/>
    <col min="14" max="14" width="15.140625" style="24" customWidth="1"/>
    <col min="15" max="15" width="13.85546875" style="58" customWidth="1"/>
    <col min="16" max="16" width="15.5703125" style="7" customWidth="1"/>
    <col min="17" max="17" width="12" style="125" customWidth="1"/>
    <col min="18" max="18" width="14.42578125" style="126" customWidth="1"/>
    <col min="19" max="24" width="14.42578125" style="153" customWidth="1"/>
    <col min="25" max="31" width="9.140625" style="25" hidden="1" customWidth="1"/>
    <col min="32" max="32" width="9.140625" style="26" hidden="1" customWidth="1"/>
    <col min="33" max="1425" width="0" style="20" hidden="1" customWidth="1"/>
    <col min="1426" max="16384" width="0" style="20" hidden="1"/>
  </cols>
  <sheetData>
    <row r="1" spans="2:32" s="7" customFormat="1" ht="34.5" customHeight="1">
      <c r="B1" s="4" t="s">
        <v>89</v>
      </c>
      <c r="C1" s="5" t="s">
        <v>90</v>
      </c>
      <c r="D1" s="5" t="s">
        <v>91</v>
      </c>
      <c r="E1" s="5" t="s">
        <v>92</v>
      </c>
      <c r="F1" s="5" t="s">
        <v>93</v>
      </c>
      <c r="G1" s="5" t="s">
        <v>94</v>
      </c>
      <c r="H1" s="5" t="s">
        <v>42</v>
      </c>
      <c r="I1" s="5" t="s">
        <v>95</v>
      </c>
      <c r="J1" s="5" t="s">
        <v>96</v>
      </c>
      <c r="K1" s="5" t="s">
        <v>97</v>
      </c>
      <c r="L1" s="60" t="s">
        <v>98</v>
      </c>
      <c r="M1" s="5" t="s">
        <v>99</v>
      </c>
      <c r="N1" s="6" t="s">
        <v>100</v>
      </c>
      <c r="O1" s="57" t="s">
        <v>101</v>
      </c>
      <c r="P1" s="4" t="s">
        <v>43</v>
      </c>
      <c r="Q1" s="127" t="s">
        <v>102</v>
      </c>
      <c r="R1" s="157" t="s">
        <v>103</v>
      </c>
      <c r="S1" s="156" t="s">
        <v>61</v>
      </c>
      <c r="T1" s="156" t="s">
        <v>63</v>
      </c>
      <c r="U1" s="156" t="s">
        <v>65</v>
      </c>
      <c r="V1" s="156" t="s">
        <v>104</v>
      </c>
      <c r="W1" s="156" t="s">
        <v>72</v>
      </c>
      <c r="X1" s="155" t="s">
        <v>105</v>
      </c>
      <c r="Y1" s="25"/>
      <c r="Z1" s="9"/>
      <c r="AA1" s="9"/>
      <c r="AB1" s="9"/>
      <c r="AC1" s="9"/>
      <c r="AD1" s="9"/>
      <c r="AE1" s="9"/>
      <c r="AF1" s="8"/>
    </row>
    <row r="2" spans="2:32" ht="17.25" hidden="1" customHeight="1">
      <c r="B2" s="23">
        <v>45659</v>
      </c>
      <c r="C2" s="7">
        <v>2003550043</v>
      </c>
      <c r="D2" s="20">
        <v>5678443</v>
      </c>
      <c r="E2" s="27" t="s">
        <v>106</v>
      </c>
      <c r="F2" s="7" t="s">
        <v>107</v>
      </c>
      <c r="G2" s="7" t="s">
        <v>10</v>
      </c>
      <c r="H2" s="7" t="s">
        <v>45</v>
      </c>
      <c r="I2" s="20" t="s">
        <v>108</v>
      </c>
      <c r="J2" s="20" t="s">
        <v>109</v>
      </c>
      <c r="K2" s="7" t="s">
        <v>110</v>
      </c>
      <c r="L2" s="61">
        <v>45660</v>
      </c>
      <c r="M2" s="7" t="s">
        <v>111</v>
      </c>
      <c r="N2" s="61">
        <v>45663</v>
      </c>
      <c r="O2" s="61">
        <v>45663</v>
      </c>
      <c r="P2" s="59"/>
      <c r="Q2" s="124" t="e">
        <f>P2*#REF!</f>
        <v>#REF!</v>
      </c>
      <c r="R2" s="126">
        <v>45663</v>
      </c>
      <c r="S2" s="153">
        <f>IF(L2="","",L2-B2)</f>
        <v>1</v>
      </c>
      <c r="T2" s="153">
        <f>IF(N2="","",N2-L2)</f>
        <v>3</v>
      </c>
      <c r="U2" s="153">
        <f>IF(O2="","",O2-N2)</f>
        <v>0</v>
      </c>
      <c r="V2" s="154">
        <f>IF(O2="","",O2-B2)</f>
        <v>4</v>
      </c>
      <c r="W2" s="154">
        <f>IF(O2="","",O2-L2)</f>
        <v>3</v>
      </c>
      <c r="X2" s="154">
        <f>IF(R2="","",R2-B2)</f>
        <v>4</v>
      </c>
    </row>
    <row r="3" spans="2:32" ht="17.25" hidden="1" customHeight="1">
      <c r="B3" s="23">
        <v>45659</v>
      </c>
      <c r="C3" s="7">
        <v>2003567845</v>
      </c>
      <c r="D3" s="20">
        <v>5678706</v>
      </c>
      <c r="E3" s="27" t="s">
        <v>112</v>
      </c>
      <c r="F3" s="7" t="s">
        <v>113</v>
      </c>
      <c r="G3" s="7" t="s">
        <v>70</v>
      </c>
      <c r="H3" s="7" t="s">
        <v>47</v>
      </c>
      <c r="I3" s="20" t="s">
        <v>114</v>
      </c>
      <c r="J3" s="20" t="s">
        <v>115</v>
      </c>
      <c r="K3" s="7" t="s">
        <v>110</v>
      </c>
      <c r="L3" s="61">
        <v>45665</v>
      </c>
      <c r="P3" s="59"/>
      <c r="Q3" s="124" t="e">
        <f>P3*#REF!</f>
        <v>#REF!</v>
      </c>
      <c r="S3" s="153">
        <f>IF(L3="","",L3-B3)</f>
        <v>6</v>
      </c>
      <c r="T3" s="153" t="str">
        <f>IF(N3="","",N3-L3)</f>
        <v/>
      </c>
      <c r="U3" s="153" t="str">
        <f>IF(O3="","",O3-N3)</f>
        <v/>
      </c>
      <c r="V3" s="154" t="str">
        <f>IF(O3="","",O3-B3)</f>
        <v/>
      </c>
      <c r="W3" s="154" t="str">
        <f>IF(O3="","",O3-L3)</f>
        <v/>
      </c>
      <c r="X3" s="154" t="str">
        <f>IF(R3="","",R3-B3)</f>
        <v/>
      </c>
    </row>
    <row r="4" spans="2:32" ht="17.25" hidden="1" customHeight="1">
      <c r="B4" s="23">
        <v>45659</v>
      </c>
      <c r="C4" s="7">
        <v>2003531229</v>
      </c>
      <c r="D4" s="20">
        <v>5678718</v>
      </c>
      <c r="E4" s="27" t="s">
        <v>116</v>
      </c>
      <c r="F4" s="7" t="s">
        <v>107</v>
      </c>
      <c r="G4" s="7" t="s">
        <v>26</v>
      </c>
      <c r="H4" s="7" t="s">
        <v>45</v>
      </c>
      <c r="I4" s="20" t="s">
        <v>117</v>
      </c>
      <c r="J4" s="20" t="s">
        <v>118</v>
      </c>
      <c r="K4" s="7" t="s">
        <v>119</v>
      </c>
      <c r="L4" s="61">
        <v>45663</v>
      </c>
      <c r="M4" s="7" t="s">
        <v>111</v>
      </c>
      <c r="N4" s="24">
        <v>45663</v>
      </c>
      <c r="O4" s="58">
        <v>45663</v>
      </c>
      <c r="P4" s="59"/>
      <c r="Q4" s="124" t="e">
        <f>P4*#REF!</f>
        <v>#REF!</v>
      </c>
      <c r="R4" s="126">
        <v>45663</v>
      </c>
      <c r="S4" s="153">
        <f>IF(L4="","",L4-B4)</f>
        <v>4</v>
      </c>
      <c r="T4" s="153">
        <f>IF(N4="","",N4-L4)</f>
        <v>0</v>
      </c>
      <c r="U4" s="153">
        <f>IF(O4="","",O4-N4)</f>
        <v>0</v>
      </c>
      <c r="V4" s="154">
        <f>IF(O4="","",O4-B4)</f>
        <v>4</v>
      </c>
      <c r="W4" s="154">
        <f>IF(O4="","",O4-L4)</f>
        <v>0</v>
      </c>
      <c r="X4" s="154">
        <f>IF(R4="","",R4-B4)</f>
        <v>4</v>
      </c>
    </row>
    <row r="5" spans="2:32" ht="17.25" hidden="1" customHeight="1">
      <c r="B5" s="23">
        <v>45659</v>
      </c>
      <c r="C5" s="7">
        <v>2003543604</v>
      </c>
      <c r="D5" s="20">
        <v>5678763</v>
      </c>
      <c r="E5" s="27" t="s">
        <v>116</v>
      </c>
      <c r="F5" s="7" t="s">
        <v>107</v>
      </c>
      <c r="G5" s="7" t="s">
        <v>18</v>
      </c>
      <c r="H5" s="7" t="s">
        <v>45</v>
      </c>
      <c r="I5" s="20" t="s">
        <v>120</v>
      </c>
      <c r="J5" s="20" t="s">
        <v>121</v>
      </c>
      <c r="K5" s="7" t="s">
        <v>122</v>
      </c>
      <c r="L5" s="61">
        <v>45665</v>
      </c>
      <c r="M5" s="7" t="s">
        <v>111</v>
      </c>
      <c r="N5" s="24">
        <v>45670</v>
      </c>
      <c r="O5" s="58">
        <v>45671</v>
      </c>
      <c r="P5" s="59"/>
      <c r="Q5" s="124" t="e">
        <f>P5*#REF!</f>
        <v>#REF!</v>
      </c>
      <c r="R5" s="126">
        <v>45672</v>
      </c>
      <c r="S5" s="153">
        <f>IF(L5="","",L5-B5)</f>
        <v>6</v>
      </c>
      <c r="T5" s="153">
        <f>IF(N5="","",N5-L5)</f>
        <v>5</v>
      </c>
      <c r="U5" s="153">
        <f>IF(O5="","",O5-N5)</f>
        <v>1</v>
      </c>
      <c r="V5" s="154">
        <f>IF(O5="","",O5-B5)</f>
        <v>12</v>
      </c>
      <c r="W5" s="154">
        <f>IF(O5="","",O5-L5)</f>
        <v>6</v>
      </c>
      <c r="X5" s="154">
        <f>IF(R5="","",R5-B5)</f>
        <v>13</v>
      </c>
    </row>
    <row r="6" spans="2:32" ht="17.25" hidden="1" customHeight="1">
      <c r="B6" s="23">
        <v>45659</v>
      </c>
      <c r="C6" s="7">
        <v>2003571724</v>
      </c>
      <c r="D6" s="20">
        <v>5678942</v>
      </c>
      <c r="E6" s="27" t="s">
        <v>123</v>
      </c>
      <c r="F6" s="7" t="s">
        <v>107</v>
      </c>
      <c r="G6" s="7" t="s">
        <v>10</v>
      </c>
      <c r="H6" s="7" t="s">
        <v>45</v>
      </c>
      <c r="I6" s="20" t="s">
        <v>124</v>
      </c>
      <c r="J6" s="20" t="s">
        <v>125</v>
      </c>
      <c r="K6" s="7" t="s">
        <v>119</v>
      </c>
      <c r="L6" s="61">
        <v>45663</v>
      </c>
      <c r="M6" s="7" t="s">
        <v>111</v>
      </c>
      <c r="N6" s="61">
        <v>45663</v>
      </c>
      <c r="O6" s="61">
        <v>45663</v>
      </c>
      <c r="P6" s="59"/>
      <c r="Q6" s="124" t="e">
        <f>P6*#REF!</f>
        <v>#REF!</v>
      </c>
      <c r="R6" s="126">
        <v>45663</v>
      </c>
      <c r="S6" s="153">
        <f>IF(L6="","",L6-B6)</f>
        <v>4</v>
      </c>
      <c r="T6" s="153">
        <f>IF(N6="","",N6-L6)</f>
        <v>0</v>
      </c>
      <c r="U6" s="153">
        <f>IF(O6="","",O6-N6)</f>
        <v>0</v>
      </c>
      <c r="V6" s="154">
        <f>IF(O6="","",O6-B6)</f>
        <v>4</v>
      </c>
      <c r="W6" s="154">
        <f>IF(O6="","",O6-L6)</f>
        <v>0</v>
      </c>
      <c r="X6" s="154">
        <f>IF(R6="","",R6-B6)</f>
        <v>4</v>
      </c>
    </row>
    <row r="7" spans="2:32" ht="17.25" hidden="1" customHeight="1">
      <c r="B7" s="23">
        <v>45659</v>
      </c>
      <c r="C7" s="7">
        <v>2003573402</v>
      </c>
      <c r="D7" s="20">
        <v>5678966</v>
      </c>
      <c r="E7" s="27" t="s">
        <v>126</v>
      </c>
      <c r="F7" s="7" t="s">
        <v>107</v>
      </c>
      <c r="G7" s="7" t="s">
        <v>18</v>
      </c>
      <c r="H7" s="7" t="s">
        <v>45</v>
      </c>
      <c r="I7" s="20" t="s">
        <v>127</v>
      </c>
      <c r="J7" s="20" t="s">
        <v>128</v>
      </c>
      <c r="K7" s="7" t="s">
        <v>110</v>
      </c>
      <c r="L7" s="61">
        <v>45663</v>
      </c>
      <c r="M7" s="7" t="s">
        <v>111</v>
      </c>
      <c r="N7" s="61">
        <v>45663</v>
      </c>
      <c r="O7" s="61">
        <v>45663</v>
      </c>
      <c r="P7" s="59"/>
      <c r="Q7" s="124" t="e">
        <f>P7*#REF!</f>
        <v>#REF!</v>
      </c>
      <c r="R7" s="126">
        <v>45663</v>
      </c>
      <c r="S7" s="153">
        <f>IF(L7="","",L7-B7)</f>
        <v>4</v>
      </c>
      <c r="T7" s="153">
        <f>IF(N7="","",N7-L7)</f>
        <v>0</v>
      </c>
      <c r="U7" s="153">
        <f>IF(O7="","",O7-N7)</f>
        <v>0</v>
      </c>
      <c r="V7" s="154">
        <f>IF(O7="","",O7-B7)</f>
        <v>4</v>
      </c>
      <c r="W7" s="154">
        <f>IF(O7="","",O7-L7)</f>
        <v>0</v>
      </c>
      <c r="X7" s="154">
        <f>IF(R7="","",R7-B7)</f>
        <v>4</v>
      </c>
    </row>
    <row r="8" spans="2:32" ht="17.25" hidden="1" customHeight="1">
      <c r="B8" s="23">
        <v>45659</v>
      </c>
      <c r="C8" s="7">
        <v>2003560817</v>
      </c>
      <c r="D8" s="20">
        <v>5679013</v>
      </c>
      <c r="E8" s="27" t="s">
        <v>129</v>
      </c>
      <c r="F8" s="7" t="s">
        <v>107</v>
      </c>
      <c r="G8" s="7" t="s">
        <v>30</v>
      </c>
      <c r="H8" s="7" t="s">
        <v>45</v>
      </c>
      <c r="I8" s="20" t="s">
        <v>130</v>
      </c>
      <c r="J8" s="20" t="s">
        <v>131</v>
      </c>
      <c r="K8" s="7" t="s">
        <v>111</v>
      </c>
      <c r="L8" s="61">
        <v>45660</v>
      </c>
      <c r="M8" s="7" t="s">
        <v>111</v>
      </c>
      <c r="N8" s="61">
        <v>45660</v>
      </c>
      <c r="O8" s="58">
        <v>45663</v>
      </c>
      <c r="P8" s="59"/>
      <c r="Q8" s="124" t="e">
        <f>P8*#REF!</f>
        <v>#REF!</v>
      </c>
      <c r="R8" s="126">
        <v>45663</v>
      </c>
      <c r="S8" s="153">
        <f>IF(L8="","",L8-B8)</f>
        <v>1</v>
      </c>
      <c r="T8" s="153">
        <f>IF(N8="","",N8-L8)</f>
        <v>0</v>
      </c>
      <c r="U8" s="153">
        <f>IF(O8="","",O8-N8)</f>
        <v>3</v>
      </c>
      <c r="V8" s="154">
        <f>IF(O8="","",O8-B8)</f>
        <v>4</v>
      </c>
      <c r="W8" s="154">
        <f>IF(O8="","",O8-L8)</f>
        <v>3</v>
      </c>
      <c r="X8" s="154">
        <f>IF(R8="","",R8-B8)</f>
        <v>4</v>
      </c>
    </row>
    <row r="9" spans="2:32" ht="17.25" hidden="1" customHeight="1">
      <c r="B9" s="23">
        <v>45659</v>
      </c>
      <c r="C9" s="7">
        <v>2003537196</v>
      </c>
      <c r="D9" s="20">
        <v>76312</v>
      </c>
      <c r="E9" s="27" t="s">
        <v>132</v>
      </c>
      <c r="F9" s="7" t="s">
        <v>107</v>
      </c>
      <c r="G9" s="7" t="s">
        <v>21</v>
      </c>
      <c r="H9" s="7" t="s">
        <v>45</v>
      </c>
      <c r="I9" s="20" t="s">
        <v>133</v>
      </c>
      <c r="J9" s="20" t="s">
        <v>134</v>
      </c>
      <c r="K9" s="7" t="s">
        <v>110</v>
      </c>
      <c r="L9" s="61">
        <v>45660</v>
      </c>
      <c r="M9" s="7" t="s">
        <v>111</v>
      </c>
      <c r="N9" s="61">
        <v>45663</v>
      </c>
      <c r="O9" s="61">
        <v>45663</v>
      </c>
      <c r="P9" s="59"/>
      <c r="Q9" s="124" t="e">
        <f>P9*#REF!</f>
        <v>#REF!</v>
      </c>
      <c r="R9" s="126">
        <v>45663</v>
      </c>
      <c r="S9" s="153">
        <f>IF(L9="","",L9-B9)</f>
        <v>1</v>
      </c>
      <c r="T9" s="153">
        <f>IF(N9="","",N9-L9)</f>
        <v>3</v>
      </c>
      <c r="U9" s="153">
        <f>IF(O9="","",O9-N9)</f>
        <v>0</v>
      </c>
      <c r="V9" s="154">
        <f>IF(O9="","",O9-B9)</f>
        <v>4</v>
      </c>
      <c r="W9" s="154">
        <f>IF(O9="","",O9-L9)</f>
        <v>3</v>
      </c>
      <c r="X9" s="154">
        <f>IF(R9="","",R9-B9)</f>
        <v>4</v>
      </c>
    </row>
    <row r="10" spans="2:32" ht="17.25" hidden="1" customHeight="1">
      <c r="B10" s="23">
        <v>45660</v>
      </c>
      <c r="C10" s="7">
        <v>2003567129</v>
      </c>
      <c r="D10" s="20">
        <v>5698410</v>
      </c>
      <c r="E10" s="27" t="s">
        <v>135</v>
      </c>
      <c r="F10" s="7" t="s">
        <v>107</v>
      </c>
      <c r="G10" s="7" t="s">
        <v>18</v>
      </c>
      <c r="H10" s="7" t="s">
        <v>45</v>
      </c>
      <c r="I10" s="20" t="s">
        <v>136</v>
      </c>
      <c r="J10" s="20" t="s">
        <v>137</v>
      </c>
      <c r="K10" s="7" t="s">
        <v>119</v>
      </c>
      <c r="L10" s="61">
        <v>45666</v>
      </c>
      <c r="M10" s="7" t="s">
        <v>111</v>
      </c>
      <c r="N10" s="61">
        <v>45666</v>
      </c>
      <c r="O10" s="58">
        <v>45667</v>
      </c>
      <c r="P10" s="59">
        <v>80.400000000000006</v>
      </c>
      <c r="Q10" s="124" t="e">
        <f>P10*#REF!</f>
        <v>#REF!</v>
      </c>
      <c r="R10" s="126">
        <v>45668</v>
      </c>
      <c r="S10" s="153">
        <f>IF(L10="","",L10-B10)</f>
        <v>6</v>
      </c>
      <c r="T10" s="153">
        <f>IF(N10="","",N10-L10)</f>
        <v>0</v>
      </c>
      <c r="U10" s="153">
        <f>IF(O10="","",O10-N10)</f>
        <v>1</v>
      </c>
      <c r="V10" s="154">
        <f>IF(O10="","",O10-B10)</f>
        <v>7</v>
      </c>
      <c r="W10" s="154">
        <f>IF(O10="","",O10-L10)</f>
        <v>1</v>
      </c>
      <c r="X10" s="154">
        <f>IF(R10="","",R10-B10)</f>
        <v>8</v>
      </c>
    </row>
    <row r="11" spans="2:32" ht="17.25" hidden="1" customHeight="1">
      <c r="B11" s="23">
        <v>45660</v>
      </c>
      <c r="C11" s="7">
        <v>2003572257</v>
      </c>
      <c r="D11" s="20">
        <v>5698450</v>
      </c>
      <c r="E11" s="27" t="s">
        <v>138</v>
      </c>
      <c r="F11" s="7" t="s">
        <v>107</v>
      </c>
      <c r="G11" s="7" t="s">
        <v>18</v>
      </c>
      <c r="H11" s="7" t="s">
        <v>45</v>
      </c>
      <c r="I11" s="20" t="s">
        <v>139</v>
      </c>
      <c r="J11" s="20" t="s">
        <v>140</v>
      </c>
      <c r="K11" s="7" t="s">
        <v>119</v>
      </c>
      <c r="L11" s="61">
        <v>45663</v>
      </c>
      <c r="M11" s="7" t="s">
        <v>111</v>
      </c>
      <c r="N11" s="61">
        <v>45664</v>
      </c>
      <c r="O11" s="58">
        <v>45665</v>
      </c>
      <c r="P11" s="59"/>
      <c r="Q11" s="124" t="e">
        <f>P11*#REF!</f>
        <v>#REF!</v>
      </c>
      <c r="R11" s="126">
        <v>45665</v>
      </c>
      <c r="S11" s="153">
        <f>IF(L11="","",L11-B11)</f>
        <v>3</v>
      </c>
      <c r="T11" s="153">
        <f>IF(N11="","",N11-L11)</f>
        <v>1</v>
      </c>
      <c r="U11" s="153">
        <f>IF(O11="","",O11-N11)</f>
        <v>1</v>
      </c>
      <c r="V11" s="154">
        <f>IF(O11="","",O11-B11)</f>
        <v>5</v>
      </c>
      <c r="W11" s="154">
        <f>IF(O11="","",O11-L11)</f>
        <v>2</v>
      </c>
      <c r="X11" s="154">
        <f>IF(R11="","",R11-B11)</f>
        <v>5</v>
      </c>
    </row>
    <row r="12" spans="2:32" ht="17.25" hidden="1" customHeight="1">
      <c r="B12" s="23">
        <v>45660</v>
      </c>
      <c r="C12" s="7">
        <v>2003546782</v>
      </c>
      <c r="D12" s="20">
        <v>5698880</v>
      </c>
      <c r="E12" s="27" t="s">
        <v>116</v>
      </c>
      <c r="F12" s="7" t="s">
        <v>107</v>
      </c>
      <c r="G12" s="7" t="s">
        <v>10</v>
      </c>
      <c r="H12" s="7" t="s">
        <v>45</v>
      </c>
      <c r="I12" s="20" t="s">
        <v>141</v>
      </c>
      <c r="J12" s="20" t="s">
        <v>142</v>
      </c>
      <c r="K12" s="7" t="s">
        <v>119</v>
      </c>
      <c r="L12" s="61">
        <v>45663</v>
      </c>
      <c r="M12" s="7" t="s">
        <v>111</v>
      </c>
      <c r="N12" s="61">
        <v>45663</v>
      </c>
      <c r="O12" s="61">
        <v>45663</v>
      </c>
      <c r="P12" s="59"/>
      <c r="Q12" s="124" t="e">
        <f>P12*#REF!</f>
        <v>#REF!</v>
      </c>
      <c r="R12" s="126">
        <v>45663</v>
      </c>
      <c r="S12" s="153">
        <f>IF(L12="","",L12-B12)</f>
        <v>3</v>
      </c>
      <c r="T12" s="153">
        <f>IF(N12="","",N12-L12)</f>
        <v>0</v>
      </c>
      <c r="U12" s="153">
        <f>IF(O12="","",O12-N12)</f>
        <v>0</v>
      </c>
      <c r="V12" s="154">
        <f>IF(O12="","",O12-B12)</f>
        <v>3</v>
      </c>
      <c r="W12" s="154">
        <f>IF(O12="","",O12-L12)</f>
        <v>0</v>
      </c>
      <c r="X12" s="154">
        <f>IF(R12="","",R12-B12)</f>
        <v>3</v>
      </c>
    </row>
    <row r="13" spans="2:32" ht="17.25" hidden="1" customHeight="1">
      <c r="B13" s="23">
        <v>45660</v>
      </c>
      <c r="C13" s="7">
        <v>2003556895</v>
      </c>
      <c r="D13" s="20">
        <v>5698926</v>
      </c>
      <c r="E13" s="27" t="s">
        <v>143</v>
      </c>
      <c r="F13" s="7" t="s">
        <v>107</v>
      </c>
      <c r="G13" s="7" t="s">
        <v>10</v>
      </c>
      <c r="H13" s="7" t="s">
        <v>45</v>
      </c>
      <c r="I13" s="20" t="s">
        <v>144</v>
      </c>
      <c r="J13" s="20" t="s">
        <v>145</v>
      </c>
      <c r="K13" s="7" t="s">
        <v>146</v>
      </c>
      <c r="L13" s="61">
        <v>45661</v>
      </c>
      <c r="M13" s="7" t="s">
        <v>146</v>
      </c>
      <c r="N13" s="24">
        <v>45664</v>
      </c>
      <c r="O13" s="58">
        <v>45664</v>
      </c>
      <c r="P13" s="59"/>
      <c r="Q13" s="124" t="e">
        <f>P13*#REF!</f>
        <v>#REF!</v>
      </c>
      <c r="R13" s="126">
        <v>45665</v>
      </c>
      <c r="S13" s="153">
        <f>IF(L13="","",L13-B13)</f>
        <v>1</v>
      </c>
      <c r="T13" s="153">
        <f>IF(N13="","",N13-L13)</f>
        <v>3</v>
      </c>
      <c r="U13" s="153">
        <f>IF(O13="","",O13-N13)</f>
        <v>0</v>
      </c>
      <c r="V13" s="154">
        <f>IF(O13="","",O13-B13)</f>
        <v>4</v>
      </c>
      <c r="W13" s="154">
        <f>IF(O13="","",O13-L13)</f>
        <v>3</v>
      </c>
      <c r="X13" s="154">
        <f>IF(R13="","",R13-B13)</f>
        <v>5</v>
      </c>
    </row>
    <row r="14" spans="2:32" ht="17.25" hidden="1" customHeight="1">
      <c r="B14" s="23">
        <v>45660</v>
      </c>
      <c r="C14" s="7">
        <v>2003513108</v>
      </c>
      <c r="D14" s="20">
        <v>5699021</v>
      </c>
      <c r="E14" s="27" t="s">
        <v>123</v>
      </c>
      <c r="F14" s="7" t="s">
        <v>107</v>
      </c>
      <c r="G14" s="7" t="s">
        <v>10</v>
      </c>
      <c r="H14" s="7" t="s">
        <v>45</v>
      </c>
      <c r="I14" s="20" t="s">
        <v>147</v>
      </c>
      <c r="J14" s="20" t="s">
        <v>148</v>
      </c>
      <c r="K14" s="7" t="s">
        <v>110</v>
      </c>
      <c r="L14" s="61">
        <v>45663</v>
      </c>
      <c r="M14" s="7" t="s">
        <v>111</v>
      </c>
      <c r="N14" s="61">
        <v>45663</v>
      </c>
      <c r="O14" s="61">
        <v>45663</v>
      </c>
      <c r="P14" s="59"/>
      <c r="Q14" s="124" t="e">
        <f>P14*#REF!</f>
        <v>#REF!</v>
      </c>
      <c r="R14" s="126">
        <v>45663</v>
      </c>
      <c r="S14" s="153">
        <f>IF(L14="","",L14-B14)</f>
        <v>3</v>
      </c>
      <c r="T14" s="153">
        <f>IF(N14="","",N14-L14)</f>
        <v>0</v>
      </c>
      <c r="U14" s="153">
        <f>IF(O14="","",O14-N14)</f>
        <v>0</v>
      </c>
      <c r="V14" s="154">
        <f>IF(O14="","",O14-B14)</f>
        <v>3</v>
      </c>
      <c r="W14" s="154">
        <f>IF(O14="","",O14-L14)</f>
        <v>0</v>
      </c>
      <c r="X14" s="154">
        <f>IF(R14="","",R14-B14)</f>
        <v>3</v>
      </c>
    </row>
    <row r="15" spans="2:32" ht="17.25" hidden="1" customHeight="1">
      <c r="B15" s="23">
        <v>45660</v>
      </c>
      <c r="C15" s="7">
        <v>2003572907</v>
      </c>
      <c r="D15" s="20">
        <v>5699037</v>
      </c>
      <c r="E15" s="27" t="s">
        <v>149</v>
      </c>
      <c r="F15" s="7" t="s">
        <v>107</v>
      </c>
      <c r="G15" s="7" t="s">
        <v>26</v>
      </c>
      <c r="H15" s="7" t="s">
        <v>45</v>
      </c>
      <c r="I15" s="20" t="s">
        <v>150</v>
      </c>
      <c r="J15" s="20" t="s">
        <v>151</v>
      </c>
      <c r="K15" s="7" t="s">
        <v>110</v>
      </c>
      <c r="L15" s="61">
        <v>45665</v>
      </c>
      <c r="M15" s="7" t="s">
        <v>111</v>
      </c>
      <c r="N15" s="24">
        <v>45667</v>
      </c>
      <c r="O15" s="58">
        <v>45667</v>
      </c>
      <c r="P15" s="59"/>
      <c r="Q15" s="124" t="e">
        <f>P15*#REF!</f>
        <v>#REF!</v>
      </c>
      <c r="R15" s="126">
        <v>45667</v>
      </c>
      <c r="S15" s="153">
        <f>IF(L15="","",L15-B15)</f>
        <v>5</v>
      </c>
      <c r="T15" s="153">
        <f>IF(N15="","",N15-L15)</f>
        <v>2</v>
      </c>
      <c r="U15" s="153">
        <f>IF(O15="","",O15-N15)</f>
        <v>0</v>
      </c>
      <c r="V15" s="154">
        <f>IF(O15="","",O15-B15)</f>
        <v>7</v>
      </c>
      <c r="W15" s="154">
        <f>IF(O15="","",O15-L15)</f>
        <v>2</v>
      </c>
      <c r="X15" s="154">
        <f>IF(R15="","",R15-B15)</f>
        <v>7</v>
      </c>
    </row>
    <row r="16" spans="2:32" ht="17.25" hidden="1" customHeight="1">
      <c r="B16" s="23">
        <v>45660</v>
      </c>
      <c r="C16" s="7">
        <v>2003566526</v>
      </c>
      <c r="D16" s="20">
        <v>5699109</v>
      </c>
      <c r="E16" s="27" t="s">
        <v>152</v>
      </c>
      <c r="F16" s="7" t="s">
        <v>107</v>
      </c>
      <c r="G16" s="7" t="s">
        <v>10</v>
      </c>
      <c r="H16" s="7" t="s">
        <v>45</v>
      </c>
      <c r="I16" s="20" t="s">
        <v>153</v>
      </c>
      <c r="J16" s="20" t="s">
        <v>154</v>
      </c>
      <c r="K16" s="7" t="s">
        <v>110</v>
      </c>
      <c r="L16" s="61">
        <v>45663</v>
      </c>
      <c r="M16" s="7" t="s">
        <v>111</v>
      </c>
      <c r="N16" s="61">
        <v>45663</v>
      </c>
      <c r="O16" s="61">
        <v>45663</v>
      </c>
      <c r="P16" s="59"/>
      <c r="Q16" s="124" t="e">
        <f>P16*#REF!</f>
        <v>#REF!</v>
      </c>
      <c r="R16" s="126">
        <v>45663</v>
      </c>
      <c r="S16" s="153">
        <f>IF(L16="","",L16-B16)</f>
        <v>3</v>
      </c>
      <c r="T16" s="153">
        <f>IF(N16="","",N16-L16)</f>
        <v>0</v>
      </c>
      <c r="U16" s="153">
        <f>IF(O16="","",O16-N16)</f>
        <v>0</v>
      </c>
      <c r="V16" s="154">
        <f>IF(O16="","",O16-B16)</f>
        <v>3</v>
      </c>
      <c r="W16" s="154">
        <f>IF(O16="","",O16-L16)</f>
        <v>0</v>
      </c>
      <c r="X16" s="154">
        <f>IF(R16="","",R16-B16)</f>
        <v>3</v>
      </c>
    </row>
    <row r="17" spans="2:24" ht="17.25" hidden="1" customHeight="1">
      <c r="B17" s="23">
        <v>45663</v>
      </c>
      <c r="C17" s="7">
        <v>2003575373</v>
      </c>
      <c r="D17" s="20">
        <v>5700121</v>
      </c>
      <c r="E17" s="27" t="s">
        <v>129</v>
      </c>
      <c r="F17" s="7" t="s">
        <v>113</v>
      </c>
      <c r="G17" s="7" t="s">
        <v>70</v>
      </c>
      <c r="H17" s="7" t="s">
        <v>47</v>
      </c>
      <c r="I17" s="20" t="s">
        <v>155</v>
      </c>
      <c r="J17" s="20" t="s">
        <v>156</v>
      </c>
      <c r="K17" s="7" t="s">
        <v>119</v>
      </c>
      <c r="P17" s="59"/>
      <c r="Q17" s="124" t="e">
        <f>P17*#REF!</f>
        <v>#REF!</v>
      </c>
      <c r="R17" s="126">
        <v>45671</v>
      </c>
      <c r="S17" s="153" t="str">
        <f>IF(L17="","",L17-B17)</f>
        <v/>
      </c>
      <c r="T17" s="153" t="str">
        <f>IF(N17="","",N17-L17)</f>
        <v/>
      </c>
      <c r="U17" s="153" t="str">
        <f>IF(O17="","",O17-N17)</f>
        <v/>
      </c>
      <c r="V17" s="154" t="str">
        <f>IF(O17="","",O17-B17)</f>
        <v/>
      </c>
      <c r="W17" s="154" t="str">
        <f>IF(O17="","",O17-L17)</f>
        <v/>
      </c>
      <c r="X17" s="154">
        <f>IF(R17="","",R17-B17)</f>
        <v>8</v>
      </c>
    </row>
    <row r="18" spans="2:24" ht="17.25" hidden="1" customHeight="1">
      <c r="B18" s="23">
        <v>45663</v>
      </c>
      <c r="C18" s="7">
        <v>2003559210</v>
      </c>
      <c r="D18" s="20">
        <v>5700209</v>
      </c>
      <c r="E18" s="27" t="s">
        <v>157</v>
      </c>
      <c r="F18" s="7" t="s">
        <v>113</v>
      </c>
      <c r="G18" s="7" t="s">
        <v>70</v>
      </c>
      <c r="H18" s="7" t="s">
        <v>47</v>
      </c>
      <c r="I18" s="20" t="s">
        <v>158</v>
      </c>
      <c r="J18" s="20" t="s">
        <v>159</v>
      </c>
      <c r="K18" s="7" t="s">
        <v>160</v>
      </c>
      <c r="P18" s="59"/>
      <c r="Q18" s="124" t="e">
        <f>P18*#REF!</f>
        <v>#REF!</v>
      </c>
      <c r="R18" s="126">
        <v>45673</v>
      </c>
      <c r="S18" s="153" t="str">
        <f>IF(L18="","",L18-B18)</f>
        <v/>
      </c>
      <c r="T18" s="153" t="str">
        <f>IF(N18="","",N18-L18)</f>
        <v/>
      </c>
      <c r="U18" s="153" t="str">
        <f>IF(O18="","",O18-N18)</f>
        <v/>
      </c>
      <c r="V18" s="154" t="str">
        <f>IF(O18="","",O18-B18)</f>
        <v/>
      </c>
      <c r="W18" s="154" t="str">
        <f>IF(O18="","",O18-L18)</f>
        <v/>
      </c>
      <c r="X18" s="154">
        <f>IF(R18="","",R18-B18)</f>
        <v>10</v>
      </c>
    </row>
    <row r="19" spans="2:24" ht="17.25" hidden="1" customHeight="1">
      <c r="B19" s="23">
        <v>45663</v>
      </c>
      <c r="C19" s="7">
        <v>2003575989</v>
      </c>
      <c r="D19" s="20">
        <v>5700540</v>
      </c>
      <c r="E19" s="27" t="s">
        <v>123</v>
      </c>
      <c r="F19" s="7" t="s">
        <v>107</v>
      </c>
      <c r="G19" s="7" t="s">
        <v>10</v>
      </c>
      <c r="H19" s="7" t="s">
        <v>45</v>
      </c>
      <c r="I19" s="20" t="s">
        <v>161</v>
      </c>
      <c r="J19" s="20" t="s">
        <v>162</v>
      </c>
      <c r="K19" s="7" t="s">
        <v>119</v>
      </c>
      <c r="L19" s="61">
        <v>45665</v>
      </c>
      <c r="M19" s="7" t="s">
        <v>111</v>
      </c>
      <c r="N19" s="61">
        <v>45667</v>
      </c>
      <c r="O19" s="58">
        <v>45671</v>
      </c>
      <c r="P19" s="59"/>
      <c r="Q19" s="124" t="e">
        <f>P19*#REF!</f>
        <v>#REF!</v>
      </c>
      <c r="R19" s="126">
        <v>45672</v>
      </c>
      <c r="S19" s="153">
        <f>IF(L19="","",L19-B19)</f>
        <v>2</v>
      </c>
      <c r="T19" s="153">
        <f>IF(N19="","",N19-L19)</f>
        <v>2</v>
      </c>
      <c r="U19" s="153">
        <f>IF(O19="","",O19-N19)</f>
        <v>4</v>
      </c>
      <c r="V19" s="154">
        <f>IF(O19="","",O19-B19)</f>
        <v>8</v>
      </c>
      <c r="W19" s="154">
        <f>IF(O19="","",O19-L19)</f>
        <v>6</v>
      </c>
      <c r="X19" s="154">
        <f>IF(R19="","",R19-B19)</f>
        <v>9</v>
      </c>
    </row>
    <row r="20" spans="2:24" ht="17.25" hidden="1" customHeight="1">
      <c r="B20" s="23">
        <v>45663</v>
      </c>
      <c r="C20" s="7">
        <v>2003572842</v>
      </c>
      <c r="D20" s="20">
        <v>5700691</v>
      </c>
      <c r="E20" s="27" t="s">
        <v>163</v>
      </c>
      <c r="F20" s="7" t="s">
        <v>107</v>
      </c>
      <c r="G20" s="7" t="s">
        <v>18</v>
      </c>
      <c r="H20" s="7" t="s">
        <v>45</v>
      </c>
      <c r="I20" s="20" t="s">
        <v>164</v>
      </c>
      <c r="J20" s="20" t="s">
        <v>165</v>
      </c>
      <c r="K20" s="7" t="s">
        <v>119</v>
      </c>
      <c r="L20" s="61">
        <v>45665</v>
      </c>
      <c r="M20" s="7" t="s">
        <v>111</v>
      </c>
      <c r="N20" s="61">
        <v>45666</v>
      </c>
      <c r="O20" s="58">
        <v>45667</v>
      </c>
      <c r="P20" s="59"/>
      <c r="Q20" s="124" t="e">
        <f>P20*#REF!</f>
        <v>#REF!</v>
      </c>
      <c r="R20" s="126">
        <v>45668</v>
      </c>
      <c r="S20" s="153">
        <f>IF(L20="","",L20-B20)</f>
        <v>2</v>
      </c>
      <c r="T20" s="153">
        <f>IF(N20="","",N20-L20)</f>
        <v>1</v>
      </c>
      <c r="U20" s="153">
        <f>IF(O20="","",O20-N20)</f>
        <v>1</v>
      </c>
      <c r="V20" s="154">
        <f>IF(O20="","",O20-B20)</f>
        <v>4</v>
      </c>
      <c r="W20" s="154">
        <f>IF(O20="","",O20-L20)</f>
        <v>2</v>
      </c>
      <c r="X20" s="154">
        <f>IF(R20="","",R20-B20)</f>
        <v>5</v>
      </c>
    </row>
    <row r="21" spans="2:24" ht="17.25" hidden="1" customHeight="1">
      <c r="B21" s="23">
        <v>45663</v>
      </c>
      <c r="C21" s="7">
        <v>2003493518</v>
      </c>
      <c r="D21" s="20">
        <v>5700955</v>
      </c>
      <c r="E21" s="27" t="s">
        <v>123</v>
      </c>
      <c r="F21" s="7" t="s">
        <v>107</v>
      </c>
      <c r="G21" s="7" t="s">
        <v>166</v>
      </c>
      <c r="H21" s="7" t="s">
        <v>45</v>
      </c>
      <c r="I21" s="20" t="s">
        <v>167</v>
      </c>
      <c r="J21" s="20" t="s">
        <v>168</v>
      </c>
      <c r="K21" s="7" t="s">
        <v>119</v>
      </c>
      <c r="L21" s="61">
        <v>45664</v>
      </c>
      <c r="M21" s="7" t="s">
        <v>111</v>
      </c>
      <c r="N21" s="61">
        <v>45664</v>
      </c>
      <c r="O21" s="61">
        <v>45664</v>
      </c>
      <c r="P21" s="59"/>
      <c r="Q21" s="124" t="e">
        <f>P21*#REF!</f>
        <v>#REF!</v>
      </c>
      <c r="R21" s="126">
        <v>45665</v>
      </c>
      <c r="S21" s="153">
        <f>IF(L21="","",L21-B21)</f>
        <v>1</v>
      </c>
      <c r="T21" s="153">
        <f>IF(N21="","",N21-L21)</f>
        <v>0</v>
      </c>
      <c r="U21" s="153">
        <f>IF(O21="","",O21-N21)</f>
        <v>0</v>
      </c>
      <c r="V21" s="154">
        <f>IF(O21="","",O21-B21)</f>
        <v>1</v>
      </c>
      <c r="W21" s="154">
        <f>IF(O21="","",O21-L21)</f>
        <v>0</v>
      </c>
      <c r="X21" s="154">
        <f>IF(R21="","",R21-B21)</f>
        <v>2</v>
      </c>
    </row>
    <row r="22" spans="2:24" ht="17.25" hidden="1" customHeight="1">
      <c r="B22" s="23">
        <v>45663</v>
      </c>
      <c r="C22" s="7">
        <v>2003575256</v>
      </c>
      <c r="D22" s="20">
        <v>5701023</v>
      </c>
      <c r="E22" s="27" t="s">
        <v>143</v>
      </c>
      <c r="F22" s="7" t="s">
        <v>107</v>
      </c>
      <c r="G22" s="7" t="s">
        <v>10</v>
      </c>
      <c r="H22" s="7" t="s">
        <v>45</v>
      </c>
      <c r="I22" s="20" t="s">
        <v>169</v>
      </c>
      <c r="J22" s="20" t="s">
        <v>170</v>
      </c>
      <c r="K22" s="7" t="s">
        <v>110</v>
      </c>
      <c r="L22" s="61">
        <v>45665</v>
      </c>
      <c r="M22" s="7" t="s">
        <v>111</v>
      </c>
      <c r="N22" s="61">
        <v>45665</v>
      </c>
      <c r="O22" s="61">
        <v>45665</v>
      </c>
      <c r="P22" s="59"/>
      <c r="Q22" s="124" t="e">
        <f>P22*#REF!</f>
        <v>#REF!</v>
      </c>
      <c r="R22" s="126">
        <v>45665</v>
      </c>
      <c r="S22" s="153">
        <f>IF(L22="","",L22-B22)</f>
        <v>2</v>
      </c>
      <c r="T22" s="153">
        <f>IF(N22="","",N22-L22)</f>
        <v>0</v>
      </c>
      <c r="U22" s="153">
        <f>IF(O22="","",O22-N22)</f>
        <v>0</v>
      </c>
      <c r="V22" s="154">
        <f>IF(O22="","",O22-B22)</f>
        <v>2</v>
      </c>
      <c r="W22" s="154">
        <f>IF(O22="","",O22-L22)</f>
        <v>0</v>
      </c>
      <c r="X22" s="154">
        <f>IF(R22="","",R22-B22)</f>
        <v>2</v>
      </c>
    </row>
    <row r="23" spans="2:24" ht="17.25" hidden="1" customHeight="1">
      <c r="B23" s="23">
        <v>45663</v>
      </c>
      <c r="C23" s="7">
        <v>2003566388</v>
      </c>
      <c r="D23" s="20">
        <v>5701067</v>
      </c>
      <c r="E23" s="27" t="s">
        <v>106</v>
      </c>
      <c r="F23" s="7" t="s">
        <v>107</v>
      </c>
      <c r="G23" s="7" t="s">
        <v>10</v>
      </c>
      <c r="H23" s="7" t="s">
        <v>45</v>
      </c>
      <c r="I23" s="20" t="s">
        <v>171</v>
      </c>
      <c r="J23" s="20" t="s">
        <v>172</v>
      </c>
      <c r="K23" s="7" t="s">
        <v>122</v>
      </c>
      <c r="L23" s="61">
        <v>45665</v>
      </c>
      <c r="M23" s="7" t="s">
        <v>111</v>
      </c>
      <c r="N23" s="24">
        <v>45672</v>
      </c>
      <c r="O23" s="58">
        <v>45673</v>
      </c>
      <c r="P23" s="59">
        <v>161</v>
      </c>
      <c r="Q23" s="124" t="e">
        <f>P23*#REF!</f>
        <v>#REF!</v>
      </c>
      <c r="R23" s="126">
        <v>45673</v>
      </c>
      <c r="S23" s="153">
        <f>IF(L23="","",L23-B23)</f>
        <v>2</v>
      </c>
      <c r="T23" s="153">
        <f>IF(N23="","",N23-L23)</f>
        <v>7</v>
      </c>
      <c r="U23" s="153">
        <f>IF(O23="","",O23-N23)</f>
        <v>1</v>
      </c>
      <c r="V23" s="154">
        <f>IF(O23="","",O23-B23)</f>
        <v>10</v>
      </c>
      <c r="W23" s="154">
        <f>IF(O23="","",O23-L23)</f>
        <v>8</v>
      </c>
      <c r="X23" s="154">
        <f>IF(R23="","",R23-B23)</f>
        <v>10</v>
      </c>
    </row>
    <row r="24" spans="2:24" ht="17.25" hidden="1" customHeight="1">
      <c r="B24" s="23">
        <v>45663</v>
      </c>
      <c r="C24" s="7">
        <v>2003565818</v>
      </c>
      <c r="D24" s="20">
        <v>5701184</v>
      </c>
      <c r="E24" s="27" t="s">
        <v>149</v>
      </c>
      <c r="F24" s="7" t="s">
        <v>107</v>
      </c>
      <c r="G24" s="7" t="s">
        <v>10</v>
      </c>
      <c r="H24" s="7" t="s">
        <v>45</v>
      </c>
      <c r="I24" s="20" t="s">
        <v>173</v>
      </c>
      <c r="J24" s="20" t="s">
        <v>174</v>
      </c>
      <c r="K24" s="7" t="s">
        <v>110</v>
      </c>
      <c r="L24" s="61">
        <v>45665</v>
      </c>
      <c r="M24" s="7" t="s">
        <v>111</v>
      </c>
      <c r="N24" s="24">
        <v>45672</v>
      </c>
      <c r="O24" s="24">
        <v>45672</v>
      </c>
      <c r="P24" s="59"/>
      <c r="Q24" s="124" t="e">
        <f>P24*#REF!</f>
        <v>#REF!</v>
      </c>
      <c r="R24" s="126">
        <v>45672</v>
      </c>
      <c r="S24" s="153">
        <f>IF(L24="","",L24-B24)</f>
        <v>2</v>
      </c>
      <c r="T24" s="153">
        <f>IF(N24="","",N24-L24)</f>
        <v>7</v>
      </c>
      <c r="U24" s="153">
        <f>IF(O24="","",O24-N24)</f>
        <v>0</v>
      </c>
      <c r="V24" s="154">
        <f>IF(O24="","",O24-B24)</f>
        <v>9</v>
      </c>
      <c r="W24" s="154">
        <f>IF(O24="","",O24-L24)</f>
        <v>7</v>
      </c>
      <c r="X24" s="154">
        <f>IF(R24="","",R24-B24)</f>
        <v>9</v>
      </c>
    </row>
    <row r="25" spans="2:24" ht="17.25" hidden="1" customHeight="1">
      <c r="B25" s="23">
        <v>45663</v>
      </c>
      <c r="C25" s="7">
        <v>2003531229</v>
      </c>
      <c r="D25" s="20">
        <v>5701187</v>
      </c>
      <c r="E25" s="27" t="s">
        <v>116</v>
      </c>
      <c r="F25" s="7" t="s">
        <v>107</v>
      </c>
      <c r="G25" s="7" t="s">
        <v>18</v>
      </c>
      <c r="H25" s="7" t="s">
        <v>45</v>
      </c>
      <c r="I25" s="20" t="s">
        <v>117</v>
      </c>
      <c r="J25" s="20" t="s">
        <v>118</v>
      </c>
      <c r="K25" s="7" t="s">
        <v>119</v>
      </c>
      <c r="L25" s="61">
        <v>45666</v>
      </c>
      <c r="M25" s="7" t="s">
        <v>111</v>
      </c>
      <c r="N25" s="61">
        <v>45666</v>
      </c>
      <c r="O25" s="58">
        <v>45667</v>
      </c>
      <c r="P25" s="59"/>
      <c r="Q25" s="124" t="e">
        <f>P25*#REF!</f>
        <v>#REF!</v>
      </c>
      <c r="R25" s="126">
        <v>45668</v>
      </c>
      <c r="S25" s="153">
        <f>IF(L25="","",L25-B25)</f>
        <v>3</v>
      </c>
      <c r="T25" s="153">
        <f>IF(N25="","",N25-L25)</f>
        <v>0</v>
      </c>
      <c r="U25" s="153">
        <f>IF(O25="","",O25-N25)</f>
        <v>1</v>
      </c>
      <c r="V25" s="154">
        <f>IF(O25="","",O25-B25)</f>
        <v>4</v>
      </c>
      <c r="W25" s="154">
        <f>IF(O25="","",O25-L25)</f>
        <v>1</v>
      </c>
      <c r="X25" s="154">
        <f>IF(R25="","",R25-B25)</f>
        <v>5</v>
      </c>
    </row>
    <row r="26" spans="2:24" ht="17.25" hidden="1" customHeight="1">
      <c r="B26" s="23">
        <v>45663</v>
      </c>
      <c r="C26" s="7">
        <v>2003316208</v>
      </c>
      <c r="D26" s="20">
        <v>5701241</v>
      </c>
      <c r="E26" s="27" t="s">
        <v>163</v>
      </c>
      <c r="F26" s="7" t="s">
        <v>107</v>
      </c>
      <c r="G26" s="7" t="s">
        <v>10</v>
      </c>
      <c r="H26" s="7" t="s">
        <v>45</v>
      </c>
      <c r="I26" s="20" t="s">
        <v>175</v>
      </c>
      <c r="J26" s="20" t="s">
        <v>176</v>
      </c>
      <c r="K26" s="7" t="s">
        <v>119</v>
      </c>
      <c r="L26" s="61">
        <v>45670</v>
      </c>
      <c r="M26" s="7" t="s">
        <v>111</v>
      </c>
      <c r="N26" s="24">
        <v>45672</v>
      </c>
      <c r="O26" s="58">
        <v>45673</v>
      </c>
      <c r="P26" s="59"/>
      <c r="Q26" s="124" t="e">
        <f>P26*#REF!</f>
        <v>#REF!</v>
      </c>
      <c r="R26" s="126">
        <v>45673</v>
      </c>
      <c r="S26" s="153">
        <f>IF(L26="","",L26-B26)</f>
        <v>7</v>
      </c>
      <c r="T26" s="153">
        <f>IF(N26="","",N26-L26)</f>
        <v>2</v>
      </c>
      <c r="U26" s="153">
        <f>IF(O26="","",O26-N26)</f>
        <v>1</v>
      </c>
      <c r="V26" s="154">
        <f>IF(O26="","",O26-B26)</f>
        <v>10</v>
      </c>
      <c r="W26" s="154">
        <f>IF(O26="","",O26-L26)</f>
        <v>3</v>
      </c>
      <c r="X26" s="154">
        <f>IF(R26="","",R26-B26)</f>
        <v>10</v>
      </c>
    </row>
    <row r="27" spans="2:24" ht="17.25" hidden="1" customHeight="1">
      <c r="B27" s="23">
        <v>45663</v>
      </c>
      <c r="C27" s="7">
        <v>2003564970</v>
      </c>
      <c r="D27" s="20">
        <v>5701265</v>
      </c>
      <c r="E27" s="27" t="s">
        <v>177</v>
      </c>
      <c r="F27" s="7" t="s">
        <v>107</v>
      </c>
      <c r="G27" s="7" t="s">
        <v>15</v>
      </c>
      <c r="H27" s="7" t="s">
        <v>45</v>
      </c>
      <c r="I27" s="20" t="s">
        <v>178</v>
      </c>
      <c r="J27" s="20" t="s">
        <v>179</v>
      </c>
      <c r="K27" s="7" t="s">
        <v>122</v>
      </c>
      <c r="L27" s="61">
        <v>45666</v>
      </c>
      <c r="M27" s="7" t="s">
        <v>111</v>
      </c>
      <c r="N27" s="24">
        <v>45667</v>
      </c>
      <c r="O27" s="58">
        <v>45673</v>
      </c>
      <c r="P27" s="59"/>
      <c r="Q27" s="124" t="e">
        <f>P27*#REF!</f>
        <v>#REF!</v>
      </c>
      <c r="R27" s="126">
        <v>45673</v>
      </c>
      <c r="S27" s="153">
        <f>IF(L27="","",L27-B27)</f>
        <v>3</v>
      </c>
      <c r="T27" s="153">
        <f>IF(N27="","",N27-L27)</f>
        <v>1</v>
      </c>
      <c r="U27" s="153">
        <f>IF(O27="","",O27-N27)</f>
        <v>6</v>
      </c>
      <c r="V27" s="154">
        <f>IF(O27="","",O27-B27)</f>
        <v>10</v>
      </c>
      <c r="W27" s="154">
        <f>IF(O27="","",O27-L27)</f>
        <v>7</v>
      </c>
      <c r="X27" s="154">
        <f>IF(R27="","",R27-B27)</f>
        <v>10</v>
      </c>
    </row>
    <row r="28" spans="2:24" ht="17.25" hidden="1" customHeight="1">
      <c r="B28" s="23">
        <v>45663</v>
      </c>
      <c r="C28" s="7">
        <v>2003509523</v>
      </c>
      <c r="D28" s="20">
        <v>78084</v>
      </c>
      <c r="E28" s="27" t="s">
        <v>180</v>
      </c>
      <c r="F28" s="7" t="s">
        <v>107</v>
      </c>
      <c r="G28" s="7" t="s">
        <v>10</v>
      </c>
      <c r="H28" s="7" t="s">
        <v>45</v>
      </c>
      <c r="I28" s="20" t="s">
        <v>181</v>
      </c>
      <c r="J28" s="20" t="s">
        <v>182</v>
      </c>
      <c r="K28" s="7" t="s">
        <v>119</v>
      </c>
      <c r="L28" s="61">
        <v>45671</v>
      </c>
      <c r="M28" s="7" t="s">
        <v>111</v>
      </c>
      <c r="N28" s="24">
        <v>45672</v>
      </c>
      <c r="O28" s="24">
        <v>45672</v>
      </c>
      <c r="P28" s="59"/>
      <c r="Q28" s="124" t="e">
        <f>P28*#REF!</f>
        <v>#REF!</v>
      </c>
      <c r="R28" s="126">
        <v>45672</v>
      </c>
      <c r="S28" s="153">
        <f>IF(L28="","",L28-B28)</f>
        <v>8</v>
      </c>
      <c r="T28" s="153">
        <f>IF(N28="","",N28-L28)</f>
        <v>1</v>
      </c>
      <c r="U28" s="153">
        <f>IF(O28="","",O28-N28)</f>
        <v>0</v>
      </c>
      <c r="V28" s="154">
        <f>IF(O28="","",O28-B28)</f>
        <v>9</v>
      </c>
      <c r="W28" s="154">
        <f>IF(O28="","",O28-L28)</f>
        <v>1</v>
      </c>
      <c r="X28" s="154">
        <f>IF(R28="","",R28-B28)</f>
        <v>9</v>
      </c>
    </row>
    <row r="29" spans="2:24" ht="17.25" hidden="1" customHeight="1">
      <c r="B29" s="23">
        <v>45663</v>
      </c>
      <c r="C29" s="7">
        <v>2003566291</v>
      </c>
      <c r="D29" s="20">
        <v>77992</v>
      </c>
      <c r="E29" s="27" t="s">
        <v>123</v>
      </c>
      <c r="F29" s="7" t="s">
        <v>107</v>
      </c>
      <c r="G29" s="7" t="s">
        <v>18</v>
      </c>
      <c r="H29" s="7" t="s">
        <v>45</v>
      </c>
      <c r="I29" s="20" t="s">
        <v>183</v>
      </c>
      <c r="J29" s="20" t="s">
        <v>184</v>
      </c>
      <c r="K29" s="7" t="s">
        <v>122</v>
      </c>
      <c r="L29" s="61">
        <v>45667</v>
      </c>
      <c r="M29" s="7" t="s">
        <v>111</v>
      </c>
      <c r="N29" s="24">
        <v>45670</v>
      </c>
      <c r="O29" s="58">
        <v>45671</v>
      </c>
      <c r="P29" s="59"/>
      <c r="Q29" s="124" t="e">
        <f>P29*#REF!</f>
        <v>#REF!</v>
      </c>
      <c r="R29" s="126">
        <v>45672</v>
      </c>
      <c r="S29" s="153">
        <f>IF(L29="","",L29-B29)</f>
        <v>4</v>
      </c>
      <c r="T29" s="153">
        <f>IF(N29="","",N29-L29)</f>
        <v>3</v>
      </c>
      <c r="U29" s="153">
        <f>IF(O29="","",O29-N29)</f>
        <v>1</v>
      </c>
      <c r="V29" s="154">
        <f>IF(O29="","",O29-B29)</f>
        <v>8</v>
      </c>
      <c r="W29" s="154">
        <f>IF(O29="","",O29-L29)</f>
        <v>4</v>
      </c>
      <c r="X29" s="154">
        <f>IF(R29="","",R29-B29)</f>
        <v>9</v>
      </c>
    </row>
    <row r="30" spans="2:24" ht="17.25" hidden="1" customHeight="1">
      <c r="B30" s="23">
        <v>45663</v>
      </c>
      <c r="C30" s="7">
        <v>2003572642</v>
      </c>
      <c r="D30" s="20">
        <v>77315</v>
      </c>
      <c r="E30" s="27" t="s">
        <v>185</v>
      </c>
      <c r="F30" s="7" t="s">
        <v>107</v>
      </c>
      <c r="G30" s="7" t="s">
        <v>10</v>
      </c>
      <c r="H30" s="7" t="s">
        <v>45</v>
      </c>
      <c r="I30" s="20" t="s">
        <v>186</v>
      </c>
      <c r="J30" s="20" t="s">
        <v>187</v>
      </c>
      <c r="K30" s="7" t="s">
        <v>119</v>
      </c>
      <c r="L30" s="61">
        <v>45665</v>
      </c>
      <c r="M30" s="7" t="s">
        <v>111</v>
      </c>
      <c r="N30" s="61">
        <v>45666</v>
      </c>
      <c r="O30" s="58">
        <v>45667</v>
      </c>
      <c r="P30" s="59"/>
      <c r="Q30" s="124" t="e">
        <f>P30*#REF!</f>
        <v>#REF!</v>
      </c>
      <c r="R30" s="126">
        <v>45668</v>
      </c>
      <c r="S30" s="153">
        <f>IF(L30="","",L30-B30)</f>
        <v>2</v>
      </c>
      <c r="T30" s="153">
        <f>IF(N30="","",N30-L30)</f>
        <v>1</v>
      </c>
      <c r="U30" s="153">
        <f>IF(O30="","",O30-N30)</f>
        <v>1</v>
      </c>
      <c r="V30" s="154">
        <f>IF(O30="","",O30-B30)</f>
        <v>4</v>
      </c>
      <c r="W30" s="154">
        <f>IF(O30="","",O30-L30)</f>
        <v>2</v>
      </c>
      <c r="X30" s="154">
        <f>IF(R30="","",R30-B30)</f>
        <v>5</v>
      </c>
    </row>
    <row r="31" spans="2:24" ht="17.25" hidden="1" customHeight="1">
      <c r="B31" s="23">
        <v>45663</v>
      </c>
      <c r="C31" s="7">
        <v>2003489539</v>
      </c>
      <c r="D31" s="20">
        <v>77315</v>
      </c>
      <c r="E31" s="27" t="s">
        <v>188</v>
      </c>
      <c r="F31" s="7" t="s">
        <v>107</v>
      </c>
      <c r="G31" s="7" t="s">
        <v>26</v>
      </c>
      <c r="H31" s="7" t="s">
        <v>45</v>
      </c>
      <c r="I31" s="20" t="s">
        <v>189</v>
      </c>
      <c r="J31" s="20" t="s">
        <v>190</v>
      </c>
      <c r="K31" s="7" t="s">
        <v>119</v>
      </c>
      <c r="L31" s="61">
        <v>45665</v>
      </c>
      <c r="M31" s="7" t="s">
        <v>111</v>
      </c>
      <c r="N31" s="24">
        <v>45665</v>
      </c>
      <c r="O31" s="58">
        <v>45665</v>
      </c>
      <c r="P31" s="59"/>
      <c r="Q31" s="124" t="e">
        <f>P31*#REF!</f>
        <v>#REF!</v>
      </c>
      <c r="R31" s="126">
        <v>45665</v>
      </c>
      <c r="S31" s="153">
        <f>IF(L31="","",L31-B31)</f>
        <v>2</v>
      </c>
      <c r="T31" s="153">
        <f>IF(N31="","",N31-L31)</f>
        <v>0</v>
      </c>
      <c r="U31" s="153">
        <f>IF(O31="","",O31-N31)</f>
        <v>0</v>
      </c>
      <c r="V31" s="154">
        <f>IF(O31="","",O31-B31)</f>
        <v>2</v>
      </c>
      <c r="W31" s="154">
        <f>IF(O31="","",O31-L31)</f>
        <v>0</v>
      </c>
      <c r="X31" s="154">
        <f>IF(R31="","",R31-B31)</f>
        <v>2</v>
      </c>
    </row>
    <row r="32" spans="2:24" ht="17.25" hidden="1" customHeight="1">
      <c r="B32" s="23">
        <v>45664</v>
      </c>
      <c r="C32" s="7">
        <v>2003576913</v>
      </c>
      <c r="D32" s="20">
        <v>5701324</v>
      </c>
      <c r="E32" s="27" t="s">
        <v>191</v>
      </c>
      <c r="F32" s="7" t="s">
        <v>107</v>
      </c>
      <c r="G32" s="7" t="s">
        <v>18</v>
      </c>
      <c r="H32" s="7" t="s">
        <v>45</v>
      </c>
      <c r="I32" s="20" t="s">
        <v>192</v>
      </c>
      <c r="J32" s="20" t="s">
        <v>193</v>
      </c>
      <c r="K32" s="7" t="s">
        <v>119</v>
      </c>
      <c r="L32" s="61">
        <v>45666</v>
      </c>
      <c r="M32" s="7" t="s">
        <v>111</v>
      </c>
      <c r="N32" s="24">
        <v>45672</v>
      </c>
      <c r="O32" s="24">
        <v>45672</v>
      </c>
      <c r="P32" s="59"/>
      <c r="Q32" s="124" t="e">
        <f>P32*#REF!</f>
        <v>#REF!</v>
      </c>
      <c r="R32" s="126">
        <v>45672</v>
      </c>
      <c r="S32" s="153">
        <f>IF(L32="","",L32-B32)</f>
        <v>2</v>
      </c>
      <c r="T32" s="153">
        <f>IF(N32="","",N32-L32)</f>
        <v>6</v>
      </c>
      <c r="U32" s="153">
        <f>IF(O32="","",O32-N32)</f>
        <v>0</v>
      </c>
      <c r="V32" s="154">
        <f>IF(O32="","",O32-B32)</f>
        <v>8</v>
      </c>
      <c r="W32" s="154">
        <f>IF(O32="","",O32-L32)</f>
        <v>6</v>
      </c>
      <c r="X32" s="154">
        <f>IF(R32="","",R32-B32)</f>
        <v>8</v>
      </c>
    </row>
    <row r="33" spans="2:24" ht="17.25" hidden="1" customHeight="1">
      <c r="B33" s="23">
        <v>45664</v>
      </c>
      <c r="C33" s="7">
        <v>2003568491</v>
      </c>
      <c r="D33" s="20">
        <v>5701554</v>
      </c>
      <c r="E33" s="27" t="s">
        <v>135</v>
      </c>
      <c r="F33" s="7" t="s">
        <v>107</v>
      </c>
      <c r="G33" s="7" t="s">
        <v>26</v>
      </c>
      <c r="H33" s="7" t="s">
        <v>45</v>
      </c>
      <c r="I33" s="20" t="s">
        <v>194</v>
      </c>
      <c r="J33" s="20" t="s">
        <v>195</v>
      </c>
      <c r="K33" s="7" t="s">
        <v>110</v>
      </c>
      <c r="L33" s="61">
        <v>45671</v>
      </c>
      <c r="M33" s="7" t="s">
        <v>111</v>
      </c>
      <c r="N33" s="24">
        <v>45671</v>
      </c>
      <c r="O33" s="58">
        <v>45671</v>
      </c>
      <c r="P33" s="59">
        <v>108</v>
      </c>
      <c r="Q33" s="124" t="e">
        <f>P33*#REF!</f>
        <v>#REF!</v>
      </c>
      <c r="R33" s="126">
        <v>45671</v>
      </c>
      <c r="S33" s="153">
        <f>IF(L33="","",L33-B33)</f>
        <v>7</v>
      </c>
      <c r="T33" s="153">
        <f>IF(N33="","",N33-L33)</f>
        <v>0</v>
      </c>
      <c r="U33" s="153">
        <f>IF(O33="","",O33-N33)</f>
        <v>0</v>
      </c>
      <c r="V33" s="154">
        <f>IF(O33="","",O33-B33)</f>
        <v>7</v>
      </c>
      <c r="W33" s="154">
        <f>IF(O33="","",O33-L33)</f>
        <v>0</v>
      </c>
      <c r="X33" s="154">
        <f>IF(R33="","",R33-B33)</f>
        <v>7</v>
      </c>
    </row>
    <row r="34" spans="2:24" ht="17.25" hidden="1" customHeight="1">
      <c r="B34" s="23">
        <v>45664</v>
      </c>
      <c r="C34" s="7">
        <v>2003570835</v>
      </c>
      <c r="D34" s="20">
        <v>5701843</v>
      </c>
      <c r="E34" s="27" t="s">
        <v>163</v>
      </c>
      <c r="F34" s="7" t="s">
        <v>107</v>
      </c>
      <c r="G34" s="7" t="s">
        <v>10</v>
      </c>
      <c r="H34" s="7" t="s">
        <v>45</v>
      </c>
      <c r="I34" s="20" t="s">
        <v>196</v>
      </c>
      <c r="J34" s="20" t="s">
        <v>197</v>
      </c>
      <c r="K34" s="7" t="s">
        <v>119</v>
      </c>
      <c r="L34" s="61">
        <v>45667</v>
      </c>
      <c r="M34" s="7" t="s">
        <v>111</v>
      </c>
      <c r="N34" s="24">
        <v>45672</v>
      </c>
      <c r="O34" s="24">
        <v>45672</v>
      </c>
      <c r="P34" s="59"/>
      <c r="Q34" s="124" t="e">
        <f>P34*#REF!</f>
        <v>#REF!</v>
      </c>
      <c r="R34" s="126">
        <v>45672</v>
      </c>
      <c r="S34" s="153">
        <f>IF(L34="","",L34-B34)</f>
        <v>3</v>
      </c>
      <c r="T34" s="153">
        <f>IF(N34="","",N34-L34)</f>
        <v>5</v>
      </c>
      <c r="U34" s="153">
        <f>IF(O34="","",O34-N34)</f>
        <v>0</v>
      </c>
      <c r="V34" s="154">
        <f>IF(O34="","",O34-B34)</f>
        <v>8</v>
      </c>
      <c r="W34" s="154">
        <f>IF(O34="","",O34-L34)</f>
        <v>5</v>
      </c>
      <c r="X34" s="154">
        <f>IF(R34="","",R34-B34)</f>
        <v>8</v>
      </c>
    </row>
    <row r="35" spans="2:24" ht="17.25" hidden="1" customHeight="1">
      <c r="B35" s="23">
        <v>45664</v>
      </c>
      <c r="C35" s="7">
        <v>2003576524</v>
      </c>
      <c r="D35" s="20">
        <v>5701951</v>
      </c>
      <c r="E35" s="27" t="s">
        <v>198</v>
      </c>
      <c r="F35" s="7" t="s">
        <v>107</v>
      </c>
      <c r="G35" s="7" t="s">
        <v>10</v>
      </c>
      <c r="H35" s="7" t="s">
        <v>45</v>
      </c>
      <c r="I35" s="20" t="s">
        <v>199</v>
      </c>
      <c r="J35" s="20" t="s">
        <v>200</v>
      </c>
      <c r="K35" s="7" t="s">
        <v>110</v>
      </c>
      <c r="L35" s="61">
        <v>45665</v>
      </c>
      <c r="M35" s="7" t="s">
        <v>111</v>
      </c>
      <c r="N35" s="61">
        <v>45665</v>
      </c>
      <c r="O35" s="61">
        <v>45665</v>
      </c>
      <c r="P35" s="59"/>
      <c r="Q35" s="124" t="e">
        <f>P35*#REF!</f>
        <v>#REF!</v>
      </c>
      <c r="R35" s="126">
        <v>45665</v>
      </c>
      <c r="S35" s="153">
        <f>IF(L35="","",L35-B35)</f>
        <v>1</v>
      </c>
      <c r="T35" s="153">
        <f>IF(N35="","",N35-L35)</f>
        <v>0</v>
      </c>
      <c r="U35" s="153">
        <f>IF(O35="","",O35-N35)</f>
        <v>0</v>
      </c>
      <c r="V35" s="154">
        <f>IF(O35="","",O35-B35)</f>
        <v>1</v>
      </c>
      <c r="W35" s="154">
        <f>IF(O35="","",O35-L35)</f>
        <v>0</v>
      </c>
      <c r="X35" s="154">
        <f>IF(R35="","",R35-B35)</f>
        <v>1</v>
      </c>
    </row>
    <row r="36" spans="2:24" ht="17.25" hidden="1" customHeight="1">
      <c r="B36" s="23">
        <v>45664</v>
      </c>
      <c r="C36" s="7">
        <v>2003490964</v>
      </c>
      <c r="D36" s="20">
        <v>5702011</v>
      </c>
      <c r="E36" s="27" t="s">
        <v>201</v>
      </c>
      <c r="F36" s="7" t="s">
        <v>107</v>
      </c>
      <c r="G36" s="7" t="s">
        <v>10</v>
      </c>
      <c r="H36" s="7" t="s">
        <v>45</v>
      </c>
      <c r="I36" s="20" t="s">
        <v>202</v>
      </c>
      <c r="J36" s="20" t="s">
        <v>203</v>
      </c>
      <c r="K36" s="7" t="s">
        <v>119</v>
      </c>
      <c r="L36" s="61">
        <v>45665</v>
      </c>
      <c r="M36" s="7" t="s">
        <v>111</v>
      </c>
      <c r="N36" s="61">
        <v>45667</v>
      </c>
      <c r="O36" s="61">
        <v>45667</v>
      </c>
      <c r="P36" s="59"/>
      <c r="Q36" s="124" t="e">
        <f>P36*#REF!</f>
        <v>#REF!</v>
      </c>
      <c r="R36" s="126">
        <v>45668</v>
      </c>
      <c r="S36" s="153">
        <f>IF(L36="","",L36-B36)</f>
        <v>1</v>
      </c>
      <c r="T36" s="153">
        <f>IF(N36="","",N36-L36)</f>
        <v>2</v>
      </c>
      <c r="U36" s="153">
        <f>IF(O36="","",O36-N36)</f>
        <v>0</v>
      </c>
      <c r="V36" s="154">
        <f>IF(O36="","",O36-B36)</f>
        <v>3</v>
      </c>
      <c r="W36" s="154">
        <f>IF(O36="","",O36-L36)</f>
        <v>2</v>
      </c>
      <c r="X36" s="154">
        <f>IF(R36="","",R36-B36)</f>
        <v>4</v>
      </c>
    </row>
    <row r="37" spans="2:24" ht="17.25" hidden="1" customHeight="1">
      <c r="B37" s="23">
        <v>45664</v>
      </c>
      <c r="C37" s="7">
        <v>2003576228</v>
      </c>
      <c r="D37" s="20">
        <v>5702023</v>
      </c>
      <c r="E37" s="27" t="s">
        <v>185</v>
      </c>
      <c r="F37" s="7" t="s">
        <v>107</v>
      </c>
      <c r="G37" s="7" t="s">
        <v>10</v>
      </c>
      <c r="H37" s="7" t="s">
        <v>45</v>
      </c>
      <c r="I37" s="20" t="s">
        <v>204</v>
      </c>
      <c r="J37" s="20" t="s">
        <v>205</v>
      </c>
      <c r="K37" s="7" t="s">
        <v>110</v>
      </c>
      <c r="L37" s="61">
        <v>45666</v>
      </c>
      <c r="M37" s="7" t="s">
        <v>111</v>
      </c>
      <c r="N37" s="61">
        <v>45666</v>
      </c>
      <c r="O37" s="61">
        <v>45666</v>
      </c>
      <c r="P37" s="59"/>
      <c r="Q37" s="124" t="e">
        <f>P37*#REF!</f>
        <v>#REF!</v>
      </c>
      <c r="R37" s="126">
        <v>45668</v>
      </c>
      <c r="S37" s="153">
        <f>IF(L37="","",L37-B37)</f>
        <v>2</v>
      </c>
      <c r="T37" s="153">
        <f>IF(N37="","",N37-L37)</f>
        <v>0</v>
      </c>
      <c r="U37" s="153">
        <f>IF(O37="","",O37-N37)</f>
        <v>0</v>
      </c>
      <c r="V37" s="154">
        <f>IF(O37="","",O37-B37)</f>
        <v>2</v>
      </c>
      <c r="W37" s="154">
        <f>IF(O37="","",O37-L37)</f>
        <v>0</v>
      </c>
      <c r="X37" s="154">
        <f>IF(R37="","",R37-B37)</f>
        <v>4</v>
      </c>
    </row>
    <row r="38" spans="2:24" ht="17.25" hidden="1" customHeight="1">
      <c r="B38" s="23">
        <v>45664</v>
      </c>
      <c r="C38" s="7">
        <v>2003557667</v>
      </c>
      <c r="D38" s="20">
        <v>5702086</v>
      </c>
      <c r="E38" s="27" t="s">
        <v>129</v>
      </c>
      <c r="F38" s="7" t="s">
        <v>107</v>
      </c>
      <c r="G38" s="7" t="s">
        <v>30</v>
      </c>
      <c r="H38" s="7" t="s">
        <v>45</v>
      </c>
      <c r="I38" s="20" t="s">
        <v>206</v>
      </c>
      <c r="J38" s="20" t="s">
        <v>207</v>
      </c>
      <c r="K38" s="7" t="s">
        <v>111</v>
      </c>
      <c r="L38" s="61">
        <v>45665</v>
      </c>
      <c r="M38" s="7" t="s">
        <v>111</v>
      </c>
      <c r="N38" s="61">
        <v>45665</v>
      </c>
      <c r="O38" s="58">
        <v>45667</v>
      </c>
      <c r="P38" s="59"/>
      <c r="Q38" s="124" t="e">
        <f>P38*#REF!</f>
        <v>#REF!</v>
      </c>
      <c r="R38" s="126">
        <v>45668</v>
      </c>
      <c r="S38" s="153">
        <f>IF(L38="","",L38-B38)</f>
        <v>1</v>
      </c>
      <c r="T38" s="153">
        <f>IF(N38="","",N38-L38)</f>
        <v>0</v>
      </c>
      <c r="U38" s="153">
        <f>IF(O38="","",O38-N38)</f>
        <v>2</v>
      </c>
      <c r="V38" s="154">
        <f>IF(O38="","",O38-B38)</f>
        <v>3</v>
      </c>
      <c r="W38" s="154">
        <f>IF(O38="","",O38-L38)</f>
        <v>2</v>
      </c>
      <c r="X38" s="154">
        <f>IF(R38="","",R38-B38)</f>
        <v>4</v>
      </c>
    </row>
    <row r="39" spans="2:24" ht="17.25" hidden="1" customHeight="1">
      <c r="B39" s="23">
        <v>45664</v>
      </c>
      <c r="C39" s="7">
        <v>2003575122</v>
      </c>
      <c r="D39" s="20">
        <v>5702208</v>
      </c>
      <c r="E39" s="27" t="s">
        <v>106</v>
      </c>
      <c r="F39" s="7" t="s">
        <v>107</v>
      </c>
      <c r="G39" s="7" t="s">
        <v>10</v>
      </c>
      <c r="H39" s="7" t="s">
        <v>45</v>
      </c>
      <c r="I39" s="20" t="s">
        <v>208</v>
      </c>
      <c r="J39" s="20" t="s">
        <v>209</v>
      </c>
      <c r="K39" s="7" t="s">
        <v>119</v>
      </c>
      <c r="L39" s="61">
        <v>45666</v>
      </c>
      <c r="M39" s="7" t="s">
        <v>111</v>
      </c>
      <c r="N39" s="61">
        <v>45667</v>
      </c>
      <c r="O39" s="61">
        <v>45667</v>
      </c>
      <c r="P39" s="59"/>
      <c r="Q39" s="124" t="e">
        <f>P39*#REF!</f>
        <v>#REF!</v>
      </c>
      <c r="R39" s="126">
        <v>45668</v>
      </c>
      <c r="S39" s="153">
        <f>IF(L39="","",L39-B39)</f>
        <v>2</v>
      </c>
      <c r="T39" s="153">
        <f>IF(N39="","",N39-L39)</f>
        <v>1</v>
      </c>
      <c r="U39" s="153">
        <f>IF(O39="","",O39-N39)</f>
        <v>0</v>
      </c>
      <c r="V39" s="154">
        <f>IF(O39="","",O39-B39)</f>
        <v>3</v>
      </c>
      <c r="W39" s="154">
        <f>IF(O39="","",O39-L39)</f>
        <v>1</v>
      </c>
      <c r="X39" s="154">
        <f>IF(R39="","",R39-B39)</f>
        <v>4</v>
      </c>
    </row>
    <row r="40" spans="2:24" ht="17.25" hidden="1" customHeight="1">
      <c r="B40" s="23">
        <v>45665</v>
      </c>
      <c r="C40" s="7">
        <v>2003576743</v>
      </c>
      <c r="D40" s="20">
        <v>5703960</v>
      </c>
      <c r="E40" s="27" t="s">
        <v>163</v>
      </c>
      <c r="F40" s="7" t="s">
        <v>107</v>
      </c>
      <c r="G40" s="7" t="s">
        <v>18</v>
      </c>
      <c r="H40" s="7" t="s">
        <v>45</v>
      </c>
      <c r="I40" s="20" t="s">
        <v>210</v>
      </c>
      <c r="J40" s="20" t="s">
        <v>211</v>
      </c>
      <c r="K40" s="7" t="s">
        <v>122</v>
      </c>
      <c r="L40" s="61">
        <v>45667</v>
      </c>
      <c r="M40" s="7" t="s">
        <v>111</v>
      </c>
      <c r="N40" s="24">
        <v>45670</v>
      </c>
      <c r="O40" s="58">
        <v>45671</v>
      </c>
      <c r="P40" s="59"/>
      <c r="Q40" s="124" t="e">
        <f>P40*#REF!</f>
        <v>#REF!</v>
      </c>
      <c r="R40" s="126">
        <v>45672</v>
      </c>
      <c r="S40" s="153">
        <f>IF(L40="","",L40-B40)</f>
        <v>2</v>
      </c>
      <c r="T40" s="153">
        <f>IF(N40="","",N40-L40)</f>
        <v>3</v>
      </c>
      <c r="U40" s="153">
        <f>IF(O40="","",O40-N40)</f>
        <v>1</v>
      </c>
      <c r="V40" s="154">
        <f>IF(O40="","",O40-B40)</f>
        <v>6</v>
      </c>
      <c r="W40" s="154">
        <f>IF(O40="","",O40-L40)</f>
        <v>4</v>
      </c>
      <c r="X40" s="154">
        <f>IF(R40="","",R40-B40)</f>
        <v>7</v>
      </c>
    </row>
    <row r="41" spans="2:24" ht="17.25" hidden="1" customHeight="1">
      <c r="B41" s="23">
        <v>45664</v>
      </c>
      <c r="C41" s="7">
        <v>2003567161</v>
      </c>
      <c r="D41" s="20">
        <v>5702494</v>
      </c>
      <c r="E41" s="27" t="s">
        <v>116</v>
      </c>
      <c r="F41" s="7" t="s">
        <v>107</v>
      </c>
      <c r="G41" s="7" t="s">
        <v>26</v>
      </c>
      <c r="H41" s="7" t="s">
        <v>45</v>
      </c>
      <c r="I41" s="20" t="s">
        <v>212</v>
      </c>
      <c r="J41" s="20" t="s">
        <v>213</v>
      </c>
      <c r="K41" s="7" t="s">
        <v>119</v>
      </c>
      <c r="L41" s="61">
        <v>45667</v>
      </c>
      <c r="M41" s="7" t="s">
        <v>111</v>
      </c>
      <c r="N41" s="24">
        <v>45667</v>
      </c>
      <c r="O41" s="58">
        <v>45667</v>
      </c>
      <c r="P41" s="59"/>
      <c r="Q41" s="124" t="e">
        <f>P41*#REF!</f>
        <v>#REF!</v>
      </c>
      <c r="R41" s="126">
        <v>45667</v>
      </c>
      <c r="S41" s="153">
        <f>IF(L41="","",L41-B41)</f>
        <v>3</v>
      </c>
      <c r="T41" s="153">
        <f>IF(N41="","",N41-L41)</f>
        <v>0</v>
      </c>
      <c r="U41" s="153">
        <f>IF(O41="","",O41-N41)</f>
        <v>0</v>
      </c>
      <c r="V41" s="154">
        <f>IF(O41="","",O41-B41)</f>
        <v>3</v>
      </c>
      <c r="W41" s="154">
        <f>IF(O41="","",O41-L41)</f>
        <v>0</v>
      </c>
      <c r="X41" s="154">
        <f>IF(R41="","",R41-B41)</f>
        <v>3</v>
      </c>
    </row>
    <row r="42" spans="2:24" ht="17.25" hidden="1" customHeight="1">
      <c r="B42" s="23">
        <v>45664</v>
      </c>
      <c r="C42" s="7">
        <v>2003552696</v>
      </c>
      <c r="D42" s="20">
        <v>5702523</v>
      </c>
      <c r="E42" s="27" t="s">
        <v>132</v>
      </c>
      <c r="F42" s="7" t="s">
        <v>107</v>
      </c>
      <c r="G42" s="7" t="s">
        <v>18</v>
      </c>
      <c r="H42" s="7" t="s">
        <v>45</v>
      </c>
      <c r="I42" s="20" t="s">
        <v>214</v>
      </c>
      <c r="J42" s="20" t="s">
        <v>215</v>
      </c>
      <c r="K42" s="7" t="s">
        <v>110</v>
      </c>
      <c r="L42" s="61">
        <v>45665</v>
      </c>
      <c r="M42" s="7" t="s">
        <v>111</v>
      </c>
      <c r="N42" s="61">
        <v>45665</v>
      </c>
      <c r="O42" s="58">
        <v>45667</v>
      </c>
      <c r="P42" s="59"/>
      <c r="Q42" s="124" t="e">
        <f>P42*#REF!</f>
        <v>#REF!</v>
      </c>
      <c r="R42" s="126">
        <v>45668</v>
      </c>
      <c r="S42" s="153">
        <f>IF(L42="","",L42-B42)</f>
        <v>1</v>
      </c>
      <c r="T42" s="153">
        <f>IF(N42="","",N42-L42)</f>
        <v>0</v>
      </c>
      <c r="U42" s="153">
        <f>IF(O42="","",O42-N42)</f>
        <v>2</v>
      </c>
      <c r="V42" s="154">
        <f>IF(O42="","",O42-B42)</f>
        <v>3</v>
      </c>
      <c r="W42" s="154">
        <f>IF(O42="","",O42-L42)</f>
        <v>2</v>
      </c>
      <c r="X42" s="154">
        <f>IF(R42="","",R42-B42)</f>
        <v>4</v>
      </c>
    </row>
    <row r="43" spans="2:24" ht="17.25" hidden="1" customHeight="1">
      <c r="B43" s="23">
        <v>45664</v>
      </c>
      <c r="C43" s="7">
        <v>2003577591</v>
      </c>
      <c r="D43" s="20">
        <v>5702525</v>
      </c>
      <c r="E43" s="27" t="s">
        <v>138</v>
      </c>
      <c r="F43" s="7" t="s">
        <v>107</v>
      </c>
      <c r="G43" s="7" t="s">
        <v>10</v>
      </c>
      <c r="H43" s="7" t="s">
        <v>45</v>
      </c>
      <c r="I43" s="20" t="s">
        <v>216</v>
      </c>
      <c r="J43" s="20" t="s">
        <v>217</v>
      </c>
      <c r="K43" s="7" t="s">
        <v>119</v>
      </c>
      <c r="L43" s="61">
        <v>45667</v>
      </c>
      <c r="M43" s="7" t="s">
        <v>111</v>
      </c>
      <c r="N43" s="24">
        <v>45670</v>
      </c>
      <c r="O43" s="24">
        <v>45670</v>
      </c>
      <c r="P43" s="59"/>
      <c r="Q43" s="124" t="e">
        <f>P43*#REF!</f>
        <v>#REF!</v>
      </c>
      <c r="R43" s="126">
        <v>45672</v>
      </c>
      <c r="S43" s="153">
        <f>IF(L43="","",L43-B43)</f>
        <v>3</v>
      </c>
      <c r="T43" s="153">
        <f>IF(N43="","",N43-L43)</f>
        <v>3</v>
      </c>
      <c r="U43" s="153">
        <f>IF(O43="","",O43-N43)</f>
        <v>0</v>
      </c>
      <c r="V43" s="154">
        <f>IF(O43="","",O43-B43)</f>
        <v>6</v>
      </c>
      <c r="W43" s="154">
        <f>IF(O43="","",O43-L43)</f>
        <v>3</v>
      </c>
      <c r="X43" s="154">
        <f>IF(R43="","",R43-B43)</f>
        <v>8</v>
      </c>
    </row>
    <row r="44" spans="2:24" ht="17.25" hidden="1" customHeight="1">
      <c r="B44" s="23">
        <v>45664</v>
      </c>
      <c r="C44" s="7">
        <v>2003570680</v>
      </c>
      <c r="D44" s="20">
        <v>5702590</v>
      </c>
      <c r="E44" s="27" t="s">
        <v>143</v>
      </c>
      <c r="F44" s="7" t="s">
        <v>113</v>
      </c>
      <c r="G44" s="7" t="s">
        <v>70</v>
      </c>
      <c r="H44" s="7" t="s">
        <v>47</v>
      </c>
      <c r="I44" s="20" t="s">
        <v>218</v>
      </c>
      <c r="J44" s="20" t="s">
        <v>219</v>
      </c>
      <c r="K44" s="7" t="s">
        <v>119</v>
      </c>
      <c r="L44" s="61">
        <v>45667</v>
      </c>
      <c r="M44" s="7" t="s">
        <v>111</v>
      </c>
      <c r="P44" s="59"/>
      <c r="Q44" s="124" t="e">
        <f>P44*#REF!</f>
        <v>#REF!</v>
      </c>
      <c r="R44" s="126">
        <v>45667</v>
      </c>
      <c r="S44" s="153">
        <f>IF(L44="","",L44-B44)</f>
        <v>3</v>
      </c>
      <c r="T44" s="153" t="str">
        <f>IF(N44="","",N44-L44)</f>
        <v/>
      </c>
      <c r="U44" s="153" t="str">
        <f>IF(O44="","",O44-N44)</f>
        <v/>
      </c>
      <c r="V44" s="154" t="str">
        <f>IF(O44="","",O44-B44)</f>
        <v/>
      </c>
      <c r="W44" s="154" t="str">
        <f>IF(O44="","",O44-L44)</f>
        <v/>
      </c>
      <c r="X44" s="154">
        <f>IF(R44="","",R44-B44)</f>
        <v>3</v>
      </c>
    </row>
    <row r="45" spans="2:24" ht="17.25" hidden="1" customHeight="1">
      <c r="B45" s="23">
        <v>45664</v>
      </c>
      <c r="C45" s="7">
        <v>2003576295</v>
      </c>
      <c r="D45" s="20">
        <v>5702592</v>
      </c>
      <c r="E45" s="27" t="s">
        <v>185</v>
      </c>
      <c r="F45" s="7" t="s">
        <v>107</v>
      </c>
      <c r="G45" s="7" t="s">
        <v>18</v>
      </c>
      <c r="H45" s="7" t="s">
        <v>45</v>
      </c>
      <c r="I45" s="20" t="s">
        <v>220</v>
      </c>
      <c r="J45" s="20" t="s">
        <v>221</v>
      </c>
      <c r="K45" s="7" t="s">
        <v>110</v>
      </c>
      <c r="L45" s="61">
        <v>45666</v>
      </c>
      <c r="M45" s="7" t="s">
        <v>111</v>
      </c>
      <c r="N45" s="24">
        <v>45692</v>
      </c>
      <c r="O45" s="61">
        <v>45693</v>
      </c>
      <c r="P45" s="59"/>
      <c r="Q45" s="124" t="e">
        <f>P45*#REF!</f>
        <v>#REF!</v>
      </c>
      <c r="R45" s="126">
        <v>45694</v>
      </c>
      <c r="S45" s="153">
        <f>IF(L45="","",L45-B45)</f>
        <v>2</v>
      </c>
      <c r="T45" s="153">
        <f>IF(N45="","",N45-L45)</f>
        <v>26</v>
      </c>
      <c r="U45" s="153">
        <f>IF(O45="","",O45-N45)</f>
        <v>1</v>
      </c>
      <c r="V45" s="154">
        <f>IF(O45="","",O45-B45)</f>
        <v>29</v>
      </c>
      <c r="W45" s="154">
        <f>IF(O45="","",O45-L45)</f>
        <v>27</v>
      </c>
      <c r="X45" s="154">
        <f>IF(R45="","",R45-B45)</f>
        <v>30</v>
      </c>
    </row>
    <row r="46" spans="2:24" ht="17.25" hidden="1" customHeight="1">
      <c r="B46" s="23">
        <v>45665</v>
      </c>
      <c r="C46" s="7">
        <v>2003562649</v>
      </c>
      <c r="D46" s="20">
        <v>5703122</v>
      </c>
      <c r="E46" s="27" t="s">
        <v>138</v>
      </c>
      <c r="F46" s="7" t="s">
        <v>107</v>
      </c>
      <c r="G46" s="7" t="s">
        <v>21</v>
      </c>
      <c r="H46" s="7" t="s">
        <v>45</v>
      </c>
      <c r="I46" s="20" t="s">
        <v>222</v>
      </c>
      <c r="J46" s="20" t="s">
        <v>223</v>
      </c>
      <c r="K46" s="7" t="s">
        <v>111</v>
      </c>
      <c r="L46" s="61">
        <v>45666</v>
      </c>
      <c r="M46" s="7" t="s">
        <v>111</v>
      </c>
      <c r="N46" s="61">
        <v>45666</v>
      </c>
      <c r="O46" s="58">
        <v>45667</v>
      </c>
      <c r="P46" s="59"/>
      <c r="Q46" s="124" t="e">
        <f>P46*#REF!</f>
        <v>#REF!</v>
      </c>
      <c r="R46" s="126">
        <v>45668</v>
      </c>
      <c r="S46" s="153">
        <f>IF(L46="","",L46-B46)</f>
        <v>1</v>
      </c>
      <c r="T46" s="153">
        <f>IF(N46="","",N46-L46)</f>
        <v>0</v>
      </c>
      <c r="U46" s="153">
        <f>IF(O46="","",O46-N46)</f>
        <v>1</v>
      </c>
      <c r="V46" s="154">
        <f>IF(O46="","",O46-B46)</f>
        <v>2</v>
      </c>
      <c r="W46" s="154">
        <f>IF(O46="","",O46-L46)</f>
        <v>1</v>
      </c>
      <c r="X46" s="154">
        <f>IF(R46="","",R46-B46)</f>
        <v>3</v>
      </c>
    </row>
    <row r="47" spans="2:24" ht="17.25" hidden="1" customHeight="1">
      <c r="B47" s="23">
        <v>45665</v>
      </c>
      <c r="C47" s="7">
        <v>2003574550</v>
      </c>
      <c r="D47" s="20">
        <v>5703177</v>
      </c>
      <c r="E47" s="27" t="s">
        <v>152</v>
      </c>
      <c r="F47" s="7" t="s">
        <v>107</v>
      </c>
      <c r="G47" s="7" t="s">
        <v>10</v>
      </c>
      <c r="H47" s="7" t="s">
        <v>45</v>
      </c>
      <c r="I47" s="20" t="s">
        <v>224</v>
      </c>
      <c r="J47" s="20" t="s">
        <v>225</v>
      </c>
      <c r="K47" s="7" t="s">
        <v>110</v>
      </c>
      <c r="L47" s="61">
        <v>45667</v>
      </c>
      <c r="M47" s="7" t="s">
        <v>111</v>
      </c>
      <c r="N47" s="61">
        <v>45667</v>
      </c>
      <c r="O47" s="61">
        <v>45667</v>
      </c>
      <c r="P47" s="59">
        <v>145</v>
      </c>
      <c r="Q47" s="124" t="e">
        <f>P47*#REF!</f>
        <v>#REF!</v>
      </c>
      <c r="R47" s="126">
        <v>45668</v>
      </c>
      <c r="S47" s="153">
        <f>IF(L47="","",L47-B47)</f>
        <v>2</v>
      </c>
      <c r="T47" s="153">
        <f>IF(N47="","",N47-L47)</f>
        <v>0</v>
      </c>
      <c r="U47" s="153">
        <f>IF(O47="","",O47-N47)</f>
        <v>0</v>
      </c>
      <c r="V47" s="154">
        <f>IF(O47="","",O47-B47)</f>
        <v>2</v>
      </c>
      <c r="W47" s="154">
        <f>IF(O47="","",O47-L47)</f>
        <v>0</v>
      </c>
      <c r="X47" s="154">
        <f>IF(R47="","",R47-B47)</f>
        <v>3</v>
      </c>
    </row>
    <row r="48" spans="2:24" ht="17.25" hidden="1" customHeight="1">
      <c r="B48" s="23">
        <v>45665</v>
      </c>
      <c r="C48" s="7">
        <v>2003546269</v>
      </c>
      <c r="D48" s="20">
        <v>5703415</v>
      </c>
      <c r="E48" s="27" t="s">
        <v>180</v>
      </c>
      <c r="F48" s="7" t="s">
        <v>107</v>
      </c>
      <c r="G48" s="7" t="s">
        <v>10</v>
      </c>
      <c r="H48" s="7" t="s">
        <v>45</v>
      </c>
      <c r="I48" s="20" t="s">
        <v>226</v>
      </c>
      <c r="J48" s="20" t="s">
        <v>227</v>
      </c>
      <c r="K48" s="7" t="s">
        <v>110</v>
      </c>
      <c r="L48" s="61">
        <v>45667</v>
      </c>
      <c r="M48" s="7" t="s">
        <v>111</v>
      </c>
      <c r="N48" s="61">
        <v>45667</v>
      </c>
      <c r="O48" s="61">
        <v>45667</v>
      </c>
      <c r="P48" s="59"/>
      <c r="Q48" s="124" t="e">
        <f>P48*#REF!</f>
        <v>#REF!</v>
      </c>
      <c r="R48" s="126">
        <v>45672</v>
      </c>
      <c r="S48" s="153">
        <f>IF(L48="","",L48-B48)</f>
        <v>2</v>
      </c>
      <c r="T48" s="153">
        <f>IF(N48="","",N48-L48)</f>
        <v>0</v>
      </c>
      <c r="U48" s="153">
        <f>IF(O48="","",O48-N48)</f>
        <v>0</v>
      </c>
      <c r="V48" s="154">
        <f>IF(O48="","",O48-B48)</f>
        <v>2</v>
      </c>
      <c r="W48" s="154">
        <f>IF(O48="","",O48-L48)</f>
        <v>0</v>
      </c>
      <c r="X48" s="154">
        <f>IF(R48="","",R48-B48)</f>
        <v>7</v>
      </c>
    </row>
    <row r="49" spans="2:24" ht="17.25" hidden="1" customHeight="1">
      <c r="B49" s="23">
        <v>45665</v>
      </c>
      <c r="C49" s="7">
        <v>2003554571</v>
      </c>
      <c r="D49" s="20">
        <v>5703511</v>
      </c>
      <c r="E49" s="27" t="s">
        <v>106</v>
      </c>
      <c r="F49" s="7" t="s">
        <v>107</v>
      </c>
      <c r="G49" s="7" t="s">
        <v>26</v>
      </c>
      <c r="H49" s="7" t="s">
        <v>45</v>
      </c>
      <c r="I49" s="20" t="s">
        <v>228</v>
      </c>
      <c r="J49" s="20" t="s">
        <v>229</v>
      </c>
      <c r="K49" s="7" t="s">
        <v>110</v>
      </c>
      <c r="L49" s="61">
        <v>45673</v>
      </c>
      <c r="M49" s="7" t="s">
        <v>111</v>
      </c>
      <c r="N49" s="24">
        <v>45673</v>
      </c>
      <c r="O49" s="58">
        <v>45673</v>
      </c>
      <c r="P49" s="59">
        <v>83.2</v>
      </c>
      <c r="Q49" s="124" t="e">
        <f>P49*#REF!</f>
        <v>#REF!</v>
      </c>
      <c r="R49" s="126">
        <v>45673</v>
      </c>
      <c r="S49" s="153">
        <f>IF(L49="","",L49-B49)</f>
        <v>8</v>
      </c>
      <c r="T49" s="153">
        <f>IF(N49="","",N49-L49)</f>
        <v>0</v>
      </c>
      <c r="U49" s="153">
        <f>IF(O49="","",O49-N49)</f>
        <v>0</v>
      </c>
      <c r="V49" s="154">
        <f>IF(O49="","",O49-B49)</f>
        <v>8</v>
      </c>
      <c r="W49" s="154">
        <f>IF(O49="","",O49-L49)</f>
        <v>0</v>
      </c>
      <c r="X49" s="154">
        <f>IF(R49="","",R49-B49)</f>
        <v>8</v>
      </c>
    </row>
    <row r="50" spans="2:24" ht="17.25" hidden="1" customHeight="1">
      <c r="B50" s="23">
        <v>45665</v>
      </c>
      <c r="C50" s="7">
        <v>2003567291</v>
      </c>
      <c r="D50" s="20">
        <v>5703611</v>
      </c>
      <c r="E50" s="27" t="s">
        <v>230</v>
      </c>
      <c r="F50" s="7" t="s">
        <v>107</v>
      </c>
      <c r="G50" s="7" t="s">
        <v>21</v>
      </c>
      <c r="H50" s="7" t="s">
        <v>45</v>
      </c>
      <c r="I50" s="20" t="s">
        <v>231</v>
      </c>
      <c r="J50" s="20" t="s">
        <v>232</v>
      </c>
      <c r="K50" s="7" t="s">
        <v>111</v>
      </c>
      <c r="L50" s="61">
        <v>45666</v>
      </c>
      <c r="M50" s="7" t="s">
        <v>111</v>
      </c>
      <c r="N50" s="61">
        <v>45666</v>
      </c>
      <c r="O50" s="58">
        <v>45671</v>
      </c>
      <c r="P50" s="59"/>
      <c r="Q50" s="124" t="e">
        <f>P50*#REF!</f>
        <v>#REF!</v>
      </c>
      <c r="R50" s="126">
        <v>45672</v>
      </c>
      <c r="S50" s="153">
        <f>IF(L50="","",L50-B50)</f>
        <v>1</v>
      </c>
      <c r="T50" s="153">
        <f>IF(N50="","",N50-L50)</f>
        <v>0</v>
      </c>
      <c r="U50" s="153">
        <f>IF(O50="","",O50-N50)</f>
        <v>5</v>
      </c>
      <c r="V50" s="154">
        <f>IF(O50="","",O50-B50)</f>
        <v>6</v>
      </c>
      <c r="W50" s="154">
        <f>IF(O50="","",O50-L50)</f>
        <v>5</v>
      </c>
      <c r="X50" s="154">
        <f>IF(R50="","",R50-B50)</f>
        <v>7</v>
      </c>
    </row>
    <row r="51" spans="2:24" ht="17.25" hidden="1" customHeight="1">
      <c r="B51" s="23">
        <v>45665</v>
      </c>
      <c r="C51" s="7">
        <v>2003576321</v>
      </c>
      <c r="D51" s="20">
        <v>5703822</v>
      </c>
      <c r="E51" s="27" t="s">
        <v>201</v>
      </c>
      <c r="F51" s="7" t="s">
        <v>107</v>
      </c>
      <c r="G51" s="7" t="s">
        <v>18</v>
      </c>
      <c r="H51" s="7" t="s">
        <v>45</v>
      </c>
      <c r="I51" s="20" t="s">
        <v>220</v>
      </c>
      <c r="J51" s="20" t="s">
        <v>221</v>
      </c>
      <c r="K51" s="7" t="s">
        <v>110</v>
      </c>
      <c r="L51" s="61">
        <v>45666</v>
      </c>
      <c r="M51" s="7" t="s">
        <v>111</v>
      </c>
      <c r="N51" s="24">
        <v>45692</v>
      </c>
      <c r="O51" s="61">
        <v>45693</v>
      </c>
      <c r="P51" s="59"/>
      <c r="Q51" s="124" t="e">
        <f>P51*#REF!</f>
        <v>#REF!</v>
      </c>
      <c r="R51" s="126">
        <v>45694</v>
      </c>
      <c r="S51" s="153">
        <f>IF(L51="","",L51-B51)</f>
        <v>1</v>
      </c>
      <c r="T51" s="153">
        <f>IF(N51="","",N51-L51)</f>
        <v>26</v>
      </c>
      <c r="U51" s="153">
        <f>IF(O51="","",O51-N51)</f>
        <v>1</v>
      </c>
      <c r="V51" s="154">
        <f>IF(O51="","",O51-B51)</f>
        <v>28</v>
      </c>
      <c r="W51" s="154">
        <f>IF(O51="","",O51-L51)</f>
        <v>27</v>
      </c>
      <c r="X51" s="154">
        <f>IF(R51="","",R51-B51)</f>
        <v>29</v>
      </c>
    </row>
    <row r="52" spans="2:24" ht="17.25" hidden="1" customHeight="1">
      <c r="B52" s="23">
        <v>45666</v>
      </c>
      <c r="C52" s="7">
        <v>2003566319</v>
      </c>
      <c r="D52" s="20">
        <v>5704811</v>
      </c>
      <c r="E52" s="27" t="s">
        <v>143</v>
      </c>
      <c r="F52" s="7" t="s">
        <v>107</v>
      </c>
      <c r="G52" s="7" t="s">
        <v>18</v>
      </c>
      <c r="H52" s="7" t="s">
        <v>45</v>
      </c>
      <c r="I52" s="20" t="s">
        <v>233</v>
      </c>
      <c r="J52" s="20" t="s">
        <v>234</v>
      </c>
      <c r="K52" s="7" t="s">
        <v>122</v>
      </c>
      <c r="L52" s="61">
        <v>45667</v>
      </c>
      <c r="M52" s="7" t="s">
        <v>111</v>
      </c>
      <c r="N52" s="24">
        <v>45670</v>
      </c>
      <c r="O52" s="130">
        <v>45678</v>
      </c>
      <c r="P52" s="59"/>
      <c r="Q52" s="124" t="e">
        <f>P52*#REF!</f>
        <v>#REF!</v>
      </c>
      <c r="R52" s="126">
        <v>45678</v>
      </c>
      <c r="S52" s="153">
        <f>IF(L52="","",L52-B52)</f>
        <v>1</v>
      </c>
      <c r="T52" s="153">
        <f>IF(N52="","",N52-L52)</f>
        <v>3</v>
      </c>
      <c r="U52" s="153">
        <f>IF(O52="","",O52-N52)</f>
        <v>8</v>
      </c>
      <c r="V52" s="154">
        <f>IF(O52="","",O52-B52)</f>
        <v>12</v>
      </c>
      <c r="W52" s="154">
        <f>IF(O52="","",O52-L52)</f>
        <v>11</v>
      </c>
      <c r="X52" s="154">
        <f>IF(R52="","",R52-B52)</f>
        <v>12</v>
      </c>
    </row>
    <row r="53" spans="2:24" ht="17.25" hidden="1" customHeight="1">
      <c r="B53" s="23">
        <v>45667</v>
      </c>
      <c r="C53" s="7">
        <v>2003578466</v>
      </c>
      <c r="D53" s="20">
        <v>5706088</v>
      </c>
      <c r="E53" s="27" t="s">
        <v>143</v>
      </c>
      <c r="F53" s="7" t="s">
        <v>107</v>
      </c>
      <c r="G53" s="7" t="s">
        <v>10</v>
      </c>
      <c r="H53" s="7" t="s">
        <v>45</v>
      </c>
      <c r="I53" s="20" t="s">
        <v>235</v>
      </c>
      <c r="J53" s="20" t="s">
        <v>236</v>
      </c>
      <c r="K53" s="7" t="s">
        <v>122</v>
      </c>
      <c r="L53" s="61">
        <v>45670</v>
      </c>
      <c r="M53" s="7" t="s">
        <v>111</v>
      </c>
      <c r="N53" s="61">
        <v>45670</v>
      </c>
      <c r="O53" s="58">
        <v>45671</v>
      </c>
      <c r="P53" s="59"/>
      <c r="Q53" s="124" t="e">
        <f>P53*#REF!</f>
        <v>#REF!</v>
      </c>
      <c r="R53" s="126">
        <v>45672</v>
      </c>
      <c r="S53" s="153">
        <f>IF(L53="","",L53-B53)</f>
        <v>3</v>
      </c>
      <c r="T53" s="153">
        <f>IF(N53="","",N53-L53)</f>
        <v>0</v>
      </c>
      <c r="U53" s="153">
        <f>IF(O53="","",O53-N53)</f>
        <v>1</v>
      </c>
      <c r="V53" s="154">
        <f>IF(O53="","",O53-B53)</f>
        <v>4</v>
      </c>
      <c r="W53" s="154">
        <f>IF(O53="","",O53-L53)</f>
        <v>1</v>
      </c>
      <c r="X53" s="154">
        <f>IF(R53="","",R53-B53)</f>
        <v>5</v>
      </c>
    </row>
    <row r="54" spans="2:24" ht="17.25" hidden="1" customHeight="1">
      <c r="B54" s="23">
        <v>45664</v>
      </c>
      <c r="C54" s="7">
        <v>2003550808</v>
      </c>
      <c r="D54" s="20">
        <v>5702227</v>
      </c>
      <c r="E54" s="27" t="s">
        <v>123</v>
      </c>
      <c r="F54" s="7" t="s">
        <v>107</v>
      </c>
      <c r="G54" s="7" t="s">
        <v>10</v>
      </c>
      <c r="H54" s="7" t="s">
        <v>45</v>
      </c>
      <c r="I54" s="20" t="s">
        <v>237</v>
      </c>
      <c r="J54" s="20" t="s">
        <v>238</v>
      </c>
      <c r="K54" s="7" t="s">
        <v>122</v>
      </c>
      <c r="L54" s="61">
        <v>45671</v>
      </c>
      <c r="M54" s="7" t="s">
        <v>111</v>
      </c>
      <c r="N54" s="24">
        <v>45672</v>
      </c>
      <c r="O54" s="58">
        <v>45673</v>
      </c>
      <c r="P54" s="59"/>
      <c r="Q54" s="124" t="e">
        <f>P54*#REF!</f>
        <v>#REF!</v>
      </c>
      <c r="R54" s="126">
        <v>45673</v>
      </c>
      <c r="S54" s="153">
        <f>IF(L54="","",L54-B54)</f>
        <v>7</v>
      </c>
      <c r="T54" s="153">
        <f>IF(N54="","",N54-L54)</f>
        <v>1</v>
      </c>
      <c r="U54" s="153">
        <f>IF(O54="","",O54-N54)</f>
        <v>1</v>
      </c>
      <c r="V54" s="154">
        <f>IF(O54="","",O54-B54)</f>
        <v>9</v>
      </c>
      <c r="W54" s="154">
        <f>IF(O54="","",O54-L54)</f>
        <v>2</v>
      </c>
      <c r="X54" s="154">
        <f>IF(R54="","",R54-B54)</f>
        <v>9</v>
      </c>
    </row>
    <row r="55" spans="2:24" ht="17.25" hidden="1" customHeight="1">
      <c r="B55" s="23">
        <v>45665</v>
      </c>
      <c r="C55" s="7">
        <v>2003554628</v>
      </c>
      <c r="D55" s="20">
        <v>5703972</v>
      </c>
      <c r="E55" s="27" t="s">
        <v>123</v>
      </c>
      <c r="F55" s="7" t="s">
        <v>107</v>
      </c>
      <c r="G55" s="7" t="s">
        <v>10</v>
      </c>
      <c r="H55" s="7" t="s">
        <v>45</v>
      </c>
      <c r="I55" s="20" t="s">
        <v>239</v>
      </c>
      <c r="J55" s="20" t="s">
        <v>240</v>
      </c>
      <c r="K55" s="7" t="s">
        <v>119</v>
      </c>
      <c r="L55" s="61">
        <v>45670</v>
      </c>
      <c r="M55" s="7" t="s">
        <v>111</v>
      </c>
      <c r="N55" s="24">
        <v>45671</v>
      </c>
      <c r="O55" s="24">
        <v>45672</v>
      </c>
      <c r="P55" s="59"/>
      <c r="Q55" s="124" t="e">
        <f>P55*#REF!</f>
        <v>#REF!</v>
      </c>
      <c r="R55" s="126">
        <v>45673</v>
      </c>
      <c r="S55" s="153">
        <f>IF(L55="","",L55-B55)</f>
        <v>5</v>
      </c>
      <c r="T55" s="153">
        <f>IF(N55="","",N55-L55)</f>
        <v>1</v>
      </c>
      <c r="U55" s="153">
        <f>IF(O55="","",O55-N55)</f>
        <v>1</v>
      </c>
      <c r="V55" s="154">
        <f>IF(O55="","",O55-B55)</f>
        <v>7</v>
      </c>
      <c r="W55" s="154">
        <f>IF(O55="","",O55-L55)</f>
        <v>2</v>
      </c>
      <c r="X55" s="154">
        <f>IF(R55="","",R55-B55)</f>
        <v>8</v>
      </c>
    </row>
    <row r="56" spans="2:24" ht="17.25" hidden="1" customHeight="1">
      <c r="B56" s="23">
        <v>45665</v>
      </c>
      <c r="C56" s="7">
        <v>2003566925</v>
      </c>
      <c r="D56" s="20">
        <v>5704020</v>
      </c>
      <c r="E56" s="27" t="s">
        <v>116</v>
      </c>
      <c r="F56" s="7" t="s">
        <v>107</v>
      </c>
      <c r="G56" s="7" t="s">
        <v>10</v>
      </c>
      <c r="H56" s="7" t="s">
        <v>45</v>
      </c>
      <c r="I56" s="20" t="s">
        <v>241</v>
      </c>
      <c r="J56" s="20" t="s">
        <v>242</v>
      </c>
      <c r="K56" s="7" t="s">
        <v>119</v>
      </c>
      <c r="L56" s="61">
        <v>45666</v>
      </c>
      <c r="M56" s="7" t="s">
        <v>111</v>
      </c>
      <c r="N56" s="61">
        <v>45666</v>
      </c>
      <c r="O56" s="58">
        <v>45667</v>
      </c>
      <c r="P56" s="59"/>
      <c r="Q56" s="124" t="e">
        <f>P56*#REF!</f>
        <v>#REF!</v>
      </c>
      <c r="R56" s="126">
        <v>45668</v>
      </c>
      <c r="S56" s="153">
        <f>IF(L56="","",L56-B56)</f>
        <v>1</v>
      </c>
      <c r="T56" s="153">
        <f>IF(N56="","",N56-L56)</f>
        <v>0</v>
      </c>
      <c r="U56" s="153">
        <f>IF(O56="","",O56-N56)</f>
        <v>1</v>
      </c>
      <c r="V56" s="154">
        <f>IF(O56="","",O56-B56)</f>
        <v>2</v>
      </c>
      <c r="W56" s="154">
        <f>IF(O56="","",O56-L56)</f>
        <v>1</v>
      </c>
      <c r="X56" s="154">
        <f>IF(R56="","",R56-B56)</f>
        <v>3</v>
      </c>
    </row>
    <row r="57" spans="2:24" ht="17.25" hidden="1" customHeight="1">
      <c r="B57" s="23">
        <v>45665</v>
      </c>
      <c r="C57" s="7">
        <v>2003565268</v>
      </c>
      <c r="D57" s="20">
        <v>5704026</v>
      </c>
      <c r="E57" s="27" t="s">
        <v>116</v>
      </c>
      <c r="F57" s="7" t="s">
        <v>107</v>
      </c>
      <c r="G57" s="7" t="s">
        <v>10</v>
      </c>
      <c r="H57" s="7" t="s">
        <v>45</v>
      </c>
      <c r="I57" s="20" t="s">
        <v>241</v>
      </c>
      <c r="J57" s="20" t="s">
        <v>242</v>
      </c>
      <c r="K57" s="7" t="s">
        <v>119</v>
      </c>
      <c r="L57" s="61">
        <v>45666</v>
      </c>
      <c r="M57" s="7" t="s">
        <v>111</v>
      </c>
      <c r="N57" s="61">
        <v>45666</v>
      </c>
      <c r="O57" s="58">
        <v>45667</v>
      </c>
      <c r="P57" s="59"/>
      <c r="Q57" s="124" t="e">
        <f>P57*#REF!</f>
        <v>#REF!</v>
      </c>
      <c r="R57" s="126">
        <v>45668</v>
      </c>
      <c r="S57" s="153">
        <f>IF(L57="","",L57-B57)</f>
        <v>1</v>
      </c>
      <c r="T57" s="153">
        <f>IF(N57="","",N57-L57)</f>
        <v>0</v>
      </c>
      <c r="U57" s="153">
        <f>IF(O57="","",O57-N57)</f>
        <v>1</v>
      </c>
      <c r="V57" s="154">
        <f>IF(O57="","",O57-B57)</f>
        <v>2</v>
      </c>
      <c r="W57" s="154">
        <f>IF(O57="","",O57-L57)</f>
        <v>1</v>
      </c>
      <c r="X57" s="154">
        <f>IF(R57="","",R57-B57)</f>
        <v>3</v>
      </c>
    </row>
    <row r="58" spans="2:24" ht="17.25" hidden="1" customHeight="1">
      <c r="B58" s="23">
        <v>45665</v>
      </c>
      <c r="C58" s="7">
        <v>2003537888</v>
      </c>
      <c r="D58" s="20">
        <v>5704089</v>
      </c>
      <c r="E58" s="27" t="s">
        <v>106</v>
      </c>
      <c r="F58" s="7" t="s">
        <v>107</v>
      </c>
      <c r="G58" s="7" t="s">
        <v>21</v>
      </c>
      <c r="H58" s="7" t="s">
        <v>45</v>
      </c>
      <c r="I58" s="20" t="s">
        <v>243</v>
      </c>
      <c r="J58" s="20" t="s">
        <v>244</v>
      </c>
      <c r="K58" s="7" t="s">
        <v>111</v>
      </c>
      <c r="L58" s="61">
        <v>45665</v>
      </c>
      <c r="M58" s="7" t="s">
        <v>111</v>
      </c>
      <c r="N58" s="24">
        <v>45665</v>
      </c>
      <c r="O58" s="58">
        <v>45665</v>
      </c>
      <c r="P58" s="59"/>
      <c r="Q58" s="124" t="e">
        <f>P58*#REF!</f>
        <v>#REF!</v>
      </c>
      <c r="R58" s="126">
        <v>45665</v>
      </c>
      <c r="S58" s="153">
        <f>IF(L58="","",L58-B58)</f>
        <v>0</v>
      </c>
      <c r="T58" s="153">
        <f>IF(N58="","",N58-L58)</f>
        <v>0</v>
      </c>
      <c r="U58" s="153">
        <f>IF(O58="","",O58-N58)</f>
        <v>0</v>
      </c>
      <c r="V58" s="154">
        <f>IF(O58="","",O58-B58)</f>
        <v>0</v>
      </c>
      <c r="W58" s="154">
        <f>IF(O58="","",O58-L58)</f>
        <v>0</v>
      </c>
      <c r="X58" s="154">
        <f>IF(R58="","",R58-B58)</f>
        <v>0</v>
      </c>
    </row>
    <row r="59" spans="2:24" ht="17.25" hidden="1" customHeight="1">
      <c r="B59" s="23">
        <v>45666</v>
      </c>
      <c r="C59" s="7">
        <v>2003490178</v>
      </c>
      <c r="D59" s="20">
        <v>5704234</v>
      </c>
      <c r="E59" s="27" t="s">
        <v>185</v>
      </c>
      <c r="F59" s="7" t="s">
        <v>107</v>
      </c>
      <c r="G59" s="7" t="s">
        <v>21</v>
      </c>
      <c r="H59" s="7" t="s">
        <v>45</v>
      </c>
      <c r="I59" s="20" t="s">
        <v>245</v>
      </c>
      <c r="J59" s="20" t="s">
        <v>246</v>
      </c>
      <c r="K59" s="7" t="s">
        <v>110</v>
      </c>
      <c r="L59" s="61">
        <v>45670</v>
      </c>
      <c r="M59" s="7" t="s">
        <v>111</v>
      </c>
      <c r="N59" s="61">
        <v>45670</v>
      </c>
      <c r="O59" s="61">
        <v>45670</v>
      </c>
      <c r="P59" s="59">
        <v>84.9</v>
      </c>
      <c r="Q59" s="124" t="e">
        <f>P59*#REF!</f>
        <v>#REF!</v>
      </c>
      <c r="R59" s="126">
        <v>45671</v>
      </c>
      <c r="S59" s="153">
        <f>IF(L59="","",L59-B59)</f>
        <v>4</v>
      </c>
      <c r="T59" s="153">
        <f>IF(N59="","",N59-L59)</f>
        <v>0</v>
      </c>
      <c r="U59" s="153">
        <f>IF(O59="","",O59-N59)</f>
        <v>0</v>
      </c>
      <c r="V59" s="154">
        <f>IF(O59="","",O59-B59)</f>
        <v>4</v>
      </c>
      <c r="W59" s="154">
        <f>IF(O59="","",O59-L59)</f>
        <v>0</v>
      </c>
      <c r="X59" s="154">
        <f>IF(R59="","",R59-B59)</f>
        <v>5</v>
      </c>
    </row>
    <row r="60" spans="2:24" ht="17.25" hidden="1" customHeight="1">
      <c r="B60" s="23">
        <v>45666</v>
      </c>
      <c r="C60" s="7">
        <v>2003549165</v>
      </c>
      <c r="D60" s="20">
        <v>5704386</v>
      </c>
      <c r="E60" s="27" t="s">
        <v>116</v>
      </c>
      <c r="F60" s="7" t="s">
        <v>107</v>
      </c>
      <c r="G60" s="7" t="s">
        <v>26</v>
      </c>
      <c r="H60" s="7" t="s">
        <v>45</v>
      </c>
      <c r="I60" s="20" t="s">
        <v>247</v>
      </c>
      <c r="J60" s="20" t="s">
        <v>248</v>
      </c>
      <c r="K60" s="7" t="s">
        <v>119</v>
      </c>
      <c r="L60" s="61">
        <v>45667</v>
      </c>
      <c r="M60" s="7" t="s">
        <v>111</v>
      </c>
      <c r="N60" s="24">
        <v>45668</v>
      </c>
      <c r="O60" s="58">
        <v>45668</v>
      </c>
      <c r="P60" s="59"/>
      <c r="Q60" s="124" t="e">
        <f>P60*#REF!</f>
        <v>#REF!</v>
      </c>
      <c r="R60" s="126">
        <v>45668</v>
      </c>
      <c r="S60" s="153">
        <f>IF(L60="","",L60-B60)</f>
        <v>1</v>
      </c>
      <c r="T60" s="153">
        <f>IF(N60="","",N60-L60)</f>
        <v>1</v>
      </c>
      <c r="U60" s="153">
        <f>IF(O60="","",O60-N60)</f>
        <v>0</v>
      </c>
      <c r="V60" s="154">
        <f>IF(O60="","",O60-B60)</f>
        <v>2</v>
      </c>
      <c r="W60" s="154">
        <f>IF(O60="","",O60-L60)</f>
        <v>1</v>
      </c>
      <c r="X60" s="154">
        <f>IF(R60="","",R60-B60)</f>
        <v>2</v>
      </c>
    </row>
    <row r="61" spans="2:24" ht="17.25" hidden="1" customHeight="1">
      <c r="B61" s="23">
        <v>45666</v>
      </c>
      <c r="C61" s="7">
        <v>2003567845</v>
      </c>
      <c r="D61" s="20">
        <v>5704611</v>
      </c>
      <c r="E61" s="27" t="s">
        <v>112</v>
      </c>
      <c r="F61" s="7" t="s">
        <v>107</v>
      </c>
      <c r="G61" s="7" t="s">
        <v>18</v>
      </c>
      <c r="H61" s="7" t="s">
        <v>45</v>
      </c>
      <c r="I61" s="20" t="s">
        <v>249</v>
      </c>
      <c r="J61" s="20" t="s">
        <v>115</v>
      </c>
      <c r="K61" s="7" t="s">
        <v>110</v>
      </c>
      <c r="L61" s="61">
        <v>45666</v>
      </c>
      <c r="M61" s="7" t="s">
        <v>111</v>
      </c>
      <c r="N61" s="61">
        <v>45666</v>
      </c>
      <c r="O61" s="58">
        <v>45667</v>
      </c>
      <c r="P61" s="59"/>
      <c r="Q61" s="124" t="e">
        <f>P61*#REF!</f>
        <v>#REF!</v>
      </c>
      <c r="R61" s="126">
        <v>45668</v>
      </c>
      <c r="S61" s="153">
        <f>IF(L61="","",L61-B61)</f>
        <v>0</v>
      </c>
      <c r="T61" s="153">
        <f>IF(N61="","",N61-L61)</f>
        <v>0</v>
      </c>
      <c r="U61" s="153">
        <f>IF(O61="","",O61-N61)</f>
        <v>1</v>
      </c>
      <c r="V61" s="154">
        <f>IF(O61="","",O61-B61)</f>
        <v>1</v>
      </c>
      <c r="W61" s="154">
        <f>IF(O61="","",O61-L61)</f>
        <v>1</v>
      </c>
      <c r="X61" s="154">
        <f>IF(R61="","",R61-B61)</f>
        <v>2</v>
      </c>
    </row>
    <row r="62" spans="2:24" ht="17.25" hidden="1" customHeight="1">
      <c r="B62" s="23">
        <v>45665</v>
      </c>
      <c r="C62" s="7">
        <v>2003556793</v>
      </c>
      <c r="D62" s="20">
        <v>5703943</v>
      </c>
      <c r="E62" s="27" t="s">
        <v>230</v>
      </c>
      <c r="F62" s="7" t="s">
        <v>107</v>
      </c>
      <c r="G62" s="7" t="s">
        <v>10</v>
      </c>
      <c r="H62" s="7" t="s">
        <v>45</v>
      </c>
      <c r="I62" s="20" t="s">
        <v>250</v>
      </c>
      <c r="J62" s="20" t="s">
        <v>251</v>
      </c>
      <c r="K62" s="7" t="s">
        <v>122</v>
      </c>
      <c r="L62" s="61">
        <v>45671</v>
      </c>
      <c r="M62" s="7" t="s">
        <v>111</v>
      </c>
      <c r="N62" s="24">
        <v>45672</v>
      </c>
      <c r="O62" s="23">
        <v>45673</v>
      </c>
      <c r="P62" s="59"/>
      <c r="Q62" s="124" t="e">
        <f>P62*#REF!</f>
        <v>#REF!</v>
      </c>
      <c r="R62" s="126">
        <v>45673</v>
      </c>
      <c r="S62" s="153">
        <f>IF(L62="","",L62-B62)</f>
        <v>6</v>
      </c>
      <c r="T62" s="153">
        <f>IF(N62="","",N62-L62)</f>
        <v>1</v>
      </c>
      <c r="U62" s="153">
        <f>IF(O62="","",O62-N62)</f>
        <v>1</v>
      </c>
      <c r="V62" s="154">
        <f>IF(O62="","",O62-B62)</f>
        <v>8</v>
      </c>
      <c r="W62" s="154">
        <f>IF(O62="","",O62-L62)</f>
        <v>2</v>
      </c>
      <c r="X62" s="154">
        <f>IF(R62="","",R62-B62)</f>
        <v>8</v>
      </c>
    </row>
    <row r="63" spans="2:24" ht="17.25" hidden="1" customHeight="1">
      <c r="B63" s="23">
        <v>45666</v>
      </c>
      <c r="C63" s="7">
        <v>2003576913</v>
      </c>
      <c r="D63" s="20">
        <v>5705115</v>
      </c>
      <c r="E63" s="27" t="s">
        <v>123</v>
      </c>
      <c r="F63" s="7" t="s">
        <v>107</v>
      </c>
      <c r="G63" s="7" t="s">
        <v>10</v>
      </c>
      <c r="H63" s="7" t="s">
        <v>45</v>
      </c>
      <c r="I63" s="20" t="s">
        <v>252</v>
      </c>
      <c r="J63" s="20" t="s">
        <v>253</v>
      </c>
      <c r="K63" s="7" t="s">
        <v>119</v>
      </c>
      <c r="L63" s="61">
        <v>45670</v>
      </c>
      <c r="M63" s="7" t="s">
        <v>111</v>
      </c>
      <c r="N63" s="24">
        <v>45671</v>
      </c>
      <c r="O63" s="58">
        <v>45673</v>
      </c>
      <c r="P63" s="59"/>
      <c r="Q63" s="124" t="e">
        <f>P63*#REF!</f>
        <v>#REF!</v>
      </c>
      <c r="R63" s="126">
        <v>45673</v>
      </c>
      <c r="S63" s="153">
        <f>IF(L63="","",L63-B63)</f>
        <v>4</v>
      </c>
      <c r="T63" s="153">
        <f>IF(N63="","",N63-L63)</f>
        <v>1</v>
      </c>
      <c r="U63" s="153">
        <f>IF(O63="","",O63-N63)</f>
        <v>2</v>
      </c>
      <c r="V63" s="154">
        <f>IF(O63="","",O63-B63)</f>
        <v>7</v>
      </c>
      <c r="W63" s="154">
        <f>IF(O63="","",O63-L63)</f>
        <v>3</v>
      </c>
      <c r="X63" s="154">
        <f>IF(R63="","",R63-B63)</f>
        <v>7</v>
      </c>
    </row>
    <row r="64" spans="2:24" ht="17.25" hidden="1" customHeight="1">
      <c r="B64" s="23">
        <v>45666</v>
      </c>
      <c r="C64" s="7">
        <v>2003578424</v>
      </c>
      <c r="D64" s="20">
        <v>5705121</v>
      </c>
      <c r="E64" s="27" t="s">
        <v>123</v>
      </c>
      <c r="F64" s="7" t="s">
        <v>107</v>
      </c>
      <c r="G64" s="7" t="s">
        <v>18</v>
      </c>
      <c r="H64" s="7" t="s">
        <v>45</v>
      </c>
      <c r="I64" s="20" t="s">
        <v>254</v>
      </c>
      <c r="J64" s="20" t="s">
        <v>255</v>
      </c>
      <c r="K64" s="7" t="s">
        <v>110</v>
      </c>
      <c r="L64" s="61">
        <v>45670</v>
      </c>
      <c r="M64" s="7" t="s">
        <v>111</v>
      </c>
      <c r="N64" s="61">
        <v>45670</v>
      </c>
      <c r="O64" s="58">
        <v>45671</v>
      </c>
      <c r="P64" s="59"/>
      <c r="Q64" s="124" t="e">
        <f>P64*#REF!</f>
        <v>#REF!</v>
      </c>
      <c r="R64" s="126">
        <v>45672</v>
      </c>
      <c r="S64" s="153">
        <f>IF(L64="","",L64-B64)</f>
        <v>4</v>
      </c>
      <c r="T64" s="153">
        <f>IF(N64="","",N64-L64)</f>
        <v>0</v>
      </c>
      <c r="U64" s="153">
        <f>IF(O64="","",O64-N64)</f>
        <v>1</v>
      </c>
      <c r="V64" s="154">
        <f>IF(O64="","",O64-B64)</f>
        <v>5</v>
      </c>
      <c r="W64" s="154">
        <f>IF(O64="","",O64-L64)</f>
        <v>1</v>
      </c>
      <c r="X64" s="154">
        <f>IF(R64="","",R64-B64)</f>
        <v>6</v>
      </c>
    </row>
    <row r="65" spans="2:24" ht="17.25" hidden="1" customHeight="1">
      <c r="B65" s="23">
        <v>45666</v>
      </c>
      <c r="C65" s="7">
        <v>2003576871</v>
      </c>
      <c r="D65" s="20">
        <v>5705129</v>
      </c>
      <c r="E65" s="27" t="s">
        <v>123</v>
      </c>
      <c r="F65" s="7" t="s">
        <v>107</v>
      </c>
      <c r="G65" s="7" t="s">
        <v>10</v>
      </c>
      <c r="H65" s="7" t="s">
        <v>45</v>
      </c>
      <c r="I65" s="20" t="s">
        <v>256</v>
      </c>
      <c r="J65" s="20" t="s">
        <v>257</v>
      </c>
      <c r="K65" s="7" t="s">
        <v>119</v>
      </c>
      <c r="L65" s="61">
        <v>45670</v>
      </c>
      <c r="M65" s="7" t="s">
        <v>111</v>
      </c>
      <c r="N65" s="24">
        <v>45671</v>
      </c>
      <c r="O65" s="24">
        <v>45672</v>
      </c>
      <c r="P65" s="59"/>
      <c r="Q65" s="124" t="e">
        <f>P65*#REF!</f>
        <v>#REF!</v>
      </c>
      <c r="R65" s="126">
        <v>45673</v>
      </c>
      <c r="S65" s="153">
        <f>IF(L65="","",L65-B65)</f>
        <v>4</v>
      </c>
      <c r="T65" s="153">
        <f>IF(N65="","",N65-L65)</f>
        <v>1</v>
      </c>
      <c r="U65" s="153">
        <f>IF(O65="","",O65-N65)</f>
        <v>1</v>
      </c>
      <c r="V65" s="154">
        <f>IF(O65="","",O65-B65)</f>
        <v>6</v>
      </c>
      <c r="W65" s="154">
        <f>IF(O65="","",O65-L65)</f>
        <v>2</v>
      </c>
      <c r="X65" s="154">
        <f>IF(R65="","",R65-B65)</f>
        <v>7</v>
      </c>
    </row>
    <row r="66" spans="2:24" ht="17.25" hidden="1" customHeight="1">
      <c r="B66" s="23">
        <v>45665</v>
      </c>
      <c r="C66" s="7">
        <v>2003538611</v>
      </c>
      <c r="D66" s="20">
        <v>5703947</v>
      </c>
      <c r="E66" s="27" t="s">
        <v>258</v>
      </c>
      <c r="F66" s="7" t="s">
        <v>107</v>
      </c>
      <c r="G66" s="7" t="s">
        <v>18</v>
      </c>
      <c r="H66" s="7" t="s">
        <v>45</v>
      </c>
      <c r="I66" s="20" t="s">
        <v>259</v>
      </c>
      <c r="J66" s="20" t="s">
        <v>260</v>
      </c>
      <c r="K66" s="7" t="s">
        <v>122</v>
      </c>
      <c r="L66" s="61">
        <v>45671</v>
      </c>
      <c r="M66" s="7" t="s">
        <v>111</v>
      </c>
      <c r="N66" s="24">
        <v>45672</v>
      </c>
      <c r="O66" s="58">
        <v>45673</v>
      </c>
      <c r="P66" s="59"/>
      <c r="Q66" s="124" t="e">
        <f>P66*#REF!</f>
        <v>#REF!</v>
      </c>
      <c r="R66" s="126">
        <v>45673</v>
      </c>
      <c r="S66" s="153">
        <f>IF(L66="","",L66-B66)</f>
        <v>6</v>
      </c>
      <c r="T66" s="153">
        <f>IF(N66="","",N66-L66)</f>
        <v>1</v>
      </c>
      <c r="U66" s="153">
        <f>IF(O66="","",O66-N66)</f>
        <v>1</v>
      </c>
      <c r="V66" s="154">
        <f>IF(O66="","",O66-B66)</f>
        <v>8</v>
      </c>
      <c r="W66" s="154">
        <f>IF(O66="","",O66-L66)</f>
        <v>2</v>
      </c>
      <c r="X66" s="154">
        <f>IF(R66="","",R66-B66)</f>
        <v>8</v>
      </c>
    </row>
    <row r="67" spans="2:24" ht="17.25" hidden="1" customHeight="1">
      <c r="B67" s="23">
        <v>45666</v>
      </c>
      <c r="C67" s="7">
        <v>2003496900</v>
      </c>
      <c r="D67" s="20">
        <v>5705265</v>
      </c>
      <c r="E67" s="27" t="s">
        <v>123</v>
      </c>
      <c r="F67" s="7" t="s">
        <v>107</v>
      </c>
      <c r="G67" s="7" t="s">
        <v>21</v>
      </c>
      <c r="H67" s="7" t="s">
        <v>45</v>
      </c>
      <c r="I67" s="20" t="s">
        <v>261</v>
      </c>
      <c r="J67" s="20" t="s">
        <v>262</v>
      </c>
      <c r="K67" s="7" t="s">
        <v>111</v>
      </c>
      <c r="L67" s="61">
        <v>45667</v>
      </c>
      <c r="M67" s="7" t="s">
        <v>111</v>
      </c>
      <c r="N67" s="61">
        <v>45667</v>
      </c>
      <c r="O67" s="58">
        <v>45671</v>
      </c>
      <c r="P67" s="59"/>
      <c r="Q67" s="124" t="e">
        <f>P67*#REF!</f>
        <v>#REF!</v>
      </c>
      <c r="R67" s="126">
        <v>45672</v>
      </c>
      <c r="S67" s="153">
        <f>IF(L67="","",L67-B67)</f>
        <v>1</v>
      </c>
      <c r="T67" s="153">
        <f>IF(N67="","",N67-L67)</f>
        <v>0</v>
      </c>
      <c r="U67" s="153">
        <f>IF(O67="","",O67-N67)</f>
        <v>4</v>
      </c>
      <c r="V67" s="154">
        <f>IF(O67="","",O67-B67)</f>
        <v>5</v>
      </c>
      <c r="W67" s="154">
        <f>IF(O67="","",O67-L67)</f>
        <v>4</v>
      </c>
      <c r="X67" s="154">
        <f>IF(R67="","",R67-B67)</f>
        <v>6</v>
      </c>
    </row>
    <row r="68" spans="2:24" ht="17.25" hidden="1" customHeight="1">
      <c r="B68" s="23">
        <v>45666</v>
      </c>
      <c r="C68" s="7">
        <v>2003579488</v>
      </c>
      <c r="D68" s="20">
        <v>5705183</v>
      </c>
      <c r="E68" s="27" t="s">
        <v>163</v>
      </c>
      <c r="F68" s="7" t="s">
        <v>107</v>
      </c>
      <c r="G68" s="7" t="s">
        <v>10</v>
      </c>
      <c r="H68" s="7" t="s">
        <v>45</v>
      </c>
      <c r="I68" s="20" t="s">
        <v>263</v>
      </c>
      <c r="J68" s="20" t="s">
        <v>264</v>
      </c>
      <c r="K68" s="7" t="s">
        <v>122</v>
      </c>
      <c r="L68" s="61">
        <v>45671</v>
      </c>
      <c r="M68" s="7" t="s">
        <v>111</v>
      </c>
      <c r="N68" s="24">
        <v>45672</v>
      </c>
      <c r="O68" s="23">
        <v>45673</v>
      </c>
      <c r="P68" s="59"/>
      <c r="Q68" s="124" t="e">
        <f>P68*#REF!</f>
        <v>#REF!</v>
      </c>
      <c r="R68" s="126">
        <v>45673</v>
      </c>
      <c r="S68" s="153">
        <f>IF(L68="","",L68-B68)</f>
        <v>5</v>
      </c>
      <c r="T68" s="153">
        <f>IF(N68="","",N68-L68)</f>
        <v>1</v>
      </c>
      <c r="U68" s="153">
        <f>IF(O68="","",O68-N68)</f>
        <v>1</v>
      </c>
      <c r="V68" s="154">
        <f>IF(O68="","",O68-B68)</f>
        <v>7</v>
      </c>
      <c r="W68" s="154">
        <f>IF(O68="","",O68-L68)</f>
        <v>2</v>
      </c>
      <c r="X68" s="154">
        <f>IF(R68="","",R68-B68)</f>
        <v>7</v>
      </c>
    </row>
    <row r="69" spans="2:24" ht="17.25" hidden="1" customHeight="1">
      <c r="B69" s="23">
        <v>45666</v>
      </c>
      <c r="C69" s="7">
        <v>2003576125</v>
      </c>
      <c r="D69" s="20">
        <v>5705302</v>
      </c>
      <c r="E69" s="27" t="s">
        <v>265</v>
      </c>
      <c r="F69" s="7" t="s">
        <v>107</v>
      </c>
      <c r="G69" s="7" t="s">
        <v>15</v>
      </c>
      <c r="H69" s="7" t="s">
        <v>45</v>
      </c>
      <c r="I69" s="20" t="s">
        <v>266</v>
      </c>
      <c r="J69" s="20" t="s">
        <v>267</v>
      </c>
      <c r="K69" s="7" t="s">
        <v>122</v>
      </c>
      <c r="L69" s="61">
        <v>45671</v>
      </c>
      <c r="M69" s="7" t="s">
        <v>111</v>
      </c>
      <c r="N69" s="24">
        <v>45672</v>
      </c>
      <c r="O69" s="106">
        <v>45672</v>
      </c>
      <c r="P69" s="59"/>
      <c r="Q69" s="124" t="e">
        <f>P69*#REF!</f>
        <v>#REF!</v>
      </c>
      <c r="R69" s="126">
        <v>45672</v>
      </c>
      <c r="S69" s="153">
        <f>IF(L69="","",L69-B69)</f>
        <v>5</v>
      </c>
      <c r="T69" s="153">
        <f>IF(N69="","",N69-L69)</f>
        <v>1</v>
      </c>
      <c r="U69" s="153">
        <f>IF(O69="","",O69-N69)</f>
        <v>0</v>
      </c>
      <c r="V69" s="154">
        <f>IF(O69="","",O69-B69)</f>
        <v>6</v>
      </c>
      <c r="W69" s="154">
        <f>IF(O69="","",O69-L69)</f>
        <v>1</v>
      </c>
      <c r="X69" s="154">
        <f>IF(R69="","",R69-B69)</f>
        <v>6</v>
      </c>
    </row>
    <row r="70" spans="2:24" ht="17.25" hidden="1" customHeight="1">
      <c r="B70" s="23">
        <v>45666</v>
      </c>
      <c r="C70" s="7">
        <v>2003578515</v>
      </c>
      <c r="D70" s="20">
        <v>5705349</v>
      </c>
      <c r="E70" s="27" t="s">
        <v>180</v>
      </c>
      <c r="F70" s="7" t="s">
        <v>113</v>
      </c>
      <c r="G70" s="7" t="s">
        <v>70</v>
      </c>
      <c r="H70" s="7" t="s">
        <v>47</v>
      </c>
      <c r="I70" s="20" t="s">
        <v>268</v>
      </c>
      <c r="J70" s="20" t="s">
        <v>269</v>
      </c>
      <c r="K70" s="7" t="s">
        <v>160</v>
      </c>
      <c r="P70" s="59"/>
      <c r="Q70" s="124" t="e">
        <f>P70*#REF!</f>
        <v>#REF!</v>
      </c>
      <c r="R70" s="126">
        <v>45673</v>
      </c>
      <c r="S70" s="153" t="str">
        <f>IF(L70="","",L70-B70)</f>
        <v/>
      </c>
      <c r="T70" s="153" t="str">
        <f>IF(N70="","",N70-L70)</f>
        <v/>
      </c>
      <c r="U70" s="153" t="str">
        <f>IF(O70="","",O70-N70)</f>
        <v/>
      </c>
      <c r="V70" s="154" t="str">
        <f>IF(O70="","",O70-B70)</f>
        <v/>
      </c>
      <c r="W70" s="154" t="str">
        <f>IF(O70="","",O70-L70)</f>
        <v/>
      </c>
      <c r="X70" s="154">
        <f>IF(R70="","",R70-B70)</f>
        <v>7</v>
      </c>
    </row>
    <row r="71" spans="2:24" ht="17.25" hidden="1" customHeight="1">
      <c r="B71" s="23">
        <v>45666</v>
      </c>
      <c r="C71" s="7">
        <v>2003571577</v>
      </c>
      <c r="D71" s="20">
        <v>80360</v>
      </c>
      <c r="E71" s="27" t="s">
        <v>152</v>
      </c>
      <c r="F71" s="7" t="s">
        <v>107</v>
      </c>
      <c r="G71" s="7" t="s">
        <v>18</v>
      </c>
      <c r="H71" s="7" t="s">
        <v>45</v>
      </c>
      <c r="I71" s="20" t="s">
        <v>270</v>
      </c>
      <c r="J71" s="20" t="s">
        <v>271</v>
      </c>
      <c r="K71" s="7" t="s">
        <v>119</v>
      </c>
      <c r="L71" s="61">
        <v>45672</v>
      </c>
      <c r="M71" s="7" t="s">
        <v>111</v>
      </c>
      <c r="N71" s="61">
        <v>45674</v>
      </c>
      <c r="O71" s="61">
        <v>45674</v>
      </c>
      <c r="P71" s="59"/>
      <c r="Q71" s="124" t="e">
        <f>P71*#REF!</f>
        <v>#REF!</v>
      </c>
      <c r="R71" s="126">
        <v>45677</v>
      </c>
      <c r="S71" s="153">
        <f>IF(L71="","",L71-B71)</f>
        <v>6</v>
      </c>
      <c r="T71" s="153">
        <f>IF(N71="","",N71-L71)</f>
        <v>2</v>
      </c>
      <c r="U71" s="153">
        <f>IF(O71="","",O71-N71)</f>
        <v>0</v>
      </c>
      <c r="V71" s="154">
        <f>IF(O71="","",O71-B71)</f>
        <v>8</v>
      </c>
      <c r="W71" s="154">
        <f>IF(O71="","",O71-L71)</f>
        <v>2</v>
      </c>
      <c r="X71" s="154">
        <f>IF(R71="","",R71-B71)</f>
        <v>11</v>
      </c>
    </row>
    <row r="72" spans="2:24" ht="17.25" hidden="1" customHeight="1">
      <c r="B72" s="23">
        <v>45666</v>
      </c>
      <c r="C72" s="7">
        <v>2003541789</v>
      </c>
      <c r="D72" s="20">
        <v>5705316</v>
      </c>
      <c r="E72" s="27" t="s">
        <v>143</v>
      </c>
      <c r="F72" s="7" t="s">
        <v>107</v>
      </c>
      <c r="G72" s="7" t="s">
        <v>21</v>
      </c>
      <c r="H72" s="7" t="s">
        <v>45</v>
      </c>
      <c r="I72" s="20" t="s">
        <v>272</v>
      </c>
      <c r="J72" s="20" t="s">
        <v>273</v>
      </c>
      <c r="K72" s="7" t="s">
        <v>122</v>
      </c>
      <c r="L72" s="61">
        <v>45671</v>
      </c>
      <c r="M72" s="7" t="s">
        <v>111</v>
      </c>
      <c r="N72" s="24">
        <v>45672</v>
      </c>
      <c r="O72" s="58">
        <v>45673</v>
      </c>
      <c r="P72" s="59"/>
      <c r="Q72" s="124" t="e">
        <f>P72*#REF!</f>
        <v>#REF!</v>
      </c>
      <c r="R72" s="126">
        <v>45673</v>
      </c>
      <c r="S72" s="153">
        <f>IF(L72="","",L72-B72)</f>
        <v>5</v>
      </c>
      <c r="T72" s="153">
        <f>IF(N72="","",N72-L72)</f>
        <v>1</v>
      </c>
      <c r="U72" s="153">
        <f>IF(O72="","",O72-N72)</f>
        <v>1</v>
      </c>
      <c r="V72" s="154">
        <f>IF(O72="","",O72-B72)</f>
        <v>7</v>
      </c>
      <c r="W72" s="154">
        <f>IF(O72="","",O72-L72)</f>
        <v>2</v>
      </c>
      <c r="X72" s="154">
        <f>IF(R72="","",R72-B72)</f>
        <v>7</v>
      </c>
    </row>
    <row r="73" spans="2:24" ht="17.25" hidden="1" customHeight="1">
      <c r="B73" s="23">
        <v>45667</v>
      </c>
      <c r="C73" s="7">
        <v>2003575885</v>
      </c>
      <c r="D73" s="20">
        <v>5705838</v>
      </c>
      <c r="E73" s="27" t="s">
        <v>106</v>
      </c>
      <c r="F73" s="7" t="s">
        <v>107</v>
      </c>
      <c r="G73" s="7" t="s">
        <v>10</v>
      </c>
      <c r="H73" s="7" t="s">
        <v>45</v>
      </c>
      <c r="I73" s="20" t="s">
        <v>274</v>
      </c>
      <c r="J73" s="20" t="s">
        <v>275</v>
      </c>
      <c r="K73" s="7" t="s">
        <v>119</v>
      </c>
      <c r="L73" s="61">
        <v>45671</v>
      </c>
      <c r="M73" s="7" t="s">
        <v>111</v>
      </c>
      <c r="N73" s="24">
        <v>45672</v>
      </c>
      <c r="O73" s="58">
        <v>45673</v>
      </c>
      <c r="P73" s="59"/>
      <c r="Q73" s="124" t="e">
        <f>P73*#REF!</f>
        <v>#REF!</v>
      </c>
      <c r="R73" s="126">
        <v>45673</v>
      </c>
      <c r="S73" s="153">
        <f>IF(L73="","",L73-B73)</f>
        <v>4</v>
      </c>
      <c r="T73" s="153">
        <f>IF(N73="","",N73-L73)</f>
        <v>1</v>
      </c>
      <c r="U73" s="153">
        <f>IF(O73="","",O73-N73)</f>
        <v>1</v>
      </c>
      <c r="V73" s="154">
        <f>IF(O73="","",O73-B73)</f>
        <v>6</v>
      </c>
      <c r="W73" s="154">
        <f>IF(O73="","",O73-L73)</f>
        <v>2</v>
      </c>
      <c r="X73" s="154">
        <f>IF(R73="","",R73-B73)</f>
        <v>6</v>
      </c>
    </row>
    <row r="74" spans="2:24" ht="17.25" hidden="1" customHeight="1">
      <c r="B74" s="23">
        <v>45667</v>
      </c>
      <c r="C74" s="7">
        <v>2003499922</v>
      </c>
      <c r="D74" s="20">
        <v>5705840</v>
      </c>
      <c r="E74" s="27" t="s">
        <v>152</v>
      </c>
      <c r="F74" s="7" t="s">
        <v>107</v>
      </c>
      <c r="G74" s="7" t="s">
        <v>10</v>
      </c>
      <c r="H74" s="7" t="s">
        <v>45</v>
      </c>
      <c r="I74" s="20" t="s">
        <v>276</v>
      </c>
      <c r="J74" s="20" t="s">
        <v>277</v>
      </c>
      <c r="K74" s="7" t="s">
        <v>110</v>
      </c>
      <c r="L74" s="61">
        <v>45672</v>
      </c>
      <c r="M74" s="7" t="s">
        <v>111</v>
      </c>
      <c r="N74" s="61">
        <v>45672</v>
      </c>
      <c r="O74" s="61">
        <v>45672</v>
      </c>
      <c r="P74" s="59">
        <v>66.900000000000006</v>
      </c>
      <c r="Q74" s="124" t="e">
        <f>P74*#REF!</f>
        <v>#REF!</v>
      </c>
      <c r="R74" s="126">
        <v>45672</v>
      </c>
      <c r="S74" s="153">
        <f>IF(L74="","",L74-B74)</f>
        <v>5</v>
      </c>
      <c r="T74" s="153">
        <f>IF(N74="","",N74-L74)</f>
        <v>0</v>
      </c>
      <c r="U74" s="153">
        <f>IF(O74="","",O74-N74)</f>
        <v>0</v>
      </c>
      <c r="V74" s="154">
        <f>IF(O74="","",O74-B74)</f>
        <v>5</v>
      </c>
      <c r="W74" s="154">
        <f>IF(O74="","",O74-L74)</f>
        <v>0</v>
      </c>
      <c r="X74" s="154">
        <f>IF(R74="","",R74-B74)</f>
        <v>5</v>
      </c>
    </row>
    <row r="75" spans="2:24" ht="17.25" hidden="1" customHeight="1">
      <c r="B75" s="23">
        <v>45667</v>
      </c>
      <c r="C75" s="7">
        <v>2003575898</v>
      </c>
      <c r="D75" s="20">
        <v>5705841</v>
      </c>
      <c r="E75" s="27" t="s">
        <v>198</v>
      </c>
      <c r="F75" s="7" t="s">
        <v>107</v>
      </c>
      <c r="G75" s="7" t="s">
        <v>10</v>
      </c>
      <c r="H75" s="7" t="s">
        <v>45</v>
      </c>
      <c r="I75" s="20" t="s">
        <v>274</v>
      </c>
      <c r="J75" s="20" t="s">
        <v>275</v>
      </c>
      <c r="K75" s="7" t="s">
        <v>119</v>
      </c>
      <c r="L75" s="61">
        <v>45671</v>
      </c>
      <c r="M75" s="7" t="s">
        <v>111</v>
      </c>
      <c r="N75" s="24">
        <v>45672</v>
      </c>
      <c r="O75" s="58">
        <v>45673</v>
      </c>
      <c r="P75" s="59"/>
      <c r="Q75" s="124" t="e">
        <f>P75*#REF!</f>
        <v>#REF!</v>
      </c>
      <c r="R75" s="126">
        <v>45673</v>
      </c>
      <c r="S75" s="153">
        <f>IF(L75="","",L75-B75)</f>
        <v>4</v>
      </c>
      <c r="T75" s="153">
        <f>IF(N75="","",N75-L75)</f>
        <v>1</v>
      </c>
      <c r="U75" s="153">
        <f>IF(O75="","",O75-N75)</f>
        <v>1</v>
      </c>
      <c r="V75" s="154">
        <f>IF(O75="","",O75-B75)</f>
        <v>6</v>
      </c>
      <c r="W75" s="154">
        <f>IF(O75="","",O75-L75)</f>
        <v>2</v>
      </c>
      <c r="X75" s="154">
        <f>IF(R75="","",R75-B75)</f>
        <v>6</v>
      </c>
    </row>
    <row r="76" spans="2:24" ht="17.25" hidden="1" customHeight="1">
      <c r="B76" s="23">
        <v>45667</v>
      </c>
      <c r="C76" s="7">
        <v>2003568831</v>
      </c>
      <c r="D76" s="20">
        <v>5705668</v>
      </c>
      <c r="E76" s="27" t="s">
        <v>143</v>
      </c>
      <c r="F76" s="7" t="s">
        <v>107</v>
      </c>
      <c r="G76" s="7" t="s">
        <v>10</v>
      </c>
      <c r="H76" s="7" t="s">
        <v>45</v>
      </c>
      <c r="I76" s="20" t="s">
        <v>278</v>
      </c>
      <c r="J76" s="20" t="s">
        <v>279</v>
      </c>
      <c r="K76" s="7" t="s">
        <v>122</v>
      </c>
      <c r="L76" s="61">
        <v>45671</v>
      </c>
      <c r="M76" s="7" t="s">
        <v>111</v>
      </c>
      <c r="N76" s="24">
        <v>45672</v>
      </c>
      <c r="O76" s="58">
        <v>45673</v>
      </c>
      <c r="P76" s="59"/>
      <c r="Q76" s="124" t="e">
        <f>P76*#REF!</f>
        <v>#REF!</v>
      </c>
      <c r="R76" s="126">
        <v>45673</v>
      </c>
      <c r="S76" s="153">
        <f>IF(L76="","",L76-B76)</f>
        <v>4</v>
      </c>
      <c r="T76" s="153">
        <f>IF(N76="","",N76-L76)</f>
        <v>1</v>
      </c>
      <c r="U76" s="153">
        <f>IF(O76="","",O76-N76)</f>
        <v>1</v>
      </c>
      <c r="V76" s="154">
        <f>IF(O76="","",O76-B76)</f>
        <v>6</v>
      </c>
      <c r="W76" s="154">
        <f>IF(O76="","",O76-L76)</f>
        <v>2</v>
      </c>
      <c r="X76" s="154">
        <f>IF(R76="","",R76-B76)</f>
        <v>6</v>
      </c>
    </row>
    <row r="77" spans="2:24" ht="17.25" hidden="1" customHeight="1">
      <c r="B77" s="23">
        <v>45667</v>
      </c>
      <c r="C77" s="7">
        <v>2003576667</v>
      </c>
      <c r="D77" s="20">
        <v>5706294</v>
      </c>
      <c r="E77" s="27" t="s">
        <v>163</v>
      </c>
      <c r="F77" s="7" t="s">
        <v>107</v>
      </c>
      <c r="G77" s="7" t="s">
        <v>10</v>
      </c>
      <c r="H77" s="7" t="s">
        <v>45</v>
      </c>
      <c r="I77" s="20" t="s">
        <v>280</v>
      </c>
      <c r="J77" s="20" t="s">
        <v>281</v>
      </c>
      <c r="K77" s="7" t="s">
        <v>110</v>
      </c>
      <c r="L77" s="61">
        <v>45670</v>
      </c>
      <c r="M77" s="7" t="s">
        <v>111</v>
      </c>
      <c r="N77" s="61">
        <v>45670</v>
      </c>
      <c r="O77" s="58">
        <v>45671</v>
      </c>
      <c r="P77" s="59"/>
      <c r="Q77" s="124" t="e">
        <f>P77*#REF!</f>
        <v>#REF!</v>
      </c>
      <c r="R77" s="126">
        <v>45672</v>
      </c>
      <c r="S77" s="153">
        <f>IF(L77="","",L77-B77)</f>
        <v>3</v>
      </c>
      <c r="T77" s="153">
        <f>IF(N77="","",N77-L77)</f>
        <v>0</v>
      </c>
      <c r="U77" s="153">
        <f>IF(O77="","",O77-N77)</f>
        <v>1</v>
      </c>
      <c r="V77" s="154">
        <f>IF(O77="","",O77-B77)</f>
        <v>4</v>
      </c>
      <c r="W77" s="154">
        <f>IF(O77="","",O77-L77)</f>
        <v>1</v>
      </c>
      <c r="X77" s="154">
        <f>IF(R77="","",R77-B77)</f>
        <v>5</v>
      </c>
    </row>
    <row r="78" spans="2:24" ht="17.25" hidden="1" customHeight="1">
      <c r="B78" s="23">
        <v>45667</v>
      </c>
      <c r="C78" s="7">
        <v>2003579265</v>
      </c>
      <c r="D78" s="20">
        <v>5706309</v>
      </c>
      <c r="E78" s="27" t="s">
        <v>126</v>
      </c>
      <c r="F78" s="7" t="s">
        <v>107</v>
      </c>
      <c r="G78" s="7" t="s">
        <v>18</v>
      </c>
      <c r="H78" s="7" t="s">
        <v>45</v>
      </c>
      <c r="I78" s="20" t="s">
        <v>282</v>
      </c>
      <c r="J78" s="20" t="s">
        <v>283</v>
      </c>
      <c r="K78" s="7" t="s">
        <v>110</v>
      </c>
      <c r="L78" s="61">
        <v>45671</v>
      </c>
      <c r="M78" s="7" t="s">
        <v>111</v>
      </c>
      <c r="N78" s="61">
        <v>45671</v>
      </c>
      <c r="O78" s="58">
        <v>45673</v>
      </c>
      <c r="P78" s="59"/>
      <c r="Q78" s="124" t="e">
        <f>P78*#REF!</f>
        <v>#REF!</v>
      </c>
      <c r="R78" s="126">
        <v>45673</v>
      </c>
      <c r="S78" s="153">
        <f>IF(L78="","",L78-B78)</f>
        <v>4</v>
      </c>
      <c r="T78" s="153">
        <f>IF(N78="","",N78-L78)</f>
        <v>0</v>
      </c>
      <c r="U78" s="153">
        <f>IF(O78="","",O78-N78)</f>
        <v>2</v>
      </c>
      <c r="V78" s="154">
        <f>IF(O78="","",O78-B78)</f>
        <v>6</v>
      </c>
      <c r="W78" s="154">
        <f>IF(O78="","",O78-L78)</f>
        <v>2</v>
      </c>
      <c r="X78" s="154">
        <f>IF(R78="","",R78-B78)</f>
        <v>6</v>
      </c>
    </row>
    <row r="79" spans="2:24" ht="17.25" hidden="1" customHeight="1">
      <c r="B79" s="23">
        <v>45667</v>
      </c>
      <c r="C79" s="7">
        <v>2003578094</v>
      </c>
      <c r="D79" s="20">
        <v>5706321</v>
      </c>
      <c r="E79" s="27" t="s">
        <v>126</v>
      </c>
      <c r="F79" s="7" t="s">
        <v>113</v>
      </c>
      <c r="G79" s="7" t="s">
        <v>70</v>
      </c>
      <c r="H79" s="7" t="s">
        <v>45</v>
      </c>
      <c r="I79" s="20" t="s">
        <v>284</v>
      </c>
      <c r="J79" s="20" t="s">
        <v>285</v>
      </c>
      <c r="K79" s="7" t="s">
        <v>110</v>
      </c>
      <c r="L79" s="61">
        <v>45671</v>
      </c>
      <c r="M79" s="7" t="s">
        <v>111</v>
      </c>
      <c r="P79" s="59"/>
      <c r="Q79" s="124" t="e">
        <f>P79*#REF!</f>
        <v>#REF!</v>
      </c>
      <c r="R79" s="126">
        <v>45670</v>
      </c>
      <c r="S79" s="153">
        <f>IF(L79="","",L79-B79)</f>
        <v>4</v>
      </c>
      <c r="T79" s="153" t="str">
        <f>IF(N79="","",N79-L79)</f>
        <v/>
      </c>
      <c r="U79" s="153" t="str">
        <f>IF(O79="","",O79-N79)</f>
        <v/>
      </c>
      <c r="V79" s="154" t="str">
        <f>IF(O79="","",O79-B79)</f>
        <v/>
      </c>
      <c r="W79" s="154" t="str">
        <f>IF(O79="","",O79-L79)</f>
        <v/>
      </c>
      <c r="X79" s="154">
        <f>IF(R79="","",R79-B79)</f>
        <v>3</v>
      </c>
    </row>
    <row r="80" spans="2:24" ht="17.25" hidden="1" customHeight="1">
      <c r="B80" s="23">
        <v>45667</v>
      </c>
      <c r="C80" s="7">
        <v>2003573682</v>
      </c>
      <c r="D80" s="20">
        <v>5706325</v>
      </c>
      <c r="E80" s="27" t="s">
        <v>126</v>
      </c>
      <c r="F80" s="7" t="s">
        <v>107</v>
      </c>
      <c r="G80" s="7" t="s">
        <v>10</v>
      </c>
      <c r="H80" s="7" t="s">
        <v>45</v>
      </c>
      <c r="I80" s="20" t="s">
        <v>286</v>
      </c>
      <c r="J80" s="20" t="s">
        <v>287</v>
      </c>
      <c r="K80" s="7" t="s">
        <v>110</v>
      </c>
      <c r="L80" s="61">
        <v>45671</v>
      </c>
      <c r="M80" s="7" t="s">
        <v>111</v>
      </c>
      <c r="N80" s="61">
        <v>45671</v>
      </c>
      <c r="O80" s="58">
        <v>45672</v>
      </c>
      <c r="P80" s="59"/>
      <c r="Q80" s="124" t="e">
        <f>P80*#REF!</f>
        <v>#REF!</v>
      </c>
      <c r="R80" s="126">
        <v>45672</v>
      </c>
      <c r="S80" s="153">
        <f>IF(L80="","",L80-B80)</f>
        <v>4</v>
      </c>
      <c r="T80" s="153">
        <f>IF(N80="","",N80-L80)</f>
        <v>0</v>
      </c>
      <c r="U80" s="153">
        <f>IF(O80="","",O80-N80)</f>
        <v>1</v>
      </c>
      <c r="V80" s="154">
        <f>IF(O80="","",O80-B80)</f>
        <v>5</v>
      </c>
      <c r="W80" s="154">
        <f>IF(O80="","",O80-L80)</f>
        <v>1</v>
      </c>
      <c r="X80" s="154">
        <f>IF(R80="","",R80-B80)</f>
        <v>5</v>
      </c>
    </row>
    <row r="81" spans="2:24" ht="17.25" hidden="1" customHeight="1">
      <c r="B81" s="23">
        <v>45670</v>
      </c>
      <c r="C81" s="7">
        <v>2003581229</v>
      </c>
      <c r="D81" s="20">
        <v>5708243</v>
      </c>
      <c r="E81" s="27" t="s">
        <v>123</v>
      </c>
      <c r="F81" s="7" t="s">
        <v>107</v>
      </c>
      <c r="G81" s="7" t="s">
        <v>26</v>
      </c>
      <c r="H81" s="7" t="s">
        <v>45</v>
      </c>
      <c r="I81" s="20" t="s">
        <v>120</v>
      </c>
      <c r="J81" s="20" t="s">
        <v>121</v>
      </c>
      <c r="K81" s="7" t="s">
        <v>122</v>
      </c>
      <c r="L81" s="61">
        <v>45672</v>
      </c>
      <c r="M81" s="7" t="s">
        <v>111</v>
      </c>
      <c r="N81" s="24">
        <v>45673</v>
      </c>
      <c r="O81" s="23">
        <v>45673</v>
      </c>
      <c r="P81" s="59"/>
      <c r="Q81" s="124" t="e">
        <f>P81*#REF!</f>
        <v>#REF!</v>
      </c>
      <c r="R81" s="126">
        <v>45673</v>
      </c>
      <c r="S81" s="153">
        <f>IF(L81="","",L81-B81)</f>
        <v>2</v>
      </c>
      <c r="T81" s="153">
        <f>IF(N81="","",N81-L81)</f>
        <v>1</v>
      </c>
      <c r="U81" s="153">
        <f>IF(O81="","",O81-N81)</f>
        <v>0</v>
      </c>
      <c r="V81" s="154">
        <f>IF(O81="","",O81-B81)</f>
        <v>3</v>
      </c>
      <c r="W81" s="154">
        <f>IF(O81="","",O81-L81)</f>
        <v>1</v>
      </c>
      <c r="X81" s="154">
        <f>IF(R81="","",R81-B81)</f>
        <v>3</v>
      </c>
    </row>
    <row r="82" spans="2:24" ht="17.25" hidden="1" customHeight="1">
      <c r="B82" s="23">
        <v>45670</v>
      </c>
      <c r="C82" s="7">
        <v>2003568301</v>
      </c>
      <c r="D82" s="20">
        <v>5706416</v>
      </c>
      <c r="E82" s="27" t="s">
        <v>185</v>
      </c>
      <c r="F82" s="7" t="s">
        <v>107</v>
      </c>
      <c r="G82" s="7" t="s">
        <v>18</v>
      </c>
      <c r="H82" s="7" t="s">
        <v>45</v>
      </c>
      <c r="I82" s="20" t="s">
        <v>288</v>
      </c>
      <c r="J82" s="20" t="s">
        <v>289</v>
      </c>
      <c r="K82" s="7" t="s">
        <v>110</v>
      </c>
      <c r="L82" s="61">
        <v>45671</v>
      </c>
      <c r="M82" s="7" t="s">
        <v>111</v>
      </c>
      <c r="N82" s="61">
        <v>45671</v>
      </c>
      <c r="O82" s="58">
        <v>45673</v>
      </c>
      <c r="P82" s="59"/>
      <c r="Q82" s="124" t="e">
        <f>P82*#REF!</f>
        <v>#REF!</v>
      </c>
      <c r="R82" s="126">
        <v>45673</v>
      </c>
      <c r="S82" s="153">
        <f>IF(L82="","",L82-B82)</f>
        <v>1</v>
      </c>
      <c r="T82" s="153">
        <f>IF(N82="","",N82-L82)</f>
        <v>0</v>
      </c>
      <c r="U82" s="153">
        <f>IF(O82="","",O82-N82)</f>
        <v>2</v>
      </c>
      <c r="V82" s="154">
        <f>IF(O82="","",O82-B82)</f>
        <v>3</v>
      </c>
      <c r="W82" s="154">
        <f>IF(O82="","",O82-L82)</f>
        <v>2</v>
      </c>
      <c r="X82" s="154">
        <f>IF(R82="","",R82-B82)</f>
        <v>3</v>
      </c>
    </row>
    <row r="83" spans="2:24" ht="17.25" hidden="1" customHeight="1">
      <c r="B83" s="23">
        <v>45670</v>
      </c>
      <c r="C83" s="7">
        <v>2003563551</v>
      </c>
      <c r="D83" s="20">
        <v>5706417</v>
      </c>
      <c r="E83" s="27" t="s">
        <v>185</v>
      </c>
      <c r="F83" s="7" t="s">
        <v>107</v>
      </c>
      <c r="G83" s="7" t="s">
        <v>26</v>
      </c>
      <c r="H83" s="7" t="s">
        <v>45</v>
      </c>
      <c r="I83" s="20" t="s">
        <v>290</v>
      </c>
      <c r="J83" s="20" t="s">
        <v>291</v>
      </c>
      <c r="K83" s="7" t="s">
        <v>110</v>
      </c>
      <c r="L83" s="61">
        <v>45673</v>
      </c>
      <c r="M83" s="7" t="s">
        <v>111</v>
      </c>
      <c r="N83" s="24">
        <v>45673</v>
      </c>
      <c r="O83" s="58">
        <v>45673</v>
      </c>
      <c r="P83" s="59"/>
      <c r="Q83" s="124" t="e">
        <f>P83*#REF!</f>
        <v>#REF!</v>
      </c>
      <c r="R83" s="126">
        <v>45673</v>
      </c>
      <c r="S83" s="153">
        <f>IF(L83="","",L83-B83)</f>
        <v>3</v>
      </c>
      <c r="T83" s="153">
        <f>IF(N83="","",N83-L83)</f>
        <v>0</v>
      </c>
      <c r="U83" s="153">
        <f>IF(O83="","",O83-N83)</f>
        <v>0</v>
      </c>
      <c r="V83" s="154">
        <f>IF(O83="","",O83-B83)</f>
        <v>3</v>
      </c>
      <c r="W83" s="154">
        <f>IF(O83="","",O83-L83)</f>
        <v>0</v>
      </c>
      <c r="X83" s="154">
        <f>IF(R83="","",R83-B83)</f>
        <v>3</v>
      </c>
    </row>
    <row r="84" spans="2:24" ht="17.25" hidden="1" customHeight="1">
      <c r="B84" s="23">
        <v>45670</v>
      </c>
      <c r="C84" s="7">
        <v>2003567161</v>
      </c>
      <c r="D84" s="20">
        <v>5707210</v>
      </c>
      <c r="E84" s="27" t="s">
        <v>116</v>
      </c>
      <c r="F84" s="7" t="s">
        <v>107</v>
      </c>
      <c r="G84" s="7" t="s">
        <v>10</v>
      </c>
      <c r="H84" s="7" t="s">
        <v>45</v>
      </c>
      <c r="I84" s="20" t="s">
        <v>292</v>
      </c>
      <c r="J84" s="20" t="s">
        <v>213</v>
      </c>
      <c r="K84" s="7" t="s">
        <v>119</v>
      </c>
      <c r="L84" s="61">
        <v>45672</v>
      </c>
      <c r="M84" s="7" t="s">
        <v>111</v>
      </c>
      <c r="N84" s="61">
        <v>45672</v>
      </c>
      <c r="O84" s="58">
        <v>45673</v>
      </c>
      <c r="P84" s="59"/>
      <c r="Q84" s="124" t="e">
        <f>P84*#REF!</f>
        <v>#REF!</v>
      </c>
      <c r="R84" s="126">
        <v>45673</v>
      </c>
      <c r="S84" s="153">
        <f>IF(L84="","",L84-B84)</f>
        <v>2</v>
      </c>
      <c r="T84" s="153">
        <f>IF(N84="","",N84-L84)</f>
        <v>0</v>
      </c>
      <c r="U84" s="153">
        <f>IF(O84="","",O84-N84)</f>
        <v>1</v>
      </c>
      <c r="V84" s="154">
        <f>IF(O84="","",O84-B84)</f>
        <v>3</v>
      </c>
      <c r="W84" s="154">
        <f>IF(O84="","",O84-L84)</f>
        <v>1</v>
      </c>
      <c r="X84" s="154">
        <f>IF(R84="","",R84-B84)</f>
        <v>3</v>
      </c>
    </row>
    <row r="85" spans="2:24" ht="17.25" hidden="1" customHeight="1">
      <c r="B85" s="23">
        <v>45670</v>
      </c>
      <c r="C85" s="7">
        <v>2003572073</v>
      </c>
      <c r="D85" s="20">
        <v>5708231</v>
      </c>
      <c r="E85" s="27" t="s">
        <v>123</v>
      </c>
      <c r="F85" s="7" t="s">
        <v>107</v>
      </c>
      <c r="G85" s="7" t="s">
        <v>10</v>
      </c>
      <c r="H85" s="7" t="s">
        <v>45</v>
      </c>
      <c r="I85" s="20" t="s">
        <v>293</v>
      </c>
      <c r="J85" s="20" t="s">
        <v>294</v>
      </c>
      <c r="K85" s="7" t="s">
        <v>119</v>
      </c>
      <c r="L85" s="61">
        <v>45672</v>
      </c>
      <c r="M85" s="7" t="s">
        <v>111</v>
      </c>
      <c r="N85" s="61">
        <v>45672</v>
      </c>
      <c r="O85" s="61">
        <v>45672</v>
      </c>
      <c r="P85" s="59"/>
      <c r="Q85" s="124" t="e">
        <f>P85*#REF!</f>
        <v>#REF!</v>
      </c>
      <c r="R85" s="126">
        <v>45672</v>
      </c>
      <c r="S85" s="153">
        <f>IF(L85="","",L85-B85)</f>
        <v>2</v>
      </c>
      <c r="T85" s="153">
        <f>IF(N85="","",N85-L85)</f>
        <v>0</v>
      </c>
      <c r="U85" s="153">
        <f>IF(O85="","",O85-N85)</f>
        <v>0</v>
      </c>
      <c r="V85" s="154">
        <f>IF(O85="","",O85-B85)</f>
        <v>2</v>
      </c>
      <c r="W85" s="154">
        <f>IF(O85="","",O85-L85)</f>
        <v>0</v>
      </c>
      <c r="X85" s="154">
        <f>IF(R85="","",R85-B85)</f>
        <v>2</v>
      </c>
    </row>
    <row r="86" spans="2:24" ht="17.25" hidden="1" customHeight="1">
      <c r="B86" s="23">
        <v>45670</v>
      </c>
      <c r="C86" s="7">
        <v>2003566784</v>
      </c>
      <c r="D86" s="20">
        <v>5708236</v>
      </c>
      <c r="E86" s="27" t="s">
        <v>135</v>
      </c>
      <c r="F86" s="7" t="s">
        <v>107</v>
      </c>
      <c r="G86" s="7" t="s">
        <v>15</v>
      </c>
      <c r="H86" s="7" t="s">
        <v>45</v>
      </c>
      <c r="I86" s="20" t="s">
        <v>295</v>
      </c>
      <c r="J86" s="20" t="s">
        <v>296</v>
      </c>
      <c r="K86" s="7" t="s">
        <v>110</v>
      </c>
      <c r="L86" s="61">
        <v>45673</v>
      </c>
      <c r="M86" s="7" t="s">
        <v>111</v>
      </c>
      <c r="N86" s="24">
        <v>45674</v>
      </c>
      <c r="O86" s="24">
        <v>45674</v>
      </c>
      <c r="P86" s="59"/>
      <c r="Q86" s="124" t="e">
        <f>P86*#REF!</f>
        <v>#REF!</v>
      </c>
      <c r="R86" s="126">
        <v>45674</v>
      </c>
      <c r="S86" s="153">
        <f>IF(L86="","",L86-B86)</f>
        <v>3</v>
      </c>
      <c r="T86" s="153">
        <f>IF(N86="","",N86-L86)</f>
        <v>1</v>
      </c>
      <c r="U86" s="153">
        <f>IF(O86="","",O86-N86)</f>
        <v>0</v>
      </c>
      <c r="V86" s="154">
        <f>IF(O86="","",O86-B86)</f>
        <v>4</v>
      </c>
      <c r="W86" s="154">
        <f>IF(O86="","",O86-L86)</f>
        <v>1</v>
      </c>
      <c r="X86" s="154">
        <f>IF(R86="","",R86-B86)</f>
        <v>4</v>
      </c>
    </row>
    <row r="87" spans="2:24" ht="17.25" hidden="1" customHeight="1">
      <c r="B87" s="23">
        <v>45670</v>
      </c>
      <c r="C87" s="7">
        <v>2003574608</v>
      </c>
      <c r="D87" s="20">
        <v>5708287</v>
      </c>
      <c r="E87" s="27" t="s">
        <v>116</v>
      </c>
      <c r="F87" s="7" t="s">
        <v>107</v>
      </c>
      <c r="G87" s="7" t="s">
        <v>26</v>
      </c>
      <c r="H87" s="7" t="s">
        <v>45</v>
      </c>
      <c r="I87" s="20" t="s">
        <v>297</v>
      </c>
      <c r="J87" s="20" t="s">
        <v>298</v>
      </c>
      <c r="K87" s="7" t="s">
        <v>122</v>
      </c>
      <c r="L87" s="61">
        <v>45673</v>
      </c>
      <c r="M87" s="7" t="s">
        <v>111</v>
      </c>
      <c r="N87" s="24">
        <v>45673</v>
      </c>
      <c r="O87" s="58">
        <v>45673</v>
      </c>
      <c r="P87" s="59"/>
      <c r="Q87" s="124" t="e">
        <f>P87*#REF!</f>
        <v>#REF!</v>
      </c>
      <c r="R87" s="126">
        <v>45673</v>
      </c>
      <c r="S87" s="153">
        <f>IF(L87="","",L87-B87)</f>
        <v>3</v>
      </c>
      <c r="T87" s="153">
        <f>IF(N87="","",N87-L87)</f>
        <v>0</v>
      </c>
      <c r="U87" s="153">
        <f>IF(O87="","",O87-N87)</f>
        <v>0</v>
      </c>
      <c r="V87" s="154">
        <f>IF(O87="","",O87-B87)</f>
        <v>3</v>
      </c>
      <c r="W87" s="154">
        <f>IF(O87="","",O87-L87)</f>
        <v>0</v>
      </c>
      <c r="X87" s="154">
        <f>IF(R87="","",R87-B87)</f>
        <v>3</v>
      </c>
    </row>
    <row r="88" spans="2:24" ht="17.25" hidden="1" customHeight="1">
      <c r="B88" s="23">
        <v>45670</v>
      </c>
      <c r="C88" s="7">
        <v>2003563693</v>
      </c>
      <c r="D88" s="20">
        <v>5708252</v>
      </c>
      <c r="E88" s="27" t="s">
        <v>123</v>
      </c>
      <c r="F88" s="7" t="s">
        <v>107</v>
      </c>
      <c r="G88" s="7" t="s">
        <v>10</v>
      </c>
      <c r="H88" s="7" t="s">
        <v>45</v>
      </c>
      <c r="I88" s="20" t="s">
        <v>299</v>
      </c>
      <c r="J88" s="20" t="s">
        <v>300</v>
      </c>
      <c r="K88" s="7" t="s">
        <v>119</v>
      </c>
      <c r="L88" s="61">
        <v>45672</v>
      </c>
      <c r="M88" s="7" t="s">
        <v>111</v>
      </c>
      <c r="N88" s="61">
        <v>45672</v>
      </c>
      <c r="O88" s="58">
        <v>45673</v>
      </c>
      <c r="P88" s="59"/>
      <c r="Q88" s="124" t="e">
        <f>P88*#REF!</f>
        <v>#REF!</v>
      </c>
      <c r="R88" s="126">
        <v>45673</v>
      </c>
      <c r="S88" s="153">
        <f>IF(L88="","",L88-B88)</f>
        <v>2</v>
      </c>
      <c r="T88" s="153">
        <f>IF(N88="","",N88-L88)</f>
        <v>0</v>
      </c>
      <c r="U88" s="153">
        <f>IF(O88="","",O88-N88)</f>
        <v>1</v>
      </c>
      <c r="V88" s="154">
        <f>IF(O88="","",O88-B88)</f>
        <v>3</v>
      </c>
      <c r="W88" s="154">
        <f>IF(O88="","",O88-L88)</f>
        <v>1</v>
      </c>
      <c r="X88" s="154">
        <f>IF(R88="","",R88-B88)</f>
        <v>3</v>
      </c>
    </row>
    <row r="89" spans="2:24" ht="17.25" hidden="1" customHeight="1">
      <c r="B89" s="23">
        <v>45670</v>
      </c>
      <c r="C89" s="7">
        <v>2003502395</v>
      </c>
      <c r="D89" s="20">
        <v>5708256</v>
      </c>
      <c r="E89" s="27" t="s">
        <v>123</v>
      </c>
      <c r="F89" s="7" t="s">
        <v>107</v>
      </c>
      <c r="G89" s="7" t="s">
        <v>10</v>
      </c>
      <c r="H89" s="7" t="s">
        <v>45</v>
      </c>
      <c r="I89" s="20" t="s">
        <v>301</v>
      </c>
      <c r="J89" s="20" t="s">
        <v>300</v>
      </c>
      <c r="K89" s="7" t="s">
        <v>119</v>
      </c>
      <c r="L89" s="61">
        <v>45672</v>
      </c>
      <c r="M89" s="7" t="s">
        <v>111</v>
      </c>
      <c r="N89" s="61">
        <v>45672</v>
      </c>
      <c r="O89" s="58">
        <v>45673</v>
      </c>
      <c r="P89" s="59"/>
      <c r="Q89" s="124" t="e">
        <f>P89*#REF!</f>
        <v>#REF!</v>
      </c>
      <c r="R89" s="126">
        <v>45673</v>
      </c>
      <c r="S89" s="153">
        <f>IF(L89="","",L89-B89)</f>
        <v>2</v>
      </c>
      <c r="T89" s="153">
        <f>IF(N89="","",N89-L89)</f>
        <v>0</v>
      </c>
      <c r="U89" s="153">
        <f>IF(O89="","",O89-N89)</f>
        <v>1</v>
      </c>
      <c r="V89" s="154">
        <f>IF(O89="","",O89-B89)</f>
        <v>3</v>
      </c>
      <c r="W89" s="154">
        <f>IF(O89="","",O89-L89)</f>
        <v>1</v>
      </c>
      <c r="X89" s="154">
        <f>IF(R89="","",R89-B89)</f>
        <v>3</v>
      </c>
    </row>
    <row r="90" spans="2:24" ht="17.25" hidden="1" customHeight="1">
      <c r="B90" s="23">
        <v>45667</v>
      </c>
      <c r="C90" s="7">
        <v>2003565396</v>
      </c>
      <c r="D90" s="20">
        <v>80783</v>
      </c>
      <c r="E90" s="27" t="s">
        <v>143</v>
      </c>
      <c r="F90" s="7" t="s">
        <v>107</v>
      </c>
      <c r="G90" s="7" t="s">
        <v>10</v>
      </c>
      <c r="H90" s="7" t="s">
        <v>45</v>
      </c>
      <c r="I90" s="20" t="s">
        <v>302</v>
      </c>
      <c r="J90" s="20" t="s">
        <v>303</v>
      </c>
      <c r="K90" s="7" t="s">
        <v>122</v>
      </c>
      <c r="L90" s="61">
        <v>45674</v>
      </c>
      <c r="M90" s="7" t="s">
        <v>111</v>
      </c>
      <c r="N90" s="61">
        <v>45677</v>
      </c>
      <c r="O90" s="130">
        <v>45679</v>
      </c>
      <c r="P90" s="59"/>
      <c r="Q90" s="124" t="e">
        <f>P90*#REF!</f>
        <v>#REF!</v>
      </c>
      <c r="R90" s="126">
        <v>45679</v>
      </c>
      <c r="S90" s="153">
        <f>IF(L90="","",L90-B90)</f>
        <v>7</v>
      </c>
      <c r="T90" s="153">
        <f>IF(N90="","",N90-L90)</f>
        <v>3</v>
      </c>
      <c r="U90" s="153">
        <f>IF(O90="","",O90-N90)</f>
        <v>2</v>
      </c>
      <c r="V90" s="154">
        <f>IF(O90="","",O90-B90)</f>
        <v>12</v>
      </c>
      <c r="W90" s="154">
        <f>IF(O90="","",O90-L90)</f>
        <v>5</v>
      </c>
      <c r="X90" s="154">
        <f>IF(R90="","",R90-B90)</f>
        <v>12</v>
      </c>
    </row>
    <row r="91" spans="2:24" ht="17.25" hidden="1" customHeight="1">
      <c r="B91" s="23">
        <v>45670</v>
      </c>
      <c r="C91" s="7">
        <v>2003558774</v>
      </c>
      <c r="D91" s="20">
        <v>5708319</v>
      </c>
      <c r="E91" s="27" t="s">
        <v>116</v>
      </c>
      <c r="F91" s="7" t="s">
        <v>107</v>
      </c>
      <c r="G91" s="7" t="s">
        <v>18</v>
      </c>
      <c r="H91" s="7" t="s">
        <v>45</v>
      </c>
      <c r="I91" s="20" t="s">
        <v>304</v>
      </c>
      <c r="J91" s="20" t="s">
        <v>305</v>
      </c>
      <c r="K91" s="7" t="s">
        <v>119</v>
      </c>
      <c r="L91" s="61">
        <v>45677</v>
      </c>
      <c r="M91" s="7" t="s">
        <v>111</v>
      </c>
      <c r="N91" s="61">
        <v>45677</v>
      </c>
      <c r="O91" s="61">
        <v>45679</v>
      </c>
      <c r="P91" s="59">
        <v>65.2</v>
      </c>
      <c r="Q91" s="124" t="e">
        <f>P91*#REF!</f>
        <v>#REF!</v>
      </c>
      <c r="R91" s="126">
        <v>45679</v>
      </c>
      <c r="S91" s="153">
        <f>IF(L91="","",L91-B91)</f>
        <v>7</v>
      </c>
      <c r="T91" s="153">
        <f>IF(N91="","",N91-L91)</f>
        <v>0</v>
      </c>
      <c r="U91" s="153">
        <f>IF(O91="","",O91-N91)</f>
        <v>2</v>
      </c>
      <c r="V91" s="154">
        <f>IF(O91="","",O91-B91)</f>
        <v>9</v>
      </c>
      <c r="W91" s="154">
        <f>IF(O91="","",O91-L91)</f>
        <v>2</v>
      </c>
      <c r="X91" s="154">
        <f>IF(R91="","",R91-B91)</f>
        <v>9</v>
      </c>
    </row>
    <row r="92" spans="2:24" ht="17.25" hidden="1" customHeight="1">
      <c r="B92" s="23">
        <v>45670</v>
      </c>
      <c r="C92" s="7">
        <v>2003546945</v>
      </c>
      <c r="D92" s="20">
        <v>5708368</v>
      </c>
      <c r="E92" s="27" t="s">
        <v>230</v>
      </c>
      <c r="F92" s="7" t="s">
        <v>107</v>
      </c>
      <c r="G92" s="7" t="s">
        <v>10</v>
      </c>
      <c r="H92" s="7" t="s">
        <v>45</v>
      </c>
      <c r="I92" s="20" t="s">
        <v>306</v>
      </c>
      <c r="J92" s="20" t="s">
        <v>307</v>
      </c>
      <c r="K92" s="7" t="s">
        <v>110</v>
      </c>
      <c r="L92" s="61">
        <v>45674</v>
      </c>
      <c r="M92" s="7" t="s">
        <v>111</v>
      </c>
      <c r="N92" s="61">
        <v>45674</v>
      </c>
      <c r="O92" s="24">
        <v>45680</v>
      </c>
      <c r="P92" s="59"/>
      <c r="Q92" s="124" t="e">
        <f>P92*#REF!</f>
        <v>#REF!</v>
      </c>
      <c r="R92" s="126">
        <v>45680</v>
      </c>
      <c r="S92" s="153">
        <f>IF(L92="","",L92-B92)</f>
        <v>4</v>
      </c>
      <c r="T92" s="153">
        <f>IF(N92="","",N92-L92)</f>
        <v>0</v>
      </c>
      <c r="U92" s="153">
        <f>IF(O92="","",O92-N92)</f>
        <v>6</v>
      </c>
      <c r="V92" s="154">
        <f>IF(O92="","",O92-B92)</f>
        <v>10</v>
      </c>
      <c r="W92" s="154">
        <f>IF(O92="","",O92-L92)</f>
        <v>6</v>
      </c>
      <c r="X92" s="154">
        <f>IF(R92="","",R92-B92)</f>
        <v>10</v>
      </c>
    </row>
    <row r="93" spans="2:24" ht="17.25" hidden="1" customHeight="1">
      <c r="B93" s="23">
        <v>45670</v>
      </c>
      <c r="C93" s="7">
        <v>2003582266</v>
      </c>
      <c r="D93" s="20">
        <v>5708402</v>
      </c>
      <c r="E93" s="27" t="s">
        <v>230</v>
      </c>
      <c r="F93" s="7" t="s">
        <v>107</v>
      </c>
      <c r="G93" s="7" t="s">
        <v>10</v>
      </c>
      <c r="H93" s="7" t="s">
        <v>45</v>
      </c>
      <c r="I93" s="20" t="s">
        <v>306</v>
      </c>
      <c r="J93" s="20" t="s">
        <v>307</v>
      </c>
      <c r="K93" s="7" t="s">
        <v>110</v>
      </c>
      <c r="L93" s="61">
        <v>45674</v>
      </c>
      <c r="M93" s="7" t="s">
        <v>111</v>
      </c>
      <c r="N93" s="61">
        <v>45674</v>
      </c>
      <c r="O93" s="58">
        <v>45678</v>
      </c>
      <c r="P93" s="59"/>
      <c r="Q93" s="124" t="e">
        <f>P93*#REF!</f>
        <v>#REF!</v>
      </c>
      <c r="R93" s="126">
        <v>45679</v>
      </c>
      <c r="S93" s="153">
        <f>IF(L93="","",L93-B93)</f>
        <v>4</v>
      </c>
      <c r="T93" s="153">
        <f>IF(N93="","",N93-L93)</f>
        <v>0</v>
      </c>
      <c r="U93" s="153">
        <f>IF(O93="","",O93-N93)</f>
        <v>4</v>
      </c>
      <c r="V93" s="154">
        <f>IF(O93="","",O93-B93)</f>
        <v>8</v>
      </c>
      <c r="W93" s="154">
        <f>IF(O93="","",O93-L93)</f>
        <v>4</v>
      </c>
      <c r="X93" s="154">
        <f>IF(R93="","",R93-B93)</f>
        <v>9</v>
      </c>
    </row>
    <row r="94" spans="2:24" ht="17.25" hidden="1" customHeight="1">
      <c r="B94" s="23">
        <v>45670</v>
      </c>
      <c r="C94" s="7">
        <v>2003573468</v>
      </c>
      <c r="D94" s="20">
        <v>5708458</v>
      </c>
      <c r="E94" s="27" t="s">
        <v>149</v>
      </c>
      <c r="F94" s="7" t="s">
        <v>107</v>
      </c>
      <c r="G94" s="7" t="s">
        <v>10</v>
      </c>
      <c r="H94" s="7" t="s">
        <v>45</v>
      </c>
      <c r="I94" s="20" t="s">
        <v>308</v>
      </c>
      <c r="J94" s="20" t="s">
        <v>309</v>
      </c>
      <c r="K94" s="7" t="s">
        <v>119</v>
      </c>
      <c r="L94" s="61">
        <v>45680</v>
      </c>
      <c r="M94" s="7" t="s">
        <v>111</v>
      </c>
      <c r="N94" s="24">
        <v>45681</v>
      </c>
      <c r="O94" s="24">
        <v>45681</v>
      </c>
      <c r="P94" s="59">
        <v>64.2</v>
      </c>
      <c r="Q94" s="124" t="e">
        <f>P94*#REF!</f>
        <v>#REF!</v>
      </c>
      <c r="R94" s="126">
        <v>45681</v>
      </c>
      <c r="S94" s="153">
        <f>IF(L94="","",L94-B94)</f>
        <v>10</v>
      </c>
      <c r="T94" s="153">
        <f>IF(N94="","",N94-L94)</f>
        <v>1</v>
      </c>
      <c r="U94" s="153">
        <f>IF(O94="","",O94-N94)</f>
        <v>0</v>
      </c>
      <c r="V94" s="154">
        <f>IF(O94="","",O94-B94)</f>
        <v>11</v>
      </c>
      <c r="W94" s="154">
        <f>IF(O94="","",O94-L94)</f>
        <v>1</v>
      </c>
      <c r="X94" s="154">
        <f>IF(R94="","",R94-B94)</f>
        <v>11</v>
      </c>
    </row>
    <row r="95" spans="2:24" ht="17.25" hidden="1" customHeight="1">
      <c r="B95" s="23">
        <v>45671</v>
      </c>
      <c r="C95" s="7">
        <v>2003565012</v>
      </c>
      <c r="D95" s="20">
        <v>5708749</v>
      </c>
      <c r="E95" s="27" t="s">
        <v>116</v>
      </c>
      <c r="F95" s="7" t="s">
        <v>107</v>
      </c>
      <c r="G95" s="7" t="s">
        <v>10</v>
      </c>
      <c r="H95" s="7" t="s">
        <v>45</v>
      </c>
      <c r="I95" s="20" t="s">
        <v>310</v>
      </c>
      <c r="J95" s="20" t="s">
        <v>311</v>
      </c>
      <c r="K95" s="7" t="s">
        <v>122</v>
      </c>
      <c r="L95" s="61">
        <v>45674</v>
      </c>
      <c r="M95" s="7" t="s">
        <v>111</v>
      </c>
      <c r="N95" s="61">
        <v>45677</v>
      </c>
      <c r="O95" s="61">
        <v>45679</v>
      </c>
      <c r="P95" s="59"/>
      <c r="Q95" s="124" t="e">
        <f>P95*#REF!</f>
        <v>#REF!</v>
      </c>
      <c r="R95" s="126">
        <v>45679</v>
      </c>
      <c r="S95" s="153">
        <f>IF(L95="","",L95-B95)</f>
        <v>3</v>
      </c>
      <c r="T95" s="153">
        <f>IF(N95="","",N95-L95)</f>
        <v>3</v>
      </c>
      <c r="U95" s="153">
        <f>IF(O95="","",O95-N95)</f>
        <v>2</v>
      </c>
      <c r="V95" s="154">
        <f>IF(O95="","",O95-B95)</f>
        <v>8</v>
      </c>
      <c r="W95" s="154">
        <f>IF(O95="","",O95-L95)</f>
        <v>5</v>
      </c>
      <c r="X95" s="154">
        <f>IF(R95="","",R95-B95)</f>
        <v>8</v>
      </c>
    </row>
    <row r="96" spans="2:24" ht="17.25" hidden="1" customHeight="1">
      <c r="B96" s="23">
        <v>45671</v>
      </c>
      <c r="C96" s="7">
        <v>2003429282</v>
      </c>
      <c r="D96" s="20">
        <v>5708995</v>
      </c>
      <c r="E96" s="27" t="s">
        <v>157</v>
      </c>
      <c r="F96" s="7" t="s">
        <v>107</v>
      </c>
      <c r="G96" s="7" t="s">
        <v>15</v>
      </c>
      <c r="H96" s="7" t="s">
        <v>45</v>
      </c>
      <c r="I96" s="20" t="s">
        <v>312</v>
      </c>
      <c r="J96" s="20" t="s">
        <v>313</v>
      </c>
      <c r="K96" s="7" t="s">
        <v>110</v>
      </c>
      <c r="L96" s="61">
        <v>45674</v>
      </c>
      <c r="M96" s="7" t="s">
        <v>111</v>
      </c>
      <c r="N96" s="61">
        <v>45674</v>
      </c>
      <c r="O96" s="61">
        <v>45674</v>
      </c>
      <c r="P96" s="59">
        <v>135</v>
      </c>
      <c r="Q96" s="124" t="e">
        <f>P96*#REF!</f>
        <v>#REF!</v>
      </c>
      <c r="R96" s="126">
        <v>45677</v>
      </c>
      <c r="S96" s="153">
        <f>IF(L96="","",L96-B96)</f>
        <v>3</v>
      </c>
      <c r="T96" s="153">
        <f>IF(N96="","",N96-L96)</f>
        <v>0</v>
      </c>
      <c r="U96" s="153">
        <f>IF(O96="","",O96-N96)</f>
        <v>0</v>
      </c>
      <c r="V96" s="154">
        <f>IF(O96="","",O96-B96)</f>
        <v>3</v>
      </c>
      <c r="W96" s="154">
        <f>IF(O96="","",O96-L96)</f>
        <v>0</v>
      </c>
      <c r="X96" s="154">
        <f>IF(R96="","",R96-B96)</f>
        <v>6</v>
      </c>
    </row>
    <row r="97" spans="2:24" ht="17.25" hidden="1" customHeight="1">
      <c r="B97" s="23">
        <v>45672</v>
      </c>
      <c r="C97" s="7">
        <v>2003542491</v>
      </c>
      <c r="D97" s="20">
        <v>5711787</v>
      </c>
      <c r="E97" s="27" t="s">
        <v>106</v>
      </c>
      <c r="F97" s="7" t="s">
        <v>107</v>
      </c>
      <c r="G97" s="7" t="s">
        <v>10</v>
      </c>
      <c r="H97" s="7" t="s">
        <v>45</v>
      </c>
      <c r="I97" s="20" t="s">
        <v>314</v>
      </c>
      <c r="J97" s="20" t="s">
        <v>315</v>
      </c>
      <c r="K97" s="7" t="s">
        <v>122</v>
      </c>
      <c r="L97" s="61">
        <v>45674</v>
      </c>
      <c r="M97" s="7" t="s">
        <v>111</v>
      </c>
      <c r="N97" s="61">
        <v>45677</v>
      </c>
      <c r="O97" s="61">
        <v>45679</v>
      </c>
      <c r="P97" s="59"/>
      <c r="Q97" s="124" t="e">
        <f>P97*#REF!</f>
        <v>#REF!</v>
      </c>
      <c r="R97" s="126">
        <v>45679</v>
      </c>
      <c r="S97" s="153">
        <f>IF(L97="","",L97-B97)</f>
        <v>2</v>
      </c>
      <c r="T97" s="153">
        <f>IF(N97="","",N97-L97)</f>
        <v>3</v>
      </c>
      <c r="U97" s="153">
        <f>IF(O97="","",O97-N97)</f>
        <v>2</v>
      </c>
      <c r="V97" s="154">
        <f>IF(O97="","",O97-B97)</f>
        <v>7</v>
      </c>
      <c r="W97" s="154">
        <f>IF(O97="","",O97-L97)</f>
        <v>5</v>
      </c>
      <c r="X97" s="154">
        <f>IF(R97="","",R97-B97)</f>
        <v>7</v>
      </c>
    </row>
    <row r="98" spans="2:24" ht="17.25" hidden="1" customHeight="1">
      <c r="B98" s="23">
        <v>45671</v>
      </c>
      <c r="C98" s="7">
        <v>2003580220</v>
      </c>
      <c r="D98" s="20">
        <v>5709238</v>
      </c>
      <c r="E98" s="27" t="s">
        <v>116</v>
      </c>
      <c r="F98" s="7" t="s">
        <v>107</v>
      </c>
      <c r="G98" s="7" t="s">
        <v>10</v>
      </c>
      <c r="H98" s="7" t="s">
        <v>45</v>
      </c>
      <c r="I98" s="20" t="s">
        <v>316</v>
      </c>
      <c r="J98" s="20" t="s">
        <v>317</v>
      </c>
      <c r="K98" s="7" t="s">
        <v>110</v>
      </c>
      <c r="L98" s="61">
        <v>45673</v>
      </c>
      <c r="M98" s="7" t="s">
        <v>111</v>
      </c>
      <c r="N98" s="24">
        <v>45674</v>
      </c>
      <c r="O98" s="58">
        <v>45680</v>
      </c>
      <c r="P98" s="59"/>
      <c r="Q98" s="124" t="e">
        <f>P98*#REF!</f>
        <v>#REF!</v>
      </c>
      <c r="R98" s="126">
        <v>45680</v>
      </c>
      <c r="S98" s="153">
        <f>IF(L98="","",L98-B98)</f>
        <v>2</v>
      </c>
      <c r="T98" s="153">
        <f>IF(N98="","",N98-L98)</f>
        <v>1</v>
      </c>
      <c r="U98" s="153">
        <f>IF(O98="","",O98-N98)</f>
        <v>6</v>
      </c>
      <c r="V98" s="154">
        <f>IF(O98="","",O98-B98)</f>
        <v>9</v>
      </c>
      <c r="W98" s="154">
        <f>IF(O98="","",O98-L98)</f>
        <v>7</v>
      </c>
      <c r="X98" s="154">
        <f>IF(R98="","",R98-B98)</f>
        <v>9</v>
      </c>
    </row>
    <row r="99" spans="2:24" ht="17.25" hidden="1" customHeight="1">
      <c r="B99" s="23">
        <v>45671</v>
      </c>
      <c r="C99" s="7">
        <v>2003547049</v>
      </c>
      <c r="D99" s="20">
        <v>5709331</v>
      </c>
      <c r="E99" s="27" t="s">
        <v>177</v>
      </c>
      <c r="F99" s="7" t="s">
        <v>107</v>
      </c>
      <c r="G99" s="7" t="s">
        <v>15</v>
      </c>
      <c r="H99" s="7" t="s">
        <v>45</v>
      </c>
      <c r="I99" s="20" t="s">
        <v>318</v>
      </c>
      <c r="J99" s="20" t="s">
        <v>319</v>
      </c>
      <c r="K99" s="7" t="s">
        <v>110</v>
      </c>
      <c r="L99" s="61">
        <v>45673</v>
      </c>
      <c r="M99" s="7" t="s">
        <v>111</v>
      </c>
      <c r="N99" s="24">
        <v>45674</v>
      </c>
      <c r="O99" s="24">
        <v>45674</v>
      </c>
      <c r="P99" s="59"/>
      <c r="Q99" s="124" t="e">
        <f>P99*#REF!</f>
        <v>#REF!</v>
      </c>
      <c r="R99" s="126">
        <v>45674</v>
      </c>
      <c r="S99" s="153">
        <f>IF(L99="","",L99-B99)</f>
        <v>2</v>
      </c>
      <c r="T99" s="153">
        <f>IF(N99="","",N99-L99)</f>
        <v>1</v>
      </c>
      <c r="U99" s="153">
        <f>IF(O99="","",O99-N99)</f>
        <v>0</v>
      </c>
      <c r="V99" s="154">
        <f>IF(O99="","",O99-B99)</f>
        <v>3</v>
      </c>
      <c r="W99" s="154">
        <f>IF(O99="","",O99-L99)</f>
        <v>1</v>
      </c>
      <c r="X99" s="154">
        <f>IF(R99="","",R99-B99)</f>
        <v>3</v>
      </c>
    </row>
    <row r="100" spans="2:24" ht="17.25" hidden="1" customHeight="1">
      <c r="B100" s="23">
        <v>45671</v>
      </c>
      <c r="C100" s="7">
        <v>2003445452</v>
      </c>
      <c r="D100" s="20">
        <v>5709671</v>
      </c>
      <c r="E100" s="27" t="s">
        <v>149</v>
      </c>
      <c r="F100" s="7" t="s">
        <v>107</v>
      </c>
      <c r="G100" s="7" t="s">
        <v>18</v>
      </c>
      <c r="H100" s="7" t="s">
        <v>45</v>
      </c>
      <c r="I100" s="20" t="s">
        <v>320</v>
      </c>
      <c r="J100" s="20" t="s">
        <v>321</v>
      </c>
      <c r="K100" s="7" t="s">
        <v>110</v>
      </c>
      <c r="L100" s="61">
        <v>45673</v>
      </c>
      <c r="M100" s="7" t="s">
        <v>111</v>
      </c>
      <c r="N100" s="24">
        <v>45674</v>
      </c>
      <c r="O100" s="58">
        <v>45678</v>
      </c>
      <c r="P100" s="59"/>
      <c r="Q100" s="124" t="e">
        <f>P100*#REF!</f>
        <v>#REF!</v>
      </c>
      <c r="R100" s="126">
        <v>45679</v>
      </c>
      <c r="S100" s="153">
        <f>IF(L100="","",L100-B100)</f>
        <v>2</v>
      </c>
      <c r="T100" s="153">
        <f>IF(N100="","",N100-L100)</f>
        <v>1</v>
      </c>
      <c r="U100" s="153">
        <f>IF(O100="","",O100-N100)</f>
        <v>4</v>
      </c>
      <c r="V100" s="154">
        <f>IF(O100="","",O100-B100)</f>
        <v>7</v>
      </c>
      <c r="W100" s="154">
        <f>IF(O100="","",O100-L100)</f>
        <v>5</v>
      </c>
      <c r="X100" s="154">
        <f>IF(R100="","",R100-B100)</f>
        <v>8</v>
      </c>
    </row>
    <row r="101" spans="2:24" ht="17.25" hidden="1" customHeight="1">
      <c r="B101" s="23">
        <v>45671</v>
      </c>
      <c r="C101" s="7">
        <v>2003581089</v>
      </c>
      <c r="D101" s="20">
        <v>5709708</v>
      </c>
      <c r="E101" s="27" t="s">
        <v>149</v>
      </c>
      <c r="F101" s="7" t="s">
        <v>107</v>
      </c>
      <c r="G101" s="7" t="s">
        <v>18</v>
      </c>
      <c r="H101" s="7" t="s">
        <v>45</v>
      </c>
      <c r="I101" s="20" t="s">
        <v>322</v>
      </c>
      <c r="J101" s="20" t="s">
        <v>323</v>
      </c>
      <c r="K101" s="7" t="s">
        <v>110</v>
      </c>
      <c r="L101" s="61">
        <v>45677</v>
      </c>
      <c r="M101" s="7" t="s">
        <v>111</v>
      </c>
      <c r="N101" s="61">
        <v>45677</v>
      </c>
      <c r="O101" s="61">
        <v>45679</v>
      </c>
      <c r="P101" s="59"/>
      <c r="Q101" s="124" t="e">
        <f>P101*#REF!</f>
        <v>#REF!</v>
      </c>
      <c r="R101" s="126">
        <v>45679</v>
      </c>
      <c r="S101" s="153">
        <f>IF(L101="","",L101-B101)</f>
        <v>6</v>
      </c>
      <c r="T101" s="153">
        <f>IF(N101="","",N101-L101)</f>
        <v>0</v>
      </c>
      <c r="U101" s="153">
        <f>IF(O101="","",O101-N101)</f>
        <v>2</v>
      </c>
      <c r="V101" s="154">
        <f>IF(O101="","",O101-B101)</f>
        <v>8</v>
      </c>
      <c r="W101" s="154">
        <f>IF(O101="","",O101-L101)</f>
        <v>2</v>
      </c>
      <c r="X101" s="154">
        <f>IF(R101="","",R101-B101)</f>
        <v>8</v>
      </c>
    </row>
    <row r="102" spans="2:24" ht="17.25" hidden="1" customHeight="1">
      <c r="B102" s="23">
        <v>45671</v>
      </c>
      <c r="C102" s="7">
        <v>2003580763</v>
      </c>
      <c r="D102" s="20">
        <v>5709755</v>
      </c>
      <c r="E102" s="27" t="s">
        <v>163</v>
      </c>
      <c r="F102" s="7" t="s">
        <v>107</v>
      </c>
      <c r="G102" s="7" t="s">
        <v>10</v>
      </c>
      <c r="H102" s="7" t="s">
        <v>45</v>
      </c>
      <c r="I102" s="20" t="s">
        <v>147</v>
      </c>
      <c r="J102" s="20" t="s">
        <v>324</v>
      </c>
      <c r="K102" s="7" t="s">
        <v>119</v>
      </c>
      <c r="L102" s="61">
        <v>45672</v>
      </c>
      <c r="M102" s="7" t="s">
        <v>111</v>
      </c>
      <c r="N102" s="61">
        <v>45672</v>
      </c>
      <c r="O102" s="61">
        <v>45672</v>
      </c>
      <c r="P102" s="59"/>
      <c r="Q102" s="124" t="e">
        <f>P102*#REF!</f>
        <v>#REF!</v>
      </c>
      <c r="R102" s="126">
        <v>45672</v>
      </c>
      <c r="S102" s="153">
        <f>IF(L102="","",L102-B102)</f>
        <v>1</v>
      </c>
      <c r="T102" s="153">
        <f>IF(N102="","",N102-L102)</f>
        <v>0</v>
      </c>
      <c r="U102" s="153">
        <f>IF(O102="","",O102-N102)</f>
        <v>0</v>
      </c>
      <c r="V102" s="154">
        <f>IF(O102="","",O102-B102)</f>
        <v>1</v>
      </c>
      <c r="W102" s="154">
        <f>IF(O102="","",O102-L102)</f>
        <v>0</v>
      </c>
      <c r="X102" s="154">
        <f>IF(R102="","",R102-B102)</f>
        <v>1</v>
      </c>
    </row>
    <row r="103" spans="2:24" ht="17.25" hidden="1" customHeight="1">
      <c r="B103" s="23">
        <v>45671</v>
      </c>
      <c r="C103" s="7">
        <v>2003582331</v>
      </c>
      <c r="D103" s="20">
        <v>5709817</v>
      </c>
      <c r="E103" s="27" t="s">
        <v>163</v>
      </c>
      <c r="F103" s="7" t="s">
        <v>107</v>
      </c>
      <c r="G103" s="7" t="s">
        <v>15</v>
      </c>
      <c r="H103" s="7" t="s">
        <v>45</v>
      </c>
      <c r="I103" s="20" t="s">
        <v>325</v>
      </c>
      <c r="J103" s="20" t="s">
        <v>326</v>
      </c>
      <c r="K103" s="7" t="s">
        <v>110</v>
      </c>
      <c r="L103" s="61">
        <v>45673</v>
      </c>
      <c r="M103" s="7" t="s">
        <v>111</v>
      </c>
      <c r="N103" s="24">
        <v>45674</v>
      </c>
      <c r="O103" s="58">
        <v>45678</v>
      </c>
      <c r="P103" s="59"/>
      <c r="Q103" s="124" t="e">
        <f>P103*#REF!</f>
        <v>#REF!</v>
      </c>
      <c r="R103" s="126">
        <v>45679</v>
      </c>
      <c r="S103" s="153">
        <f>IF(L103="","",L103-B103)</f>
        <v>2</v>
      </c>
      <c r="T103" s="153">
        <f>IF(N103="","",N103-L103)</f>
        <v>1</v>
      </c>
      <c r="U103" s="153">
        <f>IF(O103="","",O103-N103)</f>
        <v>4</v>
      </c>
      <c r="V103" s="154">
        <f>IF(O103="","",O103-B103)</f>
        <v>7</v>
      </c>
      <c r="W103" s="154">
        <f>IF(O103="","",O103-L103)</f>
        <v>5</v>
      </c>
      <c r="X103" s="154">
        <f>IF(R103="","",R103-B103)</f>
        <v>8</v>
      </c>
    </row>
    <row r="104" spans="2:24" ht="17.25" hidden="1" customHeight="1">
      <c r="B104" s="23">
        <v>45671</v>
      </c>
      <c r="C104" s="7">
        <v>2003542821</v>
      </c>
      <c r="D104" s="20">
        <v>5709822</v>
      </c>
      <c r="E104" s="27" t="s">
        <v>180</v>
      </c>
      <c r="F104" s="7" t="s">
        <v>107</v>
      </c>
      <c r="G104" s="7" t="s">
        <v>30</v>
      </c>
      <c r="H104" s="7" t="s">
        <v>45</v>
      </c>
      <c r="I104" s="20" t="s">
        <v>327</v>
      </c>
      <c r="J104" s="20" t="s">
        <v>328</v>
      </c>
      <c r="K104" s="7" t="s">
        <v>111</v>
      </c>
      <c r="L104" s="61">
        <v>45673</v>
      </c>
      <c r="M104" s="7" t="s">
        <v>111</v>
      </c>
      <c r="N104" s="61">
        <v>45674</v>
      </c>
      <c r="O104" s="58">
        <v>45684</v>
      </c>
      <c r="P104" s="59"/>
      <c r="Q104" s="124" t="e">
        <f>P104*#REF!</f>
        <v>#REF!</v>
      </c>
      <c r="R104" s="126">
        <v>45684</v>
      </c>
      <c r="S104" s="153">
        <f>IF(L104="","",L104-B104)</f>
        <v>2</v>
      </c>
      <c r="T104" s="153">
        <f>IF(N104="","",N104-L104)</f>
        <v>1</v>
      </c>
      <c r="U104" s="153">
        <f>IF(O104="","",O104-N104)</f>
        <v>10</v>
      </c>
      <c r="V104" s="154">
        <f>IF(O104="","",O104-B104)</f>
        <v>13</v>
      </c>
      <c r="W104" s="154">
        <f>IF(O104="","",O104-L104)</f>
        <v>11</v>
      </c>
      <c r="X104" s="154">
        <f>IF(R104="","",R104-B104)</f>
        <v>13</v>
      </c>
    </row>
    <row r="105" spans="2:24" ht="17.25" hidden="1" customHeight="1">
      <c r="B105" s="23">
        <v>45671</v>
      </c>
      <c r="C105" s="7">
        <v>2003559348</v>
      </c>
      <c r="D105" s="20">
        <v>5709864</v>
      </c>
      <c r="E105" s="27" t="s">
        <v>177</v>
      </c>
      <c r="F105" s="7" t="s">
        <v>107</v>
      </c>
      <c r="G105" s="7" t="s">
        <v>15</v>
      </c>
      <c r="H105" s="7" t="s">
        <v>45</v>
      </c>
      <c r="I105" s="20" t="s">
        <v>194</v>
      </c>
      <c r="J105" s="20" t="s">
        <v>329</v>
      </c>
      <c r="K105" s="7" t="s">
        <v>110</v>
      </c>
      <c r="L105" s="61">
        <v>45673</v>
      </c>
      <c r="M105" s="7" t="s">
        <v>111</v>
      </c>
      <c r="N105" s="24">
        <v>45674</v>
      </c>
      <c r="O105" s="24">
        <v>45674</v>
      </c>
      <c r="P105" s="59"/>
      <c r="Q105" s="124" t="e">
        <f>P105*#REF!</f>
        <v>#REF!</v>
      </c>
      <c r="R105" s="126">
        <v>45674</v>
      </c>
      <c r="S105" s="153">
        <f>IF(L105="","",L105-B105)</f>
        <v>2</v>
      </c>
      <c r="T105" s="153">
        <f>IF(N105="","",N105-L105)</f>
        <v>1</v>
      </c>
      <c r="U105" s="153">
        <f>IF(O105="","",O105-N105)</f>
        <v>0</v>
      </c>
      <c r="V105" s="154">
        <f>IF(O105="","",O105-B105)</f>
        <v>3</v>
      </c>
      <c r="W105" s="154">
        <f>IF(O105="","",O105-L105)</f>
        <v>1</v>
      </c>
      <c r="X105" s="154">
        <f>IF(R105="","",R105-B105)</f>
        <v>3</v>
      </c>
    </row>
    <row r="106" spans="2:24" ht="17.25" hidden="1" customHeight="1">
      <c r="B106" s="23">
        <v>45671</v>
      </c>
      <c r="C106" s="7">
        <v>2003565690</v>
      </c>
      <c r="D106" s="20">
        <v>82044</v>
      </c>
      <c r="E106" s="27" t="s">
        <v>123</v>
      </c>
      <c r="F106" s="7" t="s">
        <v>107</v>
      </c>
      <c r="G106" s="7" t="s">
        <v>15</v>
      </c>
      <c r="H106" s="7" t="s">
        <v>45</v>
      </c>
      <c r="I106" s="20" t="s">
        <v>330</v>
      </c>
      <c r="J106" s="20" t="s">
        <v>331</v>
      </c>
      <c r="K106" s="7" t="s">
        <v>110</v>
      </c>
      <c r="L106" s="61">
        <v>45673</v>
      </c>
      <c r="M106" s="7" t="s">
        <v>111</v>
      </c>
      <c r="N106" s="24">
        <v>45674</v>
      </c>
      <c r="O106" s="24">
        <v>45674</v>
      </c>
      <c r="P106" s="59"/>
      <c r="Q106" s="124" t="e">
        <f>P106*#REF!</f>
        <v>#REF!</v>
      </c>
      <c r="R106" s="126">
        <v>45674</v>
      </c>
      <c r="S106" s="153">
        <f>IF(L106="","",L106-B106)</f>
        <v>2</v>
      </c>
      <c r="T106" s="153">
        <f>IF(N106="","",N106-L106)</f>
        <v>1</v>
      </c>
      <c r="U106" s="153">
        <f>IF(O106="","",O106-N106)</f>
        <v>0</v>
      </c>
      <c r="V106" s="154">
        <f>IF(O106="","",O106-B106)</f>
        <v>3</v>
      </c>
      <c r="W106" s="154">
        <f>IF(O106="","",O106-L106)</f>
        <v>1</v>
      </c>
      <c r="X106" s="154">
        <f>IF(R106="","",R106-B106)</f>
        <v>3</v>
      </c>
    </row>
    <row r="107" spans="2:24" ht="17.25" hidden="1" customHeight="1">
      <c r="B107" s="23">
        <v>45671</v>
      </c>
      <c r="C107" s="7">
        <v>2003576859</v>
      </c>
      <c r="D107" s="20">
        <v>81752</v>
      </c>
      <c r="E107" s="20" t="s">
        <v>123</v>
      </c>
      <c r="F107" s="7" t="s">
        <v>107</v>
      </c>
      <c r="G107" s="7" t="s">
        <v>10</v>
      </c>
      <c r="H107" s="7" t="s">
        <v>45</v>
      </c>
      <c r="I107" s="20" t="s">
        <v>206</v>
      </c>
      <c r="J107" s="20" t="s">
        <v>332</v>
      </c>
      <c r="K107" s="7" t="s">
        <v>110</v>
      </c>
      <c r="L107" s="61">
        <v>45672</v>
      </c>
      <c r="M107" s="7" t="s">
        <v>111</v>
      </c>
      <c r="N107" s="61">
        <v>45672</v>
      </c>
      <c r="O107" s="61">
        <v>45672</v>
      </c>
      <c r="P107" s="59"/>
      <c r="Q107" s="124" t="e">
        <f>P107*#REF!</f>
        <v>#REF!</v>
      </c>
      <c r="R107" s="126">
        <v>45672</v>
      </c>
      <c r="S107" s="153">
        <f>IF(L107="","",L107-B107)</f>
        <v>1</v>
      </c>
      <c r="T107" s="153">
        <f>IF(N107="","",N107-L107)</f>
        <v>0</v>
      </c>
      <c r="U107" s="153">
        <f>IF(O107="","",O107-N107)</f>
        <v>0</v>
      </c>
      <c r="V107" s="154">
        <f>IF(O107="","",O107-B107)</f>
        <v>1</v>
      </c>
      <c r="W107" s="154">
        <f>IF(O107="","",O107-L107)</f>
        <v>0</v>
      </c>
      <c r="X107" s="154">
        <f>IF(R107="","",R107-B107)</f>
        <v>1</v>
      </c>
    </row>
    <row r="108" spans="2:24" ht="17.25" hidden="1" customHeight="1">
      <c r="B108" s="23">
        <v>45672</v>
      </c>
      <c r="C108" s="7">
        <v>2003555677</v>
      </c>
      <c r="D108" s="20">
        <v>5710765</v>
      </c>
      <c r="E108" s="27" t="s">
        <v>138</v>
      </c>
      <c r="F108" s="7" t="s">
        <v>113</v>
      </c>
      <c r="G108" s="7" t="s">
        <v>70</v>
      </c>
      <c r="H108" s="7" t="s">
        <v>47</v>
      </c>
      <c r="I108" s="20" t="s">
        <v>333</v>
      </c>
      <c r="J108" s="20" t="s">
        <v>334</v>
      </c>
      <c r="K108" s="7" t="s">
        <v>119</v>
      </c>
      <c r="L108" s="61">
        <v>45673</v>
      </c>
      <c r="M108" s="7" t="s">
        <v>111</v>
      </c>
      <c r="N108" s="24">
        <v>45673</v>
      </c>
      <c r="O108" s="58">
        <v>45673</v>
      </c>
      <c r="P108" s="59"/>
      <c r="Q108" s="124" t="e">
        <f>P108*#REF!</f>
        <v>#REF!</v>
      </c>
      <c r="R108" s="126">
        <v>45673</v>
      </c>
      <c r="S108" s="153">
        <f>IF(L108="","",L108-B108)</f>
        <v>1</v>
      </c>
      <c r="T108" s="153">
        <f>IF(N108="","",N108-L108)</f>
        <v>0</v>
      </c>
      <c r="U108" s="153">
        <f>IF(O108="","",O108-N108)</f>
        <v>0</v>
      </c>
      <c r="V108" s="154">
        <f>IF(O108="","",O108-B108)</f>
        <v>1</v>
      </c>
      <c r="W108" s="154">
        <f>IF(O108="","",O108-L108)</f>
        <v>0</v>
      </c>
      <c r="X108" s="154">
        <f>IF(R108="","",R108-B108)</f>
        <v>1</v>
      </c>
    </row>
    <row r="109" spans="2:24" ht="17.25" hidden="1" customHeight="1">
      <c r="B109" s="23">
        <v>45672</v>
      </c>
      <c r="C109" s="7">
        <v>2003573861</v>
      </c>
      <c r="D109" s="20">
        <v>5710773</v>
      </c>
      <c r="E109" s="27" t="s">
        <v>191</v>
      </c>
      <c r="F109" s="7" t="s">
        <v>107</v>
      </c>
      <c r="G109" s="7" t="s">
        <v>10</v>
      </c>
      <c r="H109" s="7" t="s">
        <v>45</v>
      </c>
      <c r="I109" s="20" t="s">
        <v>335</v>
      </c>
      <c r="J109" s="20" t="s">
        <v>336</v>
      </c>
      <c r="K109" s="7" t="s">
        <v>110</v>
      </c>
      <c r="L109" s="61">
        <v>45674</v>
      </c>
      <c r="M109" s="7" t="s">
        <v>111</v>
      </c>
      <c r="N109" s="61">
        <v>45674</v>
      </c>
      <c r="O109" s="58">
        <v>45677</v>
      </c>
      <c r="P109" s="59"/>
      <c r="Q109" s="124" t="e">
        <f>P109*#REF!</f>
        <v>#REF!</v>
      </c>
      <c r="R109" s="126">
        <v>45677</v>
      </c>
      <c r="S109" s="153">
        <f>IF(L109="","",L109-B109)</f>
        <v>2</v>
      </c>
      <c r="T109" s="153">
        <f>IF(N109="","",N109-L109)</f>
        <v>0</v>
      </c>
      <c r="U109" s="153">
        <f>IF(O109="","",O109-N109)</f>
        <v>3</v>
      </c>
      <c r="V109" s="154">
        <f>IF(O109="","",O109-B109)</f>
        <v>5</v>
      </c>
      <c r="W109" s="154">
        <f>IF(O109="","",O109-L109)</f>
        <v>3</v>
      </c>
      <c r="X109" s="154">
        <f>IF(R109="","",R109-B109)</f>
        <v>5</v>
      </c>
    </row>
    <row r="110" spans="2:24" ht="17.25" hidden="1" customHeight="1">
      <c r="B110" s="23">
        <v>45672</v>
      </c>
      <c r="C110" s="7">
        <v>2003573848</v>
      </c>
      <c r="D110" s="20">
        <v>5710777</v>
      </c>
      <c r="E110" s="27" t="s">
        <v>191</v>
      </c>
      <c r="F110" s="7" t="s">
        <v>107</v>
      </c>
      <c r="G110" s="7" t="s">
        <v>10</v>
      </c>
      <c r="H110" s="7" t="s">
        <v>45</v>
      </c>
      <c r="I110" s="20" t="s">
        <v>337</v>
      </c>
      <c r="J110" s="20" t="s">
        <v>338</v>
      </c>
      <c r="K110" s="7" t="s">
        <v>110</v>
      </c>
      <c r="L110" s="61">
        <v>45674</v>
      </c>
      <c r="M110" s="7" t="s">
        <v>111</v>
      </c>
      <c r="N110" s="61">
        <v>45674</v>
      </c>
      <c r="O110" s="58">
        <v>45678</v>
      </c>
      <c r="P110" s="59"/>
      <c r="Q110" s="124" t="e">
        <f>P110*#REF!</f>
        <v>#REF!</v>
      </c>
      <c r="R110" s="126">
        <v>45679</v>
      </c>
      <c r="S110" s="153">
        <f>IF(L110="","",L110-B110)</f>
        <v>2</v>
      </c>
      <c r="T110" s="153">
        <f>IF(N110="","",N110-L110)</f>
        <v>0</v>
      </c>
      <c r="U110" s="153">
        <f>IF(O110="","",O110-N110)</f>
        <v>4</v>
      </c>
      <c r="V110" s="154">
        <f>IF(O110="","",O110-B110)</f>
        <v>6</v>
      </c>
      <c r="W110" s="154">
        <f>IF(O110="","",O110-L110)</f>
        <v>4</v>
      </c>
      <c r="X110" s="154">
        <f>IF(R110="","",R110-B110)</f>
        <v>7</v>
      </c>
    </row>
    <row r="111" spans="2:24" ht="17.25" hidden="1" customHeight="1">
      <c r="B111" s="23">
        <v>45672</v>
      </c>
      <c r="C111" s="7">
        <v>2003581254</v>
      </c>
      <c r="D111" s="20">
        <v>5710797</v>
      </c>
      <c r="E111" s="27" t="s">
        <v>112</v>
      </c>
      <c r="F111" s="7" t="s">
        <v>113</v>
      </c>
      <c r="G111" s="7" t="s">
        <v>70</v>
      </c>
      <c r="H111" s="7" t="s">
        <v>47</v>
      </c>
      <c r="I111" s="20" t="s">
        <v>339</v>
      </c>
      <c r="J111" s="20" t="s">
        <v>340</v>
      </c>
      <c r="K111" s="7" t="s">
        <v>160</v>
      </c>
      <c r="P111" s="59"/>
      <c r="Q111" s="124" t="e">
        <f>P111*#REF!</f>
        <v>#REF!</v>
      </c>
      <c r="R111" s="126">
        <v>45680</v>
      </c>
      <c r="S111" s="153" t="str">
        <f>IF(L111="","",L111-B111)</f>
        <v/>
      </c>
      <c r="T111" s="153" t="str">
        <f>IF(N111="","",N111-L111)</f>
        <v/>
      </c>
      <c r="U111" s="153" t="str">
        <f>IF(O111="","",O111-N111)</f>
        <v/>
      </c>
      <c r="V111" s="154" t="str">
        <f>IF(O111="","",O111-B111)</f>
        <v/>
      </c>
      <c r="W111" s="154" t="str">
        <f>IF(O111="","",O111-L111)</f>
        <v/>
      </c>
      <c r="X111" s="154">
        <f>IF(R111="","",R111-B111)</f>
        <v>8</v>
      </c>
    </row>
    <row r="112" spans="2:24" ht="17.25" hidden="1" customHeight="1">
      <c r="B112" s="23">
        <v>45672</v>
      </c>
      <c r="C112" s="7">
        <v>2003567561</v>
      </c>
      <c r="D112" s="20">
        <v>5711054</v>
      </c>
      <c r="E112" s="27" t="s">
        <v>129</v>
      </c>
      <c r="F112" s="7" t="s">
        <v>107</v>
      </c>
      <c r="G112" s="7" t="s">
        <v>30</v>
      </c>
      <c r="H112" s="7" t="s">
        <v>45</v>
      </c>
      <c r="I112" s="20" t="s">
        <v>341</v>
      </c>
      <c r="J112" s="20" t="s">
        <v>342</v>
      </c>
      <c r="K112" s="7" t="s">
        <v>111</v>
      </c>
      <c r="L112" s="61">
        <v>45673</v>
      </c>
      <c r="M112" s="7" t="s">
        <v>111</v>
      </c>
      <c r="N112" s="24">
        <v>45674</v>
      </c>
      <c r="O112" s="61">
        <v>45681</v>
      </c>
      <c r="P112" s="59"/>
      <c r="Q112" s="124" t="e">
        <f>P112*#REF!</f>
        <v>#REF!</v>
      </c>
      <c r="R112" s="126">
        <v>45681</v>
      </c>
      <c r="S112" s="153">
        <f>IF(L112="","",L112-B112)</f>
        <v>1</v>
      </c>
      <c r="T112" s="153">
        <f>IF(N112="","",N112-L112)</f>
        <v>1</v>
      </c>
      <c r="U112" s="153">
        <f>IF(O112="","",O112-N112)</f>
        <v>7</v>
      </c>
      <c r="V112" s="154">
        <f>IF(O112="","",O112-B112)</f>
        <v>9</v>
      </c>
      <c r="W112" s="154">
        <f>IF(O112="","",O112-L112)</f>
        <v>8</v>
      </c>
      <c r="X112" s="154">
        <f>IF(R112="","",R112-B112)</f>
        <v>9</v>
      </c>
    </row>
    <row r="113" spans="2:24" ht="17.25" hidden="1" customHeight="1">
      <c r="B113" s="23">
        <v>45672</v>
      </c>
      <c r="C113" s="7">
        <v>2003572725</v>
      </c>
      <c r="D113" s="20">
        <v>5711154</v>
      </c>
      <c r="E113" s="27" t="s">
        <v>152</v>
      </c>
      <c r="F113" s="7" t="s">
        <v>107</v>
      </c>
      <c r="G113" s="7" t="s">
        <v>26</v>
      </c>
      <c r="H113" s="7" t="s">
        <v>45</v>
      </c>
      <c r="I113" s="20" t="s">
        <v>343</v>
      </c>
      <c r="J113" s="20" t="s">
        <v>344</v>
      </c>
      <c r="K113" s="7" t="s">
        <v>110</v>
      </c>
      <c r="L113" s="61">
        <v>45674</v>
      </c>
      <c r="M113" s="7" t="s">
        <v>111</v>
      </c>
      <c r="N113" s="61">
        <v>45677</v>
      </c>
      <c r="O113" s="58">
        <v>45677</v>
      </c>
      <c r="P113" s="59"/>
      <c r="Q113" s="124" t="e">
        <f>P113*#REF!</f>
        <v>#REF!</v>
      </c>
      <c r="R113" s="126">
        <v>45677</v>
      </c>
      <c r="S113" s="153">
        <f>IF(L113="","",L113-B113)</f>
        <v>2</v>
      </c>
      <c r="T113" s="153">
        <f>IF(N113="","",N113-L113)</f>
        <v>3</v>
      </c>
      <c r="U113" s="153">
        <f>IF(O113="","",O113-N113)</f>
        <v>0</v>
      </c>
      <c r="V113" s="154">
        <f>IF(O113="","",O113-B113)</f>
        <v>5</v>
      </c>
      <c r="W113" s="154">
        <f>IF(O113="","",O113-L113)</f>
        <v>3</v>
      </c>
      <c r="X113" s="154">
        <f>IF(R113="","",R113-B113)</f>
        <v>5</v>
      </c>
    </row>
    <row r="114" spans="2:24" ht="17.25" hidden="1" customHeight="1">
      <c r="B114" s="23">
        <v>45672</v>
      </c>
      <c r="C114" s="7">
        <v>2003580735</v>
      </c>
      <c r="D114" s="20">
        <v>5711217</v>
      </c>
      <c r="E114" s="27" t="s">
        <v>191</v>
      </c>
      <c r="F114" s="7" t="s">
        <v>107</v>
      </c>
      <c r="G114" s="7" t="s">
        <v>10</v>
      </c>
      <c r="H114" s="7" t="s">
        <v>45</v>
      </c>
      <c r="I114" s="20" t="s">
        <v>345</v>
      </c>
      <c r="J114" s="20" t="s">
        <v>346</v>
      </c>
      <c r="K114" s="7" t="s">
        <v>110</v>
      </c>
      <c r="L114" s="61">
        <v>45674</v>
      </c>
      <c r="M114" s="7" t="s">
        <v>111</v>
      </c>
      <c r="N114" s="61">
        <v>45674</v>
      </c>
      <c r="O114" s="61">
        <v>45679</v>
      </c>
      <c r="P114" s="59"/>
      <c r="Q114" s="124" t="e">
        <f>P114*#REF!</f>
        <v>#REF!</v>
      </c>
      <c r="R114" s="126">
        <v>45679</v>
      </c>
      <c r="S114" s="153">
        <f>IF(L114="","",L114-B114)</f>
        <v>2</v>
      </c>
      <c r="T114" s="153">
        <f>IF(N114="","",N114-L114)</f>
        <v>0</v>
      </c>
      <c r="U114" s="153">
        <f>IF(O114="","",O114-N114)</f>
        <v>5</v>
      </c>
      <c r="V114" s="154">
        <f>IF(O114="","",O114-B114)</f>
        <v>7</v>
      </c>
      <c r="W114" s="154">
        <f>IF(O114="","",O114-L114)</f>
        <v>5</v>
      </c>
      <c r="X114" s="154">
        <f>IF(R114="","",R114-B114)</f>
        <v>7</v>
      </c>
    </row>
    <row r="115" spans="2:24" ht="17.25" hidden="1" customHeight="1">
      <c r="B115" s="23">
        <v>45672</v>
      </c>
      <c r="C115" s="7">
        <v>2003566690</v>
      </c>
      <c r="D115" s="20">
        <v>5711223</v>
      </c>
      <c r="E115" s="27" t="s">
        <v>116</v>
      </c>
      <c r="F115" s="7" t="s">
        <v>107</v>
      </c>
      <c r="G115" s="7" t="s">
        <v>18</v>
      </c>
      <c r="H115" s="7" t="s">
        <v>45</v>
      </c>
      <c r="I115" s="20" t="s">
        <v>347</v>
      </c>
      <c r="J115" s="20" t="s">
        <v>348</v>
      </c>
      <c r="K115" s="7" t="s">
        <v>110</v>
      </c>
      <c r="L115" s="61">
        <v>45673</v>
      </c>
      <c r="M115" s="7" t="s">
        <v>111</v>
      </c>
      <c r="N115" s="24">
        <v>45674</v>
      </c>
      <c r="O115" s="58">
        <v>45678</v>
      </c>
      <c r="P115" s="59"/>
      <c r="Q115" s="124" t="e">
        <f>P115*#REF!</f>
        <v>#REF!</v>
      </c>
      <c r="R115" s="126">
        <v>45679</v>
      </c>
      <c r="S115" s="153">
        <f>IF(L115="","",L115-B115)</f>
        <v>1</v>
      </c>
      <c r="T115" s="153">
        <f>IF(N115="","",N115-L115)</f>
        <v>1</v>
      </c>
      <c r="U115" s="153">
        <f>IF(O115="","",O115-N115)</f>
        <v>4</v>
      </c>
      <c r="V115" s="154">
        <f>IF(O115="","",O115-B115)</f>
        <v>6</v>
      </c>
      <c r="W115" s="154">
        <f>IF(O115="","",O115-L115)</f>
        <v>5</v>
      </c>
      <c r="X115" s="154">
        <f>IF(R115="","",R115-B115)</f>
        <v>7</v>
      </c>
    </row>
    <row r="116" spans="2:24" ht="17.25" hidden="1" customHeight="1">
      <c r="B116" s="23">
        <v>45672</v>
      </c>
      <c r="C116" s="7">
        <v>2003575373</v>
      </c>
      <c r="D116" s="20">
        <v>5711235</v>
      </c>
      <c r="E116" s="27" t="s">
        <v>129</v>
      </c>
      <c r="F116" s="7" t="s">
        <v>107</v>
      </c>
      <c r="G116" s="7" t="s">
        <v>10</v>
      </c>
      <c r="H116" s="7" t="s">
        <v>45</v>
      </c>
      <c r="I116" s="20" t="s">
        <v>155</v>
      </c>
      <c r="J116" s="20" t="s">
        <v>156</v>
      </c>
      <c r="K116" s="7" t="s">
        <v>110</v>
      </c>
      <c r="L116" s="61">
        <v>45673</v>
      </c>
      <c r="M116" s="7" t="s">
        <v>111</v>
      </c>
      <c r="N116" s="24">
        <v>45674</v>
      </c>
      <c r="O116" s="24">
        <v>45674</v>
      </c>
      <c r="P116" s="59"/>
      <c r="Q116" s="124" t="e">
        <f>P116*#REF!</f>
        <v>#REF!</v>
      </c>
      <c r="R116" s="126">
        <v>45674</v>
      </c>
      <c r="S116" s="153">
        <f>IF(L116="","",L116-B116)</f>
        <v>1</v>
      </c>
      <c r="T116" s="153">
        <f>IF(N116="","",N116-L116)</f>
        <v>1</v>
      </c>
      <c r="U116" s="153">
        <f>IF(O116="","",O116-N116)</f>
        <v>0</v>
      </c>
      <c r="V116" s="154">
        <f>IF(O116="","",O116-B116)</f>
        <v>2</v>
      </c>
      <c r="W116" s="154">
        <f>IF(O116="","",O116-L116)</f>
        <v>1</v>
      </c>
      <c r="X116" s="154">
        <f>IF(R116="","",R116-B116)</f>
        <v>2</v>
      </c>
    </row>
    <row r="117" spans="2:24" ht="17.25" hidden="1" customHeight="1">
      <c r="B117" s="23">
        <v>45672</v>
      </c>
      <c r="C117" s="7">
        <v>2003533457</v>
      </c>
      <c r="D117" s="20">
        <v>5711385</v>
      </c>
      <c r="E117" s="27" t="s">
        <v>191</v>
      </c>
      <c r="F117" s="7" t="s">
        <v>107</v>
      </c>
      <c r="G117" s="7" t="s">
        <v>21</v>
      </c>
      <c r="H117" s="7" t="s">
        <v>45</v>
      </c>
      <c r="I117" s="20" t="s">
        <v>349</v>
      </c>
      <c r="J117" s="20" t="s">
        <v>350</v>
      </c>
      <c r="K117" s="7" t="s">
        <v>110</v>
      </c>
      <c r="L117" s="61">
        <v>45673</v>
      </c>
      <c r="M117" s="7" t="s">
        <v>111</v>
      </c>
      <c r="N117" s="24">
        <v>45674</v>
      </c>
      <c r="O117" s="24">
        <v>45674</v>
      </c>
      <c r="P117" s="59"/>
      <c r="Q117" s="124" t="e">
        <f>P117*#REF!</f>
        <v>#REF!</v>
      </c>
      <c r="R117" s="126">
        <v>45674</v>
      </c>
      <c r="S117" s="153">
        <f>IF(L117="","",L117-B117)</f>
        <v>1</v>
      </c>
      <c r="T117" s="153">
        <f>IF(N117="","",N117-L117)</f>
        <v>1</v>
      </c>
      <c r="U117" s="153">
        <f>IF(O117="","",O117-N117)</f>
        <v>0</v>
      </c>
      <c r="V117" s="154">
        <f>IF(O117="","",O117-B117)</f>
        <v>2</v>
      </c>
      <c r="W117" s="154">
        <f>IF(O117="","",O117-L117)</f>
        <v>1</v>
      </c>
      <c r="X117" s="154">
        <f>IF(R117="","",R117-B117)</f>
        <v>2</v>
      </c>
    </row>
    <row r="118" spans="2:24" ht="17.25" hidden="1" customHeight="1">
      <c r="B118" s="23">
        <v>45672</v>
      </c>
      <c r="C118" s="7">
        <v>2003568491</v>
      </c>
      <c r="D118" s="20">
        <v>5711605</v>
      </c>
      <c r="E118" s="27" t="s">
        <v>135</v>
      </c>
      <c r="F118" s="7" t="s">
        <v>107</v>
      </c>
      <c r="G118" s="7" t="s">
        <v>15</v>
      </c>
      <c r="H118" s="7" t="s">
        <v>45</v>
      </c>
      <c r="I118" s="20" t="s">
        <v>351</v>
      </c>
      <c r="J118" s="20" t="s">
        <v>195</v>
      </c>
      <c r="K118" s="7" t="s">
        <v>110</v>
      </c>
      <c r="L118" s="61">
        <v>45673</v>
      </c>
      <c r="M118" s="7" t="s">
        <v>111</v>
      </c>
      <c r="N118" s="24">
        <v>45674</v>
      </c>
      <c r="O118" s="24">
        <v>45674</v>
      </c>
      <c r="P118" s="59"/>
      <c r="Q118" s="124" t="e">
        <f>P118*#REF!</f>
        <v>#REF!</v>
      </c>
      <c r="R118" s="126">
        <v>45674</v>
      </c>
      <c r="S118" s="153">
        <f>IF(L118="","",L118-B118)</f>
        <v>1</v>
      </c>
      <c r="T118" s="153">
        <f>IF(N118="","",N118-L118)</f>
        <v>1</v>
      </c>
      <c r="U118" s="153">
        <f>IF(O118="","",O118-N118)</f>
        <v>0</v>
      </c>
      <c r="V118" s="154">
        <f>IF(O118="","",O118-B118)</f>
        <v>2</v>
      </c>
      <c r="W118" s="154">
        <f>IF(O118="","",O118-L118)</f>
        <v>1</v>
      </c>
      <c r="X118" s="154">
        <f>IF(R118="","",R118-B118)</f>
        <v>2</v>
      </c>
    </row>
    <row r="119" spans="2:24" ht="17.25" hidden="1" customHeight="1">
      <c r="B119" s="23">
        <v>45672</v>
      </c>
      <c r="C119" s="7">
        <v>2003583620</v>
      </c>
      <c r="D119" s="20">
        <v>5711657</v>
      </c>
      <c r="E119" s="27" t="s">
        <v>106</v>
      </c>
      <c r="F119" s="7" t="s">
        <v>107</v>
      </c>
      <c r="G119" s="7" t="s">
        <v>18</v>
      </c>
      <c r="H119" s="7" t="s">
        <v>45</v>
      </c>
      <c r="I119" s="20" t="s">
        <v>352</v>
      </c>
      <c r="J119" s="20" t="s">
        <v>353</v>
      </c>
      <c r="K119" s="7" t="s">
        <v>110</v>
      </c>
      <c r="L119" s="61">
        <v>45674</v>
      </c>
      <c r="M119" s="7" t="s">
        <v>111</v>
      </c>
      <c r="N119" s="24">
        <v>45680</v>
      </c>
      <c r="O119" s="24">
        <v>45680</v>
      </c>
      <c r="P119" s="59"/>
      <c r="Q119" s="124" t="e">
        <f>P119*#REF!</f>
        <v>#REF!</v>
      </c>
      <c r="R119" s="126">
        <v>45680</v>
      </c>
      <c r="S119" s="153">
        <f>IF(L119="","",L119-B119)</f>
        <v>2</v>
      </c>
      <c r="T119" s="153">
        <f>IF(N119="","",N119-L119)</f>
        <v>6</v>
      </c>
      <c r="U119" s="153">
        <f>IF(O119="","",O119-N119)</f>
        <v>0</v>
      </c>
      <c r="V119" s="154">
        <f>IF(O119="","",O119-B119)</f>
        <v>8</v>
      </c>
      <c r="W119" s="154">
        <f>IF(O119="","",O119-L119)</f>
        <v>6</v>
      </c>
      <c r="X119" s="154">
        <f>IF(R119="","",R119-B119)</f>
        <v>8</v>
      </c>
    </row>
    <row r="120" spans="2:24" ht="17.25" hidden="1" customHeight="1">
      <c r="B120" s="23">
        <v>45672</v>
      </c>
      <c r="C120" s="7">
        <v>2003570948</v>
      </c>
      <c r="D120" s="20">
        <v>5711694</v>
      </c>
      <c r="E120" s="27" t="s">
        <v>126</v>
      </c>
      <c r="F120" s="7" t="s">
        <v>107</v>
      </c>
      <c r="G120" s="7" t="s">
        <v>10</v>
      </c>
      <c r="H120" s="7" t="s">
        <v>45</v>
      </c>
      <c r="I120" s="20" t="s">
        <v>354</v>
      </c>
      <c r="J120" s="20" t="s">
        <v>355</v>
      </c>
      <c r="K120" s="7" t="s">
        <v>119</v>
      </c>
      <c r="L120" s="61">
        <v>45678</v>
      </c>
      <c r="M120" s="7" t="s">
        <v>111</v>
      </c>
      <c r="N120" s="61">
        <v>45679</v>
      </c>
      <c r="O120" s="24">
        <v>45680</v>
      </c>
      <c r="P120" s="59"/>
      <c r="Q120" s="124" t="e">
        <f>P120*#REF!</f>
        <v>#REF!</v>
      </c>
      <c r="R120" s="126">
        <v>45681</v>
      </c>
      <c r="S120" s="153">
        <f>IF(L120="","",L120-B120)</f>
        <v>6</v>
      </c>
      <c r="T120" s="153">
        <f>IF(N120="","",N120-L120)</f>
        <v>1</v>
      </c>
      <c r="U120" s="153">
        <f>IF(O120="","",O120-N120)</f>
        <v>1</v>
      </c>
      <c r="V120" s="154">
        <f>IF(O120="","",O120-B120)</f>
        <v>8</v>
      </c>
      <c r="W120" s="154">
        <f>IF(O120="","",O120-L120)</f>
        <v>2</v>
      </c>
      <c r="X120" s="154">
        <f>IF(R120="","",R120-B120)</f>
        <v>9</v>
      </c>
    </row>
    <row r="121" spans="2:24" ht="17.25" hidden="1" customHeight="1">
      <c r="B121" s="23">
        <v>45674</v>
      </c>
      <c r="C121" s="7">
        <v>2003553877</v>
      </c>
      <c r="D121" s="20">
        <v>84564</v>
      </c>
      <c r="E121" s="27" t="s">
        <v>123</v>
      </c>
      <c r="F121" s="7" t="s">
        <v>107</v>
      </c>
      <c r="G121" s="7" t="s">
        <v>26</v>
      </c>
      <c r="H121" s="7" t="s">
        <v>42</v>
      </c>
      <c r="I121" s="20" t="s">
        <v>335</v>
      </c>
      <c r="J121" s="20" t="s">
        <v>356</v>
      </c>
      <c r="K121" s="7" t="s">
        <v>122</v>
      </c>
      <c r="L121" s="61">
        <v>45677</v>
      </c>
      <c r="M121" s="7" t="s">
        <v>111</v>
      </c>
      <c r="N121" s="24">
        <v>45677</v>
      </c>
      <c r="O121" s="23">
        <v>45677</v>
      </c>
      <c r="P121" s="59"/>
      <c r="Q121" s="124" t="e">
        <f>P121*#REF!</f>
        <v>#REF!</v>
      </c>
      <c r="R121" s="126">
        <v>45677</v>
      </c>
      <c r="S121" s="153">
        <f>IF(L121="","",L121-B121)</f>
        <v>3</v>
      </c>
      <c r="T121" s="153">
        <f>IF(N121="","",N121-L121)</f>
        <v>0</v>
      </c>
      <c r="U121" s="153">
        <f>IF(O121="","",O121-N121)</f>
        <v>0</v>
      </c>
      <c r="V121" s="154">
        <f>IF(O121="","",O121-B121)</f>
        <v>3</v>
      </c>
      <c r="W121" s="154">
        <f>IF(O121="","",O121-L121)</f>
        <v>0</v>
      </c>
      <c r="X121" s="154">
        <f>IF(R121="","",R121-B121)</f>
        <v>3</v>
      </c>
    </row>
    <row r="122" spans="2:24" ht="17.25" hidden="1" customHeight="1">
      <c r="B122" s="23">
        <v>45672</v>
      </c>
      <c r="C122" s="7">
        <v>2003578846</v>
      </c>
      <c r="D122" s="20">
        <v>5711788</v>
      </c>
      <c r="E122" s="27" t="s">
        <v>123</v>
      </c>
      <c r="F122" s="7" t="s">
        <v>107</v>
      </c>
      <c r="G122" s="7" t="s">
        <v>10</v>
      </c>
      <c r="H122" s="7" t="s">
        <v>45</v>
      </c>
      <c r="I122" s="20" t="s">
        <v>164</v>
      </c>
      <c r="J122" s="20" t="s">
        <v>357</v>
      </c>
      <c r="K122" s="7" t="s">
        <v>110</v>
      </c>
      <c r="L122" s="61">
        <v>45674</v>
      </c>
      <c r="M122" s="7" t="s">
        <v>111</v>
      </c>
      <c r="N122" s="61">
        <v>45674</v>
      </c>
      <c r="O122" s="61">
        <v>45674</v>
      </c>
      <c r="P122" s="59"/>
      <c r="Q122" s="124" t="e">
        <f>P122*#REF!</f>
        <v>#REF!</v>
      </c>
      <c r="R122" s="126">
        <v>45677</v>
      </c>
      <c r="S122" s="153">
        <f>IF(L122="","",L122-B122)</f>
        <v>2</v>
      </c>
      <c r="T122" s="153">
        <f>IF(N122="","",N122-L122)</f>
        <v>0</v>
      </c>
      <c r="U122" s="153">
        <f>IF(O122="","",O122-N122)</f>
        <v>0</v>
      </c>
      <c r="V122" s="154">
        <f>IF(O122="","",O122-B122)</f>
        <v>2</v>
      </c>
      <c r="W122" s="154">
        <f>IF(O122="","",O122-L122)</f>
        <v>0</v>
      </c>
      <c r="X122" s="154">
        <f>IF(R122="","",R122-B122)</f>
        <v>5</v>
      </c>
    </row>
    <row r="123" spans="2:24" ht="17.25" hidden="1" customHeight="1">
      <c r="B123" s="23">
        <v>45673</v>
      </c>
      <c r="C123" s="7">
        <v>2003565456</v>
      </c>
      <c r="D123" s="20">
        <v>83954</v>
      </c>
      <c r="E123" s="27" t="s">
        <v>129</v>
      </c>
      <c r="F123" s="7" t="s">
        <v>107</v>
      </c>
      <c r="G123" s="7" t="s">
        <v>30</v>
      </c>
      <c r="H123" s="7" t="s">
        <v>45</v>
      </c>
      <c r="I123" s="20" t="s">
        <v>358</v>
      </c>
      <c r="J123" s="20" t="s">
        <v>359</v>
      </c>
      <c r="K123" s="7" t="s">
        <v>111</v>
      </c>
      <c r="L123" s="61">
        <v>45673</v>
      </c>
      <c r="M123" s="7" t="s">
        <v>111</v>
      </c>
      <c r="N123" s="24">
        <v>45674</v>
      </c>
      <c r="O123" s="58">
        <v>45685</v>
      </c>
      <c r="P123" s="59"/>
      <c r="Q123" s="124" t="e">
        <f>P123*#REF!</f>
        <v>#REF!</v>
      </c>
      <c r="R123" s="126">
        <v>45686</v>
      </c>
      <c r="S123" s="153">
        <f>IF(L123="","",L123-B123)</f>
        <v>0</v>
      </c>
      <c r="T123" s="153">
        <f>IF(N123="","",N123-L123)</f>
        <v>1</v>
      </c>
      <c r="U123" s="153">
        <f>IF(O123="","",O123-N123)</f>
        <v>11</v>
      </c>
      <c r="V123" s="154">
        <f>IF(O123="","",O123-B123)</f>
        <v>12</v>
      </c>
      <c r="W123" s="154">
        <f>IF(O123="","",O123-L123)</f>
        <v>12</v>
      </c>
      <c r="X123" s="154">
        <f>IF(R123="","",R123-B123)</f>
        <v>13</v>
      </c>
    </row>
    <row r="124" spans="2:24" ht="17.25" hidden="1" customHeight="1">
      <c r="B124" s="23">
        <v>45673</v>
      </c>
      <c r="C124" s="7">
        <v>2003583594</v>
      </c>
      <c r="D124" s="20">
        <v>5711867</v>
      </c>
      <c r="E124" s="27" t="s">
        <v>185</v>
      </c>
      <c r="F124" s="7" t="s">
        <v>107</v>
      </c>
      <c r="G124" s="7" t="s">
        <v>18</v>
      </c>
      <c r="H124" s="7" t="s">
        <v>45</v>
      </c>
      <c r="I124" s="20" t="s">
        <v>354</v>
      </c>
      <c r="J124" s="20" t="s">
        <v>360</v>
      </c>
      <c r="K124" s="7" t="s">
        <v>119</v>
      </c>
      <c r="L124" s="61">
        <v>45677</v>
      </c>
      <c r="M124" s="7" t="s">
        <v>111</v>
      </c>
      <c r="N124" s="61">
        <v>45677</v>
      </c>
      <c r="O124" s="61">
        <v>45677</v>
      </c>
      <c r="P124" s="59"/>
      <c r="Q124" s="124" t="e">
        <f>P124*#REF!</f>
        <v>#REF!</v>
      </c>
      <c r="R124" s="126">
        <v>45677</v>
      </c>
      <c r="S124" s="153">
        <f>IF(L124="","",L124-B124)</f>
        <v>4</v>
      </c>
      <c r="T124" s="153">
        <f>IF(N124="","",N124-L124)</f>
        <v>0</v>
      </c>
      <c r="U124" s="153">
        <f>IF(O124="","",O124-N124)</f>
        <v>0</v>
      </c>
      <c r="V124" s="154">
        <f>IF(O124="","",O124-B124)</f>
        <v>4</v>
      </c>
      <c r="W124" s="154">
        <f>IF(O124="","",O124-L124)</f>
        <v>0</v>
      </c>
      <c r="X124" s="154">
        <f>IF(R124="","",R124-B124)</f>
        <v>4</v>
      </c>
    </row>
    <row r="125" spans="2:24" ht="17.25" hidden="1" customHeight="1">
      <c r="B125" s="23">
        <v>45673</v>
      </c>
      <c r="C125" s="7">
        <v>2003317328</v>
      </c>
      <c r="D125" s="20">
        <v>5712156</v>
      </c>
      <c r="E125" s="27" t="s">
        <v>198</v>
      </c>
      <c r="F125" s="7" t="s">
        <v>107</v>
      </c>
      <c r="G125" s="7" t="s">
        <v>10</v>
      </c>
      <c r="H125" s="7" t="s">
        <v>45</v>
      </c>
      <c r="I125" s="20" t="s">
        <v>361</v>
      </c>
      <c r="J125" s="20" t="s">
        <v>362</v>
      </c>
      <c r="K125" s="7" t="s">
        <v>110</v>
      </c>
      <c r="L125" s="61">
        <v>45674</v>
      </c>
      <c r="M125" s="7" t="s">
        <v>111</v>
      </c>
      <c r="N125" s="61">
        <v>45674</v>
      </c>
      <c r="O125" s="58">
        <v>45678</v>
      </c>
      <c r="P125" s="59"/>
      <c r="Q125" s="124" t="e">
        <f>P125*#REF!</f>
        <v>#REF!</v>
      </c>
      <c r="R125" s="126">
        <v>45679</v>
      </c>
      <c r="S125" s="153">
        <f>IF(L125="","",L125-B125)</f>
        <v>1</v>
      </c>
      <c r="T125" s="153">
        <f>IF(N125="","",N125-L125)</f>
        <v>0</v>
      </c>
      <c r="U125" s="153">
        <f>IF(O125="","",O125-N125)</f>
        <v>4</v>
      </c>
      <c r="V125" s="154">
        <f>IF(O125="","",O125-B125)</f>
        <v>5</v>
      </c>
      <c r="W125" s="154">
        <f>IF(O125="","",O125-L125)</f>
        <v>4</v>
      </c>
      <c r="X125" s="154">
        <f>IF(R125="","",R125-B125)</f>
        <v>6</v>
      </c>
    </row>
    <row r="126" spans="2:24" ht="17.25" hidden="1" customHeight="1">
      <c r="B126" s="23">
        <v>45673</v>
      </c>
      <c r="C126" s="7">
        <v>2003584419</v>
      </c>
      <c r="D126" s="20">
        <v>5712524</v>
      </c>
      <c r="E126" s="27" t="s">
        <v>143</v>
      </c>
      <c r="F126" s="7" t="s">
        <v>113</v>
      </c>
      <c r="G126" s="7" t="s">
        <v>70</v>
      </c>
      <c r="H126" s="7" t="s">
        <v>47</v>
      </c>
      <c r="I126" s="20" t="s">
        <v>363</v>
      </c>
      <c r="J126" s="20" t="s">
        <v>364</v>
      </c>
      <c r="K126" s="7" t="s">
        <v>160</v>
      </c>
      <c r="P126" s="59"/>
      <c r="Q126" s="124" t="e">
        <f>P126*#REF!</f>
        <v>#REF!</v>
      </c>
      <c r="R126" s="126">
        <v>45680</v>
      </c>
      <c r="S126" s="153" t="str">
        <f>IF(L126="","",L126-B126)</f>
        <v/>
      </c>
      <c r="T126" s="153" t="str">
        <f>IF(N126="","",N126-L126)</f>
        <v/>
      </c>
      <c r="U126" s="153" t="str">
        <f>IF(O126="","",O126-N126)</f>
        <v/>
      </c>
      <c r="V126" s="154" t="str">
        <f>IF(O126="","",O126-B126)</f>
        <v/>
      </c>
      <c r="W126" s="154" t="str">
        <f>IF(O126="","",O126-L126)</f>
        <v/>
      </c>
      <c r="X126" s="154">
        <f>IF(R126="","",R126-B126)</f>
        <v>7</v>
      </c>
    </row>
    <row r="127" spans="2:24" ht="17.25" hidden="1" customHeight="1">
      <c r="B127" s="23">
        <v>45673</v>
      </c>
      <c r="C127" s="7">
        <v>2003528624</v>
      </c>
      <c r="D127" s="20">
        <v>5712622</v>
      </c>
      <c r="E127" s="27" t="s">
        <v>112</v>
      </c>
      <c r="F127" s="7" t="s">
        <v>107</v>
      </c>
      <c r="G127" s="7" t="s">
        <v>15</v>
      </c>
      <c r="H127" s="7" t="s">
        <v>45</v>
      </c>
      <c r="I127" s="20" t="s">
        <v>337</v>
      </c>
      <c r="J127" s="20" t="s">
        <v>365</v>
      </c>
      <c r="K127" s="7" t="s">
        <v>122</v>
      </c>
      <c r="L127" s="61">
        <v>45673</v>
      </c>
      <c r="M127" s="7" t="s">
        <v>111</v>
      </c>
      <c r="N127" s="24">
        <v>45673</v>
      </c>
      <c r="O127" s="58">
        <v>45673</v>
      </c>
      <c r="P127" s="59"/>
      <c r="Q127" s="124" t="e">
        <f>P127*#REF!</f>
        <v>#REF!</v>
      </c>
      <c r="R127" s="126">
        <v>45674</v>
      </c>
      <c r="S127" s="153">
        <f>IF(L127="","",L127-B127)</f>
        <v>0</v>
      </c>
      <c r="T127" s="153">
        <f>IF(N127="","",N127-L127)</f>
        <v>0</v>
      </c>
      <c r="U127" s="153">
        <f>IF(O127="","",O127-N127)</f>
        <v>0</v>
      </c>
      <c r="V127" s="154">
        <f>IF(O127="","",O127-B127)</f>
        <v>0</v>
      </c>
      <c r="W127" s="154">
        <f>IF(O127="","",O127-L127)</f>
        <v>0</v>
      </c>
      <c r="X127" s="154">
        <f>IF(R127="","",R127-B127)</f>
        <v>1</v>
      </c>
    </row>
    <row r="128" spans="2:24" ht="17.25" hidden="1" customHeight="1">
      <c r="B128" s="23">
        <v>45673</v>
      </c>
      <c r="C128" s="7">
        <v>2003583565</v>
      </c>
      <c r="D128" s="20">
        <v>5712677</v>
      </c>
      <c r="E128" s="27" t="s">
        <v>366</v>
      </c>
      <c r="F128" s="7" t="s">
        <v>107</v>
      </c>
      <c r="G128" s="7" t="s">
        <v>15</v>
      </c>
      <c r="H128" s="7" t="s">
        <v>45</v>
      </c>
      <c r="I128" s="20" t="s">
        <v>367</v>
      </c>
      <c r="J128" s="20" t="s">
        <v>368</v>
      </c>
      <c r="K128" s="7" t="s">
        <v>122</v>
      </c>
      <c r="L128" s="61">
        <v>45679</v>
      </c>
      <c r="M128" s="7" t="s">
        <v>111</v>
      </c>
      <c r="N128" s="24">
        <v>45680</v>
      </c>
      <c r="O128" s="24">
        <v>45680</v>
      </c>
      <c r="P128" s="59">
        <v>81.400000000000006</v>
      </c>
      <c r="Q128" s="124" t="e">
        <f>P128*#REF!</f>
        <v>#REF!</v>
      </c>
      <c r="R128" s="126">
        <v>45680</v>
      </c>
      <c r="S128" s="153">
        <f>IF(L128="","",L128-B128)</f>
        <v>6</v>
      </c>
      <c r="T128" s="153">
        <f>IF(N128="","",N128-L128)</f>
        <v>1</v>
      </c>
      <c r="U128" s="153">
        <f>IF(O128="","",O128-N128)</f>
        <v>0</v>
      </c>
      <c r="V128" s="154">
        <f>IF(O128="","",O128-B128)</f>
        <v>7</v>
      </c>
      <c r="W128" s="154">
        <f>IF(O128="","",O128-L128)</f>
        <v>1</v>
      </c>
      <c r="X128" s="154">
        <f>IF(R128="","",R128-B128)</f>
        <v>7</v>
      </c>
    </row>
    <row r="129" spans="2:24" ht="17.25" hidden="1" customHeight="1">
      <c r="B129" s="23">
        <v>45673</v>
      </c>
      <c r="C129" s="7">
        <v>2003566577</v>
      </c>
      <c r="D129" s="20">
        <v>5713037</v>
      </c>
      <c r="E129" s="27" t="s">
        <v>198</v>
      </c>
      <c r="F129" s="7" t="s">
        <v>107</v>
      </c>
      <c r="G129" s="7" t="s">
        <v>10</v>
      </c>
      <c r="H129" s="7" t="s">
        <v>45</v>
      </c>
      <c r="I129" s="191" t="s">
        <v>369</v>
      </c>
      <c r="J129" s="20" t="s">
        <v>370</v>
      </c>
      <c r="K129" s="7" t="s">
        <v>119</v>
      </c>
      <c r="L129" s="61">
        <v>45686</v>
      </c>
      <c r="M129" s="7" t="s">
        <v>111</v>
      </c>
      <c r="N129" s="24">
        <v>45688</v>
      </c>
      <c r="O129" s="24">
        <v>45688</v>
      </c>
      <c r="P129" s="59"/>
      <c r="Q129" s="124" t="e">
        <f>P129*#REF!</f>
        <v>#REF!</v>
      </c>
      <c r="R129" s="126">
        <v>45688</v>
      </c>
      <c r="S129" s="153">
        <f>IF(L129="","",L129-B129)</f>
        <v>13</v>
      </c>
      <c r="T129" s="153">
        <f>IF(N129="","",N129-L129)</f>
        <v>2</v>
      </c>
      <c r="U129" s="153">
        <f>IF(O129="","",O129-N129)</f>
        <v>0</v>
      </c>
      <c r="V129" s="154">
        <f>IF(O129="","",O129-B129)</f>
        <v>15</v>
      </c>
      <c r="W129" s="154">
        <f>IF(O129="","",O129-L129)</f>
        <v>2</v>
      </c>
      <c r="X129" s="154">
        <f>IF(R129="","",R129-B129)</f>
        <v>15</v>
      </c>
    </row>
    <row r="130" spans="2:24" ht="17.25" hidden="1" customHeight="1">
      <c r="B130" s="23">
        <v>45673</v>
      </c>
      <c r="C130" s="7">
        <v>2003567955</v>
      </c>
      <c r="D130" s="20">
        <v>5713058</v>
      </c>
      <c r="E130" s="27" t="s">
        <v>163</v>
      </c>
      <c r="F130" s="7" t="s">
        <v>107</v>
      </c>
      <c r="G130" s="7" t="s">
        <v>18</v>
      </c>
      <c r="H130" s="7" t="s">
        <v>45</v>
      </c>
      <c r="I130" s="20" t="s">
        <v>371</v>
      </c>
      <c r="J130" s="20" t="s">
        <v>372</v>
      </c>
      <c r="K130" s="7" t="s">
        <v>110</v>
      </c>
      <c r="L130" s="61">
        <v>45679</v>
      </c>
      <c r="M130" s="7" t="s">
        <v>111</v>
      </c>
      <c r="N130" s="24">
        <v>45680</v>
      </c>
      <c r="O130" s="24">
        <v>45680</v>
      </c>
      <c r="P130" s="59">
        <v>237</v>
      </c>
      <c r="Q130" s="124" t="e">
        <f>P130*#REF!</f>
        <v>#REF!</v>
      </c>
      <c r="R130" s="126">
        <v>45680</v>
      </c>
      <c r="S130" s="153">
        <f>IF(L130="","",L130-B130)</f>
        <v>6</v>
      </c>
      <c r="T130" s="153">
        <f>IF(N130="","",N130-L130)</f>
        <v>1</v>
      </c>
      <c r="U130" s="153">
        <f>IF(O130="","",O130-N130)</f>
        <v>0</v>
      </c>
      <c r="V130" s="154">
        <f>IF(O130="","",O130-B130)</f>
        <v>7</v>
      </c>
      <c r="W130" s="154">
        <f>IF(O130="","",O130-L130)</f>
        <v>1</v>
      </c>
      <c r="X130" s="154">
        <f>IF(R130="","",R130-B130)</f>
        <v>7</v>
      </c>
    </row>
    <row r="131" spans="2:24" ht="17.25" hidden="1" customHeight="1">
      <c r="B131" s="23">
        <v>45673</v>
      </c>
      <c r="C131" s="7">
        <v>2003565289</v>
      </c>
      <c r="D131" s="20">
        <v>83495</v>
      </c>
      <c r="E131" s="27" t="s">
        <v>132</v>
      </c>
      <c r="F131" s="7" t="s">
        <v>107</v>
      </c>
      <c r="G131" s="7" t="s">
        <v>10</v>
      </c>
      <c r="H131" s="7" t="s">
        <v>45</v>
      </c>
      <c r="I131" s="20" t="s">
        <v>196</v>
      </c>
      <c r="J131" s="20" t="s">
        <v>373</v>
      </c>
      <c r="K131" s="7" t="s">
        <v>110</v>
      </c>
      <c r="L131" s="61">
        <v>45679</v>
      </c>
      <c r="M131" s="7" t="s">
        <v>111</v>
      </c>
      <c r="N131" s="61">
        <v>45679</v>
      </c>
      <c r="O131" s="24">
        <v>45680</v>
      </c>
      <c r="P131" s="59"/>
      <c r="Q131" s="124" t="e">
        <f>P131*#REF!</f>
        <v>#REF!</v>
      </c>
      <c r="R131" s="126">
        <v>45680</v>
      </c>
      <c r="S131" s="153">
        <f>IF(L131="","",L131-B131)</f>
        <v>6</v>
      </c>
      <c r="T131" s="153">
        <f>IF(N131="","",N131-L131)</f>
        <v>0</v>
      </c>
      <c r="U131" s="153">
        <f>IF(O131="","",O131-N131)</f>
        <v>1</v>
      </c>
      <c r="V131" s="154">
        <f>IF(O131="","",O131-B131)</f>
        <v>7</v>
      </c>
      <c r="W131" s="154">
        <f>IF(O131="","",O131-L131)</f>
        <v>1</v>
      </c>
      <c r="X131" s="154">
        <f>IF(R131="","",R131-B131)</f>
        <v>7</v>
      </c>
    </row>
    <row r="132" spans="2:24" ht="17.25" hidden="1" customHeight="1">
      <c r="B132" s="23">
        <v>45674</v>
      </c>
      <c r="C132" s="7">
        <v>2003562491</v>
      </c>
      <c r="D132" s="20">
        <v>5713449</v>
      </c>
      <c r="E132" s="27" t="s">
        <v>180</v>
      </c>
      <c r="F132" s="7" t="s">
        <v>113</v>
      </c>
      <c r="G132" s="7" t="s">
        <v>70</v>
      </c>
      <c r="H132" s="7" t="s">
        <v>47</v>
      </c>
      <c r="I132" s="20" t="s">
        <v>374</v>
      </c>
      <c r="J132" s="20" t="s">
        <v>375</v>
      </c>
      <c r="K132" s="7" t="s">
        <v>160</v>
      </c>
      <c r="P132" s="59"/>
      <c r="Q132" s="124" t="e">
        <f>P132*#REF!</f>
        <v>#REF!</v>
      </c>
      <c r="R132" s="126">
        <v>45684</v>
      </c>
      <c r="S132" s="153" t="str">
        <f>IF(L132="","",L132-B132)</f>
        <v/>
      </c>
      <c r="T132" s="153" t="str">
        <f>IF(N132="","",N132-L132)</f>
        <v/>
      </c>
      <c r="U132" s="153" t="str">
        <f>IF(O132="","",O132-N132)</f>
        <v/>
      </c>
      <c r="V132" s="154" t="str">
        <f>IF(O132="","",O132-B132)</f>
        <v/>
      </c>
      <c r="W132" s="154" t="str">
        <f>IF(O132="","",O132-L132)</f>
        <v/>
      </c>
      <c r="X132" s="154">
        <f>IF(R132="","",R132-B132)</f>
        <v>10</v>
      </c>
    </row>
    <row r="133" spans="2:24" ht="17.25" hidden="1" customHeight="1">
      <c r="B133" s="23">
        <v>45674</v>
      </c>
      <c r="C133" s="7">
        <v>2003526409</v>
      </c>
      <c r="D133" s="20">
        <v>5713609</v>
      </c>
      <c r="E133" s="27" t="s">
        <v>191</v>
      </c>
      <c r="F133" s="7" t="s">
        <v>107</v>
      </c>
      <c r="G133" s="7" t="s">
        <v>21</v>
      </c>
      <c r="H133" s="7" t="s">
        <v>45</v>
      </c>
      <c r="I133" s="20" t="s">
        <v>376</v>
      </c>
      <c r="J133" s="20" t="s">
        <v>377</v>
      </c>
      <c r="K133" s="7" t="s">
        <v>111</v>
      </c>
      <c r="L133" s="61">
        <v>45677</v>
      </c>
      <c r="M133" s="7" t="s">
        <v>111</v>
      </c>
      <c r="N133" s="61">
        <v>45679</v>
      </c>
      <c r="O133" s="61">
        <v>45679</v>
      </c>
      <c r="P133" s="59"/>
      <c r="Q133" s="124" t="e">
        <f>P133*#REF!</f>
        <v>#REF!</v>
      </c>
      <c r="R133" s="126">
        <v>45679</v>
      </c>
      <c r="S133" s="153">
        <f>IF(L133="","",L133-B133)</f>
        <v>3</v>
      </c>
      <c r="T133" s="153">
        <f>IF(N133="","",N133-L133)</f>
        <v>2</v>
      </c>
      <c r="U133" s="153">
        <f>IF(O133="","",O133-N133)</f>
        <v>0</v>
      </c>
      <c r="V133" s="154">
        <f>IF(O133="","",O133-B133)</f>
        <v>5</v>
      </c>
      <c r="W133" s="154">
        <f>IF(O133="","",O133-L133)</f>
        <v>2</v>
      </c>
      <c r="X133" s="154">
        <f>IF(R133="","",R133-B133)</f>
        <v>5</v>
      </c>
    </row>
    <row r="134" spans="2:24" ht="17.25" hidden="1" customHeight="1">
      <c r="B134" s="23">
        <v>45674</v>
      </c>
      <c r="C134" s="7">
        <v>2003585340</v>
      </c>
      <c r="D134" s="20">
        <v>5714053</v>
      </c>
      <c r="E134" s="27" t="s">
        <v>106</v>
      </c>
      <c r="F134" s="7" t="s">
        <v>107</v>
      </c>
      <c r="G134" s="7" t="s">
        <v>10</v>
      </c>
      <c r="H134" s="7" t="s">
        <v>45</v>
      </c>
      <c r="I134" s="20" t="s">
        <v>378</v>
      </c>
      <c r="J134" s="20" t="s">
        <v>379</v>
      </c>
      <c r="K134" s="7" t="s">
        <v>110</v>
      </c>
      <c r="L134" s="61">
        <v>45678</v>
      </c>
      <c r="M134" s="7" t="s">
        <v>111</v>
      </c>
      <c r="N134" s="61">
        <v>45679</v>
      </c>
      <c r="O134" s="61">
        <v>45679</v>
      </c>
      <c r="P134" s="59"/>
      <c r="Q134" s="124" t="e">
        <f>P134*#REF!</f>
        <v>#REF!</v>
      </c>
      <c r="R134" s="126">
        <v>45680</v>
      </c>
      <c r="S134" s="153">
        <f>IF(L134="","",L134-B134)</f>
        <v>4</v>
      </c>
      <c r="T134" s="153">
        <f>IF(N134="","",N134-L134)</f>
        <v>1</v>
      </c>
      <c r="U134" s="153">
        <f>IF(O134="","",O134-N134)</f>
        <v>0</v>
      </c>
      <c r="V134" s="154">
        <f>IF(O134="","",O134-B134)</f>
        <v>5</v>
      </c>
      <c r="W134" s="154">
        <f>IF(O134="","",O134-L134)</f>
        <v>1</v>
      </c>
      <c r="X134" s="154">
        <f>IF(R134="","",R134-B134)</f>
        <v>6</v>
      </c>
    </row>
    <row r="135" spans="2:24" ht="17.25" hidden="1" customHeight="1">
      <c r="B135" s="23">
        <v>45674</v>
      </c>
      <c r="C135" s="7">
        <v>2003585616</v>
      </c>
      <c r="D135" s="20">
        <v>5714072</v>
      </c>
      <c r="E135" s="27" t="s">
        <v>201</v>
      </c>
      <c r="F135" s="7" t="s">
        <v>107</v>
      </c>
      <c r="G135" s="7" t="s">
        <v>10</v>
      </c>
      <c r="H135" s="7" t="s">
        <v>45</v>
      </c>
      <c r="I135" s="20" t="s">
        <v>120</v>
      </c>
      <c r="J135" s="20" t="s">
        <v>380</v>
      </c>
      <c r="K135" s="7" t="s">
        <v>110</v>
      </c>
      <c r="L135" s="61">
        <v>45678</v>
      </c>
      <c r="M135" s="7" t="s">
        <v>111</v>
      </c>
      <c r="N135" s="61">
        <v>45679</v>
      </c>
      <c r="O135" s="61">
        <v>45679</v>
      </c>
      <c r="P135" s="59"/>
      <c r="Q135" s="124" t="e">
        <f>P135*#REF!</f>
        <v>#REF!</v>
      </c>
      <c r="R135" s="126">
        <v>45680</v>
      </c>
      <c r="S135" s="153">
        <f>IF(L135="","",L135-B135)</f>
        <v>4</v>
      </c>
      <c r="T135" s="153">
        <f>IF(N135="","",N135-L135)</f>
        <v>1</v>
      </c>
      <c r="U135" s="153">
        <f>IF(O135="","",O135-N135)</f>
        <v>0</v>
      </c>
      <c r="V135" s="154">
        <f>IF(O135="","",O135-B135)</f>
        <v>5</v>
      </c>
      <c r="W135" s="154">
        <f>IF(O135="","",O135-L135)</f>
        <v>1</v>
      </c>
      <c r="X135" s="154">
        <f>IF(R135="","",R135-B135)</f>
        <v>6</v>
      </c>
    </row>
    <row r="136" spans="2:24" ht="17.25" hidden="1" customHeight="1">
      <c r="B136" s="23">
        <v>45674</v>
      </c>
      <c r="C136" s="7">
        <v>2003584457</v>
      </c>
      <c r="D136" s="20">
        <v>5714205</v>
      </c>
      <c r="E136" s="27" t="s">
        <v>116</v>
      </c>
      <c r="F136" s="7" t="s">
        <v>107</v>
      </c>
      <c r="G136" s="7" t="s">
        <v>18</v>
      </c>
      <c r="H136" s="7" t="s">
        <v>45</v>
      </c>
      <c r="I136" s="20" t="s">
        <v>381</v>
      </c>
      <c r="J136" s="20" t="s">
        <v>382</v>
      </c>
      <c r="K136" s="7" t="s">
        <v>119</v>
      </c>
      <c r="L136" s="61">
        <v>45679</v>
      </c>
      <c r="M136" s="7" t="s">
        <v>111</v>
      </c>
      <c r="N136" s="24">
        <v>45680</v>
      </c>
      <c r="O136" s="24">
        <v>45680</v>
      </c>
      <c r="P136" s="59"/>
      <c r="Q136" s="124" t="e">
        <f>P136*#REF!</f>
        <v>#REF!</v>
      </c>
      <c r="R136" s="126">
        <v>45680</v>
      </c>
      <c r="S136" s="153">
        <f>IF(L136="","",L136-B136)</f>
        <v>5</v>
      </c>
      <c r="T136" s="153">
        <f>IF(N136="","",N136-L136)</f>
        <v>1</v>
      </c>
      <c r="U136" s="153">
        <f>IF(O136="","",O136-N136)</f>
        <v>0</v>
      </c>
      <c r="V136" s="154">
        <f>IF(O136="","",O136-B136)</f>
        <v>6</v>
      </c>
      <c r="W136" s="154">
        <f>IF(O136="","",O136-L136)</f>
        <v>1</v>
      </c>
      <c r="X136" s="154">
        <f>IF(R136="","",R136-B136)</f>
        <v>6</v>
      </c>
    </row>
    <row r="137" spans="2:24" ht="17.25" hidden="1" customHeight="1">
      <c r="B137" s="23">
        <v>45674</v>
      </c>
      <c r="C137" s="7">
        <v>2003582283</v>
      </c>
      <c r="D137" s="20">
        <v>5714209</v>
      </c>
      <c r="E137" s="27" t="s">
        <v>116</v>
      </c>
      <c r="F137" s="7" t="s">
        <v>107</v>
      </c>
      <c r="G137" s="7" t="s">
        <v>10</v>
      </c>
      <c r="H137" s="7" t="s">
        <v>45</v>
      </c>
      <c r="I137" s="234" t="s">
        <v>383</v>
      </c>
      <c r="J137" s="20" t="s">
        <v>384</v>
      </c>
      <c r="K137" s="7" t="s">
        <v>122</v>
      </c>
      <c r="L137" s="61">
        <v>45691</v>
      </c>
      <c r="M137" s="7" t="s">
        <v>111</v>
      </c>
      <c r="N137" s="61">
        <v>45692</v>
      </c>
      <c r="O137" s="61">
        <v>45692</v>
      </c>
      <c r="P137" s="59"/>
      <c r="Q137" s="124" t="e">
        <f>P137*#REF!</f>
        <v>#REF!</v>
      </c>
      <c r="R137" s="126">
        <v>45695</v>
      </c>
      <c r="S137" s="153">
        <f>IF(L137="","",L137-B137)</f>
        <v>17</v>
      </c>
      <c r="T137" s="153">
        <f>IF(N137="","",N137-L137)</f>
        <v>1</v>
      </c>
      <c r="U137" s="153">
        <f>IF(O137="","",O137-N137)</f>
        <v>0</v>
      </c>
      <c r="V137" s="154">
        <f>IF(O137="","",O137-B137)</f>
        <v>18</v>
      </c>
      <c r="W137" s="154">
        <f>IF(O137="","",O137-L137)</f>
        <v>1</v>
      </c>
      <c r="X137" s="154">
        <f>IF(R137="","",R137-B137)</f>
        <v>21</v>
      </c>
    </row>
    <row r="138" spans="2:24" ht="17.25" hidden="1" customHeight="1">
      <c r="B138" s="23">
        <v>45674</v>
      </c>
      <c r="C138" s="7">
        <v>2003586234</v>
      </c>
      <c r="D138" s="20">
        <v>5714215</v>
      </c>
      <c r="E138" s="27" t="s">
        <v>116</v>
      </c>
      <c r="F138" s="7" t="s">
        <v>107</v>
      </c>
      <c r="G138" s="7" t="s">
        <v>10</v>
      </c>
      <c r="H138" s="7" t="s">
        <v>45</v>
      </c>
      <c r="I138" s="20" t="s">
        <v>385</v>
      </c>
      <c r="J138" s="20" t="s">
        <v>386</v>
      </c>
      <c r="K138" s="7" t="s">
        <v>119</v>
      </c>
      <c r="L138" s="61">
        <v>45679</v>
      </c>
      <c r="M138" s="7" t="s">
        <v>111</v>
      </c>
      <c r="N138" s="24">
        <v>45680</v>
      </c>
      <c r="O138" s="24">
        <v>45680</v>
      </c>
      <c r="P138" s="59"/>
      <c r="Q138" s="124" t="e">
        <f>P138*#REF!</f>
        <v>#REF!</v>
      </c>
      <c r="R138" s="126">
        <v>45680</v>
      </c>
      <c r="S138" s="153">
        <f>IF(L138="","",L138-B138)</f>
        <v>5</v>
      </c>
      <c r="T138" s="153">
        <f>IF(N138="","",N138-L138)</f>
        <v>1</v>
      </c>
      <c r="U138" s="153">
        <f>IF(O138="","",O138-N138)</f>
        <v>0</v>
      </c>
      <c r="V138" s="154">
        <f>IF(O138="","",O138-B138)</f>
        <v>6</v>
      </c>
      <c r="W138" s="154">
        <f>IF(O138="","",O138-L138)</f>
        <v>1</v>
      </c>
      <c r="X138" s="154">
        <f>IF(R138="","",R138-B138)</f>
        <v>6</v>
      </c>
    </row>
    <row r="139" spans="2:24" ht="17.25" hidden="1" customHeight="1">
      <c r="B139" s="23">
        <v>45674</v>
      </c>
      <c r="C139" s="7">
        <v>2003555380</v>
      </c>
      <c r="D139" s="20">
        <v>5714292</v>
      </c>
      <c r="E139" s="27" t="s">
        <v>152</v>
      </c>
      <c r="F139" s="7" t="s">
        <v>107</v>
      </c>
      <c r="G139" s="7" t="s">
        <v>18</v>
      </c>
      <c r="H139" s="7" t="s">
        <v>45</v>
      </c>
      <c r="I139" s="20" t="s">
        <v>387</v>
      </c>
      <c r="J139" s="20" t="s">
        <v>388</v>
      </c>
      <c r="K139" s="7" t="s">
        <v>110</v>
      </c>
      <c r="L139" s="61">
        <v>45678</v>
      </c>
      <c r="M139" s="7" t="s">
        <v>111</v>
      </c>
      <c r="N139" s="24">
        <v>45679</v>
      </c>
      <c r="O139" s="24">
        <v>45680</v>
      </c>
      <c r="P139" s="59"/>
      <c r="Q139" s="124" t="e">
        <f>P139*#REF!</f>
        <v>#REF!</v>
      </c>
      <c r="R139" s="126">
        <v>45680</v>
      </c>
      <c r="S139" s="153">
        <f>IF(L139="","",L139-B139)</f>
        <v>4</v>
      </c>
      <c r="T139" s="153">
        <f>IF(N139="","",N139-L139)</f>
        <v>1</v>
      </c>
      <c r="U139" s="153">
        <f>IF(O139="","",O139-N139)</f>
        <v>1</v>
      </c>
      <c r="V139" s="154">
        <f>IF(O139="","",O139-B139)</f>
        <v>6</v>
      </c>
      <c r="W139" s="154">
        <f>IF(O139="","",O139-L139)</f>
        <v>2</v>
      </c>
      <c r="X139" s="154">
        <f>IF(R139="","",R139-B139)</f>
        <v>6</v>
      </c>
    </row>
    <row r="140" spans="2:24" ht="17.25" hidden="1" customHeight="1">
      <c r="B140" s="23">
        <v>45674</v>
      </c>
      <c r="C140" s="7">
        <v>2003569915</v>
      </c>
      <c r="D140" s="20">
        <v>84575</v>
      </c>
      <c r="E140" s="27" t="s">
        <v>389</v>
      </c>
      <c r="F140" s="7" t="s">
        <v>107</v>
      </c>
      <c r="G140" s="7" t="s">
        <v>18</v>
      </c>
      <c r="H140" s="7" t="s">
        <v>45</v>
      </c>
      <c r="I140" s="20" t="s">
        <v>390</v>
      </c>
      <c r="J140" s="20" t="s">
        <v>391</v>
      </c>
      <c r="K140" s="7" t="s">
        <v>119</v>
      </c>
      <c r="L140" s="61">
        <v>45678</v>
      </c>
      <c r="M140" s="7" t="s">
        <v>111</v>
      </c>
      <c r="N140" s="61">
        <v>45679</v>
      </c>
      <c r="O140" s="24">
        <v>45680</v>
      </c>
      <c r="P140" s="59"/>
      <c r="Q140" s="124" t="e">
        <f>P140*#REF!</f>
        <v>#REF!</v>
      </c>
      <c r="R140" s="126">
        <v>45680</v>
      </c>
      <c r="S140" s="153">
        <f>IF(L140="","",L140-B140)</f>
        <v>4</v>
      </c>
      <c r="T140" s="153">
        <f>IF(N140="","",N140-L140)</f>
        <v>1</v>
      </c>
      <c r="U140" s="153">
        <f>IF(O140="","",O140-N140)</f>
        <v>1</v>
      </c>
      <c r="V140" s="154">
        <f>IF(O140="","",O140-B140)</f>
        <v>6</v>
      </c>
      <c r="W140" s="154">
        <f>IF(O140="","",O140-L140)</f>
        <v>2</v>
      </c>
      <c r="X140" s="154">
        <f>IF(R140="","",R140-B140)</f>
        <v>6</v>
      </c>
    </row>
    <row r="141" spans="2:24" ht="17.25" hidden="1" customHeight="1">
      <c r="B141" s="23">
        <v>45674</v>
      </c>
      <c r="C141" s="7">
        <v>2003540607</v>
      </c>
      <c r="D141" s="20">
        <v>84422</v>
      </c>
      <c r="E141" s="27" t="s">
        <v>129</v>
      </c>
      <c r="F141" s="7" t="s">
        <v>107</v>
      </c>
      <c r="G141" s="7" t="s">
        <v>18</v>
      </c>
      <c r="H141" s="7" t="s">
        <v>45</v>
      </c>
      <c r="I141" s="20" t="s">
        <v>392</v>
      </c>
      <c r="J141" s="20" t="s">
        <v>393</v>
      </c>
      <c r="K141" s="7" t="s">
        <v>122</v>
      </c>
      <c r="L141" s="61">
        <v>45679</v>
      </c>
      <c r="M141" s="7" t="s">
        <v>111</v>
      </c>
      <c r="N141" s="24">
        <v>45680</v>
      </c>
      <c r="O141" s="130">
        <v>45681</v>
      </c>
      <c r="P141" s="59"/>
      <c r="Q141" s="124" t="e">
        <f>P141*#REF!</f>
        <v>#REF!</v>
      </c>
      <c r="R141" s="126">
        <v>45681</v>
      </c>
      <c r="S141" s="153">
        <f>IF(L141="","",L141-B141)</f>
        <v>5</v>
      </c>
      <c r="T141" s="153">
        <f>IF(N141="","",N141-L141)</f>
        <v>1</v>
      </c>
      <c r="U141" s="153">
        <f>IF(O141="","",O141-N141)</f>
        <v>1</v>
      </c>
      <c r="V141" s="154">
        <f>IF(O141="","",O141-B141)</f>
        <v>7</v>
      </c>
      <c r="W141" s="154">
        <f>IF(O141="","",O141-L141)</f>
        <v>2</v>
      </c>
      <c r="X141" s="154">
        <f>IF(R141="","",R141-B141)</f>
        <v>7</v>
      </c>
    </row>
    <row r="142" spans="2:24" ht="17.25" hidden="1" customHeight="1">
      <c r="B142" s="23">
        <v>45677</v>
      </c>
      <c r="C142" s="7">
        <v>2003578618</v>
      </c>
      <c r="D142" s="20">
        <v>5715666</v>
      </c>
      <c r="E142" s="27" t="s">
        <v>123</v>
      </c>
      <c r="F142" s="7" t="s">
        <v>107</v>
      </c>
      <c r="G142" s="7" t="s">
        <v>10</v>
      </c>
      <c r="H142" s="7" t="s">
        <v>45</v>
      </c>
      <c r="I142" s="20" t="s">
        <v>394</v>
      </c>
      <c r="J142" s="20" t="s">
        <v>395</v>
      </c>
      <c r="K142" s="7" t="s">
        <v>122</v>
      </c>
      <c r="L142" s="61">
        <v>45679</v>
      </c>
      <c r="M142" s="7" t="s">
        <v>111</v>
      </c>
      <c r="N142" s="24">
        <v>45684</v>
      </c>
      <c r="O142" s="24">
        <v>45684</v>
      </c>
      <c r="P142" s="59"/>
      <c r="Q142" s="124" t="e">
        <f>P142*#REF!</f>
        <v>#REF!</v>
      </c>
      <c r="R142" s="126">
        <v>45684</v>
      </c>
      <c r="S142" s="153">
        <f>IF(L142="","",L142-B142)</f>
        <v>2</v>
      </c>
      <c r="T142" s="153">
        <f>IF(N142="","",N142-L142)</f>
        <v>5</v>
      </c>
      <c r="U142" s="153">
        <f>IF(O142="","",O142-N142)</f>
        <v>0</v>
      </c>
      <c r="V142" s="154">
        <f>IF(O142="","",O142-B142)</f>
        <v>7</v>
      </c>
      <c r="W142" s="154">
        <f>IF(O142="","",O142-L142)</f>
        <v>5</v>
      </c>
      <c r="X142" s="154">
        <f>IF(R142="","",R142-B142)</f>
        <v>7</v>
      </c>
    </row>
    <row r="143" spans="2:24" ht="17.25" hidden="1" customHeight="1">
      <c r="B143" s="23">
        <v>45677</v>
      </c>
      <c r="C143" s="7">
        <v>2003583767</v>
      </c>
      <c r="D143" s="20">
        <v>5714977</v>
      </c>
      <c r="E143" s="27" t="s">
        <v>129</v>
      </c>
      <c r="F143" s="7" t="s">
        <v>113</v>
      </c>
      <c r="G143" s="7" t="s">
        <v>70</v>
      </c>
      <c r="H143" s="7" t="s">
        <v>47</v>
      </c>
      <c r="I143" s="20" t="s">
        <v>396</v>
      </c>
      <c r="J143" s="20" t="s">
        <v>397</v>
      </c>
      <c r="K143" s="7" t="s">
        <v>160</v>
      </c>
      <c r="P143" s="59"/>
      <c r="Q143" s="124" t="e">
        <f>P143*#REF!</f>
        <v>#REF!</v>
      </c>
      <c r="R143" s="126">
        <v>45685</v>
      </c>
      <c r="S143" s="153" t="str">
        <f>IF(L143="","",L143-B143)</f>
        <v/>
      </c>
      <c r="T143" s="153" t="str">
        <f>IF(N143="","",N143-L143)</f>
        <v/>
      </c>
      <c r="U143" s="153" t="str">
        <f>IF(O143="","",O143-N143)</f>
        <v/>
      </c>
      <c r="V143" s="154" t="str">
        <f>IF(O143="","",O143-B143)</f>
        <v/>
      </c>
      <c r="W143" s="154" t="str">
        <f>IF(O143="","",O143-L143)</f>
        <v/>
      </c>
      <c r="X143" s="154">
        <f>IF(R143="","",R143-B143)</f>
        <v>8</v>
      </c>
    </row>
    <row r="144" spans="2:24" ht="17.25" hidden="1" customHeight="1">
      <c r="B144" s="23">
        <v>45677</v>
      </c>
      <c r="C144" s="7">
        <v>2003555579</v>
      </c>
      <c r="D144" s="20">
        <v>5715375</v>
      </c>
      <c r="E144" s="27" t="s">
        <v>152</v>
      </c>
      <c r="F144" s="7" t="s">
        <v>107</v>
      </c>
      <c r="G144" s="7" t="s">
        <v>10</v>
      </c>
      <c r="H144" s="7" t="s">
        <v>45</v>
      </c>
      <c r="I144" s="20" t="s">
        <v>398</v>
      </c>
      <c r="J144" s="20" t="s">
        <v>399</v>
      </c>
      <c r="K144" s="7" t="s">
        <v>110</v>
      </c>
      <c r="L144" s="61">
        <v>45679</v>
      </c>
      <c r="M144" s="7" t="s">
        <v>111</v>
      </c>
      <c r="N144" s="61">
        <v>45679</v>
      </c>
      <c r="O144" s="61">
        <v>45681</v>
      </c>
      <c r="P144" s="59"/>
      <c r="Q144" s="124" t="e">
        <f>P144*#REF!</f>
        <v>#REF!</v>
      </c>
      <c r="R144" s="126">
        <v>45681</v>
      </c>
      <c r="S144" s="153">
        <f>IF(L144="","",L144-B144)</f>
        <v>2</v>
      </c>
      <c r="T144" s="153">
        <f>IF(N144="","",N144-L144)</f>
        <v>0</v>
      </c>
      <c r="U144" s="153">
        <f>IF(O144="","",O144-N144)</f>
        <v>2</v>
      </c>
      <c r="V144" s="154">
        <f>IF(O144="","",O144-B144)</f>
        <v>4</v>
      </c>
      <c r="W144" s="154">
        <f>IF(O144="","",O144-L144)</f>
        <v>2</v>
      </c>
      <c r="X144" s="154">
        <f>IF(R144="","",R144-B144)</f>
        <v>4</v>
      </c>
    </row>
    <row r="145" spans="2:24" ht="17.25" hidden="1" customHeight="1">
      <c r="B145" s="23">
        <v>45677</v>
      </c>
      <c r="C145" s="7">
        <v>2003546466</v>
      </c>
      <c r="D145" s="20">
        <v>5715378</v>
      </c>
      <c r="E145" s="27" t="s">
        <v>143</v>
      </c>
      <c r="F145" s="7" t="s">
        <v>107</v>
      </c>
      <c r="G145" s="7" t="s">
        <v>30</v>
      </c>
      <c r="H145" s="7" t="s">
        <v>45</v>
      </c>
      <c r="I145" s="20" t="s">
        <v>400</v>
      </c>
      <c r="J145" s="20" t="s">
        <v>401</v>
      </c>
      <c r="K145" s="7" t="s">
        <v>111</v>
      </c>
      <c r="L145" s="61">
        <v>45678</v>
      </c>
      <c r="M145" s="7" t="s">
        <v>111</v>
      </c>
      <c r="N145" s="61">
        <v>45678</v>
      </c>
      <c r="O145" s="61">
        <v>45681</v>
      </c>
      <c r="P145" s="59"/>
      <c r="Q145" s="124" t="e">
        <f>P145*#REF!</f>
        <v>#REF!</v>
      </c>
      <c r="R145" s="126">
        <v>45681</v>
      </c>
      <c r="S145" s="153">
        <f>IF(L145="","",L145-B145)</f>
        <v>1</v>
      </c>
      <c r="T145" s="153">
        <f>IF(N145="","",N145-L145)</f>
        <v>0</v>
      </c>
      <c r="U145" s="153">
        <f>IF(O145="","",O145-N145)</f>
        <v>3</v>
      </c>
      <c r="V145" s="154">
        <f>IF(O145="","",O145-B145)</f>
        <v>4</v>
      </c>
      <c r="W145" s="154">
        <f>IF(O145="","",O145-L145)</f>
        <v>3</v>
      </c>
      <c r="X145" s="154">
        <f>IF(R145="","",R145-B145)</f>
        <v>4</v>
      </c>
    </row>
    <row r="146" spans="2:24" ht="17.25" hidden="1" customHeight="1">
      <c r="B146" s="23">
        <v>45677</v>
      </c>
      <c r="C146" s="7">
        <v>2003574382</v>
      </c>
      <c r="D146" s="20">
        <v>5715735</v>
      </c>
      <c r="E146" s="27" t="s">
        <v>163</v>
      </c>
      <c r="F146" s="7" t="s">
        <v>107</v>
      </c>
      <c r="G146" s="7" t="s">
        <v>10</v>
      </c>
      <c r="H146" s="7" t="s">
        <v>45</v>
      </c>
      <c r="I146" s="20" t="s">
        <v>402</v>
      </c>
      <c r="J146" s="20" t="s">
        <v>403</v>
      </c>
      <c r="K146" s="7" t="s">
        <v>122</v>
      </c>
      <c r="L146" s="61">
        <v>45680</v>
      </c>
      <c r="M146" s="7" t="s">
        <v>111</v>
      </c>
      <c r="N146" s="24">
        <v>45684</v>
      </c>
      <c r="O146" s="24">
        <v>45684</v>
      </c>
      <c r="P146" s="59"/>
      <c r="Q146" s="124" t="e">
        <f>P146*#REF!</f>
        <v>#REF!</v>
      </c>
      <c r="R146" s="126">
        <v>45684</v>
      </c>
      <c r="S146" s="153">
        <f>IF(L146="","",L146-B146)</f>
        <v>3</v>
      </c>
      <c r="T146" s="153">
        <f>IF(N146="","",N146-L146)</f>
        <v>4</v>
      </c>
      <c r="U146" s="153">
        <f>IF(O146="","",O146-N146)</f>
        <v>0</v>
      </c>
      <c r="V146" s="154">
        <f>IF(O146="","",O146-B146)</f>
        <v>7</v>
      </c>
      <c r="W146" s="154">
        <f>IF(O146="","",O146-L146)</f>
        <v>4</v>
      </c>
      <c r="X146" s="154">
        <f>IF(R146="","",R146-B146)</f>
        <v>7</v>
      </c>
    </row>
    <row r="147" spans="2:24" ht="17.25" hidden="1" customHeight="1">
      <c r="B147" s="23">
        <v>45677</v>
      </c>
      <c r="C147" s="7">
        <v>2003568140</v>
      </c>
      <c r="D147" s="20">
        <v>5715585</v>
      </c>
      <c r="E147" s="27" t="s">
        <v>404</v>
      </c>
      <c r="F147" s="7" t="s">
        <v>107</v>
      </c>
      <c r="G147" s="7" t="s">
        <v>10</v>
      </c>
      <c r="H147" s="7" t="s">
        <v>45</v>
      </c>
      <c r="I147" s="20" t="s">
        <v>405</v>
      </c>
      <c r="J147" s="20" t="s">
        <v>406</v>
      </c>
      <c r="K147" s="7" t="s">
        <v>111</v>
      </c>
      <c r="L147" s="61">
        <v>45678</v>
      </c>
      <c r="M147" s="7" t="s">
        <v>111</v>
      </c>
      <c r="N147" s="61">
        <v>45678</v>
      </c>
      <c r="O147" s="61">
        <v>45679</v>
      </c>
      <c r="P147" s="59">
        <v>31.8</v>
      </c>
      <c r="Q147" s="124" t="e">
        <f>P147*#REF!</f>
        <v>#REF!</v>
      </c>
      <c r="R147" s="126">
        <v>45679</v>
      </c>
      <c r="S147" s="153">
        <f>IF(L147="","",L147-B147)</f>
        <v>1</v>
      </c>
      <c r="T147" s="153">
        <f>IF(N147="","",N147-L147)</f>
        <v>0</v>
      </c>
      <c r="U147" s="153">
        <f>IF(O147="","",O147-N147)</f>
        <v>1</v>
      </c>
      <c r="V147" s="154">
        <f>IF(O147="","",O147-B147)</f>
        <v>2</v>
      </c>
      <c r="W147" s="154">
        <f>IF(O147="","",O147-L147)</f>
        <v>1</v>
      </c>
      <c r="X147" s="154">
        <f>IF(R147="","",R147-B147)</f>
        <v>2</v>
      </c>
    </row>
    <row r="148" spans="2:24" ht="17.25" hidden="1" customHeight="1">
      <c r="B148" s="23">
        <v>45677</v>
      </c>
      <c r="C148" s="7">
        <v>2003574414</v>
      </c>
      <c r="D148" s="20">
        <v>5715750</v>
      </c>
      <c r="E148" s="27" t="s">
        <v>198</v>
      </c>
      <c r="F148" s="7" t="s">
        <v>107</v>
      </c>
      <c r="G148" s="7" t="s">
        <v>10</v>
      </c>
      <c r="H148" s="7" t="s">
        <v>45</v>
      </c>
      <c r="I148" s="20" t="s">
        <v>407</v>
      </c>
      <c r="J148" s="20" t="s">
        <v>403</v>
      </c>
      <c r="K148" s="7" t="s">
        <v>122</v>
      </c>
      <c r="L148" s="61">
        <v>45680</v>
      </c>
      <c r="M148" s="7" t="s">
        <v>111</v>
      </c>
      <c r="N148" s="24">
        <v>45684</v>
      </c>
      <c r="O148" s="24">
        <v>45684</v>
      </c>
      <c r="P148" s="59"/>
      <c r="Q148" s="124" t="e">
        <f>P148*#REF!</f>
        <v>#REF!</v>
      </c>
      <c r="R148" s="126">
        <v>45684</v>
      </c>
      <c r="S148" s="153">
        <f>IF(L148="","",L148-B148)</f>
        <v>3</v>
      </c>
      <c r="T148" s="153">
        <f>IF(N148="","",N148-L148)</f>
        <v>4</v>
      </c>
      <c r="U148" s="153">
        <f>IF(O148="","",O148-N148)</f>
        <v>0</v>
      </c>
      <c r="V148" s="154">
        <f>IF(O148="","",O148-B148)</f>
        <v>7</v>
      </c>
      <c r="W148" s="154">
        <f>IF(O148="","",O148-L148)</f>
        <v>4</v>
      </c>
      <c r="X148" s="154">
        <f>IF(R148="","",R148-B148)</f>
        <v>7</v>
      </c>
    </row>
    <row r="149" spans="2:24" ht="17.25" hidden="1" customHeight="1">
      <c r="B149" s="23">
        <v>45677</v>
      </c>
      <c r="C149" s="7">
        <v>2003568301</v>
      </c>
      <c r="D149" s="20">
        <v>5715715</v>
      </c>
      <c r="E149" s="27" t="s">
        <v>408</v>
      </c>
      <c r="F149" s="7" t="s">
        <v>107</v>
      </c>
      <c r="G149" s="7" t="s">
        <v>10</v>
      </c>
      <c r="H149" s="7" t="s">
        <v>45</v>
      </c>
      <c r="I149" s="20" t="s">
        <v>288</v>
      </c>
      <c r="J149" s="20" t="s">
        <v>289</v>
      </c>
      <c r="K149" s="7" t="s">
        <v>119</v>
      </c>
      <c r="L149" s="61">
        <v>45680</v>
      </c>
      <c r="M149" s="7" t="s">
        <v>111</v>
      </c>
      <c r="N149" s="24">
        <v>45681</v>
      </c>
      <c r="O149" s="24">
        <v>45681</v>
      </c>
      <c r="P149" s="59"/>
      <c r="Q149" s="124" t="e">
        <f>P149*#REF!</f>
        <v>#REF!</v>
      </c>
      <c r="R149" s="126">
        <v>45681</v>
      </c>
      <c r="S149" s="153">
        <f>IF(L149="","",L149-B149)</f>
        <v>3</v>
      </c>
      <c r="T149" s="153">
        <f>IF(N149="","",N149-L149)</f>
        <v>1</v>
      </c>
      <c r="U149" s="153">
        <f>IF(O149="","",O149-N149)</f>
        <v>0</v>
      </c>
      <c r="V149" s="154">
        <f>IF(O149="","",O149-B149)</f>
        <v>4</v>
      </c>
      <c r="W149" s="154">
        <f>IF(O149="","",O149-L149)</f>
        <v>1</v>
      </c>
      <c r="X149" s="154">
        <f>IF(R149="","",R149-B149)</f>
        <v>4</v>
      </c>
    </row>
    <row r="150" spans="2:24" ht="17.25" hidden="1" customHeight="1">
      <c r="B150" s="23">
        <v>45671</v>
      </c>
      <c r="C150" s="7">
        <v>2003576574</v>
      </c>
      <c r="D150" s="20">
        <v>5709141</v>
      </c>
      <c r="E150" s="27" t="s">
        <v>149</v>
      </c>
      <c r="F150" s="7" t="s">
        <v>107</v>
      </c>
      <c r="G150" s="7" t="s">
        <v>10</v>
      </c>
      <c r="H150" s="7" t="s">
        <v>45</v>
      </c>
      <c r="I150" s="20" t="s">
        <v>409</v>
      </c>
      <c r="J150" s="20" t="s">
        <v>410</v>
      </c>
      <c r="K150" s="7" t="s">
        <v>122</v>
      </c>
      <c r="L150" s="61">
        <v>45681</v>
      </c>
      <c r="M150" s="7" t="s">
        <v>111</v>
      </c>
      <c r="N150" s="24">
        <v>45684</v>
      </c>
      <c r="O150" s="24">
        <v>45684</v>
      </c>
      <c r="P150" s="59"/>
      <c r="Q150" s="124" t="e">
        <f>P150*#REF!</f>
        <v>#REF!</v>
      </c>
      <c r="R150" s="126">
        <v>45684</v>
      </c>
      <c r="S150" s="153">
        <f>IF(L150="","",L150-B150)</f>
        <v>10</v>
      </c>
      <c r="T150" s="153">
        <f>IF(N150="","",N150-L150)</f>
        <v>3</v>
      </c>
      <c r="U150" s="153">
        <f>IF(O150="","",O150-N150)</f>
        <v>0</v>
      </c>
      <c r="V150" s="154">
        <f>IF(O150="","",O150-B150)</f>
        <v>13</v>
      </c>
      <c r="W150" s="154">
        <f>IF(O150="","",O150-L150)</f>
        <v>3</v>
      </c>
      <c r="X150" s="154">
        <f>IF(R150="","",R150-B150)</f>
        <v>13</v>
      </c>
    </row>
    <row r="151" spans="2:24" ht="17.25" hidden="1" customHeight="1">
      <c r="B151" s="23">
        <v>45678</v>
      </c>
      <c r="C151" s="7">
        <v>2003493114</v>
      </c>
      <c r="D151" s="20">
        <v>5716255</v>
      </c>
      <c r="E151" s="27" t="s">
        <v>143</v>
      </c>
      <c r="F151" s="7" t="s">
        <v>107</v>
      </c>
      <c r="G151" s="7" t="s">
        <v>18</v>
      </c>
      <c r="H151" s="7" t="s">
        <v>45</v>
      </c>
      <c r="I151" s="20" t="s">
        <v>411</v>
      </c>
      <c r="J151" s="20" t="s">
        <v>412</v>
      </c>
      <c r="K151" s="7" t="s">
        <v>122</v>
      </c>
      <c r="L151" s="61">
        <v>45681</v>
      </c>
      <c r="M151" s="7" t="s">
        <v>111</v>
      </c>
      <c r="N151" s="24">
        <v>45684</v>
      </c>
      <c r="O151" s="23">
        <v>45695</v>
      </c>
      <c r="P151" s="59"/>
      <c r="Q151" s="124" t="e">
        <f>P151*#REF!</f>
        <v>#REF!</v>
      </c>
      <c r="R151" s="126">
        <v>45695</v>
      </c>
      <c r="S151" s="153">
        <f>IF(L151="","",L151-B151)</f>
        <v>3</v>
      </c>
      <c r="T151" s="153">
        <f>IF(N151="","",N151-L151)</f>
        <v>3</v>
      </c>
      <c r="U151" s="153">
        <f>IF(O151="","",O151-N151)</f>
        <v>11</v>
      </c>
      <c r="V151" s="154">
        <f>IF(O151="","",O151-B151)</f>
        <v>17</v>
      </c>
      <c r="W151" s="154">
        <f>IF(O151="","",O151-L151)</f>
        <v>14</v>
      </c>
      <c r="X151" s="154">
        <f>IF(R151="","",R151-B151)</f>
        <v>17</v>
      </c>
    </row>
    <row r="152" spans="2:24" ht="17.25" hidden="1" customHeight="1">
      <c r="B152" s="23">
        <v>45677</v>
      </c>
      <c r="C152" s="7">
        <v>2003581182</v>
      </c>
      <c r="D152" s="20">
        <v>85466</v>
      </c>
      <c r="E152" s="27" t="s">
        <v>180</v>
      </c>
      <c r="F152" s="7" t="s">
        <v>107</v>
      </c>
      <c r="G152" s="7" t="s">
        <v>30</v>
      </c>
      <c r="H152" s="7" t="s">
        <v>45</v>
      </c>
      <c r="I152" s="20" t="s">
        <v>413</v>
      </c>
      <c r="J152" s="20" t="s">
        <v>414</v>
      </c>
      <c r="K152" s="7" t="s">
        <v>111</v>
      </c>
      <c r="L152" s="61">
        <v>45678</v>
      </c>
      <c r="M152" s="7" t="s">
        <v>111</v>
      </c>
      <c r="N152" s="24">
        <v>45679</v>
      </c>
      <c r="O152" s="58">
        <v>45680</v>
      </c>
      <c r="P152" s="59"/>
      <c r="Q152" s="124" t="e">
        <f>P152*#REF!</f>
        <v>#REF!</v>
      </c>
      <c r="R152" s="126">
        <v>45680</v>
      </c>
      <c r="S152" s="153">
        <f>IF(L152="","",L152-B152)</f>
        <v>1</v>
      </c>
      <c r="T152" s="153">
        <f>IF(N152="","",N152-L152)</f>
        <v>1</v>
      </c>
      <c r="U152" s="153">
        <f>IF(O152="","",O152-N152)</f>
        <v>1</v>
      </c>
      <c r="V152" s="154">
        <f>IF(O152="","",O152-B152)</f>
        <v>3</v>
      </c>
      <c r="W152" s="154">
        <f>IF(O152="","",O152-L152)</f>
        <v>2</v>
      </c>
      <c r="X152" s="154">
        <f>IF(R152="","",R152-B152)</f>
        <v>3</v>
      </c>
    </row>
    <row r="153" spans="2:24" ht="17.25" hidden="1" customHeight="1">
      <c r="B153" s="23">
        <v>45677</v>
      </c>
      <c r="C153" s="7">
        <v>2003583332</v>
      </c>
      <c r="D153" s="20">
        <v>84991</v>
      </c>
      <c r="E153" s="27" t="s">
        <v>152</v>
      </c>
      <c r="F153" s="7" t="s">
        <v>107</v>
      </c>
      <c r="G153" s="7" t="s">
        <v>26</v>
      </c>
      <c r="H153" s="7" t="s">
        <v>45</v>
      </c>
      <c r="I153" s="20" t="s">
        <v>415</v>
      </c>
      <c r="J153" s="20" t="s">
        <v>416</v>
      </c>
      <c r="K153" s="7" t="s">
        <v>119</v>
      </c>
      <c r="L153" s="61">
        <v>45684</v>
      </c>
      <c r="M153" s="7" t="s">
        <v>111</v>
      </c>
      <c r="N153" s="24">
        <v>45684</v>
      </c>
      <c r="O153" s="58">
        <v>45684</v>
      </c>
      <c r="P153" s="59">
        <v>78.5</v>
      </c>
      <c r="Q153" s="124" t="e">
        <f>P153*#REF!</f>
        <v>#REF!</v>
      </c>
      <c r="R153" s="126">
        <v>45684</v>
      </c>
      <c r="S153" s="153">
        <f>IF(L153="","",L153-B153)</f>
        <v>7</v>
      </c>
      <c r="T153" s="153">
        <f>IF(N153="","",N153-L153)</f>
        <v>0</v>
      </c>
      <c r="U153" s="153">
        <f>IF(O153="","",O153-N153)</f>
        <v>0</v>
      </c>
      <c r="V153" s="154">
        <f>IF(O153="","",O153-B153)</f>
        <v>7</v>
      </c>
      <c r="W153" s="154">
        <f>IF(O153="","",O153-L153)</f>
        <v>0</v>
      </c>
      <c r="X153" s="154">
        <f>IF(R153="","",R153-B153)</f>
        <v>7</v>
      </c>
    </row>
    <row r="154" spans="2:24" ht="17.25" hidden="1" customHeight="1">
      <c r="B154" s="23">
        <v>45678</v>
      </c>
      <c r="C154" s="7">
        <v>2003587441</v>
      </c>
      <c r="D154" s="20">
        <v>5716227</v>
      </c>
      <c r="E154" s="27" t="s">
        <v>198</v>
      </c>
      <c r="F154" s="7" t="s">
        <v>107</v>
      </c>
      <c r="G154" s="7" t="s">
        <v>10</v>
      </c>
      <c r="H154" s="7" t="s">
        <v>45</v>
      </c>
      <c r="I154" s="20" t="s">
        <v>417</v>
      </c>
      <c r="J154" s="20" t="s">
        <v>418</v>
      </c>
      <c r="K154" s="7" t="s">
        <v>119</v>
      </c>
      <c r="L154" s="61">
        <v>45679</v>
      </c>
      <c r="M154" s="7" t="s">
        <v>111</v>
      </c>
      <c r="N154" s="24">
        <v>45680</v>
      </c>
      <c r="O154" s="24">
        <v>45680</v>
      </c>
      <c r="P154" s="59"/>
      <c r="Q154" s="124" t="e">
        <f>P154*#REF!</f>
        <v>#REF!</v>
      </c>
      <c r="R154" s="126">
        <v>45680</v>
      </c>
      <c r="S154" s="153">
        <f>IF(L154="","",L154-B154)</f>
        <v>1</v>
      </c>
      <c r="T154" s="153">
        <f>IF(N154="","",N154-L154)</f>
        <v>1</v>
      </c>
      <c r="U154" s="153">
        <f>IF(O154="","",O154-N154)</f>
        <v>0</v>
      </c>
      <c r="V154" s="154">
        <f>IF(O154="","",O154-B154)</f>
        <v>2</v>
      </c>
      <c r="W154" s="154">
        <f>IF(O154="","",O154-L154)</f>
        <v>1</v>
      </c>
      <c r="X154" s="154">
        <f>IF(R154="","",R154-B154)</f>
        <v>2</v>
      </c>
    </row>
    <row r="155" spans="2:24" ht="17.25" hidden="1" customHeight="1">
      <c r="B155" s="23">
        <v>45678</v>
      </c>
      <c r="C155" s="7">
        <v>2003525245</v>
      </c>
      <c r="D155" s="20">
        <v>5716249</v>
      </c>
      <c r="E155" s="27" t="s">
        <v>123</v>
      </c>
      <c r="F155" s="7" t="s">
        <v>107</v>
      </c>
      <c r="G155" s="7" t="s">
        <v>18</v>
      </c>
      <c r="H155" s="7" t="s">
        <v>45</v>
      </c>
      <c r="I155" s="20" t="s">
        <v>419</v>
      </c>
      <c r="J155" s="20" t="s">
        <v>420</v>
      </c>
      <c r="K155" s="7" t="s">
        <v>119</v>
      </c>
      <c r="L155" s="61">
        <v>45684</v>
      </c>
      <c r="M155" s="7" t="s">
        <v>111</v>
      </c>
      <c r="N155" s="61">
        <v>45684</v>
      </c>
      <c r="O155" s="61">
        <v>45684</v>
      </c>
      <c r="P155" s="59"/>
      <c r="Q155" s="124" t="e">
        <f>P155*#REF!</f>
        <v>#REF!</v>
      </c>
      <c r="R155" s="126">
        <v>45684</v>
      </c>
      <c r="S155" s="153">
        <f>IF(L155="","",L155-B155)</f>
        <v>6</v>
      </c>
      <c r="T155" s="153">
        <f>IF(N155="","",N155-L155)</f>
        <v>0</v>
      </c>
      <c r="U155" s="153">
        <f>IF(O155="","",O155-N155)</f>
        <v>0</v>
      </c>
      <c r="V155" s="154">
        <f>IF(O155="","",O155-B155)</f>
        <v>6</v>
      </c>
      <c r="W155" s="154">
        <f>IF(O155="","",O155-L155)</f>
        <v>0</v>
      </c>
      <c r="X155" s="154">
        <f>IF(R155="","",R155-B155)</f>
        <v>6</v>
      </c>
    </row>
    <row r="156" spans="2:24" ht="17.25" hidden="1" customHeight="1">
      <c r="B156" s="23">
        <v>45678</v>
      </c>
      <c r="C156" s="7">
        <v>2003588071</v>
      </c>
      <c r="D156" s="20">
        <v>86254</v>
      </c>
      <c r="E156" s="27" t="s">
        <v>129</v>
      </c>
      <c r="F156" s="7" t="s">
        <v>107</v>
      </c>
      <c r="G156" s="7" t="s">
        <v>10</v>
      </c>
      <c r="H156" s="7" t="s">
        <v>45</v>
      </c>
      <c r="I156" s="20" t="s">
        <v>421</v>
      </c>
      <c r="J156" s="20" t="s">
        <v>422</v>
      </c>
      <c r="K156" s="7" t="s">
        <v>122</v>
      </c>
      <c r="L156" s="61">
        <v>45681</v>
      </c>
      <c r="M156" s="7" t="s">
        <v>111</v>
      </c>
      <c r="N156" s="24">
        <v>45684</v>
      </c>
      <c r="O156" s="106">
        <v>45684</v>
      </c>
      <c r="P156" s="59">
        <v>235</v>
      </c>
      <c r="Q156" s="124" t="e">
        <f>P156*#REF!</f>
        <v>#REF!</v>
      </c>
      <c r="R156" s="126">
        <v>45684</v>
      </c>
      <c r="S156" s="153">
        <f>IF(L156="","",L156-B156)</f>
        <v>3</v>
      </c>
      <c r="T156" s="153">
        <f>IF(N156="","",N156-L156)</f>
        <v>3</v>
      </c>
      <c r="U156" s="153">
        <f>IF(O156="","",O156-N156)</f>
        <v>0</v>
      </c>
      <c r="V156" s="154">
        <f>IF(O156="","",O156-B156)</f>
        <v>6</v>
      </c>
      <c r="W156" s="154">
        <f>IF(O156="","",O156-L156)</f>
        <v>3</v>
      </c>
      <c r="X156" s="154">
        <f>IF(R156="","",R156-B156)</f>
        <v>6</v>
      </c>
    </row>
    <row r="157" spans="2:24" ht="17.25" hidden="1" customHeight="1">
      <c r="B157" s="23">
        <v>45678</v>
      </c>
      <c r="C157" s="7">
        <v>2003509966</v>
      </c>
      <c r="D157" s="20">
        <v>5716317</v>
      </c>
      <c r="E157" s="27" t="s">
        <v>123</v>
      </c>
      <c r="F157" s="7" t="s">
        <v>107</v>
      </c>
      <c r="G157" s="7" t="s">
        <v>10</v>
      </c>
      <c r="H157" s="7" t="s">
        <v>45</v>
      </c>
      <c r="I157" s="20" t="s">
        <v>423</v>
      </c>
      <c r="J157" s="20" t="s">
        <v>424</v>
      </c>
      <c r="K157" s="7" t="s">
        <v>119</v>
      </c>
      <c r="L157" s="61">
        <v>45686</v>
      </c>
      <c r="M157" s="7" t="s">
        <v>111</v>
      </c>
      <c r="N157" s="24">
        <v>45687</v>
      </c>
      <c r="O157" s="24">
        <v>45687</v>
      </c>
      <c r="P157" s="59"/>
      <c r="Q157" s="124" t="e">
        <f>P157*#REF!</f>
        <v>#REF!</v>
      </c>
      <c r="R157" s="126">
        <v>45688</v>
      </c>
      <c r="S157" s="153">
        <f>IF(L157="","",L157-B157)</f>
        <v>8</v>
      </c>
      <c r="T157" s="153">
        <f>IF(N157="","",N157-L157)</f>
        <v>1</v>
      </c>
      <c r="U157" s="153">
        <f>IF(O157="","",O157-N157)</f>
        <v>0</v>
      </c>
      <c r="V157" s="154">
        <f>IF(O157="","",O157-B157)</f>
        <v>9</v>
      </c>
      <c r="W157" s="154">
        <f>IF(O157="","",O157-L157)</f>
        <v>1</v>
      </c>
      <c r="X157" s="154">
        <f>IF(R157="","",R157-B157)</f>
        <v>10</v>
      </c>
    </row>
    <row r="158" spans="2:24" ht="17.25" hidden="1" customHeight="1">
      <c r="B158" s="23">
        <v>45678</v>
      </c>
      <c r="C158" s="7">
        <v>2003586780</v>
      </c>
      <c r="D158" s="20">
        <v>5716564</v>
      </c>
      <c r="E158" s="27" t="s">
        <v>366</v>
      </c>
      <c r="F158" s="7" t="s">
        <v>113</v>
      </c>
      <c r="G158" s="7" t="s">
        <v>70</v>
      </c>
      <c r="H158" s="7" t="s">
        <v>47</v>
      </c>
      <c r="I158" s="20" t="s">
        <v>425</v>
      </c>
      <c r="J158" s="20" t="s">
        <v>426</v>
      </c>
      <c r="K158" s="7" t="s">
        <v>160</v>
      </c>
      <c r="P158" s="59"/>
      <c r="Q158" s="124" t="e">
        <f>P158*#REF!</f>
        <v>#REF!</v>
      </c>
      <c r="R158" s="126">
        <v>45687</v>
      </c>
      <c r="S158" s="153" t="str">
        <f>IF(L158="","",L158-B158)</f>
        <v/>
      </c>
      <c r="T158" s="153" t="str">
        <f>IF(N158="","",N158-L158)</f>
        <v/>
      </c>
      <c r="U158" s="153" t="str">
        <f>IF(O158="","",O158-N158)</f>
        <v/>
      </c>
      <c r="V158" s="154" t="str">
        <f>IF(O158="","",O158-B158)</f>
        <v/>
      </c>
      <c r="W158" s="154" t="str">
        <f>IF(O158="","",O158-L158)</f>
        <v/>
      </c>
      <c r="X158" s="154">
        <f>IF(R158="","",R158-B158)</f>
        <v>9</v>
      </c>
    </row>
    <row r="159" spans="2:24" ht="17.25" hidden="1" customHeight="1">
      <c r="B159" s="23">
        <v>45678</v>
      </c>
      <c r="C159" s="7">
        <v>2003541789</v>
      </c>
      <c r="D159" s="20">
        <v>5716625</v>
      </c>
      <c r="E159" s="27" t="s">
        <v>143</v>
      </c>
      <c r="F159" s="7" t="s">
        <v>107</v>
      </c>
      <c r="G159" s="7" t="s">
        <v>30</v>
      </c>
      <c r="H159" s="7" t="s">
        <v>45</v>
      </c>
      <c r="I159" s="234" t="s">
        <v>427</v>
      </c>
      <c r="J159" s="20" t="s">
        <v>428</v>
      </c>
      <c r="K159" s="7" t="s">
        <v>111</v>
      </c>
      <c r="L159" s="61">
        <v>45679</v>
      </c>
      <c r="M159" s="7" t="s">
        <v>111</v>
      </c>
      <c r="N159" s="24">
        <v>45699</v>
      </c>
      <c r="O159" s="58">
        <v>45715</v>
      </c>
      <c r="P159" s="59"/>
      <c r="Q159" s="124" t="e">
        <f>P159*#REF!</f>
        <v>#REF!</v>
      </c>
      <c r="R159" s="126">
        <v>45715</v>
      </c>
      <c r="S159" s="153">
        <f>IF(L159="","",L159-B159)</f>
        <v>1</v>
      </c>
      <c r="T159" s="153">
        <f>IF(N159="","",N159-L159)</f>
        <v>20</v>
      </c>
      <c r="U159" s="153">
        <f>IF(O159="","",O159-N159)</f>
        <v>16</v>
      </c>
      <c r="V159" s="154">
        <f>IF(O159="","",O159-B159)</f>
        <v>37</v>
      </c>
      <c r="W159" s="154">
        <f>IF(O159="","",O159-L159)</f>
        <v>36</v>
      </c>
      <c r="X159" s="154">
        <f>IF(R159="","",R159-B159)</f>
        <v>37</v>
      </c>
    </row>
    <row r="160" spans="2:24" ht="17.25" hidden="1" customHeight="1">
      <c r="B160" s="23">
        <v>45678</v>
      </c>
      <c r="C160" s="7">
        <v>2003587808</v>
      </c>
      <c r="D160" s="20">
        <v>5716626</v>
      </c>
      <c r="E160" s="27" t="s">
        <v>129</v>
      </c>
      <c r="F160" s="7" t="s">
        <v>107</v>
      </c>
      <c r="G160" s="7" t="s">
        <v>10</v>
      </c>
      <c r="H160" s="7" t="s">
        <v>45</v>
      </c>
      <c r="I160" s="20" t="s">
        <v>429</v>
      </c>
      <c r="J160" s="20" t="s">
        <v>430</v>
      </c>
      <c r="K160" s="7" t="s">
        <v>110</v>
      </c>
      <c r="L160" s="61">
        <v>45681</v>
      </c>
      <c r="M160" s="7" t="s">
        <v>111</v>
      </c>
      <c r="N160" s="61">
        <v>45681</v>
      </c>
      <c r="O160" s="58">
        <v>45684</v>
      </c>
      <c r="P160" s="59">
        <v>88.1</v>
      </c>
      <c r="Q160" s="124" t="e">
        <f>P160*#REF!</f>
        <v>#REF!</v>
      </c>
      <c r="R160" s="126">
        <v>45684</v>
      </c>
      <c r="S160" s="153">
        <f>IF(L160="","",L160-B160)</f>
        <v>3</v>
      </c>
      <c r="T160" s="153">
        <f>IF(N160="","",N160-L160)</f>
        <v>0</v>
      </c>
      <c r="U160" s="153">
        <f>IF(O160="","",O160-N160)</f>
        <v>3</v>
      </c>
      <c r="V160" s="154">
        <f>IF(O160="","",O160-B160)</f>
        <v>6</v>
      </c>
      <c r="W160" s="154">
        <f>IF(O160="","",O160-L160)</f>
        <v>3</v>
      </c>
      <c r="X160" s="154">
        <f>IF(R160="","",R160-B160)</f>
        <v>6</v>
      </c>
    </row>
    <row r="161" spans="2:24" ht="17.25" hidden="1" customHeight="1">
      <c r="B161" s="23">
        <v>45678</v>
      </c>
      <c r="C161" s="7">
        <v>2003589034</v>
      </c>
      <c r="D161" s="20">
        <v>5716632</v>
      </c>
      <c r="E161" s="27" t="s">
        <v>129</v>
      </c>
      <c r="F161" s="7" t="s">
        <v>107</v>
      </c>
      <c r="G161" s="7" t="s">
        <v>10</v>
      </c>
      <c r="H161" s="7" t="s">
        <v>45</v>
      </c>
      <c r="I161" s="20" t="s">
        <v>429</v>
      </c>
      <c r="J161" s="20" t="s">
        <v>430</v>
      </c>
      <c r="K161" s="7" t="s">
        <v>110</v>
      </c>
      <c r="L161" s="61">
        <v>45681</v>
      </c>
      <c r="M161" s="7" t="s">
        <v>111</v>
      </c>
      <c r="N161" s="61">
        <v>45681</v>
      </c>
      <c r="O161" s="61">
        <v>45684</v>
      </c>
      <c r="P161" s="59"/>
      <c r="Q161" s="124" t="e">
        <f>P161*#REF!</f>
        <v>#REF!</v>
      </c>
      <c r="R161" s="126">
        <v>45684</v>
      </c>
      <c r="S161" s="153">
        <f>IF(L161="","",L161-B161)</f>
        <v>3</v>
      </c>
      <c r="T161" s="153">
        <f>IF(N161="","",N161-L161)</f>
        <v>0</v>
      </c>
      <c r="U161" s="153">
        <f>IF(O161="","",O161-N161)</f>
        <v>3</v>
      </c>
      <c r="V161" s="154">
        <f>IF(O161="","",O161-B161)</f>
        <v>6</v>
      </c>
      <c r="W161" s="154">
        <f>IF(O161="","",O161-L161)</f>
        <v>3</v>
      </c>
      <c r="X161" s="154">
        <f>IF(R161="","",R161-B161)</f>
        <v>6</v>
      </c>
    </row>
    <row r="162" spans="2:24" ht="17.25" hidden="1" customHeight="1">
      <c r="B162" s="23">
        <v>45678</v>
      </c>
      <c r="C162" s="7">
        <v>2003384789</v>
      </c>
      <c r="D162" s="20">
        <v>5716786</v>
      </c>
      <c r="E162" s="27" t="s">
        <v>106</v>
      </c>
      <c r="F162" s="7" t="s">
        <v>107</v>
      </c>
      <c r="G162" s="7" t="s">
        <v>10</v>
      </c>
      <c r="H162" s="7" t="s">
        <v>45</v>
      </c>
      <c r="I162" s="20" t="s">
        <v>431</v>
      </c>
      <c r="J162" s="20" t="s">
        <v>432</v>
      </c>
      <c r="K162" s="7" t="s">
        <v>110</v>
      </c>
      <c r="L162" s="61">
        <v>45685</v>
      </c>
      <c r="M162" s="7" t="s">
        <v>111</v>
      </c>
      <c r="N162" s="61">
        <v>45685</v>
      </c>
      <c r="O162" s="61">
        <v>45685</v>
      </c>
      <c r="P162" s="59"/>
      <c r="Q162" s="124" t="e">
        <f>P162*#REF!</f>
        <v>#REF!</v>
      </c>
      <c r="R162" s="126">
        <v>45686</v>
      </c>
      <c r="S162" s="153">
        <f>IF(L162="","",L162-B162)</f>
        <v>7</v>
      </c>
      <c r="T162" s="153">
        <f>IF(N162="","",N162-L162)</f>
        <v>0</v>
      </c>
      <c r="U162" s="153">
        <f>IF(O162="","",O162-N162)</f>
        <v>0</v>
      </c>
      <c r="V162" s="154">
        <f>IF(O162="","",O162-B162)</f>
        <v>7</v>
      </c>
      <c r="W162" s="154">
        <f>IF(O162="","",O162-L162)</f>
        <v>0</v>
      </c>
      <c r="X162" s="154">
        <f>IF(R162="","",R162-B162)</f>
        <v>8</v>
      </c>
    </row>
    <row r="163" spans="2:24" ht="17.25" hidden="1" customHeight="1">
      <c r="B163" s="23">
        <v>45678</v>
      </c>
      <c r="C163" s="7">
        <v>2003490178</v>
      </c>
      <c r="D163" s="20">
        <v>5716893</v>
      </c>
      <c r="E163" s="27" t="s">
        <v>408</v>
      </c>
      <c r="F163" s="7" t="s">
        <v>107</v>
      </c>
      <c r="G163" s="7" t="s">
        <v>21</v>
      </c>
      <c r="H163" s="7" t="s">
        <v>45</v>
      </c>
      <c r="I163" s="20" t="s">
        <v>245</v>
      </c>
      <c r="J163" s="20" t="s">
        <v>246</v>
      </c>
      <c r="K163" s="7" t="s">
        <v>110</v>
      </c>
      <c r="L163" s="61">
        <v>45681</v>
      </c>
      <c r="M163" s="7" t="s">
        <v>111</v>
      </c>
      <c r="N163" s="61">
        <v>45681</v>
      </c>
      <c r="O163" s="61">
        <v>45681</v>
      </c>
      <c r="P163" s="59"/>
      <c r="Q163" s="124" t="e">
        <f>P163*#REF!</f>
        <v>#REF!</v>
      </c>
      <c r="R163" s="126">
        <v>45684</v>
      </c>
      <c r="S163" s="153">
        <f>IF(L163="","",L163-B163)</f>
        <v>3</v>
      </c>
      <c r="T163" s="153">
        <f>IF(N163="","",N163-L163)</f>
        <v>0</v>
      </c>
      <c r="U163" s="153">
        <f>IF(O163="","",O163-N163)</f>
        <v>0</v>
      </c>
      <c r="V163" s="154">
        <f>IF(O163="","",O163-B163)</f>
        <v>3</v>
      </c>
      <c r="W163" s="154">
        <f>IF(O163="","",O163-L163)</f>
        <v>0</v>
      </c>
      <c r="X163" s="154">
        <f>IF(R163="","",R163-B163)</f>
        <v>6</v>
      </c>
    </row>
    <row r="164" spans="2:24" ht="17.25" hidden="1" customHeight="1">
      <c r="B164" s="23">
        <v>45678</v>
      </c>
      <c r="C164" s="7">
        <v>2003589039</v>
      </c>
      <c r="D164" s="20">
        <v>5716938</v>
      </c>
      <c r="E164" s="27" t="s">
        <v>198</v>
      </c>
      <c r="F164" s="7" t="s">
        <v>107</v>
      </c>
      <c r="G164" s="7" t="s">
        <v>18</v>
      </c>
      <c r="H164" s="7" t="s">
        <v>45</v>
      </c>
      <c r="I164" s="20" t="s">
        <v>243</v>
      </c>
      <c r="J164" s="20" t="s">
        <v>433</v>
      </c>
      <c r="K164" s="7" t="s">
        <v>119</v>
      </c>
      <c r="L164" s="61">
        <v>45680</v>
      </c>
      <c r="M164" s="7" t="s">
        <v>111</v>
      </c>
      <c r="N164" s="24">
        <v>45681</v>
      </c>
      <c r="O164" s="24">
        <v>45681</v>
      </c>
      <c r="P164" s="59"/>
      <c r="Q164" s="124" t="e">
        <f>P164*#REF!</f>
        <v>#REF!</v>
      </c>
      <c r="R164" s="126">
        <v>45681</v>
      </c>
      <c r="S164" s="153">
        <f>IF(L164="","",L164-B164)</f>
        <v>2</v>
      </c>
      <c r="T164" s="153">
        <f>IF(N164="","",N164-L164)</f>
        <v>1</v>
      </c>
      <c r="U164" s="153">
        <f>IF(O164="","",O164-N164)</f>
        <v>0</v>
      </c>
      <c r="V164" s="154">
        <f>IF(O164="","",O164-B164)</f>
        <v>3</v>
      </c>
      <c r="W164" s="154">
        <f>IF(O164="","",O164-L164)</f>
        <v>1</v>
      </c>
      <c r="X164" s="154">
        <f>IF(R164="","",R164-B164)</f>
        <v>3</v>
      </c>
    </row>
    <row r="165" spans="2:24" ht="17.25" hidden="1" customHeight="1">
      <c r="B165" s="23">
        <v>45678</v>
      </c>
      <c r="C165" s="7">
        <v>2003570957</v>
      </c>
      <c r="D165" s="20">
        <v>5716988</v>
      </c>
      <c r="E165" s="27" t="s">
        <v>143</v>
      </c>
      <c r="F165" s="7" t="s">
        <v>113</v>
      </c>
      <c r="G165" s="7" t="s">
        <v>70</v>
      </c>
      <c r="H165" s="7" t="s">
        <v>47</v>
      </c>
      <c r="I165" s="20" t="s">
        <v>434</v>
      </c>
      <c r="J165" s="20" t="s">
        <v>435</v>
      </c>
      <c r="K165" s="7" t="s">
        <v>160</v>
      </c>
      <c r="P165" s="59"/>
      <c r="Q165" s="124" t="e">
        <f>P165*#REF!</f>
        <v>#REF!</v>
      </c>
      <c r="R165" s="126">
        <v>45680</v>
      </c>
      <c r="S165" s="153" t="str">
        <f>IF(L165="","",L165-B165)</f>
        <v/>
      </c>
      <c r="T165" s="153" t="str">
        <f>IF(N165="","",N165-L165)</f>
        <v/>
      </c>
      <c r="U165" s="153" t="str">
        <f>IF(O165="","",O165-N165)</f>
        <v/>
      </c>
      <c r="V165" s="154" t="str">
        <f>IF(O165="","",O165-B165)</f>
        <v/>
      </c>
      <c r="W165" s="154" t="str">
        <f>IF(O165="","",O165-L165)</f>
        <v/>
      </c>
      <c r="X165" s="154">
        <f>IF(R165="","",R165-B165)</f>
        <v>2</v>
      </c>
    </row>
    <row r="166" spans="2:24" ht="17.25" hidden="1" customHeight="1">
      <c r="B166" s="23">
        <v>45678</v>
      </c>
      <c r="C166" s="7">
        <v>2003587696</v>
      </c>
      <c r="D166" s="20">
        <v>5716997</v>
      </c>
      <c r="E166" s="27" t="s">
        <v>116</v>
      </c>
      <c r="F166" s="7" t="s">
        <v>107</v>
      </c>
      <c r="G166" s="7" t="s">
        <v>10</v>
      </c>
      <c r="H166" s="7" t="s">
        <v>45</v>
      </c>
      <c r="I166" s="20" t="s">
        <v>270</v>
      </c>
      <c r="J166" s="20" t="s">
        <v>436</v>
      </c>
      <c r="K166" s="7" t="s">
        <v>119</v>
      </c>
      <c r="L166" s="61">
        <v>45684</v>
      </c>
      <c r="M166" s="7" t="s">
        <v>111</v>
      </c>
      <c r="N166" s="61">
        <v>45684</v>
      </c>
      <c r="O166" s="61">
        <v>45684</v>
      </c>
      <c r="P166" s="59"/>
      <c r="Q166" s="124" t="e">
        <f>P166*#REF!</f>
        <v>#REF!</v>
      </c>
      <c r="R166" s="126">
        <v>45684</v>
      </c>
      <c r="S166" s="153">
        <f>IF(L166="","",L166-B166)</f>
        <v>6</v>
      </c>
      <c r="T166" s="153">
        <f>IF(N166="","",N166-L166)</f>
        <v>0</v>
      </c>
      <c r="U166" s="153">
        <f>IF(O166="","",O166-N166)</f>
        <v>0</v>
      </c>
      <c r="V166" s="154">
        <f>IF(O166="","",O166-B166)</f>
        <v>6</v>
      </c>
      <c r="W166" s="154">
        <f>IF(O166="","",O166-L166)</f>
        <v>0</v>
      </c>
      <c r="X166" s="154">
        <f>IF(R166="","",R166-B166)</f>
        <v>6</v>
      </c>
    </row>
    <row r="167" spans="2:24" ht="17.25" hidden="1" customHeight="1">
      <c r="B167" s="23">
        <v>45678</v>
      </c>
      <c r="C167" s="7">
        <v>2003582647</v>
      </c>
      <c r="D167" s="20">
        <v>5717009</v>
      </c>
      <c r="E167" s="27" t="s">
        <v>116</v>
      </c>
      <c r="F167" s="7" t="s">
        <v>107</v>
      </c>
      <c r="G167" s="7" t="s">
        <v>18</v>
      </c>
      <c r="H167" s="7" t="s">
        <v>45</v>
      </c>
      <c r="I167" s="20" t="s">
        <v>437</v>
      </c>
      <c r="J167" s="20" t="s">
        <v>438</v>
      </c>
      <c r="K167" s="7" t="s">
        <v>119</v>
      </c>
      <c r="L167" s="61">
        <v>45680</v>
      </c>
      <c r="M167" s="7" t="s">
        <v>111</v>
      </c>
      <c r="N167" s="24">
        <v>45681</v>
      </c>
      <c r="O167" s="24">
        <v>45681</v>
      </c>
      <c r="P167" s="59"/>
      <c r="Q167" s="124" t="e">
        <f>P167*#REF!</f>
        <v>#REF!</v>
      </c>
      <c r="R167" s="126">
        <v>45681</v>
      </c>
      <c r="S167" s="153">
        <f>IF(L167="","",L167-B167)</f>
        <v>2</v>
      </c>
      <c r="T167" s="153">
        <f>IF(N167="","",N167-L167)</f>
        <v>1</v>
      </c>
      <c r="U167" s="153">
        <f>IF(O167="","",O167-N167)</f>
        <v>0</v>
      </c>
      <c r="V167" s="154">
        <f>IF(O167="","",O167-B167)</f>
        <v>3</v>
      </c>
      <c r="W167" s="154">
        <f>IF(O167="","",O167-L167)</f>
        <v>1</v>
      </c>
      <c r="X167" s="154">
        <f>IF(R167="","",R167-B167)</f>
        <v>3</v>
      </c>
    </row>
    <row r="168" spans="2:24" ht="17.25" hidden="1" customHeight="1">
      <c r="B168" s="23">
        <v>45678</v>
      </c>
      <c r="C168" s="7">
        <v>2003581987</v>
      </c>
      <c r="D168" s="20">
        <v>86203</v>
      </c>
      <c r="E168" s="27" t="s">
        <v>180</v>
      </c>
      <c r="F168" s="7" t="s">
        <v>113</v>
      </c>
      <c r="G168" s="7" t="s">
        <v>70</v>
      </c>
      <c r="H168" s="7" t="s">
        <v>47</v>
      </c>
      <c r="I168" s="20" t="s">
        <v>439</v>
      </c>
      <c r="J168" s="20" t="s">
        <v>440</v>
      </c>
      <c r="K168" s="7" t="s">
        <v>160</v>
      </c>
      <c r="P168" s="59"/>
      <c r="Q168" s="124" t="e">
        <f>P168*#REF!</f>
        <v>#REF!</v>
      </c>
      <c r="R168" s="126">
        <v>45685</v>
      </c>
      <c r="S168" s="153" t="str">
        <f>IF(L168="","",L168-B168)</f>
        <v/>
      </c>
      <c r="T168" s="153" t="str">
        <f>IF(N168="","",N168-L168)</f>
        <v/>
      </c>
      <c r="U168" s="153" t="str">
        <f>IF(O168="","",O168-N168)</f>
        <v/>
      </c>
      <c r="V168" s="154" t="str">
        <f>IF(O168="","",O168-B168)</f>
        <v/>
      </c>
      <c r="W168" s="154" t="str">
        <f>IF(O168="","",O168-L168)</f>
        <v/>
      </c>
      <c r="X168" s="154">
        <f>IF(R168="","",R168-B168)</f>
        <v>7</v>
      </c>
    </row>
    <row r="169" spans="2:24" ht="17.25" hidden="1" customHeight="1">
      <c r="B169" s="23">
        <v>45679</v>
      </c>
      <c r="C169" s="7">
        <v>2003588819</v>
      </c>
      <c r="D169" s="20">
        <v>5717503</v>
      </c>
      <c r="E169" s="27" t="s">
        <v>201</v>
      </c>
      <c r="F169" s="7" t="s">
        <v>107</v>
      </c>
      <c r="G169" s="7" t="s">
        <v>18</v>
      </c>
      <c r="H169" s="7" t="s">
        <v>45</v>
      </c>
      <c r="I169" s="20" t="s">
        <v>335</v>
      </c>
      <c r="J169" s="20" t="s">
        <v>441</v>
      </c>
      <c r="K169" s="7" t="s">
        <v>122</v>
      </c>
      <c r="L169" s="61">
        <v>45681</v>
      </c>
      <c r="M169" s="7" t="s">
        <v>111</v>
      </c>
      <c r="N169" s="24">
        <v>45684</v>
      </c>
      <c r="O169" s="24">
        <v>45684</v>
      </c>
      <c r="P169" s="59"/>
      <c r="Q169" s="124" t="e">
        <f>P169*#REF!</f>
        <v>#REF!</v>
      </c>
      <c r="R169" s="126">
        <v>45684</v>
      </c>
      <c r="S169" s="153">
        <f>IF(L169="","",L169-B169)</f>
        <v>2</v>
      </c>
      <c r="T169" s="153">
        <f>IF(N169="","",N169-L169)</f>
        <v>3</v>
      </c>
      <c r="U169" s="153">
        <f>IF(O169="","",O169-N169)</f>
        <v>0</v>
      </c>
      <c r="V169" s="154">
        <f>IF(O169="","",O169-B169)</f>
        <v>5</v>
      </c>
      <c r="W169" s="154">
        <f>IF(O169="","",O169-L169)</f>
        <v>3</v>
      </c>
      <c r="X169" s="154">
        <f>IF(R169="","",R169-B169)</f>
        <v>5</v>
      </c>
    </row>
    <row r="170" spans="2:24" ht="17.25" hidden="1" customHeight="1">
      <c r="B170" s="23">
        <v>45680</v>
      </c>
      <c r="C170" s="7">
        <v>2003558401</v>
      </c>
      <c r="D170" s="20">
        <v>5737090</v>
      </c>
      <c r="E170" s="27" t="s">
        <v>129</v>
      </c>
      <c r="F170" s="7" t="s">
        <v>107</v>
      </c>
      <c r="G170" s="7" t="s">
        <v>10</v>
      </c>
      <c r="H170" s="7" t="s">
        <v>45</v>
      </c>
      <c r="I170" s="20" t="s">
        <v>442</v>
      </c>
      <c r="J170" s="20" t="s">
        <v>443</v>
      </c>
      <c r="K170" s="7" t="s">
        <v>122</v>
      </c>
      <c r="L170" s="61">
        <v>45684</v>
      </c>
      <c r="M170" s="7" t="s">
        <v>111</v>
      </c>
      <c r="N170" s="61">
        <v>45685</v>
      </c>
      <c r="O170" s="61">
        <v>45685</v>
      </c>
      <c r="P170" s="59">
        <v>255</v>
      </c>
      <c r="Q170" s="124" t="e">
        <f>P170*#REF!</f>
        <v>#REF!</v>
      </c>
      <c r="R170" s="126">
        <v>45685</v>
      </c>
      <c r="S170" s="153">
        <f>IF(L170="","",L170-B170)</f>
        <v>4</v>
      </c>
      <c r="T170" s="153">
        <f>IF(N170="","",N170-L170)</f>
        <v>1</v>
      </c>
      <c r="U170" s="153">
        <f>IF(O170="","",O170-N170)</f>
        <v>0</v>
      </c>
      <c r="V170" s="154">
        <f>IF(O170="","",O170-B170)</f>
        <v>5</v>
      </c>
      <c r="W170" s="154">
        <f>IF(O170="","",O170-L170)</f>
        <v>1</v>
      </c>
      <c r="X170" s="154">
        <f>IF(R170="","",R170-B170)</f>
        <v>5</v>
      </c>
    </row>
    <row r="171" spans="2:24" ht="17.25" hidden="1" customHeight="1">
      <c r="B171" s="23">
        <v>45681</v>
      </c>
      <c r="C171" s="7">
        <v>2003582504</v>
      </c>
      <c r="D171" s="20">
        <v>5737816</v>
      </c>
      <c r="E171" s="27" t="s">
        <v>138</v>
      </c>
      <c r="F171" s="7" t="s">
        <v>107</v>
      </c>
      <c r="G171" s="7" t="s">
        <v>10</v>
      </c>
      <c r="H171" s="7" t="s">
        <v>45</v>
      </c>
      <c r="I171" s="20" t="s">
        <v>444</v>
      </c>
      <c r="J171" s="20" t="s">
        <v>445</v>
      </c>
      <c r="K171" s="7" t="s">
        <v>122</v>
      </c>
      <c r="L171" s="61">
        <v>45684</v>
      </c>
      <c r="M171" s="7" t="s">
        <v>111</v>
      </c>
      <c r="N171" s="24">
        <v>45686</v>
      </c>
      <c r="O171" s="106">
        <v>45687</v>
      </c>
      <c r="P171" s="59"/>
      <c r="Q171" s="124" t="e">
        <f>P171*#REF!</f>
        <v>#REF!</v>
      </c>
      <c r="R171" s="126">
        <v>45688</v>
      </c>
      <c r="S171" s="153">
        <f>IF(L171="","",L171-B171)</f>
        <v>3</v>
      </c>
      <c r="T171" s="153">
        <f>IF(N171="","",N171-L171)</f>
        <v>2</v>
      </c>
      <c r="U171" s="153">
        <f>IF(O171="","",O171-N171)</f>
        <v>1</v>
      </c>
      <c r="V171" s="154">
        <f>IF(O171="","",O171-B171)</f>
        <v>6</v>
      </c>
      <c r="W171" s="154">
        <f>IF(O171="","",O171-L171)</f>
        <v>3</v>
      </c>
      <c r="X171" s="154">
        <f>IF(R171="","",R171-B171)</f>
        <v>7</v>
      </c>
    </row>
    <row r="172" spans="2:24" ht="17.25" hidden="1" customHeight="1">
      <c r="B172" s="23">
        <v>45679</v>
      </c>
      <c r="C172" s="7">
        <v>2003538619</v>
      </c>
      <c r="D172" s="20">
        <v>5717441</v>
      </c>
      <c r="E172" s="27" t="s">
        <v>143</v>
      </c>
      <c r="F172" s="7" t="s">
        <v>107</v>
      </c>
      <c r="G172" s="7" t="s">
        <v>10</v>
      </c>
      <c r="H172" s="7" t="s">
        <v>45</v>
      </c>
      <c r="I172" s="20" t="s">
        <v>249</v>
      </c>
      <c r="J172" s="20" t="s">
        <v>446</v>
      </c>
      <c r="K172" s="7" t="s">
        <v>122</v>
      </c>
      <c r="L172" s="61">
        <v>45685</v>
      </c>
      <c r="M172" s="7" t="s">
        <v>111</v>
      </c>
      <c r="N172" s="24">
        <v>45687</v>
      </c>
      <c r="O172" s="23">
        <v>45688</v>
      </c>
      <c r="P172" s="59"/>
      <c r="Q172" s="124" t="e">
        <f>P172*#REF!</f>
        <v>#REF!</v>
      </c>
      <c r="R172" s="126">
        <v>45688</v>
      </c>
      <c r="S172" s="153">
        <f>IF(L172="","",L172-B172)</f>
        <v>6</v>
      </c>
      <c r="T172" s="153">
        <f>IF(N172="","",N172-L172)</f>
        <v>2</v>
      </c>
      <c r="U172" s="153">
        <f>IF(O172="","",O172-N172)</f>
        <v>1</v>
      </c>
      <c r="V172" s="154">
        <f>IF(O172="","",O172-B172)</f>
        <v>9</v>
      </c>
      <c r="W172" s="154">
        <f>IF(O172="","",O172-L172)</f>
        <v>3</v>
      </c>
      <c r="X172" s="154">
        <f>IF(R172="","",R172-B172)</f>
        <v>9</v>
      </c>
    </row>
    <row r="173" spans="2:24" ht="17.25" hidden="1" customHeight="1">
      <c r="B173" s="23">
        <v>45679</v>
      </c>
      <c r="C173" s="7">
        <v>2003585959</v>
      </c>
      <c r="D173" s="20">
        <v>5717455</v>
      </c>
      <c r="E173" s="27" t="s">
        <v>143</v>
      </c>
      <c r="F173" s="7" t="s">
        <v>107</v>
      </c>
      <c r="G173" s="7" t="s">
        <v>10</v>
      </c>
      <c r="H173" s="7" t="s">
        <v>45</v>
      </c>
      <c r="I173" s="20" t="s">
        <v>249</v>
      </c>
      <c r="J173" s="20" t="s">
        <v>446</v>
      </c>
      <c r="K173" s="7" t="s">
        <v>122</v>
      </c>
      <c r="L173" s="61">
        <v>45685</v>
      </c>
      <c r="M173" s="7" t="s">
        <v>111</v>
      </c>
      <c r="N173" s="24">
        <v>45687</v>
      </c>
      <c r="O173" s="24">
        <v>45687</v>
      </c>
      <c r="P173" s="59"/>
      <c r="Q173" s="124" t="e">
        <f>P173*#REF!</f>
        <v>#REF!</v>
      </c>
      <c r="R173" s="126">
        <v>45688</v>
      </c>
      <c r="S173" s="153">
        <f>IF(L173="","",L173-B173)</f>
        <v>6</v>
      </c>
      <c r="T173" s="153">
        <f>IF(N173="","",N173-L173)</f>
        <v>2</v>
      </c>
      <c r="U173" s="153">
        <f>IF(O173="","",O173-N173)</f>
        <v>0</v>
      </c>
      <c r="V173" s="154">
        <f>IF(O173="","",O173-B173)</f>
        <v>8</v>
      </c>
      <c r="W173" s="154">
        <f>IF(O173="","",O173-L173)</f>
        <v>2</v>
      </c>
      <c r="X173" s="154">
        <f>IF(R173="","",R173-B173)</f>
        <v>9</v>
      </c>
    </row>
    <row r="174" spans="2:24" ht="17.25" hidden="1" customHeight="1">
      <c r="B174" s="23">
        <v>45679</v>
      </c>
      <c r="C174" s="7">
        <v>2003492528</v>
      </c>
      <c r="D174" s="20">
        <v>5717522</v>
      </c>
      <c r="E174" s="27" t="s">
        <v>129</v>
      </c>
      <c r="F174" s="7" t="s">
        <v>113</v>
      </c>
      <c r="G174" s="7" t="s">
        <v>70</v>
      </c>
      <c r="H174" s="7" t="s">
        <v>47</v>
      </c>
      <c r="I174" s="20" t="s">
        <v>400</v>
      </c>
      <c r="J174" s="20" t="s">
        <v>447</v>
      </c>
      <c r="K174" s="7" t="s">
        <v>160</v>
      </c>
      <c r="P174" s="59"/>
      <c r="Q174" s="124" t="e">
        <f>P174*#REF!</f>
        <v>#REF!</v>
      </c>
      <c r="R174" s="126">
        <v>45687</v>
      </c>
      <c r="S174" s="153" t="str">
        <f>IF(L174="","",L174-B174)</f>
        <v/>
      </c>
      <c r="T174" s="153" t="str">
        <f>IF(N174="","",N174-L174)</f>
        <v/>
      </c>
      <c r="U174" s="153" t="str">
        <f>IF(O174="","",O174-N174)</f>
        <v/>
      </c>
      <c r="V174" s="154" t="str">
        <f>IF(O174="","",O174-B174)</f>
        <v/>
      </c>
      <c r="W174" s="154" t="str">
        <f>IF(O174="","",O174-L174)</f>
        <v/>
      </c>
      <c r="X174" s="154">
        <f>IF(R174="","",R174-B174)</f>
        <v>8</v>
      </c>
    </row>
    <row r="175" spans="2:24" ht="17.25" hidden="1" customHeight="1">
      <c r="B175" s="23">
        <v>45679</v>
      </c>
      <c r="C175" s="7">
        <v>2003561217</v>
      </c>
      <c r="D175" s="20">
        <v>5717571</v>
      </c>
      <c r="E175" s="27" t="s">
        <v>123</v>
      </c>
      <c r="F175" s="7" t="s">
        <v>107</v>
      </c>
      <c r="G175" s="7" t="s">
        <v>10</v>
      </c>
      <c r="H175" s="7" t="s">
        <v>45</v>
      </c>
      <c r="I175" s="20" t="s">
        <v>448</v>
      </c>
      <c r="J175" s="20" t="s">
        <v>449</v>
      </c>
      <c r="K175" s="7" t="s">
        <v>119</v>
      </c>
      <c r="L175" s="61">
        <v>45681</v>
      </c>
      <c r="M175" s="7" t="s">
        <v>111</v>
      </c>
      <c r="N175" s="61">
        <v>45681</v>
      </c>
      <c r="O175" s="61">
        <v>45681</v>
      </c>
      <c r="P175" s="59"/>
      <c r="Q175" s="124" t="e">
        <f>P175*#REF!</f>
        <v>#REF!</v>
      </c>
      <c r="R175" s="126">
        <v>45684</v>
      </c>
      <c r="S175" s="153">
        <f>IF(L175="","",L175-B175)</f>
        <v>2</v>
      </c>
      <c r="T175" s="153">
        <f>IF(N175="","",N175-L175)</f>
        <v>0</v>
      </c>
      <c r="U175" s="153">
        <f>IF(O175="","",O175-N175)</f>
        <v>0</v>
      </c>
      <c r="V175" s="154">
        <f>IF(O175="","",O175-B175)</f>
        <v>2</v>
      </c>
      <c r="W175" s="154">
        <f>IF(O175="","",O175-L175)</f>
        <v>0</v>
      </c>
      <c r="X175" s="154">
        <f>IF(R175="","",R175-B175)</f>
        <v>5</v>
      </c>
    </row>
    <row r="176" spans="2:24" ht="17.25" hidden="1" customHeight="1">
      <c r="B176" s="23">
        <v>45679</v>
      </c>
      <c r="C176" s="7">
        <v>2003589016</v>
      </c>
      <c r="D176" s="20">
        <v>5717604</v>
      </c>
      <c r="E176" s="27" t="s">
        <v>180</v>
      </c>
      <c r="F176" s="7" t="s">
        <v>107</v>
      </c>
      <c r="G176" s="7" t="s">
        <v>10</v>
      </c>
      <c r="H176" s="7" t="s">
        <v>45</v>
      </c>
      <c r="I176" s="20" t="s">
        <v>133</v>
      </c>
      <c r="J176" s="20" t="s">
        <v>450</v>
      </c>
      <c r="K176" s="7" t="s">
        <v>119</v>
      </c>
      <c r="L176" s="61">
        <v>45684</v>
      </c>
      <c r="M176" s="7" t="s">
        <v>111</v>
      </c>
      <c r="N176" s="61">
        <v>45684</v>
      </c>
      <c r="O176" s="61">
        <v>45685</v>
      </c>
      <c r="P176" s="59"/>
      <c r="Q176" s="124" t="e">
        <f>P176*#REF!</f>
        <v>#REF!</v>
      </c>
      <c r="R176" s="126">
        <v>45686</v>
      </c>
      <c r="S176" s="153">
        <f>IF(L176="","",L176-B176)</f>
        <v>5</v>
      </c>
      <c r="T176" s="153">
        <f>IF(N176="","",N176-L176)</f>
        <v>0</v>
      </c>
      <c r="U176" s="153">
        <f>IF(O176="","",O176-N176)</f>
        <v>1</v>
      </c>
      <c r="V176" s="154">
        <f>IF(O176="","",O176-B176)</f>
        <v>6</v>
      </c>
      <c r="W176" s="154">
        <f>IF(O176="","",O176-L176)</f>
        <v>1</v>
      </c>
      <c r="X176" s="154">
        <f>IF(R176="","",R176-B176)</f>
        <v>7</v>
      </c>
    </row>
    <row r="177" spans="2:24" ht="17.25" hidden="1" customHeight="1">
      <c r="B177" s="23">
        <v>45679</v>
      </c>
      <c r="C177" s="7">
        <v>2003588378</v>
      </c>
      <c r="D177" s="20">
        <v>86851</v>
      </c>
      <c r="E177" s="20" t="s">
        <v>123</v>
      </c>
      <c r="F177" s="7" t="s">
        <v>107</v>
      </c>
      <c r="G177" s="7" t="s">
        <v>18</v>
      </c>
      <c r="H177" s="7" t="s">
        <v>45</v>
      </c>
      <c r="I177" s="20" t="s">
        <v>451</v>
      </c>
      <c r="J177" s="20" t="s">
        <v>452</v>
      </c>
      <c r="K177" s="7" t="s">
        <v>122</v>
      </c>
      <c r="L177" s="61">
        <v>45685</v>
      </c>
      <c r="M177" s="7" t="s">
        <v>111</v>
      </c>
      <c r="N177" s="24">
        <v>45686</v>
      </c>
      <c r="O177" s="106">
        <v>45686</v>
      </c>
      <c r="P177" s="59"/>
      <c r="Q177" s="124" t="e">
        <f>P177*#REF!</f>
        <v>#REF!</v>
      </c>
      <c r="R177" s="126">
        <v>45688</v>
      </c>
      <c r="S177" s="153">
        <f>IF(L177="","",L177-B177)</f>
        <v>6</v>
      </c>
      <c r="T177" s="153">
        <f>IF(N177="","",N177-L177)</f>
        <v>1</v>
      </c>
      <c r="U177" s="153">
        <f>IF(O177="","",O177-N177)</f>
        <v>0</v>
      </c>
      <c r="V177" s="154">
        <f>IF(O177="","",O177-B177)</f>
        <v>7</v>
      </c>
      <c r="W177" s="154">
        <f>IF(O177="","",O177-L177)</f>
        <v>1</v>
      </c>
      <c r="X177" s="154">
        <f>IF(R177="","",R177-B177)</f>
        <v>9</v>
      </c>
    </row>
    <row r="178" spans="2:24" ht="17.25" hidden="1" customHeight="1">
      <c r="B178" s="23">
        <v>45679</v>
      </c>
      <c r="C178" s="7">
        <v>2003589369</v>
      </c>
      <c r="D178" s="20">
        <v>5717838</v>
      </c>
      <c r="E178" s="27" t="s">
        <v>149</v>
      </c>
      <c r="F178" s="7" t="s">
        <v>107</v>
      </c>
      <c r="G178" s="7" t="s">
        <v>10</v>
      </c>
      <c r="H178" s="7" t="s">
        <v>45</v>
      </c>
      <c r="I178" s="20" t="s">
        <v>453</v>
      </c>
      <c r="J178" s="20" t="s">
        <v>454</v>
      </c>
      <c r="K178" s="7" t="s">
        <v>110</v>
      </c>
      <c r="L178" s="61">
        <v>45681</v>
      </c>
      <c r="M178" s="7" t="s">
        <v>111</v>
      </c>
      <c r="N178" s="61">
        <v>45681</v>
      </c>
      <c r="O178" s="58">
        <v>45684</v>
      </c>
      <c r="P178" s="59"/>
      <c r="Q178" s="124" t="e">
        <f>P178*#REF!</f>
        <v>#REF!</v>
      </c>
      <c r="R178" s="126">
        <v>45684</v>
      </c>
      <c r="S178" s="153">
        <f>IF(L178="","",L178-B178)</f>
        <v>2</v>
      </c>
      <c r="T178" s="153">
        <f>IF(N178="","",N178-L178)</f>
        <v>0</v>
      </c>
      <c r="U178" s="153">
        <f>IF(O178="","",O178-N178)</f>
        <v>3</v>
      </c>
      <c r="V178" s="154">
        <f>IF(O178="","",O178-B178)</f>
        <v>5</v>
      </c>
      <c r="W178" s="154">
        <f>IF(O178="","",O178-L178)</f>
        <v>3</v>
      </c>
      <c r="X178" s="154">
        <f>IF(R178="","",R178-B178)</f>
        <v>5</v>
      </c>
    </row>
    <row r="179" spans="2:24" ht="17.25" hidden="1" customHeight="1">
      <c r="B179" s="23">
        <v>45679</v>
      </c>
      <c r="C179" s="7">
        <v>2003586564</v>
      </c>
      <c r="D179" s="20">
        <v>5717900</v>
      </c>
      <c r="E179" s="27" t="s">
        <v>163</v>
      </c>
      <c r="F179" s="7" t="s">
        <v>107</v>
      </c>
      <c r="G179" s="7" t="s">
        <v>18</v>
      </c>
      <c r="H179" s="7" t="s">
        <v>45</v>
      </c>
      <c r="I179" s="20" t="s">
        <v>455</v>
      </c>
      <c r="J179" s="20" t="s">
        <v>456</v>
      </c>
      <c r="K179" s="7" t="s">
        <v>110</v>
      </c>
      <c r="L179" s="61">
        <v>45681</v>
      </c>
      <c r="M179" s="7" t="s">
        <v>111</v>
      </c>
      <c r="N179" s="61">
        <v>45681</v>
      </c>
      <c r="O179" s="61">
        <v>45684</v>
      </c>
      <c r="P179" s="59"/>
      <c r="Q179" s="124" t="e">
        <f>P179*#REF!</f>
        <v>#REF!</v>
      </c>
      <c r="R179" s="126">
        <v>45684</v>
      </c>
      <c r="S179" s="153">
        <f>IF(L179="","",L179-B179)</f>
        <v>2</v>
      </c>
      <c r="T179" s="153">
        <f>IF(N179="","",N179-L179)</f>
        <v>0</v>
      </c>
      <c r="U179" s="153">
        <f>IF(O179="","",O179-N179)</f>
        <v>3</v>
      </c>
      <c r="V179" s="154">
        <f>IF(O179="","",O179-B179)</f>
        <v>5</v>
      </c>
      <c r="W179" s="154">
        <f>IF(O179="","",O179-L179)</f>
        <v>3</v>
      </c>
      <c r="X179" s="154">
        <f>IF(R179="","",R179-B179)</f>
        <v>5</v>
      </c>
    </row>
    <row r="180" spans="2:24" ht="17.25" hidden="1" customHeight="1">
      <c r="B180" s="23">
        <v>45679</v>
      </c>
      <c r="C180" s="7">
        <v>2003339694</v>
      </c>
      <c r="D180" s="20">
        <v>5718032</v>
      </c>
      <c r="E180" s="27" t="s">
        <v>163</v>
      </c>
      <c r="F180" s="7" t="s">
        <v>107</v>
      </c>
      <c r="G180" s="7" t="s">
        <v>10</v>
      </c>
      <c r="H180" s="7" t="s">
        <v>45</v>
      </c>
      <c r="I180" s="20" t="s">
        <v>457</v>
      </c>
      <c r="J180" s="20" t="s">
        <v>458</v>
      </c>
      <c r="K180" s="7" t="s">
        <v>119</v>
      </c>
      <c r="L180" s="61">
        <v>45681</v>
      </c>
      <c r="M180" s="7" t="s">
        <v>111</v>
      </c>
      <c r="N180" s="61">
        <v>45681</v>
      </c>
      <c r="O180" s="61">
        <v>45681</v>
      </c>
      <c r="P180" s="59"/>
      <c r="Q180" s="124" t="e">
        <f>P180*#REF!</f>
        <v>#REF!</v>
      </c>
      <c r="R180" s="126">
        <v>45684</v>
      </c>
      <c r="S180" s="153">
        <f>IF(L180="","",L180-B180)</f>
        <v>2</v>
      </c>
      <c r="T180" s="153">
        <f>IF(N180="","",N180-L180)</f>
        <v>0</v>
      </c>
      <c r="U180" s="153">
        <f>IF(O180="","",O180-N180)</f>
        <v>0</v>
      </c>
      <c r="V180" s="154">
        <f>IF(O180="","",O180-B180)</f>
        <v>2</v>
      </c>
      <c r="W180" s="154">
        <f>IF(O180="","",O180-L180)</f>
        <v>0</v>
      </c>
      <c r="X180" s="154">
        <f>IF(R180="","",R180-B180)</f>
        <v>5</v>
      </c>
    </row>
    <row r="181" spans="2:24" ht="17.25" hidden="1" customHeight="1">
      <c r="B181" s="23">
        <v>45681</v>
      </c>
      <c r="C181" s="7">
        <v>2003549229</v>
      </c>
      <c r="D181" s="20">
        <v>5738366</v>
      </c>
      <c r="E181" s="27" t="s">
        <v>116</v>
      </c>
      <c r="F181" s="7" t="s">
        <v>107</v>
      </c>
      <c r="G181" s="7" t="s">
        <v>10</v>
      </c>
      <c r="H181" s="7" t="s">
        <v>45</v>
      </c>
      <c r="I181" s="20" t="s">
        <v>459</v>
      </c>
      <c r="J181" s="20" t="s">
        <v>460</v>
      </c>
      <c r="K181" s="7" t="s">
        <v>122</v>
      </c>
      <c r="L181" s="61">
        <v>45685</v>
      </c>
      <c r="M181" s="7" t="s">
        <v>111</v>
      </c>
      <c r="N181" s="24">
        <v>45686</v>
      </c>
      <c r="O181" s="106">
        <v>45686</v>
      </c>
      <c r="P181" s="59"/>
      <c r="Q181" s="124" t="e">
        <f>P181*#REF!</f>
        <v>#REF!</v>
      </c>
      <c r="R181" s="126">
        <v>45686</v>
      </c>
      <c r="S181" s="153">
        <f>IF(L181="","",L181-B181)</f>
        <v>4</v>
      </c>
      <c r="T181" s="153">
        <f>IF(N181="","",N181-L181)</f>
        <v>1</v>
      </c>
      <c r="U181" s="153">
        <f>IF(O181="","",O181-N181)</f>
        <v>0</v>
      </c>
      <c r="V181" s="154">
        <f>IF(O181="","",O181-B181)</f>
        <v>5</v>
      </c>
      <c r="W181" s="154">
        <f>IF(O181="","",O181-L181)</f>
        <v>1</v>
      </c>
      <c r="X181" s="154">
        <f>IF(R181="","",R181-B181)</f>
        <v>5</v>
      </c>
    </row>
    <row r="182" spans="2:24" ht="17.25" hidden="1" customHeight="1">
      <c r="B182" s="23">
        <v>45677</v>
      </c>
      <c r="C182" s="7">
        <v>2003586144</v>
      </c>
      <c r="D182" s="20">
        <v>5715563</v>
      </c>
      <c r="E182" s="27" t="s">
        <v>116</v>
      </c>
      <c r="F182" s="7" t="s">
        <v>107</v>
      </c>
      <c r="G182" s="7" t="s">
        <v>18</v>
      </c>
      <c r="H182" s="7" t="s">
        <v>45</v>
      </c>
      <c r="I182" s="20" t="s">
        <v>417</v>
      </c>
      <c r="J182" s="20" t="s">
        <v>461</v>
      </c>
      <c r="K182" s="7" t="s">
        <v>122</v>
      </c>
      <c r="L182" s="61">
        <v>45686</v>
      </c>
      <c r="M182" s="7" t="s">
        <v>111</v>
      </c>
      <c r="N182" s="24">
        <v>45687</v>
      </c>
      <c r="O182" s="24">
        <v>45688</v>
      </c>
      <c r="P182" s="59">
        <v>244</v>
      </c>
      <c r="Q182" s="124" t="e">
        <f>P182*#REF!</f>
        <v>#REF!</v>
      </c>
      <c r="R182" s="126">
        <v>45688</v>
      </c>
      <c r="S182" s="153">
        <f>IF(L182="","",L182-B182)</f>
        <v>9</v>
      </c>
      <c r="T182" s="153">
        <f>IF(N182="","",N182-L182)</f>
        <v>1</v>
      </c>
      <c r="U182" s="153">
        <f>IF(O182="","",O182-N182)</f>
        <v>1</v>
      </c>
      <c r="V182" s="154">
        <f>IF(O182="","",O182-B182)</f>
        <v>11</v>
      </c>
      <c r="W182" s="154">
        <f>IF(O182="","",O182-L182)</f>
        <v>2</v>
      </c>
      <c r="X182" s="154">
        <f>IF(R182="","",R182-B182)</f>
        <v>11</v>
      </c>
    </row>
    <row r="183" spans="2:24" ht="17.25" hidden="1" customHeight="1">
      <c r="B183" s="23">
        <v>45679</v>
      </c>
      <c r="C183" s="7">
        <v>2003587637</v>
      </c>
      <c r="D183" s="20">
        <v>86569</v>
      </c>
      <c r="E183" s="27" t="s">
        <v>123</v>
      </c>
      <c r="F183" s="7" t="s">
        <v>107</v>
      </c>
      <c r="G183" s="7" t="s">
        <v>18</v>
      </c>
      <c r="H183" s="7" t="s">
        <v>45</v>
      </c>
      <c r="I183" s="20" t="s">
        <v>462</v>
      </c>
      <c r="J183" s="20" t="s">
        <v>463</v>
      </c>
      <c r="K183" s="7" t="s">
        <v>119</v>
      </c>
      <c r="L183" s="61">
        <v>45680</v>
      </c>
      <c r="M183" s="7" t="s">
        <v>111</v>
      </c>
      <c r="N183" s="24">
        <v>45686</v>
      </c>
      <c r="O183" s="58">
        <v>45692</v>
      </c>
      <c r="P183" s="59"/>
      <c r="Q183" s="124" t="e">
        <f>P183*#REF!</f>
        <v>#REF!</v>
      </c>
      <c r="R183" s="126">
        <v>45692</v>
      </c>
      <c r="S183" s="153">
        <f>IF(L183="","",L183-B183)</f>
        <v>1</v>
      </c>
      <c r="T183" s="153">
        <f>IF(N183="","",N183-L183)</f>
        <v>6</v>
      </c>
      <c r="U183" s="153">
        <f>IF(O183="","",O183-N183)</f>
        <v>6</v>
      </c>
      <c r="V183" s="154">
        <f>IF(O183="","",O183-B183)</f>
        <v>13</v>
      </c>
      <c r="W183" s="154">
        <f>IF(O183="","",O183-L183)</f>
        <v>12</v>
      </c>
      <c r="X183" s="154">
        <f>IF(R183="","",R183-B183)</f>
        <v>13</v>
      </c>
    </row>
    <row r="184" spans="2:24" ht="17.25" hidden="1" customHeight="1">
      <c r="B184" s="23">
        <v>45678</v>
      </c>
      <c r="C184" s="7">
        <v>2003565456</v>
      </c>
      <c r="D184" s="20">
        <v>86307</v>
      </c>
      <c r="E184" s="27" t="s">
        <v>143</v>
      </c>
      <c r="F184" s="7" t="s">
        <v>107</v>
      </c>
      <c r="G184" s="7" t="s">
        <v>18</v>
      </c>
      <c r="H184" s="7" t="s">
        <v>45</v>
      </c>
      <c r="I184" s="20" t="s">
        <v>464</v>
      </c>
      <c r="J184" s="20" t="s">
        <v>465</v>
      </c>
      <c r="K184" s="7" t="s">
        <v>122</v>
      </c>
      <c r="L184" s="61">
        <v>45686</v>
      </c>
      <c r="M184" s="7" t="s">
        <v>111</v>
      </c>
      <c r="N184" s="24">
        <v>45687</v>
      </c>
      <c r="O184" s="24">
        <v>45687</v>
      </c>
      <c r="P184" s="59"/>
      <c r="Q184" s="124" t="e">
        <f>P184*#REF!</f>
        <v>#REF!</v>
      </c>
      <c r="R184" s="126">
        <v>45688</v>
      </c>
      <c r="S184" s="153">
        <f>IF(L184="","",L184-B184)</f>
        <v>8</v>
      </c>
      <c r="T184" s="153">
        <f>IF(N184="","",N184-L184)</f>
        <v>1</v>
      </c>
      <c r="U184" s="153">
        <f>IF(O184="","",O184-N184)</f>
        <v>0</v>
      </c>
      <c r="V184" s="154">
        <f>IF(O184="","",O184-B184)</f>
        <v>9</v>
      </c>
      <c r="W184" s="154">
        <f>IF(O184="","",O184-L184)</f>
        <v>1</v>
      </c>
      <c r="X184" s="154">
        <f>IF(R184="","",R184-B184)</f>
        <v>10</v>
      </c>
    </row>
    <row r="185" spans="2:24" ht="17.25" hidden="1" customHeight="1">
      <c r="B185" s="23">
        <v>45679</v>
      </c>
      <c r="C185" s="7">
        <v>2003586530</v>
      </c>
      <c r="D185" s="20">
        <v>86713</v>
      </c>
      <c r="E185" s="27" t="s">
        <v>106</v>
      </c>
      <c r="F185" s="7" t="s">
        <v>107</v>
      </c>
      <c r="G185" s="7" t="s">
        <v>10</v>
      </c>
      <c r="H185" s="7" t="s">
        <v>45</v>
      </c>
      <c r="I185" s="20" t="s">
        <v>466</v>
      </c>
      <c r="J185" s="20" t="s">
        <v>467</v>
      </c>
      <c r="K185" s="7" t="s">
        <v>119</v>
      </c>
      <c r="L185" s="61">
        <v>45686</v>
      </c>
      <c r="M185" s="7" t="s">
        <v>111</v>
      </c>
      <c r="N185" s="24">
        <v>45692</v>
      </c>
      <c r="O185" s="24">
        <v>45692</v>
      </c>
      <c r="P185" s="59"/>
      <c r="Q185" s="124" t="e">
        <f>P185*#REF!</f>
        <v>#REF!</v>
      </c>
      <c r="R185" s="126">
        <v>45692</v>
      </c>
      <c r="S185" s="153">
        <f>IF(L185="","",L185-B185)</f>
        <v>7</v>
      </c>
      <c r="T185" s="153">
        <f>IF(N185="","",N185-L185)</f>
        <v>6</v>
      </c>
      <c r="U185" s="153">
        <f>IF(O185="","",O185-N185)</f>
        <v>0</v>
      </c>
      <c r="V185" s="154">
        <f>IF(O185="","",O185-B185)</f>
        <v>13</v>
      </c>
      <c r="W185" s="154">
        <f>IF(O185="","",O185-L185)</f>
        <v>6</v>
      </c>
      <c r="X185" s="154">
        <f>IF(R185="","",R185-B185)</f>
        <v>13</v>
      </c>
    </row>
    <row r="186" spans="2:24" ht="17.25" hidden="1" customHeight="1">
      <c r="B186" s="23">
        <v>45680</v>
      </c>
      <c r="C186" s="7">
        <v>2003571186</v>
      </c>
      <c r="D186" s="20">
        <v>5736903</v>
      </c>
      <c r="E186" s="27" t="s">
        <v>143</v>
      </c>
      <c r="F186" s="7" t="s">
        <v>107</v>
      </c>
      <c r="G186" s="7" t="s">
        <v>18</v>
      </c>
      <c r="H186" s="7" t="s">
        <v>45</v>
      </c>
      <c r="I186" s="20" t="s">
        <v>468</v>
      </c>
      <c r="J186" s="20" t="s">
        <v>469</v>
      </c>
      <c r="K186" s="7" t="s">
        <v>111</v>
      </c>
      <c r="L186" s="61">
        <v>45681</v>
      </c>
      <c r="M186" s="7" t="s">
        <v>111</v>
      </c>
      <c r="N186" s="61">
        <v>45681</v>
      </c>
      <c r="O186" s="58">
        <v>45698</v>
      </c>
      <c r="P186" s="59"/>
      <c r="Q186" s="124" t="e">
        <f>P186*#REF!</f>
        <v>#REF!</v>
      </c>
      <c r="R186" s="126">
        <v>45698</v>
      </c>
      <c r="S186" s="153">
        <f>IF(L186="","",L186-B186)</f>
        <v>1</v>
      </c>
      <c r="T186" s="153">
        <f>IF(N186="","",N186-L186)</f>
        <v>0</v>
      </c>
      <c r="U186" s="153">
        <f>IF(O186="","",O186-N186)</f>
        <v>17</v>
      </c>
      <c r="V186" s="154">
        <f>IF(O186="","",O186-B186)</f>
        <v>18</v>
      </c>
      <c r="W186" s="154">
        <f>IF(O186="","",O186-L186)</f>
        <v>17</v>
      </c>
      <c r="X186" s="154">
        <f>IF(R186="","",R186-B186)</f>
        <v>18</v>
      </c>
    </row>
    <row r="187" spans="2:24" ht="17.25" hidden="1" customHeight="1">
      <c r="B187" s="23">
        <v>45680</v>
      </c>
      <c r="C187" s="7">
        <v>2003587279</v>
      </c>
      <c r="D187" s="20">
        <v>5736953</v>
      </c>
      <c r="E187" s="27" t="s">
        <v>138</v>
      </c>
      <c r="F187" s="7" t="s">
        <v>107</v>
      </c>
      <c r="G187" s="7" t="s">
        <v>10</v>
      </c>
      <c r="H187" s="7" t="s">
        <v>45</v>
      </c>
      <c r="I187" s="20" t="s">
        <v>470</v>
      </c>
      <c r="J187" s="20" t="s">
        <v>471</v>
      </c>
      <c r="K187" s="7" t="s">
        <v>110</v>
      </c>
      <c r="L187" s="61">
        <v>45685</v>
      </c>
      <c r="M187" s="7" t="s">
        <v>111</v>
      </c>
      <c r="N187" s="61">
        <v>45685</v>
      </c>
      <c r="O187" s="61">
        <v>45685</v>
      </c>
      <c r="P187" s="59">
        <v>137</v>
      </c>
      <c r="Q187" s="124" t="e">
        <f>P187*#REF!</f>
        <v>#REF!</v>
      </c>
      <c r="R187" s="126">
        <v>45685</v>
      </c>
      <c r="S187" s="153">
        <f>IF(L187="","",L187-B187)</f>
        <v>5</v>
      </c>
      <c r="T187" s="153">
        <f>IF(N187="","",N187-L187)</f>
        <v>0</v>
      </c>
      <c r="U187" s="153">
        <f>IF(O187="","",O187-N187)</f>
        <v>0</v>
      </c>
      <c r="V187" s="154">
        <f>IF(O187="","",O187-B187)</f>
        <v>5</v>
      </c>
      <c r="W187" s="154">
        <f>IF(O187="","",O187-L187)</f>
        <v>0</v>
      </c>
      <c r="X187" s="154">
        <f>IF(R187="","",R187-B187)</f>
        <v>5</v>
      </c>
    </row>
    <row r="188" spans="2:24" ht="17.25" hidden="1" customHeight="1">
      <c r="B188" s="23">
        <v>45680</v>
      </c>
      <c r="C188" s="7">
        <v>2003589623</v>
      </c>
      <c r="D188" s="20">
        <v>5737052</v>
      </c>
      <c r="E188" s="27" t="s">
        <v>149</v>
      </c>
      <c r="F188" s="7" t="s">
        <v>107</v>
      </c>
      <c r="G188" s="7" t="s">
        <v>10</v>
      </c>
      <c r="H188" s="7" t="s">
        <v>45</v>
      </c>
      <c r="I188" s="20" t="s">
        <v>472</v>
      </c>
      <c r="J188" s="20" t="s">
        <v>473</v>
      </c>
      <c r="K188" s="7" t="s">
        <v>119</v>
      </c>
      <c r="L188" s="61">
        <v>45685</v>
      </c>
      <c r="M188" s="7" t="s">
        <v>111</v>
      </c>
      <c r="N188" s="24">
        <v>45686</v>
      </c>
      <c r="O188" s="24">
        <v>45686</v>
      </c>
      <c r="P188" s="59"/>
      <c r="Q188" s="124" t="e">
        <f>P188*#REF!</f>
        <v>#REF!</v>
      </c>
      <c r="R188" s="126">
        <v>45686</v>
      </c>
      <c r="S188" s="153">
        <f>IF(L188="","",L188-B188)</f>
        <v>5</v>
      </c>
      <c r="T188" s="153">
        <f>IF(N188="","",N188-L188)</f>
        <v>1</v>
      </c>
      <c r="U188" s="153">
        <f>IF(O188="","",O188-N188)</f>
        <v>0</v>
      </c>
      <c r="V188" s="154">
        <f>IF(O188="","",O188-B188)</f>
        <v>6</v>
      </c>
      <c r="W188" s="154">
        <f>IF(O188="","",O188-L188)</f>
        <v>1</v>
      </c>
      <c r="X188" s="154">
        <f>IF(R188="","",R188-B188)</f>
        <v>6</v>
      </c>
    </row>
    <row r="189" spans="2:24" ht="17.25" hidden="1" customHeight="1">
      <c r="B189" s="23">
        <v>45679</v>
      </c>
      <c r="C189" s="7">
        <v>2003542280</v>
      </c>
      <c r="D189" s="20">
        <v>5717827</v>
      </c>
      <c r="E189" s="27" t="s">
        <v>106</v>
      </c>
      <c r="F189" s="7" t="s">
        <v>107</v>
      </c>
      <c r="G189" s="7" t="s">
        <v>26</v>
      </c>
      <c r="H189" s="7" t="s">
        <v>45</v>
      </c>
      <c r="I189" s="20" t="s">
        <v>474</v>
      </c>
      <c r="J189" s="20" t="s">
        <v>475</v>
      </c>
      <c r="K189" s="7" t="s">
        <v>122</v>
      </c>
      <c r="L189" s="61">
        <v>45686</v>
      </c>
      <c r="M189" s="7" t="s">
        <v>111</v>
      </c>
      <c r="N189" s="24">
        <v>45692</v>
      </c>
      <c r="O189" s="23">
        <v>45692</v>
      </c>
      <c r="P189" s="59"/>
      <c r="Q189" s="124" t="e">
        <f>P189*#REF!</f>
        <v>#REF!</v>
      </c>
      <c r="R189" s="126">
        <v>45692</v>
      </c>
      <c r="S189" s="153">
        <f>IF(L189="","",L189-B189)</f>
        <v>7</v>
      </c>
      <c r="T189" s="153">
        <f>IF(N189="","",N189-L189)</f>
        <v>6</v>
      </c>
      <c r="U189" s="153">
        <f>IF(O189="","",O189-N189)</f>
        <v>0</v>
      </c>
      <c r="V189" s="154">
        <f>IF(O189="","",O189-B189)</f>
        <v>13</v>
      </c>
      <c r="W189" s="154">
        <f>IF(O189="","",O189-L189)</f>
        <v>6</v>
      </c>
      <c r="X189" s="154">
        <f>IF(R189="","",R189-B189)</f>
        <v>13</v>
      </c>
    </row>
    <row r="190" spans="2:24" ht="17.25" hidden="1" customHeight="1">
      <c r="B190" s="23">
        <v>45680</v>
      </c>
      <c r="C190" s="7">
        <v>2003590431</v>
      </c>
      <c r="D190" s="20">
        <v>5737166</v>
      </c>
      <c r="E190" s="27" t="s">
        <v>129</v>
      </c>
      <c r="F190" s="7" t="s">
        <v>107</v>
      </c>
      <c r="G190" s="7" t="s">
        <v>10</v>
      </c>
      <c r="H190" s="7" t="s">
        <v>45</v>
      </c>
      <c r="I190" s="20" t="s">
        <v>476</v>
      </c>
      <c r="J190" s="20" t="s">
        <v>477</v>
      </c>
      <c r="K190" s="7" t="s">
        <v>110</v>
      </c>
      <c r="L190" s="61">
        <v>45684</v>
      </c>
      <c r="M190" s="7" t="s">
        <v>111</v>
      </c>
      <c r="N190" s="61">
        <v>45684</v>
      </c>
      <c r="O190" s="61">
        <v>45684</v>
      </c>
      <c r="P190" s="59"/>
      <c r="Q190" s="124" t="e">
        <f>P190*#REF!</f>
        <v>#REF!</v>
      </c>
      <c r="R190" s="126">
        <v>45684</v>
      </c>
      <c r="S190" s="153">
        <f>IF(L190="","",L190-B190)</f>
        <v>4</v>
      </c>
      <c r="T190" s="153">
        <f>IF(N190="","",N190-L190)</f>
        <v>0</v>
      </c>
      <c r="U190" s="153">
        <f>IF(O190="","",O190-N190)</f>
        <v>0</v>
      </c>
      <c r="V190" s="154">
        <f>IF(O190="","",O190-B190)</f>
        <v>4</v>
      </c>
      <c r="W190" s="154">
        <f>IF(O190="","",O190-L190)</f>
        <v>0</v>
      </c>
      <c r="X190" s="154">
        <f>IF(R190="","",R190-B190)</f>
        <v>4</v>
      </c>
    </row>
    <row r="191" spans="2:24" ht="17.25" hidden="1" customHeight="1">
      <c r="B191" s="23">
        <v>45680</v>
      </c>
      <c r="C191" s="7">
        <v>2003585540</v>
      </c>
      <c r="D191" s="20">
        <v>5737205</v>
      </c>
      <c r="E191" s="27" t="s">
        <v>180</v>
      </c>
      <c r="F191" s="7" t="s">
        <v>107</v>
      </c>
      <c r="G191" s="7" t="s">
        <v>30</v>
      </c>
      <c r="H191" s="7" t="s">
        <v>45</v>
      </c>
      <c r="I191" s="20" t="s">
        <v>478</v>
      </c>
      <c r="J191" s="20" t="s">
        <v>479</v>
      </c>
      <c r="K191" s="7" t="s">
        <v>111</v>
      </c>
      <c r="L191" s="61">
        <v>45681</v>
      </c>
      <c r="M191" s="7" t="s">
        <v>111</v>
      </c>
      <c r="N191" s="61">
        <v>45681</v>
      </c>
      <c r="O191" s="61">
        <v>45681</v>
      </c>
      <c r="P191" s="59"/>
      <c r="Q191" s="124" t="e">
        <f>P191*#REF!</f>
        <v>#REF!</v>
      </c>
      <c r="R191" s="126">
        <v>45684</v>
      </c>
      <c r="S191" s="153">
        <f>IF(L191="","",L191-B191)</f>
        <v>1</v>
      </c>
      <c r="T191" s="153">
        <f>IF(N191="","",N191-L191)</f>
        <v>0</v>
      </c>
      <c r="U191" s="153">
        <f>IF(O191="","",O191-N191)</f>
        <v>0</v>
      </c>
      <c r="V191" s="154">
        <f>IF(O191="","",O191-B191)</f>
        <v>1</v>
      </c>
      <c r="W191" s="154">
        <f>IF(O191="","",O191-L191)</f>
        <v>0</v>
      </c>
      <c r="X191" s="154">
        <f>IF(R191="","",R191-B191)</f>
        <v>4</v>
      </c>
    </row>
    <row r="192" spans="2:24" ht="17.25" hidden="1" customHeight="1">
      <c r="B192" s="23">
        <v>45680</v>
      </c>
      <c r="C192" s="7">
        <v>2003570110</v>
      </c>
      <c r="D192" s="20">
        <v>5737207</v>
      </c>
      <c r="E192" s="27" t="s">
        <v>116</v>
      </c>
      <c r="F192" s="7" t="s">
        <v>113</v>
      </c>
      <c r="G192" s="7" t="s">
        <v>70</v>
      </c>
      <c r="H192" s="7" t="s">
        <v>47</v>
      </c>
      <c r="I192" s="20" t="s">
        <v>480</v>
      </c>
      <c r="J192" s="20" t="s">
        <v>481</v>
      </c>
      <c r="K192" s="7" t="s">
        <v>160</v>
      </c>
      <c r="L192" s="61">
        <v>45680</v>
      </c>
      <c r="N192" s="24">
        <v>45691</v>
      </c>
      <c r="O192" s="58">
        <v>45691</v>
      </c>
      <c r="P192" s="59"/>
      <c r="Q192" s="124" t="e">
        <f>P192*#REF!</f>
        <v>#REF!</v>
      </c>
      <c r="R192" s="126">
        <v>45691</v>
      </c>
      <c r="S192" s="153">
        <f>IF(L192="","",L192-B192)</f>
        <v>0</v>
      </c>
      <c r="T192" s="153">
        <f>IF(N192="","",N192-L192)</f>
        <v>11</v>
      </c>
      <c r="U192" s="153">
        <f>IF(O192="","",O192-N192)</f>
        <v>0</v>
      </c>
      <c r="V192" s="154">
        <f>IF(O192="","",O192-B192)</f>
        <v>11</v>
      </c>
      <c r="W192" s="154">
        <f>IF(O192="","",O192-L192)</f>
        <v>11</v>
      </c>
      <c r="X192" s="154">
        <f>IF(R192="","",R192-B192)</f>
        <v>11</v>
      </c>
    </row>
    <row r="193" spans="2:24" ht="17.25" hidden="1" customHeight="1">
      <c r="B193" s="23">
        <v>45680</v>
      </c>
      <c r="C193" s="7">
        <v>2003590120</v>
      </c>
      <c r="D193" s="20">
        <v>5737227</v>
      </c>
      <c r="E193" s="27" t="s">
        <v>123</v>
      </c>
      <c r="F193" s="7" t="s">
        <v>107</v>
      </c>
      <c r="G193" s="7" t="s">
        <v>10</v>
      </c>
      <c r="H193" s="7" t="s">
        <v>45</v>
      </c>
      <c r="I193" s="20" t="s">
        <v>482</v>
      </c>
      <c r="J193" s="20" t="s">
        <v>483</v>
      </c>
      <c r="K193" s="7" t="s">
        <v>119</v>
      </c>
      <c r="L193" s="61">
        <v>45685</v>
      </c>
      <c r="M193" s="7" t="s">
        <v>111</v>
      </c>
      <c r="N193" s="24">
        <v>45687</v>
      </c>
      <c r="O193" s="24">
        <v>45688</v>
      </c>
      <c r="P193" s="59"/>
      <c r="Q193" s="124" t="e">
        <f>P193*#REF!</f>
        <v>#REF!</v>
      </c>
      <c r="R193" s="126">
        <v>45688</v>
      </c>
      <c r="S193" s="153">
        <f>IF(L193="","",L193-B193)</f>
        <v>5</v>
      </c>
      <c r="T193" s="153">
        <f>IF(N193="","",N193-L193)</f>
        <v>2</v>
      </c>
      <c r="U193" s="153">
        <f>IF(O193="","",O193-N193)</f>
        <v>1</v>
      </c>
      <c r="V193" s="154">
        <f>IF(O193="","",O193-B193)</f>
        <v>8</v>
      </c>
      <c r="W193" s="154">
        <f>IF(O193="","",O193-L193)</f>
        <v>3</v>
      </c>
      <c r="X193" s="154">
        <f>IF(R193="","",R193-B193)</f>
        <v>8</v>
      </c>
    </row>
    <row r="194" spans="2:24" ht="17.25" hidden="1" customHeight="1">
      <c r="B194" s="23">
        <v>45679</v>
      </c>
      <c r="C194" s="7">
        <v>2003574570</v>
      </c>
      <c r="D194" s="20">
        <v>5718068</v>
      </c>
      <c r="E194" s="27" t="s">
        <v>129</v>
      </c>
      <c r="F194" s="7" t="s">
        <v>107</v>
      </c>
      <c r="G194" s="7" t="s">
        <v>10</v>
      </c>
      <c r="H194" s="7" t="s">
        <v>45</v>
      </c>
      <c r="I194" s="20" t="s">
        <v>484</v>
      </c>
      <c r="J194" s="20" t="s">
        <v>485</v>
      </c>
      <c r="K194" s="7" t="s">
        <v>122</v>
      </c>
      <c r="L194" s="61">
        <v>45686</v>
      </c>
      <c r="M194" s="7" t="s">
        <v>111</v>
      </c>
      <c r="N194" s="24">
        <v>45691</v>
      </c>
      <c r="O194" s="61">
        <v>45693</v>
      </c>
      <c r="P194" s="59"/>
      <c r="Q194" s="124" t="e">
        <f>P194*#REF!</f>
        <v>#REF!</v>
      </c>
      <c r="R194" s="126">
        <v>45694</v>
      </c>
      <c r="S194" s="153">
        <f>IF(L194="","",L194-B194)</f>
        <v>7</v>
      </c>
      <c r="T194" s="153">
        <f>IF(N194="","",N194-L194)</f>
        <v>5</v>
      </c>
      <c r="U194" s="153">
        <f>IF(O194="","",O194-N194)</f>
        <v>2</v>
      </c>
      <c r="V194" s="154">
        <f>IF(O194="","",O194-B194)</f>
        <v>14</v>
      </c>
      <c r="W194" s="154">
        <f>IF(O194="","",O194-L194)</f>
        <v>7</v>
      </c>
      <c r="X194" s="154">
        <f>IF(R194="","",R194-B194)</f>
        <v>15</v>
      </c>
    </row>
    <row r="195" spans="2:24" ht="17.25" hidden="1" customHeight="1">
      <c r="B195" s="23">
        <v>45680</v>
      </c>
      <c r="C195" s="7">
        <v>2003574160</v>
      </c>
      <c r="D195" s="20">
        <v>87283</v>
      </c>
      <c r="E195" s="27" t="s">
        <v>486</v>
      </c>
      <c r="F195" s="7" t="s">
        <v>107</v>
      </c>
      <c r="G195" s="7" t="s">
        <v>10</v>
      </c>
      <c r="H195" s="7" t="s">
        <v>45</v>
      </c>
      <c r="I195" s="20" t="s">
        <v>487</v>
      </c>
      <c r="J195" s="20" t="s">
        <v>488</v>
      </c>
      <c r="K195" s="7" t="s">
        <v>110</v>
      </c>
      <c r="L195" s="61">
        <v>45686</v>
      </c>
      <c r="M195" s="7" t="s">
        <v>111</v>
      </c>
      <c r="N195" s="24">
        <v>45686</v>
      </c>
      <c r="O195" s="24">
        <v>45686</v>
      </c>
      <c r="P195" s="59"/>
      <c r="Q195" s="124" t="e">
        <f>P195*#REF!</f>
        <v>#REF!</v>
      </c>
      <c r="R195" s="126">
        <v>45686</v>
      </c>
      <c r="S195" s="153">
        <f>IF(L195="","",L195-B195)</f>
        <v>6</v>
      </c>
      <c r="T195" s="153">
        <f>IF(N195="","",N195-L195)</f>
        <v>0</v>
      </c>
      <c r="U195" s="153">
        <f>IF(O195="","",O195-N195)</f>
        <v>0</v>
      </c>
      <c r="V195" s="154">
        <f>IF(O195="","",O195-B195)</f>
        <v>6</v>
      </c>
      <c r="W195" s="154">
        <f>IF(O195="","",O195-L195)</f>
        <v>0</v>
      </c>
      <c r="X195" s="154">
        <f>IF(R195="","",R195-B195)</f>
        <v>6</v>
      </c>
    </row>
    <row r="196" spans="2:24" ht="17.25" hidden="1" customHeight="1">
      <c r="B196" s="23">
        <v>45680</v>
      </c>
      <c r="C196" s="7">
        <v>2003588265</v>
      </c>
      <c r="D196" s="20">
        <v>87582</v>
      </c>
      <c r="E196" s="20" t="s">
        <v>123</v>
      </c>
      <c r="F196" s="7" t="s">
        <v>107</v>
      </c>
      <c r="G196" s="7" t="s">
        <v>18</v>
      </c>
      <c r="H196" s="7" t="s">
        <v>45</v>
      </c>
      <c r="I196" s="20" t="s">
        <v>489</v>
      </c>
      <c r="J196" s="20" t="s">
        <v>490</v>
      </c>
      <c r="K196" s="7" t="s">
        <v>122</v>
      </c>
      <c r="L196" s="61">
        <v>45686</v>
      </c>
      <c r="M196" s="7" t="s">
        <v>111</v>
      </c>
      <c r="N196" s="24">
        <v>45687</v>
      </c>
      <c r="O196" s="24">
        <v>45687</v>
      </c>
      <c r="P196" s="59"/>
      <c r="Q196" s="124" t="e">
        <f>P196*#REF!</f>
        <v>#REF!</v>
      </c>
      <c r="R196" s="126">
        <v>45687</v>
      </c>
      <c r="S196" s="153">
        <f>IF(L196="","",L196-B196)</f>
        <v>6</v>
      </c>
      <c r="T196" s="153">
        <f>IF(N196="","",N196-L196)</f>
        <v>1</v>
      </c>
      <c r="U196" s="153">
        <f>IF(O196="","",O196-N196)</f>
        <v>0</v>
      </c>
      <c r="V196" s="154">
        <f>IF(O196="","",O196-B196)</f>
        <v>7</v>
      </c>
      <c r="W196" s="154">
        <f>IF(O196="","",O196-L196)</f>
        <v>1</v>
      </c>
      <c r="X196" s="154">
        <f>IF(R196="","",R196-B196)</f>
        <v>7</v>
      </c>
    </row>
    <row r="197" spans="2:24" ht="17.25" hidden="1" customHeight="1">
      <c r="B197" s="23">
        <v>45681</v>
      </c>
      <c r="C197" s="7">
        <v>310021275</v>
      </c>
      <c r="D197" s="20">
        <v>5737869</v>
      </c>
      <c r="E197" s="27" t="s">
        <v>112</v>
      </c>
      <c r="F197" s="7" t="s">
        <v>107</v>
      </c>
      <c r="G197" s="7" t="s">
        <v>10</v>
      </c>
      <c r="H197" s="7" t="s">
        <v>45</v>
      </c>
      <c r="I197" s="20" t="s">
        <v>491</v>
      </c>
      <c r="J197" s="20" t="s">
        <v>492</v>
      </c>
      <c r="K197" s="7" t="s">
        <v>110</v>
      </c>
      <c r="L197" s="61">
        <v>45686</v>
      </c>
      <c r="M197" s="7" t="s">
        <v>111</v>
      </c>
      <c r="N197" s="24">
        <v>45686</v>
      </c>
      <c r="O197" s="24">
        <v>45686</v>
      </c>
      <c r="P197" s="59">
        <v>103</v>
      </c>
      <c r="Q197" s="124" t="e">
        <f>P197*#REF!</f>
        <v>#REF!</v>
      </c>
      <c r="R197" s="126">
        <v>45686</v>
      </c>
      <c r="S197" s="153">
        <f>IF(L197="","",L197-B197)</f>
        <v>5</v>
      </c>
      <c r="T197" s="153">
        <f>IF(N197="","",N197-L197)</f>
        <v>0</v>
      </c>
      <c r="U197" s="153">
        <f>IF(O197="","",O197-N197)</f>
        <v>0</v>
      </c>
      <c r="V197" s="154">
        <f>IF(O197="","",O197-B197)</f>
        <v>5</v>
      </c>
      <c r="W197" s="154">
        <f>IF(O197="","",O197-L197)</f>
        <v>0</v>
      </c>
      <c r="X197" s="154">
        <f>IF(R197="","",R197-B197)</f>
        <v>5</v>
      </c>
    </row>
    <row r="198" spans="2:24" ht="17.25" hidden="1" customHeight="1">
      <c r="B198" s="23">
        <v>45681</v>
      </c>
      <c r="C198" s="7">
        <v>2003546853</v>
      </c>
      <c r="D198" s="20">
        <v>5737912</v>
      </c>
      <c r="E198" s="27" t="s">
        <v>129</v>
      </c>
      <c r="F198" s="7" t="s">
        <v>107</v>
      </c>
      <c r="G198" s="7" t="s">
        <v>30</v>
      </c>
      <c r="H198" s="7" t="s">
        <v>45</v>
      </c>
      <c r="I198" s="20" t="s">
        <v>493</v>
      </c>
      <c r="J198" s="20" t="s">
        <v>494</v>
      </c>
      <c r="K198" s="7" t="s">
        <v>111</v>
      </c>
      <c r="L198" s="61">
        <v>45684</v>
      </c>
      <c r="M198" s="7" t="s">
        <v>111</v>
      </c>
      <c r="N198" s="61">
        <v>45684</v>
      </c>
      <c r="O198" s="23">
        <v>45695</v>
      </c>
      <c r="P198" s="59"/>
      <c r="Q198" s="124" t="e">
        <f>P198*#REF!</f>
        <v>#REF!</v>
      </c>
      <c r="R198" s="126">
        <v>45695</v>
      </c>
      <c r="S198" s="153">
        <f>IF(L198="","",L198-B198)</f>
        <v>3</v>
      </c>
      <c r="T198" s="153">
        <f>IF(N198="","",N198-L198)</f>
        <v>0</v>
      </c>
      <c r="U198" s="153">
        <f>IF(O198="","",O198-N198)</f>
        <v>11</v>
      </c>
      <c r="V198" s="154">
        <f>IF(O198="","",O198-B198)</f>
        <v>14</v>
      </c>
      <c r="W198" s="154">
        <f>IF(O198="","",O198-L198)</f>
        <v>11</v>
      </c>
      <c r="X198" s="154">
        <f>IF(R198="","",R198-B198)</f>
        <v>14</v>
      </c>
    </row>
    <row r="199" spans="2:24" ht="17.25" hidden="1" customHeight="1">
      <c r="B199" s="23">
        <v>45681</v>
      </c>
      <c r="C199" s="7">
        <v>2003590996</v>
      </c>
      <c r="D199" s="20">
        <v>5738028</v>
      </c>
      <c r="E199" s="27" t="s">
        <v>132</v>
      </c>
      <c r="F199" s="7" t="s">
        <v>113</v>
      </c>
      <c r="G199" s="7" t="s">
        <v>10</v>
      </c>
      <c r="H199" s="7" t="s">
        <v>42</v>
      </c>
      <c r="I199" s="129" t="s">
        <v>495</v>
      </c>
      <c r="J199" s="20" t="s">
        <v>134</v>
      </c>
      <c r="K199" s="7" t="s">
        <v>160</v>
      </c>
      <c r="P199" s="59"/>
      <c r="Q199" s="124" t="e">
        <f>P199*#REF!</f>
        <v>#REF!</v>
      </c>
      <c r="S199" s="153" t="str">
        <f>IF(L199="","",L199-B199)</f>
        <v/>
      </c>
      <c r="T199" s="153" t="str">
        <f>IF(N199="","",N199-L199)</f>
        <v/>
      </c>
      <c r="U199" s="153" t="str">
        <f>IF(O199="","",O199-N199)</f>
        <v/>
      </c>
      <c r="V199" s="154" t="str">
        <f>IF(O199="","",O199-B199)</f>
        <v/>
      </c>
      <c r="W199" s="154" t="str">
        <f>IF(O199="","",O199-L199)</f>
        <v/>
      </c>
      <c r="X199" s="154" t="str">
        <f>IF(R199="","",R199-B199)</f>
        <v/>
      </c>
    </row>
    <row r="200" spans="2:24" ht="17.25" hidden="1" customHeight="1">
      <c r="B200" s="23">
        <v>45681</v>
      </c>
      <c r="C200" s="7">
        <v>2003554217</v>
      </c>
      <c r="D200" s="20">
        <v>5738093</v>
      </c>
      <c r="E200" s="27" t="s">
        <v>163</v>
      </c>
      <c r="F200" s="7" t="s">
        <v>107</v>
      </c>
      <c r="G200" s="7" t="s">
        <v>18</v>
      </c>
      <c r="H200" s="7" t="s">
        <v>45</v>
      </c>
      <c r="I200" s="20" t="s">
        <v>496</v>
      </c>
      <c r="J200" s="20" t="s">
        <v>497</v>
      </c>
      <c r="K200" s="7" t="s">
        <v>110</v>
      </c>
      <c r="L200" s="61">
        <v>45684</v>
      </c>
      <c r="M200" s="7" t="s">
        <v>111</v>
      </c>
      <c r="N200" s="61">
        <v>45684</v>
      </c>
      <c r="O200" s="61">
        <v>45684</v>
      </c>
      <c r="P200" s="59"/>
      <c r="Q200" s="124" t="e">
        <f>P200*#REF!</f>
        <v>#REF!</v>
      </c>
      <c r="R200" s="126">
        <v>45684</v>
      </c>
      <c r="S200" s="153">
        <f>IF(L200="","",L200-B200)</f>
        <v>3</v>
      </c>
      <c r="T200" s="153">
        <f>IF(N200="","",N200-L200)</f>
        <v>0</v>
      </c>
      <c r="U200" s="153">
        <f>IF(O200="","",O200-N200)</f>
        <v>0</v>
      </c>
      <c r="V200" s="154">
        <f>IF(O200="","",O200-B200)</f>
        <v>3</v>
      </c>
      <c r="W200" s="154">
        <f>IF(O200="","",O200-L200)</f>
        <v>0</v>
      </c>
      <c r="X200" s="154">
        <f>IF(R200="","",R200-B200)</f>
        <v>3</v>
      </c>
    </row>
    <row r="201" spans="2:24" ht="17.25" hidden="1" customHeight="1">
      <c r="B201" s="23">
        <v>45681</v>
      </c>
      <c r="C201" s="7">
        <v>2003577877</v>
      </c>
      <c r="D201" s="20">
        <v>5738194</v>
      </c>
      <c r="E201" s="27" t="s">
        <v>123</v>
      </c>
      <c r="F201" s="7" t="s">
        <v>107</v>
      </c>
      <c r="G201" s="7" t="s">
        <v>18</v>
      </c>
      <c r="H201" s="7" t="s">
        <v>45</v>
      </c>
      <c r="I201" s="20" t="s">
        <v>498</v>
      </c>
      <c r="J201" s="20" t="s">
        <v>499</v>
      </c>
      <c r="K201" s="7" t="s">
        <v>119</v>
      </c>
      <c r="L201" s="61">
        <v>45685</v>
      </c>
      <c r="M201" s="7" t="s">
        <v>111</v>
      </c>
      <c r="N201" s="24">
        <v>45686</v>
      </c>
      <c r="O201" s="24">
        <v>45687</v>
      </c>
      <c r="P201" s="59"/>
      <c r="Q201" s="124" t="e">
        <f>P201*#REF!</f>
        <v>#REF!</v>
      </c>
      <c r="R201" s="126">
        <v>45688</v>
      </c>
      <c r="S201" s="153">
        <f>IF(L201="","",L201-B201)</f>
        <v>4</v>
      </c>
      <c r="T201" s="153">
        <f>IF(N201="","",N201-L201)</f>
        <v>1</v>
      </c>
      <c r="U201" s="153">
        <f>IF(O201="","",O201-N201)</f>
        <v>1</v>
      </c>
      <c r="V201" s="154">
        <f>IF(O201="","",O201-B201)</f>
        <v>6</v>
      </c>
      <c r="W201" s="154">
        <f>IF(O201="","",O201-L201)</f>
        <v>2</v>
      </c>
      <c r="X201" s="154">
        <f>IF(R201="","",R201-B201)</f>
        <v>7</v>
      </c>
    </row>
    <row r="202" spans="2:24" ht="17.25" hidden="1" customHeight="1">
      <c r="B202" s="23">
        <v>45684</v>
      </c>
      <c r="C202" s="7">
        <v>2003592379</v>
      </c>
      <c r="D202" s="20">
        <v>5739390</v>
      </c>
      <c r="E202" s="27" t="s">
        <v>143</v>
      </c>
      <c r="F202" s="7" t="s">
        <v>107</v>
      </c>
      <c r="G202" s="7" t="s">
        <v>10</v>
      </c>
      <c r="H202" s="7" t="s">
        <v>45</v>
      </c>
      <c r="I202" s="20" t="s">
        <v>500</v>
      </c>
      <c r="J202" s="20" t="s">
        <v>273</v>
      </c>
      <c r="K202" s="7" t="s">
        <v>122</v>
      </c>
      <c r="L202" s="61">
        <v>45686</v>
      </c>
      <c r="M202" s="7" t="s">
        <v>111</v>
      </c>
      <c r="N202" s="24">
        <v>45687</v>
      </c>
      <c r="O202" s="24">
        <v>45688</v>
      </c>
      <c r="P202" s="59"/>
      <c r="Q202" s="124" t="e">
        <f>P202*#REF!</f>
        <v>#REF!</v>
      </c>
      <c r="R202" s="126">
        <v>45688</v>
      </c>
      <c r="S202" s="153">
        <f>IF(L202="","",L202-B202)</f>
        <v>2</v>
      </c>
      <c r="T202" s="153">
        <f>IF(N202="","",N202-L202)</f>
        <v>1</v>
      </c>
      <c r="U202" s="153">
        <f>IF(O202="","",O202-N202)</f>
        <v>1</v>
      </c>
      <c r="V202" s="154">
        <f>IF(O202="","",O202-B202)</f>
        <v>4</v>
      </c>
      <c r="W202" s="154">
        <f>IF(O202="","",O202-L202)</f>
        <v>2</v>
      </c>
      <c r="X202" s="154">
        <f>IF(R202="","",R202-B202)</f>
        <v>4</v>
      </c>
    </row>
    <row r="203" spans="2:24" ht="17.25" hidden="1" customHeight="1">
      <c r="B203" s="23">
        <v>45681</v>
      </c>
      <c r="C203" s="7">
        <v>2003588789</v>
      </c>
      <c r="D203" s="20">
        <v>5738431</v>
      </c>
      <c r="E203" s="27" t="s">
        <v>191</v>
      </c>
      <c r="F203" s="7" t="s">
        <v>107</v>
      </c>
      <c r="G203" s="7" t="s">
        <v>18</v>
      </c>
      <c r="H203" s="7" t="s">
        <v>45</v>
      </c>
      <c r="I203" s="20" t="s">
        <v>501</v>
      </c>
      <c r="J203" s="20" t="s">
        <v>502</v>
      </c>
      <c r="K203" s="7" t="s">
        <v>110</v>
      </c>
      <c r="L203" s="61">
        <v>45686</v>
      </c>
      <c r="M203" s="7" t="s">
        <v>111</v>
      </c>
      <c r="N203" s="24">
        <v>45686</v>
      </c>
      <c r="O203" s="24">
        <v>45687</v>
      </c>
      <c r="P203" s="59"/>
      <c r="Q203" s="124" t="e">
        <f>P203*#REF!</f>
        <v>#REF!</v>
      </c>
      <c r="R203" s="126">
        <v>45688</v>
      </c>
      <c r="S203" s="153">
        <f>IF(L203="","",L203-B203)</f>
        <v>5</v>
      </c>
      <c r="T203" s="153">
        <f>IF(N203="","",N203-L203)</f>
        <v>0</v>
      </c>
      <c r="U203" s="153">
        <f>IF(O203="","",O203-N203)</f>
        <v>1</v>
      </c>
      <c r="V203" s="154">
        <f>IF(O203="","",O203-B203)</f>
        <v>6</v>
      </c>
      <c r="W203" s="154">
        <f>IF(O203="","",O203-L203)</f>
        <v>1</v>
      </c>
      <c r="X203" s="154">
        <f>IF(R203="","",R203-B203)</f>
        <v>7</v>
      </c>
    </row>
    <row r="204" spans="2:24" ht="17.25" hidden="1" customHeight="1">
      <c r="B204" s="23">
        <v>45681</v>
      </c>
      <c r="C204" s="7">
        <v>2003591667</v>
      </c>
      <c r="D204" s="20">
        <v>5738461</v>
      </c>
      <c r="E204" s="27" t="s">
        <v>143</v>
      </c>
      <c r="F204" s="7" t="s">
        <v>113</v>
      </c>
      <c r="G204" s="7" t="s">
        <v>70</v>
      </c>
      <c r="H204" s="7" t="s">
        <v>47</v>
      </c>
      <c r="I204" s="20" t="s">
        <v>503</v>
      </c>
      <c r="J204" s="20" t="s">
        <v>504</v>
      </c>
      <c r="K204" s="7" t="s">
        <v>160</v>
      </c>
      <c r="L204" s="61">
        <v>45681</v>
      </c>
      <c r="N204" s="24">
        <v>45691</v>
      </c>
      <c r="O204" s="58">
        <v>45691</v>
      </c>
      <c r="P204" s="59"/>
      <c r="Q204" s="124" t="e">
        <f>P204*#REF!</f>
        <v>#REF!</v>
      </c>
      <c r="R204" s="126">
        <v>45691</v>
      </c>
      <c r="S204" s="153">
        <f>IF(L204="","",L204-B204)</f>
        <v>0</v>
      </c>
      <c r="T204" s="153">
        <f>IF(N204="","",N204-L204)</f>
        <v>10</v>
      </c>
      <c r="U204" s="153">
        <f>IF(O204="","",O204-N204)</f>
        <v>0</v>
      </c>
      <c r="V204" s="154">
        <f>IF(O204="","",O204-B204)</f>
        <v>10</v>
      </c>
      <c r="W204" s="154">
        <f>IF(O204="","",O204-L204)</f>
        <v>10</v>
      </c>
      <c r="X204" s="154">
        <f>IF(R204="","",R204-B204)</f>
        <v>10</v>
      </c>
    </row>
    <row r="205" spans="2:24" ht="17.25" hidden="1" customHeight="1">
      <c r="B205" s="23">
        <v>45681</v>
      </c>
      <c r="C205" s="7">
        <v>2003589053</v>
      </c>
      <c r="D205" s="20">
        <v>5738494</v>
      </c>
      <c r="E205" s="27" t="s">
        <v>143</v>
      </c>
      <c r="F205" s="7" t="s">
        <v>113</v>
      </c>
      <c r="G205" s="7" t="s">
        <v>70</v>
      </c>
      <c r="H205" s="7" t="s">
        <v>47</v>
      </c>
      <c r="I205" s="20" t="s">
        <v>505</v>
      </c>
      <c r="J205" s="20" t="s">
        <v>506</v>
      </c>
      <c r="K205" s="7" t="s">
        <v>160</v>
      </c>
      <c r="L205" s="61">
        <v>45681</v>
      </c>
      <c r="N205" s="24">
        <v>45691</v>
      </c>
      <c r="O205" s="58">
        <v>45691</v>
      </c>
      <c r="P205" s="59"/>
      <c r="Q205" s="124" t="e">
        <f>P205*#REF!</f>
        <v>#REF!</v>
      </c>
      <c r="R205" s="126">
        <v>45691</v>
      </c>
      <c r="S205" s="153">
        <f>IF(L205="","",L205-B205)</f>
        <v>0</v>
      </c>
      <c r="T205" s="153">
        <f>IF(N205="","",N205-L205)</f>
        <v>10</v>
      </c>
      <c r="U205" s="153">
        <f>IF(O205="","",O205-N205)</f>
        <v>0</v>
      </c>
      <c r="V205" s="154">
        <f>IF(O205="","",O205-B205)</f>
        <v>10</v>
      </c>
      <c r="W205" s="154">
        <f>IF(O205="","",O205-L205)</f>
        <v>10</v>
      </c>
      <c r="X205" s="154">
        <f>IF(R205="","",R205-B205)</f>
        <v>10</v>
      </c>
    </row>
    <row r="206" spans="2:24" ht="17.25" hidden="1" customHeight="1">
      <c r="B206" s="23">
        <v>45681</v>
      </c>
      <c r="C206" s="7">
        <v>2003551163</v>
      </c>
      <c r="D206" s="20">
        <v>5738552</v>
      </c>
      <c r="E206" s="27" t="s">
        <v>143</v>
      </c>
      <c r="F206" s="7" t="s">
        <v>113</v>
      </c>
      <c r="G206" s="7" t="s">
        <v>70</v>
      </c>
      <c r="H206" s="7" t="s">
        <v>47</v>
      </c>
      <c r="I206" s="20" t="s">
        <v>507</v>
      </c>
      <c r="J206" s="20" t="s">
        <v>508</v>
      </c>
      <c r="K206" s="7" t="s">
        <v>160</v>
      </c>
      <c r="L206" s="61">
        <v>45681</v>
      </c>
      <c r="N206" s="24">
        <v>45691</v>
      </c>
      <c r="O206" s="58">
        <v>45691</v>
      </c>
      <c r="P206" s="59"/>
      <c r="Q206" s="124" t="e">
        <f>P206*#REF!</f>
        <v>#REF!</v>
      </c>
      <c r="R206" s="126">
        <v>45691</v>
      </c>
      <c r="S206" s="153">
        <f>IF(L206="","",L206-B206)</f>
        <v>0</v>
      </c>
      <c r="T206" s="153">
        <f>IF(N206="","",N206-L206)</f>
        <v>10</v>
      </c>
      <c r="U206" s="153">
        <f>IF(O206="","",O206-N206)</f>
        <v>0</v>
      </c>
      <c r="V206" s="154">
        <f>IF(O206="","",O206-B206)</f>
        <v>10</v>
      </c>
      <c r="W206" s="154">
        <f>IF(O206="","",O206-L206)</f>
        <v>10</v>
      </c>
      <c r="X206" s="154">
        <f>IF(R206="","",R206-B206)</f>
        <v>10</v>
      </c>
    </row>
    <row r="207" spans="2:24" ht="17.25" hidden="1" customHeight="1">
      <c r="B207" s="23">
        <v>45681</v>
      </c>
      <c r="C207" s="7">
        <v>2003586454</v>
      </c>
      <c r="D207" s="20">
        <v>88265</v>
      </c>
      <c r="E207" s="27" t="s">
        <v>143</v>
      </c>
      <c r="F207" s="7" t="s">
        <v>107</v>
      </c>
      <c r="G207" s="7" t="s">
        <v>10</v>
      </c>
      <c r="H207" s="7" t="s">
        <v>45</v>
      </c>
      <c r="I207" s="20" t="s">
        <v>509</v>
      </c>
      <c r="J207" s="20" t="s">
        <v>510</v>
      </c>
      <c r="K207" s="7" t="s">
        <v>122</v>
      </c>
      <c r="L207" s="61">
        <v>45691</v>
      </c>
      <c r="M207" s="7" t="s">
        <v>111</v>
      </c>
      <c r="N207" s="61">
        <v>45692</v>
      </c>
      <c r="O207" s="58">
        <v>45695</v>
      </c>
      <c r="P207" s="59"/>
      <c r="Q207" s="124" t="e">
        <f>P207*#REF!</f>
        <v>#REF!</v>
      </c>
      <c r="R207" s="126">
        <v>45695</v>
      </c>
      <c r="S207" s="153">
        <f>IF(L207="","",L207-B207)</f>
        <v>10</v>
      </c>
      <c r="T207" s="153">
        <f>IF(N207="","",N207-L207)</f>
        <v>1</v>
      </c>
      <c r="U207" s="153">
        <f>IF(O207="","",O207-N207)</f>
        <v>3</v>
      </c>
      <c r="V207" s="154">
        <f>IF(O207="","",O207-B207)</f>
        <v>14</v>
      </c>
      <c r="W207" s="154">
        <f>IF(O207="","",O207-L207)</f>
        <v>4</v>
      </c>
      <c r="X207" s="154">
        <f>IF(R207="","",R207-B207)</f>
        <v>14</v>
      </c>
    </row>
    <row r="208" spans="2:24" ht="17.25" hidden="1" customHeight="1">
      <c r="B208" s="23">
        <v>45684</v>
      </c>
      <c r="C208" s="7">
        <v>2003580372</v>
      </c>
      <c r="D208" s="20">
        <v>5738848</v>
      </c>
      <c r="E208" s="27" t="s">
        <v>486</v>
      </c>
      <c r="F208" s="7" t="s">
        <v>107</v>
      </c>
      <c r="G208" s="7" t="s">
        <v>18</v>
      </c>
      <c r="H208" s="7" t="s">
        <v>45</v>
      </c>
      <c r="I208" s="20" t="s">
        <v>304</v>
      </c>
      <c r="J208" s="20" t="s">
        <v>511</v>
      </c>
      <c r="K208" s="7" t="s">
        <v>119</v>
      </c>
      <c r="L208" s="61">
        <v>45686</v>
      </c>
      <c r="M208" s="7" t="s">
        <v>111</v>
      </c>
      <c r="N208" s="24">
        <v>45687</v>
      </c>
      <c r="O208" s="24">
        <v>45687</v>
      </c>
      <c r="P208" s="59"/>
      <c r="Q208" s="124" t="e">
        <f>P208*#REF!</f>
        <v>#REF!</v>
      </c>
      <c r="R208" s="126">
        <v>45688</v>
      </c>
      <c r="S208" s="153">
        <f>IF(L208="","",L208-B208)</f>
        <v>2</v>
      </c>
      <c r="T208" s="153">
        <f>IF(N208="","",N208-L208)</f>
        <v>1</v>
      </c>
      <c r="U208" s="153">
        <f>IF(O208="","",O208-N208)</f>
        <v>0</v>
      </c>
      <c r="V208" s="154">
        <f>IF(O208="","",O208-B208)</f>
        <v>3</v>
      </c>
      <c r="W208" s="154">
        <f>IF(O208="","",O208-L208)</f>
        <v>1</v>
      </c>
      <c r="X208" s="154">
        <f>IF(R208="","",R208-B208)</f>
        <v>4</v>
      </c>
    </row>
    <row r="209" spans="2:32" ht="17.25" hidden="1" customHeight="1">
      <c r="B209" s="23">
        <v>45684</v>
      </c>
      <c r="C209" s="7">
        <v>2003585458</v>
      </c>
      <c r="D209" s="20">
        <v>5738933</v>
      </c>
      <c r="E209" s="27" t="s">
        <v>163</v>
      </c>
      <c r="F209" s="7" t="s">
        <v>107</v>
      </c>
      <c r="G209" s="7" t="s">
        <v>18</v>
      </c>
      <c r="H209" s="7" t="s">
        <v>45</v>
      </c>
      <c r="I209" s="20" t="s">
        <v>512</v>
      </c>
      <c r="J209" s="20" t="s">
        <v>513</v>
      </c>
      <c r="K209" s="7" t="s">
        <v>119</v>
      </c>
      <c r="L209" s="61">
        <v>45685</v>
      </c>
      <c r="M209" s="7" t="s">
        <v>111</v>
      </c>
      <c r="N209" s="24">
        <v>45686</v>
      </c>
      <c r="O209" s="24">
        <v>45687</v>
      </c>
      <c r="P209" s="59"/>
      <c r="Q209" s="124" t="e">
        <f>P209*#REF!</f>
        <v>#REF!</v>
      </c>
      <c r="R209" s="126">
        <v>45688</v>
      </c>
      <c r="S209" s="153">
        <f>IF(L209="","",L209-B209)</f>
        <v>1</v>
      </c>
      <c r="T209" s="153">
        <f>IF(N209="","",N209-L209)</f>
        <v>1</v>
      </c>
      <c r="U209" s="153">
        <f>IF(O209="","",O209-N209)</f>
        <v>1</v>
      </c>
      <c r="V209" s="154">
        <f>IF(O209="","",O209-B209)</f>
        <v>3</v>
      </c>
      <c r="W209" s="154">
        <f>IF(O209="","",O209-L209)</f>
        <v>2</v>
      </c>
      <c r="X209" s="154">
        <f>IF(R209="","",R209-B209)</f>
        <v>4</v>
      </c>
    </row>
    <row r="210" spans="2:32" ht="17.25" hidden="1" customHeight="1">
      <c r="B210" s="23">
        <v>45684</v>
      </c>
      <c r="C210" s="7">
        <v>2003586803</v>
      </c>
      <c r="D210" s="20">
        <v>5739090</v>
      </c>
      <c r="E210" s="27" t="s">
        <v>123</v>
      </c>
      <c r="F210" s="7" t="s">
        <v>107</v>
      </c>
      <c r="G210" s="7" t="s">
        <v>10</v>
      </c>
      <c r="H210" s="7" t="s">
        <v>45</v>
      </c>
      <c r="I210" s="20" t="s">
        <v>514</v>
      </c>
      <c r="J210" s="20" t="s">
        <v>515</v>
      </c>
      <c r="K210" s="7" t="s">
        <v>119</v>
      </c>
      <c r="L210" s="61">
        <v>45686</v>
      </c>
      <c r="M210" s="7" t="s">
        <v>111</v>
      </c>
      <c r="N210" s="24">
        <v>45687</v>
      </c>
      <c r="O210" s="24">
        <v>45687</v>
      </c>
      <c r="P210" s="59"/>
      <c r="Q210" s="124" t="e">
        <f>P210*#REF!</f>
        <v>#REF!</v>
      </c>
      <c r="R210" s="126">
        <v>45688</v>
      </c>
      <c r="S210" s="153">
        <f>IF(L210="","",L210-B210)</f>
        <v>2</v>
      </c>
      <c r="T210" s="153">
        <f>IF(N210="","",N210-L210)</f>
        <v>1</v>
      </c>
      <c r="U210" s="153">
        <f>IF(O210="","",O210-N210)</f>
        <v>0</v>
      </c>
      <c r="V210" s="154">
        <f>IF(O210="","",O210-B210)</f>
        <v>3</v>
      </c>
      <c r="W210" s="154">
        <f>IF(O210="","",O210-L210)</f>
        <v>1</v>
      </c>
      <c r="X210" s="154">
        <f>IF(R210="","",R210-B210)</f>
        <v>4</v>
      </c>
    </row>
    <row r="211" spans="2:32" ht="17.25" hidden="1" customHeight="1">
      <c r="B211" s="23">
        <v>45684</v>
      </c>
      <c r="C211" s="7">
        <v>2003568508</v>
      </c>
      <c r="D211" s="20">
        <v>5739393</v>
      </c>
      <c r="E211" s="27" t="s">
        <v>157</v>
      </c>
      <c r="F211" s="7" t="s">
        <v>107</v>
      </c>
      <c r="G211" s="7" t="s">
        <v>18</v>
      </c>
      <c r="H211" s="7" t="s">
        <v>45</v>
      </c>
      <c r="I211" s="20" t="s">
        <v>516</v>
      </c>
      <c r="J211" s="20" t="s">
        <v>517</v>
      </c>
      <c r="K211" s="7" t="s">
        <v>122</v>
      </c>
      <c r="L211" s="61">
        <v>45686</v>
      </c>
      <c r="M211" s="7" t="s">
        <v>111</v>
      </c>
      <c r="N211" s="24">
        <v>45688</v>
      </c>
      <c r="O211" s="23">
        <v>45692</v>
      </c>
      <c r="P211" s="59"/>
      <c r="Q211" s="124" t="e">
        <f>P211*#REF!</f>
        <v>#REF!</v>
      </c>
      <c r="R211" s="126">
        <v>45692</v>
      </c>
      <c r="S211" s="153">
        <f>IF(L211="","",L211-B211)</f>
        <v>2</v>
      </c>
      <c r="T211" s="153">
        <f>IF(N211="","",N211-L211)</f>
        <v>2</v>
      </c>
      <c r="U211" s="153">
        <f>IF(O211="","",O211-N211)</f>
        <v>4</v>
      </c>
      <c r="V211" s="154">
        <f>IF(O211="","",O211-B211)</f>
        <v>8</v>
      </c>
      <c r="W211" s="154">
        <f>IF(O211="","",O211-L211)</f>
        <v>6</v>
      </c>
      <c r="X211" s="154">
        <f>IF(R211="","",R211-B211)</f>
        <v>8</v>
      </c>
    </row>
    <row r="212" spans="2:32" ht="17.25" hidden="1" customHeight="1">
      <c r="B212" s="23">
        <v>45684</v>
      </c>
      <c r="C212" s="7">
        <v>2003576308</v>
      </c>
      <c r="D212" s="20">
        <v>5739814</v>
      </c>
      <c r="E212" s="27" t="s">
        <v>116</v>
      </c>
      <c r="F212" s="7" t="s">
        <v>107</v>
      </c>
      <c r="G212" s="7" t="s">
        <v>26</v>
      </c>
      <c r="H212" s="7" t="s">
        <v>45</v>
      </c>
      <c r="I212" s="20" t="s">
        <v>518</v>
      </c>
      <c r="J212" s="20" t="s">
        <v>519</v>
      </c>
      <c r="K212" s="7" t="s">
        <v>122</v>
      </c>
      <c r="L212" s="61">
        <v>45686</v>
      </c>
      <c r="M212" s="7" t="s">
        <v>111</v>
      </c>
      <c r="N212" s="24">
        <v>45687</v>
      </c>
      <c r="O212" s="58">
        <v>45687</v>
      </c>
      <c r="P212" s="59"/>
      <c r="Q212" s="124" t="e">
        <f>P212*#REF!</f>
        <v>#REF!</v>
      </c>
      <c r="R212" s="126">
        <v>45687</v>
      </c>
      <c r="S212" s="153">
        <f>IF(L212="","",L212-B212)</f>
        <v>2</v>
      </c>
      <c r="T212" s="153">
        <f>IF(N212="","",N212-L212)</f>
        <v>1</v>
      </c>
      <c r="U212" s="153">
        <f>IF(O212="","",O212-N212)</f>
        <v>0</v>
      </c>
      <c r="V212" s="154">
        <f>IF(O212="","",O212-B212)</f>
        <v>3</v>
      </c>
      <c r="W212" s="154">
        <f>IF(O212="","",O212-L212)</f>
        <v>1</v>
      </c>
      <c r="X212" s="154">
        <f>IF(R212="","",R212-B212)</f>
        <v>3</v>
      </c>
    </row>
    <row r="213" spans="2:32" ht="17.25" hidden="1" customHeight="1">
      <c r="B213" s="23">
        <v>45684</v>
      </c>
      <c r="C213" s="7">
        <v>2003593295</v>
      </c>
      <c r="D213" s="20">
        <v>5739505</v>
      </c>
      <c r="E213" s="27" t="s">
        <v>143</v>
      </c>
      <c r="F213" s="7" t="s">
        <v>107</v>
      </c>
      <c r="G213" s="7" t="s">
        <v>18</v>
      </c>
      <c r="H213" s="7" t="s">
        <v>45</v>
      </c>
      <c r="I213" s="20" t="s">
        <v>520</v>
      </c>
      <c r="J213" s="20" t="s">
        <v>521</v>
      </c>
      <c r="K213" s="7" t="s">
        <v>122</v>
      </c>
      <c r="L213" s="61">
        <v>45691</v>
      </c>
      <c r="M213" s="7" t="s">
        <v>111</v>
      </c>
      <c r="N213" s="61">
        <v>45693</v>
      </c>
      <c r="O213" s="58">
        <v>45695</v>
      </c>
      <c r="P213" s="59">
        <v>236</v>
      </c>
      <c r="Q213" s="124" t="e">
        <f>P213*#REF!</f>
        <v>#REF!</v>
      </c>
      <c r="R213" s="126">
        <v>45695</v>
      </c>
      <c r="S213" s="153">
        <f>IF(L213="","",L213-B213)</f>
        <v>7</v>
      </c>
      <c r="T213" s="153">
        <f>IF(N213="","",N213-L213)</f>
        <v>2</v>
      </c>
      <c r="U213" s="153">
        <f>IF(O213="","",O213-N213)</f>
        <v>2</v>
      </c>
      <c r="V213" s="154">
        <f>IF(O213="","",O213-B213)</f>
        <v>11</v>
      </c>
      <c r="W213" s="154">
        <f>IF(O213="","",O213-L213)</f>
        <v>4</v>
      </c>
      <c r="X213" s="154">
        <f>IF(R213="","",R213-B213)</f>
        <v>11</v>
      </c>
    </row>
    <row r="214" spans="2:32" ht="17.25" hidden="1" customHeight="1">
      <c r="B214" s="23">
        <v>45684</v>
      </c>
      <c r="C214" s="7">
        <v>2003587623</v>
      </c>
      <c r="D214" s="20">
        <v>5739702</v>
      </c>
      <c r="E214" s="27" t="s">
        <v>143</v>
      </c>
      <c r="F214" s="7" t="s">
        <v>107</v>
      </c>
      <c r="G214" s="7" t="s">
        <v>10</v>
      </c>
      <c r="H214" s="7" t="s">
        <v>45</v>
      </c>
      <c r="I214" s="20" t="s">
        <v>522</v>
      </c>
      <c r="J214" s="20" t="s">
        <v>523</v>
      </c>
      <c r="K214" s="7" t="s">
        <v>122</v>
      </c>
      <c r="L214" s="61">
        <v>45691</v>
      </c>
      <c r="M214" s="7" t="s">
        <v>111</v>
      </c>
      <c r="N214" s="61">
        <v>45692</v>
      </c>
      <c r="O214" s="61">
        <v>45693</v>
      </c>
      <c r="P214" s="59"/>
      <c r="Q214" s="124" t="e">
        <f>P214*#REF!</f>
        <v>#REF!</v>
      </c>
      <c r="R214" s="126">
        <v>45694</v>
      </c>
      <c r="S214" s="153">
        <f>IF(L214="","",L214-B214)</f>
        <v>7</v>
      </c>
      <c r="T214" s="153">
        <f>IF(N214="","",N214-L214)</f>
        <v>1</v>
      </c>
      <c r="U214" s="153">
        <f>IF(O214="","",O214-N214)</f>
        <v>1</v>
      </c>
      <c r="V214" s="154">
        <f>IF(O214="","",O214-B214)</f>
        <v>9</v>
      </c>
      <c r="W214" s="154">
        <f>IF(O214="","",O214-L214)</f>
        <v>2</v>
      </c>
      <c r="X214" s="154">
        <f>IF(R214="","",R214-B214)</f>
        <v>10</v>
      </c>
    </row>
    <row r="215" spans="2:32" ht="17.25" hidden="1" customHeight="1">
      <c r="B215" s="23">
        <v>45684</v>
      </c>
      <c r="C215" s="7">
        <v>2003534929</v>
      </c>
      <c r="D215" s="20">
        <v>88891</v>
      </c>
      <c r="E215" s="27" t="s">
        <v>258</v>
      </c>
      <c r="F215" s="7" t="s">
        <v>107</v>
      </c>
      <c r="G215" s="7" t="s">
        <v>21</v>
      </c>
      <c r="H215" s="7" t="s">
        <v>45</v>
      </c>
      <c r="I215" s="20" t="s">
        <v>524</v>
      </c>
      <c r="J215" s="20" t="s">
        <v>525</v>
      </c>
      <c r="K215" s="7" t="s">
        <v>122</v>
      </c>
      <c r="L215" s="61">
        <v>45686</v>
      </c>
      <c r="M215" s="7" t="s">
        <v>111</v>
      </c>
      <c r="N215" s="24">
        <v>45691</v>
      </c>
      <c r="O215" s="106">
        <v>45691</v>
      </c>
      <c r="P215" s="59"/>
      <c r="Q215" s="124" t="e">
        <f>P215*#REF!</f>
        <v>#REF!</v>
      </c>
      <c r="R215" s="126">
        <v>45691</v>
      </c>
      <c r="S215" s="153">
        <f>IF(L215="","",L215-B215)</f>
        <v>2</v>
      </c>
      <c r="T215" s="153">
        <f>IF(N215="","",N215-L215)</f>
        <v>5</v>
      </c>
      <c r="U215" s="153">
        <f>IF(O215="","",O215-N215)</f>
        <v>0</v>
      </c>
      <c r="V215" s="154">
        <f>IF(O215="","",O215-B215)</f>
        <v>7</v>
      </c>
      <c r="W215" s="154">
        <f>IF(O215="","",O215-L215)</f>
        <v>5</v>
      </c>
      <c r="X215" s="154">
        <f>IF(R215="","",R215-B215)</f>
        <v>7</v>
      </c>
    </row>
    <row r="216" spans="2:32" ht="17.25" hidden="1" customHeight="1">
      <c r="B216" s="23">
        <v>45684</v>
      </c>
      <c r="C216" s="7">
        <v>2003545773</v>
      </c>
      <c r="D216" s="20">
        <v>5739873</v>
      </c>
      <c r="E216" s="27" t="s">
        <v>116</v>
      </c>
      <c r="F216" s="7" t="s">
        <v>107</v>
      </c>
      <c r="G216" s="7" t="s">
        <v>18</v>
      </c>
      <c r="H216" s="7" t="s">
        <v>45</v>
      </c>
      <c r="I216" s="20" t="s">
        <v>526</v>
      </c>
      <c r="J216" s="20" t="s">
        <v>527</v>
      </c>
      <c r="K216" s="7" t="s">
        <v>119</v>
      </c>
      <c r="L216" s="61">
        <v>45698</v>
      </c>
      <c r="M216" s="7" t="s">
        <v>111</v>
      </c>
      <c r="N216" s="24">
        <v>45701</v>
      </c>
      <c r="O216" s="24">
        <v>45701</v>
      </c>
      <c r="P216" s="59"/>
      <c r="Q216" s="124" t="e">
        <f>P216*#REF!</f>
        <v>#REF!</v>
      </c>
      <c r="R216" s="126">
        <v>45705</v>
      </c>
      <c r="S216" s="153">
        <f>IF(L216="","",L216-B216)</f>
        <v>14</v>
      </c>
      <c r="T216" s="153">
        <f>IF(N216="","",N216-L216)</f>
        <v>3</v>
      </c>
      <c r="U216" s="153">
        <f>IF(O216="","",O216-N216)</f>
        <v>0</v>
      </c>
      <c r="V216" s="154">
        <f>IF(O216="","",O216-B216)</f>
        <v>17</v>
      </c>
      <c r="W216" s="154">
        <f>IF(O216="","",O216-L216)</f>
        <v>3</v>
      </c>
      <c r="X216" s="154">
        <f>IF(R216="","",R216-B216)</f>
        <v>21</v>
      </c>
    </row>
    <row r="217" spans="2:32" ht="17.25" hidden="1" customHeight="1">
      <c r="B217" s="23">
        <v>45684</v>
      </c>
      <c r="C217" s="7">
        <v>2003376150</v>
      </c>
      <c r="D217" s="20">
        <v>5739908</v>
      </c>
      <c r="E217" s="27" t="s">
        <v>123</v>
      </c>
      <c r="F217" s="7" t="s">
        <v>107</v>
      </c>
      <c r="G217" s="7" t="s">
        <v>26</v>
      </c>
      <c r="H217" s="7" t="s">
        <v>45</v>
      </c>
      <c r="I217" s="20" t="s">
        <v>448</v>
      </c>
      <c r="J217" s="20" t="s">
        <v>528</v>
      </c>
      <c r="K217" s="7" t="s">
        <v>122</v>
      </c>
      <c r="L217" s="61">
        <v>45687</v>
      </c>
      <c r="M217" s="7" t="s">
        <v>111</v>
      </c>
      <c r="N217" s="24">
        <v>45688</v>
      </c>
      <c r="O217" s="58">
        <v>45688</v>
      </c>
      <c r="P217" s="59">
        <v>123</v>
      </c>
      <c r="Q217" s="124" t="e">
        <f>P217*#REF!</f>
        <v>#REF!</v>
      </c>
      <c r="R217" s="126">
        <v>45688</v>
      </c>
      <c r="S217" s="153">
        <f>IF(L217="","",L217-B217)</f>
        <v>3</v>
      </c>
      <c r="T217" s="153">
        <f>IF(N217="","",N217-L217)</f>
        <v>1</v>
      </c>
      <c r="U217" s="153">
        <f>IF(O217="","",O217-N217)</f>
        <v>0</v>
      </c>
      <c r="V217" s="154">
        <f>IF(O217="","",O217-B217)</f>
        <v>4</v>
      </c>
      <c r="W217" s="154">
        <f>IF(O217="","",O217-L217)</f>
        <v>1</v>
      </c>
      <c r="X217" s="154">
        <f>IF(R217="","",R217-B217)</f>
        <v>4</v>
      </c>
    </row>
    <row r="218" spans="2:32" ht="17.25" hidden="1" customHeight="1">
      <c r="B218" s="23">
        <v>45684</v>
      </c>
      <c r="C218" s="7">
        <v>2003531382</v>
      </c>
      <c r="D218" s="20">
        <v>5739947</v>
      </c>
      <c r="E218" s="27" t="s">
        <v>143</v>
      </c>
      <c r="F218" s="7" t="s">
        <v>107</v>
      </c>
      <c r="G218" s="7" t="s">
        <v>18</v>
      </c>
      <c r="H218" s="7" t="s">
        <v>45</v>
      </c>
      <c r="I218" s="20" t="s">
        <v>529</v>
      </c>
      <c r="J218" s="20" t="s">
        <v>530</v>
      </c>
      <c r="K218" s="7" t="s">
        <v>119</v>
      </c>
      <c r="L218" s="61">
        <v>45688</v>
      </c>
      <c r="M218" s="7" t="s">
        <v>111</v>
      </c>
      <c r="N218" s="24">
        <v>45691</v>
      </c>
      <c r="O218" s="58">
        <v>45692</v>
      </c>
      <c r="P218" s="59"/>
      <c r="Q218" s="124" t="e">
        <f>P218*#REF!</f>
        <v>#REF!</v>
      </c>
      <c r="R218" s="126">
        <v>45692</v>
      </c>
      <c r="S218" s="153">
        <f>IF(L218="","",L218-B218)</f>
        <v>4</v>
      </c>
      <c r="T218" s="153">
        <f>IF(N218="","",N218-L218)</f>
        <v>3</v>
      </c>
      <c r="U218" s="153">
        <f>IF(O218="","",O218-N218)</f>
        <v>1</v>
      </c>
      <c r="V218" s="154">
        <f>IF(O218="","",O218-B218)</f>
        <v>8</v>
      </c>
      <c r="W218" s="154">
        <f>IF(O218="","",O218-L218)</f>
        <v>4</v>
      </c>
      <c r="X218" s="154">
        <f>IF(R218="","",R218-B218)</f>
        <v>8</v>
      </c>
    </row>
    <row r="219" spans="2:32" ht="17.25" hidden="1" customHeight="1">
      <c r="B219" s="23">
        <v>45684</v>
      </c>
      <c r="C219" s="7">
        <v>2003538254</v>
      </c>
      <c r="D219" s="20">
        <v>5739950</v>
      </c>
      <c r="E219" s="27" t="s">
        <v>143</v>
      </c>
      <c r="F219" s="7" t="s">
        <v>107</v>
      </c>
      <c r="G219" s="7" t="s">
        <v>18</v>
      </c>
      <c r="H219" s="7" t="s">
        <v>45</v>
      </c>
      <c r="I219" s="20" t="s">
        <v>529</v>
      </c>
      <c r="J219" s="20" t="s">
        <v>530</v>
      </c>
      <c r="K219" s="7" t="s">
        <v>119</v>
      </c>
      <c r="L219" s="61">
        <v>45688</v>
      </c>
      <c r="M219" s="7" t="s">
        <v>111</v>
      </c>
      <c r="N219" s="24">
        <v>45691</v>
      </c>
      <c r="O219" s="58">
        <v>45692</v>
      </c>
      <c r="P219" s="59"/>
      <c r="Q219" s="124" t="e">
        <f>P219*#REF!</f>
        <v>#REF!</v>
      </c>
      <c r="R219" s="126">
        <v>45692</v>
      </c>
      <c r="S219" s="153">
        <f>IF(L219="","",L219-B219)</f>
        <v>4</v>
      </c>
      <c r="T219" s="153">
        <f>IF(N219="","",N219-L219)</f>
        <v>3</v>
      </c>
      <c r="U219" s="153">
        <f>IF(O219="","",O219-N219)</f>
        <v>1</v>
      </c>
      <c r="V219" s="154">
        <f>IF(O219="","",O219-B219)</f>
        <v>8</v>
      </c>
      <c r="W219" s="154">
        <f>IF(O219="","",O219-L219)</f>
        <v>4</v>
      </c>
      <c r="X219" s="154">
        <f>IF(R219="","",R219-B219)</f>
        <v>8</v>
      </c>
    </row>
    <row r="220" spans="2:32" s="195" customFormat="1" ht="17.25" hidden="1" customHeight="1">
      <c r="B220" s="196">
        <v>45684</v>
      </c>
      <c r="C220" s="197">
        <v>2003552619</v>
      </c>
      <c r="D220" s="195">
        <v>244685</v>
      </c>
      <c r="E220" s="198" t="s">
        <v>188</v>
      </c>
      <c r="F220" s="197" t="s">
        <v>107</v>
      </c>
      <c r="G220" s="197" t="s">
        <v>18</v>
      </c>
      <c r="H220" s="197" t="s">
        <v>45</v>
      </c>
      <c r="I220" s="195" t="s">
        <v>531</v>
      </c>
      <c r="J220" s="195" t="s">
        <v>532</v>
      </c>
      <c r="K220" s="197" t="s">
        <v>110</v>
      </c>
      <c r="L220" s="199">
        <v>45686</v>
      </c>
      <c r="M220" s="197" t="s">
        <v>111</v>
      </c>
      <c r="N220" s="24">
        <v>45686</v>
      </c>
      <c r="O220" s="61">
        <v>45698</v>
      </c>
      <c r="P220" s="200"/>
      <c r="Q220" s="201" t="e">
        <f>P220*#REF!</f>
        <v>#REF!</v>
      </c>
      <c r="R220" s="192">
        <v>45698</v>
      </c>
      <c r="S220" s="193">
        <f>IF(L220="","",L220-B220)</f>
        <v>2</v>
      </c>
      <c r="T220" s="193">
        <f>IF(N220="","",N220-L220)</f>
        <v>0</v>
      </c>
      <c r="U220" s="193">
        <f>IF(O220="","",O220-N220)</f>
        <v>12</v>
      </c>
      <c r="V220" s="194">
        <f>IF(O220="","",O220-B220)</f>
        <v>14</v>
      </c>
      <c r="W220" s="194">
        <f>IF(O220="","",O220-L220)</f>
        <v>12</v>
      </c>
      <c r="X220" s="194">
        <f>IF(R220="","",R220-B220)</f>
        <v>14</v>
      </c>
      <c r="Y220" s="202"/>
      <c r="Z220" s="202"/>
      <c r="AA220" s="202"/>
      <c r="AB220" s="202"/>
      <c r="AC220" s="202"/>
      <c r="AD220" s="202"/>
      <c r="AE220" s="202"/>
      <c r="AF220" s="203"/>
    </row>
    <row r="221" spans="2:32" ht="17.25" hidden="1" customHeight="1">
      <c r="B221" s="23">
        <v>45685</v>
      </c>
      <c r="C221" s="7">
        <v>2003574608</v>
      </c>
      <c r="D221" s="20">
        <v>5741036</v>
      </c>
      <c r="E221" s="27" t="s">
        <v>116</v>
      </c>
      <c r="F221" s="7" t="s">
        <v>107</v>
      </c>
      <c r="G221" s="7" t="s">
        <v>26</v>
      </c>
      <c r="H221" s="7" t="s">
        <v>45</v>
      </c>
      <c r="I221" s="20" t="s">
        <v>533</v>
      </c>
      <c r="J221" s="20" t="s">
        <v>298</v>
      </c>
      <c r="K221" s="7" t="s">
        <v>122</v>
      </c>
      <c r="L221" s="61">
        <v>45687</v>
      </c>
      <c r="M221" s="7" t="s">
        <v>111</v>
      </c>
      <c r="N221" s="24">
        <v>45688</v>
      </c>
      <c r="O221" s="23">
        <v>45688</v>
      </c>
      <c r="P221" s="59"/>
      <c r="Q221" s="124" t="e">
        <f>P221*#REF!</f>
        <v>#REF!</v>
      </c>
      <c r="R221" s="126">
        <v>45688</v>
      </c>
      <c r="S221" s="153">
        <f>IF(L221="","",L221-B221)</f>
        <v>2</v>
      </c>
      <c r="T221" s="153">
        <f>IF(N221="","",N221-L221)</f>
        <v>1</v>
      </c>
      <c r="U221" s="153">
        <f>IF(O221="","",O221-N221)</f>
        <v>0</v>
      </c>
      <c r="V221" s="154">
        <f>IF(O221="","",O221-B221)</f>
        <v>3</v>
      </c>
      <c r="W221" s="154">
        <f>IF(O221="","",O221-L221)</f>
        <v>1</v>
      </c>
      <c r="X221" s="154">
        <f>IF(R221="","",R221-B221)</f>
        <v>3</v>
      </c>
    </row>
    <row r="222" spans="2:32" ht="17.25" hidden="1" customHeight="1">
      <c r="B222" s="23">
        <v>45684</v>
      </c>
      <c r="C222" s="7">
        <v>2003591773</v>
      </c>
      <c r="D222" s="20">
        <v>88934</v>
      </c>
      <c r="E222" s="27" t="s">
        <v>129</v>
      </c>
      <c r="F222" s="7" t="s">
        <v>113</v>
      </c>
      <c r="G222" s="7" t="s">
        <v>70</v>
      </c>
      <c r="H222" s="7" t="s">
        <v>47</v>
      </c>
      <c r="I222" s="20" t="s">
        <v>534</v>
      </c>
      <c r="J222" s="20" t="s">
        <v>535</v>
      </c>
      <c r="K222" s="7" t="s">
        <v>160</v>
      </c>
      <c r="L222" s="61">
        <v>45684</v>
      </c>
      <c r="N222" s="24">
        <v>45691</v>
      </c>
      <c r="O222" s="58">
        <v>45691</v>
      </c>
      <c r="P222" s="59"/>
      <c r="Q222" s="124" t="e">
        <f>P222*#REF!</f>
        <v>#REF!</v>
      </c>
      <c r="R222" s="126">
        <v>45691</v>
      </c>
      <c r="S222" s="153">
        <f>IF(L222="","",L222-B222)</f>
        <v>0</v>
      </c>
      <c r="T222" s="153">
        <f>IF(N222="","",N222-L222)</f>
        <v>7</v>
      </c>
      <c r="U222" s="153">
        <f>IF(O222="","",O222-N222)</f>
        <v>0</v>
      </c>
      <c r="V222" s="154">
        <f>IF(O222="","",O222-B222)</f>
        <v>7</v>
      </c>
      <c r="W222" s="154">
        <f>IF(O222="","",O222-L222)</f>
        <v>7</v>
      </c>
      <c r="X222" s="154">
        <f>IF(R222="","",R222-B222)</f>
        <v>7</v>
      </c>
    </row>
    <row r="223" spans="2:32" ht="17.25" hidden="1" customHeight="1">
      <c r="B223" s="23">
        <v>45685</v>
      </c>
      <c r="C223" s="7">
        <v>2003574570</v>
      </c>
      <c r="D223" s="20">
        <v>5740682</v>
      </c>
      <c r="E223" s="27" t="s">
        <v>129</v>
      </c>
      <c r="F223" s="7" t="s">
        <v>107</v>
      </c>
      <c r="G223" s="7" t="s">
        <v>18</v>
      </c>
      <c r="H223" s="7" t="s">
        <v>45</v>
      </c>
      <c r="I223" s="20" t="s">
        <v>536</v>
      </c>
      <c r="J223" s="20" t="s">
        <v>537</v>
      </c>
      <c r="K223" s="7" t="s">
        <v>111</v>
      </c>
      <c r="L223" s="61">
        <v>45686</v>
      </c>
      <c r="M223" s="7" t="s">
        <v>111</v>
      </c>
      <c r="N223" s="61">
        <v>45686</v>
      </c>
      <c r="O223" s="58">
        <v>45698</v>
      </c>
      <c r="P223" s="59"/>
      <c r="Q223" s="124" t="e">
        <f>P223*#REF!</f>
        <v>#REF!</v>
      </c>
      <c r="R223" s="126">
        <v>45698</v>
      </c>
      <c r="S223" s="153">
        <f>IF(L223="","",L223-B223)</f>
        <v>1</v>
      </c>
      <c r="T223" s="153">
        <f>IF(N223="","",N223-L223)</f>
        <v>0</v>
      </c>
      <c r="U223" s="153">
        <f>IF(O223="","",O223-N223)</f>
        <v>12</v>
      </c>
      <c r="V223" s="154">
        <f>IF(O223="","",O223-B223)</f>
        <v>13</v>
      </c>
      <c r="W223" s="154">
        <f>IF(O223="","",O223-L223)</f>
        <v>12</v>
      </c>
      <c r="X223" s="154">
        <f>IF(R223="","",R223-B223)</f>
        <v>13</v>
      </c>
    </row>
    <row r="224" spans="2:32" ht="17.25" hidden="1" customHeight="1">
      <c r="B224" s="23">
        <v>45685</v>
      </c>
      <c r="C224" s="7">
        <v>2003563253</v>
      </c>
      <c r="D224" s="20">
        <v>5740756</v>
      </c>
      <c r="E224" s="27" t="s">
        <v>157</v>
      </c>
      <c r="F224" s="7" t="s">
        <v>107</v>
      </c>
      <c r="G224" s="7" t="s">
        <v>15</v>
      </c>
      <c r="H224" s="7" t="s">
        <v>45</v>
      </c>
      <c r="I224" s="20" t="s">
        <v>538</v>
      </c>
      <c r="J224" s="20" t="s">
        <v>539</v>
      </c>
      <c r="K224" s="7" t="s">
        <v>119</v>
      </c>
      <c r="L224" s="61">
        <v>45687</v>
      </c>
      <c r="M224" s="7" t="s">
        <v>111</v>
      </c>
      <c r="N224" s="24">
        <v>45692</v>
      </c>
      <c r="O224" s="61">
        <v>45698</v>
      </c>
      <c r="P224" s="59"/>
      <c r="Q224" s="124" t="e">
        <f>P224*#REF!</f>
        <v>#REF!</v>
      </c>
      <c r="R224" s="126">
        <v>45698</v>
      </c>
      <c r="S224" s="153">
        <f>IF(L224="","",L224-B224)</f>
        <v>2</v>
      </c>
      <c r="T224" s="153">
        <f>IF(N224="","",N224-L224)</f>
        <v>5</v>
      </c>
      <c r="U224" s="153">
        <f>IF(O224="","",O224-N224)</f>
        <v>6</v>
      </c>
      <c r="V224" s="154">
        <f>IF(O224="","",O224-B224)</f>
        <v>13</v>
      </c>
      <c r="W224" s="154">
        <f>IF(O224="","",O224-L224)</f>
        <v>11</v>
      </c>
      <c r="X224" s="154">
        <f>IF(R224="","",R224-B224)</f>
        <v>13</v>
      </c>
    </row>
    <row r="225" spans="2:24" ht="17.25" hidden="1" customHeight="1">
      <c r="B225" s="23">
        <v>45685</v>
      </c>
      <c r="C225" s="7">
        <v>2003589477</v>
      </c>
      <c r="D225" s="20">
        <v>5740986</v>
      </c>
      <c r="E225" s="27" t="s">
        <v>138</v>
      </c>
      <c r="F225" s="7" t="s">
        <v>107</v>
      </c>
      <c r="G225" s="7" t="s">
        <v>26</v>
      </c>
      <c r="H225" s="7" t="s">
        <v>45</v>
      </c>
      <c r="I225" s="20" t="s">
        <v>540</v>
      </c>
      <c r="J225" s="20" t="s">
        <v>541</v>
      </c>
      <c r="K225" s="7" t="s">
        <v>119</v>
      </c>
      <c r="L225" s="61">
        <v>45687</v>
      </c>
      <c r="M225" s="7" t="s">
        <v>111</v>
      </c>
      <c r="N225" s="24">
        <v>45688</v>
      </c>
      <c r="O225" s="58">
        <v>45688</v>
      </c>
      <c r="P225" s="59"/>
      <c r="Q225" s="124" t="e">
        <f>P225*#REF!</f>
        <v>#REF!</v>
      </c>
      <c r="R225" s="126">
        <v>45688</v>
      </c>
      <c r="S225" s="153">
        <f>IF(L225="","",L225-B225)</f>
        <v>2</v>
      </c>
      <c r="T225" s="153">
        <f>IF(N225="","",N225-L225)</f>
        <v>1</v>
      </c>
      <c r="U225" s="153">
        <f>IF(O225="","",O225-N225)</f>
        <v>0</v>
      </c>
      <c r="V225" s="154">
        <f>IF(O225="","",O225-B225)</f>
        <v>3</v>
      </c>
      <c r="W225" s="154">
        <f>IF(O225="","",O225-L225)</f>
        <v>1</v>
      </c>
      <c r="X225" s="154">
        <f>IF(R225="","",R225-B225)</f>
        <v>3</v>
      </c>
    </row>
    <row r="226" spans="2:24" ht="17.25" hidden="1" customHeight="1">
      <c r="B226" s="23">
        <v>45685</v>
      </c>
      <c r="C226" s="7">
        <v>2003589528</v>
      </c>
      <c r="D226" s="20">
        <v>5741000</v>
      </c>
      <c r="E226" s="27" t="s">
        <v>408</v>
      </c>
      <c r="F226" s="7" t="s">
        <v>107</v>
      </c>
      <c r="G226" s="7" t="s">
        <v>26</v>
      </c>
      <c r="H226" s="7" t="s">
        <v>45</v>
      </c>
      <c r="I226" s="20" t="s">
        <v>542</v>
      </c>
      <c r="J226" s="20" t="s">
        <v>543</v>
      </c>
      <c r="K226" s="7" t="s">
        <v>110</v>
      </c>
      <c r="L226" s="61">
        <v>45691</v>
      </c>
      <c r="M226" s="7" t="s">
        <v>111</v>
      </c>
      <c r="N226" s="24">
        <v>45691</v>
      </c>
      <c r="O226" s="58">
        <v>45691</v>
      </c>
      <c r="P226" s="59"/>
      <c r="Q226" s="124" t="e">
        <f>P226*#REF!</f>
        <v>#REF!</v>
      </c>
      <c r="R226" s="126">
        <v>45691</v>
      </c>
      <c r="S226" s="153">
        <f>IF(L226="","",L226-B226)</f>
        <v>6</v>
      </c>
      <c r="T226" s="153">
        <f>IF(N226="","",N226-L226)</f>
        <v>0</v>
      </c>
      <c r="U226" s="153">
        <f>IF(O226="","",O226-N226)</f>
        <v>0</v>
      </c>
      <c r="V226" s="154">
        <f>IF(O226="","",O226-B226)</f>
        <v>6</v>
      </c>
      <c r="W226" s="154">
        <f>IF(O226="","",O226-L226)</f>
        <v>0</v>
      </c>
      <c r="X226" s="154">
        <f>IF(R226="","",R226-B226)</f>
        <v>6</v>
      </c>
    </row>
    <row r="227" spans="2:24" ht="17.25" hidden="1" customHeight="1">
      <c r="B227" s="23">
        <v>45685</v>
      </c>
      <c r="C227" s="7">
        <v>2003573855</v>
      </c>
      <c r="D227" s="20">
        <v>5741017</v>
      </c>
      <c r="E227" s="27" t="s">
        <v>163</v>
      </c>
      <c r="F227" s="7" t="s">
        <v>107</v>
      </c>
      <c r="G227" s="7" t="s">
        <v>26</v>
      </c>
      <c r="H227" s="7" t="s">
        <v>45</v>
      </c>
      <c r="I227" s="20" t="s">
        <v>544</v>
      </c>
      <c r="J227" s="20" t="s">
        <v>545</v>
      </c>
      <c r="K227" s="7" t="s">
        <v>119</v>
      </c>
      <c r="L227" s="61">
        <v>45692</v>
      </c>
      <c r="M227" s="7" t="s">
        <v>111</v>
      </c>
      <c r="N227" s="24">
        <v>45694</v>
      </c>
      <c r="O227" s="58">
        <v>45694</v>
      </c>
      <c r="P227" s="59"/>
      <c r="Q227" s="124" t="e">
        <f>P227*#REF!</f>
        <v>#REF!</v>
      </c>
      <c r="R227" s="126">
        <v>45694</v>
      </c>
      <c r="S227" s="153">
        <f>IF(L227="","",L227-B227)</f>
        <v>7</v>
      </c>
      <c r="T227" s="153">
        <f>IF(N227="","",N227-L227)</f>
        <v>2</v>
      </c>
      <c r="U227" s="153">
        <f>IF(O227="","",O227-N227)</f>
        <v>0</v>
      </c>
      <c r="V227" s="154">
        <f>IF(O227="","",O227-B227)</f>
        <v>9</v>
      </c>
      <c r="W227" s="154">
        <f>IF(O227="","",O227-L227)</f>
        <v>2</v>
      </c>
      <c r="X227" s="154">
        <f>IF(R227="","",R227-B227)</f>
        <v>9</v>
      </c>
    </row>
    <row r="228" spans="2:24" ht="17.25" hidden="1" customHeight="1">
      <c r="B228" s="23">
        <v>45685</v>
      </c>
      <c r="C228" s="7">
        <v>2003565396</v>
      </c>
      <c r="D228" s="20">
        <v>89980</v>
      </c>
      <c r="E228" s="27" t="s">
        <v>143</v>
      </c>
      <c r="F228" s="7" t="s">
        <v>107</v>
      </c>
      <c r="G228" s="7" t="s">
        <v>10</v>
      </c>
      <c r="H228" s="7" t="s">
        <v>45</v>
      </c>
      <c r="I228" s="20" t="s">
        <v>302</v>
      </c>
      <c r="J228" s="20" t="s">
        <v>303</v>
      </c>
      <c r="K228" s="7" t="s">
        <v>122</v>
      </c>
      <c r="L228" s="61">
        <v>45687</v>
      </c>
      <c r="M228" s="7" t="s">
        <v>111</v>
      </c>
      <c r="N228" s="24">
        <v>45688</v>
      </c>
      <c r="O228" s="58">
        <v>45692</v>
      </c>
      <c r="P228" s="59"/>
      <c r="Q228" s="124" t="e">
        <f>P228*#REF!</f>
        <v>#REF!</v>
      </c>
      <c r="R228" s="126">
        <v>45692</v>
      </c>
      <c r="S228" s="153">
        <f>IF(L228="","",L228-B228)</f>
        <v>2</v>
      </c>
      <c r="T228" s="153">
        <f>IF(N228="","",N228-L228)</f>
        <v>1</v>
      </c>
      <c r="U228" s="153">
        <f>IF(O228="","",O228-N228)</f>
        <v>4</v>
      </c>
      <c r="V228" s="154">
        <f>IF(O228="","",O228-B228)</f>
        <v>7</v>
      </c>
      <c r="W228" s="154">
        <f>IF(O228="","",O228-L228)</f>
        <v>5</v>
      </c>
      <c r="X228" s="154">
        <f>IF(R228="","",R228-B228)</f>
        <v>7</v>
      </c>
    </row>
    <row r="229" spans="2:24" ht="17.25" hidden="1" customHeight="1">
      <c r="B229" s="23">
        <v>45685</v>
      </c>
      <c r="C229" s="7">
        <v>2003570209</v>
      </c>
      <c r="D229" s="20">
        <v>5741056</v>
      </c>
      <c r="E229" s="27" t="s">
        <v>116</v>
      </c>
      <c r="F229" s="7" t="s">
        <v>107</v>
      </c>
      <c r="G229" s="7" t="s">
        <v>18</v>
      </c>
      <c r="H229" s="7" t="s">
        <v>45</v>
      </c>
      <c r="I229" s="20" t="s">
        <v>546</v>
      </c>
      <c r="J229" s="20" t="s">
        <v>547</v>
      </c>
      <c r="K229" s="7" t="s">
        <v>119</v>
      </c>
      <c r="L229" s="61">
        <v>45687</v>
      </c>
      <c r="M229" s="7" t="s">
        <v>111</v>
      </c>
      <c r="N229" s="61">
        <v>45687</v>
      </c>
      <c r="O229" s="58">
        <v>45692</v>
      </c>
      <c r="P229" s="59"/>
      <c r="Q229" s="124" t="e">
        <f>P229*#REF!</f>
        <v>#REF!</v>
      </c>
      <c r="R229" s="126">
        <v>45692</v>
      </c>
      <c r="S229" s="153">
        <f>IF(L229="","",L229-B229)</f>
        <v>2</v>
      </c>
      <c r="T229" s="153">
        <f>IF(N229="","",N229-L229)</f>
        <v>0</v>
      </c>
      <c r="U229" s="153">
        <f>IF(O229="","",O229-N229)</f>
        <v>5</v>
      </c>
      <c r="V229" s="154">
        <f>IF(O229="","",O229-B229)</f>
        <v>7</v>
      </c>
      <c r="W229" s="154">
        <f>IF(O229="","",O229-L229)</f>
        <v>5</v>
      </c>
      <c r="X229" s="154">
        <f>IF(R229="","",R229-B229)</f>
        <v>7</v>
      </c>
    </row>
    <row r="230" spans="2:24" ht="17.25" hidden="1" customHeight="1">
      <c r="B230" s="23">
        <v>45685</v>
      </c>
      <c r="C230" s="7">
        <v>2003554571</v>
      </c>
      <c r="D230" s="20">
        <v>5741207</v>
      </c>
      <c r="E230" s="27" t="s">
        <v>106</v>
      </c>
      <c r="F230" s="7" t="s">
        <v>107</v>
      </c>
      <c r="G230" s="7" t="s">
        <v>26</v>
      </c>
      <c r="H230" s="7" t="s">
        <v>45</v>
      </c>
      <c r="I230" s="20" t="s">
        <v>228</v>
      </c>
      <c r="J230" s="20" t="s">
        <v>229</v>
      </c>
      <c r="K230" s="7" t="s">
        <v>119</v>
      </c>
      <c r="L230" s="61">
        <v>45687</v>
      </c>
      <c r="M230" s="7" t="s">
        <v>111</v>
      </c>
      <c r="N230" s="24">
        <v>45688</v>
      </c>
      <c r="O230" s="58">
        <v>45688</v>
      </c>
      <c r="P230" s="59"/>
      <c r="Q230" s="124" t="e">
        <f>P230*#REF!</f>
        <v>#REF!</v>
      </c>
      <c r="R230" s="126">
        <v>45688</v>
      </c>
      <c r="S230" s="153">
        <f>IF(L230="","",L230-B230)</f>
        <v>2</v>
      </c>
      <c r="T230" s="153">
        <f>IF(N230="","",N230-L230)</f>
        <v>1</v>
      </c>
      <c r="U230" s="153">
        <f>IF(O230="","",O230-N230)</f>
        <v>0</v>
      </c>
      <c r="V230" s="154">
        <f>IF(O230="","",O230-B230)</f>
        <v>3</v>
      </c>
      <c r="W230" s="154">
        <f>IF(O230="","",O230-L230)</f>
        <v>1</v>
      </c>
      <c r="X230" s="154">
        <f>IF(R230="","",R230-B230)</f>
        <v>3</v>
      </c>
    </row>
    <row r="231" spans="2:24" ht="17.25" hidden="1" customHeight="1">
      <c r="B231" s="23">
        <v>45685</v>
      </c>
      <c r="C231" s="7">
        <v>2003593257</v>
      </c>
      <c r="D231" s="20">
        <v>5741218</v>
      </c>
      <c r="E231" s="27" t="s">
        <v>123</v>
      </c>
      <c r="F231" s="7" t="s">
        <v>107</v>
      </c>
      <c r="G231" s="7" t="s">
        <v>18</v>
      </c>
      <c r="H231" s="7" t="s">
        <v>45</v>
      </c>
      <c r="I231" s="20" t="s">
        <v>548</v>
      </c>
      <c r="J231" s="20" t="s">
        <v>549</v>
      </c>
      <c r="K231" s="7" t="s">
        <v>119</v>
      </c>
      <c r="L231" s="61">
        <v>45687</v>
      </c>
      <c r="M231" s="7" t="s">
        <v>111</v>
      </c>
      <c r="N231" s="61">
        <v>45687</v>
      </c>
      <c r="O231" s="24">
        <v>45688</v>
      </c>
      <c r="P231" s="59"/>
      <c r="Q231" s="124" t="e">
        <f>P231*#REF!</f>
        <v>#REF!</v>
      </c>
      <c r="R231" s="126">
        <v>45688</v>
      </c>
      <c r="S231" s="153">
        <f>IF(L231="","",L231-B231)</f>
        <v>2</v>
      </c>
      <c r="T231" s="153">
        <f>IF(N231="","",N231-L231)</f>
        <v>0</v>
      </c>
      <c r="U231" s="153">
        <f>IF(O231="","",O231-N231)</f>
        <v>1</v>
      </c>
      <c r="V231" s="154">
        <f>IF(O231="","",O231-B231)</f>
        <v>3</v>
      </c>
      <c r="W231" s="154">
        <f>IF(O231="","",O231-L231)</f>
        <v>1</v>
      </c>
      <c r="X231" s="154">
        <f>IF(R231="","",R231-B231)</f>
        <v>3</v>
      </c>
    </row>
    <row r="232" spans="2:24" ht="17.25" hidden="1" customHeight="1">
      <c r="B232" s="23">
        <v>45685</v>
      </c>
      <c r="C232" s="7">
        <v>2003522107</v>
      </c>
      <c r="D232" s="20">
        <v>5741227</v>
      </c>
      <c r="E232" s="27" t="s">
        <v>129</v>
      </c>
      <c r="F232" s="7" t="s">
        <v>107</v>
      </c>
      <c r="G232" s="7" t="s">
        <v>10</v>
      </c>
      <c r="H232" s="7" t="s">
        <v>45</v>
      </c>
      <c r="I232" s="20" t="s">
        <v>550</v>
      </c>
      <c r="J232" s="20" t="s">
        <v>551</v>
      </c>
      <c r="K232" s="7" t="s">
        <v>122</v>
      </c>
      <c r="L232" s="61">
        <v>45691</v>
      </c>
      <c r="M232" s="7" t="s">
        <v>111</v>
      </c>
      <c r="N232" s="61">
        <v>45692</v>
      </c>
      <c r="O232" s="61">
        <v>45693</v>
      </c>
      <c r="P232" s="59"/>
      <c r="Q232" s="124" t="e">
        <f>P232*#REF!</f>
        <v>#REF!</v>
      </c>
      <c r="R232" s="126">
        <v>45694</v>
      </c>
      <c r="S232" s="153">
        <f>IF(L232="","",L232-B232)</f>
        <v>6</v>
      </c>
      <c r="T232" s="153">
        <f>IF(N232="","",N232-L232)</f>
        <v>1</v>
      </c>
      <c r="U232" s="153">
        <f>IF(O232="","",O232-N232)</f>
        <v>1</v>
      </c>
      <c r="V232" s="154">
        <f>IF(O232="","",O232-B232)</f>
        <v>8</v>
      </c>
      <c r="W232" s="154">
        <f>IF(O232="","",O232-L232)</f>
        <v>2</v>
      </c>
      <c r="X232" s="154">
        <f>IF(R232="","",R232-B232)</f>
        <v>9</v>
      </c>
    </row>
    <row r="233" spans="2:24" ht="17.25" hidden="1" customHeight="1">
      <c r="B233" s="23">
        <v>45685</v>
      </c>
      <c r="C233" s="7">
        <v>2003583620</v>
      </c>
      <c r="D233" s="20">
        <v>5741268</v>
      </c>
      <c r="E233" s="27" t="s">
        <v>106</v>
      </c>
      <c r="F233" s="7" t="s">
        <v>107</v>
      </c>
      <c r="G233" s="7" t="s">
        <v>10</v>
      </c>
      <c r="H233" s="7" t="s">
        <v>45</v>
      </c>
      <c r="I233" s="20" t="s">
        <v>352</v>
      </c>
      <c r="J233" s="20" t="s">
        <v>353</v>
      </c>
      <c r="K233" s="7" t="s">
        <v>119</v>
      </c>
      <c r="L233" s="61">
        <v>45687</v>
      </c>
      <c r="M233" s="7" t="s">
        <v>111</v>
      </c>
      <c r="N233" s="61">
        <v>45687</v>
      </c>
      <c r="O233" s="24">
        <v>45688</v>
      </c>
      <c r="P233" s="59"/>
      <c r="Q233" s="124" t="e">
        <f>P233*#REF!</f>
        <v>#REF!</v>
      </c>
      <c r="R233" s="126">
        <v>45688</v>
      </c>
      <c r="S233" s="153">
        <f>IF(L233="","",L233-B233)</f>
        <v>2</v>
      </c>
      <c r="T233" s="153">
        <f>IF(N233="","",N233-L233)</f>
        <v>0</v>
      </c>
      <c r="U233" s="153">
        <f>IF(O233="","",O233-N233)</f>
        <v>1</v>
      </c>
      <c r="V233" s="154">
        <f>IF(O233="","",O233-B233)</f>
        <v>3</v>
      </c>
      <c r="W233" s="154">
        <f>IF(O233="","",O233-L233)</f>
        <v>1</v>
      </c>
      <c r="X233" s="154">
        <f>IF(R233="","",R233-B233)</f>
        <v>3</v>
      </c>
    </row>
    <row r="234" spans="2:24" ht="17.25" hidden="1" customHeight="1">
      <c r="B234" s="23">
        <v>45686</v>
      </c>
      <c r="C234" s="7">
        <v>2003579488</v>
      </c>
      <c r="D234" s="20">
        <v>5742221</v>
      </c>
      <c r="E234" s="27" t="s">
        <v>138</v>
      </c>
      <c r="F234" s="7" t="s">
        <v>107</v>
      </c>
      <c r="G234" s="7" t="s">
        <v>21</v>
      </c>
      <c r="H234" s="7" t="s">
        <v>45</v>
      </c>
      <c r="I234" s="20" t="s">
        <v>263</v>
      </c>
      <c r="J234" s="20" t="s">
        <v>264</v>
      </c>
      <c r="K234" s="7" t="s">
        <v>122</v>
      </c>
      <c r="L234" s="61">
        <v>45687</v>
      </c>
      <c r="M234" s="7" t="s">
        <v>111</v>
      </c>
      <c r="N234" s="61">
        <v>45687</v>
      </c>
      <c r="O234" s="130">
        <v>45687</v>
      </c>
      <c r="P234" s="59"/>
      <c r="Q234" s="124" t="e">
        <f>P234*#REF!</f>
        <v>#REF!</v>
      </c>
      <c r="R234" s="126">
        <v>45688</v>
      </c>
      <c r="S234" s="153">
        <f>IF(L234="","",L234-B234)</f>
        <v>1</v>
      </c>
      <c r="T234" s="153">
        <f>IF(N234="","",N234-L234)</f>
        <v>0</v>
      </c>
      <c r="U234" s="153">
        <f>IF(O234="","",O234-N234)</f>
        <v>0</v>
      </c>
      <c r="V234" s="154">
        <f>IF(O234="","",O234-B234)</f>
        <v>1</v>
      </c>
      <c r="W234" s="154">
        <f>IF(O234="","",O234-L234)</f>
        <v>0</v>
      </c>
      <c r="X234" s="154">
        <f>IF(R234="","",R234-B234)</f>
        <v>2</v>
      </c>
    </row>
    <row r="235" spans="2:24" ht="17.25" hidden="1" customHeight="1">
      <c r="B235" s="23">
        <v>45686</v>
      </c>
      <c r="C235" s="7">
        <v>2003591558</v>
      </c>
      <c r="D235" s="20">
        <v>5741922</v>
      </c>
      <c r="E235" s="27" t="s">
        <v>552</v>
      </c>
      <c r="F235" s="7" t="s">
        <v>113</v>
      </c>
      <c r="G235" s="7" t="s">
        <v>70</v>
      </c>
      <c r="H235" s="7" t="s">
        <v>47</v>
      </c>
      <c r="I235" s="20" t="s">
        <v>553</v>
      </c>
      <c r="J235" s="20" t="s">
        <v>554</v>
      </c>
      <c r="K235" s="7" t="s">
        <v>160</v>
      </c>
      <c r="P235" s="59"/>
      <c r="Q235" s="124" t="e">
        <f>P235*#REF!</f>
        <v>#REF!</v>
      </c>
      <c r="R235" s="126">
        <v>45698</v>
      </c>
      <c r="S235" s="153" t="str">
        <f>IF(L235="","",L235-B235)</f>
        <v/>
      </c>
      <c r="T235" s="153" t="str">
        <f>IF(N235="","",N235-L235)</f>
        <v/>
      </c>
      <c r="U235" s="153" t="str">
        <f>IF(O235="","",O235-N235)</f>
        <v/>
      </c>
      <c r="V235" s="154" t="str">
        <f>IF(O235="","",O235-B235)</f>
        <v/>
      </c>
      <c r="W235" s="154" t="str">
        <f>IF(O235="","",O235-L235)</f>
        <v/>
      </c>
      <c r="X235" s="154">
        <f>IF(R235="","",R235-B235)</f>
        <v>12</v>
      </c>
    </row>
    <row r="236" spans="2:24" ht="17.25" hidden="1" customHeight="1">
      <c r="B236" s="23">
        <v>45679</v>
      </c>
      <c r="C236" s="7">
        <v>2003581174</v>
      </c>
      <c r="D236" s="20">
        <v>5718178</v>
      </c>
      <c r="E236" s="27" t="s">
        <v>143</v>
      </c>
      <c r="F236" s="7" t="s">
        <v>107</v>
      </c>
      <c r="G236" s="7" t="s">
        <v>10</v>
      </c>
      <c r="H236" s="7" t="s">
        <v>45</v>
      </c>
      <c r="I236" s="20" t="s">
        <v>555</v>
      </c>
      <c r="J236" s="20" t="s">
        <v>556</v>
      </c>
      <c r="K236" s="7" t="s">
        <v>122</v>
      </c>
      <c r="L236" s="61">
        <v>45688</v>
      </c>
      <c r="M236" s="7" t="s">
        <v>111</v>
      </c>
      <c r="N236" s="24">
        <v>45691</v>
      </c>
      <c r="O236" s="24">
        <v>45691</v>
      </c>
      <c r="P236" s="59">
        <v>91.2</v>
      </c>
      <c r="Q236" s="124" t="e">
        <f>P236*#REF!</f>
        <v>#REF!</v>
      </c>
      <c r="R236" s="126">
        <v>45691</v>
      </c>
      <c r="S236" s="153">
        <f>IF(L236="","",L236-B236)</f>
        <v>9</v>
      </c>
      <c r="T236" s="153">
        <f>IF(N236="","",N236-L236)</f>
        <v>3</v>
      </c>
      <c r="U236" s="153">
        <f>IF(O236="","",O236-N236)</f>
        <v>0</v>
      </c>
      <c r="V236" s="154">
        <f>IF(O236="","",O236-B236)</f>
        <v>12</v>
      </c>
      <c r="W236" s="154">
        <f>IF(O236="","",O236-L236)</f>
        <v>3</v>
      </c>
      <c r="X236" s="154">
        <f>IF(R236="","",R236-B236)</f>
        <v>12</v>
      </c>
    </row>
    <row r="237" spans="2:24" ht="17.25" hidden="1" customHeight="1">
      <c r="B237" s="23">
        <v>45686</v>
      </c>
      <c r="C237" s="7">
        <v>2003570707</v>
      </c>
      <c r="D237" s="20">
        <v>5742370</v>
      </c>
      <c r="E237" s="27" t="s">
        <v>116</v>
      </c>
      <c r="F237" s="7" t="s">
        <v>107</v>
      </c>
      <c r="G237" s="7" t="s">
        <v>10</v>
      </c>
      <c r="H237" s="7" t="s">
        <v>45</v>
      </c>
      <c r="I237" s="20" t="s">
        <v>557</v>
      </c>
      <c r="J237" s="20" t="s">
        <v>558</v>
      </c>
      <c r="K237" s="7" t="s">
        <v>122</v>
      </c>
      <c r="L237" s="61">
        <v>45693</v>
      </c>
      <c r="M237" s="7" t="s">
        <v>111</v>
      </c>
      <c r="N237" s="24">
        <v>45694</v>
      </c>
      <c r="O237" s="58">
        <v>45695</v>
      </c>
      <c r="P237" s="59"/>
      <c r="Q237" s="124" t="e">
        <f>P237*#REF!</f>
        <v>#REF!</v>
      </c>
      <c r="R237" s="126">
        <v>45695</v>
      </c>
      <c r="S237" s="153">
        <f>IF(L237="","",L237-B237)</f>
        <v>7</v>
      </c>
      <c r="T237" s="153">
        <f>IF(N237="","",N237-L237)</f>
        <v>1</v>
      </c>
      <c r="U237" s="153">
        <f>IF(O237="","",O237-N237)</f>
        <v>1</v>
      </c>
      <c r="V237" s="154">
        <f>IF(O237="","",O237-B237)</f>
        <v>9</v>
      </c>
      <c r="W237" s="154">
        <f>IF(O237="","",O237-L237)</f>
        <v>2</v>
      </c>
      <c r="X237" s="154">
        <f>IF(R237="","",R237-B237)</f>
        <v>9</v>
      </c>
    </row>
    <row r="238" spans="2:24" ht="17.25" hidden="1" customHeight="1">
      <c r="B238" s="23">
        <v>45686</v>
      </c>
      <c r="C238" s="7">
        <v>2003517901</v>
      </c>
      <c r="D238" s="20">
        <v>5742401</v>
      </c>
      <c r="E238" s="27" t="s">
        <v>123</v>
      </c>
      <c r="F238" s="7" t="s">
        <v>107</v>
      </c>
      <c r="G238" s="7" t="s">
        <v>18</v>
      </c>
      <c r="H238" s="7" t="s">
        <v>45</v>
      </c>
      <c r="I238" s="20" t="s">
        <v>559</v>
      </c>
      <c r="J238" s="20" t="s">
        <v>560</v>
      </c>
      <c r="K238" s="7" t="s">
        <v>122</v>
      </c>
      <c r="L238" s="61">
        <v>45692</v>
      </c>
      <c r="M238" s="7" t="s">
        <v>111</v>
      </c>
      <c r="N238" s="61">
        <v>45692</v>
      </c>
      <c r="O238" s="58">
        <v>45695</v>
      </c>
      <c r="P238" s="59"/>
      <c r="Q238" s="124" t="e">
        <f>P238*#REF!</f>
        <v>#REF!</v>
      </c>
      <c r="R238" s="126">
        <v>45695</v>
      </c>
      <c r="S238" s="153">
        <f>IF(L238="","",L238-B238)</f>
        <v>6</v>
      </c>
      <c r="T238" s="153">
        <f>IF(N238="","",N238-L238)</f>
        <v>0</v>
      </c>
      <c r="U238" s="153">
        <f>IF(O238="","",O238-N238)</f>
        <v>3</v>
      </c>
      <c r="V238" s="154">
        <f>IF(O238="","",O238-B238)</f>
        <v>9</v>
      </c>
      <c r="W238" s="154">
        <f>IF(O238="","",O238-L238)</f>
        <v>3</v>
      </c>
      <c r="X238" s="154">
        <f>IF(R238="","",R238-B238)</f>
        <v>9</v>
      </c>
    </row>
    <row r="239" spans="2:24" ht="17.25" hidden="1" customHeight="1">
      <c r="B239" s="23">
        <v>45686</v>
      </c>
      <c r="C239" s="7">
        <v>2003515618</v>
      </c>
      <c r="D239" s="20">
        <v>5742422</v>
      </c>
      <c r="E239" s="27" t="s">
        <v>106</v>
      </c>
      <c r="F239" s="7" t="s">
        <v>107</v>
      </c>
      <c r="G239" s="7" t="s">
        <v>18</v>
      </c>
      <c r="H239" s="7" t="s">
        <v>45</v>
      </c>
      <c r="I239" s="20" t="s">
        <v>419</v>
      </c>
      <c r="J239" s="20" t="s">
        <v>561</v>
      </c>
      <c r="K239" s="7" t="s">
        <v>110</v>
      </c>
      <c r="L239" s="61">
        <v>45693</v>
      </c>
      <c r="M239" s="7" t="s">
        <v>111</v>
      </c>
      <c r="N239" s="61">
        <v>45693</v>
      </c>
      <c r="O239" s="58">
        <v>45695</v>
      </c>
      <c r="P239" s="59"/>
      <c r="Q239" s="124" t="e">
        <f>P239*#REF!</f>
        <v>#REF!</v>
      </c>
      <c r="R239" s="126">
        <v>45695</v>
      </c>
      <c r="S239" s="153">
        <f>IF(L239="","",L239-B239)</f>
        <v>7</v>
      </c>
      <c r="T239" s="153">
        <f>IF(N239="","",N239-L239)</f>
        <v>0</v>
      </c>
      <c r="U239" s="153">
        <f>IF(O239="","",O239-N239)</f>
        <v>2</v>
      </c>
      <c r="V239" s="154">
        <f>IF(O239="","",O239-B239)</f>
        <v>9</v>
      </c>
      <c r="W239" s="154">
        <f>IF(O239="","",O239-L239)</f>
        <v>2</v>
      </c>
      <c r="X239" s="154">
        <f>IF(R239="","",R239-B239)</f>
        <v>9</v>
      </c>
    </row>
    <row r="240" spans="2:24" ht="17.25" hidden="1" customHeight="1">
      <c r="B240" s="23">
        <v>45686</v>
      </c>
      <c r="C240" s="7">
        <v>2003591670</v>
      </c>
      <c r="D240" s="20">
        <v>90763</v>
      </c>
      <c r="E240" s="27" t="s">
        <v>123</v>
      </c>
      <c r="F240" s="7" t="s">
        <v>107</v>
      </c>
      <c r="G240" s="7" t="s">
        <v>18</v>
      </c>
      <c r="H240" s="7" t="s">
        <v>45</v>
      </c>
      <c r="I240" s="20" t="s">
        <v>562</v>
      </c>
      <c r="J240" s="20" t="s">
        <v>563</v>
      </c>
      <c r="K240" s="7" t="s">
        <v>122</v>
      </c>
      <c r="L240" s="61">
        <v>45691</v>
      </c>
      <c r="M240" s="7" t="s">
        <v>111</v>
      </c>
      <c r="N240" s="61">
        <v>45692</v>
      </c>
      <c r="O240" s="61">
        <v>45693</v>
      </c>
      <c r="P240" s="59"/>
      <c r="Q240" s="124" t="e">
        <f>P240*#REF!</f>
        <v>#REF!</v>
      </c>
      <c r="R240" s="126">
        <v>45695</v>
      </c>
      <c r="S240" s="153">
        <f>IF(L240="","",L240-B240)</f>
        <v>5</v>
      </c>
      <c r="T240" s="153">
        <f>IF(N240="","",N240-L240)</f>
        <v>1</v>
      </c>
      <c r="U240" s="153">
        <f>IF(O240="","",O240-N240)</f>
        <v>1</v>
      </c>
      <c r="V240" s="154">
        <f>IF(O240="","",O240-B240)</f>
        <v>7</v>
      </c>
      <c r="W240" s="154">
        <f>IF(O240="","",O240-L240)</f>
        <v>2</v>
      </c>
      <c r="X240" s="154">
        <f>IF(R240="","",R240-B240)</f>
        <v>9</v>
      </c>
    </row>
    <row r="241" spans="2:32" ht="17.25" hidden="1" customHeight="1">
      <c r="B241" s="23">
        <v>45686</v>
      </c>
      <c r="C241" s="7">
        <v>2003592205</v>
      </c>
      <c r="D241" s="20">
        <v>90688</v>
      </c>
      <c r="E241" s="27" t="s">
        <v>106</v>
      </c>
      <c r="F241" s="7" t="s">
        <v>107</v>
      </c>
      <c r="G241" s="7" t="s">
        <v>18</v>
      </c>
      <c r="H241" s="7" t="s">
        <v>45</v>
      </c>
      <c r="I241" s="20" t="s">
        <v>564</v>
      </c>
      <c r="J241" s="20" t="s">
        <v>565</v>
      </c>
      <c r="K241" s="7" t="s">
        <v>110</v>
      </c>
      <c r="L241" s="61">
        <v>45691</v>
      </c>
      <c r="M241" s="7" t="s">
        <v>111</v>
      </c>
      <c r="N241" s="61">
        <v>45691</v>
      </c>
      <c r="O241" s="58">
        <v>45692</v>
      </c>
      <c r="P241" s="59"/>
      <c r="Q241" s="124" t="e">
        <f>P241*#REF!</f>
        <v>#REF!</v>
      </c>
      <c r="R241" s="126">
        <v>45692</v>
      </c>
      <c r="S241" s="153">
        <f>IF(L241="","",L241-B241)</f>
        <v>5</v>
      </c>
      <c r="T241" s="153">
        <f>IF(N241="","",N241-L241)</f>
        <v>0</v>
      </c>
      <c r="U241" s="153">
        <f>IF(O241="","",O241-N241)</f>
        <v>1</v>
      </c>
      <c r="V241" s="154">
        <f>IF(O241="","",O241-B241)</f>
        <v>6</v>
      </c>
      <c r="W241" s="154">
        <f>IF(O241="","",O241-L241)</f>
        <v>1</v>
      </c>
      <c r="X241" s="154">
        <f>IF(R241="","",R241-B241)</f>
        <v>6</v>
      </c>
    </row>
    <row r="242" spans="2:32" ht="17.25" hidden="1" customHeight="1">
      <c r="B242" s="23">
        <v>45687</v>
      </c>
      <c r="C242" s="7">
        <v>2003490808</v>
      </c>
      <c r="D242" s="20">
        <v>5742722</v>
      </c>
      <c r="E242" s="27" t="s">
        <v>566</v>
      </c>
      <c r="F242" s="7" t="s">
        <v>107</v>
      </c>
      <c r="G242" s="7" t="s">
        <v>18</v>
      </c>
      <c r="H242" s="7" t="s">
        <v>45</v>
      </c>
      <c r="I242" s="20" t="s">
        <v>164</v>
      </c>
      <c r="J242" s="20" t="s">
        <v>567</v>
      </c>
      <c r="K242" s="7" t="s">
        <v>110</v>
      </c>
      <c r="L242" s="61">
        <v>45691</v>
      </c>
      <c r="M242" s="7" t="s">
        <v>111</v>
      </c>
      <c r="N242" s="61">
        <v>45691</v>
      </c>
      <c r="O242" s="58">
        <v>45692</v>
      </c>
      <c r="P242" s="59"/>
      <c r="Q242" s="124" t="e">
        <f>P242*#REF!</f>
        <v>#REF!</v>
      </c>
      <c r="R242" s="126">
        <v>45692</v>
      </c>
      <c r="S242" s="153">
        <f>IF(L242="","",L242-B242)</f>
        <v>4</v>
      </c>
      <c r="T242" s="153">
        <f>IF(N242="","",N242-L242)</f>
        <v>0</v>
      </c>
      <c r="U242" s="153">
        <f>IF(O242="","",O242-N242)</f>
        <v>1</v>
      </c>
      <c r="V242" s="154">
        <f>IF(O242="","",O242-B242)</f>
        <v>5</v>
      </c>
      <c r="W242" s="154">
        <f>IF(O242="","",O242-L242)</f>
        <v>1</v>
      </c>
      <c r="X242" s="154">
        <f>IF(R242="","",R242-B242)</f>
        <v>5</v>
      </c>
    </row>
    <row r="243" spans="2:32" ht="17.25" hidden="1" customHeight="1">
      <c r="B243" s="23">
        <v>45687</v>
      </c>
      <c r="C243" s="7">
        <v>2003588290</v>
      </c>
      <c r="D243" s="20">
        <v>5742791</v>
      </c>
      <c r="E243" s="27" t="s">
        <v>568</v>
      </c>
      <c r="F243" s="7" t="s">
        <v>107</v>
      </c>
      <c r="G243" s="7" t="s">
        <v>10</v>
      </c>
      <c r="H243" s="7" t="s">
        <v>45</v>
      </c>
      <c r="I243" s="20" t="s">
        <v>569</v>
      </c>
      <c r="J243" s="20" t="s">
        <v>570</v>
      </c>
      <c r="K243" s="7" t="s">
        <v>110</v>
      </c>
      <c r="L243" s="61">
        <v>45691</v>
      </c>
      <c r="M243" s="7" t="s">
        <v>111</v>
      </c>
      <c r="N243" s="61">
        <v>45691</v>
      </c>
      <c r="O243" s="61">
        <v>45691</v>
      </c>
      <c r="P243" s="59">
        <v>112</v>
      </c>
      <c r="Q243" s="124" t="e">
        <f>P243*#REF!</f>
        <v>#REF!</v>
      </c>
      <c r="R243" s="126">
        <v>45691</v>
      </c>
      <c r="S243" s="153">
        <f>IF(L243="","",L243-B243)</f>
        <v>4</v>
      </c>
      <c r="T243" s="153">
        <f>IF(N243="","",N243-L243)</f>
        <v>0</v>
      </c>
      <c r="U243" s="153">
        <f>IF(O243="","",O243-N243)</f>
        <v>0</v>
      </c>
      <c r="V243" s="154">
        <f>IF(O243="","",O243-B243)</f>
        <v>4</v>
      </c>
      <c r="W243" s="154">
        <f>IF(O243="","",O243-L243)</f>
        <v>0</v>
      </c>
      <c r="X243" s="154">
        <f>IF(R243="","",R243-B243)</f>
        <v>4</v>
      </c>
    </row>
    <row r="244" spans="2:32" ht="17.25" hidden="1" customHeight="1">
      <c r="B244" s="23">
        <v>45687</v>
      </c>
      <c r="C244" s="7">
        <v>2003592879</v>
      </c>
      <c r="D244" s="20">
        <v>5742834</v>
      </c>
      <c r="E244" s="27" t="s">
        <v>112</v>
      </c>
      <c r="F244" s="7" t="s">
        <v>107</v>
      </c>
      <c r="G244" s="7" t="s">
        <v>15</v>
      </c>
      <c r="H244" s="7" t="s">
        <v>45</v>
      </c>
      <c r="I244" s="20" t="s">
        <v>571</v>
      </c>
      <c r="J244" s="20" t="s">
        <v>572</v>
      </c>
      <c r="K244" s="7" t="s">
        <v>122</v>
      </c>
      <c r="L244" s="61">
        <v>45688</v>
      </c>
      <c r="M244" s="7" t="s">
        <v>111</v>
      </c>
      <c r="N244" s="24">
        <v>45692</v>
      </c>
      <c r="O244" s="61">
        <v>45693</v>
      </c>
      <c r="P244" s="59"/>
      <c r="Q244" s="124" t="e">
        <f>P244*#REF!</f>
        <v>#REF!</v>
      </c>
      <c r="R244" s="126">
        <v>45694</v>
      </c>
      <c r="S244" s="153">
        <f>IF(L244="","",L244-B244)</f>
        <v>1</v>
      </c>
      <c r="T244" s="153">
        <f>IF(N244="","",N244-L244)</f>
        <v>4</v>
      </c>
      <c r="U244" s="153">
        <f>IF(O244="","",O244-N244)</f>
        <v>1</v>
      </c>
      <c r="V244" s="154">
        <f>IF(O244="","",O244-B244)</f>
        <v>6</v>
      </c>
      <c r="W244" s="154">
        <f>IF(O244="","",O244-L244)</f>
        <v>5</v>
      </c>
      <c r="X244" s="154">
        <f>IF(R244="","",R244-B244)</f>
        <v>7</v>
      </c>
    </row>
    <row r="245" spans="2:32" s="105" customFormat="1" ht="17.25" hidden="1" customHeight="1">
      <c r="B245" s="141">
        <v>45687</v>
      </c>
      <c r="C245" s="142">
        <v>2003588908</v>
      </c>
      <c r="D245" s="105">
        <v>5743114</v>
      </c>
      <c r="E245" s="143" t="s">
        <v>191</v>
      </c>
      <c r="F245" s="142" t="s">
        <v>107</v>
      </c>
      <c r="G245" s="142" t="s">
        <v>26</v>
      </c>
      <c r="H245" s="142" t="s">
        <v>45</v>
      </c>
      <c r="I245" s="105" t="s">
        <v>573</v>
      </c>
      <c r="J245" s="105" t="s">
        <v>574</v>
      </c>
      <c r="K245" s="142" t="s">
        <v>110</v>
      </c>
      <c r="L245" s="144">
        <v>45705</v>
      </c>
      <c r="M245" s="142" t="s">
        <v>111</v>
      </c>
      <c r="N245" s="145">
        <v>45705</v>
      </c>
      <c r="O245" s="146">
        <v>45705</v>
      </c>
      <c r="P245" s="147">
        <v>124</v>
      </c>
      <c r="Q245" s="148" t="e">
        <f>P245*#REF!</f>
        <v>#REF!</v>
      </c>
      <c r="R245" s="140">
        <v>45705</v>
      </c>
      <c r="S245" s="204">
        <f>IF(L245="","",L245-B245)</f>
        <v>18</v>
      </c>
      <c r="T245" s="204">
        <f>IF(N245="","",N245-L245)</f>
        <v>0</v>
      </c>
      <c r="U245" s="204">
        <f>IF(O245="","",O245-N245)</f>
        <v>0</v>
      </c>
      <c r="V245" s="205">
        <f>IF(O245="","",O245-B245)</f>
        <v>18</v>
      </c>
      <c r="W245" s="205">
        <f>IF(O245="","",O245-L245)</f>
        <v>0</v>
      </c>
      <c r="X245" s="205">
        <f>IF(R245="","",R245-B245)</f>
        <v>18</v>
      </c>
      <c r="Y245" s="149"/>
      <c r="Z245" s="149"/>
      <c r="AA245" s="149"/>
      <c r="AB245" s="149"/>
      <c r="AC245" s="149"/>
      <c r="AD245" s="149"/>
      <c r="AE245" s="149"/>
      <c r="AF245" s="150"/>
    </row>
    <row r="246" spans="2:32" ht="17.25" hidden="1" customHeight="1">
      <c r="B246" s="23">
        <v>45687</v>
      </c>
      <c r="C246" s="7">
        <v>2003586536</v>
      </c>
      <c r="D246" s="20">
        <v>5743571</v>
      </c>
      <c r="E246" s="27" t="s">
        <v>143</v>
      </c>
      <c r="F246" s="7" t="s">
        <v>107</v>
      </c>
      <c r="G246" s="7" t="s">
        <v>10</v>
      </c>
      <c r="H246" s="7" t="s">
        <v>45</v>
      </c>
      <c r="I246" s="20" t="s">
        <v>575</v>
      </c>
      <c r="J246" s="20" t="s">
        <v>576</v>
      </c>
      <c r="K246" s="7" t="s">
        <v>122</v>
      </c>
      <c r="L246" s="61">
        <v>45692</v>
      </c>
      <c r="M246" s="7" t="s">
        <v>111</v>
      </c>
      <c r="N246" s="61">
        <v>45693</v>
      </c>
      <c r="O246" s="58">
        <v>45695</v>
      </c>
      <c r="P246" s="59"/>
      <c r="Q246" s="124" t="e">
        <f>P246*#REF!</f>
        <v>#REF!</v>
      </c>
      <c r="R246" s="126">
        <v>45695</v>
      </c>
      <c r="S246" s="153">
        <f>IF(L246="","",L246-B246)</f>
        <v>5</v>
      </c>
      <c r="T246" s="153">
        <f>IF(N246="","",N246-L246)</f>
        <v>1</v>
      </c>
      <c r="U246" s="153">
        <f>IF(O246="","",O246-N246)</f>
        <v>2</v>
      </c>
      <c r="V246" s="154">
        <f>IF(O246="","",O246-B246)</f>
        <v>8</v>
      </c>
      <c r="W246" s="154">
        <f>IF(O246="","",O246-L246)</f>
        <v>3</v>
      </c>
      <c r="X246" s="154">
        <f>IF(R246="","",R246-B246)</f>
        <v>8</v>
      </c>
    </row>
    <row r="247" spans="2:32" ht="17.25" hidden="1" customHeight="1">
      <c r="B247" s="23">
        <v>45687</v>
      </c>
      <c r="C247" s="7">
        <v>2003348377</v>
      </c>
      <c r="D247" s="20">
        <v>5743701</v>
      </c>
      <c r="E247" s="27" t="s">
        <v>116</v>
      </c>
      <c r="F247" s="7" t="s">
        <v>107</v>
      </c>
      <c r="G247" s="7" t="s">
        <v>18</v>
      </c>
      <c r="H247" s="7" t="s">
        <v>45</v>
      </c>
      <c r="I247" s="20" t="s">
        <v>577</v>
      </c>
      <c r="J247" s="20" t="s">
        <v>578</v>
      </c>
      <c r="K247" s="7" t="s">
        <v>122</v>
      </c>
      <c r="L247" s="61">
        <v>45693</v>
      </c>
      <c r="M247" s="7" t="s">
        <v>111</v>
      </c>
      <c r="N247" s="24">
        <v>45694</v>
      </c>
      <c r="O247" s="58">
        <v>45695</v>
      </c>
      <c r="P247" s="59"/>
      <c r="Q247" s="124" t="e">
        <f>P247*#REF!</f>
        <v>#REF!</v>
      </c>
      <c r="R247" s="126">
        <v>45695</v>
      </c>
      <c r="S247" s="153">
        <f>IF(L247="","",L247-B247)</f>
        <v>6</v>
      </c>
      <c r="T247" s="153">
        <f>IF(N247="","",N247-L247)</f>
        <v>1</v>
      </c>
      <c r="U247" s="153">
        <f>IF(O247="","",O247-N247)</f>
        <v>1</v>
      </c>
      <c r="V247" s="154">
        <f>IF(O247="","",O247-B247)</f>
        <v>8</v>
      </c>
      <c r="W247" s="154">
        <f>IF(O247="","",O247-L247)</f>
        <v>2</v>
      </c>
      <c r="X247" s="154">
        <f>IF(R247="","",R247-B247)</f>
        <v>8</v>
      </c>
    </row>
    <row r="248" spans="2:32" ht="17.25" hidden="1" customHeight="1">
      <c r="B248" s="23">
        <v>45687</v>
      </c>
      <c r="C248" s="7">
        <v>2003581202</v>
      </c>
      <c r="D248" s="20">
        <v>5743859</v>
      </c>
      <c r="E248" s="27" t="s">
        <v>116</v>
      </c>
      <c r="F248" s="7" t="s">
        <v>107</v>
      </c>
      <c r="G248" s="7" t="s">
        <v>10</v>
      </c>
      <c r="H248" s="7" t="s">
        <v>45</v>
      </c>
      <c r="I248" s="20" t="s">
        <v>579</v>
      </c>
      <c r="J248" s="20" t="s">
        <v>580</v>
      </c>
      <c r="K248" s="7" t="s">
        <v>119</v>
      </c>
      <c r="L248" s="61">
        <v>45693</v>
      </c>
      <c r="M248" s="7" t="s">
        <v>111</v>
      </c>
      <c r="N248" s="24">
        <v>45698</v>
      </c>
      <c r="O248" s="58">
        <v>45698</v>
      </c>
      <c r="P248" s="59"/>
      <c r="Q248" s="124" t="e">
        <f>P248*#REF!</f>
        <v>#REF!</v>
      </c>
      <c r="R248" s="126">
        <v>45698</v>
      </c>
      <c r="S248" s="153">
        <f>IF(L248="","",L248-B248)</f>
        <v>6</v>
      </c>
      <c r="T248" s="153">
        <f>IF(N248="","",N248-L248)</f>
        <v>5</v>
      </c>
      <c r="U248" s="153">
        <f>IF(O248="","",O248-N248)</f>
        <v>0</v>
      </c>
      <c r="V248" s="154">
        <f>IF(O248="","",O248-B248)</f>
        <v>11</v>
      </c>
      <c r="W248" s="154">
        <f>IF(O248="","",O248-L248)</f>
        <v>5</v>
      </c>
      <c r="X248" s="154">
        <f>IF(R248="","",R248-B248)</f>
        <v>11</v>
      </c>
    </row>
    <row r="249" spans="2:32" ht="17.25" hidden="1" customHeight="1">
      <c r="B249" s="23">
        <v>45687</v>
      </c>
      <c r="C249" s="7">
        <v>2003589379</v>
      </c>
      <c r="D249" s="20">
        <v>5743919</v>
      </c>
      <c r="E249" s="27" t="s">
        <v>135</v>
      </c>
      <c r="F249" s="7" t="s">
        <v>107</v>
      </c>
      <c r="G249" s="7" t="s">
        <v>15</v>
      </c>
      <c r="H249" s="7" t="s">
        <v>45</v>
      </c>
      <c r="I249" s="20" t="s">
        <v>581</v>
      </c>
      <c r="J249" s="20" t="s">
        <v>582</v>
      </c>
      <c r="K249" s="7" t="s">
        <v>110</v>
      </c>
      <c r="L249" s="61">
        <v>45699</v>
      </c>
      <c r="M249" s="7" t="s">
        <v>111</v>
      </c>
      <c r="N249" s="61">
        <v>45699</v>
      </c>
      <c r="O249" s="61">
        <v>45699</v>
      </c>
      <c r="P249" s="59"/>
      <c r="Q249" s="124" t="e">
        <f>P249*#REF!</f>
        <v>#REF!</v>
      </c>
      <c r="R249" s="126">
        <v>45700</v>
      </c>
      <c r="S249" s="153">
        <f>IF(L249="","",L249-B249)</f>
        <v>12</v>
      </c>
      <c r="T249" s="153">
        <f>IF(N249="","",N249-L249)</f>
        <v>0</v>
      </c>
      <c r="U249" s="153">
        <f>IF(O249="","",O249-N249)</f>
        <v>0</v>
      </c>
      <c r="V249" s="154">
        <f>IF(O249="","",O249-B249)</f>
        <v>12</v>
      </c>
      <c r="W249" s="154">
        <f>IF(O249="","",O249-L249)</f>
        <v>0</v>
      </c>
      <c r="X249" s="154">
        <f>IF(R249="","",R249-B249)</f>
        <v>13</v>
      </c>
    </row>
    <row r="250" spans="2:32" ht="17.25" hidden="1" customHeight="1">
      <c r="B250" s="23">
        <v>45687</v>
      </c>
      <c r="C250" s="7">
        <v>310020834</v>
      </c>
      <c r="D250" s="20">
        <v>91411</v>
      </c>
      <c r="E250" s="27" t="s">
        <v>157</v>
      </c>
      <c r="F250" s="7" t="s">
        <v>113</v>
      </c>
      <c r="G250" s="7" t="s">
        <v>70</v>
      </c>
      <c r="H250" s="7" t="s">
        <v>47</v>
      </c>
      <c r="I250" s="20" t="s">
        <v>583</v>
      </c>
      <c r="J250" s="20" t="s">
        <v>584</v>
      </c>
      <c r="K250" s="7" t="s">
        <v>160</v>
      </c>
      <c r="P250" s="59"/>
      <c r="Q250" s="124" t="e">
        <f>P250*#REF!</f>
        <v>#REF!</v>
      </c>
      <c r="R250" s="126">
        <v>45698</v>
      </c>
      <c r="S250" s="153" t="str">
        <f>IF(L250="","",L250-B250)</f>
        <v/>
      </c>
      <c r="T250" s="153" t="str">
        <f>IF(N250="","",N250-L250)</f>
        <v/>
      </c>
      <c r="U250" s="153" t="str">
        <f>IF(O250="","",O250-N250)</f>
        <v/>
      </c>
      <c r="V250" s="154" t="str">
        <f>IF(O250="","",O250-B250)</f>
        <v/>
      </c>
      <c r="W250" s="154" t="str">
        <f>IF(O250="","",O250-L250)</f>
        <v/>
      </c>
      <c r="X250" s="154">
        <f>IF(R250="","",R250-B250)</f>
        <v>11</v>
      </c>
    </row>
    <row r="251" spans="2:32" ht="17.25" hidden="1" customHeight="1">
      <c r="B251" s="23">
        <v>45688</v>
      </c>
      <c r="C251" s="7">
        <v>2003592496</v>
      </c>
      <c r="D251" s="20">
        <v>5744456</v>
      </c>
      <c r="E251" s="27" t="s">
        <v>123</v>
      </c>
      <c r="F251" s="7" t="s">
        <v>107</v>
      </c>
      <c r="G251" s="7" t="s">
        <v>10</v>
      </c>
      <c r="H251" s="7" t="s">
        <v>45</v>
      </c>
      <c r="I251" s="20" t="s">
        <v>585</v>
      </c>
      <c r="J251" s="20" t="s">
        <v>586</v>
      </c>
      <c r="K251" s="7" t="s">
        <v>119</v>
      </c>
      <c r="L251" s="61">
        <v>45692</v>
      </c>
      <c r="M251" s="7" t="s">
        <v>111</v>
      </c>
      <c r="N251" s="61">
        <v>45693</v>
      </c>
      <c r="O251" s="58">
        <v>45695</v>
      </c>
      <c r="P251" s="59"/>
      <c r="Q251" s="124" t="e">
        <f>P251*#REF!</f>
        <v>#REF!</v>
      </c>
      <c r="R251" s="126">
        <v>45695</v>
      </c>
      <c r="S251" s="153">
        <f>IF(L251="","",L251-B251)</f>
        <v>4</v>
      </c>
      <c r="T251" s="153">
        <f>IF(N251="","",N251-L251)</f>
        <v>1</v>
      </c>
      <c r="U251" s="153">
        <f>IF(O251="","",O251-N251)</f>
        <v>2</v>
      </c>
      <c r="V251" s="154">
        <f>IF(O251="","",O251-B251)</f>
        <v>7</v>
      </c>
      <c r="W251" s="154">
        <f>IF(O251="","",O251-L251)</f>
        <v>3</v>
      </c>
      <c r="X251" s="154">
        <f>IF(R251="","",R251-B251)</f>
        <v>7</v>
      </c>
    </row>
    <row r="252" spans="2:32" ht="17.25" hidden="1" customHeight="1">
      <c r="B252" s="23">
        <v>45688</v>
      </c>
      <c r="C252" s="7">
        <v>2003590673</v>
      </c>
      <c r="D252" s="20">
        <v>5744474</v>
      </c>
      <c r="E252" s="27" t="s">
        <v>123</v>
      </c>
      <c r="F252" s="7" t="s">
        <v>107</v>
      </c>
      <c r="G252" s="7" t="s">
        <v>10</v>
      </c>
      <c r="H252" s="7" t="s">
        <v>45</v>
      </c>
      <c r="I252" s="20" t="s">
        <v>577</v>
      </c>
      <c r="J252" s="20" t="s">
        <v>578</v>
      </c>
      <c r="K252" s="7" t="s">
        <v>122</v>
      </c>
      <c r="L252" s="61">
        <v>45693</v>
      </c>
      <c r="M252" s="7" t="s">
        <v>111</v>
      </c>
      <c r="N252" s="24">
        <v>45694</v>
      </c>
      <c r="O252" s="58">
        <v>45695</v>
      </c>
      <c r="P252" s="59"/>
      <c r="Q252" s="124" t="e">
        <f>P252*#REF!</f>
        <v>#REF!</v>
      </c>
      <c r="R252" s="126">
        <v>45695</v>
      </c>
      <c r="S252" s="153">
        <f>IF(L252="","",L252-B252)</f>
        <v>5</v>
      </c>
      <c r="T252" s="153">
        <f>IF(N252="","",N252-L252)</f>
        <v>1</v>
      </c>
      <c r="U252" s="153">
        <f>IF(O252="","",O252-N252)</f>
        <v>1</v>
      </c>
      <c r="V252" s="154">
        <f>IF(O252="","",O252-B252)</f>
        <v>7</v>
      </c>
      <c r="W252" s="154">
        <f>IF(O252="","",O252-L252)</f>
        <v>2</v>
      </c>
      <c r="X252" s="154">
        <f>IF(R252="","",R252-B252)</f>
        <v>7</v>
      </c>
    </row>
    <row r="253" spans="2:32" ht="17.25" hidden="1" customHeight="1">
      <c r="B253" s="23">
        <v>45688</v>
      </c>
      <c r="C253" s="7">
        <v>2003580743</v>
      </c>
      <c r="D253" s="20">
        <v>5744513</v>
      </c>
      <c r="E253" s="27" t="s">
        <v>126</v>
      </c>
      <c r="F253" s="7" t="s">
        <v>113</v>
      </c>
      <c r="G253" s="7" t="s">
        <v>70</v>
      </c>
      <c r="H253" s="7" t="s">
        <v>47</v>
      </c>
      <c r="I253" s="20" t="s">
        <v>587</v>
      </c>
      <c r="J253" s="20" t="s">
        <v>588</v>
      </c>
      <c r="K253" s="7" t="s">
        <v>160</v>
      </c>
      <c r="P253" s="59"/>
      <c r="Q253" s="124" t="e">
        <f>P253*#REF!</f>
        <v>#REF!</v>
      </c>
      <c r="R253" s="126">
        <v>45698</v>
      </c>
      <c r="S253" s="153" t="str">
        <f>IF(L253="","",L253-B253)</f>
        <v/>
      </c>
      <c r="T253" s="153" t="str">
        <f>IF(N253="","",N253-L253)</f>
        <v/>
      </c>
      <c r="U253" s="153" t="str">
        <f>IF(O253="","",O253-N253)</f>
        <v/>
      </c>
      <c r="V253" s="154" t="str">
        <f>IF(O253="","",O253-B253)</f>
        <v/>
      </c>
      <c r="W253" s="154" t="str">
        <f>IF(O253="","",O253-L253)</f>
        <v/>
      </c>
      <c r="X253" s="154">
        <f>IF(R253="","",R253-B253)</f>
        <v>10</v>
      </c>
    </row>
    <row r="254" spans="2:32" ht="17.25" hidden="1" customHeight="1">
      <c r="B254" s="23">
        <v>45688</v>
      </c>
      <c r="C254" s="7">
        <v>2003572241</v>
      </c>
      <c r="D254" s="20">
        <v>5744664</v>
      </c>
      <c r="E254" s="27" t="s">
        <v>258</v>
      </c>
      <c r="F254" s="7" t="s">
        <v>107</v>
      </c>
      <c r="G254" s="7" t="s">
        <v>10</v>
      </c>
      <c r="H254" s="7" t="s">
        <v>45</v>
      </c>
      <c r="I254" s="20" t="s">
        <v>589</v>
      </c>
      <c r="J254" s="20" t="s">
        <v>590</v>
      </c>
      <c r="K254" s="7" t="s">
        <v>119</v>
      </c>
      <c r="L254" s="61">
        <v>45695</v>
      </c>
      <c r="M254" s="7" t="s">
        <v>111</v>
      </c>
      <c r="N254" s="61">
        <v>45695</v>
      </c>
      <c r="O254" s="58">
        <v>45698</v>
      </c>
      <c r="P254" s="59"/>
      <c r="Q254" s="124" t="e">
        <f>P254*#REF!</f>
        <v>#REF!</v>
      </c>
      <c r="R254" s="126">
        <v>45699</v>
      </c>
      <c r="S254" s="153">
        <f>IF(L254="","",L254-B254)</f>
        <v>7</v>
      </c>
      <c r="T254" s="153">
        <f>IF(N254="","",N254-L254)</f>
        <v>0</v>
      </c>
      <c r="U254" s="153">
        <f>IF(O254="","",O254-N254)</f>
        <v>3</v>
      </c>
      <c r="V254" s="154">
        <f>IF(O254="","",O254-B254)</f>
        <v>10</v>
      </c>
      <c r="W254" s="154">
        <f>IF(O254="","",O254-L254)</f>
        <v>3</v>
      </c>
      <c r="X254" s="154">
        <f>IF(R254="","",R254-B254)</f>
        <v>11</v>
      </c>
    </row>
    <row r="255" spans="2:32" ht="17.25" hidden="1" customHeight="1">
      <c r="B255" s="23">
        <v>45688</v>
      </c>
      <c r="C255" s="7">
        <v>2003584749</v>
      </c>
      <c r="D255" s="20">
        <v>5744780</v>
      </c>
      <c r="E255" s="27" t="s">
        <v>198</v>
      </c>
      <c r="F255" s="7" t="s">
        <v>107</v>
      </c>
      <c r="G255" s="7" t="s">
        <v>10</v>
      </c>
      <c r="H255" s="7" t="s">
        <v>45</v>
      </c>
      <c r="I255" s="20" t="s">
        <v>591</v>
      </c>
      <c r="J255" s="20" t="s">
        <v>370</v>
      </c>
      <c r="K255" s="7" t="s">
        <v>119</v>
      </c>
      <c r="L255" s="61">
        <v>45691</v>
      </c>
      <c r="M255" s="7" t="s">
        <v>111</v>
      </c>
      <c r="N255" s="61">
        <v>45691</v>
      </c>
      <c r="O255" s="61">
        <v>45691</v>
      </c>
      <c r="P255" s="59"/>
      <c r="Q255" s="124" t="e">
        <f>P255*#REF!</f>
        <v>#REF!</v>
      </c>
      <c r="R255" s="126">
        <v>45691</v>
      </c>
      <c r="S255" s="153">
        <f>IF(L255="","",L255-B255)</f>
        <v>3</v>
      </c>
      <c r="T255" s="153">
        <f>IF(N255="","",N255-L255)</f>
        <v>0</v>
      </c>
      <c r="U255" s="153">
        <f>IF(O255="","",O255-N255)</f>
        <v>0</v>
      </c>
      <c r="V255" s="154">
        <f>IF(O255="","",O255-B255)</f>
        <v>3</v>
      </c>
      <c r="W255" s="154">
        <f>IF(O255="","",O255-L255)</f>
        <v>0</v>
      </c>
      <c r="X255" s="154">
        <f>IF(R255="","",R255-B255)</f>
        <v>3</v>
      </c>
    </row>
    <row r="256" spans="2:32" ht="17.25" hidden="1" customHeight="1">
      <c r="B256" s="23">
        <v>45688</v>
      </c>
      <c r="C256" s="7">
        <v>2003588022</v>
      </c>
      <c r="D256" s="20">
        <v>5744853</v>
      </c>
      <c r="E256" s="27" t="s">
        <v>404</v>
      </c>
      <c r="F256" s="7" t="s">
        <v>107</v>
      </c>
      <c r="G256" s="7" t="s">
        <v>10</v>
      </c>
      <c r="H256" s="7" t="s">
        <v>45</v>
      </c>
      <c r="I256" s="20" t="s">
        <v>415</v>
      </c>
      <c r="J256" s="20" t="s">
        <v>315</v>
      </c>
      <c r="K256" s="7" t="s">
        <v>122</v>
      </c>
      <c r="L256" s="61">
        <v>45695</v>
      </c>
      <c r="M256" s="7" t="s">
        <v>111</v>
      </c>
      <c r="N256" s="24">
        <v>45698</v>
      </c>
      <c r="O256" s="58">
        <v>45699</v>
      </c>
      <c r="P256" s="59"/>
      <c r="Q256" s="124" t="e">
        <f>P256*#REF!</f>
        <v>#REF!</v>
      </c>
      <c r="R256" s="126">
        <v>45699</v>
      </c>
      <c r="S256" s="153">
        <f>IF(L256="","",L256-B256)</f>
        <v>7</v>
      </c>
      <c r="T256" s="153">
        <f>IF(N256="","",N256-L256)</f>
        <v>3</v>
      </c>
      <c r="U256" s="153">
        <f>IF(O256="","",O256-N256)</f>
        <v>1</v>
      </c>
      <c r="V256" s="154">
        <f>IF(O256="","",O256-B256)</f>
        <v>11</v>
      </c>
      <c r="W256" s="154">
        <f>IF(O256="","",O256-L256)</f>
        <v>4</v>
      </c>
      <c r="X256" s="154">
        <f>IF(R256="","",R256-B256)</f>
        <v>11</v>
      </c>
    </row>
    <row r="257" spans="2:24" ht="17.25" hidden="1" customHeight="1">
      <c r="B257" s="23">
        <v>45688</v>
      </c>
      <c r="C257" s="7">
        <v>2003594286</v>
      </c>
      <c r="D257" s="20">
        <v>5744896</v>
      </c>
      <c r="E257" s="27" t="s">
        <v>201</v>
      </c>
      <c r="F257" s="7" t="s">
        <v>107</v>
      </c>
      <c r="G257" s="7" t="s">
        <v>26</v>
      </c>
      <c r="H257" s="7" t="s">
        <v>45</v>
      </c>
      <c r="I257" s="20" t="s">
        <v>592</v>
      </c>
      <c r="J257" s="20" t="s">
        <v>593</v>
      </c>
      <c r="K257" s="7" t="s">
        <v>110</v>
      </c>
      <c r="L257" s="61">
        <v>45692</v>
      </c>
      <c r="M257" s="7" t="s">
        <v>111</v>
      </c>
      <c r="N257" s="24">
        <v>45692</v>
      </c>
      <c r="O257" s="58">
        <v>45692</v>
      </c>
      <c r="P257" s="59">
        <v>122</v>
      </c>
      <c r="Q257" s="124" t="e">
        <f>P257*#REF!</f>
        <v>#REF!</v>
      </c>
      <c r="R257" s="126">
        <v>45692</v>
      </c>
      <c r="S257" s="153">
        <f>IF(L257="","",L257-B257)</f>
        <v>4</v>
      </c>
      <c r="T257" s="153">
        <f>IF(N257="","",N257-L257)</f>
        <v>0</v>
      </c>
      <c r="U257" s="153">
        <f>IF(O257="","",O257-N257)</f>
        <v>0</v>
      </c>
      <c r="V257" s="154">
        <f>IF(O257="","",O257-B257)</f>
        <v>4</v>
      </c>
      <c r="W257" s="154">
        <f>IF(O257="","",O257-L257)</f>
        <v>0</v>
      </c>
      <c r="X257" s="154">
        <f>IF(R257="","",R257-B257)</f>
        <v>4</v>
      </c>
    </row>
    <row r="258" spans="2:24" ht="17.25" hidden="1" customHeight="1">
      <c r="B258" s="23">
        <v>45688</v>
      </c>
      <c r="C258" s="7">
        <v>2003589477</v>
      </c>
      <c r="D258" s="20">
        <v>5744987</v>
      </c>
      <c r="E258" s="27" t="s">
        <v>191</v>
      </c>
      <c r="F258" s="7" t="s">
        <v>107</v>
      </c>
      <c r="G258" s="7" t="s">
        <v>10</v>
      </c>
      <c r="H258" s="7" t="s">
        <v>45</v>
      </c>
      <c r="I258" s="20" t="s">
        <v>540</v>
      </c>
      <c r="J258" s="20" t="s">
        <v>541</v>
      </c>
      <c r="K258" s="7" t="s">
        <v>119</v>
      </c>
      <c r="L258" s="61">
        <v>45692</v>
      </c>
      <c r="M258" s="7" t="s">
        <v>111</v>
      </c>
      <c r="N258" s="24">
        <v>45701</v>
      </c>
      <c r="O258" s="24">
        <v>45701</v>
      </c>
      <c r="P258" s="59"/>
      <c r="Q258" s="124" t="e">
        <f>P258*#REF!</f>
        <v>#REF!</v>
      </c>
      <c r="R258" s="126">
        <v>45705</v>
      </c>
      <c r="S258" s="153">
        <f>IF(L258="","",L258-B258)</f>
        <v>4</v>
      </c>
      <c r="T258" s="153">
        <f>IF(N258="","",N258-L258)</f>
        <v>9</v>
      </c>
      <c r="U258" s="153">
        <f>IF(O258="","",O258-N258)</f>
        <v>0</v>
      </c>
      <c r="V258" s="154">
        <f>IF(O258="","",O258-B258)</f>
        <v>13</v>
      </c>
      <c r="W258" s="154">
        <f>IF(O258="","",O258-L258)</f>
        <v>9</v>
      </c>
      <c r="X258" s="154">
        <f>IF(R258="","",R258-B258)</f>
        <v>17</v>
      </c>
    </row>
    <row r="259" spans="2:24" ht="17.25" hidden="1" customHeight="1">
      <c r="B259" s="23">
        <v>45688</v>
      </c>
      <c r="C259" s="7">
        <v>2003492528</v>
      </c>
      <c r="D259" s="20">
        <v>5745015</v>
      </c>
      <c r="E259" s="27" t="s">
        <v>129</v>
      </c>
      <c r="F259" s="7" t="s">
        <v>107</v>
      </c>
      <c r="G259" s="7" t="s">
        <v>18</v>
      </c>
      <c r="H259" s="7" t="s">
        <v>45</v>
      </c>
      <c r="I259" s="20" t="s">
        <v>400</v>
      </c>
      <c r="J259" s="20" t="s">
        <v>447</v>
      </c>
      <c r="K259" s="7" t="s">
        <v>111</v>
      </c>
      <c r="L259" s="61">
        <v>45691</v>
      </c>
      <c r="M259" s="7" t="s">
        <v>111</v>
      </c>
      <c r="N259" s="61">
        <v>45691</v>
      </c>
      <c r="O259" s="58">
        <v>45702</v>
      </c>
      <c r="P259" s="59"/>
      <c r="Q259" s="124" t="e">
        <f>P259*#REF!</f>
        <v>#REF!</v>
      </c>
      <c r="R259" s="126">
        <v>45705</v>
      </c>
      <c r="S259" s="153">
        <f>IF(L259="","",L259-B259)</f>
        <v>3</v>
      </c>
      <c r="T259" s="153">
        <f>IF(N259="","",N259-L259)</f>
        <v>0</v>
      </c>
      <c r="U259" s="153">
        <f>IF(O259="","",O259-N259)</f>
        <v>11</v>
      </c>
      <c r="V259" s="154">
        <f>IF(O259="","",O259-B259)</f>
        <v>14</v>
      </c>
      <c r="W259" s="154">
        <f>IF(O259="","",O259-L259)</f>
        <v>11</v>
      </c>
      <c r="X259" s="154">
        <f>IF(R259="","",R259-B259)</f>
        <v>17</v>
      </c>
    </row>
    <row r="260" spans="2:24" ht="17.25" hidden="1" customHeight="1">
      <c r="B260" s="23">
        <v>45688</v>
      </c>
      <c r="C260" s="7">
        <v>2003595819</v>
      </c>
      <c r="D260" s="20">
        <v>5745072</v>
      </c>
      <c r="E260" s="27" t="s">
        <v>180</v>
      </c>
      <c r="F260" s="7" t="s">
        <v>113</v>
      </c>
      <c r="G260" s="7" t="s">
        <v>70</v>
      </c>
      <c r="H260" s="7" t="s">
        <v>47</v>
      </c>
      <c r="I260" s="20" t="s">
        <v>594</v>
      </c>
      <c r="J260" s="20" t="s">
        <v>595</v>
      </c>
      <c r="K260" s="7" t="s">
        <v>160</v>
      </c>
      <c r="P260" s="59"/>
      <c r="Q260" s="124" t="e">
        <f>P260*#REF!</f>
        <v>#REF!</v>
      </c>
      <c r="R260" s="126">
        <v>45698</v>
      </c>
      <c r="S260" s="153" t="str">
        <f>IF(L260="","",L260-B260)</f>
        <v/>
      </c>
      <c r="T260" s="153" t="str">
        <f>IF(N260="","",N260-L260)</f>
        <v/>
      </c>
      <c r="U260" s="153" t="str">
        <f>IF(O260="","",O260-N260)</f>
        <v/>
      </c>
      <c r="V260" s="154" t="str">
        <f>IF(O260="","",O260-B260)</f>
        <v/>
      </c>
      <c r="W260" s="154" t="str">
        <f>IF(O260="","",O260-L260)</f>
        <v/>
      </c>
      <c r="X260" s="154">
        <f>IF(R260="","",R260-B260)</f>
        <v>10</v>
      </c>
    </row>
    <row r="261" spans="2:24" ht="17.25" hidden="1" customHeight="1">
      <c r="B261" s="23">
        <v>45688</v>
      </c>
      <c r="C261" s="7">
        <v>2003548238</v>
      </c>
      <c r="D261" s="20">
        <v>5745138</v>
      </c>
      <c r="E261" s="27" t="s">
        <v>185</v>
      </c>
      <c r="F261" s="7" t="s">
        <v>107</v>
      </c>
      <c r="G261" s="7" t="s">
        <v>18</v>
      </c>
      <c r="H261" s="7" t="s">
        <v>45</v>
      </c>
      <c r="I261" s="20" t="s">
        <v>596</v>
      </c>
      <c r="J261" s="20" t="s">
        <v>597</v>
      </c>
      <c r="K261" s="7" t="s">
        <v>110</v>
      </c>
      <c r="L261" s="61">
        <v>45693</v>
      </c>
      <c r="M261" s="7" t="s">
        <v>111</v>
      </c>
      <c r="N261" s="61">
        <v>45693</v>
      </c>
      <c r="O261" s="61">
        <v>45693</v>
      </c>
      <c r="P261" s="59">
        <v>122</v>
      </c>
      <c r="Q261" s="124" t="e">
        <f>P261*#REF!</f>
        <v>#REF!</v>
      </c>
      <c r="R261" s="126">
        <v>45694</v>
      </c>
      <c r="S261" s="153">
        <f>IF(L261="","",L261-B261)</f>
        <v>5</v>
      </c>
      <c r="T261" s="153">
        <f>IF(N261="","",N261-L261)</f>
        <v>0</v>
      </c>
      <c r="U261" s="153">
        <f>IF(O261="","",O261-N261)</f>
        <v>0</v>
      </c>
      <c r="V261" s="154">
        <f>IF(O261="","",O261-B261)</f>
        <v>5</v>
      </c>
      <c r="W261" s="154">
        <f>IF(O261="","",O261-L261)</f>
        <v>0</v>
      </c>
      <c r="X261" s="154">
        <f>IF(R261="","",R261-B261)</f>
        <v>6</v>
      </c>
    </row>
    <row r="262" spans="2:24" ht="17.25" hidden="1" customHeight="1">
      <c r="B262" s="23">
        <v>45691</v>
      </c>
      <c r="C262" s="7">
        <v>2003567291</v>
      </c>
      <c r="D262" s="20">
        <v>5764439</v>
      </c>
      <c r="E262" s="27" t="s">
        <v>230</v>
      </c>
      <c r="F262" s="7" t="s">
        <v>107</v>
      </c>
      <c r="G262" s="7" t="s">
        <v>21</v>
      </c>
      <c r="H262" s="7" t="s">
        <v>45</v>
      </c>
      <c r="I262" s="20" t="s">
        <v>231</v>
      </c>
      <c r="J262" s="20" t="s">
        <v>232</v>
      </c>
      <c r="K262" s="7" t="s">
        <v>110</v>
      </c>
      <c r="L262" s="61">
        <v>45692</v>
      </c>
      <c r="M262" s="7" t="s">
        <v>111</v>
      </c>
      <c r="N262" s="61">
        <v>45692</v>
      </c>
      <c r="O262" s="61">
        <v>45693</v>
      </c>
      <c r="P262" s="59"/>
      <c r="Q262" s="124" t="e">
        <f>P262*#REF!</f>
        <v>#REF!</v>
      </c>
      <c r="R262" s="126">
        <v>45694</v>
      </c>
      <c r="S262" s="153">
        <f>IF(L262="","",L262-B262)</f>
        <v>1</v>
      </c>
      <c r="T262" s="153">
        <f>IF(N262="","",N262-L262)</f>
        <v>0</v>
      </c>
      <c r="U262" s="153">
        <f>IF(O262="","",O262-N262)</f>
        <v>1</v>
      </c>
      <c r="V262" s="154">
        <f>IF(O262="","",O262-B262)</f>
        <v>2</v>
      </c>
      <c r="W262" s="154">
        <f>IF(O262="","",O262-L262)</f>
        <v>1</v>
      </c>
      <c r="X262" s="154">
        <f>IF(R262="","",R262-B262)</f>
        <v>3</v>
      </c>
    </row>
    <row r="263" spans="2:24" ht="17.25" hidden="1" customHeight="1">
      <c r="B263" s="23">
        <v>45691</v>
      </c>
      <c r="C263" s="7">
        <v>2003566925</v>
      </c>
      <c r="D263" s="20">
        <v>5765127</v>
      </c>
      <c r="E263" s="27" t="s">
        <v>116</v>
      </c>
      <c r="F263" s="7" t="s">
        <v>107</v>
      </c>
      <c r="G263" s="7" t="s">
        <v>166</v>
      </c>
      <c r="H263" s="7" t="s">
        <v>45</v>
      </c>
      <c r="I263" s="20" t="s">
        <v>241</v>
      </c>
      <c r="J263" s="20" t="s">
        <v>242</v>
      </c>
      <c r="K263" s="7" t="s">
        <v>119</v>
      </c>
      <c r="L263" s="61">
        <v>45692</v>
      </c>
      <c r="M263" s="7" t="s">
        <v>111</v>
      </c>
      <c r="N263" s="61">
        <v>45692</v>
      </c>
      <c r="O263" s="61">
        <v>45692</v>
      </c>
      <c r="P263" s="59"/>
      <c r="Q263" s="124" t="e">
        <f>P263*#REF!</f>
        <v>#REF!</v>
      </c>
      <c r="R263" s="126">
        <v>45692</v>
      </c>
      <c r="S263" s="153">
        <f>IF(L263="","",L263-B263)</f>
        <v>1</v>
      </c>
      <c r="T263" s="153">
        <f>IF(N263="","",N263-L263)</f>
        <v>0</v>
      </c>
      <c r="U263" s="153">
        <f>IF(O263="","",O263-N263)</f>
        <v>0</v>
      </c>
      <c r="V263" s="154">
        <f>IF(O263="","",O263-B263)</f>
        <v>1</v>
      </c>
      <c r="W263" s="154">
        <f>IF(O263="","",O263-L263)</f>
        <v>0</v>
      </c>
      <c r="X263" s="154">
        <f>IF(R263="","",R263-B263)</f>
        <v>1</v>
      </c>
    </row>
    <row r="264" spans="2:24" ht="17.25" hidden="1" customHeight="1">
      <c r="B264" s="23">
        <v>45691</v>
      </c>
      <c r="C264" s="7">
        <v>2003565268</v>
      </c>
      <c r="D264" s="20">
        <v>5765130</v>
      </c>
      <c r="E264" s="27" t="s">
        <v>116</v>
      </c>
      <c r="F264" s="7" t="s">
        <v>107</v>
      </c>
      <c r="G264" s="7" t="s">
        <v>166</v>
      </c>
      <c r="H264" s="7" t="s">
        <v>45</v>
      </c>
      <c r="I264" s="20" t="s">
        <v>241</v>
      </c>
      <c r="J264" s="20" t="s">
        <v>242</v>
      </c>
      <c r="K264" s="7" t="s">
        <v>119</v>
      </c>
      <c r="L264" s="61">
        <v>45692</v>
      </c>
      <c r="M264" s="7" t="s">
        <v>111</v>
      </c>
      <c r="N264" s="61">
        <v>45692</v>
      </c>
      <c r="O264" s="61">
        <v>45692</v>
      </c>
      <c r="P264" s="59"/>
      <c r="Q264" s="124" t="e">
        <f>P264*#REF!</f>
        <v>#REF!</v>
      </c>
      <c r="R264" s="126">
        <v>45692</v>
      </c>
      <c r="S264" s="153">
        <f>IF(L264="","",L264-B264)</f>
        <v>1</v>
      </c>
      <c r="T264" s="153">
        <f>IF(N264="","",N264-L264)</f>
        <v>0</v>
      </c>
      <c r="U264" s="153">
        <f>IF(O264="","",O264-N264)</f>
        <v>0</v>
      </c>
      <c r="V264" s="154">
        <f>IF(O264="","",O264-B264)</f>
        <v>1</v>
      </c>
      <c r="W264" s="154">
        <f>IF(O264="","",O264-L264)</f>
        <v>0</v>
      </c>
      <c r="X264" s="154">
        <f>IF(R264="","",R264-B264)</f>
        <v>1</v>
      </c>
    </row>
    <row r="265" spans="2:24" ht="17.25" hidden="1" customHeight="1">
      <c r="B265" s="23">
        <v>45691</v>
      </c>
      <c r="C265" s="7">
        <v>2003543156</v>
      </c>
      <c r="D265" s="20">
        <v>5765206</v>
      </c>
      <c r="E265" s="27" t="s">
        <v>116</v>
      </c>
      <c r="F265" s="7" t="s">
        <v>107</v>
      </c>
      <c r="G265" s="7" t="s">
        <v>21</v>
      </c>
      <c r="H265" s="7" t="s">
        <v>45</v>
      </c>
      <c r="I265" s="20" t="s">
        <v>598</v>
      </c>
      <c r="J265" s="20" t="s">
        <v>599</v>
      </c>
      <c r="K265" s="7" t="s">
        <v>119</v>
      </c>
      <c r="L265" s="61">
        <v>45692</v>
      </c>
      <c r="M265" s="7" t="s">
        <v>111</v>
      </c>
      <c r="N265" s="61">
        <v>45692</v>
      </c>
      <c r="O265" s="61">
        <v>45692</v>
      </c>
      <c r="P265" s="59"/>
      <c r="Q265" s="124" t="e">
        <f>P265*#REF!</f>
        <v>#REF!</v>
      </c>
      <c r="R265" s="126">
        <v>45692</v>
      </c>
      <c r="S265" s="153">
        <f>IF(L265="","",L265-B265)</f>
        <v>1</v>
      </c>
      <c r="T265" s="153">
        <f>IF(N265="","",N265-L265)</f>
        <v>0</v>
      </c>
      <c r="U265" s="153">
        <f>IF(O265="","",O265-N265)</f>
        <v>0</v>
      </c>
      <c r="V265" s="154">
        <f>IF(O265="","",O265-B265)</f>
        <v>1</v>
      </c>
      <c r="W265" s="154">
        <f>IF(O265="","",O265-L265)</f>
        <v>0</v>
      </c>
      <c r="X265" s="154">
        <f>IF(R265="","",R265-B265)</f>
        <v>1</v>
      </c>
    </row>
    <row r="266" spans="2:24" ht="17.25" hidden="1" customHeight="1">
      <c r="B266" s="23">
        <v>45691</v>
      </c>
      <c r="C266" s="7">
        <v>2003598113</v>
      </c>
      <c r="D266" s="20">
        <v>5765212</v>
      </c>
      <c r="E266" s="27" t="s">
        <v>149</v>
      </c>
      <c r="F266" s="7" t="s">
        <v>107</v>
      </c>
      <c r="G266" s="7" t="s">
        <v>18</v>
      </c>
      <c r="H266" s="7" t="s">
        <v>45</v>
      </c>
      <c r="I266" s="20" t="s">
        <v>600</v>
      </c>
      <c r="J266" s="20" t="s">
        <v>601</v>
      </c>
      <c r="K266" s="7" t="s">
        <v>122</v>
      </c>
      <c r="L266" s="61">
        <v>45695</v>
      </c>
      <c r="M266" s="7" t="s">
        <v>111</v>
      </c>
      <c r="N266" s="24">
        <v>45698</v>
      </c>
      <c r="O266" s="58">
        <v>45699</v>
      </c>
      <c r="P266" s="59"/>
      <c r="Q266" s="124" t="e">
        <f>P266*#REF!</f>
        <v>#REF!</v>
      </c>
      <c r="R266" s="126">
        <v>45699</v>
      </c>
      <c r="S266" s="153">
        <f>IF(L266="","",L266-B266)</f>
        <v>4</v>
      </c>
      <c r="T266" s="153">
        <f>IF(N266="","",N266-L266)</f>
        <v>3</v>
      </c>
      <c r="U266" s="153">
        <f>IF(O266="","",O266-N266)</f>
        <v>1</v>
      </c>
      <c r="V266" s="154">
        <f>IF(O266="","",O266-B266)</f>
        <v>8</v>
      </c>
      <c r="W266" s="154">
        <f>IF(O266="","",O266-L266)</f>
        <v>4</v>
      </c>
      <c r="X266" s="154">
        <f>IF(R266="","",R266-B266)</f>
        <v>8</v>
      </c>
    </row>
    <row r="267" spans="2:24" ht="17.25" hidden="1" customHeight="1">
      <c r="B267" s="23">
        <v>45691</v>
      </c>
      <c r="C267" s="7">
        <v>2003594607</v>
      </c>
      <c r="D267" s="20">
        <v>5765252</v>
      </c>
      <c r="E267" s="27" t="s">
        <v>198</v>
      </c>
      <c r="F267" s="7" t="s">
        <v>107</v>
      </c>
      <c r="G267" s="7" t="s">
        <v>18</v>
      </c>
      <c r="H267" s="7" t="s">
        <v>45</v>
      </c>
      <c r="I267" s="20" t="s">
        <v>602</v>
      </c>
      <c r="J267" s="20" t="s">
        <v>603</v>
      </c>
      <c r="K267" s="7" t="s">
        <v>119</v>
      </c>
      <c r="L267" s="61">
        <v>45692</v>
      </c>
      <c r="M267" s="7" t="s">
        <v>111</v>
      </c>
      <c r="N267" s="61">
        <v>45693</v>
      </c>
      <c r="O267" s="58">
        <v>45695</v>
      </c>
      <c r="P267" s="59"/>
      <c r="Q267" s="124" t="e">
        <f>P267*#REF!</f>
        <v>#REF!</v>
      </c>
      <c r="R267" s="126">
        <v>45695</v>
      </c>
      <c r="S267" s="153">
        <f>IF(L267="","",L267-B267)</f>
        <v>1</v>
      </c>
      <c r="T267" s="153">
        <f>IF(N267="","",N267-L267)</f>
        <v>1</v>
      </c>
      <c r="U267" s="153">
        <f>IF(O267="","",O267-N267)</f>
        <v>2</v>
      </c>
      <c r="V267" s="154">
        <f>IF(O267="","",O267-B267)</f>
        <v>4</v>
      </c>
      <c r="W267" s="154">
        <f>IF(O267="","",O267-L267)</f>
        <v>3</v>
      </c>
      <c r="X267" s="154">
        <f>IF(R267="","",R267-B267)</f>
        <v>4</v>
      </c>
    </row>
    <row r="268" spans="2:24" ht="17.25" hidden="1" customHeight="1">
      <c r="B268" s="23">
        <v>45691</v>
      </c>
      <c r="C268" s="7">
        <v>2003599858</v>
      </c>
      <c r="D268" s="20">
        <v>5765280</v>
      </c>
      <c r="E268" s="27" t="s">
        <v>180</v>
      </c>
      <c r="F268" s="7" t="s">
        <v>113</v>
      </c>
      <c r="G268" s="7" t="s">
        <v>70</v>
      </c>
      <c r="H268" s="7" t="s">
        <v>47</v>
      </c>
      <c r="I268" s="20" t="s">
        <v>604</v>
      </c>
      <c r="J268" s="20" t="s">
        <v>605</v>
      </c>
      <c r="K268" s="7" t="s">
        <v>160</v>
      </c>
      <c r="P268" s="59"/>
      <c r="Q268" s="124" t="e">
        <f>P268*#REF!</f>
        <v>#REF!</v>
      </c>
      <c r="R268" s="126">
        <v>45698</v>
      </c>
      <c r="S268" s="153" t="str">
        <f>IF(L268="","",L268-B268)</f>
        <v/>
      </c>
      <c r="T268" s="153" t="str">
        <f>IF(N268="","",N268-L268)</f>
        <v/>
      </c>
      <c r="U268" s="153" t="str">
        <f>IF(O268="","",O268-N268)</f>
        <v/>
      </c>
      <c r="V268" s="154" t="str">
        <f>IF(O268="","",O268-B268)</f>
        <v/>
      </c>
      <c r="W268" s="154" t="str">
        <f>IF(O268="","",O268-L268)</f>
        <v/>
      </c>
      <c r="X268" s="154">
        <f>IF(R268="","",R268-B268)</f>
        <v>7</v>
      </c>
    </row>
    <row r="269" spans="2:24" ht="17.25" hidden="1" customHeight="1">
      <c r="B269" s="23">
        <v>45691</v>
      </c>
      <c r="C269" s="7">
        <v>2003588265</v>
      </c>
      <c r="D269" s="20">
        <v>93468</v>
      </c>
      <c r="E269" s="27" t="s">
        <v>123</v>
      </c>
      <c r="F269" s="7" t="s">
        <v>107</v>
      </c>
      <c r="G269" s="7" t="s">
        <v>21</v>
      </c>
      <c r="H269" s="7" t="s">
        <v>45</v>
      </c>
      <c r="I269" s="20" t="s">
        <v>489</v>
      </c>
      <c r="J269" s="20" t="s">
        <v>490</v>
      </c>
      <c r="K269" s="7" t="s">
        <v>122</v>
      </c>
      <c r="L269" s="61">
        <v>45695</v>
      </c>
      <c r="M269" s="7" t="s">
        <v>111</v>
      </c>
      <c r="N269" s="61">
        <v>45705</v>
      </c>
      <c r="O269" s="61">
        <v>45705</v>
      </c>
      <c r="P269" s="59"/>
      <c r="Q269" s="124" t="e">
        <f>P269*#REF!</f>
        <v>#REF!</v>
      </c>
      <c r="R269" s="126">
        <v>45705</v>
      </c>
      <c r="S269" s="153">
        <f>IF(L269="","",L269-B269)</f>
        <v>4</v>
      </c>
      <c r="T269" s="153">
        <f>IF(N269="","",N269-L269)</f>
        <v>10</v>
      </c>
      <c r="U269" s="153">
        <f>IF(O269="","",O269-N269)</f>
        <v>0</v>
      </c>
      <c r="V269" s="154">
        <f>IF(O269="","",O269-B269)</f>
        <v>14</v>
      </c>
      <c r="W269" s="154">
        <f>IF(O269="","",O269-L269)</f>
        <v>10</v>
      </c>
      <c r="X269" s="154">
        <f>IF(R269="","",R269-B269)</f>
        <v>14</v>
      </c>
    </row>
    <row r="270" spans="2:24" ht="17.25" hidden="1" customHeight="1">
      <c r="B270" s="23">
        <v>45691</v>
      </c>
      <c r="C270" s="7">
        <v>2003584453</v>
      </c>
      <c r="D270" s="20">
        <v>93350</v>
      </c>
      <c r="E270" s="27" t="s">
        <v>157</v>
      </c>
      <c r="F270" s="7" t="s">
        <v>107</v>
      </c>
      <c r="G270" s="7" t="s">
        <v>15</v>
      </c>
      <c r="H270" s="7" t="s">
        <v>45</v>
      </c>
      <c r="I270" s="20" t="s">
        <v>606</v>
      </c>
      <c r="J270" s="20" t="s">
        <v>607</v>
      </c>
      <c r="K270" s="7" t="s">
        <v>110</v>
      </c>
      <c r="L270" s="61">
        <v>45698</v>
      </c>
      <c r="M270" s="7" t="s">
        <v>111</v>
      </c>
      <c r="N270" s="61">
        <v>45698</v>
      </c>
      <c r="O270" s="58">
        <v>45699</v>
      </c>
      <c r="P270" s="59">
        <v>114</v>
      </c>
      <c r="Q270" s="124" t="e">
        <f>P270*#REF!</f>
        <v>#REF!</v>
      </c>
      <c r="R270" s="126">
        <v>45699</v>
      </c>
      <c r="S270" s="153">
        <f>IF(L270="","",L270-B270)</f>
        <v>7</v>
      </c>
      <c r="T270" s="153">
        <f>IF(N270="","",N270-L270)</f>
        <v>0</v>
      </c>
      <c r="U270" s="153">
        <f>IF(O270="","",O270-N270)</f>
        <v>1</v>
      </c>
      <c r="V270" s="154">
        <f>IF(O270="","",O270-B270)</f>
        <v>8</v>
      </c>
      <c r="W270" s="154">
        <f>IF(O270="","",O270-L270)</f>
        <v>1</v>
      </c>
      <c r="X270" s="154">
        <f>IF(R270="","",R270-B270)</f>
        <v>8</v>
      </c>
    </row>
    <row r="271" spans="2:24" ht="17.25" hidden="1" customHeight="1">
      <c r="B271" s="23">
        <v>45691</v>
      </c>
      <c r="C271" s="7">
        <v>2003592466</v>
      </c>
      <c r="D271" s="20">
        <v>92738</v>
      </c>
      <c r="E271" s="27" t="s">
        <v>185</v>
      </c>
      <c r="F271" s="7" t="s">
        <v>107</v>
      </c>
      <c r="G271" s="7" t="s">
        <v>10</v>
      </c>
      <c r="H271" s="7" t="s">
        <v>45</v>
      </c>
      <c r="I271" s="20" t="s">
        <v>608</v>
      </c>
      <c r="J271" s="20" t="s">
        <v>609</v>
      </c>
      <c r="K271" s="7" t="s">
        <v>110</v>
      </c>
      <c r="L271" s="61">
        <v>45693</v>
      </c>
      <c r="M271" s="7" t="s">
        <v>111</v>
      </c>
      <c r="N271" s="61">
        <v>45693</v>
      </c>
      <c r="O271" s="58">
        <v>45695</v>
      </c>
      <c r="P271" s="59"/>
      <c r="Q271" s="124" t="e">
        <f>P271*#REF!</f>
        <v>#REF!</v>
      </c>
      <c r="R271" s="126">
        <v>45695</v>
      </c>
      <c r="S271" s="153">
        <f>IF(L271="","",L271-B271)</f>
        <v>2</v>
      </c>
      <c r="T271" s="153">
        <f>IF(N271="","",N271-L271)</f>
        <v>0</v>
      </c>
      <c r="U271" s="153">
        <f>IF(O271="","",O271-N271)</f>
        <v>2</v>
      </c>
      <c r="V271" s="154">
        <f>IF(O271="","",O271-B271)</f>
        <v>4</v>
      </c>
      <c r="W271" s="154">
        <f>IF(O271="","",O271-L271)</f>
        <v>2</v>
      </c>
      <c r="X271" s="154">
        <f>IF(R271="","",R271-B271)</f>
        <v>4</v>
      </c>
    </row>
    <row r="272" spans="2:24" ht="17.25" hidden="1" customHeight="1">
      <c r="B272" s="23">
        <v>45692</v>
      </c>
      <c r="C272" s="7">
        <v>2003597754</v>
      </c>
      <c r="D272" s="20">
        <v>5765902</v>
      </c>
      <c r="E272" s="27" t="s">
        <v>143</v>
      </c>
      <c r="F272" s="7" t="s">
        <v>107</v>
      </c>
      <c r="G272" s="7" t="s">
        <v>18</v>
      </c>
      <c r="H272" s="7" t="s">
        <v>45</v>
      </c>
      <c r="I272" s="20" t="s">
        <v>610</v>
      </c>
      <c r="J272" s="20" t="s">
        <v>611</v>
      </c>
      <c r="K272" s="7" t="s">
        <v>110</v>
      </c>
      <c r="L272" s="61">
        <v>45709</v>
      </c>
      <c r="M272" s="7" t="s">
        <v>111</v>
      </c>
      <c r="N272" s="61">
        <v>45709</v>
      </c>
      <c r="O272" s="58">
        <v>45712</v>
      </c>
      <c r="P272" s="59">
        <v>78.400000000000006</v>
      </c>
      <c r="Q272" s="124" t="e">
        <f>P272*#REF!</f>
        <v>#REF!</v>
      </c>
      <c r="R272" s="126">
        <v>45713</v>
      </c>
      <c r="S272" s="153">
        <f>IF(L272="","",L272-B272)</f>
        <v>17</v>
      </c>
      <c r="T272" s="153">
        <f>IF(N272="","",N272-L272)</f>
        <v>0</v>
      </c>
      <c r="U272" s="153">
        <f>IF(O272="","",O272-N272)</f>
        <v>3</v>
      </c>
      <c r="V272" s="154">
        <f>IF(O272="","",O272-B272)</f>
        <v>20</v>
      </c>
      <c r="W272" s="154">
        <f>IF(O272="","",O272-L272)</f>
        <v>3</v>
      </c>
      <c r="X272" s="154">
        <f>IF(R272="","",R272-B272)</f>
        <v>21</v>
      </c>
    </row>
    <row r="273" spans="2:24" ht="17.25" hidden="1" customHeight="1">
      <c r="B273" s="23">
        <v>45692</v>
      </c>
      <c r="C273" s="7">
        <v>2003558401</v>
      </c>
      <c r="D273" s="20">
        <v>5766370</v>
      </c>
      <c r="E273" s="27" t="s">
        <v>180</v>
      </c>
      <c r="F273" s="7" t="s">
        <v>107</v>
      </c>
      <c r="G273" s="7" t="s">
        <v>21</v>
      </c>
      <c r="H273" s="7" t="s">
        <v>45</v>
      </c>
      <c r="I273" s="20" t="s">
        <v>442</v>
      </c>
      <c r="J273" s="20" t="s">
        <v>443</v>
      </c>
      <c r="K273" s="7" t="s">
        <v>111</v>
      </c>
      <c r="L273" s="61">
        <v>45693</v>
      </c>
      <c r="M273" s="7" t="s">
        <v>111</v>
      </c>
      <c r="N273" s="61">
        <v>45693</v>
      </c>
      <c r="O273" s="61">
        <v>45693</v>
      </c>
      <c r="P273" s="59"/>
      <c r="Q273" s="124" t="e">
        <f>P273*#REF!</f>
        <v>#REF!</v>
      </c>
      <c r="R273" s="126">
        <v>45694</v>
      </c>
      <c r="S273" s="153">
        <f>IF(L273="","",L273-B273)</f>
        <v>1</v>
      </c>
      <c r="T273" s="153">
        <f>IF(N273="","",N273-L273)</f>
        <v>0</v>
      </c>
      <c r="U273" s="153">
        <f>IF(O273="","",O273-N273)</f>
        <v>0</v>
      </c>
      <c r="V273" s="154">
        <f>IF(O273="","",O273-B273)</f>
        <v>1</v>
      </c>
      <c r="W273" s="154">
        <f>IF(O273="","",O273-L273)</f>
        <v>0</v>
      </c>
      <c r="X273" s="154">
        <f>IF(R273="","",R273-B273)</f>
        <v>2</v>
      </c>
    </row>
    <row r="274" spans="2:24" ht="17.25" hidden="1" customHeight="1">
      <c r="B274" s="23">
        <v>45692</v>
      </c>
      <c r="C274" s="7">
        <v>2003599672</v>
      </c>
      <c r="D274" s="20">
        <v>5766415</v>
      </c>
      <c r="E274" s="27" t="s">
        <v>126</v>
      </c>
      <c r="F274" s="7" t="s">
        <v>107</v>
      </c>
      <c r="G274" s="7" t="s">
        <v>10</v>
      </c>
      <c r="H274" s="7" t="s">
        <v>45</v>
      </c>
      <c r="I274" s="20" t="s">
        <v>612</v>
      </c>
      <c r="J274" s="20" t="s">
        <v>613</v>
      </c>
      <c r="K274" s="7" t="s">
        <v>119</v>
      </c>
      <c r="L274" s="61">
        <v>45693</v>
      </c>
      <c r="M274" s="7" t="s">
        <v>111</v>
      </c>
      <c r="N274" s="61">
        <v>45693</v>
      </c>
      <c r="O274" s="58">
        <v>45695</v>
      </c>
      <c r="P274" s="59"/>
      <c r="Q274" s="124" t="e">
        <f>P274*#REF!</f>
        <v>#REF!</v>
      </c>
      <c r="R274" s="126">
        <v>45695</v>
      </c>
      <c r="S274" s="153">
        <f>IF(L274="","",L274-B274)</f>
        <v>1</v>
      </c>
      <c r="T274" s="153">
        <f>IF(N274="","",N274-L274)</f>
        <v>0</v>
      </c>
      <c r="U274" s="153">
        <f>IF(O274="","",O274-N274)</f>
        <v>2</v>
      </c>
      <c r="V274" s="154">
        <f>IF(O274="","",O274-B274)</f>
        <v>3</v>
      </c>
      <c r="W274" s="154">
        <f>IF(O274="","",O274-L274)</f>
        <v>2</v>
      </c>
      <c r="X274" s="154">
        <f>IF(R274="","",R274-B274)</f>
        <v>3</v>
      </c>
    </row>
    <row r="275" spans="2:24" ht="17.25" hidden="1" customHeight="1">
      <c r="B275" s="23">
        <v>45692</v>
      </c>
      <c r="C275" s="7">
        <v>2003481155</v>
      </c>
      <c r="D275" s="20">
        <v>5766463</v>
      </c>
      <c r="E275" s="27" t="s">
        <v>116</v>
      </c>
      <c r="F275" s="7" t="s">
        <v>107</v>
      </c>
      <c r="G275" s="7" t="s">
        <v>10</v>
      </c>
      <c r="H275" s="7" t="s">
        <v>45</v>
      </c>
      <c r="I275" s="20" t="s">
        <v>587</v>
      </c>
      <c r="J275" s="20" t="s">
        <v>614</v>
      </c>
      <c r="K275" s="7" t="s">
        <v>122</v>
      </c>
      <c r="L275" s="61">
        <v>45706</v>
      </c>
      <c r="M275" s="7" t="s">
        <v>111</v>
      </c>
      <c r="N275" s="61">
        <v>45707</v>
      </c>
      <c r="O275" s="58">
        <v>45712</v>
      </c>
      <c r="P275" s="59"/>
      <c r="Q275" s="124" t="e">
        <f>P275*#REF!</f>
        <v>#REF!</v>
      </c>
      <c r="R275" s="126">
        <v>45712</v>
      </c>
      <c r="S275" s="153">
        <f>IF(L275="","",L275-B275)</f>
        <v>14</v>
      </c>
      <c r="T275" s="153">
        <f>IF(N275="","",N275-L275)</f>
        <v>1</v>
      </c>
      <c r="U275" s="153">
        <f>IF(O275="","",O275-N275)</f>
        <v>5</v>
      </c>
      <c r="V275" s="154">
        <f>IF(O275="","",O275-B275)</f>
        <v>20</v>
      </c>
      <c r="W275" s="154">
        <f>IF(O275="","",O275-L275)</f>
        <v>6</v>
      </c>
      <c r="X275" s="154">
        <f>IF(R275="","",R275-B275)</f>
        <v>20</v>
      </c>
    </row>
    <row r="276" spans="2:24" ht="17.25" hidden="1" customHeight="1">
      <c r="B276" s="23">
        <v>45692</v>
      </c>
      <c r="C276" s="7">
        <v>2003601080</v>
      </c>
      <c r="D276" s="20">
        <v>5766584</v>
      </c>
      <c r="E276" s="27" t="s">
        <v>408</v>
      </c>
      <c r="F276" s="7" t="s">
        <v>107</v>
      </c>
      <c r="G276" s="7" t="s">
        <v>10</v>
      </c>
      <c r="H276" s="7" t="s">
        <v>45</v>
      </c>
      <c r="I276" s="20" t="s">
        <v>615</v>
      </c>
      <c r="J276" s="20" t="s">
        <v>616</v>
      </c>
      <c r="K276" s="7" t="s">
        <v>110</v>
      </c>
      <c r="L276" s="61">
        <v>45695</v>
      </c>
      <c r="M276" s="7" t="s">
        <v>111</v>
      </c>
      <c r="N276" s="61">
        <v>45695</v>
      </c>
      <c r="O276" s="61">
        <v>45698</v>
      </c>
      <c r="P276" s="59"/>
      <c r="Q276" s="124" t="e">
        <f>P276*#REF!</f>
        <v>#REF!</v>
      </c>
      <c r="R276" s="126">
        <v>45698</v>
      </c>
      <c r="S276" s="153">
        <f>IF(L276="","",L276-B276)</f>
        <v>3</v>
      </c>
      <c r="T276" s="153">
        <f>IF(N276="","",N276-L276)</f>
        <v>0</v>
      </c>
      <c r="U276" s="153">
        <f>IF(O276="","",O276-N276)</f>
        <v>3</v>
      </c>
      <c r="V276" s="154">
        <f>IF(O276="","",O276-B276)</f>
        <v>6</v>
      </c>
      <c r="W276" s="154">
        <f>IF(O276="","",O276-L276)</f>
        <v>3</v>
      </c>
      <c r="X276" s="154">
        <f>IF(R276="","",R276-B276)</f>
        <v>6</v>
      </c>
    </row>
    <row r="277" spans="2:24" ht="17.25" hidden="1" customHeight="1">
      <c r="B277" s="23">
        <v>45692</v>
      </c>
      <c r="C277" s="7">
        <v>2003589528</v>
      </c>
      <c r="D277" s="20">
        <v>5766770</v>
      </c>
      <c r="E277" s="27" t="s">
        <v>408</v>
      </c>
      <c r="F277" s="7" t="s">
        <v>107</v>
      </c>
      <c r="G277" s="7" t="s">
        <v>10</v>
      </c>
      <c r="H277" s="7" t="s">
        <v>45</v>
      </c>
      <c r="I277" s="20" t="s">
        <v>243</v>
      </c>
      <c r="J277" s="20" t="s">
        <v>543</v>
      </c>
      <c r="K277" s="7" t="s">
        <v>111</v>
      </c>
      <c r="L277" s="61">
        <v>45693</v>
      </c>
      <c r="M277" s="7" t="s">
        <v>111</v>
      </c>
      <c r="N277" s="61">
        <v>45694</v>
      </c>
      <c r="O277" s="61">
        <v>45698</v>
      </c>
      <c r="P277" s="59"/>
      <c r="Q277" s="124" t="e">
        <f>P277*#REF!</f>
        <v>#REF!</v>
      </c>
      <c r="R277" s="126">
        <v>45698</v>
      </c>
      <c r="S277" s="153">
        <f>IF(L277="","",L277-B277)</f>
        <v>1</v>
      </c>
      <c r="T277" s="153">
        <f>IF(N277="","",N277-L277)</f>
        <v>1</v>
      </c>
      <c r="U277" s="153">
        <f>IF(O277="","",O277-N277)</f>
        <v>4</v>
      </c>
      <c r="V277" s="154">
        <f>IF(O277="","",O277-B277)</f>
        <v>6</v>
      </c>
      <c r="W277" s="154">
        <f>IF(O277="","",O277-L277)</f>
        <v>5</v>
      </c>
      <c r="X277" s="154">
        <f>IF(R277="","",R277-B277)</f>
        <v>6</v>
      </c>
    </row>
    <row r="278" spans="2:24" ht="17.25" hidden="1" customHeight="1">
      <c r="B278" s="23">
        <v>45692</v>
      </c>
      <c r="C278" s="7">
        <v>2003593061</v>
      </c>
      <c r="D278" s="20">
        <v>5766816</v>
      </c>
      <c r="E278" s="27" t="s">
        <v>185</v>
      </c>
      <c r="F278" s="7" t="s">
        <v>107</v>
      </c>
      <c r="G278" s="7" t="s">
        <v>18</v>
      </c>
      <c r="H278" s="7" t="s">
        <v>45</v>
      </c>
      <c r="I278" s="20" t="s">
        <v>249</v>
      </c>
      <c r="J278" s="20" t="s">
        <v>617</v>
      </c>
      <c r="K278" s="7" t="s">
        <v>122</v>
      </c>
      <c r="L278" s="61">
        <v>45694</v>
      </c>
      <c r="M278" s="7" t="s">
        <v>111</v>
      </c>
      <c r="N278" s="24">
        <v>45700</v>
      </c>
      <c r="O278" s="58">
        <v>45701</v>
      </c>
      <c r="P278" s="59">
        <v>79.3</v>
      </c>
      <c r="Q278" s="124" t="e">
        <f>P278*#REF!</f>
        <v>#REF!</v>
      </c>
      <c r="R278" s="126">
        <v>45701</v>
      </c>
      <c r="S278" s="153">
        <f>IF(L278="","",L278-B278)</f>
        <v>2</v>
      </c>
      <c r="T278" s="153">
        <f>IF(N278="","",N278-L278)</f>
        <v>6</v>
      </c>
      <c r="U278" s="153">
        <f>IF(O278="","",O278-N278)</f>
        <v>1</v>
      </c>
      <c r="V278" s="154">
        <f>IF(O278="","",O278-B278)</f>
        <v>9</v>
      </c>
      <c r="W278" s="154">
        <f>IF(O278="","",O278-L278)</f>
        <v>7</v>
      </c>
      <c r="X278" s="154">
        <f>IF(R278="","",R278-B278)</f>
        <v>9</v>
      </c>
    </row>
    <row r="279" spans="2:24" ht="17.25" hidden="1" customHeight="1">
      <c r="B279" s="23">
        <v>45692</v>
      </c>
      <c r="C279" s="7">
        <v>2003591509</v>
      </c>
      <c r="D279" s="20">
        <v>5766898</v>
      </c>
      <c r="E279" s="27" t="s">
        <v>265</v>
      </c>
      <c r="F279" s="7" t="s">
        <v>107</v>
      </c>
      <c r="G279" s="7" t="s">
        <v>15</v>
      </c>
      <c r="H279" s="7" t="s">
        <v>45</v>
      </c>
      <c r="I279" s="20" t="s">
        <v>618</v>
      </c>
      <c r="J279" s="20" t="s">
        <v>619</v>
      </c>
      <c r="K279" s="7" t="s">
        <v>110</v>
      </c>
      <c r="L279" s="61">
        <v>45695</v>
      </c>
      <c r="M279" s="7" t="s">
        <v>111</v>
      </c>
      <c r="N279" s="61">
        <v>45695</v>
      </c>
      <c r="O279" s="58">
        <v>45699</v>
      </c>
      <c r="P279" s="59"/>
      <c r="Q279" s="124" t="e">
        <f>P279*#REF!</f>
        <v>#REF!</v>
      </c>
      <c r="R279" s="126">
        <v>45699</v>
      </c>
      <c r="S279" s="153">
        <f>IF(L279="","",L279-B279)</f>
        <v>3</v>
      </c>
      <c r="T279" s="153">
        <f>IF(N279="","",N279-L279)</f>
        <v>0</v>
      </c>
      <c r="U279" s="153">
        <f>IF(O279="","",O279-N279)</f>
        <v>4</v>
      </c>
      <c r="V279" s="154">
        <f>IF(O279="","",O279-B279)</f>
        <v>7</v>
      </c>
      <c r="W279" s="154">
        <f>IF(O279="","",O279-L279)</f>
        <v>4</v>
      </c>
      <c r="X279" s="154">
        <f>IF(R279="","",R279-B279)</f>
        <v>7</v>
      </c>
    </row>
    <row r="280" spans="2:24" ht="17.25" hidden="1" customHeight="1">
      <c r="B280" s="23">
        <v>45692</v>
      </c>
      <c r="C280" s="7">
        <v>2003559815</v>
      </c>
      <c r="D280" s="20">
        <v>5766933</v>
      </c>
      <c r="E280" s="27" t="s">
        <v>126</v>
      </c>
      <c r="F280" s="7" t="s">
        <v>107</v>
      </c>
      <c r="G280" s="7" t="s">
        <v>18</v>
      </c>
      <c r="H280" s="7" t="s">
        <v>45</v>
      </c>
      <c r="I280" s="20" t="s">
        <v>620</v>
      </c>
      <c r="J280" s="20" t="s">
        <v>621</v>
      </c>
      <c r="K280" s="7" t="s">
        <v>119</v>
      </c>
      <c r="L280" s="61">
        <v>45695</v>
      </c>
      <c r="M280" s="7" t="s">
        <v>111</v>
      </c>
      <c r="N280" s="61">
        <v>45695</v>
      </c>
      <c r="O280" s="58">
        <v>45699</v>
      </c>
      <c r="P280" s="59"/>
      <c r="Q280" s="124" t="e">
        <f>P280*#REF!</f>
        <v>#REF!</v>
      </c>
      <c r="R280" s="126">
        <v>45699</v>
      </c>
      <c r="S280" s="153">
        <f>IF(L280="","",L280-B280)</f>
        <v>3</v>
      </c>
      <c r="T280" s="153">
        <f>IF(N280="","",N280-L280)</f>
        <v>0</v>
      </c>
      <c r="U280" s="153">
        <f>IF(O280="","",O280-N280)</f>
        <v>4</v>
      </c>
      <c r="V280" s="154">
        <f>IF(O280="","",O280-B280)</f>
        <v>7</v>
      </c>
      <c r="W280" s="154">
        <f>IF(O280="","",O280-L280)</f>
        <v>4</v>
      </c>
      <c r="X280" s="154">
        <f>IF(R280="","",R280-B280)</f>
        <v>7</v>
      </c>
    </row>
    <row r="281" spans="2:24" ht="17.25" hidden="1" customHeight="1">
      <c r="B281" s="23">
        <v>45692</v>
      </c>
      <c r="C281" s="7">
        <v>2003601144</v>
      </c>
      <c r="D281" s="20">
        <v>94665</v>
      </c>
      <c r="E281" s="27" t="s">
        <v>622</v>
      </c>
      <c r="F281" s="7" t="s">
        <v>113</v>
      </c>
      <c r="G281" s="7" t="s">
        <v>70</v>
      </c>
      <c r="H281" s="7" t="s">
        <v>47</v>
      </c>
      <c r="I281" s="20" t="s">
        <v>623</v>
      </c>
      <c r="J281" s="20" t="s">
        <v>624</v>
      </c>
      <c r="K281" s="7" t="s">
        <v>119</v>
      </c>
      <c r="M281" s="7" t="s">
        <v>111</v>
      </c>
      <c r="P281" s="59"/>
      <c r="Q281" s="124" t="e">
        <f>P281*#REF!</f>
        <v>#REF!</v>
      </c>
      <c r="R281" s="126">
        <v>45693</v>
      </c>
      <c r="S281" s="153" t="str">
        <f>IF(L281="","",L281-B281)</f>
        <v/>
      </c>
      <c r="T281" s="153" t="str">
        <f>IF(N281="","",N281-L281)</f>
        <v/>
      </c>
      <c r="U281" s="153" t="str">
        <f>IF(O281="","",O281-N281)</f>
        <v/>
      </c>
      <c r="V281" s="154" t="str">
        <f>IF(O281="","",O281-B281)</f>
        <v/>
      </c>
      <c r="W281" s="154" t="str">
        <f>IF(O281="","",O281-L281)</f>
        <v/>
      </c>
      <c r="X281" s="154">
        <f>IF(R281="","",R281-B281)</f>
        <v>1</v>
      </c>
    </row>
    <row r="282" spans="2:24" ht="17.25" hidden="1" customHeight="1">
      <c r="B282" s="23">
        <v>45693</v>
      </c>
      <c r="C282" s="7">
        <v>2003601691</v>
      </c>
      <c r="D282" s="20">
        <v>5767396</v>
      </c>
      <c r="E282" s="27" t="s">
        <v>116</v>
      </c>
      <c r="F282" s="7" t="s">
        <v>107</v>
      </c>
      <c r="G282" s="7" t="s">
        <v>10</v>
      </c>
      <c r="H282" s="7" t="s">
        <v>45</v>
      </c>
      <c r="I282" s="20" t="s">
        <v>625</v>
      </c>
      <c r="J282" s="20" t="s">
        <v>626</v>
      </c>
      <c r="K282" s="7" t="s">
        <v>119</v>
      </c>
      <c r="L282" s="61">
        <v>45695</v>
      </c>
      <c r="M282" s="7" t="s">
        <v>111</v>
      </c>
      <c r="N282" s="61">
        <v>45695</v>
      </c>
      <c r="O282" s="58">
        <v>45699</v>
      </c>
      <c r="P282" s="59"/>
      <c r="Q282" s="124" t="e">
        <f>P282*#REF!</f>
        <v>#REF!</v>
      </c>
      <c r="R282" s="126">
        <v>45699</v>
      </c>
      <c r="S282" s="153">
        <f>IF(L282="","",L282-B282)</f>
        <v>2</v>
      </c>
      <c r="T282" s="153">
        <f>IF(N282="","",N282-L282)</f>
        <v>0</v>
      </c>
      <c r="U282" s="153">
        <f>IF(O282="","",O282-N282)</f>
        <v>4</v>
      </c>
      <c r="V282" s="154">
        <f>IF(O282="","",O282-B282)</f>
        <v>6</v>
      </c>
      <c r="W282" s="154">
        <f>IF(O282="","",O282-L282)</f>
        <v>4</v>
      </c>
      <c r="X282" s="154">
        <f>IF(R282="","",R282-B282)</f>
        <v>6</v>
      </c>
    </row>
    <row r="283" spans="2:24" ht="17.25" hidden="1" customHeight="1">
      <c r="B283" s="23">
        <v>45693</v>
      </c>
      <c r="C283" s="7">
        <v>2003601509</v>
      </c>
      <c r="D283" s="20">
        <v>5767405</v>
      </c>
      <c r="E283" s="27" t="s">
        <v>568</v>
      </c>
      <c r="F283" s="7" t="s">
        <v>107</v>
      </c>
      <c r="G283" s="7" t="s">
        <v>10</v>
      </c>
      <c r="H283" s="7" t="s">
        <v>45</v>
      </c>
      <c r="I283" s="20" t="s">
        <v>627</v>
      </c>
      <c r="J283" s="20" t="s">
        <v>628</v>
      </c>
      <c r="K283" s="7" t="s">
        <v>119</v>
      </c>
      <c r="L283" s="61">
        <v>45698</v>
      </c>
      <c r="M283" s="7" t="s">
        <v>111</v>
      </c>
      <c r="N283" s="24">
        <v>45698</v>
      </c>
      <c r="O283" s="58">
        <v>45701</v>
      </c>
      <c r="P283" s="59"/>
      <c r="Q283" s="124" t="e">
        <f>P283*#REF!</f>
        <v>#REF!</v>
      </c>
      <c r="R283" s="126">
        <v>45701</v>
      </c>
      <c r="S283" s="153">
        <f>IF(L283="","",L283-B283)</f>
        <v>5</v>
      </c>
      <c r="T283" s="153">
        <f>IF(N283="","",N283-L283)</f>
        <v>0</v>
      </c>
      <c r="U283" s="153">
        <f>IF(O283="","",O283-N283)</f>
        <v>3</v>
      </c>
      <c r="V283" s="154">
        <f>IF(O283="","",O283-B283)</f>
        <v>8</v>
      </c>
      <c r="W283" s="154">
        <f>IF(O283="","",O283-L283)</f>
        <v>3</v>
      </c>
      <c r="X283" s="154">
        <f>IF(R283="","",R283-B283)</f>
        <v>8</v>
      </c>
    </row>
    <row r="284" spans="2:24" ht="17.25" hidden="1" customHeight="1">
      <c r="B284" s="23">
        <v>45693</v>
      </c>
      <c r="C284" s="7">
        <v>2003594286</v>
      </c>
      <c r="D284" s="20">
        <v>5767428</v>
      </c>
      <c r="E284" s="27" t="s">
        <v>201</v>
      </c>
      <c r="F284" s="7" t="s">
        <v>107</v>
      </c>
      <c r="G284" s="7" t="s">
        <v>10</v>
      </c>
      <c r="H284" s="7" t="s">
        <v>45</v>
      </c>
      <c r="I284" s="20" t="s">
        <v>592</v>
      </c>
      <c r="J284" s="20" t="s">
        <v>593</v>
      </c>
      <c r="K284" s="7" t="s">
        <v>110</v>
      </c>
      <c r="L284" s="61">
        <v>45698</v>
      </c>
      <c r="M284" s="7" t="s">
        <v>111</v>
      </c>
      <c r="N284" s="61">
        <v>45698</v>
      </c>
      <c r="O284" s="58">
        <v>45699</v>
      </c>
      <c r="P284" s="59"/>
      <c r="Q284" s="124" t="e">
        <f>P284*#REF!</f>
        <v>#REF!</v>
      </c>
      <c r="R284" s="126">
        <v>45699</v>
      </c>
      <c r="S284" s="153">
        <f>IF(L284="","",L284-B284)</f>
        <v>5</v>
      </c>
      <c r="T284" s="153">
        <f>IF(N284="","",N284-L284)</f>
        <v>0</v>
      </c>
      <c r="U284" s="153">
        <f>IF(O284="","",O284-N284)</f>
        <v>1</v>
      </c>
      <c r="V284" s="154">
        <f>IF(O284="","",O284-B284)</f>
        <v>6</v>
      </c>
      <c r="W284" s="154">
        <f>IF(O284="","",O284-L284)</f>
        <v>1</v>
      </c>
      <c r="X284" s="154">
        <f>IF(R284="","",R284-B284)</f>
        <v>6</v>
      </c>
    </row>
    <row r="285" spans="2:24" ht="17.25" hidden="1" customHeight="1">
      <c r="B285" s="23">
        <v>45693</v>
      </c>
      <c r="C285" s="7">
        <v>2003579265</v>
      </c>
      <c r="D285" s="20">
        <v>5768097</v>
      </c>
      <c r="E285" s="27" t="s">
        <v>126</v>
      </c>
      <c r="F285" s="7" t="s">
        <v>107</v>
      </c>
      <c r="G285" s="7" t="s">
        <v>21</v>
      </c>
      <c r="H285" s="7" t="s">
        <v>45</v>
      </c>
      <c r="I285" s="20" t="s">
        <v>282</v>
      </c>
      <c r="J285" s="20" t="s">
        <v>283</v>
      </c>
      <c r="K285" s="7" t="s">
        <v>110</v>
      </c>
      <c r="L285" s="61">
        <v>45695</v>
      </c>
      <c r="M285" s="7" t="s">
        <v>111</v>
      </c>
      <c r="N285" s="61">
        <v>45695</v>
      </c>
      <c r="O285" s="61">
        <v>45698</v>
      </c>
      <c r="P285" s="59"/>
      <c r="Q285" s="124" t="e">
        <f>P285*#REF!</f>
        <v>#REF!</v>
      </c>
      <c r="R285" s="126">
        <v>45699</v>
      </c>
      <c r="S285" s="153">
        <f>IF(L285="","",L285-B285)</f>
        <v>2</v>
      </c>
      <c r="T285" s="153">
        <f>IF(N285="","",N285-L285)</f>
        <v>0</v>
      </c>
      <c r="U285" s="153">
        <f>IF(O285="","",O285-N285)</f>
        <v>3</v>
      </c>
      <c r="V285" s="154">
        <f>IF(O285="","",O285-B285)</f>
        <v>5</v>
      </c>
      <c r="W285" s="154">
        <f>IF(O285="","",O285-L285)</f>
        <v>3</v>
      </c>
      <c r="X285" s="154">
        <f>IF(R285="","",R285-B285)</f>
        <v>6</v>
      </c>
    </row>
    <row r="286" spans="2:24" ht="17.25" hidden="1" customHeight="1">
      <c r="B286" s="23">
        <v>45693</v>
      </c>
      <c r="C286" s="7">
        <v>2003354242</v>
      </c>
      <c r="D286" s="20">
        <v>5768163</v>
      </c>
      <c r="E286" s="27" t="s">
        <v>143</v>
      </c>
      <c r="F286" s="7" t="s">
        <v>107</v>
      </c>
      <c r="G286" s="7" t="s">
        <v>10</v>
      </c>
      <c r="H286" s="7" t="s">
        <v>45</v>
      </c>
      <c r="I286" s="20" t="s">
        <v>629</v>
      </c>
      <c r="J286" s="20" t="s">
        <v>630</v>
      </c>
      <c r="K286" s="7" t="s">
        <v>110</v>
      </c>
      <c r="L286" s="61">
        <v>45698</v>
      </c>
      <c r="M286" s="7" t="s">
        <v>111</v>
      </c>
      <c r="N286" s="61">
        <v>45698</v>
      </c>
      <c r="O286" s="61">
        <v>45698</v>
      </c>
      <c r="P286" s="59"/>
      <c r="Q286" s="124" t="e">
        <f>P286*#REF!</f>
        <v>#REF!</v>
      </c>
      <c r="R286" s="126">
        <v>45699</v>
      </c>
      <c r="S286" s="153">
        <f>IF(L286="","",L286-B286)</f>
        <v>5</v>
      </c>
      <c r="T286" s="153">
        <f>IF(N286="","",N286-L286)</f>
        <v>0</v>
      </c>
      <c r="U286" s="153">
        <f>IF(O286="","",O286-N286)</f>
        <v>0</v>
      </c>
      <c r="V286" s="154">
        <f>IF(O286="","",O286-B286)</f>
        <v>5</v>
      </c>
      <c r="W286" s="154">
        <f>IF(O286="","",O286-L286)</f>
        <v>0</v>
      </c>
      <c r="X286" s="154">
        <f>IF(R286="","",R286-B286)</f>
        <v>6</v>
      </c>
    </row>
    <row r="287" spans="2:24" ht="17.25" hidden="1" customHeight="1">
      <c r="B287" s="23">
        <v>45693</v>
      </c>
      <c r="C287" s="7">
        <v>2003600962</v>
      </c>
      <c r="D287" s="20">
        <v>5768229</v>
      </c>
      <c r="E287" s="27" t="s">
        <v>408</v>
      </c>
      <c r="F287" s="7" t="s">
        <v>107</v>
      </c>
      <c r="G287" s="7" t="s">
        <v>18</v>
      </c>
      <c r="H287" s="7" t="s">
        <v>45</v>
      </c>
      <c r="I287" s="20" t="s">
        <v>631</v>
      </c>
      <c r="J287" s="20" t="s">
        <v>632</v>
      </c>
      <c r="K287" s="7" t="s">
        <v>110</v>
      </c>
      <c r="L287" s="61">
        <v>45695</v>
      </c>
      <c r="M287" s="7" t="s">
        <v>111</v>
      </c>
      <c r="N287" s="61">
        <v>45695</v>
      </c>
      <c r="O287" s="61">
        <v>45698</v>
      </c>
      <c r="P287" s="59"/>
      <c r="Q287" s="124" t="e">
        <f>P287*#REF!</f>
        <v>#REF!</v>
      </c>
      <c r="R287" s="126">
        <v>45698</v>
      </c>
      <c r="S287" s="153">
        <f>IF(L287="","",L287-B287)</f>
        <v>2</v>
      </c>
      <c r="T287" s="153">
        <f>IF(N287="","",N287-L287)</f>
        <v>0</v>
      </c>
      <c r="U287" s="153">
        <f>IF(O287="","",O287-N287)</f>
        <v>3</v>
      </c>
      <c r="V287" s="154">
        <f>IF(O287="","",O287-B287)</f>
        <v>5</v>
      </c>
      <c r="W287" s="154">
        <f>IF(O287="","",O287-L287)</f>
        <v>3</v>
      </c>
      <c r="X287" s="154">
        <f>IF(R287="","",R287-B287)</f>
        <v>5</v>
      </c>
    </row>
    <row r="288" spans="2:24" ht="17.25" hidden="1" customHeight="1">
      <c r="B288" s="23">
        <v>45693</v>
      </c>
      <c r="C288" s="7">
        <v>2003574608</v>
      </c>
      <c r="D288" s="20">
        <v>5768290</v>
      </c>
      <c r="E288" s="27" t="s">
        <v>116</v>
      </c>
      <c r="F288" s="7" t="s">
        <v>107</v>
      </c>
      <c r="G288" s="7" t="s">
        <v>18</v>
      </c>
      <c r="H288" s="7" t="s">
        <v>45</v>
      </c>
      <c r="I288" s="20" t="s">
        <v>533</v>
      </c>
      <c r="J288" s="20" t="s">
        <v>298</v>
      </c>
      <c r="K288" s="7" t="s">
        <v>122</v>
      </c>
      <c r="L288" s="61">
        <v>45698</v>
      </c>
      <c r="M288" s="7" t="s">
        <v>111</v>
      </c>
      <c r="N288" s="24">
        <v>45700</v>
      </c>
      <c r="O288" s="24">
        <v>45700</v>
      </c>
      <c r="P288" s="59"/>
      <c r="Q288" s="124" t="e">
        <f>P288*#REF!</f>
        <v>#REF!</v>
      </c>
      <c r="R288" s="126">
        <v>45700</v>
      </c>
      <c r="S288" s="153">
        <f>IF(L288="","",L288-B288)</f>
        <v>5</v>
      </c>
      <c r="T288" s="153">
        <f>IF(N288="","",N288-L288)</f>
        <v>2</v>
      </c>
      <c r="U288" s="153">
        <f>IF(O288="","",O288-N288)</f>
        <v>0</v>
      </c>
      <c r="V288" s="154">
        <f>IF(O288="","",O288-B288)</f>
        <v>7</v>
      </c>
      <c r="W288" s="154">
        <f>IF(O288="","",O288-L288)</f>
        <v>2</v>
      </c>
      <c r="X288" s="154">
        <f>IF(R288="","",R288-B288)</f>
        <v>7</v>
      </c>
    </row>
    <row r="289" spans="2:24" ht="17.25" hidden="1" customHeight="1">
      <c r="B289" s="23">
        <v>45693</v>
      </c>
      <c r="C289" s="7">
        <v>2003593609</v>
      </c>
      <c r="D289" s="20">
        <v>5768304</v>
      </c>
      <c r="E289" s="27" t="s">
        <v>143</v>
      </c>
      <c r="F289" s="7" t="s">
        <v>113</v>
      </c>
      <c r="G289" s="7" t="s">
        <v>70</v>
      </c>
      <c r="H289" s="7" t="s">
        <v>47</v>
      </c>
      <c r="I289" s="20" t="s">
        <v>633</v>
      </c>
      <c r="J289" s="20" t="s">
        <v>634</v>
      </c>
      <c r="K289" s="7" t="s">
        <v>160</v>
      </c>
      <c r="P289" s="59"/>
      <c r="Q289" s="124" t="e">
        <f>P289*#REF!</f>
        <v>#REF!</v>
      </c>
      <c r="R289" s="126">
        <v>45706</v>
      </c>
      <c r="S289" s="153" t="str">
        <f>IF(L289="","",L289-B289)</f>
        <v/>
      </c>
      <c r="T289" s="153" t="str">
        <f>IF(N289="","",N289-L289)</f>
        <v/>
      </c>
      <c r="U289" s="153" t="str">
        <f>IF(O289="","",O289-N289)</f>
        <v/>
      </c>
      <c r="V289" s="154" t="str">
        <f>IF(O289="","",O289-B289)</f>
        <v/>
      </c>
      <c r="W289" s="154" t="str">
        <f>IF(O289="","",O289-L289)</f>
        <v/>
      </c>
      <c r="X289" s="154">
        <f>IF(R289="","",R289-B289)</f>
        <v>13</v>
      </c>
    </row>
    <row r="290" spans="2:24" ht="17.25" hidden="1" customHeight="1">
      <c r="B290" s="23">
        <v>45693</v>
      </c>
      <c r="C290" s="7">
        <v>2003597578</v>
      </c>
      <c r="D290" s="20">
        <v>5768338</v>
      </c>
      <c r="E290" s="27" t="s">
        <v>143</v>
      </c>
      <c r="F290" s="7" t="s">
        <v>107</v>
      </c>
      <c r="G290" s="7" t="s">
        <v>10</v>
      </c>
      <c r="H290" s="7" t="s">
        <v>45</v>
      </c>
      <c r="I290" s="20" t="s">
        <v>524</v>
      </c>
      <c r="J290" s="20" t="s">
        <v>635</v>
      </c>
      <c r="K290" s="7" t="s">
        <v>110</v>
      </c>
      <c r="L290" s="61">
        <v>45713</v>
      </c>
      <c r="M290" s="7" t="s">
        <v>111</v>
      </c>
      <c r="N290" s="61">
        <v>45713</v>
      </c>
      <c r="O290" s="58">
        <v>45714</v>
      </c>
      <c r="P290" s="59"/>
      <c r="Q290" s="124" t="e">
        <f>P290*#REF!</f>
        <v>#REF!</v>
      </c>
      <c r="R290" s="126">
        <v>45715</v>
      </c>
      <c r="S290" s="153">
        <f>IF(L290="","",L290-B290)</f>
        <v>20</v>
      </c>
      <c r="T290" s="153">
        <f>IF(N290="","",N290-L290)</f>
        <v>0</v>
      </c>
      <c r="U290" s="153">
        <f>IF(O290="","",O290-N290)</f>
        <v>1</v>
      </c>
      <c r="V290" s="154">
        <f>IF(O290="","",O290-B290)</f>
        <v>21</v>
      </c>
      <c r="W290" s="154">
        <f>IF(O290="","",O290-L290)</f>
        <v>1</v>
      </c>
      <c r="X290" s="154">
        <f>IF(R290="","",R290-B290)</f>
        <v>22</v>
      </c>
    </row>
    <row r="291" spans="2:24" ht="17.25" hidden="1" customHeight="1">
      <c r="B291" s="23">
        <v>45693</v>
      </c>
      <c r="C291" s="7">
        <v>2003586901</v>
      </c>
      <c r="D291" s="20">
        <v>5768368</v>
      </c>
      <c r="E291" s="27" t="s">
        <v>112</v>
      </c>
      <c r="F291" s="7" t="s">
        <v>107</v>
      </c>
      <c r="G291" s="7" t="s">
        <v>10</v>
      </c>
      <c r="H291" s="7" t="s">
        <v>45</v>
      </c>
      <c r="I291" s="20" t="s">
        <v>636</v>
      </c>
      <c r="J291" s="20" t="s">
        <v>637</v>
      </c>
      <c r="K291" s="7" t="s">
        <v>119</v>
      </c>
      <c r="L291" s="61">
        <v>45698</v>
      </c>
      <c r="M291" s="7" t="s">
        <v>111</v>
      </c>
      <c r="N291" s="24">
        <v>45700</v>
      </c>
      <c r="O291" s="24">
        <v>45700</v>
      </c>
      <c r="P291" s="59"/>
      <c r="Q291" s="124" t="e">
        <f>P291*#REF!</f>
        <v>#REF!</v>
      </c>
      <c r="R291" s="126">
        <v>45700</v>
      </c>
      <c r="S291" s="153">
        <f>IF(L291="","",L291-B291)</f>
        <v>5</v>
      </c>
      <c r="T291" s="153">
        <f>IF(N291="","",N291-L291)</f>
        <v>2</v>
      </c>
      <c r="U291" s="153">
        <f>IF(O291="","",O291-N291)</f>
        <v>0</v>
      </c>
      <c r="V291" s="154">
        <f>IF(O291="","",O291-B291)</f>
        <v>7</v>
      </c>
      <c r="W291" s="154">
        <f>IF(O291="","",O291-L291)</f>
        <v>2</v>
      </c>
      <c r="X291" s="154">
        <f>IF(R291="","",R291-B291)</f>
        <v>7</v>
      </c>
    </row>
    <row r="292" spans="2:24" ht="17.25" hidden="1" customHeight="1">
      <c r="B292" s="23">
        <v>45693</v>
      </c>
      <c r="C292" s="7">
        <v>2003593436</v>
      </c>
      <c r="D292" s="20">
        <v>96157</v>
      </c>
      <c r="E292" s="27" t="s">
        <v>123</v>
      </c>
      <c r="F292" s="7" t="s">
        <v>107</v>
      </c>
      <c r="G292" s="7" t="s">
        <v>18</v>
      </c>
      <c r="H292" s="7" t="s">
        <v>45</v>
      </c>
      <c r="I292" s="20" t="s">
        <v>638</v>
      </c>
      <c r="J292" s="20" t="s">
        <v>639</v>
      </c>
      <c r="K292" s="7" t="s">
        <v>119</v>
      </c>
      <c r="L292" s="61">
        <v>45698</v>
      </c>
      <c r="M292" s="7" t="s">
        <v>111</v>
      </c>
      <c r="N292" s="24">
        <v>45701</v>
      </c>
      <c r="O292" s="61">
        <v>45702</v>
      </c>
      <c r="P292" s="59"/>
      <c r="Q292" s="124" t="e">
        <f>P292*#REF!</f>
        <v>#REF!</v>
      </c>
      <c r="R292" s="126">
        <v>45705</v>
      </c>
      <c r="S292" s="153">
        <f>IF(L292="","",L292-B292)</f>
        <v>5</v>
      </c>
      <c r="T292" s="153">
        <f>IF(N292="","",N292-L292)</f>
        <v>3</v>
      </c>
      <c r="U292" s="153">
        <f>IF(O292="","",O292-N292)</f>
        <v>1</v>
      </c>
      <c r="V292" s="154">
        <f>IF(O292="","",O292-B292)</f>
        <v>9</v>
      </c>
      <c r="W292" s="154">
        <f>IF(O292="","",O292-L292)</f>
        <v>4</v>
      </c>
      <c r="X292" s="154">
        <f>IF(R292="","",R292-B292)</f>
        <v>12</v>
      </c>
    </row>
    <row r="293" spans="2:24" ht="17.25" hidden="1" customHeight="1">
      <c r="B293" s="23">
        <v>45693</v>
      </c>
      <c r="C293" s="7">
        <v>2003596659</v>
      </c>
      <c r="D293" s="20">
        <v>95358</v>
      </c>
      <c r="E293" s="27" t="s">
        <v>123</v>
      </c>
      <c r="F293" s="7" t="s">
        <v>107</v>
      </c>
      <c r="G293" s="7" t="s">
        <v>10</v>
      </c>
      <c r="H293" s="7" t="s">
        <v>45</v>
      </c>
      <c r="I293" s="20" t="s">
        <v>640</v>
      </c>
      <c r="J293" s="20" t="s">
        <v>641</v>
      </c>
      <c r="K293" s="7" t="s">
        <v>110</v>
      </c>
      <c r="L293" s="61">
        <v>45699</v>
      </c>
      <c r="M293" s="7" t="s">
        <v>111</v>
      </c>
      <c r="N293" s="24">
        <v>45706</v>
      </c>
      <c r="O293" s="24">
        <v>45706</v>
      </c>
      <c r="P293" s="59"/>
      <c r="Q293" s="124" t="e">
        <f>P293*#REF!</f>
        <v>#REF!</v>
      </c>
      <c r="R293" s="126">
        <v>45707</v>
      </c>
      <c r="S293" s="153">
        <f>IF(L293="","",L293-B293)</f>
        <v>6</v>
      </c>
      <c r="T293" s="153">
        <f>IF(N293="","",N293-L293)</f>
        <v>7</v>
      </c>
      <c r="U293" s="153">
        <f>IF(O293="","",O293-N293)</f>
        <v>0</v>
      </c>
      <c r="V293" s="154">
        <f>IF(O293="","",O293-B293)</f>
        <v>13</v>
      </c>
      <c r="W293" s="154">
        <f>IF(O293="","",O293-L293)</f>
        <v>7</v>
      </c>
      <c r="X293" s="154">
        <f>IF(R293="","",R293-B293)</f>
        <v>14</v>
      </c>
    </row>
    <row r="294" spans="2:24" ht="17.25" hidden="1" customHeight="1">
      <c r="B294" s="23">
        <v>45693</v>
      </c>
      <c r="C294" s="7">
        <v>2003578879</v>
      </c>
      <c r="D294" s="20">
        <v>95278</v>
      </c>
      <c r="E294" s="27" t="s">
        <v>152</v>
      </c>
      <c r="F294" s="7" t="s">
        <v>107</v>
      </c>
      <c r="G294" s="7" t="s">
        <v>18</v>
      </c>
      <c r="H294" s="7" t="s">
        <v>45</v>
      </c>
      <c r="I294" s="20" t="s">
        <v>642</v>
      </c>
      <c r="J294" s="20" t="s">
        <v>643</v>
      </c>
      <c r="K294" s="7" t="s">
        <v>110</v>
      </c>
      <c r="L294" s="61">
        <v>45699</v>
      </c>
      <c r="M294" s="7" t="s">
        <v>111</v>
      </c>
      <c r="N294" s="61">
        <v>45699</v>
      </c>
      <c r="O294" s="58">
        <v>45701</v>
      </c>
      <c r="P294" s="59"/>
      <c r="Q294" s="124" t="e">
        <f>P294*#REF!</f>
        <v>#REF!</v>
      </c>
      <c r="R294" s="126">
        <v>45701</v>
      </c>
      <c r="S294" s="153">
        <f>IF(L294="","",L294-B294)</f>
        <v>6</v>
      </c>
      <c r="T294" s="153">
        <f>IF(N294="","",N294-L294)</f>
        <v>0</v>
      </c>
      <c r="U294" s="153">
        <f>IF(O294="","",O294-N294)</f>
        <v>2</v>
      </c>
      <c r="V294" s="154">
        <f>IF(O294="","",O294-B294)</f>
        <v>8</v>
      </c>
      <c r="W294" s="154">
        <f>IF(O294="","",O294-L294)</f>
        <v>2</v>
      </c>
      <c r="X294" s="154">
        <f>IF(R294="","",R294-B294)</f>
        <v>8</v>
      </c>
    </row>
    <row r="295" spans="2:24" ht="17.25" hidden="1" customHeight="1">
      <c r="B295" s="23">
        <v>45693</v>
      </c>
      <c r="C295" s="7">
        <v>2003601144</v>
      </c>
      <c r="D295" s="20">
        <v>95321</v>
      </c>
      <c r="E295" s="27" t="s">
        <v>622</v>
      </c>
      <c r="F295" s="7" t="s">
        <v>107</v>
      </c>
      <c r="G295" s="7" t="s">
        <v>10</v>
      </c>
      <c r="H295" s="7" t="s">
        <v>45</v>
      </c>
      <c r="I295" s="20" t="s">
        <v>623</v>
      </c>
      <c r="J295" s="20" t="s">
        <v>624</v>
      </c>
      <c r="K295" s="7" t="s">
        <v>119</v>
      </c>
      <c r="L295" s="61">
        <v>45699</v>
      </c>
      <c r="M295" s="7" t="s">
        <v>111</v>
      </c>
      <c r="N295" s="61">
        <v>45699</v>
      </c>
      <c r="O295" s="61">
        <v>45699</v>
      </c>
      <c r="P295" s="59"/>
      <c r="Q295" s="124" t="e">
        <f>P295*#REF!</f>
        <v>#REF!</v>
      </c>
      <c r="R295" s="126">
        <v>45701</v>
      </c>
      <c r="S295" s="153">
        <f>IF(L295="","",L295-B295)</f>
        <v>6</v>
      </c>
      <c r="T295" s="153">
        <f>IF(N295="","",N295-L295)</f>
        <v>0</v>
      </c>
      <c r="U295" s="153">
        <f>IF(O295="","",O295-N295)</f>
        <v>0</v>
      </c>
      <c r="V295" s="154">
        <f>IF(O295="","",O295-B295)</f>
        <v>6</v>
      </c>
      <c r="W295" s="154">
        <f>IF(O295="","",O295-L295)</f>
        <v>0</v>
      </c>
      <c r="X295" s="154">
        <f>IF(R295="","",R295-B295)</f>
        <v>8</v>
      </c>
    </row>
    <row r="296" spans="2:24" ht="17.25" hidden="1" customHeight="1">
      <c r="B296" s="23">
        <v>45694</v>
      </c>
      <c r="C296" s="7">
        <v>2003592804</v>
      </c>
      <c r="D296" s="20">
        <v>5768600</v>
      </c>
      <c r="E296" s="27" t="s">
        <v>404</v>
      </c>
      <c r="F296" s="7" t="s">
        <v>107</v>
      </c>
      <c r="G296" s="7" t="s">
        <v>10</v>
      </c>
      <c r="H296" s="7" t="s">
        <v>45</v>
      </c>
      <c r="I296" s="20" t="s">
        <v>644</v>
      </c>
      <c r="J296" s="20" t="s">
        <v>645</v>
      </c>
      <c r="K296" s="7" t="s">
        <v>122</v>
      </c>
      <c r="L296" s="61">
        <v>45705</v>
      </c>
      <c r="M296" s="7" t="s">
        <v>111</v>
      </c>
      <c r="N296" s="61">
        <v>45707</v>
      </c>
      <c r="O296" s="58">
        <v>45712</v>
      </c>
      <c r="P296" s="59"/>
      <c r="Q296" s="124" t="e">
        <f>P296*#REF!</f>
        <v>#REF!</v>
      </c>
      <c r="R296" s="126">
        <v>45712</v>
      </c>
      <c r="S296" s="153">
        <f>IF(L296="","",L296-B296)</f>
        <v>11</v>
      </c>
      <c r="T296" s="153">
        <f>IF(N296="","",N296-L296)</f>
        <v>2</v>
      </c>
      <c r="U296" s="153">
        <f>IF(O296="","",O296-N296)</f>
        <v>5</v>
      </c>
      <c r="V296" s="154">
        <f>IF(O296="","",O296-B296)</f>
        <v>18</v>
      </c>
      <c r="W296" s="154">
        <f>IF(O296="","",O296-L296)</f>
        <v>7</v>
      </c>
      <c r="X296" s="154">
        <f>IF(R296="","",R296-B296)</f>
        <v>18</v>
      </c>
    </row>
    <row r="297" spans="2:24" ht="17.25" hidden="1" customHeight="1">
      <c r="B297" s="23">
        <v>45694</v>
      </c>
      <c r="C297" s="7">
        <v>2003600817</v>
      </c>
      <c r="D297" s="20">
        <v>5768609</v>
      </c>
      <c r="E297" s="27" t="s">
        <v>201</v>
      </c>
      <c r="F297" s="7" t="s">
        <v>107</v>
      </c>
      <c r="G297" s="7" t="s">
        <v>18</v>
      </c>
      <c r="H297" s="7" t="s">
        <v>45</v>
      </c>
      <c r="I297" s="20" t="s">
        <v>646</v>
      </c>
      <c r="J297" s="20" t="s">
        <v>647</v>
      </c>
      <c r="K297" s="7" t="s">
        <v>110</v>
      </c>
      <c r="L297" s="61">
        <v>45698</v>
      </c>
      <c r="M297" s="7" t="s">
        <v>111</v>
      </c>
      <c r="N297" s="61">
        <v>45698</v>
      </c>
      <c r="O297" s="58">
        <v>45699</v>
      </c>
      <c r="P297" s="59"/>
      <c r="Q297" s="124" t="e">
        <f>P297*#REF!</f>
        <v>#REF!</v>
      </c>
      <c r="R297" s="126">
        <v>45699</v>
      </c>
      <c r="S297" s="153">
        <f>IF(L297="","",L297-B297)</f>
        <v>4</v>
      </c>
      <c r="T297" s="153">
        <f>IF(N297="","",N297-L297)</f>
        <v>0</v>
      </c>
      <c r="U297" s="153">
        <f>IF(O297="","",O297-N297)</f>
        <v>1</v>
      </c>
      <c r="V297" s="154">
        <f>IF(O297="","",O297-B297)</f>
        <v>5</v>
      </c>
      <c r="W297" s="154">
        <f>IF(O297="","",O297-L297)</f>
        <v>1</v>
      </c>
      <c r="X297" s="154">
        <f>IF(R297="","",R297-B297)</f>
        <v>5</v>
      </c>
    </row>
    <row r="298" spans="2:24" ht="17.25" hidden="1" customHeight="1">
      <c r="B298" s="23">
        <v>45694</v>
      </c>
      <c r="C298" s="7">
        <v>2003588145</v>
      </c>
      <c r="D298" s="20">
        <v>5768858</v>
      </c>
      <c r="E298" s="27" t="s">
        <v>198</v>
      </c>
      <c r="F298" s="7" t="s">
        <v>107</v>
      </c>
      <c r="G298" s="7" t="s">
        <v>10</v>
      </c>
      <c r="H298" s="7" t="s">
        <v>45</v>
      </c>
      <c r="I298" s="20" t="s">
        <v>648</v>
      </c>
      <c r="J298" s="20" t="s">
        <v>649</v>
      </c>
      <c r="K298" s="7" t="s">
        <v>119</v>
      </c>
      <c r="L298" s="61">
        <v>45699</v>
      </c>
      <c r="M298" s="7" t="s">
        <v>111</v>
      </c>
      <c r="N298" s="61">
        <v>45699</v>
      </c>
      <c r="O298" s="61">
        <v>45699</v>
      </c>
      <c r="P298" s="59">
        <v>109</v>
      </c>
      <c r="Q298" s="124" t="e">
        <f>P298*#REF!</f>
        <v>#REF!</v>
      </c>
      <c r="R298" s="126">
        <v>45701</v>
      </c>
      <c r="S298" s="153">
        <f>IF(L298="","",L298-B298)</f>
        <v>5</v>
      </c>
      <c r="T298" s="153">
        <f>IF(N298="","",N298-L298)</f>
        <v>0</v>
      </c>
      <c r="U298" s="153">
        <f>IF(O298="","",O298-N298)</f>
        <v>0</v>
      </c>
      <c r="V298" s="154">
        <f>IF(O298="","",O298-B298)</f>
        <v>5</v>
      </c>
      <c r="W298" s="154">
        <f>IF(O298="","",O298-L298)</f>
        <v>0</v>
      </c>
      <c r="X298" s="154">
        <f>IF(R298="","",R298-B298)</f>
        <v>7</v>
      </c>
    </row>
    <row r="299" spans="2:24" ht="17.25" hidden="1" customHeight="1">
      <c r="B299" s="23">
        <v>45694</v>
      </c>
      <c r="C299" s="7">
        <v>2003542280</v>
      </c>
      <c r="D299" s="20">
        <v>5768886</v>
      </c>
      <c r="E299" s="27" t="s">
        <v>622</v>
      </c>
      <c r="F299" s="7" t="s">
        <v>107</v>
      </c>
      <c r="G299" s="7" t="s">
        <v>18</v>
      </c>
      <c r="H299" s="7" t="s">
        <v>45</v>
      </c>
      <c r="I299" s="20" t="s">
        <v>474</v>
      </c>
      <c r="J299" s="20" t="s">
        <v>475</v>
      </c>
      <c r="K299" s="7" t="s">
        <v>111</v>
      </c>
      <c r="L299" s="61">
        <v>45695</v>
      </c>
      <c r="M299" s="7" t="s">
        <v>111</v>
      </c>
      <c r="N299" s="61">
        <v>45695</v>
      </c>
      <c r="O299" s="58">
        <v>45701</v>
      </c>
      <c r="P299" s="59"/>
      <c r="Q299" s="124" t="e">
        <f>P299*#REF!</f>
        <v>#REF!</v>
      </c>
      <c r="R299" s="126">
        <v>45701</v>
      </c>
      <c r="S299" s="153">
        <f>IF(L299="","",L299-B299)</f>
        <v>1</v>
      </c>
      <c r="T299" s="153">
        <f>IF(N299="","",N299-L299)</f>
        <v>0</v>
      </c>
      <c r="U299" s="153">
        <f>IF(O299="","",O299-N299)</f>
        <v>6</v>
      </c>
      <c r="V299" s="154">
        <f>IF(O299="","",O299-B299)</f>
        <v>7</v>
      </c>
      <c r="W299" s="154">
        <f>IF(O299="","",O299-L299)</f>
        <v>6</v>
      </c>
      <c r="X299" s="154">
        <f>IF(R299="","",R299-B299)</f>
        <v>7</v>
      </c>
    </row>
    <row r="300" spans="2:24" ht="17.25" hidden="1" customHeight="1">
      <c r="B300" s="23">
        <v>45694</v>
      </c>
      <c r="C300" s="7">
        <v>2003335917</v>
      </c>
      <c r="D300" s="20">
        <v>5768955</v>
      </c>
      <c r="E300" s="27" t="s">
        <v>123</v>
      </c>
      <c r="F300" s="7" t="s">
        <v>107</v>
      </c>
      <c r="G300" s="7" t="s">
        <v>10</v>
      </c>
      <c r="H300" s="7" t="s">
        <v>45</v>
      </c>
      <c r="I300" s="20" t="s">
        <v>650</v>
      </c>
      <c r="J300" s="20" t="s">
        <v>651</v>
      </c>
      <c r="K300" s="7" t="s">
        <v>119</v>
      </c>
      <c r="L300" s="61">
        <v>45698</v>
      </c>
      <c r="M300" s="7" t="s">
        <v>111</v>
      </c>
      <c r="N300" s="24">
        <v>45700</v>
      </c>
      <c r="O300" s="24">
        <v>45700</v>
      </c>
      <c r="P300" s="59"/>
      <c r="Q300" s="124" t="e">
        <f>P300*#REF!</f>
        <v>#REF!</v>
      </c>
      <c r="R300" s="126">
        <v>45700</v>
      </c>
      <c r="S300" s="153">
        <f>IF(L300="","",L300-B300)</f>
        <v>4</v>
      </c>
      <c r="T300" s="153">
        <f>IF(N300="","",N300-L300)</f>
        <v>2</v>
      </c>
      <c r="U300" s="153">
        <f>IF(O300="","",O300-N300)</f>
        <v>0</v>
      </c>
      <c r="V300" s="154">
        <f>IF(O300="","",O300-B300)</f>
        <v>6</v>
      </c>
      <c r="W300" s="154">
        <f>IF(O300="","",O300-L300)</f>
        <v>2</v>
      </c>
      <c r="X300" s="154">
        <f>IF(R300="","",R300-B300)</f>
        <v>6</v>
      </c>
    </row>
    <row r="301" spans="2:24" ht="17.25" hidden="1" customHeight="1">
      <c r="B301" s="23">
        <v>45694</v>
      </c>
      <c r="C301" s="7">
        <v>2003551418</v>
      </c>
      <c r="D301" s="20">
        <v>5769214</v>
      </c>
      <c r="E301" s="27" t="s">
        <v>201</v>
      </c>
      <c r="F301" s="7" t="s">
        <v>107</v>
      </c>
      <c r="G301" s="7" t="s">
        <v>10</v>
      </c>
      <c r="H301" s="7" t="s">
        <v>45</v>
      </c>
      <c r="I301" s="20" t="s">
        <v>652</v>
      </c>
      <c r="J301" s="20" t="s">
        <v>653</v>
      </c>
      <c r="K301" s="7" t="s">
        <v>119</v>
      </c>
      <c r="L301" s="61">
        <v>45700</v>
      </c>
      <c r="M301" s="7" t="s">
        <v>111</v>
      </c>
      <c r="N301" s="24">
        <v>45700</v>
      </c>
      <c r="O301" s="58">
        <v>45701</v>
      </c>
      <c r="P301" s="59">
        <v>57.2</v>
      </c>
      <c r="Q301" s="124" t="e">
        <f>P301*#REF!</f>
        <v>#REF!</v>
      </c>
      <c r="R301" s="126">
        <v>45701</v>
      </c>
      <c r="S301" s="153">
        <f>IF(L301="","",L301-B301)</f>
        <v>6</v>
      </c>
      <c r="T301" s="153">
        <f>IF(N301="","",N301-L301)</f>
        <v>0</v>
      </c>
      <c r="U301" s="153">
        <f>IF(O301="","",O301-N301)</f>
        <v>1</v>
      </c>
      <c r="V301" s="154">
        <f>IF(O301="","",O301-B301)</f>
        <v>7</v>
      </c>
      <c r="W301" s="154">
        <f>IF(O301="","",O301-L301)</f>
        <v>1</v>
      </c>
      <c r="X301" s="154">
        <f>IF(R301="","",R301-B301)</f>
        <v>7</v>
      </c>
    </row>
    <row r="302" spans="2:24" ht="17.25" hidden="1" customHeight="1">
      <c r="B302" s="23">
        <v>45694</v>
      </c>
      <c r="C302" s="7">
        <v>2003545570</v>
      </c>
      <c r="D302" s="20">
        <v>5769464</v>
      </c>
      <c r="E302" s="27" t="s">
        <v>230</v>
      </c>
      <c r="F302" s="7" t="s">
        <v>107</v>
      </c>
      <c r="G302" s="7" t="s">
        <v>10</v>
      </c>
      <c r="H302" s="7" t="s">
        <v>45</v>
      </c>
      <c r="I302" s="20" t="s">
        <v>124</v>
      </c>
      <c r="J302" s="20" t="s">
        <v>654</v>
      </c>
      <c r="K302" s="7" t="s">
        <v>119</v>
      </c>
      <c r="L302" s="61">
        <v>45699</v>
      </c>
      <c r="M302" s="7" t="s">
        <v>111</v>
      </c>
      <c r="N302" s="61">
        <v>45699</v>
      </c>
      <c r="O302" s="61">
        <v>45699</v>
      </c>
      <c r="P302" s="59"/>
      <c r="Q302" s="124" t="e">
        <f>P302*#REF!</f>
        <v>#REF!</v>
      </c>
      <c r="R302" s="126">
        <v>45701</v>
      </c>
      <c r="S302" s="153">
        <f>IF(L302="","",L302-B302)</f>
        <v>5</v>
      </c>
      <c r="T302" s="153">
        <f>IF(N302="","",N302-L302)</f>
        <v>0</v>
      </c>
      <c r="U302" s="153">
        <f>IF(O302="","",O302-N302)</f>
        <v>0</v>
      </c>
      <c r="V302" s="154">
        <f>IF(O302="","",O302-B302)</f>
        <v>5</v>
      </c>
      <c r="W302" s="154">
        <f>IF(O302="","",O302-L302)</f>
        <v>0</v>
      </c>
      <c r="X302" s="154">
        <f>IF(R302="","",R302-B302)</f>
        <v>7</v>
      </c>
    </row>
    <row r="303" spans="2:24" ht="17.25" hidden="1" customHeight="1">
      <c r="B303" s="23">
        <v>45694</v>
      </c>
      <c r="C303" s="7">
        <v>2003568849</v>
      </c>
      <c r="D303" s="20">
        <v>5769561</v>
      </c>
      <c r="E303" s="27" t="s">
        <v>138</v>
      </c>
      <c r="F303" s="7" t="s">
        <v>107</v>
      </c>
      <c r="G303" s="7" t="s">
        <v>10</v>
      </c>
      <c r="H303" s="7" t="s">
        <v>45</v>
      </c>
      <c r="I303" s="20" t="s">
        <v>655</v>
      </c>
      <c r="J303" s="20" t="s">
        <v>656</v>
      </c>
      <c r="K303" s="7" t="s">
        <v>119</v>
      </c>
      <c r="L303" s="61">
        <v>45695</v>
      </c>
      <c r="M303" s="7" t="s">
        <v>111</v>
      </c>
      <c r="N303" s="61">
        <v>45695</v>
      </c>
      <c r="O303" s="61">
        <v>45695</v>
      </c>
      <c r="P303" s="59">
        <v>102</v>
      </c>
      <c r="Q303" s="124" t="e">
        <f>P303*#REF!</f>
        <v>#REF!</v>
      </c>
      <c r="R303" s="126">
        <v>45695</v>
      </c>
      <c r="S303" s="153">
        <f>IF(L303="","",L303-B303)</f>
        <v>1</v>
      </c>
      <c r="T303" s="153">
        <f>IF(N303="","",N303-L303)</f>
        <v>0</v>
      </c>
      <c r="U303" s="153">
        <f>IF(O303="","",O303-N303)</f>
        <v>0</v>
      </c>
      <c r="V303" s="154">
        <f>IF(O303="","",O303-B303)</f>
        <v>1</v>
      </c>
      <c r="W303" s="154">
        <f>IF(O303="","",O303-L303)</f>
        <v>0</v>
      </c>
      <c r="X303" s="154">
        <f>IF(R303="","",R303-B303)</f>
        <v>1</v>
      </c>
    </row>
    <row r="304" spans="2:24" ht="17.25" hidden="1" customHeight="1">
      <c r="B304" s="23">
        <v>45694</v>
      </c>
      <c r="C304" s="7">
        <v>2003603394</v>
      </c>
      <c r="D304" s="20">
        <v>5769579</v>
      </c>
      <c r="E304" s="27" t="s">
        <v>185</v>
      </c>
      <c r="F304" s="7" t="s">
        <v>107</v>
      </c>
      <c r="G304" s="7" t="s">
        <v>10</v>
      </c>
      <c r="H304" s="7" t="s">
        <v>45</v>
      </c>
      <c r="I304" s="20" t="s">
        <v>657</v>
      </c>
      <c r="J304" s="20" t="s">
        <v>658</v>
      </c>
      <c r="K304" s="7" t="s">
        <v>119</v>
      </c>
      <c r="L304" s="61">
        <v>45707</v>
      </c>
      <c r="M304" s="7" t="s">
        <v>111</v>
      </c>
      <c r="N304" s="24">
        <v>45709</v>
      </c>
      <c r="O304" s="24">
        <v>45709</v>
      </c>
      <c r="P304" s="59"/>
      <c r="Q304" s="124" t="e">
        <f>P304*#REF!</f>
        <v>#REF!</v>
      </c>
      <c r="R304" s="126">
        <v>45712</v>
      </c>
      <c r="S304" s="153">
        <f>IF(L304="","",L304-B304)</f>
        <v>13</v>
      </c>
      <c r="T304" s="153">
        <f>IF(N304="","",N304-L304)</f>
        <v>2</v>
      </c>
      <c r="U304" s="153">
        <f>IF(O304="","",O304-N304)</f>
        <v>0</v>
      </c>
      <c r="V304" s="154">
        <f>IF(O304="","",O304-B304)</f>
        <v>15</v>
      </c>
      <c r="W304" s="154">
        <f>IF(O304="","",O304-L304)</f>
        <v>2</v>
      </c>
      <c r="X304" s="154">
        <f>IF(R304="","",R304-B304)</f>
        <v>18</v>
      </c>
    </row>
    <row r="305" spans="2:24" ht="17.25" hidden="1" customHeight="1">
      <c r="B305" s="23">
        <v>45695</v>
      </c>
      <c r="C305" s="7">
        <v>2003552779</v>
      </c>
      <c r="D305" s="20">
        <v>5769999</v>
      </c>
      <c r="E305" s="27" t="s">
        <v>191</v>
      </c>
      <c r="F305" s="7" t="s">
        <v>107</v>
      </c>
      <c r="G305" s="7" t="s">
        <v>10</v>
      </c>
      <c r="H305" s="7" t="s">
        <v>45</v>
      </c>
      <c r="I305" s="20" t="s">
        <v>371</v>
      </c>
      <c r="J305" s="20" t="s">
        <v>659</v>
      </c>
      <c r="K305" s="7" t="s">
        <v>119</v>
      </c>
      <c r="L305" s="61">
        <v>45700</v>
      </c>
      <c r="M305" s="7" t="s">
        <v>111</v>
      </c>
      <c r="N305" s="24">
        <v>45700</v>
      </c>
      <c r="O305" s="58">
        <v>45701</v>
      </c>
      <c r="P305" s="59"/>
      <c r="Q305" s="124" t="e">
        <f>P305*#REF!</f>
        <v>#REF!</v>
      </c>
      <c r="R305" s="126">
        <v>45701</v>
      </c>
      <c r="S305" s="153">
        <f>IF(L305="","",L305-B305)</f>
        <v>5</v>
      </c>
      <c r="T305" s="153">
        <f>IF(N305="","",N305-L305)</f>
        <v>0</v>
      </c>
      <c r="U305" s="153">
        <f>IF(O305="","",O305-N305)</f>
        <v>1</v>
      </c>
      <c r="V305" s="154">
        <f>IF(O305="","",O305-B305)</f>
        <v>6</v>
      </c>
      <c r="W305" s="154">
        <f>IF(O305="","",O305-L305)</f>
        <v>1</v>
      </c>
      <c r="X305" s="154">
        <f>IF(R305="","",R305-B305)</f>
        <v>6</v>
      </c>
    </row>
    <row r="306" spans="2:24" ht="17.25" hidden="1" customHeight="1">
      <c r="B306" s="23">
        <v>45695</v>
      </c>
      <c r="C306" s="7">
        <v>2003535572</v>
      </c>
      <c r="D306" s="20">
        <v>5770085</v>
      </c>
      <c r="E306" s="27" t="s">
        <v>622</v>
      </c>
      <c r="F306" s="7" t="s">
        <v>107</v>
      </c>
      <c r="G306" s="7" t="s">
        <v>10</v>
      </c>
      <c r="H306" s="7" t="s">
        <v>45</v>
      </c>
      <c r="I306" s="20" t="s">
        <v>660</v>
      </c>
      <c r="J306" s="20" t="s">
        <v>661</v>
      </c>
      <c r="K306" s="7" t="s">
        <v>122</v>
      </c>
      <c r="L306" s="61">
        <v>45698</v>
      </c>
      <c r="M306" s="7" t="s">
        <v>111</v>
      </c>
      <c r="N306" s="24">
        <v>45701</v>
      </c>
      <c r="O306" s="61">
        <v>45705</v>
      </c>
      <c r="P306" s="59"/>
      <c r="Q306" s="124" t="e">
        <f>P306*#REF!</f>
        <v>#REF!</v>
      </c>
      <c r="R306" s="126">
        <v>45705</v>
      </c>
      <c r="S306" s="153">
        <f>IF(L306="","",L306-B306)</f>
        <v>3</v>
      </c>
      <c r="T306" s="153">
        <f>IF(N306="","",N306-L306)</f>
        <v>3</v>
      </c>
      <c r="U306" s="153">
        <f>IF(O306="","",O306-N306)</f>
        <v>4</v>
      </c>
      <c r="V306" s="154">
        <f>IF(O306="","",O306-B306)</f>
        <v>10</v>
      </c>
      <c r="W306" s="154">
        <f>IF(O306="","",O306-L306)</f>
        <v>7</v>
      </c>
      <c r="X306" s="154">
        <f>IF(R306="","",R306-B306)</f>
        <v>10</v>
      </c>
    </row>
    <row r="307" spans="2:24" ht="17.25" hidden="1" customHeight="1">
      <c r="B307" s="23">
        <v>45695</v>
      </c>
      <c r="C307" s="7">
        <v>2003339694</v>
      </c>
      <c r="D307" s="20">
        <v>5770154</v>
      </c>
      <c r="E307" s="27" t="s">
        <v>138</v>
      </c>
      <c r="F307" s="7" t="s">
        <v>107</v>
      </c>
      <c r="G307" s="7" t="s">
        <v>26</v>
      </c>
      <c r="H307" s="7" t="s">
        <v>45</v>
      </c>
      <c r="I307" s="20" t="s">
        <v>457</v>
      </c>
      <c r="J307" s="20" t="s">
        <v>458</v>
      </c>
      <c r="K307" s="7" t="s">
        <v>119</v>
      </c>
      <c r="L307" s="61">
        <v>45698</v>
      </c>
      <c r="M307" s="7" t="s">
        <v>111</v>
      </c>
      <c r="N307" s="24">
        <v>45699</v>
      </c>
      <c r="O307" s="58">
        <v>45699</v>
      </c>
      <c r="P307" s="59"/>
      <c r="Q307" s="124" t="e">
        <f>P307*#REF!</f>
        <v>#REF!</v>
      </c>
      <c r="R307" s="126">
        <v>45699</v>
      </c>
      <c r="S307" s="153">
        <f>IF(L307="","",L307-B307)</f>
        <v>3</v>
      </c>
      <c r="T307" s="153">
        <f>IF(N307="","",N307-L307)</f>
        <v>1</v>
      </c>
      <c r="U307" s="153">
        <f>IF(O307="","",O307-N307)</f>
        <v>0</v>
      </c>
      <c r="V307" s="154">
        <f>IF(O307="","",O307-B307)</f>
        <v>4</v>
      </c>
      <c r="W307" s="154">
        <f>IF(O307="","",O307-L307)</f>
        <v>1</v>
      </c>
      <c r="X307" s="154">
        <f>IF(R307="","",R307-B307)</f>
        <v>4</v>
      </c>
    </row>
    <row r="308" spans="2:24" ht="17.25" hidden="1" customHeight="1">
      <c r="B308" s="23">
        <v>45695</v>
      </c>
      <c r="C308" s="7">
        <v>2003522149</v>
      </c>
      <c r="D308" s="20">
        <v>5770186</v>
      </c>
      <c r="E308" s="27" t="s">
        <v>230</v>
      </c>
      <c r="F308" s="7" t="s">
        <v>107</v>
      </c>
      <c r="G308" s="7" t="s">
        <v>10</v>
      </c>
      <c r="H308" s="7" t="s">
        <v>45</v>
      </c>
      <c r="I308" s="20" t="s">
        <v>662</v>
      </c>
      <c r="J308" s="20" t="s">
        <v>663</v>
      </c>
      <c r="K308" s="7" t="s">
        <v>110</v>
      </c>
      <c r="L308" s="61">
        <v>45699</v>
      </c>
      <c r="M308" s="7" t="s">
        <v>111</v>
      </c>
      <c r="N308" s="61">
        <v>45699</v>
      </c>
      <c r="O308" s="61">
        <v>45699</v>
      </c>
      <c r="P308" s="59"/>
      <c r="Q308" s="124" t="e">
        <f>P308*#REF!</f>
        <v>#REF!</v>
      </c>
      <c r="R308" s="126">
        <v>45699</v>
      </c>
      <c r="S308" s="153">
        <f>IF(L308="","",L308-B308)</f>
        <v>4</v>
      </c>
      <c r="T308" s="153">
        <f>IF(N308="","",N308-L308)</f>
        <v>0</v>
      </c>
      <c r="U308" s="153">
        <f>IF(O308="","",O308-N308)</f>
        <v>0</v>
      </c>
      <c r="V308" s="154">
        <f>IF(O308="","",O308-B308)</f>
        <v>4</v>
      </c>
      <c r="W308" s="154">
        <f>IF(O308="","",O308-L308)</f>
        <v>0</v>
      </c>
      <c r="X308" s="154">
        <f>IF(R308="","",R308-B308)</f>
        <v>4</v>
      </c>
    </row>
    <row r="309" spans="2:24" ht="17.25" hidden="1" customHeight="1">
      <c r="B309" s="23">
        <v>45695</v>
      </c>
      <c r="C309" s="7">
        <v>2003590950</v>
      </c>
      <c r="D309" s="20">
        <v>5770230</v>
      </c>
      <c r="E309" s="27" t="s">
        <v>123</v>
      </c>
      <c r="F309" s="7" t="s">
        <v>107</v>
      </c>
      <c r="G309" s="7" t="s">
        <v>10</v>
      </c>
      <c r="H309" s="7" t="s">
        <v>45</v>
      </c>
      <c r="I309" s="20" t="s">
        <v>664</v>
      </c>
      <c r="J309" s="20" t="s">
        <v>665</v>
      </c>
      <c r="K309" s="7" t="s">
        <v>119</v>
      </c>
      <c r="L309" s="61">
        <v>45700</v>
      </c>
      <c r="M309" s="7" t="s">
        <v>111</v>
      </c>
      <c r="N309" s="24">
        <v>45700</v>
      </c>
      <c r="O309" s="58">
        <v>45701</v>
      </c>
      <c r="P309" s="59"/>
      <c r="Q309" s="124" t="e">
        <f>P309*#REF!</f>
        <v>#REF!</v>
      </c>
      <c r="R309" s="126">
        <v>45701</v>
      </c>
      <c r="S309" s="153">
        <f>IF(L309="","",L309-B309)</f>
        <v>5</v>
      </c>
      <c r="T309" s="153">
        <f>IF(N309="","",N309-L309)</f>
        <v>0</v>
      </c>
      <c r="U309" s="153">
        <f>IF(O309="","",O309-N309)</f>
        <v>1</v>
      </c>
      <c r="V309" s="154">
        <f>IF(O309="","",O309-B309)</f>
        <v>6</v>
      </c>
      <c r="W309" s="154">
        <f>IF(O309="","",O309-L309)</f>
        <v>1</v>
      </c>
      <c r="X309" s="154">
        <f>IF(R309="","",R309-B309)</f>
        <v>6</v>
      </c>
    </row>
    <row r="310" spans="2:24" ht="17.25" hidden="1" customHeight="1">
      <c r="B310" s="23">
        <v>45695</v>
      </c>
      <c r="C310" s="7">
        <v>2003601978</v>
      </c>
      <c r="D310" s="20">
        <v>5770336</v>
      </c>
      <c r="E310" s="27" t="s">
        <v>201</v>
      </c>
      <c r="F310" s="7" t="s">
        <v>107</v>
      </c>
      <c r="G310" s="7" t="s">
        <v>10</v>
      </c>
      <c r="H310" s="7" t="s">
        <v>45</v>
      </c>
      <c r="I310" s="20" t="s">
        <v>290</v>
      </c>
      <c r="J310" s="20" t="s">
        <v>666</v>
      </c>
      <c r="K310" s="7" t="s">
        <v>122</v>
      </c>
      <c r="L310" s="61">
        <v>45699</v>
      </c>
      <c r="M310" s="7" t="s">
        <v>111</v>
      </c>
      <c r="N310" s="24">
        <v>45700</v>
      </c>
      <c r="O310" s="61">
        <v>45702</v>
      </c>
      <c r="P310" s="59"/>
      <c r="Q310" s="124" t="e">
        <f>P310*#REF!</f>
        <v>#REF!</v>
      </c>
      <c r="R310" s="126">
        <v>45705</v>
      </c>
      <c r="S310" s="153">
        <f>IF(L310="","",L310-B310)</f>
        <v>4</v>
      </c>
      <c r="T310" s="153">
        <f>IF(N310="","",N310-L310)</f>
        <v>1</v>
      </c>
      <c r="U310" s="153">
        <f>IF(O310="","",O310-N310)</f>
        <v>2</v>
      </c>
      <c r="V310" s="154">
        <f>IF(O310="","",O310-B310)</f>
        <v>7</v>
      </c>
      <c r="W310" s="154">
        <f>IF(O310="","",O310-L310)</f>
        <v>3</v>
      </c>
      <c r="X310" s="154">
        <f>IF(R310="","",R310-B310)</f>
        <v>10</v>
      </c>
    </row>
    <row r="311" spans="2:24" ht="17.25" hidden="1" customHeight="1">
      <c r="B311" s="23">
        <v>45695</v>
      </c>
      <c r="C311" s="7">
        <v>2003489539</v>
      </c>
      <c r="D311" s="20">
        <v>244969</v>
      </c>
      <c r="E311" s="27" t="s">
        <v>188</v>
      </c>
      <c r="F311" s="7" t="s">
        <v>107</v>
      </c>
      <c r="G311" s="7" t="s">
        <v>18</v>
      </c>
      <c r="H311" s="7" t="s">
        <v>45</v>
      </c>
      <c r="I311" s="20" t="s">
        <v>189</v>
      </c>
      <c r="J311" s="20" t="s">
        <v>190</v>
      </c>
      <c r="K311" s="7" t="s">
        <v>119</v>
      </c>
      <c r="L311" s="61">
        <v>45705</v>
      </c>
      <c r="M311" s="7" t="s">
        <v>111</v>
      </c>
      <c r="N311" s="24">
        <v>45709</v>
      </c>
      <c r="O311" s="58">
        <v>45712</v>
      </c>
      <c r="P311" s="59"/>
      <c r="Q311" s="124" t="e">
        <f>P311*#REF!</f>
        <v>#REF!</v>
      </c>
      <c r="R311" s="126">
        <v>45712</v>
      </c>
      <c r="S311" s="153">
        <f>IF(L311="","",L311-B311)</f>
        <v>10</v>
      </c>
      <c r="T311" s="153">
        <f>IF(N311="","",N311-L311)</f>
        <v>4</v>
      </c>
      <c r="U311" s="153">
        <f>IF(O311="","",O311-N311)</f>
        <v>3</v>
      </c>
      <c r="V311" s="154">
        <f>IF(O311="","",O311-B311)</f>
        <v>17</v>
      </c>
      <c r="W311" s="154">
        <f>IF(O311="","",O311-L311)</f>
        <v>7</v>
      </c>
      <c r="X311" s="154">
        <f>IF(R311="","",R311-B311)</f>
        <v>17</v>
      </c>
    </row>
    <row r="312" spans="2:24" ht="17.25" hidden="1" customHeight="1">
      <c r="B312" s="23">
        <v>45712</v>
      </c>
      <c r="C312" s="7">
        <v>2003603110</v>
      </c>
      <c r="D312" s="20">
        <v>98051</v>
      </c>
      <c r="E312" s="27" t="s">
        <v>157</v>
      </c>
      <c r="F312" s="7" t="s">
        <v>107</v>
      </c>
      <c r="G312" s="7" t="s">
        <v>10</v>
      </c>
      <c r="H312" s="7" t="s">
        <v>45</v>
      </c>
      <c r="I312" s="20" t="s">
        <v>667</v>
      </c>
      <c r="J312" s="20" t="s">
        <v>668</v>
      </c>
      <c r="K312" s="7" t="s">
        <v>110</v>
      </c>
      <c r="L312" s="61">
        <v>45713</v>
      </c>
      <c r="M312" s="7" t="s">
        <v>111</v>
      </c>
      <c r="N312" s="24">
        <v>45713</v>
      </c>
      <c r="O312" s="58">
        <v>45713</v>
      </c>
      <c r="P312" s="59">
        <v>131</v>
      </c>
      <c r="Q312" s="124" t="e">
        <f>P312*#REF!</f>
        <v>#REF!</v>
      </c>
      <c r="R312" s="126">
        <v>45713</v>
      </c>
      <c r="S312" s="153">
        <f>IF(L312="","",L312-B312)</f>
        <v>1</v>
      </c>
      <c r="T312" s="153">
        <f>IF(N312="","",N312-L312)</f>
        <v>0</v>
      </c>
      <c r="U312" s="153">
        <f>IF(O312="","",O312-N312)</f>
        <v>0</v>
      </c>
      <c r="V312" s="154">
        <f>IF(O312="","",O312-B312)</f>
        <v>1</v>
      </c>
      <c r="W312" s="154">
        <f>IF(O312="","",O312-L312)</f>
        <v>0</v>
      </c>
      <c r="X312" s="154">
        <f>IF(R312="","",R312-B312)</f>
        <v>1</v>
      </c>
    </row>
    <row r="313" spans="2:24" ht="17.25" hidden="1" customHeight="1">
      <c r="B313" s="23">
        <v>45695</v>
      </c>
      <c r="C313" s="7">
        <v>2003596124</v>
      </c>
      <c r="D313" s="20">
        <v>97858</v>
      </c>
      <c r="E313" s="27" t="s">
        <v>149</v>
      </c>
      <c r="F313" s="7" t="s">
        <v>107</v>
      </c>
      <c r="G313" s="7" t="s">
        <v>10</v>
      </c>
      <c r="H313" s="7" t="s">
        <v>45</v>
      </c>
      <c r="I313" s="20" t="s">
        <v>667</v>
      </c>
      <c r="J313" s="20" t="s">
        <v>669</v>
      </c>
      <c r="K313" s="7" t="s">
        <v>110</v>
      </c>
      <c r="L313" s="61">
        <v>45700</v>
      </c>
      <c r="M313" s="7" t="s">
        <v>111</v>
      </c>
      <c r="N313" s="61">
        <v>45700</v>
      </c>
      <c r="O313" s="58">
        <v>45701</v>
      </c>
      <c r="P313" s="59"/>
      <c r="Q313" s="124" t="e">
        <f>P313*#REF!</f>
        <v>#REF!</v>
      </c>
      <c r="R313" s="126">
        <v>45701</v>
      </c>
      <c r="S313" s="153">
        <f>IF(L313="","",L313-B313)</f>
        <v>5</v>
      </c>
      <c r="T313" s="153">
        <f>IF(N313="","",N313-L313)</f>
        <v>0</v>
      </c>
      <c r="U313" s="153">
        <f>IF(O313="","",O313-N313)</f>
        <v>1</v>
      </c>
      <c r="V313" s="154">
        <f>IF(O313="","",O313-B313)</f>
        <v>6</v>
      </c>
      <c r="W313" s="154">
        <f>IF(O313="","",O313-L313)</f>
        <v>1</v>
      </c>
      <c r="X313" s="154">
        <f>IF(R313="","",R313-B313)</f>
        <v>6</v>
      </c>
    </row>
    <row r="314" spans="2:24" ht="17.25" hidden="1" customHeight="1">
      <c r="B314" s="23">
        <v>45698</v>
      </c>
      <c r="C314" s="7">
        <v>2003605283</v>
      </c>
      <c r="D314" s="20">
        <v>5771570</v>
      </c>
      <c r="E314" s="27" t="s">
        <v>123</v>
      </c>
      <c r="F314" s="7" t="s">
        <v>107</v>
      </c>
      <c r="G314" s="7" t="s">
        <v>10</v>
      </c>
      <c r="H314" s="7" t="s">
        <v>45</v>
      </c>
      <c r="I314" s="20" t="s">
        <v>237</v>
      </c>
      <c r="J314" s="20" t="s">
        <v>238</v>
      </c>
      <c r="K314" s="7" t="s">
        <v>122</v>
      </c>
      <c r="L314" s="61">
        <v>45699</v>
      </c>
      <c r="M314" s="7" t="s">
        <v>111</v>
      </c>
      <c r="N314" s="61">
        <v>45700</v>
      </c>
      <c r="O314" s="61">
        <v>45700</v>
      </c>
      <c r="P314" s="59"/>
      <c r="Q314" s="124" t="e">
        <f>P314*#REF!</f>
        <v>#REF!</v>
      </c>
      <c r="R314" s="126">
        <v>45701</v>
      </c>
      <c r="S314" s="153">
        <f>IF(L314="","",L314-B314)</f>
        <v>1</v>
      </c>
      <c r="T314" s="153">
        <f>IF(N314="","",N314-L314)</f>
        <v>1</v>
      </c>
      <c r="U314" s="153">
        <f>IF(O314="","",O314-N314)</f>
        <v>0</v>
      </c>
      <c r="V314" s="154">
        <f>IF(O314="","",O314-B314)</f>
        <v>2</v>
      </c>
      <c r="W314" s="154">
        <f>IF(O314="","",O314-L314)</f>
        <v>1</v>
      </c>
      <c r="X314" s="154">
        <f>IF(R314="","",R314-B314)</f>
        <v>3</v>
      </c>
    </row>
    <row r="315" spans="2:24" ht="17.25" hidden="1" customHeight="1">
      <c r="B315" s="23">
        <v>45698</v>
      </c>
      <c r="C315" s="7">
        <v>2003582283</v>
      </c>
      <c r="D315" s="20">
        <v>5771573</v>
      </c>
      <c r="E315" s="27" t="s">
        <v>116</v>
      </c>
      <c r="F315" s="7" t="s">
        <v>107</v>
      </c>
      <c r="G315" s="7" t="s">
        <v>21</v>
      </c>
      <c r="H315" s="7" t="s">
        <v>45</v>
      </c>
      <c r="I315" s="20" t="s">
        <v>670</v>
      </c>
      <c r="J315" s="20" t="s">
        <v>384</v>
      </c>
      <c r="K315" s="7" t="s">
        <v>122</v>
      </c>
      <c r="L315" s="61">
        <v>45699</v>
      </c>
      <c r="M315" s="7" t="s">
        <v>111</v>
      </c>
      <c r="N315" s="61">
        <v>45700</v>
      </c>
      <c r="O315" s="58">
        <v>45701</v>
      </c>
      <c r="P315" s="59"/>
      <c r="Q315" s="124" t="e">
        <f>P315*#REF!</f>
        <v>#REF!</v>
      </c>
      <c r="R315" s="126">
        <v>45701</v>
      </c>
      <c r="S315" s="153">
        <f>IF(L315="","",L315-B315)</f>
        <v>1</v>
      </c>
      <c r="T315" s="153">
        <f>IF(N315="","",N315-L315)</f>
        <v>1</v>
      </c>
      <c r="U315" s="153">
        <f>IF(O315="","",O315-N315)</f>
        <v>1</v>
      </c>
      <c r="V315" s="154">
        <f>IF(O315="","",O315-B315)</f>
        <v>3</v>
      </c>
      <c r="W315" s="154">
        <f>IF(O315="","",O315-L315)</f>
        <v>2</v>
      </c>
      <c r="X315" s="154">
        <f>IF(R315="","",R315-B315)</f>
        <v>3</v>
      </c>
    </row>
    <row r="316" spans="2:24" ht="17.25" hidden="1" customHeight="1">
      <c r="B316" s="23">
        <v>45698</v>
      </c>
      <c r="C316" s="7">
        <v>2003536982</v>
      </c>
      <c r="D316" s="20">
        <v>5771574</v>
      </c>
      <c r="E316" s="27" t="s">
        <v>123</v>
      </c>
      <c r="F316" s="7" t="s">
        <v>107</v>
      </c>
      <c r="G316" s="7" t="s">
        <v>21</v>
      </c>
      <c r="H316" s="7" t="s">
        <v>45</v>
      </c>
      <c r="I316" s="20" t="s">
        <v>671</v>
      </c>
      <c r="J316" s="20" t="s">
        <v>672</v>
      </c>
      <c r="K316" s="7" t="s">
        <v>119</v>
      </c>
      <c r="L316" s="61">
        <v>45714</v>
      </c>
      <c r="M316" s="7" t="s">
        <v>111</v>
      </c>
      <c r="N316" s="24">
        <v>45715</v>
      </c>
      <c r="O316" s="24">
        <v>45715</v>
      </c>
      <c r="P316" s="59">
        <v>81.8</v>
      </c>
      <c r="Q316" s="124" t="e">
        <f>P316*#REF!</f>
        <v>#REF!</v>
      </c>
      <c r="R316" s="126">
        <v>45716</v>
      </c>
      <c r="S316" s="153">
        <f>IF(L316="","",L316-B316)</f>
        <v>16</v>
      </c>
      <c r="T316" s="153">
        <f>IF(N316="","",N316-L316)</f>
        <v>1</v>
      </c>
      <c r="U316" s="153">
        <f>IF(O316="","",O316-N316)</f>
        <v>0</v>
      </c>
      <c r="V316" s="154">
        <f>IF(O316="","",O316-B316)</f>
        <v>17</v>
      </c>
      <c r="W316" s="154">
        <f>IF(O316="","",O316-L316)</f>
        <v>1</v>
      </c>
      <c r="X316" s="154">
        <f>IF(R316="","",R316-B316)</f>
        <v>18</v>
      </c>
    </row>
    <row r="317" spans="2:24" ht="17.25" hidden="1" customHeight="1">
      <c r="B317" s="23">
        <v>45698</v>
      </c>
      <c r="C317" s="7">
        <v>2003523121</v>
      </c>
      <c r="D317" s="20">
        <v>5771591</v>
      </c>
      <c r="E317" s="27" t="s">
        <v>143</v>
      </c>
      <c r="F317" s="7" t="s">
        <v>107</v>
      </c>
      <c r="G317" s="7" t="s">
        <v>21</v>
      </c>
      <c r="H317" s="7" t="s">
        <v>45</v>
      </c>
      <c r="I317" s="20" t="s">
        <v>673</v>
      </c>
      <c r="J317" s="20" t="s">
        <v>674</v>
      </c>
      <c r="K317" s="7" t="s">
        <v>119</v>
      </c>
      <c r="L317" s="61">
        <v>45700</v>
      </c>
      <c r="M317" s="7" t="s">
        <v>111</v>
      </c>
      <c r="N317" s="61">
        <v>45700</v>
      </c>
      <c r="O317" s="58">
        <v>45701</v>
      </c>
      <c r="P317" s="59"/>
      <c r="Q317" s="124" t="e">
        <f>P317*#REF!</f>
        <v>#REF!</v>
      </c>
      <c r="R317" s="126">
        <v>45701</v>
      </c>
      <c r="S317" s="153">
        <f>IF(L317="","",L317-B317)</f>
        <v>2</v>
      </c>
      <c r="T317" s="153">
        <f>IF(N317="","",N317-L317)</f>
        <v>0</v>
      </c>
      <c r="U317" s="153">
        <f>IF(O317="","",O317-N317)</f>
        <v>1</v>
      </c>
      <c r="V317" s="154">
        <f>IF(O317="","",O317-B317)</f>
        <v>3</v>
      </c>
      <c r="W317" s="154">
        <f>IF(O317="","",O317-L317)</f>
        <v>1</v>
      </c>
      <c r="X317" s="154">
        <f>IF(R317="","",R317-B317)</f>
        <v>3</v>
      </c>
    </row>
    <row r="318" spans="2:24" ht="17.25" hidden="1" customHeight="1">
      <c r="B318" s="23">
        <v>45698</v>
      </c>
      <c r="C318" s="7">
        <v>2003562515</v>
      </c>
      <c r="D318" s="20">
        <v>5771595</v>
      </c>
      <c r="E318" s="27" t="s">
        <v>265</v>
      </c>
      <c r="F318" s="7" t="s">
        <v>107</v>
      </c>
      <c r="G318" s="7" t="s">
        <v>18</v>
      </c>
      <c r="H318" s="7" t="s">
        <v>45</v>
      </c>
      <c r="I318" s="20" t="s">
        <v>675</v>
      </c>
      <c r="J318" s="20" t="s">
        <v>676</v>
      </c>
      <c r="K318" s="7" t="s">
        <v>110</v>
      </c>
      <c r="L318" s="61">
        <v>45702</v>
      </c>
      <c r="M318" s="7" t="s">
        <v>111</v>
      </c>
      <c r="N318" s="61">
        <v>45702</v>
      </c>
      <c r="O318" s="58">
        <v>45706</v>
      </c>
      <c r="P318" s="59"/>
      <c r="Q318" s="124" t="e">
        <f>P318*#REF!</f>
        <v>#REF!</v>
      </c>
      <c r="R318" s="126">
        <v>45707</v>
      </c>
      <c r="S318" s="153">
        <f>IF(L318="","",L318-B318)</f>
        <v>4</v>
      </c>
      <c r="T318" s="153">
        <f>IF(N318="","",N318-L318)</f>
        <v>0</v>
      </c>
      <c r="U318" s="153">
        <f>IF(O318="","",O318-N318)</f>
        <v>4</v>
      </c>
      <c r="V318" s="154">
        <f>IF(O318="","",O318-B318)</f>
        <v>8</v>
      </c>
      <c r="W318" s="154">
        <f>IF(O318="","",O318-L318)</f>
        <v>4</v>
      </c>
      <c r="X318" s="154">
        <f>IF(R318="","",R318-B318)</f>
        <v>9</v>
      </c>
    </row>
    <row r="319" spans="2:24" ht="17.25" hidden="1" customHeight="1">
      <c r="B319" s="23">
        <v>45698</v>
      </c>
      <c r="C319" s="7">
        <v>2003600036</v>
      </c>
      <c r="D319" s="20">
        <v>5771663</v>
      </c>
      <c r="E319" s="27" t="s">
        <v>149</v>
      </c>
      <c r="F319" s="7" t="s">
        <v>107</v>
      </c>
      <c r="G319" s="7" t="s">
        <v>18</v>
      </c>
      <c r="H319" s="7" t="s">
        <v>45</v>
      </c>
      <c r="I319" s="20" t="s">
        <v>451</v>
      </c>
      <c r="J319" s="20" t="s">
        <v>677</v>
      </c>
      <c r="K319" s="7" t="s">
        <v>110</v>
      </c>
      <c r="L319" s="61">
        <v>45700</v>
      </c>
      <c r="M319" s="7" t="s">
        <v>111</v>
      </c>
      <c r="N319" s="61">
        <v>45700</v>
      </c>
      <c r="O319" s="58">
        <v>45701</v>
      </c>
      <c r="P319" s="59"/>
      <c r="Q319" s="124" t="e">
        <f>P319*#REF!</f>
        <v>#REF!</v>
      </c>
      <c r="R319" s="126">
        <v>45701</v>
      </c>
      <c r="S319" s="153">
        <f>IF(L319="","",L319-B319)</f>
        <v>2</v>
      </c>
      <c r="T319" s="153">
        <f>IF(N319="","",N319-L319)</f>
        <v>0</v>
      </c>
      <c r="U319" s="153">
        <f>IF(O319="","",O319-N319)</f>
        <v>1</v>
      </c>
      <c r="V319" s="154">
        <f>IF(O319="","",O319-B319)</f>
        <v>3</v>
      </c>
      <c r="W319" s="154">
        <f>IF(O319="","",O319-L319)</f>
        <v>1</v>
      </c>
      <c r="X319" s="154">
        <f>IF(R319="","",R319-B319)</f>
        <v>3</v>
      </c>
    </row>
    <row r="320" spans="2:24" ht="17.25" hidden="1" customHeight="1">
      <c r="B320" s="23">
        <v>45698</v>
      </c>
      <c r="C320" s="7">
        <v>2003591742</v>
      </c>
      <c r="D320" s="20">
        <v>5771933</v>
      </c>
      <c r="E320" s="27" t="s">
        <v>126</v>
      </c>
      <c r="F320" s="7" t="s">
        <v>107</v>
      </c>
      <c r="G320" s="7" t="s">
        <v>26</v>
      </c>
      <c r="H320" s="7" t="s">
        <v>45</v>
      </c>
      <c r="I320" s="20" t="s">
        <v>398</v>
      </c>
      <c r="J320" s="20" t="s">
        <v>678</v>
      </c>
      <c r="K320" s="7" t="s">
        <v>122</v>
      </c>
      <c r="L320" s="61">
        <v>45707</v>
      </c>
      <c r="M320" s="7" t="s">
        <v>111</v>
      </c>
      <c r="N320" s="24">
        <v>45708</v>
      </c>
      <c r="O320" s="58">
        <v>45708</v>
      </c>
      <c r="P320" s="59">
        <v>78.7</v>
      </c>
      <c r="Q320" s="124" t="e">
        <f>P320*#REF!</f>
        <v>#REF!</v>
      </c>
      <c r="R320" s="126">
        <v>45708</v>
      </c>
      <c r="S320" s="153">
        <f>IF(L320="","",L320-B320)</f>
        <v>9</v>
      </c>
      <c r="T320" s="153">
        <f>IF(N320="","",N320-L320)</f>
        <v>1</v>
      </c>
      <c r="U320" s="153">
        <f>IF(O320="","",O320-N320)</f>
        <v>0</v>
      </c>
      <c r="V320" s="154">
        <f>IF(O320="","",O320-B320)</f>
        <v>10</v>
      </c>
      <c r="W320" s="154">
        <f>IF(O320="","",O320-L320)</f>
        <v>1</v>
      </c>
      <c r="X320" s="154">
        <f>IF(R320="","",R320-B320)</f>
        <v>10</v>
      </c>
    </row>
    <row r="321" spans="2:24" ht="17.25" hidden="1" customHeight="1">
      <c r="B321" s="23">
        <v>45698</v>
      </c>
      <c r="C321" s="7">
        <v>2003543604</v>
      </c>
      <c r="D321" s="20">
        <v>5772157</v>
      </c>
      <c r="E321" s="27" t="s">
        <v>116</v>
      </c>
      <c r="F321" s="7" t="s">
        <v>107</v>
      </c>
      <c r="G321" s="7" t="s">
        <v>21</v>
      </c>
      <c r="H321" s="7" t="s">
        <v>45</v>
      </c>
      <c r="I321" s="20" t="s">
        <v>120</v>
      </c>
      <c r="J321" s="20" t="s">
        <v>121</v>
      </c>
      <c r="K321" s="7" t="s">
        <v>111</v>
      </c>
      <c r="L321" s="61">
        <v>45699</v>
      </c>
      <c r="M321" s="7" t="s">
        <v>111</v>
      </c>
      <c r="N321" s="61">
        <v>45699</v>
      </c>
      <c r="O321" s="58">
        <v>45701</v>
      </c>
      <c r="P321" s="59"/>
      <c r="Q321" s="124" t="e">
        <f>P321*#REF!</f>
        <v>#REF!</v>
      </c>
      <c r="R321" s="126">
        <v>45701</v>
      </c>
      <c r="S321" s="153">
        <f>IF(L321="","",L321-B321)</f>
        <v>1</v>
      </c>
      <c r="T321" s="153">
        <f>IF(N321="","",N321-L321)</f>
        <v>0</v>
      </c>
      <c r="U321" s="153">
        <f>IF(O321="","",O321-N321)</f>
        <v>2</v>
      </c>
      <c r="V321" s="154">
        <f>IF(O321="","",O321-B321)</f>
        <v>3</v>
      </c>
      <c r="W321" s="154">
        <f>IF(O321="","",O321-L321)</f>
        <v>2</v>
      </c>
      <c r="X321" s="154">
        <f>IF(R321="","",R321-B321)</f>
        <v>3</v>
      </c>
    </row>
    <row r="322" spans="2:24" ht="17.25" hidden="1" customHeight="1">
      <c r="B322" s="23">
        <v>45698</v>
      </c>
      <c r="C322" s="7">
        <v>2003606086</v>
      </c>
      <c r="D322" s="20">
        <v>5772169</v>
      </c>
      <c r="E322" s="27" t="s">
        <v>201</v>
      </c>
      <c r="F322" s="7" t="s">
        <v>107</v>
      </c>
      <c r="G322" s="7" t="s">
        <v>10</v>
      </c>
      <c r="H322" s="7" t="s">
        <v>45</v>
      </c>
      <c r="I322" s="20" t="s">
        <v>679</v>
      </c>
      <c r="J322" s="20" t="s">
        <v>680</v>
      </c>
      <c r="K322" s="7" t="s">
        <v>110</v>
      </c>
      <c r="L322" s="61">
        <v>45701</v>
      </c>
      <c r="M322" s="7" t="s">
        <v>111</v>
      </c>
      <c r="N322" s="24">
        <v>45705</v>
      </c>
      <c r="O322" s="24">
        <v>45705</v>
      </c>
      <c r="P322" s="59">
        <v>45.1</v>
      </c>
      <c r="Q322" s="124" t="e">
        <f>P322*#REF!</f>
        <v>#REF!</v>
      </c>
      <c r="R322" s="126">
        <v>45705</v>
      </c>
      <c r="S322" s="153">
        <f>IF(L322="","",L322-B322)</f>
        <v>3</v>
      </c>
      <c r="T322" s="153">
        <f>IF(N322="","",N322-L322)</f>
        <v>4</v>
      </c>
      <c r="U322" s="153">
        <f>IF(O322="","",O322-N322)</f>
        <v>0</v>
      </c>
      <c r="V322" s="154">
        <f>IF(O322="","",O322-B322)</f>
        <v>7</v>
      </c>
      <c r="W322" s="154">
        <f>IF(O322="","",O322-L322)</f>
        <v>4</v>
      </c>
      <c r="X322" s="154">
        <f>IF(R322="","",R322-B322)</f>
        <v>7</v>
      </c>
    </row>
    <row r="323" spans="2:24" ht="17.25" hidden="1" customHeight="1">
      <c r="B323" s="23">
        <v>45699</v>
      </c>
      <c r="C323" s="7">
        <v>2003601781</v>
      </c>
      <c r="D323" s="20">
        <v>5773247</v>
      </c>
      <c r="E323" s="27" t="s">
        <v>143</v>
      </c>
      <c r="F323" s="7" t="s">
        <v>113</v>
      </c>
      <c r="G323" s="7" t="s">
        <v>70</v>
      </c>
      <c r="H323" s="7" t="s">
        <v>47</v>
      </c>
      <c r="I323" s="20" t="s">
        <v>681</v>
      </c>
      <c r="J323" s="20" t="s">
        <v>682</v>
      </c>
      <c r="K323" s="7" t="s">
        <v>160</v>
      </c>
      <c r="P323" s="59"/>
      <c r="Q323" s="124" t="e">
        <f>P323*#REF!</f>
        <v>#REF!</v>
      </c>
      <c r="R323" s="126">
        <v>45706</v>
      </c>
      <c r="S323" s="153" t="str">
        <f>IF(L323="","",L323-B323)</f>
        <v/>
      </c>
      <c r="T323" s="153" t="str">
        <f>IF(N323="","",N323-L323)</f>
        <v/>
      </c>
      <c r="U323" s="153" t="str">
        <f>IF(O323="","",O323-N323)</f>
        <v/>
      </c>
      <c r="V323" s="154" t="str">
        <f>IF(O323="","",O323-B323)</f>
        <v/>
      </c>
      <c r="W323" s="154" t="str">
        <f>IF(O323="","",O323-L323)</f>
        <v/>
      </c>
      <c r="X323" s="154">
        <f>IF(R323="","",R323-B323)</f>
        <v>7</v>
      </c>
    </row>
    <row r="324" spans="2:24" ht="17.25" hidden="1" customHeight="1">
      <c r="B324" s="23">
        <v>45699</v>
      </c>
      <c r="C324" s="7">
        <v>2003602467</v>
      </c>
      <c r="D324" s="20">
        <v>5773456</v>
      </c>
      <c r="E324" s="27" t="s">
        <v>185</v>
      </c>
      <c r="F324" s="7" t="s">
        <v>107</v>
      </c>
      <c r="G324" s="7" t="s">
        <v>10</v>
      </c>
      <c r="H324" s="7" t="s">
        <v>45</v>
      </c>
      <c r="I324" s="20" t="s">
        <v>683</v>
      </c>
      <c r="J324" s="20" t="s">
        <v>684</v>
      </c>
      <c r="K324" s="7" t="s">
        <v>110</v>
      </c>
      <c r="L324" s="61">
        <v>45701</v>
      </c>
      <c r="M324" s="7" t="s">
        <v>111</v>
      </c>
      <c r="N324" s="61">
        <v>45701</v>
      </c>
      <c r="O324" s="61">
        <v>45702</v>
      </c>
      <c r="P324" s="59"/>
      <c r="Q324" s="124" t="e">
        <f>P324*#REF!</f>
        <v>#REF!</v>
      </c>
      <c r="R324" s="126">
        <v>45705</v>
      </c>
      <c r="S324" s="153">
        <f>IF(L324="","",L324-B324)</f>
        <v>2</v>
      </c>
      <c r="T324" s="153">
        <f>IF(N324="","",N324-L324)</f>
        <v>0</v>
      </c>
      <c r="U324" s="153">
        <f>IF(O324="","",O324-N324)</f>
        <v>1</v>
      </c>
      <c r="V324" s="154">
        <f>IF(O324="","",O324-B324)</f>
        <v>3</v>
      </c>
      <c r="W324" s="154">
        <f>IF(O324="","",O324-L324)</f>
        <v>1</v>
      </c>
      <c r="X324" s="154">
        <f>IF(R324="","",R324-B324)</f>
        <v>6</v>
      </c>
    </row>
    <row r="325" spans="2:24" ht="17.25" hidden="1" customHeight="1">
      <c r="B325" s="23">
        <v>45699</v>
      </c>
      <c r="C325" s="7">
        <v>2003605478</v>
      </c>
      <c r="D325" s="20">
        <v>99749</v>
      </c>
      <c r="E325" s="27" t="s">
        <v>191</v>
      </c>
      <c r="F325" s="7" t="s">
        <v>107</v>
      </c>
      <c r="G325" s="7" t="s">
        <v>26</v>
      </c>
      <c r="H325" s="7" t="s">
        <v>45</v>
      </c>
      <c r="I325" s="20" t="s">
        <v>685</v>
      </c>
      <c r="J325" s="20" t="s">
        <v>686</v>
      </c>
      <c r="K325" s="7" t="s">
        <v>119</v>
      </c>
      <c r="L325" s="61">
        <v>45702</v>
      </c>
      <c r="M325" s="7" t="s">
        <v>111</v>
      </c>
      <c r="N325" s="24">
        <v>45705</v>
      </c>
      <c r="O325" s="58">
        <v>45705</v>
      </c>
      <c r="P325" s="59"/>
      <c r="Q325" s="124" t="e">
        <f>P325*#REF!</f>
        <v>#REF!</v>
      </c>
      <c r="R325" s="126">
        <v>45705</v>
      </c>
      <c r="S325" s="153">
        <f>IF(L325="","",L325-B325)</f>
        <v>3</v>
      </c>
      <c r="T325" s="153">
        <f>IF(N325="","",N325-L325)</f>
        <v>3</v>
      </c>
      <c r="U325" s="153">
        <f>IF(O325="","",O325-N325)</f>
        <v>0</v>
      </c>
      <c r="V325" s="154">
        <f>IF(O325="","",O325-B325)</f>
        <v>6</v>
      </c>
      <c r="W325" s="154">
        <f>IF(O325="","",O325-L325)</f>
        <v>3</v>
      </c>
      <c r="X325" s="154">
        <f>IF(R325="","",R325-B325)</f>
        <v>6</v>
      </c>
    </row>
    <row r="326" spans="2:24" ht="17.25" hidden="1" customHeight="1">
      <c r="B326" s="23">
        <v>45700</v>
      </c>
      <c r="C326" s="7">
        <v>2003576871</v>
      </c>
      <c r="D326" s="20">
        <v>5773604</v>
      </c>
      <c r="E326" s="27" t="s">
        <v>123</v>
      </c>
      <c r="F326" s="7" t="s">
        <v>107</v>
      </c>
      <c r="G326" s="7" t="s">
        <v>21</v>
      </c>
      <c r="H326" s="7" t="s">
        <v>45</v>
      </c>
      <c r="I326" s="20" t="s">
        <v>256</v>
      </c>
      <c r="J326" s="20" t="s">
        <v>257</v>
      </c>
      <c r="K326" s="7" t="s">
        <v>111</v>
      </c>
      <c r="L326" s="61">
        <v>45701</v>
      </c>
      <c r="M326" s="7" t="s">
        <v>111</v>
      </c>
      <c r="N326" s="61">
        <v>45701</v>
      </c>
      <c r="O326" s="61">
        <v>45701</v>
      </c>
      <c r="P326" s="59"/>
      <c r="Q326" s="124" t="e">
        <f>P326*#REF!</f>
        <v>#REF!</v>
      </c>
      <c r="R326" s="126">
        <v>45705</v>
      </c>
      <c r="S326" s="153">
        <f>IF(L326="","",L326-B326)</f>
        <v>1</v>
      </c>
      <c r="T326" s="153">
        <f>IF(N326="","",N326-L326)</f>
        <v>0</v>
      </c>
      <c r="U326" s="153">
        <f>IF(O326="","",O326-N326)</f>
        <v>0</v>
      </c>
      <c r="V326" s="154">
        <f>IF(O326="","",O326-B326)</f>
        <v>1</v>
      </c>
      <c r="W326" s="154">
        <f>IF(O326="","",O326-L326)</f>
        <v>0</v>
      </c>
      <c r="X326" s="154">
        <f>IF(R326="","",R326-B326)</f>
        <v>5</v>
      </c>
    </row>
    <row r="327" spans="2:24" ht="17.25" hidden="1" customHeight="1">
      <c r="B327" s="23">
        <v>45700</v>
      </c>
      <c r="C327" s="7">
        <v>2003564543</v>
      </c>
      <c r="D327" s="20">
        <v>5773828</v>
      </c>
      <c r="E327" s="27" t="s">
        <v>622</v>
      </c>
      <c r="F327" s="7" t="s">
        <v>107</v>
      </c>
      <c r="G327" s="7" t="s">
        <v>10</v>
      </c>
      <c r="H327" s="7" t="s">
        <v>45</v>
      </c>
      <c r="I327" s="20" t="s">
        <v>687</v>
      </c>
      <c r="J327" s="20" t="s">
        <v>688</v>
      </c>
      <c r="K327" s="7" t="s">
        <v>119</v>
      </c>
      <c r="L327" s="61">
        <v>45702</v>
      </c>
      <c r="M327" s="7" t="s">
        <v>111</v>
      </c>
      <c r="N327" s="61">
        <v>45702</v>
      </c>
      <c r="O327" s="61">
        <v>45702</v>
      </c>
      <c r="P327" s="59">
        <v>96.1</v>
      </c>
      <c r="Q327" s="124" t="e">
        <f>P327*#REF!</f>
        <v>#REF!</v>
      </c>
      <c r="R327" s="126">
        <v>45705</v>
      </c>
      <c r="S327" s="153">
        <f>IF(L327="","",L327-B327)</f>
        <v>2</v>
      </c>
      <c r="T327" s="153">
        <f>IF(N327="","",N327-L327)</f>
        <v>0</v>
      </c>
      <c r="U327" s="153">
        <f>IF(O327="","",O327-N327)</f>
        <v>0</v>
      </c>
      <c r="V327" s="154">
        <f>IF(O327="","",O327-B327)</f>
        <v>2</v>
      </c>
      <c r="W327" s="154">
        <f>IF(O327="","",O327-L327)</f>
        <v>0</v>
      </c>
      <c r="X327" s="154">
        <f>IF(R327="","",R327-B327)</f>
        <v>5</v>
      </c>
    </row>
    <row r="328" spans="2:24" ht="17.25" hidden="1" customHeight="1">
      <c r="B328" s="23">
        <v>45700</v>
      </c>
      <c r="C328" s="7">
        <v>2003603399</v>
      </c>
      <c r="D328" s="20">
        <v>5774349</v>
      </c>
      <c r="E328" s="27" t="s">
        <v>230</v>
      </c>
      <c r="F328" s="7" t="s">
        <v>107</v>
      </c>
      <c r="G328" s="7" t="s">
        <v>10</v>
      </c>
      <c r="H328" s="7" t="s">
        <v>45</v>
      </c>
      <c r="I328" s="20" t="s">
        <v>417</v>
      </c>
      <c r="J328" s="20" t="s">
        <v>689</v>
      </c>
      <c r="K328" s="7" t="s">
        <v>119</v>
      </c>
      <c r="L328" s="61">
        <v>45701</v>
      </c>
      <c r="M328" s="7" t="s">
        <v>111</v>
      </c>
      <c r="N328" s="61">
        <v>45701</v>
      </c>
      <c r="O328" s="61">
        <v>45702</v>
      </c>
      <c r="P328" s="59"/>
      <c r="Q328" s="124" t="e">
        <f>P328*#REF!</f>
        <v>#REF!</v>
      </c>
      <c r="R328" s="126">
        <v>45705</v>
      </c>
      <c r="S328" s="153">
        <f>IF(L328="","",L328-B328)</f>
        <v>1</v>
      </c>
      <c r="T328" s="153">
        <f>IF(N328="","",N328-L328)</f>
        <v>0</v>
      </c>
      <c r="U328" s="153">
        <f>IF(O328="","",O328-N328)</f>
        <v>1</v>
      </c>
      <c r="V328" s="154">
        <f>IF(O328="","",O328-B328)</f>
        <v>2</v>
      </c>
      <c r="W328" s="154">
        <f>IF(O328="","",O328-L328)</f>
        <v>1</v>
      </c>
      <c r="X328" s="154">
        <f>IF(R328="","",R328-B328)</f>
        <v>5</v>
      </c>
    </row>
    <row r="329" spans="2:24" ht="17.25" hidden="1" customHeight="1">
      <c r="B329" s="23">
        <v>45700</v>
      </c>
      <c r="C329" s="7">
        <v>2003339694</v>
      </c>
      <c r="D329" s="20">
        <v>5774374</v>
      </c>
      <c r="E329" s="27" t="s">
        <v>138</v>
      </c>
      <c r="F329" s="7" t="s">
        <v>107</v>
      </c>
      <c r="G329" s="7" t="s">
        <v>10</v>
      </c>
      <c r="H329" s="7" t="s">
        <v>45</v>
      </c>
      <c r="I329" s="20" t="s">
        <v>457</v>
      </c>
      <c r="J329" s="20" t="s">
        <v>458</v>
      </c>
      <c r="K329" s="7" t="s">
        <v>119</v>
      </c>
      <c r="L329" s="61">
        <v>45700</v>
      </c>
      <c r="M329" s="7" t="s">
        <v>111</v>
      </c>
      <c r="N329" s="61">
        <v>45701</v>
      </c>
      <c r="O329" s="61">
        <v>45701</v>
      </c>
      <c r="P329" s="59"/>
      <c r="Q329" s="124" t="e">
        <f>P329*#REF!</f>
        <v>#REF!</v>
      </c>
      <c r="R329" s="126">
        <v>45701</v>
      </c>
      <c r="S329" s="153">
        <f>IF(L329="","",L329-B329)</f>
        <v>0</v>
      </c>
      <c r="T329" s="153">
        <f>IF(N329="","",N329-L329)</f>
        <v>1</v>
      </c>
      <c r="U329" s="153">
        <f>IF(O329="","",O329-N329)</f>
        <v>0</v>
      </c>
      <c r="V329" s="154">
        <f>IF(O329="","",O329-B329)</f>
        <v>1</v>
      </c>
      <c r="W329" s="154">
        <f>IF(O329="","",O329-L329)</f>
        <v>1</v>
      </c>
      <c r="X329" s="154">
        <f>IF(R329="","",R329-B329)</f>
        <v>1</v>
      </c>
    </row>
    <row r="330" spans="2:24" ht="17.25" hidden="1" customHeight="1">
      <c r="B330" s="23">
        <v>45700</v>
      </c>
      <c r="C330" s="7">
        <v>2003498102</v>
      </c>
      <c r="D330" s="20">
        <v>5774413</v>
      </c>
      <c r="E330" s="27" t="s">
        <v>143</v>
      </c>
      <c r="F330" s="7" t="s">
        <v>107</v>
      </c>
      <c r="G330" s="7" t="s">
        <v>10</v>
      </c>
      <c r="H330" s="7" t="s">
        <v>45</v>
      </c>
      <c r="I330" s="20" t="s">
        <v>690</v>
      </c>
      <c r="J330" s="20" t="s">
        <v>691</v>
      </c>
      <c r="K330" s="7" t="s">
        <v>110</v>
      </c>
      <c r="L330" s="61">
        <v>45702</v>
      </c>
      <c r="M330" s="7" t="s">
        <v>111</v>
      </c>
      <c r="N330" s="24">
        <v>45702</v>
      </c>
      <c r="O330" s="58">
        <v>45702</v>
      </c>
      <c r="P330" s="59"/>
      <c r="Q330" s="124" t="e">
        <f>P330*#REF!</f>
        <v>#REF!</v>
      </c>
      <c r="R330" s="126">
        <v>45702</v>
      </c>
      <c r="S330" s="153">
        <f>IF(L330="","",L330-B330)</f>
        <v>2</v>
      </c>
      <c r="T330" s="153">
        <f>IF(N330="","",N330-L330)</f>
        <v>0</v>
      </c>
      <c r="U330" s="153">
        <f>IF(O330="","",O330-N330)</f>
        <v>0</v>
      </c>
      <c r="V330" s="154">
        <f>IF(O330="","",O330-B330)</f>
        <v>2</v>
      </c>
      <c r="W330" s="154">
        <f>IF(O330="","",O330-L330)</f>
        <v>0</v>
      </c>
      <c r="X330" s="154">
        <f>IF(R330="","",R330-B330)</f>
        <v>2</v>
      </c>
    </row>
    <row r="331" spans="2:24" ht="17.25" hidden="1" customHeight="1">
      <c r="B331" s="23">
        <v>45700</v>
      </c>
      <c r="C331" s="7">
        <v>2003605519</v>
      </c>
      <c r="D331" s="20">
        <v>5774425</v>
      </c>
      <c r="E331" s="27" t="s">
        <v>201</v>
      </c>
      <c r="F331" s="7" t="s">
        <v>107</v>
      </c>
      <c r="G331" s="7" t="s">
        <v>10</v>
      </c>
      <c r="H331" s="7" t="s">
        <v>45</v>
      </c>
      <c r="I331" s="20" t="s">
        <v>562</v>
      </c>
      <c r="J331" s="20" t="s">
        <v>692</v>
      </c>
      <c r="K331" s="7" t="s">
        <v>119</v>
      </c>
      <c r="L331" s="61">
        <v>45709</v>
      </c>
      <c r="M331" s="7" t="s">
        <v>111</v>
      </c>
      <c r="N331" s="24">
        <v>45712</v>
      </c>
      <c r="O331" s="24">
        <v>45712</v>
      </c>
      <c r="P331" s="59"/>
      <c r="Q331" s="124" t="e">
        <f>P331*#REF!</f>
        <v>#REF!</v>
      </c>
      <c r="R331" s="126">
        <v>45713</v>
      </c>
      <c r="S331" s="153">
        <f>IF(L331="","",L331-B331)</f>
        <v>9</v>
      </c>
      <c r="T331" s="153">
        <f>IF(N331="","",N331-L331)</f>
        <v>3</v>
      </c>
      <c r="U331" s="153">
        <f>IF(O331="","",O331-N331)</f>
        <v>0</v>
      </c>
      <c r="V331" s="154">
        <f>IF(O331="","",O331-B331)</f>
        <v>12</v>
      </c>
      <c r="W331" s="154">
        <f>IF(O331="","",O331-L331)</f>
        <v>3</v>
      </c>
      <c r="X331" s="154">
        <f>IF(R331="","",R331-B331)</f>
        <v>13</v>
      </c>
    </row>
    <row r="332" spans="2:24" ht="17.25" hidden="1" customHeight="1">
      <c r="B332" s="23">
        <v>45700</v>
      </c>
      <c r="C332" s="7">
        <v>2003607794</v>
      </c>
      <c r="D332" s="20">
        <v>100393</v>
      </c>
      <c r="E332" s="27" t="s">
        <v>123</v>
      </c>
      <c r="F332" s="7" t="s">
        <v>107</v>
      </c>
      <c r="G332" s="7" t="s">
        <v>10</v>
      </c>
      <c r="H332" s="7" t="s">
        <v>45</v>
      </c>
      <c r="I332" s="20" t="s">
        <v>693</v>
      </c>
      <c r="J332" s="20" t="s">
        <v>694</v>
      </c>
      <c r="K332" s="7" t="s">
        <v>122</v>
      </c>
      <c r="L332" s="61">
        <v>45702</v>
      </c>
      <c r="M332" s="7" t="s">
        <v>111</v>
      </c>
      <c r="N332" s="61">
        <v>45705</v>
      </c>
      <c r="O332" s="58">
        <v>45714</v>
      </c>
      <c r="P332" s="59"/>
      <c r="Q332" s="124" t="e">
        <f>P332*#REF!</f>
        <v>#REF!</v>
      </c>
      <c r="R332" s="126">
        <v>45715</v>
      </c>
      <c r="S332" s="153">
        <f>IF(L332="","",L332-B332)</f>
        <v>2</v>
      </c>
      <c r="T332" s="153">
        <f>IF(N332="","",N332-L332)</f>
        <v>3</v>
      </c>
      <c r="U332" s="153">
        <f>IF(O332="","",O332-N332)</f>
        <v>9</v>
      </c>
      <c r="V332" s="154">
        <f>IF(O332="","",O332-B332)</f>
        <v>14</v>
      </c>
      <c r="W332" s="154">
        <f>IF(O332="","",O332-L332)</f>
        <v>12</v>
      </c>
      <c r="X332" s="154">
        <f>IF(R332="","",R332-B332)</f>
        <v>15</v>
      </c>
    </row>
    <row r="333" spans="2:24" ht="17.25" hidden="1" customHeight="1">
      <c r="B333" s="23">
        <v>45700</v>
      </c>
      <c r="C333" s="7">
        <v>2003586092</v>
      </c>
      <c r="D333" s="20">
        <v>100353</v>
      </c>
      <c r="E333" s="20" t="s">
        <v>123</v>
      </c>
      <c r="F333" s="7" t="s">
        <v>107</v>
      </c>
      <c r="G333" s="7" t="s">
        <v>18</v>
      </c>
      <c r="H333" s="7" t="s">
        <v>45</v>
      </c>
      <c r="I333" s="20" t="s">
        <v>695</v>
      </c>
      <c r="J333" s="20" t="s">
        <v>696</v>
      </c>
      <c r="K333" s="7" t="s">
        <v>119</v>
      </c>
      <c r="L333" s="61">
        <v>45707</v>
      </c>
      <c r="M333" s="7" t="s">
        <v>111</v>
      </c>
      <c r="N333" s="61">
        <v>45707</v>
      </c>
      <c r="O333" s="58">
        <v>45712</v>
      </c>
      <c r="P333" s="59"/>
      <c r="Q333" s="124" t="e">
        <f>P333*#REF!</f>
        <v>#REF!</v>
      </c>
      <c r="R333" s="126">
        <v>45712</v>
      </c>
      <c r="S333" s="153">
        <f>IF(L333="","",L333-B333)</f>
        <v>7</v>
      </c>
      <c r="T333" s="153">
        <f>IF(N333="","",N333-L333)</f>
        <v>0</v>
      </c>
      <c r="U333" s="153">
        <f>IF(O333="","",O333-N333)</f>
        <v>5</v>
      </c>
      <c r="V333" s="154">
        <f>IF(O333="","",O333-B333)</f>
        <v>12</v>
      </c>
      <c r="W333" s="154">
        <f>IF(O333="","",O333-L333)</f>
        <v>5</v>
      </c>
      <c r="X333" s="154">
        <f>IF(R333="","",R333-B333)</f>
        <v>12</v>
      </c>
    </row>
    <row r="334" spans="2:24" ht="17.25" hidden="1" customHeight="1">
      <c r="B334" s="23">
        <v>45701</v>
      </c>
      <c r="C334" s="7">
        <v>2003569516</v>
      </c>
      <c r="D334" s="20">
        <v>5774837</v>
      </c>
      <c r="E334" s="27" t="s">
        <v>230</v>
      </c>
      <c r="F334" s="7" t="s">
        <v>107</v>
      </c>
      <c r="G334" s="7" t="s">
        <v>21</v>
      </c>
      <c r="H334" s="7" t="s">
        <v>45</v>
      </c>
      <c r="I334" s="20" t="s">
        <v>697</v>
      </c>
      <c r="J334" s="20" t="s">
        <v>698</v>
      </c>
      <c r="K334" s="7" t="s">
        <v>119</v>
      </c>
      <c r="L334" s="61">
        <v>45702</v>
      </c>
      <c r="M334" s="7" t="s">
        <v>111</v>
      </c>
      <c r="N334" s="61">
        <v>45705</v>
      </c>
      <c r="O334" s="58">
        <v>45706</v>
      </c>
      <c r="P334" s="59"/>
      <c r="Q334" s="124" t="e">
        <f>P334*#REF!</f>
        <v>#REF!</v>
      </c>
      <c r="R334" s="126">
        <v>45707</v>
      </c>
      <c r="S334" s="153">
        <f>IF(L334="","",L334-B334)</f>
        <v>1</v>
      </c>
      <c r="T334" s="153">
        <f>IF(N334="","",N334-L334)</f>
        <v>3</v>
      </c>
      <c r="U334" s="153">
        <f>IF(O334="","",O334-N334)</f>
        <v>1</v>
      </c>
      <c r="V334" s="154">
        <f>IF(O334="","",O334-B334)</f>
        <v>5</v>
      </c>
      <c r="W334" s="154">
        <f>IF(O334="","",O334-L334)</f>
        <v>4</v>
      </c>
      <c r="X334" s="154">
        <f>IF(R334="","",R334-B334)</f>
        <v>6</v>
      </c>
    </row>
    <row r="335" spans="2:24" ht="17.25" hidden="1" customHeight="1">
      <c r="B335" s="23">
        <v>45701</v>
      </c>
      <c r="C335" s="7">
        <v>2003554571</v>
      </c>
      <c r="D335" s="20">
        <v>5775192</v>
      </c>
      <c r="E335" s="27" t="s">
        <v>106</v>
      </c>
      <c r="F335" s="7" t="s">
        <v>107</v>
      </c>
      <c r="G335" s="7" t="s">
        <v>10</v>
      </c>
      <c r="H335" s="7" t="s">
        <v>45</v>
      </c>
      <c r="I335" s="20" t="s">
        <v>228</v>
      </c>
      <c r="J335" s="20" t="s">
        <v>229</v>
      </c>
      <c r="K335" s="7" t="s">
        <v>119</v>
      </c>
      <c r="L335" s="61">
        <v>45708</v>
      </c>
      <c r="M335" s="7" t="s">
        <v>111</v>
      </c>
      <c r="N335" s="61">
        <v>45709</v>
      </c>
      <c r="O335" s="61">
        <v>45709</v>
      </c>
      <c r="P335" s="59">
        <v>64.400000000000006</v>
      </c>
      <c r="Q335" s="124" t="e">
        <f>P335*#REF!</f>
        <v>#REF!</v>
      </c>
      <c r="R335" s="126">
        <v>45713</v>
      </c>
      <c r="S335" s="153">
        <f>IF(L335="","",L335-B335)</f>
        <v>7</v>
      </c>
      <c r="T335" s="153">
        <f>IF(N335="","",N335-L335)</f>
        <v>1</v>
      </c>
      <c r="U335" s="153">
        <f>IF(O335="","",O335-N335)</f>
        <v>0</v>
      </c>
      <c r="V335" s="154">
        <f>IF(O335="","",O335-B335)</f>
        <v>8</v>
      </c>
      <c r="W335" s="154">
        <f>IF(O335="","",O335-L335)</f>
        <v>1</v>
      </c>
      <c r="X335" s="154">
        <f>IF(R335="","",R335-B335)</f>
        <v>12</v>
      </c>
    </row>
    <row r="336" spans="2:24" ht="17.25" hidden="1" customHeight="1">
      <c r="B336" s="23">
        <v>45701</v>
      </c>
      <c r="C336" s="7">
        <v>2003522545</v>
      </c>
      <c r="D336" s="20">
        <v>5775389</v>
      </c>
      <c r="E336" s="27" t="s">
        <v>116</v>
      </c>
      <c r="F336" s="7" t="s">
        <v>107</v>
      </c>
      <c r="G336" s="7" t="s">
        <v>21</v>
      </c>
      <c r="H336" s="7" t="s">
        <v>45</v>
      </c>
      <c r="I336" s="20" t="s">
        <v>699</v>
      </c>
      <c r="J336" s="20" t="s">
        <v>700</v>
      </c>
      <c r="K336" s="7" t="s">
        <v>119</v>
      </c>
      <c r="L336" s="61">
        <v>45702</v>
      </c>
      <c r="M336" s="7" t="s">
        <v>111</v>
      </c>
      <c r="N336" s="61">
        <v>45705</v>
      </c>
      <c r="O336" s="58">
        <v>45706</v>
      </c>
      <c r="P336" s="59"/>
      <c r="Q336" s="124" t="e">
        <f>P336*#REF!</f>
        <v>#REF!</v>
      </c>
      <c r="R336" s="126">
        <v>45707</v>
      </c>
      <c r="S336" s="153">
        <f>IF(L336="","",L336-B336)</f>
        <v>1</v>
      </c>
      <c r="T336" s="153">
        <f>IF(N336="","",N336-L336)</f>
        <v>3</v>
      </c>
      <c r="U336" s="153">
        <f>IF(O336="","",O336-N336)</f>
        <v>1</v>
      </c>
      <c r="V336" s="154">
        <f>IF(O336="","",O336-B336)</f>
        <v>5</v>
      </c>
      <c r="W336" s="154">
        <f>IF(O336="","",O336-L336)</f>
        <v>4</v>
      </c>
      <c r="X336" s="154">
        <f>IF(R336="","",R336-B336)</f>
        <v>6</v>
      </c>
    </row>
    <row r="337" spans="2:24" ht="17.25" hidden="1" customHeight="1">
      <c r="B337" s="23">
        <v>45701</v>
      </c>
      <c r="C337" s="7">
        <v>2003564243</v>
      </c>
      <c r="D337" s="20">
        <v>5775427</v>
      </c>
      <c r="E337" s="27" t="s">
        <v>123</v>
      </c>
      <c r="F337" s="7" t="s">
        <v>107</v>
      </c>
      <c r="G337" s="7" t="s">
        <v>10</v>
      </c>
      <c r="H337" s="7" t="s">
        <v>45</v>
      </c>
      <c r="I337" s="20" t="s">
        <v>520</v>
      </c>
      <c r="J337" s="20" t="s">
        <v>701</v>
      </c>
      <c r="K337" s="7" t="s">
        <v>110</v>
      </c>
      <c r="L337" s="61">
        <v>45705</v>
      </c>
      <c r="M337" s="7" t="s">
        <v>111</v>
      </c>
      <c r="N337" s="61">
        <v>45705</v>
      </c>
      <c r="O337" s="61">
        <v>45705</v>
      </c>
      <c r="P337" s="59"/>
      <c r="Q337" s="124" t="e">
        <f>P337*#REF!</f>
        <v>#REF!</v>
      </c>
      <c r="R337" s="126">
        <v>45705</v>
      </c>
      <c r="S337" s="153">
        <f>IF(L337="","",L337-B337)</f>
        <v>4</v>
      </c>
      <c r="T337" s="153">
        <f>IF(N337="","",N337-L337)</f>
        <v>0</v>
      </c>
      <c r="U337" s="153">
        <f>IF(O337="","",O337-N337)</f>
        <v>0</v>
      </c>
      <c r="V337" s="154">
        <f>IF(O337="","",O337-B337)</f>
        <v>4</v>
      </c>
      <c r="W337" s="154">
        <f>IF(O337="","",O337-L337)</f>
        <v>0</v>
      </c>
      <c r="X337" s="154">
        <f>IF(R337="","",R337-B337)</f>
        <v>4</v>
      </c>
    </row>
    <row r="338" spans="2:24" ht="17.25" hidden="1" customHeight="1">
      <c r="B338" s="23">
        <v>45701</v>
      </c>
      <c r="C338" s="7">
        <v>2003533884</v>
      </c>
      <c r="D338" s="20">
        <v>5775563</v>
      </c>
      <c r="E338" s="27" t="s">
        <v>408</v>
      </c>
      <c r="F338" s="7" t="s">
        <v>107</v>
      </c>
      <c r="G338" s="7" t="s">
        <v>10</v>
      </c>
      <c r="H338" s="7" t="s">
        <v>45</v>
      </c>
      <c r="I338" s="20" t="s">
        <v>702</v>
      </c>
      <c r="J338" s="20" t="s">
        <v>703</v>
      </c>
      <c r="K338" s="7" t="s">
        <v>110</v>
      </c>
      <c r="L338" s="61">
        <v>45706</v>
      </c>
      <c r="M338" s="7" t="s">
        <v>111</v>
      </c>
      <c r="N338" s="61">
        <v>45706</v>
      </c>
      <c r="O338" s="61">
        <v>45707</v>
      </c>
      <c r="P338" s="59">
        <v>91.9</v>
      </c>
      <c r="Q338" s="124" t="e">
        <f>P338*#REF!</f>
        <v>#REF!</v>
      </c>
      <c r="R338" s="126">
        <v>45708</v>
      </c>
      <c r="S338" s="153">
        <f>IF(L338="","",L338-B338)</f>
        <v>5</v>
      </c>
      <c r="T338" s="153">
        <f>IF(N338="","",N338-L338)</f>
        <v>0</v>
      </c>
      <c r="U338" s="153">
        <f>IF(O338="","",O338-N338)</f>
        <v>1</v>
      </c>
      <c r="V338" s="154">
        <f>IF(O338="","",O338-B338)</f>
        <v>6</v>
      </c>
      <c r="W338" s="154">
        <f>IF(O338="","",O338-L338)</f>
        <v>1</v>
      </c>
      <c r="X338" s="154">
        <f>IF(R338="","",R338-B338)</f>
        <v>7</v>
      </c>
    </row>
    <row r="339" spans="2:24" ht="17.25" hidden="1" customHeight="1">
      <c r="B339" s="23">
        <v>45701</v>
      </c>
      <c r="C339" s="7">
        <v>2003602960</v>
      </c>
      <c r="D339" s="20">
        <v>5775587</v>
      </c>
      <c r="E339" s="27" t="s">
        <v>116</v>
      </c>
      <c r="F339" s="7" t="s">
        <v>107</v>
      </c>
      <c r="G339" s="7" t="s">
        <v>10</v>
      </c>
      <c r="H339" s="7" t="s">
        <v>45</v>
      </c>
      <c r="I339" s="20" t="s">
        <v>704</v>
      </c>
      <c r="J339" s="20" t="s">
        <v>705</v>
      </c>
      <c r="K339" s="7" t="s">
        <v>110</v>
      </c>
      <c r="L339" s="61">
        <v>45705</v>
      </c>
      <c r="M339" s="7" t="s">
        <v>111</v>
      </c>
      <c r="N339" s="61">
        <v>45705</v>
      </c>
      <c r="O339" s="58">
        <v>45706</v>
      </c>
      <c r="P339" s="59"/>
      <c r="Q339" s="124" t="e">
        <f>P339*#REF!</f>
        <v>#REF!</v>
      </c>
      <c r="R339" s="126">
        <v>45707</v>
      </c>
      <c r="S339" s="153">
        <f>IF(L339="","",L339-B339)</f>
        <v>4</v>
      </c>
      <c r="T339" s="153">
        <f>IF(N339="","",N339-L339)</f>
        <v>0</v>
      </c>
      <c r="U339" s="153">
        <f>IF(O339="","",O339-N339)</f>
        <v>1</v>
      </c>
      <c r="V339" s="154">
        <f>IF(O339="","",O339-B339)</f>
        <v>5</v>
      </c>
      <c r="W339" s="154">
        <f>IF(O339="","",O339-L339)</f>
        <v>1</v>
      </c>
      <c r="X339" s="154">
        <f>IF(R339="","",R339-B339)</f>
        <v>6</v>
      </c>
    </row>
    <row r="340" spans="2:24" ht="17.25" hidden="1" customHeight="1">
      <c r="B340" s="23">
        <v>45701</v>
      </c>
      <c r="C340" s="7">
        <v>2003581229</v>
      </c>
      <c r="D340" s="20">
        <v>5775591</v>
      </c>
      <c r="E340" s="27" t="s">
        <v>123</v>
      </c>
      <c r="F340" s="7" t="s">
        <v>107</v>
      </c>
      <c r="G340" s="7" t="s">
        <v>10</v>
      </c>
      <c r="H340" s="7" t="s">
        <v>45</v>
      </c>
      <c r="I340" s="20" t="s">
        <v>120</v>
      </c>
      <c r="J340" s="20" t="s">
        <v>121</v>
      </c>
      <c r="K340" s="7" t="s">
        <v>111</v>
      </c>
      <c r="L340" s="61">
        <v>45702</v>
      </c>
      <c r="M340" s="7" t="s">
        <v>111</v>
      </c>
      <c r="N340" s="61">
        <v>45702</v>
      </c>
      <c r="O340" s="58">
        <v>45706</v>
      </c>
      <c r="P340" s="59"/>
      <c r="Q340" s="124" t="e">
        <f>P340*#REF!</f>
        <v>#REF!</v>
      </c>
      <c r="R340" s="126">
        <v>45707</v>
      </c>
      <c r="S340" s="153">
        <f>IF(L340="","",L340-B340)</f>
        <v>1</v>
      </c>
      <c r="T340" s="153">
        <f>IF(N340="","",N340-L340)</f>
        <v>0</v>
      </c>
      <c r="U340" s="153">
        <f>IF(O340="","",O340-N340)</f>
        <v>4</v>
      </c>
      <c r="V340" s="154">
        <f>IF(O340="","",O340-B340)</f>
        <v>5</v>
      </c>
      <c r="W340" s="154">
        <f>IF(O340="","",O340-L340)</f>
        <v>4</v>
      </c>
      <c r="X340" s="154">
        <f>IF(R340="","",R340-B340)</f>
        <v>6</v>
      </c>
    </row>
    <row r="341" spans="2:24" ht="17.25" hidden="1" customHeight="1">
      <c r="B341" s="23">
        <v>45701</v>
      </c>
      <c r="C341" s="7">
        <v>2003599634</v>
      </c>
      <c r="D341" s="20">
        <v>5775606</v>
      </c>
      <c r="E341" s="27" t="s">
        <v>265</v>
      </c>
      <c r="F341" s="7" t="s">
        <v>107</v>
      </c>
      <c r="G341" s="7" t="s">
        <v>18</v>
      </c>
      <c r="H341" s="7" t="s">
        <v>45</v>
      </c>
      <c r="I341" s="20" t="s">
        <v>706</v>
      </c>
      <c r="J341" s="20" t="s">
        <v>707</v>
      </c>
      <c r="K341" s="7" t="s">
        <v>110</v>
      </c>
      <c r="L341" s="61">
        <v>45706</v>
      </c>
      <c r="M341" s="7" t="s">
        <v>111</v>
      </c>
      <c r="N341" s="61">
        <v>45706</v>
      </c>
      <c r="O341" s="61">
        <v>45707</v>
      </c>
      <c r="P341" s="59"/>
      <c r="Q341" s="124" t="e">
        <f>P341*#REF!</f>
        <v>#REF!</v>
      </c>
      <c r="R341" s="126">
        <v>45708</v>
      </c>
      <c r="S341" s="153">
        <f>IF(L341="","",L341-B341)</f>
        <v>5</v>
      </c>
      <c r="T341" s="153">
        <f>IF(N341="","",N341-L341)</f>
        <v>0</v>
      </c>
      <c r="U341" s="153">
        <f>IF(O341="","",O341-N341)</f>
        <v>1</v>
      </c>
      <c r="V341" s="154">
        <f>IF(O341="","",O341-B341)</f>
        <v>6</v>
      </c>
      <c r="W341" s="154">
        <f>IF(O341="","",O341-L341)</f>
        <v>1</v>
      </c>
      <c r="X341" s="154">
        <f>IF(R341="","",R341-B341)</f>
        <v>7</v>
      </c>
    </row>
    <row r="342" spans="2:24" ht="17.25" hidden="1" customHeight="1">
      <c r="B342" s="23">
        <v>45701</v>
      </c>
      <c r="C342" s="7">
        <v>2003563551</v>
      </c>
      <c r="D342" s="20">
        <v>5775611</v>
      </c>
      <c r="E342" s="27" t="s">
        <v>185</v>
      </c>
      <c r="F342" s="7" t="s">
        <v>107</v>
      </c>
      <c r="G342" s="7" t="s">
        <v>10</v>
      </c>
      <c r="H342" s="7" t="s">
        <v>45</v>
      </c>
      <c r="I342" s="20" t="s">
        <v>290</v>
      </c>
      <c r="J342" s="20" t="s">
        <v>291</v>
      </c>
      <c r="K342" s="7" t="s">
        <v>119</v>
      </c>
      <c r="L342" s="61">
        <v>45707</v>
      </c>
      <c r="M342" s="7" t="s">
        <v>111</v>
      </c>
      <c r="N342" s="24">
        <v>45709</v>
      </c>
      <c r="O342" s="24">
        <v>45709</v>
      </c>
      <c r="P342" s="59"/>
      <c r="Q342" s="124" t="e">
        <f>P342*#REF!</f>
        <v>#REF!</v>
      </c>
      <c r="R342" s="126">
        <v>45712</v>
      </c>
      <c r="S342" s="153">
        <f>IF(L342="","",L342-B342)</f>
        <v>6</v>
      </c>
      <c r="T342" s="153">
        <f>IF(N342="","",N342-L342)</f>
        <v>2</v>
      </c>
      <c r="U342" s="153">
        <f>IF(O342="","",O342-N342)</f>
        <v>0</v>
      </c>
      <c r="V342" s="154">
        <f>IF(O342="","",O342-B342)</f>
        <v>8</v>
      </c>
      <c r="W342" s="154">
        <f>IF(O342="","",O342-L342)</f>
        <v>2</v>
      </c>
      <c r="X342" s="154">
        <f>IF(R342="","",R342-B342)</f>
        <v>11</v>
      </c>
    </row>
    <row r="343" spans="2:24" ht="17.25" hidden="1" customHeight="1">
      <c r="B343" s="23">
        <v>45701</v>
      </c>
      <c r="C343" s="7">
        <v>2003608842</v>
      </c>
      <c r="D343" s="20">
        <v>101444</v>
      </c>
      <c r="E343" s="27" t="s">
        <v>143</v>
      </c>
      <c r="F343" s="7" t="s">
        <v>113</v>
      </c>
      <c r="G343" s="7" t="s">
        <v>70</v>
      </c>
      <c r="H343" s="7" t="s">
        <v>47</v>
      </c>
      <c r="I343" s="20" t="s">
        <v>708</v>
      </c>
      <c r="J343" s="20" t="s">
        <v>709</v>
      </c>
      <c r="K343" s="7" t="s">
        <v>160</v>
      </c>
      <c r="P343" s="59"/>
      <c r="Q343" s="124" t="e">
        <f>P343*#REF!</f>
        <v>#REF!</v>
      </c>
      <c r="R343" s="126">
        <v>45713</v>
      </c>
      <c r="S343" s="153" t="str">
        <f>IF(L343="","",L343-B343)</f>
        <v/>
      </c>
      <c r="T343" s="153" t="str">
        <f>IF(N343="","",N343-L343)</f>
        <v/>
      </c>
      <c r="U343" s="153" t="str">
        <f>IF(O343="","",O343-N343)</f>
        <v/>
      </c>
      <c r="V343" s="154" t="str">
        <f>IF(O343="","",O343-B343)</f>
        <v/>
      </c>
      <c r="W343" s="154" t="str">
        <f>IF(O343="","",O343-L343)</f>
        <v/>
      </c>
      <c r="X343" s="154">
        <f>IF(R343="","",R343-B343)</f>
        <v>12</v>
      </c>
    </row>
    <row r="344" spans="2:24" ht="17.25" hidden="1" customHeight="1">
      <c r="B344" s="23">
        <v>45701</v>
      </c>
      <c r="C344" s="7">
        <v>2003592415</v>
      </c>
      <c r="D344" s="20">
        <v>101527</v>
      </c>
      <c r="E344" s="27" t="s">
        <v>123</v>
      </c>
      <c r="F344" s="7" t="s">
        <v>107</v>
      </c>
      <c r="G344" s="7" t="s">
        <v>15</v>
      </c>
      <c r="H344" s="7" t="s">
        <v>45</v>
      </c>
      <c r="I344" s="20" t="s">
        <v>710</v>
      </c>
      <c r="J344" s="20" t="s">
        <v>711</v>
      </c>
      <c r="K344" s="7" t="s">
        <v>110</v>
      </c>
      <c r="L344" s="61">
        <v>45705</v>
      </c>
      <c r="M344" s="7" t="s">
        <v>111</v>
      </c>
      <c r="N344" s="61">
        <v>45705</v>
      </c>
      <c r="O344" s="58">
        <v>45706</v>
      </c>
      <c r="P344" s="59"/>
      <c r="Q344" s="124" t="e">
        <f>P344*#REF!</f>
        <v>#REF!</v>
      </c>
      <c r="R344" s="126">
        <v>45707</v>
      </c>
      <c r="S344" s="153">
        <f>IF(L344="","",L344-B344)</f>
        <v>4</v>
      </c>
      <c r="T344" s="153">
        <f>IF(N344="","",N344-L344)</f>
        <v>0</v>
      </c>
      <c r="U344" s="153">
        <f>IF(O344="","",O344-N344)</f>
        <v>1</v>
      </c>
      <c r="V344" s="154">
        <f>IF(O344="","",O344-B344)</f>
        <v>5</v>
      </c>
      <c r="W344" s="154">
        <f>IF(O344="","",O344-L344)</f>
        <v>1</v>
      </c>
      <c r="X344" s="154">
        <f>IF(R344="","",R344-B344)</f>
        <v>6</v>
      </c>
    </row>
    <row r="345" spans="2:24" ht="17.25" hidden="1" customHeight="1">
      <c r="B345" s="23">
        <v>45702</v>
      </c>
      <c r="C345" s="7">
        <v>2003608287</v>
      </c>
      <c r="D345" s="20">
        <v>5775902</v>
      </c>
      <c r="E345" s="27" t="s">
        <v>143</v>
      </c>
      <c r="F345" s="7" t="s">
        <v>107</v>
      </c>
      <c r="G345" s="7" t="s">
        <v>18</v>
      </c>
      <c r="H345" s="7" t="s">
        <v>45</v>
      </c>
      <c r="I345" s="20" t="s">
        <v>245</v>
      </c>
      <c r="J345" s="20" t="s">
        <v>246</v>
      </c>
      <c r="K345" s="7" t="s">
        <v>110</v>
      </c>
      <c r="L345" s="61">
        <v>45705</v>
      </c>
      <c r="M345" s="7" t="s">
        <v>111</v>
      </c>
      <c r="N345" s="61">
        <v>45705</v>
      </c>
      <c r="O345" s="58">
        <v>45706</v>
      </c>
      <c r="P345" s="59"/>
      <c r="Q345" s="124" t="e">
        <f>P345*#REF!</f>
        <v>#REF!</v>
      </c>
      <c r="R345" s="126">
        <v>45707</v>
      </c>
      <c r="S345" s="153">
        <f>IF(L345="","",L345-B345)</f>
        <v>3</v>
      </c>
      <c r="T345" s="153">
        <f>IF(N345="","",N345-L345)</f>
        <v>0</v>
      </c>
      <c r="U345" s="153">
        <f>IF(O345="","",O345-N345)</f>
        <v>1</v>
      </c>
      <c r="V345" s="154">
        <f>IF(O345="","",O345-B345)</f>
        <v>4</v>
      </c>
      <c r="W345" s="154">
        <f>IF(O345="","",O345-L345)</f>
        <v>1</v>
      </c>
      <c r="X345" s="154">
        <f>IF(R345="","",R345-B345)</f>
        <v>5</v>
      </c>
    </row>
    <row r="346" spans="2:24" ht="17.25" hidden="1" customHeight="1">
      <c r="B346" s="23">
        <v>45702</v>
      </c>
      <c r="C346" s="7">
        <v>2003588372</v>
      </c>
      <c r="D346" s="20">
        <v>5776034</v>
      </c>
      <c r="E346" s="27" t="s">
        <v>622</v>
      </c>
      <c r="F346" s="7" t="s">
        <v>107</v>
      </c>
      <c r="G346" s="7" t="s">
        <v>10</v>
      </c>
      <c r="H346" s="7" t="s">
        <v>45</v>
      </c>
      <c r="I346" s="20" t="s">
        <v>712</v>
      </c>
      <c r="J346" s="20" t="s">
        <v>713</v>
      </c>
      <c r="K346" s="7" t="s">
        <v>110</v>
      </c>
      <c r="L346" s="61">
        <v>45707</v>
      </c>
      <c r="M346" s="7" t="s">
        <v>111</v>
      </c>
      <c r="N346" s="61">
        <v>45707</v>
      </c>
      <c r="O346" s="58">
        <v>45713</v>
      </c>
      <c r="P346" s="59"/>
      <c r="Q346" s="124" t="e">
        <f>P346*#REF!</f>
        <v>#REF!</v>
      </c>
      <c r="R346" s="126">
        <v>45713</v>
      </c>
      <c r="S346" s="153">
        <f>IF(L346="","",L346-B346)</f>
        <v>5</v>
      </c>
      <c r="T346" s="153">
        <f>IF(N346="","",N346-L346)</f>
        <v>0</v>
      </c>
      <c r="U346" s="153">
        <f>IF(O346="","",O346-N346)</f>
        <v>6</v>
      </c>
      <c r="V346" s="154">
        <f>IF(O346="","",O346-B346)</f>
        <v>11</v>
      </c>
      <c r="W346" s="154">
        <f>IF(O346="","",O346-L346)</f>
        <v>6</v>
      </c>
      <c r="X346" s="154">
        <f>IF(R346="","",R346-B346)</f>
        <v>11</v>
      </c>
    </row>
    <row r="347" spans="2:24" ht="17.25" hidden="1" customHeight="1">
      <c r="B347" s="23">
        <v>45702</v>
      </c>
      <c r="C347" s="7">
        <v>2003607279</v>
      </c>
      <c r="D347" s="20">
        <v>5776074</v>
      </c>
      <c r="E347" s="27" t="s">
        <v>143</v>
      </c>
      <c r="F347" s="7" t="s">
        <v>107</v>
      </c>
      <c r="G347" s="7" t="s">
        <v>10</v>
      </c>
      <c r="H347" s="7" t="s">
        <v>45</v>
      </c>
      <c r="I347" s="20" t="s">
        <v>714</v>
      </c>
      <c r="J347" s="20" t="s">
        <v>715</v>
      </c>
      <c r="K347" s="7" t="s">
        <v>119</v>
      </c>
      <c r="L347" s="61">
        <v>45714</v>
      </c>
      <c r="M347" s="7" t="s">
        <v>111</v>
      </c>
      <c r="N347" s="61">
        <v>45721</v>
      </c>
      <c r="O347" s="61">
        <v>45721</v>
      </c>
      <c r="P347" s="59"/>
      <c r="Q347" s="124" t="e">
        <f>P347*#REF!</f>
        <v>#REF!</v>
      </c>
      <c r="R347" s="126">
        <v>45721</v>
      </c>
      <c r="S347" s="153">
        <f>IF(L347="","",L347-B347)</f>
        <v>12</v>
      </c>
      <c r="T347" s="153">
        <f>IF(N347="","",N347-L347)</f>
        <v>7</v>
      </c>
      <c r="U347" s="153">
        <f>IF(O347="","",O347-N347)</f>
        <v>0</v>
      </c>
      <c r="V347" s="154">
        <f>IF(O347="","",O347-B347)</f>
        <v>19</v>
      </c>
      <c r="W347" s="154">
        <f>IF(O347="","",O347-L347)</f>
        <v>7</v>
      </c>
      <c r="X347" s="154">
        <f>IF(R347="","",R347-B347)</f>
        <v>19</v>
      </c>
    </row>
    <row r="348" spans="2:24" ht="17.25" hidden="1" customHeight="1">
      <c r="B348" s="23">
        <v>45702</v>
      </c>
      <c r="C348" s="7">
        <v>2003608214</v>
      </c>
      <c r="D348" s="20">
        <v>5776182</v>
      </c>
      <c r="E348" s="27" t="s">
        <v>126</v>
      </c>
      <c r="F348" s="7" t="s">
        <v>107</v>
      </c>
      <c r="G348" s="7" t="s">
        <v>18</v>
      </c>
      <c r="H348" s="7" t="s">
        <v>45</v>
      </c>
      <c r="I348" s="20" t="s">
        <v>716</v>
      </c>
      <c r="J348" s="20" t="s">
        <v>717</v>
      </c>
      <c r="K348" s="7" t="s">
        <v>110</v>
      </c>
      <c r="L348" s="61">
        <v>45706</v>
      </c>
      <c r="M348" s="7" t="s">
        <v>111</v>
      </c>
      <c r="N348" s="61">
        <v>45706</v>
      </c>
      <c r="O348" s="61">
        <v>45707</v>
      </c>
      <c r="P348" s="59"/>
      <c r="Q348" s="124" t="e">
        <f>P348*#REF!</f>
        <v>#REF!</v>
      </c>
      <c r="R348" s="126">
        <v>45708</v>
      </c>
      <c r="S348" s="153">
        <f>IF(L348="","",L348-B348)</f>
        <v>4</v>
      </c>
      <c r="T348" s="153">
        <f>IF(N348="","",N348-L348)</f>
        <v>0</v>
      </c>
      <c r="U348" s="153">
        <f>IF(O348="","",O348-N348)</f>
        <v>1</v>
      </c>
      <c r="V348" s="154">
        <f>IF(O348="","",O348-B348)</f>
        <v>5</v>
      </c>
      <c r="W348" s="154">
        <f>IF(O348="","",O348-L348)</f>
        <v>1</v>
      </c>
      <c r="X348" s="154">
        <f>IF(R348="","",R348-B348)</f>
        <v>6</v>
      </c>
    </row>
    <row r="349" spans="2:24" ht="17.25" hidden="1" customHeight="1">
      <c r="B349" s="23">
        <v>45702</v>
      </c>
      <c r="C349" s="7">
        <v>2003574570</v>
      </c>
      <c r="D349" s="20">
        <v>5776363</v>
      </c>
      <c r="E349" s="27" t="s">
        <v>129</v>
      </c>
      <c r="F349" s="7" t="s">
        <v>107</v>
      </c>
      <c r="G349" s="7" t="s">
        <v>30</v>
      </c>
      <c r="H349" s="7" t="s">
        <v>45</v>
      </c>
      <c r="I349" s="129" t="s">
        <v>718</v>
      </c>
      <c r="J349" s="20" t="s">
        <v>537</v>
      </c>
      <c r="K349" s="7" t="s">
        <v>111</v>
      </c>
      <c r="L349" s="58">
        <v>45715</v>
      </c>
      <c r="M349" s="7" t="s">
        <v>111</v>
      </c>
      <c r="N349" s="58">
        <v>45715</v>
      </c>
      <c r="O349" s="58">
        <v>45715</v>
      </c>
      <c r="P349" s="59"/>
      <c r="Q349" s="124" t="e">
        <f>P349*#REF!</f>
        <v>#REF!</v>
      </c>
      <c r="R349" s="126">
        <v>45716</v>
      </c>
      <c r="S349" s="153">
        <f>IF(L349="","",L349-B349)</f>
        <v>13</v>
      </c>
      <c r="T349" s="153">
        <f>IF(N349="","",N349-L349)</f>
        <v>0</v>
      </c>
      <c r="U349" s="153">
        <f>IF(O349="","",O349-N349)</f>
        <v>0</v>
      </c>
      <c r="V349" s="154">
        <f>IF(O349="","",O349-B349)</f>
        <v>13</v>
      </c>
      <c r="W349" s="154">
        <f>IF(O349="","",O349-L349)</f>
        <v>0</v>
      </c>
      <c r="X349" s="154">
        <f>IF(R349="","",R349-B349)</f>
        <v>14</v>
      </c>
    </row>
    <row r="350" spans="2:24" ht="17.25" hidden="1" customHeight="1">
      <c r="B350" s="23">
        <v>45702</v>
      </c>
      <c r="C350" s="7">
        <v>2003541256</v>
      </c>
      <c r="D350" s="20">
        <v>5776528</v>
      </c>
      <c r="E350" s="27" t="s">
        <v>123</v>
      </c>
      <c r="F350" s="7" t="s">
        <v>107</v>
      </c>
      <c r="G350" s="7" t="s">
        <v>10</v>
      </c>
      <c r="H350" s="7" t="s">
        <v>45</v>
      </c>
      <c r="I350" s="20" t="s">
        <v>719</v>
      </c>
      <c r="J350" s="20" t="s">
        <v>720</v>
      </c>
      <c r="K350" s="7" t="s">
        <v>119</v>
      </c>
      <c r="L350" s="61">
        <v>45707</v>
      </c>
      <c r="M350" s="7" t="s">
        <v>111</v>
      </c>
      <c r="N350" s="24">
        <v>45709</v>
      </c>
      <c r="O350" s="58">
        <v>45712</v>
      </c>
      <c r="P350" s="59"/>
      <c r="Q350" s="124" t="e">
        <f>P350*#REF!</f>
        <v>#REF!</v>
      </c>
      <c r="R350" s="126">
        <v>45712</v>
      </c>
      <c r="S350" s="153">
        <f>IF(L350="","",L350-B350)</f>
        <v>5</v>
      </c>
      <c r="T350" s="153">
        <f>IF(N350="","",N350-L350)</f>
        <v>2</v>
      </c>
      <c r="U350" s="153">
        <f>IF(O350="","",O350-N350)</f>
        <v>3</v>
      </c>
      <c r="V350" s="154">
        <f>IF(O350="","",O350-B350)</f>
        <v>10</v>
      </c>
      <c r="W350" s="154">
        <f>IF(O350="","",O350-L350)</f>
        <v>5</v>
      </c>
      <c r="X350" s="154">
        <f>IF(R350="","",R350-B350)</f>
        <v>10</v>
      </c>
    </row>
    <row r="351" spans="2:24" ht="17.25" hidden="1" customHeight="1">
      <c r="B351" s="23">
        <v>45702</v>
      </c>
      <c r="C351" s="7">
        <v>2003498102</v>
      </c>
      <c r="D351" s="20">
        <v>5776641</v>
      </c>
      <c r="E351" s="27" t="s">
        <v>143</v>
      </c>
      <c r="F351" s="7" t="s">
        <v>107</v>
      </c>
      <c r="G351" s="7" t="s">
        <v>18</v>
      </c>
      <c r="H351" s="7" t="s">
        <v>45</v>
      </c>
      <c r="I351" s="20" t="s">
        <v>690</v>
      </c>
      <c r="J351" s="20" t="s">
        <v>691</v>
      </c>
      <c r="K351" s="7" t="s">
        <v>110</v>
      </c>
      <c r="L351" s="61">
        <v>45706</v>
      </c>
      <c r="M351" s="7" t="s">
        <v>111</v>
      </c>
      <c r="N351" s="24">
        <v>45707</v>
      </c>
      <c r="O351" s="58">
        <v>45712</v>
      </c>
      <c r="P351" s="59"/>
      <c r="Q351" s="124" t="e">
        <f>P351*#REF!</f>
        <v>#REF!</v>
      </c>
      <c r="R351" s="126">
        <v>45712</v>
      </c>
      <c r="S351" s="153">
        <f>IF(L351="","",L351-B351)</f>
        <v>4</v>
      </c>
      <c r="T351" s="153">
        <f>IF(N351="","",N351-L351)</f>
        <v>1</v>
      </c>
      <c r="U351" s="153">
        <f>IF(O351="","",O351-N351)</f>
        <v>5</v>
      </c>
      <c r="V351" s="154">
        <f>IF(O351="","",O351-B351)</f>
        <v>10</v>
      </c>
      <c r="W351" s="154">
        <f>IF(O351="","",O351-L351)</f>
        <v>6</v>
      </c>
      <c r="X351" s="154">
        <f>IF(R351="","",R351-B351)</f>
        <v>10</v>
      </c>
    </row>
    <row r="352" spans="2:24" ht="17.25" hidden="1" customHeight="1">
      <c r="B352" s="23">
        <v>45702</v>
      </c>
      <c r="C352" s="7">
        <v>2003596835</v>
      </c>
      <c r="D352" s="20">
        <v>5776741</v>
      </c>
      <c r="E352" s="27" t="s">
        <v>143</v>
      </c>
      <c r="F352" s="7" t="s">
        <v>107</v>
      </c>
      <c r="G352" s="7" t="s">
        <v>30</v>
      </c>
      <c r="H352" s="7" t="s">
        <v>45</v>
      </c>
      <c r="I352" s="20" t="s">
        <v>721</v>
      </c>
      <c r="J352" s="20" t="s">
        <v>722</v>
      </c>
      <c r="K352" s="7" t="s">
        <v>111</v>
      </c>
      <c r="L352" s="61">
        <v>45705</v>
      </c>
      <c r="M352" s="7" t="s">
        <v>111</v>
      </c>
      <c r="N352" s="61">
        <v>45705</v>
      </c>
      <c r="O352" s="58">
        <v>45707</v>
      </c>
      <c r="P352" s="59"/>
      <c r="Q352" s="124" t="e">
        <f>P352*#REF!</f>
        <v>#REF!</v>
      </c>
      <c r="R352" s="126">
        <v>45707</v>
      </c>
      <c r="S352" s="153">
        <f>IF(L352="","",L352-B352)</f>
        <v>3</v>
      </c>
      <c r="T352" s="153">
        <f>IF(N352="","",N352-L352)</f>
        <v>0</v>
      </c>
      <c r="U352" s="153">
        <f>IF(O352="","",O352-N352)</f>
        <v>2</v>
      </c>
      <c r="V352" s="154">
        <f>IF(O352="","",O352-B352)</f>
        <v>5</v>
      </c>
      <c r="W352" s="154">
        <f>IF(O352="","",O352-L352)</f>
        <v>2</v>
      </c>
      <c r="X352" s="154">
        <f>IF(R352="","",R352-B352)</f>
        <v>5</v>
      </c>
    </row>
    <row r="353" spans="2:24" ht="17.25" hidden="1" customHeight="1">
      <c r="B353" s="23">
        <v>45702</v>
      </c>
      <c r="C353" s="7">
        <v>2003567751</v>
      </c>
      <c r="D353" s="20">
        <v>5776755</v>
      </c>
      <c r="E353" s="27" t="s">
        <v>116</v>
      </c>
      <c r="F353" s="7" t="s">
        <v>107</v>
      </c>
      <c r="G353" s="7" t="s">
        <v>10</v>
      </c>
      <c r="H353" s="7" t="s">
        <v>45</v>
      </c>
      <c r="I353" s="20" t="s">
        <v>723</v>
      </c>
      <c r="J353" s="20" t="s">
        <v>724</v>
      </c>
      <c r="K353" s="7" t="s">
        <v>119</v>
      </c>
      <c r="L353" s="61">
        <v>45706</v>
      </c>
      <c r="M353" s="7" t="s">
        <v>111</v>
      </c>
      <c r="N353" s="61">
        <v>45706</v>
      </c>
      <c r="O353" s="58">
        <v>45708</v>
      </c>
      <c r="P353" s="59"/>
      <c r="Q353" s="124" t="e">
        <f>P353*#REF!</f>
        <v>#REF!</v>
      </c>
      <c r="R353" s="126">
        <v>45708</v>
      </c>
      <c r="S353" s="153">
        <f>IF(L353="","",L353-B353)</f>
        <v>4</v>
      </c>
      <c r="T353" s="153">
        <f>IF(N353="","",N353-L353)</f>
        <v>0</v>
      </c>
      <c r="U353" s="153">
        <f>IF(O353="","",O353-N353)</f>
        <v>2</v>
      </c>
      <c r="V353" s="154">
        <f>IF(O353="","",O353-B353)</f>
        <v>6</v>
      </c>
      <c r="W353" s="154">
        <f>IF(O353="","",O353-L353)</f>
        <v>2</v>
      </c>
      <c r="X353" s="154">
        <f>IF(R353="","",R353-B353)</f>
        <v>6</v>
      </c>
    </row>
    <row r="354" spans="2:24" ht="17.25" hidden="1" customHeight="1">
      <c r="B354" s="23">
        <v>45702</v>
      </c>
      <c r="C354" s="7">
        <v>2003608575</v>
      </c>
      <c r="D354" s="20">
        <v>102674</v>
      </c>
      <c r="E354" s="27" t="s">
        <v>258</v>
      </c>
      <c r="F354" s="7" t="s">
        <v>107</v>
      </c>
      <c r="G354" s="7" t="s">
        <v>10</v>
      </c>
      <c r="H354" s="7" t="s">
        <v>45</v>
      </c>
      <c r="I354" s="20" t="s">
        <v>524</v>
      </c>
      <c r="J354" s="20" t="s">
        <v>525</v>
      </c>
      <c r="K354" s="7" t="s">
        <v>122</v>
      </c>
      <c r="L354" s="61">
        <v>45708</v>
      </c>
      <c r="M354" s="7" t="s">
        <v>111</v>
      </c>
      <c r="N354" s="24">
        <v>45713</v>
      </c>
      <c r="O354" s="24">
        <v>45713</v>
      </c>
      <c r="P354" s="59">
        <v>282</v>
      </c>
      <c r="Q354" s="124" t="e">
        <f>P354*#REF!</f>
        <v>#REF!</v>
      </c>
      <c r="R354" s="126">
        <v>45713</v>
      </c>
      <c r="S354" s="153">
        <f>IF(L354="","",L354-B354)</f>
        <v>6</v>
      </c>
      <c r="T354" s="153">
        <f>IF(N354="","",N354-L354)</f>
        <v>5</v>
      </c>
      <c r="U354" s="153">
        <f>IF(O354="","",O354-N354)</f>
        <v>0</v>
      </c>
      <c r="V354" s="154">
        <f>IF(O354="","",O354-B354)</f>
        <v>11</v>
      </c>
      <c r="W354" s="154">
        <f>IF(O354="","",O354-L354)</f>
        <v>5</v>
      </c>
      <c r="X354" s="154">
        <f>IF(R354="","",R354-B354)</f>
        <v>11</v>
      </c>
    </row>
    <row r="355" spans="2:24" ht="17.25" hidden="1" customHeight="1">
      <c r="B355" s="23">
        <v>45702</v>
      </c>
      <c r="C355" s="7">
        <v>2003607531</v>
      </c>
      <c r="D355" s="20">
        <v>102496</v>
      </c>
      <c r="E355" s="27" t="s">
        <v>123</v>
      </c>
      <c r="F355" s="7" t="s">
        <v>107</v>
      </c>
      <c r="G355" s="7" t="s">
        <v>18</v>
      </c>
      <c r="H355" s="7" t="s">
        <v>45</v>
      </c>
      <c r="I355" s="20" t="s">
        <v>636</v>
      </c>
      <c r="J355" s="20" t="s">
        <v>725</v>
      </c>
      <c r="K355" s="7" t="s">
        <v>119</v>
      </c>
      <c r="L355" s="61">
        <v>45706</v>
      </c>
      <c r="M355" s="7" t="s">
        <v>111</v>
      </c>
      <c r="N355" s="61">
        <v>45706</v>
      </c>
      <c r="O355" s="61">
        <v>45706</v>
      </c>
      <c r="P355" s="59"/>
      <c r="Q355" s="124" t="e">
        <f>P355*#REF!</f>
        <v>#REF!</v>
      </c>
      <c r="R355" s="126">
        <v>45708</v>
      </c>
      <c r="S355" s="153">
        <f>IF(L355="","",L355-B355)</f>
        <v>4</v>
      </c>
      <c r="T355" s="153">
        <f>IF(N355="","",N355-L355)</f>
        <v>0</v>
      </c>
      <c r="U355" s="153">
        <f>IF(O355="","",O355-N355)</f>
        <v>0</v>
      </c>
      <c r="V355" s="154">
        <f>IF(O355="","",O355-B355)</f>
        <v>4</v>
      </c>
      <c r="W355" s="154">
        <f>IF(O355="","",O355-L355)</f>
        <v>0</v>
      </c>
      <c r="X355" s="154">
        <f>IF(R355="","",R355-B355)</f>
        <v>6</v>
      </c>
    </row>
    <row r="356" spans="2:24" ht="17.25" hidden="1" customHeight="1">
      <c r="B356" s="23">
        <v>45705</v>
      </c>
      <c r="C356" s="7">
        <v>2003611424</v>
      </c>
      <c r="D356" s="20">
        <v>5777084</v>
      </c>
      <c r="E356" s="27" t="s">
        <v>201</v>
      </c>
      <c r="F356" s="7" t="s">
        <v>107</v>
      </c>
      <c r="G356" s="7" t="s">
        <v>10</v>
      </c>
      <c r="H356" s="7" t="s">
        <v>45</v>
      </c>
      <c r="I356" s="20" t="s">
        <v>726</v>
      </c>
      <c r="J356" s="20" t="s">
        <v>727</v>
      </c>
      <c r="K356" s="7" t="s">
        <v>110</v>
      </c>
      <c r="L356" s="61">
        <v>45707</v>
      </c>
      <c r="M356" s="7" t="s">
        <v>111</v>
      </c>
      <c r="N356" s="61">
        <v>45707</v>
      </c>
      <c r="O356" s="61">
        <v>45707</v>
      </c>
      <c r="P356" s="59"/>
      <c r="Q356" s="124" t="e">
        <f>P356*#REF!</f>
        <v>#REF!</v>
      </c>
      <c r="R356" s="126">
        <v>45708</v>
      </c>
      <c r="S356" s="153">
        <f>IF(L356="","",L356-B356)</f>
        <v>2</v>
      </c>
      <c r="T356" s="153">
        <f>IF(N356="","",N356-L356)</f>
        <v>0</v>
      </c>
      <c r="U356" s="153">
        <f>IF(O356="","",O356-N356)</f>
        <v>0</v>
      </c>
      <c r="V356" s="154">
        <f>IF(O356="","",O356-B356)</f>
        <v>2</v>
      </c>
      <c r="W356" s="154">
        <f>IF(O356="","",O356-L356)</f>
        <v>0</v>
      </c>
      <c r="X356" s="154">
        <f>IF(R356="","",R356-B356)</f>
        <v>3</v>
      </c>
    </row>
    <row r="357" spans="2:24" ht="17.25" hidden="1" customHeight="1">
      <c r="B357" s="23">
        <v>45705</v>
      </c>
      <c r="C357" s="7">
        <v>2003599585</v>
      </c>
      <c r="D357" s="20">
        <v>5777330</v>
      </c>
      <c r="E357" s="27" t="s">
        <v>230</v>
      </c>
      <c r="F357" s="7" t="s">
        <v>107</v>
      </c>
      <c r="G357" s="7" t="s">
        <v>10</v>
      </c>
      <c r="H357" s="7" t="s">
        <v>45</v>
      </c>
      <c r="I357" s="20" t="s">
        <v>728</v>
      </c>
      <c r="J357" s="20" t="s">
        <v>729</v>
      </c>
      <c r="K357" s="7" t="s">
        <v>110</v>
      </c>
      <c r="L357" s="61">
        <v>45708</v>
      </c>
      <c r="M357" s="7" t="s">
        <v>111</v>
      </c>
      <c r="N357" s="24">
        <v>45709</v>
      </c>
      <c r="O357" s="58">
        <v>45712</v>
      </c>
      <c r="P357" s="59"/>
      <c r="Q357" s="124" t="e">
        <f>P357*#REF!</f>
        <v>#REF!</v>
      </c>
      <c r="R357" s="126">
        <v>45713</v>
      </c>
      <c r="S357" s="153">
        <f>IF(L357="","",L357-B357)</f>
        <v>3</v>
      </c>
      <c r="T357" s="153">
        <f>IF(N357="","",N357-L357)</f>
        <v>1</v>
      </c>
      <c r="U357" s="153">
        <f>IF(O357="","",O357-N357)</f>
        <v>3</v>
      </c>
      <c r="V357" s="154">
        <f>IF(O357="","",O357-B357)</f>
        <v>7</v>
      </c>
      <c r="W357" s="154">
        <f>IF(O357="","",O357-L357)</f>
        <v>4</v>
      </c>
      <c r="X357" s="154">
        <f>IF(R357="","",R357-B357)</f>
        <v>8</v>
      </c>
    </row>
    <row r="358" spans="2:24" ht="17.25" hidden="1" customHeight="1">
      <c r="B358" s="23">
        <v>45705</v>
      </c>
      <c r="C358" s="7">
        <v>2003560086</v>
      </c>
      <c r="D358" s="20">
        <v>5777466</v>
      </c>
      <c r="E358" s="27" t="s">
        <v>191</v>
      </c>
      <c r="F358" s="7" t="s">
        <v>107</v>
      </c>
      <c r="G358" s="7" t="s">
        <v>26</v>
      </c>
      <c r="H358" s="7" t="s">
        <v>45</v>
      </c>
      <c r="I358" s="20" t="s">
        <v>730</v>
      </c>
      <c r="J358" s="20" t="s">
        <v>731</v>
      </c>
      <c r="K358" s="7" t="s">
        <v>110</v>
      </c>
      <c r="L358" s="61">
        <v>45708</v>
      </c>
      <c r="M358" s="7" t="s">
        <v>111</v>
      </c>
      <c r="N358" s="24">
        <v>45713</v>
      </c>
      <c r="O358" s="58">
        <v>45713</v>
      </c>
      <c r="P358" s="59"/>
      <c r="Q358" s="124" t="e">
        <f>P358*#REF!</f>
        <v>#REF!</v>
      </c>
      <c r="R358" s="126">
        <v>45713</v>
      </c>
      <c r="S358" s="153">
        <f>IF(L358="","",L358-B358)</f>
        <v>3</v>
      </c>
      <c r="T358" s="153">
        <f>IF(N358="","",N358-L358)</f>
        <v>5</v>
      </c>
      <c r="U358" s="153">
        <f>IF(O358="","",O358-N358)</f>
        <v>0</v>
      </c>
      <c r="V358" s="154">
        <f>IF(O358="","",O358-B358)</f>
        <v>8</v>
      </c>
      <c r="W358" s="154">
        <f>IF(O358="","",O358-L358)</f>
        <v>5</v>
      </c>
      <c r="X358" s="154">
        <f>IF(R358="","",R358-B358)</f>
        <v>8</v>
      </c>
    </row>
    <row r="359" spans="2:24" ht="17.25" hidden="1" customHeight="1">
      <c r="B359" s="23">
        <v>45705</v>
      </c>
      <c r="C359" s="7">
        <v>2003559511</v>
      </c>
      <c r="D359" s="20">
        <v>5777509</v>
      </c>
      <c r="E359" s="27" t="s">
        <v>123</v>
      </c>
      <c r="F359" s="7" t="s">
        <v>107</v>
      </c>
      <c r="G359" s="7" t="s">
        <v>10</v>
      </c>
      <c r="H359" s="7" t="s">
        <v>45</v>
      </c>
      <c r="I359" s="20" t="s">
        <v>732</v>
      </c>
      <c r="J359" s="20" t="s">
        <v>733</v>
      </c>
      <c r="K359" s="7" t="s">
        <v>122</v>
      </c>
      <c r="L359" s="61">
        <v>45707</v>
      </c>
      <c r="M359" s="7" t="s">
        <v>111</v>
      </c>
      <c r="N359" s="61">
        <v>45713</v>
      </c>
      <c r="O359" s="58">
        <v>45714</v>
      </c>
      <c r="P359" s="59"/>
      <c r="Q359" s="124" t="e">
        <f>P359*#REF!</f>
        <v>#REF!</v>
      </c>
      <c r="R359" s="126">
        <v>45715</v>
      </c>
      <c r="S359" s="153">
        <f>IF(L359="","",L359-B359)</f>
        <v>2</v>
      </c>
      <c r="T359" s="153">
        <f>IF(N359="","",N359-L359)</f>
        <v>6</v>
      </c>
      <c r="U359" s="153">
        <f>IF(O359="","",O359-N359)</f>
        <v>1</v>
      </c>
      <c r="V359" s="154">
        <f>IF(O359="","",O359-B359)</f>
        <v>9</v>
      </c>
      <c r="W359" s="154">
        <f>IF(O359="","",O359-L359)</f>
        <v>7</v>
      </c>
      <c r="X359" s="154">
        <f>IF(R359="","",R359-B359)</f>
        <v>10</v>
      </c>
    </row>
    <row r="360" spans="2:24" ht="17.25" hidden="1" customHeight="1">
      <c r="B360" s="23">
        <v>45705</v>
      </c>
      <c r="C360" s="7">
        <v>2003603482</v>
      </c>
      <c r="D360" s="20">
        <v>5777542</v>
      </c>
      <c r="E360" s="27" t="s">
        <v>230</v>
      </c>
      <c r="F360" s="7" t="s">
        <v>107</v>
      </c>
      <c r="G360" s="7" t="s">
        <v>10</v>
      </c>
      <c r="H360" s="7" t="s">
        <v>45</v>
      </c>
      <c r="I360" s="20" t="s">
        <v>206</v>
      </c>
      <c r="J360" s="20" t="s">
        <v>734</v>
      </c>
      <c r="K360" s="7" t="s">
        <v>110</v>
      </c>
      <c r="L360" s="61">
        <v>45706</v>
      </c>
      <c r="M360" s="7" t="s">
        <v>111</v>
      </c>
      <c r="N360" s="61">
        <v>45706</v>
      </c>
      <c r="O360" s="61">
        <v>45707</v>
      </c>
      <c r="P360" s="59"/>
      <c r="Q360" s="124" t="e">
        <f>P360*#REF!</f>
        <v>#REF!</v>
      </c>
      <c r="R360" s="126">
        <v>45708</v>
      </c>
      <c r="S360" s="153">
        <f>IF(L360="","",L360-B360)</f>
        <v>1</v>
      </c>
      <c r="T360" s="153">
        <f>IF(N360="","",N360-L360)</f>
        <v>0</v>
      </c>
      <c r="U360" s="153">
        <f>IF(O360="","",O360-N360)</f>
        <v>1</v>
      </c>
      <c r="V360" s="154">
        <f>IF(O360="","",O360-B360)</f>
        <v>2</v>
      </c>
      <c r="W360" s="154">
        <f>IF(O360="","",O360-L360)</f>
        <v>1</v>
      </c>
      <c r="X360" s="154">
        <f>IF(R360="","",R360-B360)</f>
        <v>3</v>
      </c>
    </row>
    <row r="361" spans="2:24" ht="17.25" hidden="1" customHeight="1">
      <c r="B361" s="23">
        <v>45705</v>
      </c>
      <c r="C361" s="7">
        <v>2003607373</v>
      </c>
      <c r="D361" s="20">
        <v>5777706</v>
      </c>
      <c r="E361" s="27" t="s">
        <v>180</v>
      </c>
      <c r="F361" s="7" t="s">
        <v>113</v>
      </c>
      <c r="G361" s="7" t="s">
        <v>70</v>
      </c>
      <c r="H361" s="7" t="s">
        <v>47</v>
      </c>
      <c r="I361" s="20" t="s">
        <v>735</v>
      </c>
      <c r="J361" s="20" t="s">
        <v>736</v>
      </c>
      <c r="K361" s="7" t="s">
        <v>160</v>
      </c>
      <c r="P361" s="59"/>
      <c r="Q361" s="124" t="e">
        <f>P361*#REF!</f>
        <v>#REF!</v>
      </c>
      <c r="R361" s="126">
        <v>45713</v>
      </c>
      <c r="S361" s="153" t="str">
        <f>IF(L361="","",L361-B361)</f>
        <v/>
      </c>
      <c r="T361" s="153" t="str">
        <f>IF(N361="","",N361-L361)</f>
        <v/>
      </c>
      <c r="U361" s="153" t="str">
        <f>IF(O361="","",O361-N361)</f>
        <v/>
      </c>
      <c r="V361" s="154" t="str">
        <f>IF(O361="","",O361-B361)</f>
        <v/>
      </c>
      <c r="W361" s="154" t="str">
        <f>IF(O361="","",O361-L361)</f>
        <v/>
      </c>
      <c r="X361" s="154">
        <f>IF(R361="","",R361-B361)</f>
        <v>8</v>
      </c>
    </row>
    <row r="362" spans="2:24" ht="17.25" hidden="1" customHeight="1">
      <c r="B362" s="23">
        <v>45705</v>
      </c>
      <c r="C362" s="7">
        <v>2003602452</v>
      </c>
      <c r="D362" s="20">
        <v>5777919</v>
      </c>
      <c r="E362" s="27" t="s">
        <v>177</v>
      </c>
      <c r="F362" s="7" t="s">
        <v>107</v>
      </c>
      <c r="G362" s="7" t="s">
        <v>15</v>
      </c>
      <c r="H362" s="7" t="s">
        <v>45</v>
      </c>
      <c r="I362" s="20" t="s">
        <v>737</v>
      </c>
      <c r="J362" s="20" t="s">
        <v>738</v>
      </c>
      <c r="K362" s="7" t="s">
        <v>110</v>
      </c>
      <c r="L362" s="61">
        <v>45707</v>
      </c>
      <c r="M362" s="7" t="s">
        <v>111</v>
      </c>
      <c r="N362" s="61">
        <v>45707</v>
      </c>
      <c r="O362" s="58">
        <v>45713</v>
      </c>
      <c r="P362" s="59"/>
      <c r="Q362" s="124" t="e">
        <f>P362*#REF!</f>
        <v>#REF!</v>
      </c>
      <c r="R362" s="126">
        <v>45713</v>
      </c>
      <c r="S362" s="153">
        <f>IF(L362="","",L362-B362)</f>
        <v>2</v>
      </c>
      <c r="T362" s="153">
        <f>IF(N362="","",N362-L362)</f>
        <v>0</v>
      </c>
      <c r="U362" s="153">
        <f>IF(O362="","",O362-N362)</f>
        <v>6</v>
      </c>
      <c r="V362" s="154">
        <f>IF(O362="","",O362-B362)</f>
        <v>8</v>
      </c>
      <c r="W362" s="154">
        <f>IF(O362="","",O362-L362)</f>
        <v>6</v>
      </c>
      <c r="X362" s="154">
        <f>IF(R362="","",R362-B362)</f>
        <v>8</v>
      </c>
    </row>
    <row r="363" spans="2:24" ht="17.25" hidden="1" customHeight="1">
      <c r="B363" s="23">
        <v>45705</v>
      </c>
      <c r="C363" s="7">
        <v>2003576308</v>
      </c>
      <c r="D363" s="20">
        <v>5777917</v>
      </c>
      <c r="E363" s="27" t="s">
        <v>116</v>
      </c>
      <c r="F363" s="7" t="s">
        <v>107</v>
      </c>
      <c r="G363" s="7" t="s">
        <v>10</v>
      </c>
      <c r="H363" s="7" t="s">
        <v>45</v>
      </c>
      <c r="I363" s="20" t="s">
        <v>518</v>
      </c>
      <c r="J363" s="20" t="s">
        <v>519</v>
      </c>
      <c r="K363" s="7" t="s">
        <v>122</v>
      </c>
      <c r="L363" s="61">
        <v>45712</v>
      </c>
      <c r="M363" s="7" t="s">
        <v>111</v>
      </c>
      <c r="N363" s="209">
        <v>45721</v>
      </c>
      <c r="O363" s="58">
        <v>45722</v>
      </c>
      <c r="P363" s="59"/>
      <c r="Q363" s="124" t="e">
        <f>P363*#REF!</f>
        <v>#REF!</v>
      </c>
      <c r="R363" s="126">
        <v>45723</v>
      </c>
      <c r="S363" s="153">
        <f>IF(L363="","",L363-B363)</f>
        <v>7</v>
      </c>
      <c r="T363" s="153">
        <f>IF(N363="","",N363-L363)</f>
        <v>9</v>
      </c>
      <c r="U363" s="153">
        <f>IF(O363="","",O363-N363)</f>
        <v>1</v>
      </c>
      <c r="V363" s="154">
        <f>IF(O363="","",O363-B363)</f>
        <v>17</v>
      </c>
      <c r="W363" s="154">
        <f>IF(O363="","",O363-L363)</f>
        <v>10</v>
      </c>
      <c r="X363" s="154">
        <f>IF(R363="","",R363-B363)</f>
        <v>18</v>
      </c>
    </row>
    <row r="364" spans="2:24" ht="17.25" hidden="1" customHeight="1">
      <c r="B364" s="23">
        <v>45705</v>
      </c>
      <c r="C364" s="7">
        <v>2003541275</v>
      </c>
      <c r="D364" s="20">
        <v>5777942</v>
      </c>
      <c r="E364" s="27" t="s">
        <v>177</v>
      </c>
      <c r="F364" s="7" t="s">
        <v>107</v>
      </c>
      <c r="G364" s="7" t="s">
        <v>10</v>
      </c>
      <c r="H364" s="7" t="s">
        <v>45</v>
      </c>
      <c r="I364" s="20" t="s">
        <v>489</v>
      </c>
      <c r="J364" s="20" t="s">
        <v>739</v>
      </c>
      <c r="K364" s="7" t="s">
        <v>110</v>
      </c>
      <c r="L364" s="61">
        <v>45709</v>
      </c>
      <c r="M364" s="7" t="s">
        <v>111</v>
      </c>
      <c r="N364" s="61">
        <v>45709</v>
      </c>
      <c r="O364" s="61">
        <v>45709</v>
      </c>
      <c r="P364" s="59"/>
      <c r="Q364" s="124" t="e">
        <f>P364*#REF!</f>
        <v>#REF!</v>
      </c>
      <c r="R364" s="126">
        <v>45713</v>
      </c>
      <c r="S364" s="153">
        <f>IF(L364="","",L364-B364)</f>
        <v>4</v>
      </c>
      <c r="T364" s="153">
        <f>IF(N364="","",N364-L364)</f>
        <v>0</v>
      </c>
      <c r="U364" s="153">
        <f>IF(O364="","",O364-N364)</f>
        <v>0</v>
      </c>
      <c r="V364" s="154">
        <f>IF(O364="","",O364-B364)</f>
        <v>4</v>
      </c>
      <c r="W364" s="154">
        <f>IF(O364="","",O364-L364)</f>
        <v>0</v>
      </c>
      <c r="X364" s="154">
        <f>IF(R364="","",R364-B364)</f>
        <v>8</v>
      </c>
    </row>
    <row r="365" spans="2:24" ht="17.25" hidden="1" customHeight="1">
      <c r="B365" s="23">
        <v>45705</v>
      </c>
      <c r="C365" s="7">
        <v>2003592286</v>
      </c>
      <c r="D365" s="20">
        <v>5778053</v>
      </c>
      <c r="E365" s="27" t="s">
        <v>191</v>
      </c>
      <c r="F365" s="7" t="s">
        <v>107</v>
      </c>
      <c r="G365" s="7" t="s">
        <v>10</v>
      </c>
      <c r="H365" s="7" t="s">
        <v>45</v>
      </c>
      <c r="I365" s="20" t="s">
        <v>735</v>
      </c>
      <c r="J365" s="20" t="s">
        <v>740</v>
      </c>
      <c r="K365" s="7" t="s">
        <v>119</v>
      </c>
      <c r="L365" s="61">
        <v>45708</v>
      </c>
      <c r="M365" s="7" t="s">
        <v>111</v>
      </c>
      <c r="N365" s="61">
        <v>45709</v>
      </c>
      <c r="O365" s="58">
        <v>45712</v>
      </c>
      <c r="P365" s="59"/>
      <c r="Q365" s="124" t="e">
        <f>P365*#REF!</f>
        <v>#REF!</v>
      </c>
      <c r="R365" s="126">
        <v>45713</v>
      </c>
      <c r="S365" s="153">
        <f>IF(L365="","",L365-B365)</f>
        <v>3</v>
      </c>
      <c r="T365" s="153">
        <f>IF(N365="","",N365-L365)</f>
        <v>1</v>
      </c>
      <c r="U365" s="153">
        <f>IF(O365="","",O365-N365)</f>
        <v>3</v>
      </c>
      <c r="V365" s="154">
        <f>IF(O365="","",O365-B365)</f>
        <v>7</v>
      </c>
      <c r="W365" s="154">
        <f>IF(O365="","",O365-L365)</f>
        <v>4</v>
      </c>
      <c r="X365" s="154">
        <f>IF(R365="","",R365-B365)</f>
        <v>8</v>
      </c>
    </row>
    <row r="366" spans="2:24" ht="17.25" hidden="1" customHeight="1">
      <c r="B366" s="23">
        <v>45705</v>
      </c>
      <c r="C366" s="7">
        <v>2003608791</v>
      </c>
      <c r="D366" s="20">
        <v>5778129</v>
      </c>
      <c r="E366" s="27" t="s">
        <v>123</v>
      </c>
      <c r="F366" s="7" t="s">
        <v>107</v>
      </c>
      <c r="G366" s="7" t="s">
        <v>15</v>
      </c>
      <c r="H366" s="7" t="s">
        <v>45</v>
      </c>
      <c r="I366" s="20" t="s">
        <v>741</v>
      </c>
      <c r="J366" s="20" t="s">
        <v>742</v>
      </c>
      <c r="K366" s="7" t="s">
        <v>119</v>
      </c>
      <c r="L366" s="61">
        <v>45712</v>
      </c>
      <c r="M366" s="7" t="s">
        <v>111</v>
      </c>
      <c r="N366" s="61">
        <v>45712</v>
      </c>
      <c r="O366" s="61">
        <v>45712</v>
      </c>
      <c r="P366" s="59">
        <v>105</v>
      </c>
      <c r="Q366" s="124" t="e">
        <f>P366*#REF!</f>
        <v>#REF!</v>
      </c>
      <c r="R366" s="126">
        <v>45713</v>
      </c>
      <c r="S366" s="153">
        <f>IF(L366="","",L366-B366)</f>
        <v>7</v>
      </c>
      <c r="T366" s="153">
        <f>IF(N366="","",N366-L366)</f>
        <v>0</v>
      </c>
      <c r="U366" s="153">
        <f>IF(O366="","",O366-N366)</f>
        <v>0</v>
      </c>
      <c r="V366" s="154">
        <f>IF(O366="","",O366-B366)</f>
        <v>7</v>
      </c>
      <c r="W366" s="154">
        <f>IF(O366="","",O366-L366)</f>
        <v>0</v>
      </c>
      <c r="X366" s="154">
        <f>IF(R366="","",R366-B366)</f>
        <v>8</v>
      </c>
    </row>
    <row r="367" spans="2:24" ht="17.25" hidden="1" customHeight="1">
      <c r="B367" s="23">
        <v>45705</v>
      </c>
      <c r="C367" s="7">
        <v>2003611263</v>
      </c>
      <c r="D367" s="20">
        <v>103493</v>
      </c>
      <c r="E367" s="27" t="s">
        <v>123</v>
      </c>
      <c r="F367" s="7" t="s">
        <v>107</v>
      </c>
      <c r="G367" s="7" t="s">
        <v>10</v>
      </c>
      <c r="H367" s="7" t="s">
        <v>45</v>
      </c>
      <c r="I367" s="20" t="s">
        <v>743</v>
      </c>
      <c r="J367" s="20" t="s">
        <v>744</v>
      </c>
      <c r="K367" s="7" t="s">
        <v>122</v>
      </c>
      <c r="L367" s="61">
        <v>45707</v>
      </c>
      <c r="M367" s="7" t="s">
        <v>111</v>
      </c>
      <c r="N367" s="24">
        <v>45712</v>
      </c>
      <c r="O367" s="24">
        <v>45712</v>
      </c>
      <c r="P367" s="59"/>
      <c r="Q367" s="124" t="e">
        <f>P367*#REF!</f>
        <v>#REF!</v>
      </c>
      <c r="R367" s="126">
        <v>45713</v>
      </c>
      <c r="S367" s="153">
        <f>IF(L367="","",L367-B367)</f>
        <v>2</v>
      </c>
      <c r="T367" s="153">
        <f>IF(N367="","",N367-L367)</f>
        <v>5</v>
      </c>
      <c r="U367" s="153">
        <f>IF(O367="","",O367-N367)</f>
        <v>0</v>
      </c>
      <c r="V367" s="154">
        <f>IF(O367="","",O367-B367)</f>
        <v>7</v>
      </c>
      <c r="W367" s="154">
        <f>IF(O367="","",O367-L367)</f>
        <v>5</v>
      </c>
      <c r="X367" s="154">
        <f>IF(R367="","",R367-B367)</f>
        <v>8</v>
      </c>
    </row>
    <row r="368" spans="2:24" ht="17.25" hidden="1" customHeight="1">
      <c r="B368" s="23">
        <v>45705</v>
      </c>
      <c r="C368" s="7">
        <v>2003562601</v>
      </c>
      <c r="D368" s="20">
        <v>103414</v>
      </c>
      <c r="E368" s="27" t="s">
        <v>152</v>
      </c>
      <c r="F368" s="7" t="s">
        <v>107</v>
      </c>
      <c r="G368" s="7" t="s">
        <v>10</v>
      </c>
      <c r="H368" s="7" t="s">
        <v>45</v>
      </c>
      <c r="I368" s="20" t="s">
        <v>712</v>
      </c>
      <c r="J368" s="20" t="s">
        <v>745</v>
      </c>
      <c r="K368" s="7" t="s">
        <v>110</v>
      </c>
      <c r="L368" s="61">
        <v>45708</v>
      </c>
      <c r="M368" s="7" t="s">
        <v>111</v>
      </c>
      <c r="N368" s="24">
        <v>45709</v>
      </c>
      <c r="O368" s="58">
        <v>45713</v>
      </c>
      <c r="P368" s="59"/>
      <c r="Q368" s="124" t="e">
        <f>P368*#REF!</f>
        <v>#REF!</v>
      </c>
      <c r="R368" s="126">
        <v>45713</v>
      </c>
      <c r="S368" s="153">
        <f>IF(L368="","",L368-B368)</f>
        <v>3</v>
      </c>
      <c r="T368" s="153">
        <f>IF(N368="","",N368-L368)</f>
        <v>1</v>
      </c>
      <c r="U368" s="153">
        <f>IF(O368="","",O368-N368)</f>
        <v>4</v>
      </c>
      <c r="V368" s="154">
        <f>IF(O368="","",O368-B368)</f>
        <v>8</v>
      </c>
      <c r="W368" s="154">
        <f>IF(O368="","",O368-L368)</f>
        <v>5</v>
      </c>
      <c r="X368" s="154">
        <f>IF(R368="","",R368-B368)</f>
        <v>8</v>
      </c>
    </row>
    <row r="369" spans="2:24" ht="17.25" hidden="1" customHeight="1">
      <c r="B369" s="23">
        <v>45706</v>
      </c>
      <c r="C369" s="7">
        <v>2003583505</v>
      </c>
      <c r="D369" s="20">
        <v>5778506</v>
      </c>
      <c r="E369" s="27" t="s">
        <v>138</v>
      </c>
      <c r="F369" s="7" t="s">
        <v>107</v>
      </c>
      <c r="G369" s="7" t="s">
        <v>10</v>
      </c>
      <c r="H369" s="7" t="s">
        <v>45</v>
      </c>
      <c r="I369" s="20" t="s">
        <v>746</v>
      </c>
      <c r="J369" s="20" t="s">
        <v>747</v>
      </c>
      <c r="K369" s="7" t="s">
        <v>119</v>
      </c>
      <c r="L369" s="61">
        <v>45713</v>
      </c>
      <c r="M369" s="7" t="s">
        <v>111</v>
      </c>
      <c r="N369" s="61">
        <v>45713</v>
      </c>
      <c r="O369" s="61">
        <v>45713</v>
      </c>
      <c r="P369" s="59"/>
      <c r="Q369" s="124" t="e">
        <f>P369*#REF!</f>
        <v>#REF!</v>
      </c>
      <c r="R369" s="126">
        <v>45715</v>
      </c>
      <c r="S369" s="153">
        <f>IF(L369="","",L369-B369)</f>
        <v>7</v>
      </c>
      <c r="T369" s="153">
        <f>IF(N369="","",N369-L369)</f>
        <v>0</v>
      </c>
      <c r="U369" s="153">
        <f>IF(O369="","",O369-N369)</f>
        <v>0</v>
      </c>
      <c r="V369" s="154">
        <f>IF(O369="","",O369-B369)</f>
        <v>7</v>
      </c>
      <c r="W369" s="154">
        <f>IF(O369="","",O369-L369)</f>
        <v>0</v>
      </c>
      <c r="X369" s="154">
        <f>IF(R369="","",R369-B369)</f>
        <v>9</v>
      </c>
    </row>
    <row r="370" spans="2:24" ht="17.25" hidden="1" customHeight="1">
      <c r="B370" s="23">
        <v>45706</v>
      </c>
      <c r="C370" s="7">
        <v>2003600822</v>
      </c>
      <c r="D370" s="20">
        <v>5778514</v>
      </c>
      <c r="E370" s="27" t="s">
        <v>138</v>
      </c>
      <c r="F370" s="7" t="s">
        <v>107</v>
      </c>
      <c r="G370" s="7" t="s">
        <v>10</v>
      </c>
      <c r="H370" s="7" t="s">
        <v>45</v>
      </c>
      <c r="I370" s="20" t="s">
        <v>748</v>
      </c>
      <c r="J370" s="20" t="s">
        <v>749</v>
      </c>
      <c r="K370" s="7" t="s">
        <v>119</v>
      </c>
      <c r="L370" s="61">
        <v>45708</v>
      </c>
      <c r="M370" s="7" t="s">
        <v>111</v>
      </c>
      <c r="N370" s="61">
        <v>45709</v>
      </c>
      <c r="O370" s="61">
        <v>45709</v>
      </c>
      <c r="P370" s="59"/>
      <c r="Q370" s="124" t="e">
        <f>P370*#REF!</f>
        <v>#REF!</v>
      </c>
      <c r="R370" s="126">
        <v>45713</v>
      </c>
      <c r="S370" s="153">
        <f>IF(L370="","",L370-B370)</f>
        <v>2</v>
      </c>
      <c r="T370" s="153">
        <f>IF(N370="","",N370-L370)</f>
        <v>1</v>
      </c>
      <c r="U370" s="153">
        <f>IF(O370="","",O370-N370)</f>
        <v>0</v>
      </c>
      <c r="V370" s="154">
        <f>IF(O370="","",O370-B370)</f>
        <v>3</v>
      </c>
      <c r="W370" s="154">
        <f>IF(O370="","",O370-L370)</f>
        <v>1</v>
      </c>
      <c r="X370" s="154">
        <f>IF(R370="","",R370-B370)</f>
        <v>7</v>
      </c>
    </row>
    <row r="371" spans="2:24" ht="17.25" hidden="1" customHeight="1">
      <c r="B371" s="23">
        <v>45706</v>
      </c>
      <c r="C371" s="7">
        <v>2003376150</v>
      </c>
      <c r="D371" s="20">
        <v>5778879</v>
      </c>
      <c r="E371" s="27" t="s">
        <v>123</v>
      </c>
      <c r="F371" s="7" t="s">
        <v>107</v>
      </c>
      <c r="G371" s="7" t="s">
        <v>10</v>
      </c>
      <c r="H371" s="7" t="s">
        <v>45</v>
      </c>
      <c r="I371" s="20" t="s">
        <v>448</v>
      </c>
      <c r="J371" s="20" t="s">
        <v>528</v>
      </c>
      <c r="K371" s="7" t="s">
        <v>122</v>
      </c>
      <c r="L371" s="61">
        <v>45708</v>
      </c>
      <c r="M371" s="7" t="s">
        <v>111</v>
      </c>
      <c r="N371" s="24">
        <v>45712</v>
      </c>
      <c r="O371" s="58">
        <v>45713</v>
      </c>
      <c r="P371" s="59"/>
      <c r="Q371" s="124" t="e">
        <f>P371*#REF!</f>
        <v>#REF!</v>
      </c>
      <c r="R371" s="126">
        <v>45713</v>
      </c>
      <c r="S371" s="153">
        <f>IF(L371="","",L371-B371)</f>
        <v>2</v>
      </c>
      <c r="T371" s="153">
        <f>IF(N371="","",N371-L371)</f>
        <v>4</v>
      </c>
      <c r="U371" s="153">
        <f>IF(O371="","",O371-N371)</f>
        <v>1</v>
      </c>
      <c r="V371" s="154">
        <f>IF(O371="","",O371-B371)</f>
        <v>7</v>
      </c>
      <c r="W371" s="154">
        <f>IF(O371="","",O371-L371)</f>
        <v>5</v>
      </c>
      <c r="X371" s="154">
        <f>IF(R371="","",R371-B371)</f>
        <v>7</v>
      </c>
    </row>
    <row r="372" spans="2:24" ht="17.25" hidden="1" customHeight="1">
      <c r="B372" s="23">
        <v>45706</v>
      </c>
      <c r="C372" s="7">
        <v>310021370</v>
      </c>
      <c r="D372" s="20">
        <v>5779014</v>
      </c>
      <c r="E372" s="27" t="s">
        <v>138</v>
      </c>
      <c r="F372" s="7" t="s">
        <v>107</v>
      </c>
      <c r="G372" s="7" t="s">
        <v>18</v>
      </c>
      <c r="H372" s="7" t="s">
        <v>45</v>
      </c>
      <c r="I372" s="20" t="s">
        <v>750</v>
      </c>
      <c r="J372" s="20" t="s">
        <v>751</v>
      </c>
      <c r="K372" s="7" t="s">
        <v>119</v>
      </c>
      <c r="L372" s="61">
        <v>45707</v>
      </c>
      <c r="M372" s="7" t="s">
        <v>111</v>
      </c>
      <c r="N372" s="61">
        <v>45707</v>
      </c>
      <c r="O372" s="61">
        <v>45707</v>
      </c>
      <c r="P372" s="59"/>
      <c r="Q372" s="124" t="e">
        <f>P372*#REF!</f>
        <v>#REF!</v>
      </c>
      <c r="R372" s="126">
        <v>45708</v>
      </c>
      <c r="S372" s="153">
        <f>IF(L372="","",L372-B372)</f>
        <v>1</v>
      </c>
      <c r="T372" s="153">
        <f>IF(N372="","",N372-L372)</f>
        <v>0</v>
      </c>
      <c r="U372" s="153">
        <f>IF(O372="","",O372-N372)</f>
        <v>0</v>
      </c>
      <c r="V372" s="154">
        <f>IF(O372="","",O372-B372)</f>
        <v>1</v>
      </c>
      <c r="W372" s="154">
        <f>IF(O372="","",O372-L372)</f>
        <v>0</v>
      </c>
      <c r="X372" s="154">
        <f>IF(R372="","",R372-B372)</f>
        <v>2</v>
      </c>
    </row>
    <row r="373" spans="2:24" ht="17.25" hidden="1" customHeight="1">
      <c r="B373" s="23">
        <v>45706</v>
      </c>
      <c r="C373" s="7">
        <v>2003606818</v>
      </c>
      <c r="D373" s="20">
        <v>5779017</v>
      </c>
      <c r="E373" s="27" t="s">
        <v>143</v>
      </c>
      <c r="F373" s="7" t="s">
        <v>113</v>
      </c>
      <c r="G373" s="7" t="s">
        <v>70</v>
      </c>
      <c r="H373" s="7" t="s">
        <v>47</v>
      </c>
      <c r="I373" s="20" t="s">
        <v>752</v>
      </c>
      <c r="J373" s="20" t="s">
        <v>753</v>
      </c>
      <c r="K373" s="7" t="s">
        <v>160</v>
      </c>
      <c r="P373" s="59"/>
      <c r="Q373" s="124" t="e">
        <f>P373*#REF!</f>
        <v>#REF!</v>
      </c>
      <c r="R373" s="126">
        <v>45715</v>
      </c>
      <c r="S373" s="153" t="str">
        <f>IF(L373="","",L373-B373)</f>
        <v/>
      </c>
      <c r="T373" s="153" t="str">
        <f>IF(N373="","",N373-L373)</f>
        <v/>
      </c>
      <c r="U373" s="153" t="str">
        <f>IF(O373="","",O373-N373)</f>
        <v/>
      </c>
      <c r="V373" s="154" t="str">
        <f>IF(O373="","",O373-B373)</f>
        <v/>
      </c>
      <c r="W373" s="154" t="str">
        <f>IF(O373="","",O373-L373)</f>
        <v/>
      </c>
      <c r="X373" s="154">
        <f>IF(R373="","",R373-B373)</f>
        <v>9</v>
      </c>
    </row>
    <row r="374" spans="2:24" ht="17.25" hidden="1" customHeight="1">
      <c r="B374" s="23">
        <v>45706</v>
      </c>
      <c r="C374" s="7">
        <v>2003589256</v>
      </c>
      <c r="D374" s="20">
        <v>5779183</v>
      </c>
      <c r="E374" s="27" t="s">
        <v>157</v>
      </c>
      <c r="F374" s="7" t="s">
        <v>107</v>
      </c>
      <c r="G374" s="7" t="s">
        <v>15</v>
      </c>
      <c r="H374" s="7" t="s">
        <v>45</v>
      </c>
      <c r="I374" s="20" t="s">
        <v>754</v>
      </c>
      <c r="J374" s="20" t="s">
        <v>755</v>
      </c>
      <c r="K374" s="7" t="s">
        <v>122</v>
      </c>
      <c r="L374" s="61">
        <v>45707</v>
      </c>
      <c r="M374" s="7" t="s">
        <v>111</v>
      </c>
      <c r="N374" s="24">
        <v>45712</v>
      </c>
      <c r="O374" s="58">
        <v>45727</v>
      </c>
      <c r="P374" s="59"/>
      <c r="Q374" s="124" t="e">
        <f>P374*#REF!</f>
        <v>#REF!</v>
      </c>
      <c r="R374" s="126">
        <v>45728</v>
      </c>
      <c r="S374" s="153">
        <f>IF(L374="","",L374-B374)</f>
        <v>1</v>
      </c>
      <c r="T374" s="153">
        <f>IF(N374="","",N374-L374)</f>
        <v>5</v>
      </c>
      <c r="U374" s="153">
        <f>IF(O374="","",O374-N374)</f>
        <v>15</v>
      </c>
      <c r="V374" s="154">
        <f>IF(O374="","",O374-B374)</f>
        <v>21</v>
      </c>
      <c r="W374" s="154">
        <f>IF(O374="","",O374-L374)</f>
        <v>20</v>
      </c>
      <c r="X374" s="154">
        <f>IF(R374="","",R374-B374)</f>
        <v>22</v>
      </c>
    </row>
    <row r="375" spans="2:24" ht="17.25" hidden="1" customHeight="1">
      <c r="B375" s="23">
        <v>45706</v>
      </c>
      <c r="C375" s="7">
        <v>2003545330</v>
      </c>
      <c r="D375" s="20">
        <v>245478</v>
      </c>
      <c r="E375" s="27" t="s">
        <v>756</v>
      </c>
      <c r="F375" s="7" t="s">
        <v>107</v>
      </c>
      <c r="G375" s="7" t="s">
        <v>18</v>
      </c>
      <c r="H375" s="7" t="s">
        <v>45</v>
      </c>
      <c r="I375" s="20" t="s">
        <v>757</v>
      </c>
      <c r="J375" s="20" t="s">
        <v>758</v>
      </c>
      <c r="K375" s="7" t="s">
        <v>110</v>
      </c>
      <c r="L375" s="61">
        <v>45712</v>
      </c>
      <c r="M375" s="7" t="s">
        <v>111</v>
      </c>
      <c r="N375" s="61">
        <v>45713</v>
      </c>
      <c r="O375" s="58">
        <v>45716</v>
      </c>
      <c r="P375" s="59"/>
      <c r="Q375" s="124" t="e">
        <f>P375*#REF!</f>
        <v>#REF!</v>
      </c>
      <c r="R375" s="126">
        <v>45716</v>
      </c>
      <c r="S375" s="153">
        <f>IF(L375="","",L375-B375)</f>
        <v>6</v>
      </c>
      <c r="T375" s="153">
        <f>IF(N375="","",N375-L375)</f>
        <v>1</v>
      </c>
      <c r="U375" s="153">
        <f>IF(O375="","",O375-N375)</f>
        <v>3</v>
      </c>
      <c r="V375" s="154">
        <f>IF(O375="","",O375-B375)</f>
        <v>10</v>
      </c>
      <c r="W375" s="154">
        <f>IF(O375="","",O375-L375)</f>
        <v>4</v>
      </c>
      <c r="X375" s="154">
        <f>IF(R375="","",R375-B375)</f>
        <v>10</v>
      </c>
    </row>
    <row r="376" spans="2:24" ht="17.25" hidden="1" customHeight="1">
      <c r="B376" s="23">
        <v>45706</v>
      </c>
      <c r="C376" s="7">
        <v>2003605478</v>
      </c>
      <c r="D376" s="20">
        <v>104071</v>
      </c>
      <c r="E376" s="27" t="s">
        <v>191</v>
      </c>
      <c r="F376" s="7" t="s">
        <v>107</v>
      </c>
      <c r="G376" s="7" t="s">
        <v>10</v>
      </c>
      <c r="H376" s="7" t="s">
        <v>45</v>
      </c>
      <c r="I376" s="20" t="s">
        <v>685</v>
      </c>
      <c r="J376" s="20" t="s">
        <v>686</v>
      </c>
      <c r="K376" s="7" t="s">
        <v>119</v>
      </c>
      <c r="L376" s="61">
        <v>45713</v>
      </c>
      <c r="M376" s="7" t="s">
        <v>111</v>
      </c>
      <c r="N376" s="24">
        <v>45728</v>
      </c>
      <c r="O376" s="24">
        <v>45728</v>
      </c>
      <c r="P376" s="59"/>
      <c r="Q376" s="124" t="e">
        <f>P376*#REF!</f>
        <v>#REF!</v>
      </c>
      <c r="R376" s="126">
        <v>45728</v>
      </c>
      <c r="S376" s="153">
        <f>IF(L376="","",L376-B376)</f>
        <v>7</v>
      </c>
      <c r="T376" s="153">
        <f>IF(N376="","",N376-L376)</f>
        <v>15</v>
      </c>
      <c r="U376" s="153">
        <f>IF(O376="","",O376-N376)</f>
        <v>0</v>
      </c>
      <c r="V376" s="154">
        <f>IF(O376="","",O376-B376)</f>
        <v>22</v>
      </c>
      <c r="W376" s="154">
        <f>IF(O376="","",O376-L376)</f>
        <v>15</v>
      </c>
      <c r="X376" s="154">
        <f>IF(R376="","",R376-B376)</f>
        <v>22</v>
      </c>
    </row>
    <row r="377" spans="2:24" ht="17.25" hidden="1" customHeight="1">
      <c r="B377" s="23">
        <v>45707</v>
      </c>
      <c r="C377" s="7">
        <v>2003613738</v>
      </c>
      <c r="D377" s="20">
        <v>5779730</v>
      </c>
      <c r="E377" s="27" t="s">
        <v>149</v>
      </c>
      <c r="F377" s="7" t="s">
        <v>107</v>
      </c>
      <c r="G377" s="7" t="s">
        <v>18</v>
      </c>
      <c r="H377" s="7" t="s">
        <v>45</v>
      </c>
      <c r="I377" s="20" t="s">
        <v>759</v>
      </c>
      <c r="J377" s="20" t="s">
        <v>760</v>
      </c>
      <c r="K377" s="7" t="s">
        <v>110</v>
      </c>
      <c r="L377" s="61">
        <v>45709</v>
      </c>
      <c r="M377" s="7" t="s">
        <v>111</v>
      </c>
      <c r="N377" s="24">
        <v>45709</v>
      </c>
      <c r="O377" s="58">
        <v>45712</v>
      </c>
      <c r="P377" s="59"/>
      <c r="Q377" s="124" t="e">
        <f>P377*#REF!</f>
        <v>#REF!</v>
      </c>
      <c r="R377" s="126">
        <v>45713</v>
      </c>
      <c r="S377" s="153">
        <f>IF(L377="","",L377-B377)</f>
        <v>2</v>
      </c>
      <c r="T377" s="153">
        <f>IF(N377="","",N377-L377)</f>
        <v>0</v>
      </c>
      <c r="U377" s="153">
        <f>IF(O377="","",O377-N377)</f>
        <v>3</v>
      </c>
      <c r="V377" s="154">
        <f>IF(O377="","",O377-B377)</f>
        <v>5</v>
      </c>
      <c r="W377" s="154">
        <f>IF(O377="","",O377-L377)</f>
        <v>3</v>
      </c>
      <c r="X377" s="154">
        <f>IF(R377="","",R377-B377)</f>
        <v>6</v>
      </c>
    </row>
    <row r="378" spans="2:24" ht="17.25" hidden="1" customHeight="1">
      <c r="B378" s="23">
        <v>45707</v>
      </c>
      <c r="C378" s="7">
        <v>2003612420</v>
      </c>
      <c r="D378" s="20">
        <v>5780017</v>
      </c>
      <c r="E378" s="27" t="s">
        <v>157</v>
      </c>
      <c r="F378" s="7" t="s">
        <v>107</v>
      </c>
      <c r="G378" s="7" t="s">
        <v>15</v>
      </c>
      <c r="H378" s="7" t="s">
        <v>45</v>
      </c>
      <c r="I378" s="20" t="s">
        <v>761</v>
      </c>
      <c r="J378" s="20" t="s">
        <v>762</v>
      </c>
      <c r="K378" s="7" t="s">
        <v>119</v>
      </c>
      <c r="L378" s="61">
        <v>45712</v>
      </c>
      <c r="M378" s="7" t="s">
        <v>111</v>
      </c>
      <c r="N378" s="61">
        <v>45712</v>
      </c>
      <c r="O378" s="58">
        <v>45715</v>
      </c>
      <c r="P378" s="59"/>
      <c r="Q378" s="124" t="e">
        <f>P378*#REF!</f>
        <v>#REF!</v>
      </c>
      <c r="R378" s="126">
        <v>45715</v>
      </c>
      <c r="S378" s="153">
        <f>IF(L378="","",L378-B378)</f>
        <v>5</v>
      </c>
      <c r="T378" s="153">
        <f>IF(N378="","",N378-L378)</f>
        <v>0</v>
      </c>
      <c r="U378" s="153">
        <f>IF(O378="","",O378-N378)</f>
        <v>3</v>
      </c>
      <c r="V378" s="154">
        <f>IF(O378="","",O378-B378)</f>
        <v>8</v>
      </c>
      <c r="W378" s="154">
        <f>IF(O378="","",O378-L378)</f>
        <v>3</v>
      </c>
      <c r="X378" s="154">
        <f>IF(R378="","",R378-B378)</f>
        <v>8</v>
      </c>
    </row>
    <row r="379" spans="2:24" ht="17.25" hidden="1" customHeight="1">
      <c r="B379" s="23">
        <v>45707</v>
      </c>
      <c r="C379" s="7">
        <v>2003592683</v>
      </c>
      <c r="D379" s="20">
        <v>5780078</v>
      </c>
      <c r="E379" s="27" t="s">
        <v>230</v>
      </c>
      <c r="F379" s="7" t="s">
        <v>107</v>
      </c>
      <c r="G379" s="7" t="s">
        <v>10</v>
      </c>
      <c r="H379" s="7" t="s">
        <v>45</v>
      </c>
      <c r="I379" s="20" t="s">
        <v>763</v>
      </c>
      <c r="J379" s="20" t="s">
        <v>764</v>
      </c>
      <c r="K379" s="7" t="s">
        <v>119</v>
      </c>
      <c r="L379" s="61">
        <v>45714</v>
      </c>
      <c r="M379" s="7" t="s">
        <v>111</v>
      </c>
      <c r="N379" s="61">
        <v>45714</v>
      </c>
      <c r="O379" s="61">
        <v>45714</v>
      </c>
      <c r="P379" s="59"/>
      <c r="Q379" s="124" t="e">
        <f>P379*#REF!</f>
        <v>#REF!</v>
      </c>
      <c r="R379" s="126">
        <v>45716</v>
      </c>
      <c r="S379" s="153">
        <f>IF(L379="","",L379-B379)</f>
        <v>7</v>
      </c>
      <c r="T379" s="153">
        <f>IF(N379="","",N379-L379)</f>
        <v>0</v>
      </c>
      <c r="U379" s="153">
        <f>IF(O379="","",O379-N379)</f>
        <v>0</v>
      </c>
      <c r="V379" s="154">
        <f>IF(O379="","",O379-B379)</f>
        <v>7</v>
      </c>
      <c r="W379" s="154">
        <f>IF(O379="","",O379-L379)</f>
        <v>0</v>
      </c>
      <c r="X379" s="154">
        <f>IF(R379="","",R379-B379)</f>
        <v>9</v>
      </c>
    </row>
    <row r="380" spans="2:24" ht="17.25" hidden="1" customHeight="1">
      <c r="B380" s="23">
        <v>45707</v>
      </c>
      <c r="C380" s="7">
        <v>2003558010</v>
      </c>
      <c r="D380" s="20">
        <v>5780218</v>
      </c>
      <c r="E380" s="27" t="s">
        <v>116</v>
      </c>
      <c r="F380" s="7" t="s">
        <v>107</v>
      </c>
      <c r="G380" s="7" t="s">
        <v>18</v>
      </c>
      <c r="H380" s="7" t="s">
        <v>45</v>
      </c>
      <c r="I380" s="20" t="s">
        <v>765</v>
      </c>
      <c r="J380" s="20" t="s">
        <v>766</v>
      </c>
      <c r="K380" s="7" t="s">
        <v>119</v>
      </c>
      <c r="L380" s="61">
        <v>45713</v>
      </c>
      <c r="M380" s="7" t="s">
        <v>111</v>
      </c>
      <c r="N380" s="61">
        <v>45713</v>
      </c>
      <c r="O380" s="58">
        <v>45716</v>
      </c>
      <c r="P380" s="59"/>
      <c r="Q380" s="124" t="e">
        <f>P380*#REF!</f>
        <v>#REF!</v>
      </c>
      <c r="R380" s="126">
        <v>45716</v>
      </c>
      <c r="S380" s="153">
        <f>IF(L380="","",L380-B380)</f>
        <v>6</v>
      </c>
      <c r="T380" s="153">
        <f>IF(N380="","",N380-L380)</f>
        <v>0</v>
      </c>
      <c r="U380" s="153">
        <f>IF(O380="","",O380-N380)</f>
        <v>3</v>
      </c>
      <c r="V380" s="154">
        <f>IF(O380="","",O380-B380)</f>
        <v>9</v>
      </c>
      <c r="W380" s="154">
        <f>IF(O380="","",O380-L380)</f>
        <v>3</v>
      </c>
      <c r="X380" s="154">
        <f>IF(R380="","",R380-B380)</f>
        <v>9</v>
      </c>
    </row>
    <row r="381" spans="2:24" ht="17.25" hidden="1" customHeight="1">
      <c r="B381" s="23">
        <v>45707</v>
      </c>
      <c r="C381" s="7">
        <v>2003614196</v>
      </c>
      <c r="D381" s="20">
        <v>5780273</v>
      </c>
      <c r="E381" s="27" t="s">
        <v>149</v>
      </c>
      <c r="F381" s="7" t="s">
        <v>107</v>
      </c>
      <c r="G381" s="7" t="s">
        <v>10</v>
      </c>
      <c r="H381" s="7" t="s">
        <v>45</v>
      </c>
      <c r="I381" s="20" t="s">
        <v>767</v>
      </c>
      <c r="J381" s="20" t="s">
        <v>768</v>
      </c>
      <c r="K381" s="7" t="s">
        <v>119</v>
      </c>
      <c r="L381" s="61">
        <v>45709</v>
      </c>
      <c r="M381" s="7" t="s">
        <v>111</v>
      </c>
      <c r="N381" s="61">
        <v>45709</v>
      </c>
      <c r="O381" s="58">
        <v>45712</v>
      </c>
      <c r="P381" s="59"/>
      <c r="Q381" s="124" t="e">
        <f>P381*#REF!</f>
        <v>#REF!</v>
      </c>
      <c r="R381" s="126">
        <v>45713</v>
      </c>
      <c r="S381" s="153">
        <f>IF(L381="","",L381-B381)</f>
        <v>2</v>
      </c>
      <c r="T381" s="153">
        <f>IF(N381="","",N381-L381)</f>
        <v>0</v>
      </c>
      <c r="U381" s="153">
        <f>IF(O381="","",O381-N381)</f>
        <v>3</v>
      </c>
      <c r="V381" s="154">
        <f>IF(O381="","",O381-B381)</f>
        <v>5</v>
      </c>
      <c r="W381" s="154">
        <f>IF(O381="","",O381-L381)</f>
        <v>3</v>
      </c>
      <c r="X381" s="154">
        <f>IF(R381="","",R381-B381)</f>
        <v>6</v>
      </c>
    </row>
    <row r="382" spans="2:24" ht="17.25" hidden="1" customHeight="1">
      <c r="B382" s="23">
        <v>45707</v>
      </c>
      <c r="C382" s="7">
        <v>2003610724</v>
      </c>
      <c r="D382" s="20">
        <v>104943</v>
      </c>
      <c r="E382" s="27" t="s">
        <v>123</v>
      </c>
      <c r="F382" s="7" t="s">
        <v>107</v>
      </c>
      <c r="G382" s="7" t="s">
        <v>10</v>
      </c>
      <c r="H382" s="7" t="s">
        <v>45</v>
      </c>
      <c r="I382" s="20" t="s">
        <v>164</v>
      </c>
      <c r="J382" s="20" t="s">
        <v>769</v>
      </c>
      <c r="K382" s="7" t="s">
        <v>119</v>
      </c>
      <c r="L382" s="61">
        <v>45712</v>
      </c>
      <c r="M382" s="7" t="s">
        <v>111</v>
      </c>
      <c r="N382" s="61">
        <v>45712</v>
      </c>
      <c r="O382" s="58">
        <v>45713</v>
      </c>
      <c r="P382" s="59"/>
      <c r="Q382" s="124" t="e">
        <f>P382*#REF!</f>
        <v>#REF!</v>
      </c>
      <c r="R382" s="126">
        <v>45713</v>
      </c>
      <c r="S382" s="153">
        <f>IF(L382="","",L382-B382)</f>
        <v>5</v>
      </c>
      <c r="T382" s="153">
        <f>IF(N382="","",N382-L382)</f>
        <v>0</v>
      </c>
      <c r="U382" s="153">
        <f>IF(O382="","",O382-N382)</f>
        <v>1</v>
      </c>
      <c r="V382" s="154">
        <f>IF(O382="","",O382-B382)</f>
        <v>6</v>
      </c>
      <c r="W382" s="154">
        <f>IF(O382="","",O382-L382)</f>
        <v>1</v>
      </c>
      <c r="X382" s="154">
        <f>IF(R382="","",R382-B382)</f>
        <v>6</v>
      </c>
    </row>
    <row r="383" spans="2:24" ht="17.25" hidden="1" customHeight="1">
      <c r="B383" s="23">
        <v>45707</v>
      </c>
      <c r="C383" s="7">
        <v>2003588265</v>
      </c>
      <c r="D383" s="20">
        <v>104941</v>
      </c>
      <c r="E383" s="20" t="s">
        <v>123</v>
      </c>
      <c r="F383" s="7" t="s">
        <v>107</v>
      </c>
      <c r="G383" s="7" t="s">
        <v>26</v>
      </c>
      <c r="H383" s="7" t="s">
        <v>45</v>
      </c>
      <c r="I383" s="20" t="s">
        <v>489</v>
      </c>
      <c r="J383" s="20" t="s">
        <v>490</v>
      </c>
      <c r="K383" s="7" t="s">
        <v>110</v>
      </c>
      <c r="L383" s="61">
        <v>45712</v>
      </c>
      <c r="M383" s="7" t="s">
        <v>111</v>
      </c>
      <c r="N383" s="24">
        <v>45713</v>
      </c>
      <c r="O383" s="58">
        <v>45713</v>
      </c>
      <c r="P383" s="59"/>
      <c r="Q383" s="124" t="e">
        <f>P383*#REF!</f>
        <v>#REF!</v>
      </c>
      <c r="R383" s="126">
        <v>45713</v>
      </c>
      <c r="S383" s="153">
        <f>IF(L383="","",L383-B383)</f>
        <v>5</v>
      </c>
      <c r="T383" s="153">
        <f>IF(N383="","",N383-L383)</f>
        <v>1</v>
      </c>
      <c r="U383" s="153">
        <f>IF(O383="","",O383-N383)</f>
        <v>0</v>
      </c>
      <c r="V383" s="154">
        <f>IF(O383="","",O383-B383)</f>
        <v>6</v>
      </c>
      <c r="W383" s="154">
        <f>IF(O383="","",O383-L383)</f>
        <v>1</v>
      </c>
      <c r="X383" s="154">
        <f>IF(R383="","",R383-B383)</f>
        <v>6</v>
      </c>
    </row>
    <row r="384" spans="2:24" ht="17.25" hidden="1" customHeight="1">
      <c r="B384" s="23">
        <v>45708</v>
      </c>
      <c r="C384" s="7">
        <v>2003613986</v>
      </c>
      <c r="D384" s="20">
        <v>5780855</v>
      </c>
      <c r="E384" s="27" t="s">
        <v>163</v>
      </c>
      <c r="F384" s="7" t="s">
        <v>107</v>
      </c>
      <c r="G384" s="7" t="s">
        <v>18</v>
      </c>
      <c r="H384" s="7" t="s">
        <v>45</v>
      </c>
      <c r="I384" s="20" t="s">
        <v>770</v>
      </c>
      <c r="J384" s="20" t="s">
        <v>771</v>
      </c>
      <c r="K384" s="7" t="s">
        <v>110</v>
      </c>
      <c r="L384" s="61">
        <v>45712</v>
      </c>
      <c r="M384" s="7" t="s">
        <v>111</v>
      </c>
      <c r="N384" s="61">
        <v>45712</v>
      </c>
      <c r="O384" s="58">
        <v>45713</v>
      </c>
      <c r="P384" s="59"/>
      <c r="Q384" s="124" t="e">
        <f>P384*#REF!</f>
        <v>#REF!</v>
      </c>
      <c r="R384" s="126">
        <v>45713</v>
      </c>
      <c r="S384" s="153">
        <f>IF(L384="","",L384-B384)</f>
        <v>4</v>
      </c>
      <c r="T384" s="153">
        <f>IF(N384="","",N384-L384)</f>
        <v>0</v>
      </c>
      <c r="U384" s="153">
        <f>IF(O384="","",O384-N384)</f>
        <v>1</v>
      </c>
      <c r="V384" s="154">
        <f>IF(O384="","",O384-B384)</f>
        <v>5</v>
      </c>
      <c r="W384" s="154">
        <f>IF(O384="","",O384-L384)</f>
        <v>1</v>
      </c>
      <c r="X384" s="154">
        <f>IF(R384="","",R384-B384)</f>
        <v>5</v>
      </c>
    </row>
    <row r="385" spans="2:24" ht="17.25" hidden="1" customHeight="1">
      <c r="B385" s="23">
        <v>45708</v>
      </c>
      <c r="C385" s="7">
        <v>2003581974</v>
      </c>
      <c r="D385" s="20">
        <v>5780872</v>
      </c>
      <c r="E385" s="27" t="s">
        <v>163</v>
      </c>
      <c r="F385" s="7" t="s">
        <v>113</v>
      </c>
      <c r="G385" s="7" t="s">
        <v>70</v>
      </c>
      <c r="H385" s="7" t="s">
        <v>47</v>
      </c>
      <c r="I385" s="20" t="s">
        <v>770</v>
      </c>
      <c r="J385" s="20" t="s">
        <v>771</v>
      </c>
      <c r="K385" s="7" t="s">
        <v>110</v>
      </c>
      <c r="L385" s="61">
        <v>45712</v>
      </c>
      <c r="M385" s="7" t="s">
        <v>111</v>
      </c>
      <c r="P385" s="59"/>
      <c r="Q385" s="124" t="e">
        <f>P385*#REF!</f>
        <v>#REF!</v>
      </c>
      <c r="R385" s="126">
        <v>45709</v>
      </c>
      <c r="S385" s="153">
        <f>IF(L385="","",L385-B385)</f>
        <v>4</v>
      </c>
      <c r="T385" s="153" t="str">
        <f>IF(N385="","",N385-L385)</f>
        <v/>
      </c>
      <c r="U385" s="153" t="str">
        <f>IF(O385="","",O385-N385)</f>
        <v/>
      </c>
      <c r="V385" s="154" t="str">
        <f>IF(O385="","",O385-B385)</f>
        <v/>
      </c>
      <c r="W385" s="154" t="str">
        <f>IF(O385="","",O385-L385)</f>
        <v/>
      </c>
      <c r="X385" s="154">
        <f>IF(R385="","",R385-B385)</f>
        <v>1</v>
      </c>
    </row>
    <row r="386" spans="2:24" ht="17.25" hidden="1" customHeight="1">
      <c r="B386" s="23">
        <v>45708</v>
      </c>
      <c r="C386" s="7">
        <v>2003613849</v>
      </c>
      <c r="D386" s="20">
        <v>5780899</v>
      </c>
      <c r="E386" s="27" t="s">
        <v>143</v>
      </c>
      <c r="F386" s="7" t="s">
        <v>113</v>
      </c>
      <c r="G386" s="7" t="s">
        <v>70</v>
      </c>
      <c r="H386" s="7" t="s">
        <v>47</v>
      </c>
      <c r="I386" s="20" t="s">
        <v>772</v>
      </c>
      <c r="J386" s="20" t="s">
        <v>773</v>
      </c>
      <c r="K386" s="7" t="s">
        <v>160</v>
      </c>
      <c r="P386" s="59"/>
      <c r="Q386" s="124" t="e">
        <f>P386*#REF!</f>
        <v>#REF!</v>
      </c>
      <c r="R386" s="126">
        <v>45715</v>
      </c>
      <c r="S386" s="153" t="str">
        <f>IF(L386="","",L386-B386)</f>
        <v/>
      </c>
      <c r="T386" s="153" t="str">
        <f>IF(N386="","",N386-L386)</f>
        <v/>
      </c>
      <c r="U386" s="153" t="str">
        <f>IF(O386="","",O386-N386)</f>
        <v/>
      </c>
      <c r="V386" s="154" t="str">
        <f>IF(O386="","",O386-B386)</f>
        <v/>
      </c>
      <c r="W386" s="154" t="str">
        <f>IF(O386="","",O386-L386)</f>
        <v/>
      </c>
      <c r="X386" s="154">
        <f>IF(R386="","",R386-B386)</f>
        <v>7</v>
      </c>
    </row>
    <row r="387" spans="2:24" ht="17.25" hidden="1" customHeight="1">
      <c r="B387" s="23">
        <v>45708</v>
      </c>
      <c r="C387" s="7">
        <v>2003614812</v>
      </c>
      <c r="D387" s="20">
        <v>5781012</v>
      </c>
      <c r="E387" s="27" t="s">
        <v>126</v>
      </c>
      <c r="F387" s="7" t="s">
        <v>107</v>
      </c>
      <c r="G387" s="7" t="s">
        <v>10</v>
      </c>
      <c r="H387" s="7" t="s">
        <v>45</v>
      </c>
      <c r="I387" s="20" t="s">
        <v>371</v>
      </c>
      <c r="J387" s="20" t="s">
        <v>774</v>
      </c>
      <c r="K387" s="7" t="s">
        <v>110</v>
      </c>
      <c r="L387" s="61">
        <v>45715</v>
      </c>
      <c r="M387" s="7" t="s">
        <v>111</v>
      </c>
      <c r="N387" s="24">
        <v>45715</v>
      </c>
      <c r="O387" s="58">
        <v>45716</v>
      </c>
      <c r="P387" s="59"/>
      <c r="Q387" s="124" t="e">
        <f>P387*#REF!</f>
        <v>#REF!</v>
      </c>
      <c r="R387" s="126">
        <v>45716</v>
      </c>
      <c r="S387" s="153">
        <f>IF(L387="","",L387-B387)</f>
        <v>7</v>
      </c>
      <c r="T387" s="153">
        <f>IF(N387="","",N387-L387)</f>
        <v>0</v>
      </c>
      <c r="U387" s="153">
        <f>IF(O387="","",O387-N387)</f>
        <v>1</v>
      </c>
      <c r="V387" s="154">
        <f>IF(O387="","",O387-B387)</f>
        <v>8</v>
      </c>
      <c r="W387" s="154">
        <f>IF(O387="","",O387-L387)</f>
        <v>1</v>
      </c>
      <c r="X387" s="154">
        <f>IF(R387="","",R387-B387)</f>
        <v>8</v>
      </c>
    </row>
    <row r="388" spans="2:24" ht="17.25" hidden="1" customHeight="1">
      <c r="B388" s="23">
        <v>45708</v>
      </c>
      <c r="C388" s="7">
        <v>2003582504</v>
      </c>
      <c r="D388" s="20">
        <v>5781096</v>
      </c>
      <c r="E388" s="27" t="s">
        <v>138</v>
      </c>
      <c r="F388" s="7" t="s">
        <v>107</v>
      </c>
      <c r="G388" s="7" t="s">
        <v>21</v>
      </c>
      <c r="H388" s="7" t="s">
        <v>45</v>
      </c>
      <c r="I388" s="20" t="s">
        <v>444</v>
      </c>
      <c r="J388" s="20" t="s">
        <v>445</v>
      </c>
      <c r="K388" s="7" t="s">
        <v>122</v>
      </c>
      <c r="L388" s="61">
        <v>45709</v>
      </c>
      <c r="M388" s="7" t="s">
        <v>111</v>
      </c>
      <c r="N388" s="24">
        <v>45713</v>
      </c>
      <c r="O388" s="24">
        <v>45713</v>
      </c>
      <c r="P388" s="59"/>
      <c r="Q388" s="124" t="e">
        <f>P388*#REF!</f>
        <v>#REF!</v>
      </c>
      <c r="R388" s="126">
        <v>45713</v>
      </c>
      <c r="S388" s="153">
        <f>IF(L388="","",L388-B388)</f>
        <v>1</v>
      </c>
      <c r="T388" s="153">
        <f>IF(N388="","",N388-L388)</f>
        <v>4</v>
      </c>
      <c r="U388" s="153">
        <f>IF(O388="","",O388-N388)</f>
        <v>0</v>
      </c>
      <c r="V388" s="154">
        <f>IF(O388="","",O388-B388)</f>
        <v>5</v>
      </c>
      <c r="W388" s="154">
        <f>IF(O388="","",O388-L388)</f>
        <v>4</v>
      </c>
      <c r="X388" s="154">
        <f>IF(R388="","",R388-B388)</f>
        <v>5</v>
      </c>
    </row>
    <row r="389" spans="2:24" ht="17.25" hidden="1" customHeight="1">
      <c r="B389" s="23">
        <v>45708</v>
      </c>
      <c r="C389" s="7">
        <v>2003612840</v>
      </c>
      <c r="D389" s="20">
        <v>5781215</v>
      </c>
      <c r="E389" s="27" t="s">
        <v>126</v>
      </c>
      <c r="F389" s="7" t="s">
        <v>107</v>
      </c>
      <c r="G389" s="7" t="s">
        <v>10</v>
      </c>
      <c r="H389" s="7" t="s">
        <v>45</v>
      </c>
      <c r="I389" s="20" t="s">
        <v>775</v>
      </c>
      <c r="J389" s="20" t="s">
        <v>776</v>
      </c>
      <c r="K389" s="7" t="s">
        <v>146</v>
      </c>
      <c r="L389" s="61">
        <v>45712</v>
      </c>
      <c r="M389" s="7" t="s">
        <v>111</v>
      </c>
      <c r="N389" s="61">
        <v>45712</v>
      </c>
      <c r="O389" s="58">
        <v>45713</v>
      </c>
      <c r="P389" s="59"/>
      <c r="Q389" s="124" t="e">
        <f>P389*#REF!</f>
        <v>#REF!</v>
      </c>
      <c r="R389" s="126">
        <v>45713</v>
      </c>
      <c r="S389" s="153">
        <f>IF(L389="","",L389-B389)</f>
        <v>4</v>
      </c>
      <c r="T389" s="153">
        <f>IF(N389="","",N389-L389)</f>
        <v>0</v>
      </c>
      <c r="U389" s="153">
        <f>IF(O389="","",O389-N389)</f>
        <v>1</v>
      </c>
      <c r="V389" s="154">
        <f>IF(O389="","",O389-B389)</f>
        <v>5</v>
      </c>
      <c r="W389" s="154">
        <f>IF(O389="","",O389-L389)</f>
        <v>1</v>
      </c>
      <c r="X389" s="154">
        <f>IF(R389="","",R389-B389)</f>
        <v>5</v>
      </c>
    </row>
    <row r="390" spans="2:24" ht="17.25" hidden="1" customHeight="1">
      <c r="B390" s="23">
        <v>45708</v>
      </c>
      <c r="C390" s="7">
        <v>2003610167</v>
      </c>
      <c r="D390" s="20">
        <v>5781294</v>
      </c>
      <c r="E390" s="27" t="s">
        <v>126</v>
      </c>
      <c r="F390" s="7" t="s">
        <v>107</v>
      </c>
      <c r="G390" s="7" t="s">
        <v>18</v>
      </c>
      <c r="H390" s="7" t="s">
        <v>45</v>
      </c>
      <c r="I390" s="20" t="s">
        <v>249</v>
      </c>
      <c r="J390" s="20" t="s">
        <v>777</v>
      </c>
      <c r="K390" s="7" t="s">
        <v>110</v>
      </c>
      <c r="L390" s="61">
        <v>45714</v>
      </c>
      <c r="M390" s="7" t="s">
        <v>111</v>
      </c>
      <c r="N390" s="61">
        <v>45714</v>
      </c>
      <c r="O390" s="58">
        <v>45715</v>
      </c>
      <c r="P390" s="59"/>
      <c r="Q390" s="124" t="e">
        <f>P390*#REF!</f>
        <v>#REF!</v>
      </c>
      <c r="R390" s="126">
        <v>45716</v>
      </c>
      <c r="S390" s="153">
        <f>IF(L390="","",L390-B390)</f>
        <v>6</v>
      </c>
      <c r="T390" s="153">
        <f>IF(N390="","",N390-L390)</f>
        <v>0</v>
      </c>
      <c r="U390" s="153">
        <f>IF(O390="","",O390-N390)</f>
        <v>1</v>
      </c>
      <c r="V390" s="154">
        <f>IF(O390="","",O390-B390)</f>
        <v>7</v>
      </c>
      <c r="W390" s="154">
        <f>IF(O390="","",O390-L390)</f>
        <v>1</v>
      </c>
      <c r="X390" s="154">
        <f>IF(R390="","",R390-B390)</f>
        <v>8</v>
      </c>
    </row>
    <row r="391" spans="2:24" ht="17.25" hidden="1" customHeight="1">
      <c r="B391" s="23">
        <v>45708</v>
      </c>
      <c r="C391" s="7">
        <v>2003614410</v>
      </c>
      <c r="D391" s="20">
        <v>106213</v>
      </c>
      <c r="E391" s="27" t="s">
        <v>138</v>
      </c>
      <c r="F391" s="7" t="s">
        <v>107</v>
      </c>
      <c r="G391" s="7" t="s">
        <v>10</v>
      </c>
      <c r="H391" s="7" t="s">
        <v>45</v>
      </c>
      <c r="I391" s="20" t="s">
        <v>778</v>
      </c>
      <c r="J391" s="20" t="s">
        <v>779</v>
      </c>
      <c r="K391" s="7" t="s">
        <v>119</v>
      </c>
      <c r="L391" s="61">
        <v>45712</v>
      </c>
      <c r="M391" s="7" t="s">
        <v>111</v>
      </c>
      <c r="N391" s="61">
        <v>45712</v>
      </c>
      <c r="O391" s="58">
        <v>45714</v>
      </c>
      <c r="P391" s="59"/>
      <c r="Q391" s="124" t="e">
        <f>P391*#REF!</f>
        <v>#REF!</v>
      </c>
      <c r="R391" s="126">
        <v>45715</v>
      </c>
      <c r="S391" s="153">
        <f>IF(L391="","",L391-B391)</f>
        <v>4</v>
      </c>
      <c r="T391" s="153">
        <f>IF(N391="","",N391-L391)</f>
        <v>0</v>
      </c>
      <c r="U391" s="153">
        <f>IF(O391="","",O391-N391)</f>
        <v>2</v>
      </c>
      <c r="V391" s="154">
        <f>IF(O391="","",O391-B391)</f>
        <v>6</v>
      </c>
      <c r="W391" s="154">
        <f>IF(O391="","",O391-L391)</f>
        <v>2</v>
      </c>
      <c r="X391" s="154">
        <f>IF(R391="","",R391-B391)</f>
        <v>7</v>
      </c>
    </row>
    <row r="392" spans="2:24" ht="17.25" hidden="1" customHeight="1">
      <c r="B392" s="23">
        <v>45708</v>
      </c>
      <c r="C392" s="7">
        <v>2003581078</v>
      </c>
      <c r="D392" s="20">
        <v>106205</v>
      </c>
      <c r="E392" s="27" t="s">
        <v>185</v>
      </c>
      <c r="F392" s="7" t="s">
        <v>107</v>
      </c>
      <c r="G392" s="7" t="s">
        <v>10</v>
      </c>
      <c r="H392" s="7" t="s">
        <v>45</v>
      </c>
      <c r="I392" s="20" t="s">
        <v>780</v>
      </c>
      <c r="J392" s="20" t="s">
        <v>781</v>
      </c>
      <c r="K392" s="7" t="s">
        <v>119</v>
      </c>
      <c r="L392" s="61">
        <v>45715</v>
      </c>
      <c r="M392" s="7" t="s">
        <v>111</v>
      </c>
      <c r="N392" s="209">
        <v>45716</v>
      </c>
      <c r="O392" s="209">
        <v>45716</v>
      </c>
      <c r="P392" s="59"/>
      <c r="Q392" s="124" t="e">
        <f>P392*#REF!</f>
        <v>#REF!</v>
      </c>
      <c r="R392" s="126">
        <v>45721</v>
      </c>
      <c r="S392" s="153">
        <f>IF(L392="","",L392-B392)</f>
        <v>7</v>
      </c>
      <c r="T392" s="153">
        <f>IF(N392="","",N392-L392)</f>
        <v>1</v>
      </c>
      <c r="U392" s="153">
        <f>IF(O392="","",O392-N392)</f>
        <v>0</v>
      </c>
      <c r="V392" s="154">
        <f>IF(O392="","",O392-B392)</f>
        <v>8</v>
      </c>
      <c r="W392" s="154">
        <f>IF(O392="","",O392-L392)</f>
        <v>1</v>
      </c>
      <c r="X392" s="154">
        <f>IF(R392="","",R392-B392)</f>
        <v>13</v>
      </c>
    </row>
    <row r="393" spans="2:24" ht="17.25" hidden="1" customHeight="1">
      <c r="B393" s="23">
        <v>45708</v>
      </c>
      <c r="C393" s="7">
        <v>2003614374</v>
      </c>
      <c r="D393" s="20">
        <v>105760</v>
      </c>
      <c r="E393" s="27" t="s">
        <v>129</v>
      </c>
      <c r="F393" s="7" t="s">
        <v>107</v>
      </c>
      <c r="G393" s="7" t="s">
        <v>10</v>
      </c>
      <c r="H393" s="7" t="s">
        <v>45</v>
      </c>
      <c r="I393" s="20" t="s">
        <v>782</v>
      </c>
      <c r="J393" s="20" t="s">
        <v>783</v>
      </c>
      <c r="K393" s="7" t="s">
        <v>110</v>
      </c>
      <c r="L393" s="61">
        <v>45714</v>
      </c>
      <c r="M393" s="7" t="s">
        <v>146</v>
      </c>
      <c r="N393" s="24">
        <v>45737</v>
      </c>
      <c r="O393" s="58">
        <v>45741</v>
      </c>
      <c r="P393" s="59"/>
      <c r="Q393" s="124" t="e">
        <f>P393*#REF!</f>
        <v>#REF!</v>
      </c>
      <c r="R393" s="126">
        <v>45741</v>
      </c>
      <c r="S393" s="153">
        <f>IF(L393="","",L393-B393)</f>
        <v>6</v>
      </c>
      <c r="T393" s="153">
        <f>IF(N393="","",N393-L393)</f>
        <v>23</v>
      </c>
      <c r="U393" s="153">
        <f>IF(O393="","",O393-N393)</f>
        <v>4</v>
      </c>
      <c r="V393" s="154">
        <f>IF(O393="","",O393-B393)</f>
        <v>33</v>
      </c>
      <c r="W393" s="154">
        <f>IF(O393="","",O393-L393)</f>
        <v>27</v>
      </c>
      <c r="X393" s="154">
        <f>IF(R393="","",R393-B393)</f>
        <v>33</v>
      </c>
    </row>
    <row r="394" spans="2:24" ht="17.25" hidden="1" customHeight="1">
      <c r="B394" s="23">
        <v>45709</v>
      </c>
      <c r="C394" s="7">
        <v>2003561620</v>
      </c>
      <c r="D394" s="20">
        <v>5781610</v>
      </c>
      <c r="E394" s="27" t="s">
        <v>123</v>
      </c>
      <c r="F394" s="7" t="s">
        <v>107</v>
      </c>
      <c r="G394" s="7" t="s">
        <v>21</v>
      </c>
      <c r="H394" s="7" t="s">
        <v>45</v>
      </c>
      <c r="I394" s="20" t="s">
        <v>784</v>
      </c>
      <c r="J394" s="20" t="s">
        <v>785</v>
      </c>
      <c r="K394" s="7" t="s">
        <v>119</v>
      </c>
      <c r="L394" s="61">
        <v>45713</v>
      </c>
      <c r="M394" s="7" t="s">
        <v>111</v>
      </c>
      <c r="N394" s="61">
        <v>45713</v>
      </c>
      <c r="O394" s="58">
        <v>45714</v>
      </c>
      <c r="P394" s="59"/>
      <c r="Q394" s="124" t="e">
        <f>P394*#REF!</f>
        <v>#REF!</v>
      </c>
      <c r="R394" s="126">
        <v>45715</v>
      </c>
      <c r="S394" s="153">
        <f>IF(L394="","",L394-B394)</f>
        <v>4</v>
      </c>
      <c r="T394" s="153">
        <f>IF(N394="","",N394-L394)</f>
        <v>0</v>
      </c>
      <c r="U394" s="153">
        <f>IF(O394="","",O394-N394)</f>
        <v>1</v>
      </c>
      <c r="V394" s="154">
        <f>IF(O394="","",O394-B394)</f>
        <v>5</v>
      </c>
      <c r="W394" s="154">
        <f>IF(O394="","",O394-L394)</f>
        <v>1</v>
      </c>
      <c r="X394" s="154">
        <f>IF(R394="","",R394-B394)</f>
        <v>6</v>
      </c>
    </row>
    <row r="395" spans="2:24" ht="17.25" hidden="1" customHeight="1">
      <c r="B395" s="23">
        <v>45709</v>
      </c>
      <c r="C395" s="7">
        <v>2003588908</v>
      </c>
      <c r="D395" s="20">
        <v>5781655</v>
      </c>
      <c r="E395" s="27" t="s">
        <v>191</v>
      </c>
      <c r="F395" s="7" t="s">
        <v>107</v>
      </c>
      <c r="G395" s="7" t="s">
        <v>10</v>
      </c>
      <c r="H395" s="7" t="s">
        <v>45</v>
      </c>
      <c r="I395" s="20" t="s">
        <v>573</v>
      </c>
      <c r="J395" s="20" t="s">
        <v>574</v>
      </c>
      <c r="K395" s="7" t="s">
        <v>110</v>
      </c>
      <c r="L395" s="61">
        <v>45715</v>
      </c>
      <c r="M395" s="7" t="s">
        <v>111</v>
      </c>
      <c r="N395" s="61">
        <v>45715</v>
      </c>
      <c r="O395" s="61">
        <v>45715</v>
      </c>
      <c r="P395" s="59">
        <v>59.3</v>
      </c>
      <c r="Q395" s="124" t="e">
        <f>P395*#REF!</f>
        <v>#REF!</v>
      </c>
      <c r="R395" s="126">
        <v>45716</v>
      </c>
      <c r="S395" s="153">
        <f>IF(L395="","",L395-B395)</f>
        <v>6</v>
      </c>
      <c r="T395" s="153">
        <f>IF(N395="","",N395-L395)</f>
        <v>0</v>
      </c>
      <c r="U395" s="153">
        <f>IF(O395="","",O395-N395)</f>
        <v>0</v>
      </c>
      <c r="V395" s="154">
        <f>IF(O395="","",O395-B395)</f>
        <v>6</v>
      </c>
      <c r="W395" s="154">
        <f>IF(O395="","",O395-L395)</f>
        <v>0</v>
      </c>
      <c r="X395" s="154">
        <f>IF(R395="","",R395-B395)</f>
        <v>7</v>
      </c>
    </row>
    <row r="396" spans="2:24" ht="17.25" hidden="1" customHeight="1">
      <c r="B396" s="23">
        <v>45709</v>
      </c>
      <c r="C396" s="7">
        <v>2003604315</v>
      </c>
      <c r="D396" s="20">
        <v>5781671</v>
      </c>
      <c r="E396" s="27" t="s">
        <v>126</v>
      </c>
      <c r="F396" s="7" t="s">
        <v>107</v>
      </c>
      <c r="G396" s="7" t="s">
        <v>18</v>
      </c>
      <c r="H396" s="7" t="s">
        <v>45</v>
      </c>
      <c r="I396" s="20" t="s">
        <v>786</v>
      </c>
      <c r="J396" s="20" t="s">
        <v>787</v>
      </c>
      <c r="K396" s="7" t="s">
        <v>110</v>
      </c>
      <c r="L396" s="61">
        <v>45712</v>
      </c>
      <c r="M396" s="7" t="s">
        <v>111</v>
      </c>
      <c r="N396" s="61">
        <v>45712</v>
      </c>
      <c r="O396" s="58">
        <v>45713</v>
      </c>
      <c r="P396" s="59"/>
      <c r="Q396" s="124" t="e">
        <f>P396*#REF!</f>
        <v>#REF!</v>
      </c>
      <c r="R396" s="126">
        <v>45713</v>
      </c>
      <c r="S396" s="153">
        <f>IF(L396="","",L396-B396)</f>
        <v>3</v>
      </c>
      <c r="T396" s="153">
        <f>IF(N396="","",N396-L396)</f>
        <v>0</v>
      </c>
      <c r="U396" s="153">
        <f>IF(O396="","",O396-N396)</f>
        <v>1</v>
      </c>
      <c r="V396" s="154">
        <f>IF(O396="","",O396-B396)</f>
        <v>4</v>
      </c>
      <c r="W396" s="154">
        <f>IF(O396="","",O396-L396)</f>
        <v>1</v>
      </c>
      <c r="X396" s="154">
        <f>IF(R396="","",R396-B396)</f>
        <v>4</v>
      </c>
    </row>
    <row r="397" spans="2:24" ht="17.25" hidden="1" customHeight="1">
      <c r="B397" s="23">
        <v>45709</v>
      </c>
      <c r="C397" s="7">
        <v>2003602270</v>
      </c>
      <c r="D397" s="20">
        <v>5781711</v>
      </c>
      <c r="E397" s="27" t="s">
        <v>230</v>
      </c>
      <c r="F397" s="7" t="s">
        <v>107</v>
      </c>
      <c r="G397" s="7" t="s">
        <v>10</v>
      </c>
      <c r="H397" s="7" t="s">
        <v>45</v>
      </c>
      <c r="I397" s="20" t="s">
        <v>306</v>
      </c>
      <c r="J397" s="20" t="s">
        <v>788</v>
      </c>
      <c r="K397" s="7" t="s">
        <v>110</v>
      </c>
      <c r="L397" s="61">
        <v>45715</v>
      </c>
      <c r="M397" s="7" t="s">
        <v>111</v>
      </c>
      <c r="N397" s="61">
        <v>45715</v>
      </c>
      <c r="O397" s="61">
        <v>45715</v>
      </c>
      <c r="P397" s="59"/>
      <c r="Q397" s="124" t="e">
        <f>P397*#REF!</f>
        <v>#REF!</v>
      </c>
      <c r="R397" s="126">
        <v>45716</v>
      </c>
      <c r="S397" s="153">
        <f>IF(L397="","",L397-B397)</f>
        <v>6</v>
      </c>
      <c r="T397" s="153">
        <f>IF(N397="","",N397-L397)</f>
        <v>0</v>
      </c>
      <c r="U397" s="153">
        <f>IF(O397="","",O397-N397)</f>
        <v>0</v>
      </c>
      <c r="V397" s="154">
        <f>IF(O397="","",O397-B397)</f>
        <v>6</v>
      </c>
      <c r="W397" s="154">
        <f>IF(O397="","",O397-L397)</f>
        <v>0</v>
      </c>
      <c r="X397" s="154">
        <f>IF(R397="","",R397-B397)</f>
        <v>7</v>
      </c>
    </row>
    <row r="398" spans="2:24" ht="17.25" hidden="1" customHeight="1">
      <c r="B398" s="23">
        <v>45709</v>
      </c>
      <c r="C398" s="7">
        <v>2003615550</v>
      </c>
      <c r="D398" s="20">
        <v>5781752</v>
      </c>
      <c r="E398" s="27" t="s">
        <v>191</v>
      </c>
      <c r="F398" s="7" t="s">
        <v>107</v>
      </c>
      <c r="G398" s="7" t="s">
        <v>26</v>
      </c>
      <c r="H398" s="7" t="s">
        <v>45</v>
      </c>
      <c r="I398" s="20" t="s">
        <v>789</v>
      </c>
      <c r="J398" s="20" t="s">
        <v>790</v>
      </c>
      <c r="K398" s="7" t="s">
        <v>119</v>
      </c>
      <c r="L398" s="61">
        <v>45712</v>
      </c>
      <c r="M398" s="7" t="s">
        <v>111</v>
      </c>
      <c r="N398" s="24">
        <v>45713</v>
      </c>
      <c r="O398" s="58">
        <v>45713</v>
      </c>
      <c r="P398" s="59"/>
      <c r="Q398" s="124" t="e">
        <f>P398*#REF!</f>
        <v>#REF!</v>
      </c>
      <c r="R398" s="126">
        <v>45713</v>
      </c>
      <c r="S398" s="153">
        <f>IF(L398="","",L398-B398)</f>
        <v>3</v>
      </c>
      <c r="T398" s="153">
        <f>IF(N398="","",N398-L398)</f>
        <v>1</v>
      </c>
      <c r="U398" s="153">
        <f>IF(O398="","",O398-N398)</f>
        <v>0</v>
      </c>
      <c r="V398" s="154">
        <f>IF(O398="","",O398-B398)</f>
        <v>4</v>
      </c>
      <c r="W398" s="154">
        <f>IF(O398="","",O398-L398)</f>
        <v>1</v>
      </c>
      <c r="X398" s="154">
        <f>IF(R398="","",R398-B398)</f>
        <v>4</v>
      </c>
    </row>
    <row r="399" spans="2:24" ht="17.25" hidden="1" customHeight="1">
      <c r="B399" s="23">
        <v>45709</v>
      </c>
      <c r="C399" s="7">
        <v>2003604564</v>
      </c>
      <c r="D399" s="20">
        <v>5781940</v>
      </c>
      <c r="E399" s="27" t="s">
        <v>486</v>
      </c>
      <c r="F399" s="7" t="s">
        <v>107</v>
      </c>
      <c r="G399" s="7" t="s">
        <v>10</v>
      </c>
      <c r="H399" s="7" t="s">
        <v>45</v>
      </c>
      <c r="I399" s="20" t="s">
        <v>791</v>
      </c>
      <c r="J399" s="20" t="s">
        <v>792</v>
      </c>
      <c r="K399" s="7" t="s">
        <v>119</v>
      </c>
      <c r="L399" s="61">
        <v>45713</v>
      </c>
      <c r="M399" s="7" t="s">
        <v>111</v>
      </c>
      <c r="N399" s="61">
        <v>45713</v>
      </c>
      <c r="O399" s="58">
        <v>45714</v>
      </c>
      <c r="P399" s="59"/>
      <c r="Q399" s="124" t="e">
        <f>P399*#REF!</f>
        <v>#REF!</v>
      </c>
      <c r="R399" s="126">
        <v>45715</v>
      </c>
      <c r="S399" s="153">
        <f>IF(L399="","",L399-B399)</f>
        <v>4</v>
      </c>
      <c r="T399" s="153">
        <f>IF(N399="","",N399-L399)</f>
        <v>0</v>
      </c>
      <c r="U399" s="153">
        <f>IF(O399="","",O399-N399)</f>
        <v>1</v>
      </c>
      <c r="V399" s="154">
        <f>IF(O399="","",O399-B399)</f>
        <v>5</v>
      </c>
      <c r="W399" s="154">
        <f>IF(O399="","",O399-L399)</f>
        <v>1</v>
      </c>
      <c r="X399" s="154">
        <f>IF(R399="","",R399-B399)</f>
        <v>6</v>
      </c>
    </row>
    <row r="400" spans="2:24" ht="17.25" hidden="1" customHeight="1">
      <c r="B400" s="23">
        <v>45709</v>
      </c>
      <c r="C400" s="7">
        <v>2003607291</v>
      </c>
      <c r="D400" s="20">
        <v>5782287</v>
      </c>
      <c r="E400" s="27" t="s">
        <v>106</v>
      </c>
      <c r="F400" s="7" t="s">
        <v>107</v>
      </c>
      <c r="G400" s="7" t="s">
        <v>10</v>
      </c>
      <c r="H400" s="7" t="s">
        <v>45</v>
      </c>
      <c r="I400" s="20" t="s">
        <v>226</v>
      </c>
      <c r="J400" s="20" t="s">
        <v>793</v>
      </c>
      <c r="K400" s="7" t="s">
        <v>110</v>
      </c>
      <c r="L400" s="61">
        <v>45714</v>
      </c>
      <c r="M400" s="7" t="s">
        <v>111</v>
      </c>
      <c r="N400" s="61">
        <v>45714</v>
      </c>
      <c r="O400" s="58">
        <v>45715</v>
      </c>
      <c r="P400" s="59"/>
      <c r="Q400" s="124" t="e">
        <f>P400*#REF!</f>
        <v>#REF!</v>
      </c>
      <c r="R400" s="126">
        <v>45716</v>
      </c>
      <c r="S400" s="153">
        <f>IF(L400="","",L400-B400)</f>
        <v>5</v>
      </c>
      <c r="T400" s="153">
        <f>IF(N400="","",N400-L400)</f>
        <v>0</v>
      </c>
      <c r="U400" s="153">
        <f>IF(O400="","",O400-N400)</f>
        <v>1</v>
      </c>
      <c r="V400" s="154">
        <f>IF(O400="","",O400-B400)</f>
        <v>6</v>
      </c>
      <c r="W400" s="154">
        <f>IF(O400="","",O400-L400)</f>
        <v>1</v>
      </c>
      <c r="X400" s="154">
        <f>IF(R400="","",R400-B400)</f>
        <v>7</v>
      </c>
    </row>
    <row r="401" spans="2:24" ht="17.25" hidden="1" customHeight="1">
      <c r="B401" s="23">
        <v>45709</v>
      </c>
      <c r="C401" s="7">
        <v>2003596732</v>
      </c>
      <c r="D401" s="20">
        <v>5782346</v>
      </c>
      <c r="E401" s="27" t="s">
        <v>112</v>
      </c>
      <c r="F401" s="7" t="s">
        <v>107</v>
      </c>
      <c r="G401" s="7" t="s">
        <v>15</v>
      </c>
      <c r="H401" s="7" t="s">
        <v>45</v>
      </c>
      <c r="I401" s="20" t="s">
        <v>794</v>
      </c>
      <c r="J401" s="20" t="s">
        <v>795</v>
      </c>
      <c r="K401" s="7" t="s">
        <v>122</v>
      </c>
      <c r="L401" s="61">
        <v>45713</v>
      </c>
      <c r="M401" s="7" t="s">
        <v>111</v>
      </c>
      <c r="N401" s="61">
        <v>45714</v>
      </c>
      <c r="O401" s="61">
        <v>45714</v>
      </c>
      <c r="P401" s="59"/>
      <c r="Q401" s="124" t="e">
        <f>P401*#REF!</f>
        <v>#REF!</v>
      </c>
      <c r="R401" s="126">
        <v>45715</v>
      </c>
      <c r="S401" s="153">
        <f>IF(L401="","",L401-B401)</f>
        <v>4</v>
      </c>
      <c r="T401" s="153">
        <f>IF(N401="","",N401-L401)</f>
        <v>1</v>
      </c>
      <c r="U401" s="153">
        <f>IF(O401="","",O401-N401)</f>
        <v>0</v>
      </c>
      <c r="V401" s="154">
        <f>IF(O401="","",O401-B401)</f>
        <v>5</v>
      </c>
      <c r="W401" s="154">
        <f>IF(O401="","",O401-L401)</f>
        <v>1</v>
      </c>
      <c r="X401" s="154">
        <f>IF(R401="","",R401-B401)</f>
        <v>6</v>
      </c>
    </row>
    <row r="402" spans="2:24" ht="17.25" hidden="1" customHeight="1">
      <c r="B402" s="23">
        <v>45709</v>
      </c>
      <c r="C402" s="7">
        <v>2003615284</v>
      </c>
      <c r="D402" s="20">
        <v>106662</v>
      </c>
      <c r="E402" s="27" t="s">
        <v>123</v>
      </c>
      <c r="F402" s="7" t="s">
        <v>107</v>
      </c>
      <c r="G402" s="7" t="s">
        <v>10</v>
      </c>
      <c r="H402" s="7" t="s">
        <v>45</v>
      </c>
      <c r="I402" s="20" t="s">
        <v>796</v>
      </c>
      <c r="J402" s="20" t="s">
        <v>797</v>
      </c>
      <c r="K402" s="7" t="s">
        <v>119</v>
      </c>
      <c r="L402" s="61">
        <v>45714</v>
      </c>
      <c r="M402" s="7" t="s">
        <v>111</v>
      </c>
      <c r="N402" s="61">
        <v>45714</v>
      </c>
      <c r="O402" s="58">
        <v>45716</v>
      </c>
      <c r="P402" s="59"/>
      <c r="Q402" s="124" t="e">
        <f>P402*#REF!</f>
        <v>#REF!</v>
      </c>
      <c r="R402" s="126">
        <v>45716</v>
      </c>
      <c r="S402" s="153">
        <f>IF(L402="","",L402-B402)</f>
        <v>5</v>
      </c>
      <c r="T402" s="153">
        <f>IF(N402="","",N402-L402)</f>
        <v>0</v>
      </c>
      <c r="U402" s="153">
        <f>IF(O402="","",O402-N402)</f>
        <v>2</v>
      </c>
      <c r="V402" s="154">
        <f>IF(O402="","",O402-B402)</f>
        <v>7</v>
      </c>
      <c r="W402" s="154">
        <f>IF(O402="","",O402-L402)</f>
        <v>2</v>
      </c>
      <c r="X402" s="154">
        <f>IF(R402="","",R402-B402)</f>
        <v>7</v>
      </c>
    </row>
    <row r="403" spans="2:24" ht="17.25" hidden="1" customHeight="1">
      <c r="B403" s="23">
        <v>45709</v>
      </c>
      <c r="C403" s="7">
        <v>2003581452</v>
      </c>
      <c r="D403" s="20">
        <v>106871</v>
      </c>
      <c r="E403" s="27" t="s">
        <v>152</v>
      </c>
      <c r="F403" s="7" t="s">
        <v>107</v>
      </c>
      <c r="G403" s="7" t="s">
        <v>10</v>
      </c>
      <c r="H403" s="7" t="s">
        <v>45</v>
      </c>
      <c r="I403" s="20" t="s">
        <v>798</v>
      </c>
      <c r="J403" s="20" t="s">
        <v>799</v>
      </c>
      <c r="K403" s="7" t="s">
        <v>110</v>
      </c>
      <c r="L403" s="61">
        <v>45713</v>
      </c>
      <c r="M403" s="7" t="s">
        <v>111</v>
      </c>
      <c r="N403" s="61">
        <v>45713</v>
      </c>
      <c r="O403" s="58">
        <v>45714</v>
      </c>
      <c r="P403" s="59"/>
      <c r="Q403" s="124" t="e">
        <f>P403*#REF!</f>
        <v>#REF!</v>
      </c>
      <c r="R403" s="126">
        <v>45715</v>
      </c>
      <c r="S403" s="153">
        <f>IF(L403="","",L403-B403)</f>
        <v>4</v>
      </c>
      <c r="T403" s="153">
        <f>IF(N403="","",N403-L403)</f>
        <v>0</v>
      </c>
      <c r="U403" s="153">
        <f>IF(O403="","",O403-N403)</f>
        <v>1</v>
      </c>
      <c r="V403" s="154">
        <f>IF(O403="","",O403-B403)</f>
        <v>5</v>
      </c>
      <c r="W403" s="154">
        <f>IF(O403="","",O403-L403)</f>
        <v>1</v>
      </c>
      <c r="X403" s="154">
        <f>IF(R403="","",R403-B403)</f>
        <v>6</v>
      </c>
    </row>
    <row r="404" spans="2:24" ht="17.25" hidden="1" customHeight="1">
      <c r="B404" s="23">
        <v>45709</v>
      </c>
      <c r="C404" s="7">
        <v>2003612193</v>
      </c>
      <c r="D404" s="20">
        <v>106780</v>
      </c>
      <c r="E404" s="27" t="s">
        <v>138</v>
      </c>
      <c r="F404" s="7" t="s">
        <v>107</v>
      </c>
      <c r="G404" s="7" t="s">
        <v>10</v>
      </c>
      <c r="H404" s="7" t="s">
        <v>45</v>
      </c>
      <c r="I404" s="20" t="s">
        <v>347</v>
      </c>
      <c r="J404" s="20" t="s">
        <v>800</v>
      </c>
      <c r="K404" s="7" t="s">
        <v>119</v>
      </c>
      <c r="L404" s="61">
        <v>45716</v>
      </c>
      <c r="M404" s="7" t="s">
        <v>111</v>
      </c>
      <c r="N404" s="61">
        <v>45716</v>
      </c>
      <c r="O404" s="61">
        <v>45716</v>
      </c>
      <c r="P404" s="59"/>
      <c r="Q404" s="124" t="e">
        <f>P404*#REF!</f>
        <v>#REF!</v>
      </c>
      <c r="R404" s="126">
        <v>45721</v>
      </c>
      <c r="S404" s="153">
        <f>IF(L404="","",L404-B404)</f>
        <v>7</v>
      </c>
      <c r="T404" s="153">
        <f>IF(N404="","",N404-L404)</f>
        <v>0</v>
      </c>
      <c r="U404" s="153">
        <f>IF(O404="","",O404-N404)</f>
        <v>0</v>
      </c>
      <c r="V404" s="154">
        <f>IF(O404="","",O404-B404)</f>
        <v>7</v>
      </c>
      <c r="W404" s="154">
        <f>IF(O404="","",O404-L404)</f>
        <v>0</v>
      </c>
      <c r="X404" s="154">
        <f>IF(R404="","",R404-B404)</f>
        <v>12</v>
      </c>
    </row>
    <row r="405" spans="2:24" ht="17.25" hidden="1" customHeight="1">
      <c r="B405" s="23">
        <v>45709</v>
      </c>
      <c r="C405" s="7">
        <v>2003613156</v>
      </c>
      <c r="D405" s="20">
        <v>106664</v>
      </c>
      <c r="E405" s="27" t="s">
        <v>123</v>
      </c>
      <c r="F405" s="7" t="s">
        <v>107</v>
      </c>
      <c r="G405" s="7" t="s">
        <v>18</v>
      </c>
      <c r="H405" s="7" t="s">
        <v>45</v>
      </c>
      <c r="I405" s="20" t="s">
        <v>801</v>
      </c>
      <c r="J405" s="20" t="s">
        <v>802</v>
      </c>
      <c r="K405" s="7" t="s">
        <v>119</v>
      </c>
      <c r="L405" s="61">
        <v>45712</v>
      </c>
      <c r="M405" s="7" t="s">
        <v>111</v>
      </c>
      <c r="N405" s="61">
        <v>45713</v>
      </c>
      <c r="O405" s="58">
        <v>45722</v>
      </c>
      <c r="P405" s="59"/>
      <c r="Q405" s="124" t="e">
        <f>P405*#REF!</f>
        <v>#REF!</v>
      </c>
      <c r="R405" s="126">
        <v>45723</v>
      </c>
      <c r="S405" s="153">
        <f>IF(L405="","",L405-B405)</f>
        <v>3</v>
      </c>
      <c r="T405" s="153">
        <f>IF(N405="","",N405-L405)</f>
        <v>1</v>
      </c>
      <c r="U405" s="153">
        <f>IF(O405="","",O405-N405)</f>
        <v>9</v>
      </c>
      <c r="V405" s="154">
        <f>IF(O405="","",O405-B405)</f>
        <v>13</v>
      </c>
      <c r="W405" s="154">
        <f>IF(O405="","",O405-L405)</f>
        <v>10</v>
      </c>
      <c r="X405" s="154">
        <f>IF(R405="","",R405-B405)</f>
        <v>14</v>
      </c>
    </row>
    <row r="406" spans="2:24" ht="17.25" hidden="1" customHeight="1">
      <c r="B406" s="23">
        <v>45712</v>
      </c>
      <c r="C406" s="7">
        <v>2003607882</v>
      </c>
      <c r="D406" s="20">
        <v>5783087</v>
      </c>
      <c r="E406" s="27" t="s">
        <v>123</v>
      </c>
      <c r="F406" s="7" t="s">
        <v>107</v>
      </c>
      <c r="G406" s="7" t="s">
        <v>10</v>
      </c>
      <c r="H406" s="7" t="s">
        <v>45</v>
      </c>
      <c r="I406" s="20" t="s">
        <v>803</v>
      </c>
      <c r="J406" s="20" t="s">
        <v>804</v>
      </c>
      <c r="K406" s="7" t="s">
        <v>119</v>
      </c>
      <c r="L406" s="61">
        <v>45716</v>
      </c>
      <c r="M406" s="7" t="s">
        <v>111</v>
      </c>
      <c r="N406" s="61">
        <v>45721</v>
      </c>
      <c r="O406" s="61">
        <v>45721</v>
      </c>
      <c r="P406" s="59"/>
      <c r="Q406" s="124" t="e">
        <f>P406*#REF!</f>
        <v>#REF!</v>
      </c>
      <c r="R406" s="126">
        <v>45721</v>
      </c>
      <c r="S406" s="153">
        <f>IF(L406="","",L406-B406)</f>
        <v>4</v>
      </c>
      <c r="T406" s="153">
        <f>IF(N406="","",N406-L406)</f>
        <v>5</v>
      </c>
      <c r="U406" s="153">
        <f>IF(O406="","",O406-N406)</f>
        <v>0</v>
      </c>
      <c r="V406" s="154">
        <f>IF(O406="","",O406-B406)</f>
        <v>9</v>
      </c>
      <c r="W406" s="154">
        <f>IF(O406="","",O406-L406)</f>
        <v>5</v>
      </c>
      <c r="X406" s="154">
        <f>IF(R406="","",R406-B406)</f>
        <v>9</v>
      </c>
    </row>
    <row r="407" spans="2:24" ht="17.25" hidden="1" customHeight="1">
      <c r="B407" s="23">
        <v>45712</v>
      </c>
      <c r="C407" s="7">
        <v>2003616501</v>
      </c>
      <c r="D407" s="20">
        <v>5783160</v>
      </c>
      <c r="E407" s="27" t="s">
        <v>191</v>
      </c>
      <c r="F407" s="7" t="s">
        <v>107</v>
      </c>
      <c r="G407" s="7" t="s">
        <v>26</v>
      </c>
      <c r="H407" s="7" t="s">
        <v>45</v>
      </c>
      <c r="I407" s="20" t="s">
        <v>589</v>
      </c>
      <c r="J407" s="20" t="s">
        <v>805</v>
      </c>
      <c r="K407" s="7" t="s">
        <v>119</v>
      </c>
      <c r="L407" s="61">
        <v>45714</v>
      </c>
      <c r="M407" s="7" t="s">
        <v>111</v>
      </c>
      <c r="P407" s="59"/>
      <c r="Q407" s="124" t="e">
        <f>P407*#REF!</f>
        <v>#REF!</v>
      </c>
      <c r="R407" s="126">
        <v>45716</v>
      </c>
      <c r="S407" s="153">
        <f>IF(L407="","",L407-B407)</f>
        <v>2</v>
      </c>
      <c r="T407" s="153" t="str">
        <f>IF(N407="","",N407-L407)</f>
        <v/>
      </c>
      <c r="U407" s="153" t="str">
        <f>IF(O407="","",O407-N407)</f>
        <v/>
      </c>
      <c r="V407" s="154" t="str">
        <f>IF(O407="","",O407-B407)</f>
        <v/>
      </c>
      <c r="W407" s="154" t="str">
        <f>IF(O407="","",O407-L407)</f>
        <v/>
      </c>
      <c r="X407" s="154">
        <f>IF(R407="","",R407-B407)</f>
        <v>4</v>
      </c>
    </row>
    <row r="408" spans="2:24" ht="17.25" hidden="1" customHeight="1">
      <c r="B408" s="23">
        <v>45712</v>
      </c>
      <c r="C408" s="7">
        <v>2003567291</v>
      </c>
      <c r="D408" s="20">
        <v>5783375</v>
      </c>
      <c r="E408" s="27" t="s">
        <v>230</v>
      </c>
      <c r="F408" s="7" t="s">
        <v>107</v>
      </c>
      <c r="G408" s="7" t="s">
        <v>10</v>
      </c>
      <c r="H408" s="7" t="s">
        <v>45</v>
      </c>
      <c r="I408" s="20" t="s">
        <v>806</v>
      </c>
      <c r="J408" s="20" t="s">
        <v>232</v>
      </c>
      <c r="K408" s="7" t="s">
        <v>110</v>
      </c>
      <c r="L408" s="61">
        <v>45714</v>
      </c>
      <c r="M408" s="7" t="s">
        <v>111</v>
      </c>
      <c r="N408" s="61">
        <v>45714</v>
      </c>
      <c r="O408" s="61">
        <v>45714</v>
      </c>
      <c r="P408" s="59"/>
      <c r="Q408" s="124" t="e">
        <f>P408*#REF!</f>
        <v>#REF!</v>
      </c>
      <c r="R408" s="126">
        <v>45716</v>
      </c>
      <c r="S408" s="153">
        <f>IF(L408="","",L408-B408)</f>
        <v>2</v>
      </c>
      <c r="T408" s="153">
        <f>IF(N408="","",N408-L408)</f>
        <v>0</v>
      </c>
      <c r="U408" s="153">
        <f>IF(O408="","",O408-N408)</f>
        <v>0</v>
      </c>
      <c r="V408" s="154">
        <f>IF(O408="","",O408-B408)</f>
        <v>2</v>
      </c>
      <c r="W408" s="154">
        <f>IF(O408="","",O408-L408)</f>
        <v>0</v>
      </c>
      <c r="X408" s="154">
        <f>IF(R408="","",R408-B408)</f>
        <v>4</v>
      </c>
    </row>
    <row r="409" spans="2:24" ht="17.25" hidden="1" customHeight="1">
      <c r="B409" s="23">
        <v>45712</v>
      </c>
      <c r="C409" s="7">
        <v>2003613488</v>
      </c>
      <c r="D409" s="20">
        <v>5783415</v>
      </c>
      <c r="E409" s="27" t="s">
        <v>149</v>
      </c>
      <c r="F409" s="7" t="s">
        <v>107</v>
      </c>
      <c r="G409" s="7" t="s">
        <v>10</v>
      </c>
      <c r="H409" s="7" t="s">
        <v>45</v>
      </c>
      <c r="I409" s="20" t="s">
        <v>256</v>
      </c>
      <c r="J409" s="20" t="s">
        <v>807</v>
      </c>
      <c r="K409" s="7" t="s">
        <v>119</v>
      </c>
      <c r="L409" s="61">
        <v>45713</v>
      </c>
      <c r="M409" s="7" t="s">
        <v>111</v>
      </c>
      <c r="N409" s="61">
        <v>45713</v>
      </c>
      <c r="O409" s="58">
        <v>45714</v>
      </c>
      <c r="P409" s="59"/>
      <c r="Q409" s="124" t="e">
        <f>P409*#REF!</f>
        <v>#REF!</v>
      </c>
      <c r="R409" s="126">
        <v>45714</v>
      </c>
      <c r="S409" s="153">
        <f>IF(L409="","",L409-B409)</f>
        <v>1</v>
      </c>
      <c r="T409" s="153">
        <f>IF(N409="","",N409-L409)</f>
        <v>0</v>
      </c>
      <c r="U409" s="153">
        <f>IF(O409="","",O409-N409)</f>
        <v>1</v>
      </c>
      <c r="V409" s="154">
        <f>IF(O409="","",O409-B409)</f>
        <v>2</v>
      </c>
      <c r="W409" s="154">
        <f>IF(O409="","",O409-L409)</f>
        <v>1</v>
      </c>
      <c r="X409" s="154">
        <f>IF(R409="","",R409-B409)</f>
        <v>2</v>
      </c>
    </row>
    <row r="410" spans="2:24" ht="17.25" hidden="1" customHeight="1">
      <c r="B410" s="23">
        <v>45712</v>
      </c>
      <c r="C410" s="7">
        <v>2003569598</v>
      </c>
      <c r="D410" s="20">
        <v>5783738</v>
      </c>
      <c r="E410" s="27" t="s">
        <v>185</v>
      </c>
      <c r="F410" s="7" t="s">
        <v>107</v>
      </c>
      <c r="G410" s="7" t="s">
        <v>10</v>
      </c>
      <c r="H410" s="7" t="s">
        <v>45</v>
      </c>
      <c r="I410" s="20" t="s">
        <v>808</v>
      </c>
      <c r="J410" s="20" t="s">
        <v>809</v>
      </c>
      <c r="K410" s="7" t="s">
        <v>110</v>
      </c>
      <c r="L410" s="61">
        <v>45715</v>
      </c>
      <c r="M410" s="7" t="s">
        <v>111</v>
      </c>
      <c r="N410" s="61">
        <v>45715</v>
      </c>
      <c r="O410" s="58">
        <v>45716</v>
      </c>
      <c r="P410" s="59"/>
      <c r="Q410" s="124" t="e">
        <f>P410*#REF!</f>
        <v>#REF!</v>
      </c>
      <c r="R410" s="126">
        <v>45716</v>
      </c>
      <c r="S410" s="153">
        <f>IF(L410="","",L410-B410)</f>
        <v>3</v>
      </c>
      <c r="T410" s="153">
        <f>IF(N410="","",N410-L410)</f>
        <v>0</v>
      </c>
      <c r="U410" s="153">
        <f>IF(O410="","",O410-N410)</f>
        <v>1</v>
      </c>
      <c r="V410" s="154">
        <f>IF(O410="","",O410-B410)</f>
        <v>4</v>
      </c>
      <c r="W410" s="154">
        <f>IF(O410="","",O410-L410)</f>
        <v>1</v>
      </c>
      <c r="X410" s="154">
        <f>IF(R410="","",R410-B410)</f>
        <v>4</v>
      </c>
    </row>
    <row r="411" spans="2:24" ht="17.25" hidden="1" customHeight="1">
      <c r="B411" s="23">
        <v>45712</v>
      </c>
      <c r="C411" s="7">
        <v>2003592424</v>
      </c>
      <c r="D411" s="20">
        <v>5783899</v>
      </c>
      <c r="E411" s="27" t="s">
        <v>116</v>
      </c>
      <c r="F411" s="7" t="s">
        <v>107</v>
      </c>
      <c r="G411" s="7" t="s">
        <v>10</v>
      </c>
      <c r="H411" s="7" t="s">
        <v>45</v>
      </c>
      <c r="I411" s="20" t="s">
        <v>810</v>
      </c>
      <c r="J411" s="20" t="s">
        <v>811</v>
      </c>
      <c r="K411" s="7" t="s">
        <v>119</v>
      </c>
      <c r="L411" s="61">
        <v>45721</v>
      </c>
      <c r="M411" s="7" t="s">
        <v>111</v>
      </c>
      <c r="N411" s="61">
        <v>45721</v>
      </c>
      <c r="O411" s="61">
        <v>45723</v>
      </c>
      <c r="P411" s="59">
        <v>71.3</v>
      </c>
      <c r="Q411" s="124" t="e">
        <f>P411*#REF!</f>
        <v>#REF!</v>
      </c>
      <c r="R411" s="126">
        <v>45723</v>
      </c>
      <c r="S411" s="153">
        <f>IF(L411="","",L411-B411)</f>
        <v>9</v>
      </c>
      <c r="T411" s="153">
        <f>IF(N411="","",N411-L411)</f>
        <v>0</v>
      </c>
      <c r="U411" s="153">
        <f>IF(O411="","",O411-N411)</f>
        <v>2</v>
      </c>
      <c r="V411" s="154">
        <f>IF(O411="","",O411-B411)</f>
        <v>11</v>
      </c>
      <c r="W411" s="154">
        <f>IF(O411="","",O411-L411)</f>
        <v>2</v>
      </c>
      <c r="X411" s="154">
        <f>IF(R411="","",R411-B411)</f>
        <v>11</v>
      </c>
    </row>
    <row r="412" spans="2:24" ht="17.25" hidden="1" customHeight="1">
      <c r="B412" s="23">
        <v>45712</v>
      </c>
      <c r="C412" s="7">
        <v>2003602960</v>
      </c>
      <c r="D412" s="20">
        <v>5783937</v>
      </c>
      <c r="E412" s="27" t="s">
        <v>116</v>
      </c>
      <c r="F412" s="7" t="s">
        <v>107</v>
      </c>
      <c r="G412" s="7" t="s">
        <v>21</v>
      </c>
      <c r="H412" s="7" t="s">
        <v>45</v>
      </c>
      <c r="I412" s="20" t="s">
        <v>704</v>
      </c>
      <c r="J412" s="20" t="s">
        <v>705</v>
      </c>
      <c r="K412" s="7" t="s">
        <v>110</v>
      </c>
      <c r="L412" s="61">
        <v>45714</v>
      </c>
      <c r="M412" s="7" t="s">
        <v>111</v>
      </c>
      <c r="N412" s="61">
        <v>45714</v>
      </c>
      <c r="O412" s="58">
        <v>45716</v>
      </c>
      <c r="P412" s="59"/>
      <c r="Q412" s="124" t="e">
        <f>P412*#REF!</f>
        <v>#REF!</v>
      </c>
      <c r="R412" s="126">
        <v>45716</v>
      </c>
      <c r="S412" s="153">
        <f>IF(L412="","",L412-B412)</f>
        <v>2</v>
      </c>
      <c r="T412" s="153">
        <f>IF(N412="","",N412-L412)</f>
        <v>0</v>
      </c>
      <c r="U412" s="153">
        <f>IF(O412="","",O412-N412)</f>
        <v>2</v>
      </c>
      <c r="V412" s="154">
        <f>IF(O412="","",O412-B412)</f>
        <v>4</v>
      </c>
      <c r="W412" s="154">
        <f>IF(O412="","",O412-L412)</f>
        <v>2</v>
      </c>
      <c r="X412" s="154">
        <f>IF(R412="","",R412-B412)</f>
        <v>4</v>
      </c>
    </row>
    <row r="413" spans="2:24" ht="17.25" hidden="1" customHeight="1">
      <c r="B413" s="23">
        <v>45712</v>
      </c>
      <c r="C413" s="7">
        <v>2003613284</v>
      </c>
      <c r="D413" s="20">
        <v>5784008</v>
      </c>
      <c r="E413" s="27" t="s">
        <v>106</v>
      </c>
      <c r="F413" s="7" t="s">
        <v>107</v>
      </c>
      <c r="G413" s="7" t="s">
        <v>10</v>
      </c>
      <c r="H413" s="7" t="s">
        <v>45</v>
      </c>
      <c r="I413" s="20" t="s">
        <v>812</v>
      </c>
      <c r="J413" s="20" t="s">
        <v>813</v>
      </c>
      <c r="K413" s="7" t="s">
        <v>110</v>
      </c>
      <c r="L413" s="61">
        <v>45714</v>
      </c>
      <c r="M413" s="7" t="s">
        <v>111</v>
      </c>
      <c r="N413" s="61">
        <v>45714</v>
      </c>
      <c r="O413" s="58">
        <v>45716</v>
      </c>
      <c r="P413" s="59"/>
      <c r="Q413" s="124" t="e">
        <f>P413*#REF!</f>
        <v>#REF!</v>
      </c>
      <c r="R413" s="126">
        <v>45716</v>
      </c>
      <c r="S413" s="153">
        <f>IF(L413="","",L413-B413)</f>
        <v>2</v>
      </c>
      <c r="T413" s="153">
        <f>IF(N413="","",N413-L413)</f>
        <v>0</v>
      </c>
      <c r="U413" s="153">
        <f>IF(O413="","",O413-N413)</f>
        <v>2</v>
      </c>
      <c r="V413" s="154">
        <f>IF(O413="","",O413-B413)</f>
        <v>4</v>
      </c>
      <c r="W413" s="154">
        <f>IF(O413="","",O413-L413)</f>
        <v>2</v>
      </c>
      <c r="X413" s="154">
        <f>IF(R413="","",R413-B413)</f>
        <v>4</v>
      </c>
    </row>
    <row r="414" spans="2:24" ht="17.25" hidden="1" customHeight="1">
      <c r="B414" s="23">
        <v>45712</v>
      </c>
      <c r="C414" s="7">
        <v>2003596288</v>
      </c>
      <c r="D414" s="20">
        <v>5784040</v>
      </c>
      <c r="E414" s="27" t="s">
        <v>185</v>
      </c>
      <c r="F414" s="7" t="s">
        <v>107</v>
      </c>
      <c r="G414" s="7" t="s">
        <v>10</v>
      </c>
      <c r="H414" s="7" t="s">
        <v>45</v>
      </c>
      <c r="I414" s="20" t="s">
        <v>814</v>
      </c>
      <c r="J414" s="20" t="s">
        <v>815</v>
      </c>
      <c r="K414" s="7" t="s">
        <v>110</v>
      </c>
      <c r="L414" s="61">
        <v>45715</v>
      </c>
      <c r="M414" s="7" t="s">
        <v>111</v>
      </c>
      <c r="N414" s="61">
        <v>45715</v>
      </c>
      <c r="O414" s="58">
        <v>45716</v>
      </c>
      <c r="P414" s="59"/>
      <c r="Q414" s="124" t="e">
        <f>P414*#REF!</f>
        <v>#REF!</v>
      </c>
      <c r="R414" s="126">
        <v>45716</v>
      </c>
      <c r="S414" s="153">
        <f>IF(L414="","",L414-B414)</f>
        <v>3</v>
      </c>
      <c r="T414" s="153">
        <f>IF(N414="","",N414-L414)</f>
        <v>0</v>
      </c>
      <c r="U414" s="153">
        <f>IF(O414="","",O414-N414)</f>
        <v>1</v>
      </c>
      <c r="V414" s="154">
        <f>IF(O414="","",O414-B414)</f>
        <v>4</v>
      </c>
      <c r="W414" s="154">
        <f>IF(O414="","",O414-L414)</f>
        <v>1</v>
      </c>
      <c r="X414" s="154">
        <f>IF(R414="","",R414-B414)</f>
        <v>4</v>
      </c>
    </row>
    <row r="415" spans="2:24" ht="17.25" hidden="1" customHeight="1">
      <c r="B415" s="23">
        <v>45712</v>
      </c>
      <c r="C415" s="7">
        <v>2003615288</v>
      </c>
      <c r="D415" s="20">
        <v>5784066</v>
      </c>
      <c r="E415" s="27" t="s">
        <v>185</v>
      </c>
      <c r="F415" s="7" t="s">
        <v>107</v>
      </c>
      <c r="G415" s="7" t="s">
        <v>10</v>
      </c>
      <c r="H415" s="7" t="s">
        <v>45</v>
      </c>
      <c r="I415" s="20" t="s">
        <v>816</v>
      </c>
      <c r="J415" s="20" t="s">
        <v>817</v>
      </c>
      <c r="K415" s="7" t="s">
        <v>110</v>
      </c>
      <c r="L415" s="61">
        <v>45714</v>
      </c>
      <c r="M415" s="7" t="s">
        <v>111</v>
      </c>
      <c r="N415" s="61">
        <v>45714</v>
      </c>
      <c r="O415" s="58">
        <v>45716</v>
      </c>
      <c r="P415" s="59"/>
      <c r="Q415" s="124" t="e">
        <f>P415*#REF!</f>
        <v>#REF!</v>
      </c>
      <c r="R415" s="126">
        <v>45716</v>
      </c>
      <c r="S415" s="153">
        <f>IF(L415="","",L415-B415)</f>
        <v>2</v>
      </c>
      <c r="T415" s="153">
        <f>IF(N415="","",N415-L415)</f>
        <v>0</v>
      </c>
      <c r="U415" s="153">
        <f>IF(O415="","",O415-N415)</f>
        <v>2</v>
      </c>
      <c r="V415" s="154">
        <f>IF(O415="","",O415-B415)</f>
        <v>4</v>
      </c>
      <c r="W415" s="154">
        <f>IF(O415="","",O415-L415)</f>
        <v>2</v>
      </c>
      <c r="X415" s="154">
        <f>IF(R415="","",R415-B415)</f>
        <v>4</v>
      </c>
    </row>
    <row r="416" spans="2:24" ht="17.25" hidden="1" customHeight="1">
      <c r="B416" s="23">
        <v>45712</v>
      </c>
      <c r="C416" s="7">
        <v>2003607794</v>
      </c>
      <c r="D416" s="20">
        <v>0</v>
      </c>
      <c r="F416" s="7" t="s">
        <v>113</v>
      </c>
      <c r="G416" s="7" t="s">
        <v>70</v>
      </c>
      <c r="H416" s="7" t="s">
        <v>42</v>
      </c>
      <c r="I416" s="20" t="s">
        <v>818</v>
      </c>
      <c r="K416" s="7" t="s">
        <v>122</v>
      </c>
      <c r="L416" s="61">
        <v>45713</v>
      </c>
      <c r="P416" s="59"/>
      <c r="Q416" s="124" t="e">
        <f>P416*#REF!</f>
        <v>#REF!</v>
      </c>
      <c r="S416" s="153">
        <f>IF(L416="","",L416-B416)</f>
        <v>1</v>
      </c>
      <c r="T416" s="153" t="str">
        <f>IF(N416="","",N416-L416)</f>
        <v/>
      </c>
      <c r="U416" s="153" t="str">
        <f>IF(O416="","",O416-N416)</f>
        <v/>
      </c>
      <c r="V416" s="154" t="str">
        <f>IF(O416="","",O416-B416)</f>
        <v/>
      </c>
      <c r="W416" s="154" t="str">
        <f>IF(O416="","",O416-L416)</f>
        <v/>
      </c>
      <c r="X416" s="154" t="str">
        <f>IF(R416="","",R416-B416)</f>
        <v/>
      </c>
    </row>
    <row r="417" spans="2:32" ht="17.25" hidden="1" customHeight="1">
      <c r="B417" s="23">
        <v>45713</v>
      </c>
      <c r="C417" s="7">
        <v>2003534448</v>
      </c>
      <c r="D417" s="20">
        <v>5784408</v>
      </c>
      <c r="E417" s="27" t="s">
        <v>198</v>
      </c>
      <c r="F417" s="7" t="s">
        <v>107</v>
      </c>
      <c r="G417" s="7" t="s">
        <v>18</v>
      </c>
      <c r="H417" s="7" t="s">
        <v>45</v>
      </c>
      <c r="I417" s="20" t="s">
        <v>819</v>
      </c>
      <c r="J417" s="20" t="s">
        <v>820</v>
      </c>
      <c r="K417" s="7" t="s">
        <v>119</v>
      </c>
      <c r="L417" s="61">
        <v>45716</v>
      </c>
      <c r="M417" s="7" t="s">
        <v>111</v>
      </c>
      <c r="N417" s="61">
        <v>45716</v>
      </c>
      <c r="O417" s="61">
        <v>45726</v>
      </c>
      <c r="P417" s="59"/>
      <c r="Q417" s="124" t="e">
        <f>P417*#REF!</f>
        <v>#REF!</v>
      </c>
      <c r="R417" s="126">
        <v>45728</v>
      </c>
      <c r="S417" s="153">
        <f>IF(L417="","",L417-B417)</f>
        <v>3</v>
      </c>
      <c r="T417" s="153">
        <f>IF(N417="","",N417-L417)</f>
        <v>0</v>
      </c>
      <c r="U417" s="153">
        <f>IF(O417="","",O417-N417)</f>
        <v>10</v>
      </c>
      <c r="V417" s="154">
        <f>IF(O417="","",O417-B417)</f>
        <v>13</v>
      </c>
      <c r="W417" s="154">
        <f>IF(O417="","",O417-L417)</f>
        <v>10</v>
      </c>
      <c r="X417" s="154">
        <f>IF(R417="","",R417-B417)</f>
        <v>15</v>
      </c>
    </row>
    <row r="418" spans="2:32" ht="17.25" hidden="1" customHeight="1">
      <c r="B418" s="23">
        <v>45713</v>
      </c>
      <c r="C418" s="7">
        <v>2003530349</v>
      </c>
      <c r="D418" s="20">
        <v>5784423</v>
      </c>
      <c r="E418" s="27" t="s">
        <v>230</v>
      </c>
      <c r="F418" s="7" t="s">
        <v>107</v>
      </c>
      <c r="G418" s="7" t="s">
        <v>10</v>
      </c>
      <c r="H418" s="7" t="s">
        <v>45</v>
      </c>
      <c r="I418" s="20" t="s">
        <v>493</v>
      </c>
      <c r="J418" s="20" t="s">
        <v>821</v>
      </c>
      <c r="K418" s="7" t="s">
        <v>110</v>
      </c>
      <c r="L418" s="61">
        <v>45715</v>
      </c>
      <c r="M418" s="7" t="s">
        <v>111</v>
      </c>
      <c r="N418" s="61">
        <v>45715</v>
      </c>
      <c r="O418" s="58">
        <v>45716</v>
      </c>
      <c r="P418" s="59"/>
      <c r="Q418" s="124" t="e">
        <f>P418*#REF!</f>
        <v>#REF!</v>
      </c>
      <c r="R418" s="126">
        <v>45716</v>
      </c>
      <c r="S418" s="153">
        <f>IF(L418="","",L418-B418)</f>
        <v>2</v>
      </c>
      <c r="T418" s="153">
        <f>IF(N418="","",N418-L418)</f>
        <v>0</v>
      </c>
      <c r="U418" s="153">
        <f>IF(O418="","",O418-N418)</f>
        <v>1</v>
      </c>
      <c r="V418" s="154">
        <f>IF(O418="","",O418-B418)</f>
        <v>3</v>
      </c>
      <c r="W418" s="154">
        <f>IF(O418="","",O418-L418)</f>
        <v>1</v>
      </c>
      <c r="X418" s="154">
        <f>IF(R418="","",R418-B418)</f>
        <v>3</v>
      </c>
    </row>
    <row r="419" spans="2:32" ht="17.25" hidden="1" customHeight="1">
      <c r="B419" s="23">
        <v>45713</v>
      </c>
      <c r="C419" s="7">
        <v>2003616255</v>
      </c>
      <c r="D419" s="20">
        <v>5784689</v>
      </c>
      <c r="E419" s="27" t="s">
        <v>622</v>
      </c>
      <c r="F419" s="7" t="s">
        <v>107</v>
      </c>
      <c r="G419" s="7" t="s">
        <v>10</v>
      </c>
      <c r="H419" s="7" t="s">
        <v>45</v>
      </c>
      <c r="I419" s="20" t="s">
        <v>748</v>
      </c>
      <c r="J419" s="20" t="s">
        <v>822</v>
      </c>
      <c r="K419" s="7" t="s">
        <v>119</v>
      </c>
      <c r="L419" s="61">
        <v>45715</v>
      </c>
      <c r="M419" s="7" t="s">
        <v>111</v>
      </c>
      <c r="N419" s="209">
        <v>45716</v>
      </c>
      <c r="O419" s="209">
        <v>45716</v>
      </c>
      <c r="P419" s="59"/>
      <c r="Q419" s="124" t="e">
        <f>P419*#REF!</f>
        <v>#REF!</v>
      </c>
      <c r="R419" s="126">
        <v>45722</v>
      </c>
      <c r="S419" s="153">
        <f>IF(L419="","",L419-B419)</f>
        <v>2</v>
      </c>
      <c r="T419" s="153">
        <f>IF(N419="","",N419-L419)</f>
        <v>1</v>
      </c>
      <c r="U419" s="153">
        <f>IF(O419="","",O419-N419)</f>
        <v>0</v>
      </c>
      <c r="V419" s="154">
        <f>IF(O419="","",O419-B419)</f>
        <v>3</v>
      </c>
      <c r="W419" s="154">
        <f>IF(O419="","",O419-L419)</f>
        <v>1</v>
      </c>
      <c r="X419" s="154">
        <f>IF(R419="","",R419-B419)</f>
        <v>9</v>
      </c>
    </row>
    <row r="420" spans="2:32" ht="17.25" hidden="1" customHeight="1">
      <c r="B420" s="23">
        <v>45713</v>
      </c>
      <c r="C420" s="7">
        <v>2003535512</v>
      </c>
      <c r="D420" s="20">
        <v>5784782</v>
      </c>
      <c r="E420" s="27" t="s">
        <v>143</v>
      </c>
      <c r="F420" s="7" t="s">
        <v>107</v>
      </c>
      <c r="G420" s="7" t="s">
        <v>21</v>
      </c>
      <c r="H420" s="7" t="s">
        <v>45</v>
      </c>
      <c r="I420" s="20" t="s">
        <v>371</v>
      </c>
      <c r="J420" s="20" t="s">
        <v>823</v>
      </c>
      <c r="K420" s="7" t="s">
        <v>110</v>
      </c>
      <c r="L420" s="61">
        <v>45714</v>
      </c>
      <c r="M420" s="7" t="s">
        <v>111</v>
      </c>
      <c r="N420" s="61">
        <v>45714</v>
      </c>
      <c r="O420" s="61">
        <v>45714</v>
      </c>
      <c r="P420" s="59"/>
      <c r="Q420" s="124" t="e">
        <f>P420*#REF!</f>
        <v>#REF!</v>
      </c>
      <c r="R420" s="126">
        <v>45716</v>
      </c>
      <c r="S420" s="153">
        <f>IF(L420="","",L420-B420)</f>
        <v>1</v>
      </c>
      <c r="T420" s="153">
        <f>IF(N420="","",N420-L420)</f>
        <v>0</v>
      </c>
      <c r="U420" s="153">
        <f>IF(O420="","",O420-N420)</f>
        <v>0</v>
      </c>
      <c r="V420" s="154">
        <f>IF(O420="","",O420-B420)</f>
        <v>1</v>
      </c>
      <c r="W420" s="154">
        <f>IF(O420="","",O420-L420)</f>
        <v>0</v>
      </c>
      <c r="X420" s="154">
        <f>IF(R420="","",R420-B420)</f>
        <v>3</v>
      </c>
    </row>
    <row r="421" spans="2:32" ht="17.25" hidden="1" customHeight="1">
      <c r="B421" s="23">
        <v>45713</v>
      </c>
      <c r="C421" s="7">
        <v>2003591558</v>
      </c>
      <c r="D421" s="20">
        <v>5784820</v>
      </c>
      <c r="E421" s="27" t="s">
        <v>552</v>
      </c>
      <c r="F421" s="7" t="s">
        <v>107</v>
      </c>
      <c r="G421" s="7" t="s">
        <v>10</v>
      </c>
      <c r="H421" s="7" t="s">
        <v>45</v>
      </c>
      <c r="I421" s="20" t="s">
        <v>824</v>
      </c>
      <c r="J421" s="20" t="s">
        <v>554</v>
      </c>
      <c r="K421" s="7" t="s">
        <v>122</v>
      </c>
      <c r="L421" s="61">
        <v>45716</v>
      </c>
      <c r="M421" s="7" t="s">
        <v>111</v>
      </c>
      <c r="N421" s="209">
        <v>45721</v>
      </c>
      <c r="O421" s="58">
        <v>45722</v>
      </c>
      <c r="P421" s="59"/>
      <c r="Q421" s="124" t="e">
        <f>P421*#REF!</f>
        <v>#REF!</v>
      </c>
      <c r="R421" s="126">
        <v>45723</v>
      </c>
      <c r="S421" s="153">
        <f>IF(L421="","",L421-B421)</f>
        <v>3</v>
      </c>
      <c r="T421" s="153">
        <f>IF(N421="","",N421-L421)</f>
        <v>5</v>
      </c>
      <c r="U421" s="153">
        <f>IF(O421="","",O421-N421)</f>
        <v>1</v>
      </c>
      <c r="V421" s="154">
        <f>IF(O421="","",O421-B421)</f>
        <v>9</v>
      </c>
      <c r="W421" s="154">
        <f>IF(O421="","",O421-L421)</f>
        <v>6</v>
      </c>
      <c r="X421" s="154">
        <f>IF(R421="","",R421-B421)</f>
        <v>10</v>
      </c>
    </row>
    <row r="422" spans="2:32" ht="17.25" hidden="1" customHeight="1">
      <c r="B422" s="23">
        <v>45713</v>
      </c>
      <c r="C422" s="7">
        <v>2003618600</v>
      </c>
      <c r="D422" s="20">
        <v>5785131</v>
      </c>
      <c r="E422" s="27" t="s">
        <v>230</v>
      </c>
      <c r="F422" s="7" t="s">
        <v>107</v>
      </c>
      <c r="G422" s="7" t="s">
        <v>18</v>
      </c>
      <c r="H422" s="7" t="s">
        <v>45</v>
      </c>
      <c r="I422" s="20" t="s">
        <v>778</v>
      </c>
      <c r="J422" s="20" t="s">
        <v>825</v>
      </c>
      <c r="K422" s="7" t="s">
        <v>119</v>
      </c>
      <c r="L422" s="61">
        <v>45722</v>
      </c>
      <c r="M422" s="7" t="s">
        <v>111</v>
      </c>
      <c r="N422" s="61">
        <v>45723</v>
      </c>
      <c r="O422" s="61">
        <v>45723</v>
      </c>
      <c r="P422" s="59">
        <v>102</v>
      </c>
      <c r="Q422" s="124" t="e">
        <f>P422*#REF!</f>
        <v>#REF!</v>
      </c>
      <c r="R422" s="126">
        <v>45723</v>
      </c>
      <c r="S422" s="153">
        <f>IF(L422="","",L422-B422)</f>
        <v>9</v>
      </c>
      <c r="T422" s="153">
        <f>IF(N422="","",N422-L422)</f>
        <v>1</v>
      </c>
      <c r="U422" s="153">
        <f>IF(O422="","",O422-N422)</f>
        <v>0</v>
      </c>
      <c r="V422" s="154">
        <f>IF(O422="","",O422-B422)</f>
        <v>10</v>
      </c>
      <c r="W422" s="154">
        <f>IF(O422="","",O422-L422)</f>
        <v>1</v>
      </c>
      <c r="X422" s="154">
        <f>IF(R422="","",R422-B422)</f>
        <v>10</v>
      </c>
    </row>
    <row r="423" spans="2:32" ht="17.25" hidden="1" customHeight="1">
      <c r="B423" s="23">
        <v>45713</v>
      </c>
      <c r="C423" s="7">
        <v>2003615550</v>
      </c>
      <c r="D423" s="20">
        <v>5785187</v>
      </c>
      <c r="E423" s="27" t="s">
        <v>191</v>
      </c>
      <c r="F423" s="7" t="s">
        <v>107</v>
      </c>
      <c r="G423" s="7" t="s">
        <v>18</v>
      </c>
      <c r="H423" s="7" t="s">
        <v>45</v>
      </c>
      <c r="I423" s="20" t="s">
        <v>789</v>
      </c>
      <c r="J423" s="20" t="s">
        <v>790</v>
      </c>
      <c r="K423" s="7" t="s">
        <v>119</v>
      </c>
      <c r="L423" s="61">
        <v>45714</v>
      </c>
      <c r="M423" s="7" t="s">
        <v>111</v>
      </c>
      <c r="N423" s="61">
        <v>45714</v>
      </c>
      <c r="O423" s="58">
        <v>45722</v>
      </c>
      <c r="P423" s="59"/>
      <c r="Q423" s="124" t="e">
        <f>P423*#REF!</f>
        <v>#REF!</v>
      </c>
      <c r="R423" s="126">
        <v>45723</v>
      </c>
      <c r="S423" s="153">
        <f>IF(L423="","",L423-B423)</f>
        <v>1</v>
      </c>
      <c r="T423" s="153">
        <f>IF(N423="","",N423-L423)</f>
        <v>0</v>
      </c>
      <c r="U423" s="153">
        <f>IF(O423="","",O423-N423)</f>
        <v>8</v>
      </c>
      <c r="V423" s="154">
        <f>IF(O423="","",O423-B423)</f>
        <v>9</v>
      </c>
      <c r="W423" s="154">
        <f>IF(O423="","",O423-L423)</f>
        <v>8</v>
      </c>
      <c r="X423" s="154">
        <f>IF(R423="","",R423-B423)</f>
        <v>10</v>
      </c>
    </row>
    <row r="424" spans="2:32" s="128" customFormat="1" ht="17.25" hidden="1" customHeight="1">
      <c r="B424" s="207">
        <v>45713</v>
      </c>
      <c r="C424" s="112">
        <v>2003618680</v>
      </c>
      <c r="D424" s="128">
        <v>5785263</v>
      </c>
      <c r="E424" s="208" t="s">
        <v>116</v>
      </c>
      <c r="F424" s="112" t="s">
        <v>107</v>
      </c>
      <c r="G424" s="112" t="s">
        <v>18</v>
      </c>
      <c r="H424" s="112" t="s">
        <v>45</v>
      </c>
      <c r="I424" s="129" t="s">
        <v>826</v>
      </c>
      <c r="J424" s="128" t="s">
        <v>827</v>
      </c>
      <c r="K424" s="112" t="s">
        <v>119</v>
      </c>
      <c r="L424" s="209">
        <v>45716</v>
      </c>
      <c r="M424" s="112" t="s">
        <v>111</v>
      </c>
      <c r="N424" s="210">
        <v>45723</v>
      </c>
      <c r="O424" s="210">
        <v>45723</v>
      </c>
      <c r="P424" s="211"/>
      <c r="Q424" s="212" t="e">
        <f>P424*#REF!</f>
        <v>#REF!</v>
      </c>
      <c r="R424" s="126">
        <v>45723</v>
      </c>
      <c r="S424" s="153">
        <f>IF(L424="","",L424-B424)</f>
        <v>3</v>
      </c>
      <c r="T424" s="153">
        <f>IF(N424="","",N424-L424)</f>
        <v>7</v>
      </c>
      <c r="U424" s="153">
        <f>IF(O424="","",O424-N424)</f>
        <v>0</v>
      </c>
      <c r="V424" s="154">
        <f>IF(O424="","",O424-B424)</f>
        <v>10</v>
      </c>
      <c r="W424" s="154">
        <f>IF(O424="","",O424-L424)</f>
        <v>7</v>
      </c>
      <c r="X424" s="154">
        <f>IF(R424="","",R424-B424)</f>
        <v>10</v>
      </c>
      <c r="Y424" s="213"/>
      <c r="Z424" s="213"/>
      <c r="AA424" s="213"/>
      <c r="AB424" s="213"/>
      <c r="AC424" s="213"/>
      <c r="AD424" s="213"/>
      <c r="AE424" s="213"/>
      <c r="AF424" s="214"/>
    </row>
    <row r="425" spans="2:32" s="128" customFormat="1" ht="17.25" hidden="1" customHeight="1">
      <c r="B425" s="207">
        <v>45713</v>
      </c>
      <c r="C425" s="112">
        <v>2003617647</v>
      </c>
      <c r="D425" s="128">
        <v>5785298</v>
      </c>
      <c r="E425" s="208" t="s">
        <v>149</v>
      </c>
      <c r="F425" s="112" t="s">
        <v>107</v>
      </c>
      <c r="G425" s="112" t="s">
        <v>18</v>
      </c>
      <c r="H425" s="112" t="s">
        <v>45</v>
      </c>
      <c r="I425" s="128" t="s">
        <v>828</v>
      </c>
      <c r="J425" s="128" t="s">
        <v>829</v>
      </c>
      <c r="K425" s="112" t="s">
        <v>110</v>
      </c>
      <c r="L425" s="209">
        <v>45721</v>
      </c>
      <c r="M425" s="112" t="s">
        <v>111</v>
      </c>
      <c r="N425" s="209">
        <v>45721</v>
      </c>
      <c r="O425" s="61">
        <v>45723</v>
      </c>
      <c r="P425" s="211"/>
      <c r="Q425" s="212" t="e">
        <f>P425*#REF!</f>
        <v>#REF!</v>
      </c>
      <c r="R425" s="126">
        <v>45728</v>
      </c>
      <c r="S425" s="153">
        <f>IF(L425="","",L425-B425)</f>
        <v>8</v>
      </c>
      <c r="T425" s="153">
        <f>IF(N425="","",N425-L425)</f>
        <v>0</v>
      </c>
      <c r="U425" s="153">
        <f>IF(O425="","",O425-N425)</f>
        <v>2</v>
      </c>
      <c r="V425" s="154">
        <f>IF(O425="","",O425-B425)</f>
        <v>10</v>
      </c>
      <c r="W425" s="154">
        <f>IF(O425="","",O425-L425)</f>
        <v>2</v>
      </c>
      <c r="X425" s="154">
        <f>IF(R425="","",R425-B425)</f>
        <v>15</v>
      </c>
      <c r="Y425" s="213"/>
      <c r="Z425" s="213"/>
      <c r="AA425" s="213"/>
      <c r="AB425" s="213"/>
      <c r="AC425" s="213"/>
      <c r="AD425" s="213"/>
      <c r="AE425" s="213"/>
      <c r="AF425" s="214"/>
    </row>
    <row r="426" spans="2:32" ht="17.25" hidden="1" customHeight="1">
      <c r="B426" s="23">
        <v>45713</v>
      </c>
      <c r="C426" s="7">
        <v>2003599322</v>
      </c>
      <c r="D426" s="20">
        <v>5785325</v>
      </c>
      <c r="E426" s="27" t="s">
        <v>157</v>
      </c>
      <c r="F426" s="7" t="s">
        <v>113</v>
      </c>
      <c r="G426" s="7" t="s">
        <v>70</v>
      </c>
      <c r="H426" s="7" t="s">
        <v>47</v>
      </c>
      <c r="I426" s="20" t="s">
        <v>690</v>
      </c>
      <c r="J426" s="20" t="s">
        <v>830</v>
      </c>
      <c r="K426" s="7" t="s">
        <v>160</v>
      </c>
      <c r="P426" s="59"/>
      <c r="Q426" s="124" t="e">
        <f>P426*#REF!</f>
        <v>#REF!</v>
      </c>
      <c r="R426" s="126">
        <v>45723</v>
      </c>
      <c r="S426" s="153" t="str">
        <f>IF(L426="","",L426-B426)</f>
        <v/>
      </c>
      <c r="T426" s="153" t="str">
        <f>IF(N426="","",N426-L426)</f>
        <v/>
      </c>
      <c r="U426" s="153" t="str">
        <f>IF(O426="","",O426-N426)</f>
        <v/>
      </c>
      <c r="V426" s="154" t="str">
        <f>IF(O426="","",O426-B426)</f>
        <v/>
      </c>
      <c r="W426" s="154" t="str">
        <f>IF(O426="","",O426-L426)</f>
        <v/>
      </c>
      <c r="X426" s="154">
        <f>IF(R426="","",R426-B426)</f>
        <v>10</v>
      </c>
    </row>
    <row r="427" spans="2:32" ht="17.25" hidden="1" customHeight="1">
      <c r="B427" s="23">
        <v>45713</v>
      </c>
      <c r="C427" s="7">
        <v>2003618462</v>
      </c>
      <c r="D427" s="20">
        <v>5785400</v>
      </c>
      <c r="E427" s="27" t="s">
        <v>143</v>
      </c>
      <c r="F427" s="7" t="s">
        <v>107</v>
      </c>
      <c r="G427" s="7" t="s">
        <v>18</v>
      </c>
      <c r="H427" s="7" t="s">
        <v>45</v>
      </c>
      <c r="I427" s="20" t="s">
        <v>831</v>
      </c>
      <c r="J427" s="20" t="s">
        <v>832</v>
      </c>
      <c r="K427" s="7" t="s">
        <v>110</v>
      </c>
      <c r="L427" s="61">
        <v>45715</v>
      </c>
      <c r="M427" s="7" t="s">
        <v>111</v>
      </c>
      <c r="N427" s="24">
        <v>45729</v>
      </c>
      <c r="O427" s="58">
        <v>45729</v>
      </c>
      <c r="P427" s="59"/>
      <c r="Q427" s="124" t="e">
        <f>P427*#REF!</f>
        <v>#REF!</v>
      </c>
      <c r="R427" s="126">
        <v>45729</v>
      </c>
      <c r="S427" s="153">
        <f>IF(L427="","",L427-B427)</f>
        <v>2</v>
      </c>
      <c r="T427" s="153">
        <f>IF(N427="","",N427-L427)</f>
        <v>14</v>
      </c>
      <c r="U427" s="153">
        <f>IF(O427="","",O427-N427)</f>
        <v>0</v>
      </c>
      <c r="V427" s="154">
        <f>IF(O427="","",O427-B427)</f>
        <v>16</v>
      </c>
      <c r="W427" s="154">
        <f>IF(O427="","",O427-L427)</f>
        <v>14</v>
      </c>
      <c r="X427" s="154">
        <f>IF(R427="","",R427-B427)</f>
        <v>16</v>
      </c>
    </row>
    <row r="428" spans="2:32" ht="17.25" hidden="1" customHeight="1">
      <c r="B428" s="23">
        <v>45713</v>
      </c>
      <c r="C428" s="7">
        <v>2003614466</v>
      </c>
      <c r="D428" s="20">
        <v>109190</v>
      </c>
      <c r="E428" s="27" t="s">
        <v>123</v>
      </c>
      <c r="F428" s="7" t="s">
        <v>107</v>
      </c>
      <c r="G428" s="7" t="s">
        <v>18</v>
      </c>
      <c r="H428" s="7" t="s">
        <v>45</v>
      </c>
      <c r="I428" s="20" t="s">
        <v>833</v>
      </c>
      <c r="J428" s="20" t="s">
        <v>834</v>
      </c>
      <c r="K428" s="7" t="s">
        <v>119</v>
      </c>
      <c r="L428" s="61">
        <v>45716</v>
      </c>
      <c r="M428" s="7" t="s">
        <v>111</v>
      </c>
      <c r="N428" s="61">
        <v>45721</v>
      </c>
      <c r="O428" s="61">
        <v>45723</v>
      </c>
      <c r="P428" s="59"/>
      <c r="Q428" s="124" t="e">
        <f>P428*#REF!</f>
        <v>#REF!</v>
      </c>
      <c r="R428" s="126">
        <v>45723</v>
      </c>
      <c r="S428" s="153">
        <f>IF(L428="","",L428-B428)</f>
        <v>3</v>
      </c>
      <c r="T428" s="153">
        <f>IF(N428="","",N428-L428)</f>
        <v>5</v>
      </c>
      <c r="U428" s="153">
        <f>IF(O428="","",O428-N428)</f>
        <v>2</v>
      </c>
      <c r="V428" s="154">
        <f>IF(O428="","",O428-B428)</f>
        <v>10</v>
      </c>
      <c r="W428" s="154">
        <f>IF(O428="","",O428-L428)</f>
        <v>7</v>
      </c>
      <c r="X428" s="154">
        <f>IF(R428="","",R428-B428)</f>
        <v>10</v>
      </c>
    </row>
    <row r="429" spans="2:32" ht="17.25" hidden="1" customHeight="1">
      <c r="B429" s="23">
        <v>45713</v>
      </c>
      <c r="C429" s="7">
        <v>2003575848</v>
      </c>
      <c r="D429" s="20">
        <v>109216</v>
      </c>
      <c r="E429" s="27" t="s">
        <v>106</v>
      </c>
      <c r="F429" s="7" t="s">
        <v>107</v>
      </c>
      <c r="G429" s="7" t="s">
        <v>18</v>
      </c>
      <c r="H429" s="7" t="s">
        <v>45</v>
      </c>
      <c r="I429" s="20" t="s">
        <v>835</v>
      </c>
      <c r="J429" s="20" t="s">
        <v>836</v>
      </c>
      <c r="K429" s="7" t="s">
        <v>119</v>
      </c>
      <c r="L429" s="61">
        <v>45721</v>
      </c>
      <c r="M429" s="7" t="s">
        <v>111</v>
      </c>
      <c r="N429" s="61">
        <v>45723</v>
      </c>
      <c r="O429" s="61">
        <v>45723</v>
      </c>
      <c r="P429" s="59"/>
      <c r="Q429" s="124" t="e">
        <f>P429*#REF!</f>
        <v>#REF!</v>
      </c>
      <c r="R429" s="126">
        <v>45723</v>
      </c>
      <c r="S429" s="153">
        <f>IF(L429="","",L429-B429)</f>
        <v>8</v>
      </c>
      <c r="T429" s="153">
        <f>IF(N429="","",N429-L429)</f>
        <v>2</v>
      </c>
      <c r="U429" s="153">
        <f>IF(O429="","",O429-N429)</f>
        <v>0</v>
      </c>
      <c r="V429" s="154">
        <f>IF(O429="","",O429-B429)</f>
        <v>10</v>
      </c>
      <c r="W429" s="154">
        <f>IF(O429="","",O429-L429)</f>
        <v>2</v>
      </c>
      <c r="X429" s="154">
        <f>IF(R429="","",R429-B429)</f>
        <v>10</v>
      </c>
    </row>
    <row r="430" spans="2:32" ht="17.25" hidden="1" customHeight="1">
      <c r="B430" s="23">
        <v>45713</v>
      </c>
      <c r="C430" s="7">
        <v>2003617760</v>
      </c>
      <c r="D430" s="20">
        <v>109130</v>
      </c>
      <c r="E430" s="27" t="s">
        <v>123</v>
      </c>
      <c r="F430" s="7" t="s">
        <v>107</v>
      </c>
      <c r="G430" s="7" t="s">
        <v>10</v>
      </c>
      <c r="H430" s="7" t="s">
        <v>45</v>
      </c>
      <c r="I430" s="20" t="s">
        <v>837</v>
      </c>
      <c r="J430" s="20" t="s">
        <v>838</v>
      </c>
      <c r="K430" s="7" t="s">
        <v>119</v>
      </c>
      <c r="L430" s="61">
        <v>45715</v>
      </c>
      <c r="M430" s="7" t="s">
        <v>111</v>
      </c>
      <c r="N430" s="61">
        <v>45721</v>
      </c>
      <c r="O430" s="61">
        <v>45721</v>
      </c>
      <c r="P430" s="59"/>
      <c r="Q430" s="124" t="e">
        <f>P430*#REF!</f>
        <v>#REF!</v>
      </c>
      <c r="R430" s="126">
        <v>45721</v>
      </c>
      <c r="S430" s="153">
        <f>IF(L430="","",L430-B430)</f>
        <v>2</v>
      </c>
      <c r="T430" s="153">
        <f>IF(N430="","",N430-L430)</f>
        <v>6</v>
      </c>
      <c r="U430" s="153">
        <f>IF(O430="","",O430-N430)</f>
        <v>0</v>
      </c>
      <c r="V430" s="154">
        <f>IF(O430="","",O430-B430)</f>
        <v>8</v>
      </c>
      <c r="W430" s="154">
        <f>IF(O430="","",O430-L430)</f>
        <v>6</v>
      </c>
      <c r="X430" s="154">
        <f>IF(R430="","",R430-B430)</f>
        <v>8</v>
      </c>
    </row>
    <row r="431" spans="2:32" ht="17.25" hidden="1" customHeight="1">
      <c r="B431" s="23">
        <v>45714</v>
      </c>
      <c r="C431" s="7">
        <v>2003619303</v>
      </c>
      <c r="D431" s="20">
        <v>5785517</v>
      </c>
      <c r="E431" s="27" t="s">
        <v>486</v>
      </c>
      <c r="F431" s="7" t="s">
        <v>107</v>
      </c>
      <c r="G431" s="7" t="s">
        <v>10</v>
      </c>
      <c r="H431" s="7" t="s">
        <v>45</v>
      </c>
      <c r="I431" s="20" t="s">
        <v>839</v>
      </c>
      <c r="J431" s="20" t="s">
        <v>792</v>
      </c>
      <c r="K431" s="7" t="s">
        <v>119</v>
      </c>
      <c r="L431" s="61">
        <v>45715</v>
      </c>
      <c r="M431" s="7" t="s">
        <v>111</v>
      </c>
      <c r="N431" s="209">
        <v>45716</v>
      </c>
      <c r="O431" s="209">
        <v>45721</v>
      </c>
      <c r="P431" s="59"/>
      <c r="Q431" s="124" t="e">
        <f>P431*#REF!</f>
        <v>#REF!</v>
      </c>
      <c r="R431" s="126">
        <v>45721</v>
      </c>
      <c r="S431" s="153">
        <f>IF(L431="","",L431-B431)</f>
        <v>1</v>
      </c>
      <c r="T431" s="153">
        <f>IF(N431="","",N431-L431)</f>
        <v>1</v>
      </c>
      <c r="U431" s="153">
        <f>IF(O431="","",O431-N431)</f>
        <v>5</v>
      </c>
      <c r="V431" s="154">
        <f>IF(O431="","",O431-B431)</f>
        <v>7</v>
      </c>
      <c r="W431" s="154">
        <f>IF(O431="","",O431-L431)</f>
        <v>6</v>
      </c>
      <c r="X431" s="154">
        <f>IF(R431="","",R431-B431)</f>
        <v>7</v>
      </c>
    </row>
    <row r="432" spans="2:32" ht="17.25" hidden="1" customHeight="1">
      <c r="B432" s="23">
        <v>45714</v>
      </c>
      <c r="C432" s="7">
        <v>2003331645</v>
      </c>
      <c r="D432" s="20">
        <v>5785776</v>
      </c>
      <c r="E432" s="27" t="s">
        <v>230</v>
      </c>
      <c r="F432" s="7" t="s">
        <v>107</v>
      </c>
      <c r="G432" s="7" t="s">
        <v>18</v>
      </c>
      <c r="H432" s="7" t="s">
        <v>45</v>
      </c>
      <c r="I432" s="20" t="s">
        <v>840</v>
      </c>
      <c r="J432" s="20" t="s">
        <v>841</v>
      </c>
      <c r="K432" s="7" t="s">
        <v>110</v>
      </c>
      <c r="L432" s="61">
        <v>45715</v>
      </c>
      <c r="M432" s="7" t="s">
        <v>111</v>
      </c>
      <c r="N432" s="61">
        <v>45715</v>
      </c>
      <c r="O432" s="58">
        <v>45716</v>
      </c>
      <c r="P432" s="59"/>
      <c r="Q432" s="124" t="e">
        <f>P432*#REF!</f>
        <v>#REF!</v>
      </c>
      <c r="R432" s="126">
        <v>45721</v>
      </c>
      <c r="S432" s="153">
        <f>IF(L432="","",L432-B432)</f>
        <v>1</v>
      </c>
      <c r="T432" s="153">
        <f>IF(N432="","",N432-L432)</f>
        <v>0</v>
      </c>
      <c r="U432" s="153">
        <f>IF(O432="","",O432-N432)</f>
        <v>1</v>
      </c>
      <c r="V432" s="154">
        <f>IF(O432="","",O432-B432)</f>
        <v>2</v>
      </c>
      <c r="W432" s="154">
        <f>IF(O432="","",O432-L432)</f>
        <v>1</v>
      </c>
      <c r="X432" s="154">
        <f>IF(R432="","",R432-B432)</f>
        <v>7</v>
      </c>
    </row>
    <row r="433" spans="2:24" ht="17.25" hidden="1" customHeight="1">
      <c r="B433" s="23">
        <v>45714</v>
      </c>
      <c r="C433" s="7">
        <v>2003619851</v>
      </c>
      <c r="D433" s="20">
        <v>5785805</v>
      </c>
      <c r="E433" s="27" t="s">
        <v>116</v>
      </c>
      <c r="F433" s="7" t="s">
        <v>107</v>
      </c>
      <c r="G433" s="7" t="s">
        <v>10</v>
      </c>
      <c r="H433" s="7" t="s">
        <v>45</v>
      </c>
      <c r="I433" s="20" t="s">
        <v>842</v>
      </c>
      <c r="J433" s="20" t="s">
        <v>843</v>
      </c>
      <c r="K433" s="7" t="s">
        <v>119</v>
      </c>
      <c r="L433" s="61">
        <v>45716</v>
      </c>
      <c r="M433" s="7" t="s">
        <v>111</v>
      </c>
      <c r="N433" s="61">
        <v>45716</v>
      </c>
      <c r="O433" s="58">
        <v>45721</v>
      </c>
      <c r="P433" s="59"/>
      <c r="Q433" s="124" t="e">
        <f>P433*#REF!</f>
        <v>#REF!</v>
      </c>
      <c r="R433" s="126">
        <v>45721</v>
      </c>
      <c r="S433" s="153">
        <f>IF(L433="","",L433-B433)</f>
        <v>2</v>
      </c>
      <c r="T433" s="153">
        <f>IF(N433="","",N433-L433)</f>
        <v>0</v>
      </c>
      <c r="U433" s="153">
        <f>IF(O433="","",O433-N433)</f>
        <v>5</v>
      </c>
      <c r="V433" s="154">
        <f>IF(O433="","",O433-B433)</f>
        <v>7</v>
      </c>
      <c r="W433" s="154">
        <f>IF(O433="","",O433-L433)</f>
        <v>5</v>
      </c>
      <c r="X433" s="154">
        <f>IF(R433="","",R433-B433)</f>
        <v>7</v>
      </c>
    </row>
    <row r="434" spans="2:24" ht="17.25" hidden="1" customHeight="1">
      <c r="B434" s="23">
        <v>45714</v>
      </c>
      <c r="C434" s="7">
        <v>2003605207</v>
      </c>
      <c r="D434" s="20">
        <v>5786426</v>
      </c>
      <c r="E434" s="27" t="s">
        <v>408</v>
      </c>
      <c r="F434" s="7" t="s">
        <v>107</v>
      </c>
      <c r="G434" s="7" t="s">
        <v>15</v>
      </c>
      <c r="H434" s="7" t="s">
        <v>45</v>
      </c>
      <c r="I434" s="20" t="s">
        <v>844</v>
      </c>
      <c r="J434" s="20" t="s">
        <v>845</v>
      </c>
      <c r="K434" s="7" t="s">
        <v>122</v>
      </c>
      <c r="L434" s="61">
        <v>45716</v>
      </c>
      <c r="M434" s="7" t="s">
        <v>111</v>
      </c>
      <c r="N434" s="209">
        <v>45721</v>
      </c>
      <c r="O434" s="58">
        <v>45733</v>
      </c>
      <c r="P434" s="59"/>
      <c r="Q434" s="124" t="e">
        <f>P434*#REF!</f>
        <v>#REF!</v>
      </c>
      <c r="R434" s="126">
        <v>45733</v>
      </c>
      <c r="S434" s="153">
        <f>IF(L434="","",L434-B434)</f>
        <v>2</v>
      </c>
      <c r="T434" s="153">
        <f>IF(N434="","",N434-L434)</f>
        <v>5</v>
      </c>
      <c r="U434" s="153">
        <f>IF(O434="","",O434-N434)</f>
        <v>12</v>
      </c>
      <c r="V434" s="154">
        <f>IF(O434="","",O434-B434)</f>
        <v>19</v>
      </c>
      <c r="W434" s="154">
        <f>IF(O434="","",O434-L434)</f>
        <v>17</v>
      </c>
      <c r="X434" s="154">
        <f>IF(R434="","",R434-B434)</f>
        <v>19</v>
      </c>
    </row>
    <row r="435" spans="2:24" ht="17.25" hidden="1" customHeight="1">
      <c r="B435" s="23">
        <v>45714</v>
      </c>
      <c r="C435" s="7">
        <v>2003602490</v>
      </c>
      <c r="D435" s="20">
        <v>5786488</v>
      </c>
      <c r="E435" s="27" t="s">
        <v>230</v>
      </c>
      <c r="F435" s="7" t="s">
        <v>107</v>
      </c>
      <c r="G435" s="7" t="s">
        <v>26</v>
      </c>
      <c r="H435" s="7" t="s">
        <v>45</v>
      </c>
      <c r="I435" s="20" t="s">
        <v>846</v>
      </c>
      <c r="J435" s="20" t="s">
        <v>847</v>
      </c>
      <c r="K435" s="7" t="s">
        <v>119</v>
      </c>
      <c r="L435" s="61">
        <v>45716</v>
      </c>
      <c r="M435" s="7" t="s">
        <v>111</v>
      </c>
      <c r="N435" s="24">
        <v>45716</v>
      </c>
      <c r="O435" s="58">
        <v>45716</v>
      </c>
      <c r="P435" s="59">
        <v>69.5</v>
      </c>
      <c r="Q435" s="124" t="e">
        <f>P435*#REF!</f>
        <v>#REF!</v>
      </c>
      <c r="R435" s="126">
        <v>45716</v>
      </c>
      <c r="S435" s="153">
        <f>IF(L435="","",L435-B435)</f>
        <v>2</v>
      </c>
      <c r="T435" s="153">
        <f>IF(N435="","",N435-L435)</f>
        <v>0</v>
      </c>
      <c r="U435" s="153">
        <f>IF(O435="","",O435-N435)</f>
        <v>0</v>
      </c>
      <c r="V435" s="154">
        <f>IF(O435="","",O435-B435)</f>
        <v>2</v>
      </c>
      <c r="W435" s="154">
        <f>IF(O435="","",O435-L435)</f>
        <v>0</v>
      </c>
      <c r="X435" s="154">
        <f>IF(R435="","",R435-B435)</f>
        <v>2</v>
      </c>
    </row>
    <row r="436" spans="2:24" ht="17.25" hidden="1" customHeight="1">
      <c r="B436" s="23">
        <v>45714</v>
      </c>
      <c r="C436" s="7">
        <v>2003621013</v>
      </c>
      <c r="D436" s="20">
        <v>5786639</v>
      </c>
      <c r="E436" s="27" t="s">
        <v>191</v>
      </c>
      <c r="F436" s="7" t="s">
        <v>107</v>
      </c>
      <c r="G436" s="7" t="s">
        <v>18</v>
      </c>
      <c r="H436" s="7" t="s">
        <v>45</v>
      </c>
      <c r="I436" s="20" t="s">
        <v>778</v>
      </c>
      <c r="J436" s="20" t="s">
        <v>848</v>
      </c>
      <c r="K436" s="7" t="s">
        <v>119</v>
      </c>
      <c r="L436" s="61">
        <v>45716</v>
      </c>
      <c r="M436" s="7" t="s">
        <v>111</v>
      </c>
      <c r="N436" s="61">
        <v>45716</v>
      </c>
      <c r="O436" s="209">
        <v>45721</v>
      </c>
      <c r="P436" s="59"/>
      <c r="Q436" s="124" t="e">
        <f>P436*#REF!</f>
        <v>#REF!</v>
      </c>
      <c r="R436" s="126">
        <v>45721</v>
      </c>
      <c r="S436" s="153">
        <f>IF(L436="","",L436-B436)</f>
        <v>2</v>
      </c>
      <c r="T436" s="153">
        <f>IF(N436="","",N436-L436)</f>
        <v>0</v>
      </c>
      <c r="U436" s="153">
        <f>IF(O436="","",O436-N436)</f>
        <v>5</v>
      </c>
      <c r="V436" s="154">
        <f>IF(O436="","",O436-B436)</f>
        <v>7</v>
      </c>
      <c r="W436" s="154">
        <f>IF(O436="","",O436-L436)</f>
        <v>5</v>
      </c>
      <c r="X436" s="154">
        <f>IF(R436="","",R436-B436)</f>
        <v>7</v>
      </c>
    </row>
    <row r="437" spans="2:24" ht="17.25" hidden="1" customHeight="1">
      <c r="B437" s="23">
        <v>45714</v>
      </c>
      <c r="C437" s="7">
        <v>2003606382</v>
      </c>
      <c r="D437" s="20">
        <v>110164</v>
      </c>
      <c r="E437" s="27" t="s">
        <v>849</v>
      </c>
      <c r="F437" s="7" t="s">
        <v>107</v>
      </c>
      <c r="G437" s="7" t="s">
        <v>10</v>
      </c>
      <c r="H437" s="7" t="s">
        <v>45</v>
      </c>
      <c r="I437" s="20" t="s">
        <v>398</v>
      </c>
      <c r="J437" s="20" t="s">
        <v>850</v>
      </c>
      <c r="K437" s="7" t="s">
        <v>111</v>
      </c>
      <c r="L437" s="61">
        <v>45722</v>
      </c>
      <c r="M437" s="7" t="s">
        <v>111</v>
      </c>
      <c r="N437" s="61">
        <v>45722</v>
      </c>
      <c r="O437" s="61">
        <v>45723</v>
      </c>
      <c r="P437" s="59"/>
      <c r="Q437" s="124" t="e">
        <f>P437*#REF!</f>
        <v>#REF!</v>
      </c>
      <c r="R437" s="126">
        <v>45723</v>
      </c>
      <c r="S437" s="153">
        <f>IF(L437="","",L437-B437)</f>
        <v>8</v>
      </c>
      <c r="T437" s="153">
        <f>IF(N437="","",N437-L437)</f>
        <v>0</v>
      </c>
      <c r="U437" s="153">
        <f>IF(O437="","",O437-N437)</f>
        <v>1</v>
      </c>
      <c r="V437" s="154">
        <f>IF(O437="","",O437-B437)</f>
        <v>9</v>
      </c>
      <c r="W437" s="154">
        <f>IF(O437="","",O437-L437)</f>
        <v>1</v>
      </c>
      <c r="X437" s="154">
        <f>IF(R437="","",R437-B437)</f>
        <v>9</v>
      </c>
    </row>
    <row r="438" spans="2:24" ht="17.25" hidden="1" customHeight="1">
      <c r="B438" s="23">
        <v>45715</v>
      </c>
      <c r="C438" s="7">
        <v>2003620011</v>
      </c>
      <c r="D438" s="20">
        <v>5787172</v>
      </c>
      <c r="E438" s="27" t="s">
        <v>123</v>
      </c>
      <c r="F438" s="7" t="s">
        <v>107</v>
      </c>
      <c r="G438" s="7" t="s">
        <v>15</v>
      </c>
      <c r="H438" s="7" t="s">
        <v>45</v>
      </c>
      <c r="I438" s="20" t="s">
        <v>851</v>
      </c>
      <c r="J438" s="20" t="s">
        <v>852</v>
      </c>
      <c r="K438" s="7" t="s">
        <v>119</v>
      </c>
      <c r="L438" s="61">
        <v>45721</v>
      </c>
      <c r="M438" s="7" t="s">
        <v>111</v>
      </c>
      <c r="N438" s="61">
        <v>45721</v>
      </c>
      <c r="O438" s="61">
        <v>45723</v>
      </c>
      <c r="P438" s="59"/>
      <c r="Q438" s="124" t="e">
        <f>P438*#REF!</f>
        <v>#REF!</v>
      </c>
      <c r="R438" s="126">
        <v>45723</v>
      </c>
      <c r="S438" s="153">
        <f>IF(L438="","",L438-B438)</f>
        <v>6</v>
      </c>
      <c r="T438" s="153">
        <f>IF(N438="","",N438-L438)</f>
        <v>0</v>
      </c>
      <c r="U438" s="153">
        <f>IF(O438="","",O438-N438)</f>
        <v>2</v>
      </c>
      <c r="V438" s="154">
        <f>IF(O438="","",O438-B438)</f>
        <v>8</v>
      </c>
      <c r="W438" s="154">
        <f>IF(O438="","",O438-L438)</f>
        <v>2</v>
      </c>
      <c r="X438" s="154">
        <f>IF(R438="","",R438-B438)</f>
        <v>8</v>
      </c>
    </row>
    <row r="439" spans="2:24" ht="17.25" hidden="1" customHeight="1">
      <c r="B439" s="23">
        <v>45715</v>
      </c>
      <c r="C439" s="7">
        <v>2003612838</v>
      </c>
      <c r="D439" s="20">
        <v>5787208</v>
      </c>
      <c r="E439" s="27" t="s">
        <v>123</v>
      </c>
      <c r="F439" s="7" t="s">
        <v>107</v>
      </c>
      <c r="G439" s="7" t="s">
        <v>10</v>
      </c>
      <c r="H439" s="7" t="s">
        <v>45</v>
      </c>
      <c r="I439" s="20" t="s">
        <v>708</v>
      </c>
      <c r="J439" s="20" t="s">
        <v>853</v>
      </c>
      <c r="K439" s="7" t="s">
        <v>110</v>
      </c>
      <c r="L439" s="61">
        <v>45723</v>
      </c>
      <c r="M439" s="7" t="s">
        <v>111</v>
      </c>
      <c r="N439" s="61">
        <v>45726</v>
      </c>
      <c r="O439" s="61">
        <v>45726</v>
      </c>
      <c r="P439" s="59">
        <v>61.6</v>
      </c>
      <c r="Q439" s="124" t="e">
        <f>P439*#REF!</f>
        <v>#REF!</v>
      </c>
      <c r="R439" s="126">
        <v>45728</v>
      </c>
      <c r="S439" s="153">
        <f>IF(L439="","",L439-B439)</f>
        <v>8</v>
      </c>
      <c r="T439" s="153">
        <f>IF(N439="","",N439-L439)</f>
        <v>3</v>
      </c>
      <c r="U439" s="153">
        <f>IF(O439="","",O439-N439)</f>
        <v>0</v>
      </c>
      <c r="V439" s="154">
        <f>IF(O439="","",O439-B439)</f>
        <v>11</v>
      </c>
      <c r="W439" s="154">
        <f>IF(O439="","",O439-L439)</f>
        <v>3</v>
      </c>
      <c r="X439" s="154">
        <f>IF(R439="","",R439-B439)</f>
        <v>13</v>
      </c>
    </row>
    <row r="440" spans="2:24" ht="17.25" hidden="1" customHeight="1">
      <c r="B440" s="23">
        <v>45715</v>
      </c>
      <c r="C440" s="7">
        <v>2003619935</v>
      </c>
      <c r="D440" s="20">
        <v>5787628</v>
      </c>
      <c r="E440" s="27" t="s">
        <v>123</v>
      </c>
      <c r="F440" s="7" t="s">
        <v>107</v>
      </c>
      <c r="G440" s="7" t="s">
        <v>10</v>
      </c>
      <c r="H440" s="7" t="s">
        <v>45</v>
      </c>
      <c r="I440" s="20" t="s">
        <v>854</v>
      </c>
      <c r="J440" s="20" t="s">
        <v>855</v>
      </c>
      <c r="K440" s="7" t="s">
        <v>119</v>
      </c>
      <c r="L440" s="61">
        <v>45722</v>
      </c>
      <c r="M440" s="7" t="s">
        <v>111</v>
      </c>
      <c r="N440" s="61">
        <v>45723</v>
      </c>
      <c r="O440" s="61">
        <v>45726</v>
      </c>
      <c r="P440" s="59"/>
      <c r="Q440" s="124" t="e">
        <f>P440*#REF!</f>
        <v>#REF!</v>
      </c>
      <c r="R440" s="126">
        <v>45728</v>
      </c>
      <c r="S440" s="153">
        <f>IF(L440="","",L440-B440)</f>
        <v>7</v>
      </c>
      <c r="T440" s="153">
        <f>IF(N440="","",N440-L440)</f>
        <v>1</v>
      </c>
      <c r="U440" s="153">
        <f>IF(O440="","",O440-N440)</f>
        <v>3</v>
      </c>
      <c r="V440" s="154">
        <f>IF(O440="","",O440-B440)</f>
        <v>11</v>
      </c>
      <c r="W440" s="154">
        <f>IF(O440="","",O440-L440)</f>
        <v>4</v>
      </c>
      <c r="X440" s="154">
        <f>IF(R440="","",R440-B440)</f>
        <v>13</v>
      </c>
    </row>
    <row r="441" spans="2:24" ht="17.25" hidden="1" customHeight="1">
      <c r="B441" s="23">
        <v>45715</v>
      </c>
      <c r="C441" s="7">
        <v>2003575931</v>
      </c>
      <c r="D441" s="20">
        <v>5787746</v>
      </c>
      <c r="E441" s="27" t="s">
        <v>163</v>
      </c>
      <c r="F441" s="7" t="s">
        <v>107</v>
      </c>
      <c r="G441" s="7" t="s">
        <v>26</v>
      </c>
      <c r="H441" s="7" t="s">
        <v>45</v>
      </c>
      <c r="I441" s="20" t="s">
        <v>856</v>
      </c>
      <c r="J441" s="20" t="s">
        <v>857</v>
      </c>
      <c r="K441" s="7" t="s">
        <v>119</v>
      </c>
      <c r="L441" s="61">
        <v>45716</v>
      </c>
      <c r="M441" s="7" t="s">
        <v>111</v>
      </c>
      <c r="N441" s="24">
        <v>45716</v>
      </c>
      <c r="O441" s="58">
        <v>45716</v>
      </c>
      <c r="P441" s="59"/>
      <c r="Q441" s="124" t="e">
        <f>P441*#REF!</f>
        <v>#REF!</v>
      </c>
      <c r="R441" s="126">
        <v>45716</v>
      </c>
      <c r="S441" s="153">
        <f>IF(L441="","",L441-B441)</f>
        <v>1</v>
      </c>
      <c r="T441" s="153">
        <f>IF(N441="","",N441-L441)</f>
        <v>0</v>
      </c>
      <c r="U441" s="153">
        <f>IF(O441="","",O441-N441)</f>
        <v>0</v>
      </c>
      <c r="V441" s="154">
        <f>IF(O441="","",O441-B441)</f>
        <v>1</v>
      </c>
      <c r="W441" s="154">
        <f>IF(O441="","",O441-L441)</f>
        <v>0</v>
      </c>
      <c r="X441" s="154">
        <f>IF(R441="","",R441-B441)</f>
        <v>1</v>
      </c>
    </row>
    <row r="442" spans="2:24" ht="17.25" hidden="1" customHeight="1">
      <c r="B442" s="23">
        <v>45715</v>
      </c>
      <c r="C442" s="7">
        <v>2003603482</v>
      </c>
      <c r="D442" s="20">
        <v>5787793</v>
      </c>
      <c r="E442" s="27" t="s">
        <v>230</v>
      </c>
      <c r="F442" s="7" t="s">
        <v>107</v>
      </c>
      <c r="G442" s="7" t="s">
        <v>21</v>
      </c>
      <c r="H442" s="7" t="s">
        <v>45</v>
      </c>
      <c r="I442" s="20" t="s">
        <v>206</v>
      </c>
      <c r="J442" s="20" t="s">
        <v>734</v>
      </c>
      <c r="K442" s="7" t="s">
        <v>110</v>
      </c>
      <c r="L442" s="61">
        <v>45716</v>
      </c>
      <c r="M442" s="7" t="s">
        <v>111</v>
      </c>
      <c r="N442" s="61">
        <v>45716</v>
      </c>
      <c r="O442" s="209">
        <v>45721</v>
      </c>
      <c r="P442" s="59"/>
      <c r="Q442" s="124" t="e">
        <f>P442*#REF!</f>
        <v>#REF!</v>
      </c>
      <c r="R442" s="126">
        <v>45721</v>
      </c>
      <c r="S442" s="153">
        <f>IF(L442="","",L442-B442)</f>
        <v>1</v>
      </c>
      <c r="T442" s="153">
        <f>IF(N442="","",N442-L442)</f>
        <v>0</v>
      </c>
      <c r="U442" s="153">
        <f>IF(O442="","",O442-N442)</f>
        <v>5</v>
      </c>
      <c r="V442" s="154">
        <f>IF(O442="","",O442-B442)</f>
        <v>6</v>
      </c>
      <c r="W442" s="154">
        <f>IF(O442="","",O442-L442)</f>
        <v>5</v>
      </c>
      <c r="X442" s="154">
        <f>IF(R442="","",R442-B442)</f>
        <v>6</v>
      </c>
    </row>
    <row r="443" spans="2:24" ht="17.25" hidden="1" customHeight="1">
      <c r="B443" s="23">
        <v>45715</v>
      </c>
      <c r="C443" s="7">
        <v>2003487666</v>
      </c>
      <c r="D443" s="20">
        <v>5787821</v>
      </c>
      <c r="E443" s="27" t="s">
        <v>123</v>
      </c>
      <c r="F443" s="7" t="s">
        <v>107</v>
      </c>
      <c r="G443" s="7" t="s">
        <v>10</v>
      </c>
      <c r="H443" s="7" t="s">
        <v>45</v>
      </c>
      <c r="I443" s="20" t="s">
        <v>858</v>
      </c>
      <c r="J443" s="20" t="s">
        <v>859</v>
      </c>
      <c r="K443" s="7" t="s">
        <v>119</v>
      </c>
      <c r="L443" s="61">
        <v>45722</v>
      </c>
      <c r="M443" s="7" t="s">
        <v>111</v>
      </c>
      <c r="N443" s="24">
        <v>45728</v>
      </c>
      <c r="O443" s="24">
        <v>45728</v>
      </c>
      <c r="P443" s="59"/>
      <c r="Q443" s="124" t="e">
        <f>P443*#REF!</f>
        <v>#REF!</v>
      </c>
      <c r="R443" s="126">
        <v>45728</v>
      </c>
      <c r="S443" s="153">
        <f>IF(L443="","",L443-B443)</f>
        <v>7</v>
      </c>
      <c r="T443" s="153">
        <f>IF(N443="","",N443-L443)</f>
        <v>6</v>
      </c>
      <c r="U443" s="153">
        <f>IF(O443="","",O443-N443)</f>
        <v>0</v>
      </c>
      <c r="V443" s="154">
        <f>IF(O443="","",O443-B443)</f>
        <v>13</v>
      </c>
      <c r="W443" s="154">
        <f>IF(O443="","",O443-L443)</f>
        <v>6</v>
      </c>
      <c r="X443" s="154">
        <f>IF(R443="","",R443-B443)</f>
        <v>13</v>
      </c>
    </row>
    <row r="444" spans="2:24" ht="17.25" hidden="1" customHeight="1">
      <c r="B444" s="23">
        <v>45715</v>
      </c>
      <c r="C444" s="7">
        <v>2003588305</v>
      </c>
      <c r="D444" s="20">
        <v>110528</v>
      </c>
      <c r="E444" s="27" t="s">
        <v>123</v>
      </c>
      <c r="F444" s="7" t="s">
        <v>107</v>
      </c>
      <c r="G444" s="7" t="s">
        <v>10</v>
      </c>
      <c r="H444" s="7" t="s">
        <v>45</v>
      </c>
      <c r="I444" s="20" t="s">
        <v>608</v>
      </c>
      <c r="J444" s="20" t="s">
        <v>860</v>
      </c>
      <c r="K444" s="7" t="s">
        <v>119</v>
      </c>
      <c r="L444" s="61">
        <v>45721</v>
      </c>
      <c r="M444" s="7" t="s">
        <v>111</v>
      </c>
      <c r="N444" s="61">
        <v>45733</v>
      </c>
      <c r="O444" s="58">
        <v>45736</v>
      </c>
      <c r="P444" s="59"/>
      <c r="Q444" s="124" t="e">
        <f>P444*#REF!</f>
        <v>#REF!</v>
      </c>
      <c r="R444" s="126">
        <v>45736</v>
      </c>
      <c r="S444" s="153">
        <f>IF(L444="","",L444-B444)</f>
        <v>6</v>
      </c>
      <c r="T444" s="153">
        <f>IF(N444="","",N444-L444)</f>
        <v>12</v>
      </c>
      <c r="U444" s="153">
        <f>IF(O444="","",O444-N444)</f>
        <v>3</v>
      </c>
      <c r="V444" s="154">
        <f>IF(O444="","",O444-B444)</f>
        <v>21</v>
      </c>
      <c r="W444" s="154">
        <f>IF(O444="","",O444-L444)</f>
        <v>15</v>
      </c>
      <c r="X444" s="154">
        <f>IF(R444="","",R444-B444)</f>
        <v>21</v>
      </c>
    </row>
    <row r="445" spans="2:24" ht="17.25" hidden="1" customHeight="1">
      <c r="B445" s="23">
        <v>45715</v>
      </c>
      <c r="C445" s="7">
        <v>2003619916</v>
      </c>
      <c r="D445" s="20">
        <v>111147</v>
      </c>
      <c r="E445" s="27" t="s">
        <v>191</v>
      </c>
      <c r="F445" s="7" t="s">
        <v>107</v>
      </c>
      <c r="G445" s="7" t="s">
        <v>10</v>
      </c>
      <c r="H445" s="7" t="s">
        <v>45</v>
      </c>
      <c r="I445" s="20" t="s">
        <v>861</v>
      </c>
      <c r="J445" s="20" t="s">
        <v>862</v>
      </c>
      <c r="K445" s="7" t="s">
        <v>122</v>
      </c>
      <c r="L445" s="61">
        <v>45722</v>
      </c>
      <c r="M445" s="7" t="s">
        <v>111</v>
      </c>
      <c r="N445" s="61">
        <v>45726</v>
      </c>
      <c r="O445" s="58">
        <v>45727</v>
      </c>
      <c r="P445" s="59"/>
      <c r="Q445" s="124" t="e">
        <f>P445*#REF!</f>
        <v>#REF!</v>
      </c>
      <c r="R445" s="126">
        <v>45728</v>
      </c>
      <c r="S445" s="153">
        <f>IF(L445="","",L445-B445)</f>
        <v>7</v>
      </c>
      <c r="T445" s="153">
        <f>IF(N445="","",N445-L445)</f>
        <v>4</v>
      </c>
      <c r="U445" s="153">
        <f>IF(O445="","",O445-N445)</f>
        <v>1</v>
      </c>
      <c r="V445" s="154">
        <f>IF(O445="","",O445-B445)</f>
        <v>12</v>
      </c>
      <c r="W445" s="154">
        <f>IF(O445="","",O445-L445)</f>
        <v>5</v>
      </c>
      <c r="X445" s="154">
        <f>IF(R445="","",R445-B445)</f>
        <v>13</v>
      </c>
    </row>
    <row r="446" spans="2:24" ht="17.25" hidden="1" customHeight="1">
      <c r="B446" s="23">
        <v>45715</v>
      </c>
      <c r="C446" s="7">
        <v>2003588265</v>
      </c>
      <c r="D446" s="20">
        <v>110584</v>
      </c>
      <c r="E446" s="27" t="s">
        <v>123</v>
      </c>
      <c r="F446" s="7" t="s">
        <v>107</v>
      </c>
      <c r="G446" s="7" t="s">
        <v>26</v>
      </c>
      <c r="H446" s="7" t="s">
        <v>45</v>
      </c>
      <c r="I446" s="20" t="s">
        <v>489</v>
      </c>
      <c r="J446" s="20" t="s">
        <v>490</v>
      </c>
      <c r="K446" s="7" t="s">
        <v>110</v>
      </c>
      <c r="L446" s="61">
        <v>45716</v>
      </c>
      <c r="M446" s="7" t="s">
        <v>111</v>
      </c>
      <c r="N446" s="24">
        <v>45716</v>
      </c>
      <c r="O446" s="58">
        <v>45716</v>
      </c>
      <c r="P446" s="59"/>
      <c r="Q446" s="124" t="e">
        <f>P446*#REF!</f>
        <v>#REF!</v>
      </c>
      <c r="R446" s="126">
        <v>45716</v>
      </c>
      <c r="S446" s="153">
        <f>IF(L446="","",L446-B446)</f>
        <v>1</v>
      </c>
      <c r="T446" s="153">
        <f>IF(N446="","",N446-L446)</f>
        <v>0</v>
      </c>
      <c r="U446" s="153">
        <f>IF(O446="","",O446-N446)</f>
        <v>0</v>
      </c>
      <c r="V446" s="154">
        <f>IF(O446="","",O446-B446)</f>
        <v>1</v>
      </c>
      <c r="W446" s="154">
        <f>IF(O446="","",O446-L446)</f>
        <v>0</v>
      </c>
      <c r="X446" s="154">
        <f>IF(R446="","",R446-B446)</f>
        <v>1</v>
      </c>
    </row>
    <row r="447" spans="2:24" ht="17.25" hidden="1" customHeight="1">
      <c r="B447" s="23">
        <v>45716</v>
      </c>
      <c r="C447" s="7">
        <v>2003580735</v>
      </c>
      <c r="D447" s="20">
        <v>5788184</v>
      </c>
      <c r="E447" s="27" t="s">
        <v>849</v>
      </c>
      <c r="F447" s="7" t="s">
        <v>107</v>
      </c>
      <c r="G447" s="7" t="s">
        <v>21</v>
      </c>
      <c r="H447" s="7" t="s">
        <v>45</v>
      </c>
      <c r="I447" s="20" t="s">
        <v>863</v>
      </c>
      <c r="J447" s="20" t="s">
        <v>346</v>
      </c>
      <c r="K447" s="7" t="s">
        <v>111</v>
      </c>
      <c r="L447" s="61">
        <v>45716</v>
      </c>
      <c r="M447" s="7" t="s">
        <v>111</v>
      </c>
      <c r="N447" s="24">
        <v>45716</v>
      </c>
      <c r="O447" s="58">
        <v>45716</v>
      </c>
      <c r="P447" s="59"/>
      <c r="Q447" s="124" t="e">
        <f>P447*#REF!</f>
        <v>#REF!</v>
      </c>
      <c r="R447" s="126">
        <v>45721</v>
      </c>
      <c r="S447" s="153">
        <f>IF(L447="","",L447-B447)</f>
        <v>0</v>
      </c>
      <c r="T447" s="153">
        <f>IF(N447="","",N447-L447)</f>
        <v>0</v>
      </c>
      <c r="U447" s="153">
        <f>IF(O447="","",O447-N447)</f>
        <v>0</v>
      </c>
      <c r="V447" s="154">
        <f>IF(O447="","",O447-B447)</f>
        <v>0</v>
      </c>
      <c r="W447" s="154">
        <f>IF(O447="","",O447-L447)</f>
        <v>0</v>
      </c>
      <c r="X447" s="154">
        <f>IF(R447="","",R447-B447)</f>
        <v>5</v>
      </c>
    </row>
    <row r="448" spans="2:24" ht="17.25" hidden="1" customHeight="1">
      <c r="B448" s="23">
        <v>45716</v>
      </c>
      <c r="C448" s="7">
        <v>2003619673</v>
      </c>
      <c r="D448" s="20">
        <v>5788564</v>
      </c>
      <c r="E448" s="27" t="s">
        <v>116</v>
      </c>
      <c r="F448" s="7" t="s">
        <v>107</v>
      </c>
      <c r="G448" s="7" t="s">
        <v>10</v>
      </c>
      <c r="H448" s="7" t="s">
        <v>45</v>
      </c>
      <c r="I448" s="20" t="s">
        <v>810</v>
      </c>
      <c r="J448" s="20" t="s">
        <v>864</v>
      </c>
      <c r="K448" s="7" t="s">
        <v>119</v>
      </c>
      <c r="L448" s="61">
        <v>45723</v>
      </c>
      <c r="M448" s="7" t="s">
        <v>111</v>
      </c>
      <c r="N448" s="61">
        <v>45723</v>
      </c>
      <c r="O448" s="58">
        <v>45727</v>
      </c>
      <c r="P448" s="59"/>
      <c r="Q448" s="124" t="e">
        <f>P448*#REF!</f>
        <v>#REF!</v>
      </c>
      <c r="R448" s="126">
        <v>45728</v>
      </c>
      <c r="S448" s="153">
        <f>IF(L448="","",L448-B448)</f>
        <v>7</v>
      </c>
      <c r="T448" s="153">
        <f>IF(N448="","",N448-L448)</f>
        <v>0</v>
      </c>
      <c r="U448" s="153">
        <f>IF(O448="","",O448-N448)</f>
        <v>4</v>
      </c>
      <c r="V448" s="154">
        <f>IF(O448="","",O448-B448)</f>
        <v>11</v>
      </c>
      <c r="W448" s="154">
        <f>IF(O448="","",O448-L448)</f>
        <v>4</v>
      </c>
      <c r="X448" s="154">
        <f>IF(R448="","",R448-B448)</f>
        <v>12</v>
      </c>
    </row>
    <row r="449" spans="2:24" ht="17.25" hidden="1" customHeight="1">
      <c r="B449" s="23">
        <v>45716</v>
      </c>
      <c r="C449" s="7">
        <v>2003580737</v>
      </c>
      <c r="D449" s="20">
        <v>5788800</v>
      </c>
      <c r="E449" s="27" t="s">
        <v>116</v>
      </c>
      <c r="F449" s="7" t="s">
        <v>113</v>
      </c>
      <c r="G449" s="7" t="s">
        <v>70</v>
      </c>
      <c r="H449" s="7" t="s">
        <v>47</v>
      </c>
      <c r="I449" s="20" t="s">
        <v>865</v>
      </c>
      <c r="J449" s="20" t="s">
        <v>866</v>
      </c>
      <c r="K449" s="7" t="s">
        <v>119</v>
      </c>
      <c r="L449" s="61">
        <v>45723</v>
      </c>
      <c r="P449" s="59"/>
      <c r="Q449" s="124" t="e">
        <f>P449*#REF!</f>
        <v>#REF!</v>
      </c>
      <c r="R449" s="126">
        <v>45723</v>
      </c>
      <c r="S449" s="153">
        <f>IF(L449="","",L449-B449)</f>
        <v>7</v>
      </c>
      <c r="T449" s="153" t="str">
        <f>IF(N449="","",N449-L449)</f>
        <v/>
      </c>
      <c r="U449" s="153" t="str">
        <f>IF(O449="","",O449-N449)</f>
        <v/>
      </c>
      <c r="V449" s="154" t="str">
        <f>IF(O449="","",O449-B449)</f>
        <v/>
      </c>
      <c r="W449" s="154" t="str">
        <f>IF(O449="","",O449-L449)</f>
        <v/>
      </c>
      <c r="X449" s="154">
        <f>IF(R449="","",R449-B449)</f>
        <v>7</v>
      </c>
    </row>
    <row r="450" spans="2:24" ht="17.25" hidden="1" customHeight="1">
      <c r="B450" s="23">
        <v>45716</v>
      </c>
      <c r="C450" s="7">
        <v>2003495820</v>
      </c>
      <c r="D450" s="20">
        <v>5788811</v>
      </c>
      <c r="E450" s="27" t="s">
        <v>116</v>
      </c>
      <c r="F450" s="7" t="s">
        <v>107</v>
      </c>
      <c r="G450" s="7" t="s">
        <v>10</v>
      </c>
      <c r="H450" s="7" t="s">
        <v>45</v>
      </c>
      <c r="I450" s="20" t="s">
        <v>858</v>
      </c>
      <c r="J450" s="20" t="s">
        <v>859</v>
      </c>
      <c r="K450" s="7" t="s">
        <v>119</v>
      </c>
      <c r="L450" s="61">
        <v>45722</v>
      </c>
      <c r="M450" s="7" t="s">
        <v>111</v>
      </c>
      <c r="N450" s="24">
        <v>45728</v>
      </c>
      <c r="O450" s="24">
        <v>45728</v>
      </c>
      <c r="P450" s="59"/>
      <c r="Q450" s="124" t="e">
        <f>P450*#REF!</f>
        <v>#REF!</v>
      </c>
      <c r="R450" s="126">
        <v>45728</v>
      </c>
      <c r="S450" s="153">
        <f>IF(L450="","",L450-B450)</f>
        <v>6</v>
      </c>
      <c r="T450" s="153">
        <f>IF(N450="","",N450-L450)</f>
        <v>6</v>
      </c>
      <c r="U450" s="153">
        <f>IF(O450="","",O450-N450)</f>
        <v>0</v>
      </c>
      <c r="V450" s="154">
        <f>IF(O450="","",O450-B450)</f>
        <v>12</v>
      </c>
      <c r="W450" s="154">
        <f>IF(O450="","",O450-L450)</f>
        <v>6</v>
      </c>
      <c r="X450" s="154">
        <f>IF(R450="","",R450-B450)</f>
        <v>12</v>
      </c>
    </row>
    <row r="451" spans="2:24" ht="17.25" hidden="1" customHeight="1">
      <c r="B451" s="23">
        <v>45716</v>
      </c>
      <c r="C451" s="7">
        <v>2003616192</v>
      </c>
      <c r="D451" s="20">
        <v>5788828</v>
      </c>
      <c r="E451" s="27" t="s">
        <v>106</v>
      </c>
      <c r="F451" s="7" t="s">
        <v>107</v>
      </c>
      <c r="G451" s="7" t="s">
        <v>10</v>
      </c>
      <c r="H451" s="7" t="s">
        <v>45</v>
      </c>
      <c r="I451" s="20" t="s">
        <v>451</v>
      </c>
      <c r="J451" s="20" t="s">
        <v>867</v>
      </c>
      <c r="K451" s="7" t="s">
        <v>119</v>
      </c>
      <c r="L451" s="61">
        <v>45722</v>
      </c>
      <c r="M451" s="7" t="s">
        <v>111</v>
      </c>
      <c r="N451" s="24">
        <v>45729</v>
      </c>
      <c r="O451" s="24">
        <v>45729</v>
      </c>
      <c r="P451" s="59"/>
      <c r="Q451" s="124" t="e">
        <f>P451*#REF!</f>
        <v>#REF!</v>
      </c>
      <c r="R451" s="126">
        <v>45729</v>
      </c>
      <c r="S451" s="153">
        <f>IF(L451="","",L451-B451)</f>
        <v>6</v>
      </c>
      <c r="T451" s="153">
        <f>IF(N451="","",N451-L451)</f>
        <v>7</v>
      </c>
      <c r="U451" s="153">
        <f>IF(O451="","",O451-N451)</f>
        <v>0</v>
      </c>
      <c r="V451" s="154">
        <f>IF(O451="","",O451-B451)</f>
        <v>13</v>
      </c>
      <c r="W451" s="154">
        <f>IF(O451="","",O451-L451)</f>
        <v>7</v>
      </c>
      <c r="X451" s="154">
        <f>IF(R451="","",R451-B451)</f>
        <v>13</v>
      </c>
    </row>
    <row r="452" spans="2:24" ht="17.25" hidden="1" customHeight="1">
      <c r="B452" s="23">
        <v>45716</v>
      </c>
      <c r="C452" s="7">
        <v>2003511282</v>
      </c>
      <c r="D452" s="20">
        <v>5788906</v>
      </c>
      <c r="E452" s="27" t="s">
        <v>191</v>
      </c>
      <c r="F452" s="7" t="s">
        <v>107</v>
      </c>
      <c r="G452" s="7" t="s">
        <v>10</v>
      </c>
      <c r="H452" s="7" t="s">
        <v>45</v>
      </c>
      <c r="I452" s="20" t="s">
        <v>868</v>
      </c>
      <c r="J452" s="20" t="s">
        <v>869</v>
      </c>
      <c r="K452" s="7" t="s">
        <v>110</v>
      </c>
      <c r="L452" s="61">
        <v>45721</v>
      </c>
      <c r="M452" s="7" t="s">
        <v>111</v>
      </c>
      <c r="N452" s="61">
        <v>45723</v>
      </c>
      <c r="O452" s="61">
        <v>45723</v>
      </c>
      <c r="P452" s="59"/>
      <c r="Q452" s="124" t="e">
        <f>P452*#REF!</f>
        <v>#REF!</v>
      </c>
      <c r="R452" s="126">
        <v>45723</v>
      </c>
      <c r="S452" s="153">
        <f>IF(L452="","",L452-B452)</f>
        <v>5</v>
      </c>
      <c r="T452" s="153">
        <f>IF(N452="","",N452-L452)</f>
        <v>2</v>
      </c>
      <c r="U452" s="153">
        <f>IF(O452="","",O452-N452)</f>
        <v>0</v>
      </c>
      <c r="V452" s="154">
        <f>IF(O452="","",O452-B452)</f>
        <v>7</v>
      </c>
      <c r="W452" s="154">
        <f>IF(O452="","",O452-L452)</f>
        <v>2</v>
      </c>
      <c r="X452" s="154">
        <f>IF(R452="","",R452-B452)</f>
        <v>7</v>
      </c>
    </row>
    <row r="453" spans="2:24" ht="17.25" hidden="1" customHeight="1">
      <c r="B453" s="23">
        <v>45716</v>
      </c>
      <c r="C453" s="7">
        <v>2003570110</v>
      </c>
      <c r="D453" s="20">
        <v>5788929</v>
      </c>
      <c r="E453" s="27" t="s">
        <v>116</v>
      </c>
      <c r="F453" s="7" t="s">
        <v>113</v>
      </c>
      <c r="P453" s="59"/>
      <c r="Q453" s="124" t="e">
        <f>P453*#REF!</f>
        <v>#REF!</v>
      </c>
      <c r="S453" s="153" t="str">
        <f>IF(L453="","",L453-B453)</f>
        <v/>
      </c>
      <c r="T453" s="153" t="str">
        <f>IF(N453="","",N453-L453)</f>
        <v/>
      </c>
      <c r="U453" s="153" t="str">
        <f>IF(O453="","",O453-N453)</f>
        <v/>
      </c>
      <c r="V453" s="154" t="str">
        <f>IF(O453="","",O453-B453)</f>
        <v/>
      </c>
      <c r="W453" s="154" t="str">
        <f>IF(O453="","",O453-L453)</f>
        <v/>
      </c>
      <c r="X453" s="154" t="str">
        <f>IF(R453="","",R453-B453)</f>
        <v/>
      </c>
    </row>
    <row r="454" spans="2:24" ht="17.25" hidden="1" customHeight="1">
      <c r="B454" s="23">
        <v>45716</v>
      </c>
      <c r="C454" s="7">
        <v>2003621106</v>
      </c>
      <c r="D454" s="20">
        <v>5788933</v>
      </c>
      <c r="E454" s="27" t="s">
        <v>143</v>
      </c>
      <c r="F454" s="7" t="s">
        <v>113</v>
      </c>
      <c r="G454" s="7" t="s">
        <v>70</v>
      </c>
      <c r="H454" s="7" t="s">
        <v>47</v>
      </c>
      <c r="I454" s="20" t="s">
        <v>870</v>
      </c>
      <c r="J454" s="20" t="s">
        <v>871</v>
      </c>
      <c r="K454" s="7" t="s">
        <v>160</v>
      </c>
      <c r="P454" s="59"/>
      <c r="Q454" s="124" t="e">
        <f>P454*#REF!</f>
        <v>#REF!</v>
      </c>
      <c r="R454" s="126">
        <v>45723</v>
      </c>
      <c r="S454" s="153" t="str">
        <f>IF(L454="","",L454-B454)</f>
        <v/>
      </c>
      <c r="T454" s="153" t="str">
        <f>IF(N454="","",N454-L454)</f>
        <v/>
      </c>
      <c r="U454" s="153" t="str">
        <f>IF(O454="","",O454-N454)</f>
        <v/>
      </c>
      <c r="V454" s="154" t="str">
        <f>IF(O454="","",O454-B454)</f>
        <v/>
      </c>
      <c r="W454" s="154" t="str">
        <f>IF(O454="","",O454-L454)</f>
        <v/>
      </c>
      <c r="X454" s="154">
        <f>IF(R454="","",R454-B454)</f>
        <v>7</v>
      </c>
    </row>
    <row r="455" spans="2:24" ht="17.25" hidden="1" customHeight="1">
      <c r="B455" s="23">
        <v>45716</v>
      </c>
      <c r="C455" s="7">
        <v>2003618596</v>
      </c>
      <c r="D455" s="20">
        <v>111482</v>
      </c>
      <c r="E455" s="27" t="s">
        <v>198</v>
      </c>
      <c r="F455" s="7" t="s">
        <v>107</v>
      </c>
      <c r="G455" s="7" t="s">
        <v>18</v>
      </c>
      <c r="H455" s="7" t="s">
        <v>45</v>
      </c>
      <c r="I455" s="20" t="s">
        <v>872</v>
      </c>
      <c r="J455" s="20" t="s">
        <v>873</v>
      </c>
      <c r="K455" s="7" t="s">
        <v>119</v>
      </c>
      <c r="L455" s="61">
        <v>45721</v>
      </c>
      <c r="M455" s="7" t="s">
        <v>111</v>
      </c>
      <c r="N455" s="24">
        <v>45729</v>
      </c>
      <c r="O455" s="24">
        <v>45729</v>
      </c>
      <c r="P455" s="59"/>
      <c r="Q455" s="124" t="e">
        <f>P455*#REF!</f>
        <v>#REF!</v>
      </c>
      <c r="R455" s="126">
        <v>45729</v>
      </c>
      <c r="S455" s="153">
        <f>IF(L455="","",L455-B455)</f>
        <v>5</v>
      </c>
      <c r="T455" s="153">
        <f>IF(N455="","",N455-L455)</f>
        <v>8</v>
      </c>
      <c r="U455" s="153">
        <f>IF(O455="","",O455-N455)</f>
        <v>0</v>
      </c>
      <c r="V455" s="154">
        <f>IF(O455="","",O455-B455)</f>
        <v>13</v>
      </c>
      <c r="W455" s="154">
        <f>IF(O455="","",O455-L455)</f>
        <v>8</v>
      </c>
      <c r="X455" s="154">
        <f>IF(R455="","",R455-B455)</f>
        <v>13</v>
      </c>
    </row>
    <row r="456" spans="2:24" ht="17.25" hidden="1" customHeight="1">
      <c r="B456" s="23">
        <v>45721</v>
      </c>
      <c r="C456" s="7">
        <v>2003593061</v>
      </c>
      <c r="D456" s="20">
        <v>5789067</v>
      </c>
      <c r="E456" s="27" t="s">
        <v>185</v>
      </c>
      <c r="F456" s="7" t="s">
        <v>107</v>
      </c>
      <c r="G456" s="7" t="s">
        <v>21</v>
      </c>
      <c r="H456" s="7" t="s">
        <v>45</v>
      </c>
      <c r="I456" s="20" t="s">
        <v>249</v>
      </c>
      <c r="J456" s="20" t="s">
        <v>617</v>
      </c>
      <c r="K456" s="7" t="s">
        <v>111</v>
      </c>
      <c r="L456" s="61">
        <v>45722</v>
      </c>
      <c r="M456" s="7" t="s">
        <v>111</v>
      </c>
      <c r="N456" s="61">
        <v>45722</v>
      </c>
      <c r="O456" s="61">
        <v>45722</v>
      </c>
      <c r="P456" s="59"/>
      <c r="Q456" s="124" t="e">
        <f>P456*#REF!</f>
        <v>#REF!</v>
      </c>
      <c r="R456" s="126">
        <v>45723</v>
      </c>
      <c r="S456" s="153">
        <f>IF(L456="","",L456-B456)</f>
        <v>1</v>
      </c>
      <c r="T456" s="153">
        <f>IF(N456="","",N456-L456)</f>
        <v>0</v>
      </c>
      <c r="U456" s="153">
        <f>IF(O456="","",O456-N456)</f>
        <v>0</v>
      </c>
      <c r="V456" s="154">
        <f>IF(O456="","",O456-B456)</f>
        <v>1</v>
      </c>
      <c r="W456" s="154">
        <f>IF(O456="","",O456-L456)</f>
        <v>0</v>
      </c>
      <c r="X456" s="154">
        <f>IF(R456="","",R456-B456)</f>
        <v>2</v>
      </c>
    </row>
    <row r="457" spans="2:24" ht="17.25" hidden="1" customHeight="1">
      <c r="B457" s="23">
        <v>45721</v>
      </c>
      <c r="C457" s="7">
        <v>2003623202</v>
      </c>
      <c r="D457" s="20">
        <v>5789440</v>
      </c>
      <c r="E457" s="27" t="s">
        <v>116</v>
      </c>
      <c r="F457" s="7" t="s">
        <v>107</v>
      </c>
      <c r="G457" s="7" t="s">
        <v>18</v>
      </c>
      <c r="H457" s="7" t="s">
        <v>45</v>
      </c>
      <c r="I457" s="20" t="s">
        <v>874</v>
      </c>
      <c r="J457" s="20" t="s">
        <v>875</v>
      </c>
      <c r="K457" s="7" t="s">
        <v>122</v>
      </c>
      <c r="L457" s="61">
        <v>45723</v>
      </c>
      <c r="M457" s="7" t="s">
        <v>111</v>
      </c>
      <c r="N457" s="61">
        <v>45728</v>
      </c>
      <c r="O457" s="24">
        <v>45733</v>
      </c>
      <c r="P457" s="59"/>
      <c r="Q457" s="124" t="e">
        <f>P457*#REF!</f>
        <v>#REF!</v>
      </c>
      <c r="R457" s="126">
        <v>45733</v>
      </c>
      <c r="S457" s="153">
        <f>IF(L457="","",L457-B457)</f>
        <v>2</v>
      </c>
      <c r="T457" s="153">
        <f>IF(N457="","",N457-L457)</f>
        <v>5</v>
      </c>
      <c r="U457" s="153">
        <f>IF(O457="","",O457-N457)</f>
        <v>5</v>
      </c>
      <c r="V457" s="154">
        <f>IF(O457="","",O457-B457)</f>
        <v>12</v>
      </c>
      <c r="W457" s="154">
        <f>IF(O457="","",O457-L457)</f>
        <v>10</v>
      </c>
      <c r="X457" s="154">
        <f>IF(R457="","",R457-B457)</f>
        <v>12</v>
      </c>
    </row>
    <row r="458" spans="2:24" ht="17.25" hidden="1" customHeight="1">
      <c r="B458" s="23">
        <v>45721</v>
      </c>
      <c r="C458" s="7">
        <v>2003602490</v>
      </c>
      <c r="D458" s="20">
        <v>5789495</v>
      </c>
      <c r="E458" s="27" t="s">
        <v>230</v>
      </c>
      <c r="F458" s="7" t="s">
        <v>107</v>
      </c>
      <c r="G458" s="7" t="s">
        <v>10</v>
      </c>
      <c r="H458" s="7" t="s">
        <v>45</v>
      </c>
      <c r="I458" s="20" t="s">
        <v>846</v>
      </c>
      <c r="J458" s="20" t="s">
        <v>847</v>
      </c>
      <c r="K458" s="7" t="s">
        <v>119</v>
      </c>
      <c r="L458" s="61">
        <v>45723</v>
      </c>
      <c r="M458" s="7" t="s">
        <v>111</v>
      </c>
      <c r="N458" s="61">
        <v>45723</v>
      </c>
      <c r="O458" s="61">
        <v>45726</v>
      </c>
      <c r="P458" s="59"/>
      <c r="Q458" s="124" t="e">
        <f>P458*#REF!</f>
        <v>#REF!</v>
      </c>
      <c r="R458" s="126">
        <v>45728</v>
      </c>
      <c r="S458" s="153">
        <f>IF(L458="","",L458-B458)</f>
        <v>2</v>
      </c>
      <c r="T458" s="153">
        <f>IF(N458="","",N458-L458)</f>
        <v>0</v>
      </c>
      <c r="U458" s="153">
        <f>IF(O458="","",O458-N458)</f>
        <v>3</v>
      </c>
      <c r="V458" s="154">
        <f>IF(O458="","",O458-B458)</f>
        <v>5</v>
      </c>
      <c r="W458" s="154">
        <f>IF(O458="","",O458-L458)</f>
        <v>3</v>
      </c>
      <c r="X458" s="154">
        <f>IF(R458="","",R458-B458)</f>
        <v>7</v>
      </c>
    </row>
    <row r="459" spans="2:24" ht="17.25" hidden="1" customHeight="1">
      <c r="B459" s="23">
        <v>45721</v>
      </c>
      <c r="C459" s="7">
        <v>2003542973</v>
      </c>
      <c r="D459" s="20">
        <v>5789772</v>
      </c>
      <c r="E459" s="27" t="s">
        <v>116</v>
      </c>
      <c r="F459" s="7" t="s">
        <v>107</v>
      </c>
      <c r="G459" s="7" t="s">
        <v>21</v>
      </c>
      <c r="H459" s="7" t="s">
        <v>45</v>
      </c>
      <c r="I459" s="20" t="s">
        <v>876</v>
      </c>
      <c r="J459" s="20" t="s">
        <v>877</v>
      </c>
      <c r="K459" s="7" t="s">
        <v>111</v>
      </c>
      <c r="L459" s="61">
        <v>45722</v>
      </c>
      <c r="M459" s="7" t="s">
        <v>111</v>
      </c>
      <c r="N459" s="61">
        <v>45722</v>
      </c>
      <c r="O459" s="61">
        <v>45723</v>
      </c>
      <c r="P459" s="59"/>
      <c r="Q459" s="124" t="e">
        <f>P459*#REF!</f>
        <v>#REF!</v>
      </c>
      <c r="R459" s="126">
        <v>45723</v>
      </c>
      <c r="S459" s="153">
        <f>IF(L459="","",L459-B459)</f>
        <v>1</v>
      </c>
      <c r="T459" s="153">
        <f>IF(N459="","",N459-L459)</f>
        <v>0</v>
      </c>
      <c r="U459" s="153">
        <f>IF(O459="","",O459-N459)</f>
        <v>1</v>
      </c>
      <c r="V459" s="154">
        <f>IF(O459="","",O459-B459)</f>
        <v>2</v>
      </c>
      <c r="W459" s="154">
        <f>IF(O459="","",O459-L459)</f>
        <v>1</v>
      </c>
      <c r="X459" s="154">
        <f>IF(R459="","",R459-B459)</f>
        <v>2</v>
      </c>
    </row>
    <row r="460" spans="2:24" ht="17.25" hidden="1" customHeight="1">
      <c r="B460" s="23">
        <v>45721</v>
      </c>
      <c r="C460" s="7">
        <v>2003616501</v>
      </c>
      <c r="D460" s="20">
        <v>5790423</v>
      </c>
      <c r="E460" s="27" t="s">
        <v>191</v>
      </c>
      <c r="F460" s="7" t="s">
        <v>107</v>
      </c>
      <c r="G460" s="7" t="s">
        <v>26</v>
      </c>
      <c r="H460" s="7" t="s">
        <v>45</v>
      </c>
      <c r="I460" s="20" t="s">
        <v>589</v>
      </c>
      <c r="J460" s="20" t="s">
        <v>805</v>
      </c>
      <c r="K460" s="7" t="s">
        <v>119</v>
      </c>
      <c r="L460" s="61">
        <v>45726</v>
      </c>
      <c r="M460" s="7" t="s">
        <v>111</v>
      </c>
      <c r="N460" s="24">
        <v>45728</v>
      </c>
      <c r="O460" s="58">
        <v>45728</v>
      </c>
      <c r="P460" s="59"/>
      <c r="Q460" s="124" t="e">
        <f>P460*#REF!</f>
        <v>#REF!</v>
      </c>
      <c r="R460" s="126">
        <v>45728</v>
      </c>
      <c r="S460" s="153">
        <f>IF(L460="","",L460-B460)</f>
        <v>5</v>
      </c>
      <c r="T460" s="153">
        <f>IF(N460="","",N460-L460)</f>
        <v>2</v>
      </c>
      <c r="U460" s="153">
        <f>IF(O460="","",O460-N460)</f>
        <v>0</v>
      </c>
      <c r="V460" s="154">
        <f>IF(O460="","",O460-B460)</f>
        <v>7</v>
      </c>
      <c r="W460" s="154">
        <f>IF(O460="","",O460-L460)</f>
        <v>2</v>
      </c>
      <c r="X460" s="154">
        <f>IF(R460="","",R460-B460)</f>
        <v>7</v>
      </c>
    </row>
    <row r="461" spans="2:24" ht="17.25" hidden="1" customHeight="1">
      <c r="B461" s="23">
        <v>45721</v>
      </c>
      <c r="C461" s="7">
        <v>2003622483</v>
      </c>
      <c r="D461" s="20">
        <v>5790463</v>
      </c>
      <c r="E461" s="27" t="s">
        <v>138</v>
      </c>
      <c r="F461" s="7" t="s">
        <v>107</v>
      </c>
      <c r="G461" s="7" t="s">
        <v>10</v>
      </c>
      <c r="H461" s="7" t="s">
        <v>45</v>
      </c>
      <c r="I461" s="20" t="s">
        <v>878</v>
      </c>
      <c r="J461" s="20" t="s">
        <v>879</v>
      </c>
      <c r="K461" s="7" t="s">
        <v>119</v>
      </c>
      <c r="L461" s="61">
        <v>45723</v>
      </c>
      <c r="M461" s="7" t="s">
        <v>111</v>
      </c>
      <c r="N461" s="61">
        <v>45723</v>
      </c>
      <c r="O461" s="58">
        <v>45727</v>
      </c>
      <c r="P461" s="59"/>
      <c r="Q461" s="124" t="e">
        <f>P461*#REF!</f>
        <v>#REF!</v>
      </c>
      <c r="R461" s="126">
        <v>45728</v>
      </c>
      <c r="S461" s="153">
        <f>IF(L461="","",L461-B461)</f>
        <v>2</v>
      </c>
      <c r="T461" s="153">
        <f>IF(N461="","",N461-L461)</f>
        <v>0</v>
      </c>
      <c r="U461" s="153">
        <f>IF(O461="","",O461-N461)</f>
        <v>4</v>
      </c>
      <c r="V461" s="154">
        <f>IF(O461="","",O461-B461)</f>
        <v>6</v>
      </c>
      <c r="W461" s="154">
        <f>IF(O461="","",O461-L461)</f>
        <v>4</v>
      </c>
      <c r="X461" s="154">
        <f>IF(R461="","",R461-B461)</f>
        <v>7</v>
      </c>
    </row>
    <row r="462" spans="2:24" ht="17.25" hidden="1" customHeight="1">
      <c r="B462" s="23">
        <v>45721</v>
      </c>
      <c r="C462" s="7">
        <v>2003622261</v>
      </c>
      <c r="D462" s="20">
        <v>112931</v>
      </c>
      <c r="E462" s="27" t="s">
        <v>230</v>
      </c>
      <c r="F462" s="7" t="s">
        <v>107</v>
      </c>
      <c r="G462" s="7" t="s">
        <v>10</v>
      </c>
      <c r="H462" s="7" t="s">
        <v>45</v>
      </c>
      <c r="I462" s="20" t="s">
        <v>880</v>
      </c>
      <c r="J462" s="20" t="s">
        <v>881</v>
      </c>
      <c r="K462" s="7" t="s">
        <v>119</v>
      </c>
      <c r="L462" s="61">
        <v>45723</v>
      </c>
      <c r="M462" s="7" t="s">
        <v>111</v>
      </c>
      <c r="N462" s="61">
        <v>45723</v>
      </c>
      <c r="O462" s="61">
        <v>45726</v>
      </c>
      <c r="P462" s="59"/>
      <c r="Q462" s="124" t="e">
        <f>P462*#REF!</f>
        <v>#REF!</v>
      </c>
      <c r="R462" s="126">
        <v>45728</v>
      </c>
      <c r="S462" s="153">
        <f>IF(L462="","",L462-B462)</f>
        <v>2</v>
      </c>
      <c r="T462" s="153">
        <f>IF(N462="","",N462-L462)</f>
        <v>0</v>
      </c>
      <c r="U462" s="153">
        <f>IF(O462="","",O462-N462)</f>
        <v>3</v>
      </c>
      <c r="V462" s="154">
        <f>IF(O462="","",O462-B462)</f>
        <v>5</v>
      </c>
      <c r="W462" s="154">
        <f>IF(O462="","",O462-L462)</f>
        <v>3</v>
      </c>
      <c r="X462" s="154">
        <f>IF(R462="","",R462-B462)</f>
        <v>7</v>
      </c>
    </row>
    <row r="463" spans="2:24" ht="17.25" hidden="1" customHeight="1">
      <c r="B463" s="23">
        <v>45722</v>
      </c>
      <c r="C463" s="7">
        <v>2003623902</v>
      </c>
      <c r="D463" s="20">
        <v>5819391</v>
      </c>
      <c r="E463" s="27" t="s">
        <v>230</v>
      </c>
      <c r="F463" s="7" t="s">
        <v>107</v>
      </c>
      <c r="G463" s="7" t="s">
        <v>10</v>
      </c>
      <c r="H463" s="7" t="s">
        <v>45</v>
      </c>
      <c r="I463" s="20" t="s">
        <v>882</v>
      </c>
      <c r="J463" s="20" t="s">
        <v>883</v>
      </c>
      <c r="K463" s="7" t="s">
        <v>119</v>
      </c>
      <c r="L463" s="61">
        <v>45726</v>
      </c>
      <c r="M463" s="7" t="s">
        <v>111</v>
      </c>
      <c r="N463" s="24">
        <v>45728</v>
      </c>
      <c r="O463" s="24">
        <v>45728</v>
      </c>
      <c r="P463" s="59">
        <v>60.2</v>
      </c>
      <c r="Q463" s="124" t="e">
        <f>P463*#REF!</f>
        <v>#REF!</v>
      </c>
      <c r="R463" s="126">
        <v>45728</v>
      </c>
      <c r="S463" s="153">
        <f>IF(L463="","",L463-B463)</f>
        <v>4</v>
      </c>
      <c r="T463" s="153">
        <f>IF(N463="","",N463-L463)</f>
        <v>2</v>
      </c>
      <c r="U463" s="153">
        <f>IF(O463="","",O463-N463)</f>
        <v>0</v>
      </c>
      <c r="V463" s="154">
        <f>IF(O463="","",O463-B463)</f>
        <v>6</v>
      </c>
      <c r="W463" s="154">
        <f>IF(O463="","",O463-L463)</f>
        <v>2</v>
      </c>
      <c r="X463" s="154">
        <f>IF(R463="","",R463-B463)</f>
        <v>6</v>
      </c>
    </row>
    <row r="464" spans="2:24" ht="17.25" hidden="1" customHeight="1">
      <c r="B464" s="23">
        <v>45722</v>
      </c>
      <c r="C464" s="7">
        <v>2003560086</v>
      </c>
      <c r="D464" s="20">
        <v>5825635</v>
      </c>
      <c r="E464" s="27" t="s">
        <v>191</v>
      </c>
      <c r="F464" s="7" t="s">
        <v>107</v>
      </c>
      <c r="G464" s="7" t="s">
        <v>10</v>
      </c>
      <c r="H464" s="7" t="s">
        <v>45</v>
      </c>
      <c r="I464" s="20" t="s">
        <v>730</v>
      </c>
      <c r="J464" s="20" t="s">
        <v>731</v>
      </c>
      <c r="K464" s="7" t="s">
        <v>110</v>
      </c>
      <c r="L464" s="61">
        <v>45727</v>
      </c>
      <c r="M464" s="7" t="s">
        <v>111</v>
      </c>
      <c r="N464" s="61">
        <v>45727</v>
      </c>
      <c r="O464" s="58">
        <v>45728</v>
      </c>
      <c r="P464" s="59"/>
      <c r="Q464" s="124" t="e">
        <f>P464*#REF!</f>
        <v>#REF!</v>
      </c>
      <c r="R464" s="126">
        <v>45728</v>
      </c>
      <c r="S464" s="153">
        <f>IF(L464="","",L464-B464)</f>
        <v>5</v>
      </c>
      <c r="T464" s="153">
        <f>IF(N464="","",N464-L464)</f>
        <v>0</v>
      </c>
      <c r="U464" s="153">
        <f>IF(O464="","",O464-N464)</f>
        <v>1</v>
      </c>
      <c r="V464" s="154">
        <f>IF(O464="","",O464-B464)</f>
        <v>6</v>
      </c>
      <c r="W464" s="154">
        <f>IF(O464="","",O464-L464)</f>
        <v>1</v>
      </c>
      <c r="X464" s="154">
        <f>IF(R464="","",R464-B464)</f>
        <v>6</v>
      </c>
    </row>
    <row r="465" spans="2:24" ht="17.25" hidden="1" customHeight="1">
      <c r="B465" s="23">
        <v>45722</v>
      </c>
      <c r="C465" s="7">
        <v>2003621825</v>
      </c>
      <c r="D465" s="20">
        <v>5825761</v>
      </c>
      <c r="E465" s="27" t="s">
        <v>185</v>
      </c>
      <c r="F465" s="7" t="s">
        <v>107</v>
      </c>
      <c r="G465" s="7" t="s">
        <v>26</v>
      </c>
      <c r="H465" s="7" t="s">
        <v>45</v>
      </c>
      <c r="I465" s="20" t="s">
        <v>884</v>
      </c>
      <c r="J465" s="20" t="s">
        <v>885</v>
      </c>
      <c r="K465" s="7" t="s">
        <v>110</v>
      </c>
      <c r="L465" s="61">
        <v>45727</v>
      </c>
      <c r="M465" s="7" t="s">
        <v>111</v>
      </c>
      <c r="N465" s="24">
        <v>45723</v>
      </c>
      <c r="O465" s="58">
        <v>45723</v>
      </c>
      <c r="P465" s="59">
        <v>95.1</v>
      </c>
      <c r="Q465" s="124" t="e">
        <f>P465*#REF!</f>
        <v>#REF!</v>
      </c>
      <c r="R465" s="126">
        <v>45723</v>
      </c>
      <c r="S465" s="153">
        <f>IF(L465="","",L465-B465)</f>
        <v>5</v>
      </c>
      <c r="T465" s="153">
        <f>IF(N465="","",N465-L465)</f>
        <v>-4</v>
      </c>
      <c r="U465" s="153">
        <f>IF(O465="","",O465-N465)</f>
        <v>0</v>
      </c>
      <c r="V465" s="154">
        <f>IF(O465="","",O465-B465)</f>
        <v>1</v>
      </c>
      <c r="W465" s="154">
        <f>IF(O465="","",O465-L465)</f>
        <v>-4</v>
      </c>
      <c r="X465" s="154">
        <f>IF(R465="","",R465-B465)</f>
        <v>1</v>
      </c>
    </row>
    <row r="466" spans="2:24" ht="17.25" hidden="1" customHeight="1">
      <c r="B466" s="23">
        <v>45722</v>
      </c>
      <c r="C466" s="7">
        <v>2003625422</v>
      </c>
      <c r="D466" s="20">
        <v>5825769</v>
      </c>
      <c r="E466" s="27" t="s">
        <v>106</v>
      </c>
      <c r="F466" s="7" t="s">
        <v>107</v>
      </c>
      <c r="G466" s="7" t="s">
        <v>10</v>
      </c>
      <c r="H466" s="7" t="s">
        <v>45</v>
      </c>
      <c r="I466" s="20" t="s">
        <v>886</v>
      </c>
      <c r="J466" s="20" t="s">
        <v>887</v>
      </c>
      <c r="K466" s="7" t="s">
        <v>111</v>
      </c>
      <c r="L466" s="61">
        <v>45737</v>
      </c>
      <c r="M466" s="7" t="s">
        <v>111</v>
      </c>
      <c r="N466" s="24">
        <v>45741</v>
      </c>
      <c r="O466" s="24">
        <v>45741</v>
      </c>
      <c r="P466" s="59"/>
      <c r="Q466" s="124" t="e">
        <f>P466*#REF!</f>
        <v>#REF!</v>
      </c>
      <c r="R466" s="126">
        <v>45742</v>
      </c>
      <c r="S466" s="153">
        <f>IF(L466="","",L466-B466)</f>
        <v>15</v>
      </c>
      <c r="T466" s="153">
        <f>IF(N466="","",N466-L466)</f>
        <v>4</v>
      </c>
      <c r="U466" s="153">
        <f>IF(O466="","",O466-N466)</f>
        <v>0</v>
      </c>
      <c r="V466" s="154">
        <f>IF(O466="","",O466-B466)</f>
        <v>19</v>
      </c>
      <c r="W466" s="154">
        <f>IF(O466="","",O466-L466)</f>
        <v>4</v>
      </c>
      <c r="X466" s="154">
        <f>IF(R466="","",R466-B466)</f>
        <v>20</v>
      </c>
    </row>
    <row r="467" spans="2:24" ht="17.25" hidden="1" customHeight="1">
      <c r="B467" s="23">
        <v>45722</v>
      </c>
      <c r="C467" s="7">
        <v>2003613849</v>
      </c>
      <c r="D467" s="20">
        <v>585881</v>
      </c>
      <c r="E467" s="27" t="s">
        <v>143</v>
      </c>
      <c r="F467" s="7" t="s">
        <v>107</v>
      </c>
      <c r="G467" s="7" t="s">
        <v>10</v>
      </c>
      <c r="H467" s="7" t="s">
        <v>45</v>
      </c>
      <c r="I467" s="20" t="s">
        <v>310</v>
      </c>
      <c r="J467" s="20" t="s">
        <v>773</v>
      </c>
      <c r="K467" s="7" t="s">
        <v>110</v>
      </c>
      <c r="L467" s="61">
        <v>45727</v>
      </c>
      <c r="M467" s="7" t="s">
        <v>111</v>
      </c>
      <c r="N467" s="61">
        <v>45727</v>
      </c>
      <c r="O467" s="61">
        <v>45730</v>
      </c>
      <c r="P467" s="59"/>
      <c r="Q467" s="124" t="e">
        <f>P467*#REF!</f>
        <v>#REF!</v>
      </c>
      <c r="R467" s="126">
        <v>45730</v>
      </c>
      <c r="S467" s="153">
        <f>IF(L467="","",L467-B467)</f>
        <v>5</v>
      </c>
      <c r="T467" s="153">
        <f>IF(N467="","",N467-L467)</f>
        <v>0</v>
      </c>
      <c r="U467" s="153">
        <f>IF(O467="","",O467-N467)</f>
        <v>3</v>
      </c>
      <c r="V467" s="154">
        <f>IF(O467="","",O467-B467)</f>
        <v>8</v>
      </c>
      <c r="W467" s="154">
        <f>IF(O467="","",O467-L467)</f>
        <v>3</v>
      </c>
      <c r="X467" s="154">
        <f>IF(R467="","",R467-B467)</f>
        <v>8</v>
      </c>
    </row>
    <row r="468" spans="2:24" ht="17.25" hidden="1" customHeight="1">
      <c r="B468" s="23">
        <v>45722</v>
      </c>
      <c r="C468" s="7">
        <v>2003613160</v>
      </c>
      <c r="D468" s="20">
        <v>5826112</v>
      </c>
      <c r="E468" s="27" t="s">
        <v>888</v>
      </c>
      <c r="F468" s="7" t="s">
        <v>113</v>
      </c>
      <c r="G468" s="7" t="s">
        <v>21</v>
      </c>
      <c r="H468" s="7" t="s">
        <v>42</v>
      </c>
      <c r="I468" s="20" t="s">
        <v>400</v>
      </c>
      <c r="J468" s="20" t="s">
        <v>401</v>
      </c>
      <c r="K468" s="7" t="s">
        <v>160</v>
      </c>
      <c r="P468" s="59"/>
      <c r="Q468" s="124" t="e">
        <f>P468*#REF!</f>
        <v>#REF!</v>
      </c>
      <c r="S468" s="153" t="str">
        <f>IF(L468="","",L468-B468)</f>
        <v/>
      </c>
      <c r="T468" s="153" t="str">
        <f>IF(N468="","",N468-L468)</f>
        <v/>
      </c>
      <c r="U468" s="153" t="str">
        <f>IF(O468="","",O468-N468)</f>
        <v/>
      </c>
      <c r="V468" s="154" t="str">
        <f>IF(O468="","",O468-B468)</f>
        <v/>
      </c>
      <c r="W468" s="154" t="str">
        <f>IF(O468="","",O468-L468)</f>
        <v/>
      </c>
      <c r="X468" s="154" t="str">
        <f>IF(R468="","",R468-B468)</f>
        <v/>
      </c>
    </row>
    <row r="469" spans="2:24" ht="17.25" hidden="1" customHeight="1">
      <c r="B469" s="23">
        <v>45722</v>
      </c>
      <c r="C469" s="7">
        <v>2003559064</v>
      </c>
      <c r="D469" s="20">
        <v>5826149</v>
      </c>
      <c r="E469" s="27" t="s">
        <v>191</v>
      </c>
      <c r="F469" s="7" t="s">
        <v>107</v>
      </c>
      <c r="G469" s="7" t="s">
        <v>10</v>
      </c>
      <c r="H469" s="7" t="s">
        <v>45</v>
      </c>
      <c r="I469" s="20" t="s">
        <v>889</v>
      </c>
      <c r="J469" s="20" t="s">
        <v>890</v>
      </c>
      <c r="K469" s="7" t="s">
        <v>110</v>
      </c>
      <c r="L469" s="61">
        <v>45726</v>
      </c>
      <c r="M469" s="7" t="s">
        <v>111</v>
      </c>
      <c r="N469" s="61">
        <v>45726</v>
      </c>
      <c r="O469" s="61">
        <v>45726</v>
      </c>
      <c r="P469" s="59"/>
      <c r="Q469" s="124" t="e">
        <f>P469*#REF!</f>
        <v>#REF!</v>
      </c>
      <c r="R469" s="126">
        <v>45728</v>
      </c>
      <c r="S469" s="153">
        <f>IF(L469="","",L469-B469)</f>
        <v>4</v>
      </c>
      <c r="T469" s="153">
        <f>IF(N469="","",N469-L469)</f>
        <v>0</v>
      </c>
      <c r="U469" s="153">
        <f>IF(O469="","",O469-N469)</f>
        <v>0</v>
      </c>
      <c r="V469" s="154">
        <f>IF(O469="","",O469-B469)</f>
        <v>4</v>
      </c>
      <c r="W469" s="154">
        <f>IF(O469="","",O469-L469)</f>
        <v>0</v>
      </c>
      <c r="X469" s="154">
        <f>IF(R469="","",R469-B469)</f>
        <v>6</v>
      </c>
    </row>
    <row r="470" spans="2:24" ht="17.25" hidden="1" customHeight="1">
      <c r="B470" s="23">
        <v>45722</v>
      </c>
      <c r="C470" s="7">
        <v>2003625390</v>
      </c>
      <c r="D470" s="20">
        <v>5826182</v>
      </c>
      <c r="E470" s="27" t="s">
        <v>201</v>
      </c>
      <c r="F470" s="7" t="s">
        <v>107</v>
      </c>
      <c r="G470" s="7" t="s">
        <v>10</v>
      </c>
      <c r="H470" s="7" t="s">
        <v>45</v>
      </c>
      <c r="I470" s="20" t="s">
        <v>390</v>
      </c>
      <c r="J470" s="20" t="s">
        <v>891</v>
      </c>
      <c r="K470" s="7" t="s">
        <v>119</v>
      </c>
      <c r="L470" s="61">
        <v>45726</v>
      </c>
      <c r="M470" s="7" t="s">
        <v>111</v>
      </c>
      <c r="N470" s="61">
        <v>45726</v>
      </c>
      <c r="O470" s="61">
        <v>45726</v>
      </c>
      <c r="P470" s="59"/>
      <c r="Q470" s="124" t="e">
        <f>P470*#REF!</f>
        <v>#REF!</v>
      </c>
      <c r="R470" s="126">
        <v>45728</v>
      </c>
      <c r="S470" s="153">
        <f>IF(L470="","",L470-B470)</f>
        <v>4</v>
      </c>
      <c r="T470" s="153">
        <f>IF(N470="","",N470-L470)</f>
        <v>0</v>
      </c>
      <c r="U470" s="153">
        <f>IF(O470="","",O470-N470)</f>
        <v>0</v>
      </c>
      <c r="V470" s="154">
        <f>IF(O470="","",O470-B470)</f>
        <v>4</v>
      </c>
      <c r="W470" s="154">
        <f>IF(O470="","",O470-L470)</f>
        <v>0</v>
      </c>
      <c r="X470" s="154">
        <f>IF(R470="","",R470-B470)</f>
        <v>6</v>
      </c>
    </row>
    <row r="471" spans="2:24" ht="17.25" hidden="1" customHeight="1">
      <c r="B471" s="23">
        <v>45722</v>
      </c>
      <c r="C471" s="7">
        <v>2003545661</v>
      </c>
      <c r="D471" s="20">
        <v>246148</v>
      </c>
      <c r="E471" s="27" t="s">
        <v>892</v>
      </c>
      <c r="F471" s="7" t="s">
        <v>107</v>
      </c>
      <c r="G471" s="7" t="s">
        <v>18</v>
      </c>
      <c r="H471" s="7" t="s">
        <v>45</v>
      </c>
      <c r="I471" s="20" t="s">
        <v>893</v>
      </c>
      <c r="J471" s="20" t="s">
        <v>894</v>
      </c>
      <c r="K471" s="7" t="s">
        <v>110</v>
      </c>
      <c r="L471" s="61">
        <v>45729</v>
      </c>
      <c r="M471" s="7" t="s">
        <v>111</v>
      </c>
      <c r="N471" s="24">
        <v>45730</v>
      </c>
      <c r="O471" s="61">
        <v>45730</v>
      </c>
      <c r="P471" s="59"/>
      <c r="Q471" s="124" t="e">
        <f>P471*#REF!</f>
        <v>#REF!</v>
      </c>
      <c r="R471" s="126">
        <v>45730</v>
      </c>
      <c r="S471" s="153">
        <f>IF(L471="","",L471-B471)</f>
        <v>7</v>
      </c>
      <c r="T471" s="153">
        <f>IF(N471="","",N471-L471)</f>
        <v>1</v>
      </c>
      <c r="U471" s="153">
        <f>IF(O471="","",O471-N471)</f>
        <v>0</v>
      </c>
      <c r="V471" s="154">
        <f>IF(O471="","",O471-B471)</f>
        <v>8</v>
      </c>
      <c r="W471" s="154">
        <f>IF(O471="","",O471-L471)</f>
        <v>1</v>
      </c>
      <c r="X471" s="154">
        <f>IF(R471="","",R471-B471)</f>
        <v>8</v>
      </c>
    </row>
    <row r="472" spans="2:24" ht="17.25" hidden="1" customHeight="1">
      <c r="B472" s="23">
        <v>45722</v>
      </c>
      <c r="C472" s="7">
        <v>2003618144</v>
      </c>
      <c r="D472" s="20">
        <v>113967</v>
      </c>
      <c r="E472" s="27" t="s">
        <v>408</v>
      </c>
      <c r="F472" s="7" t="s">
        <v>107</v>
      </c>
      <c r="G472" s="7" t="s">
        <v>18</v>
      </c>
      <c r="H472" s="7" t="s">
        <v>45</v>
      </c>
      <c r="I472" s="20" t="s">
        <v>895</v>
      </c>
      <c r="J472" s="20" t="s">
        <v>896</v>
      </c>
      <c r="K472" s="7" t="s">
        <v>119</v>
      </c>
      <c r="L472" s="61">
        <v>45727</v>
      </c>
      <c r="M472" s="7" t="s">
        <v>111</v>
      </c>
      <c r="N472" s="61">
        <v>45727</v>
      </c>
      <c r="O472" s="58">
        <v>45728</v>
      </c>
      <c r="P472" s="59"/>
      <c r="Q472" s="124" t="e">
        <f>P472*#REF!</f>
        <v>#REF!</v>
      </c>
      <c r="R472" s="126">
        <v>45729</v>
      </c>
      <c r="S472" s="153">
        <f>IF(L472="","",L472-B472)</f>
        <v>5</v>
      </c>
      <c r="T472" s="153">
        <f>IF(N472="","",N472-L472)</f>
        <v>0</v>
      </c>
      <c r="U472" s="153">
        <f>IF(O472="","",O472-N472)</f>
        <v>1</v>
      </c>
      <c r="V472" s="154">
        <f>IF(O472="","",O472-B472)</f>
        <v>6</v>
      </c>
      <c r="W472" s="154">
        <f>IF(O472="","",O472-L472)</f>
        <v>1</v>
      </c>
      <c r="X472" s="154">
        <f>IF(R472="","",R472-B472)</f>
        <v>7</v>
      </c>
    </row>
    <row r="473" spans="2:24" ht="17.25" hidden="1" customHeight="1">
      <c r="B473" s="23">
        <v>45723</v>
      </c>
      <c r="C473" s="7">
        <v>2003624471</v>
      </c>
      <c r="D473" s="20">
        <v>5826501</v>
      </c>
      <c r="E473" s="27" t="s">
        <v>201</v>
      </c>
      <c r="F473" s="7" t="s">
        <v>107</v>
      </c>
      <c r="G473" s="7" t="s">
        <v>10</v>
      </c>
      <c r="H473" s="7" t="s">
        <v>45</v>
      </c>
      <c r="I473" s="20" t="s">
        <v>897</v>
      </c>
      <c r="J473" s="20" t="s">
        <v>898</v>
      </c>
      <c r="K473" s="7" t="s">
        <v>119</v>
      </c>
      <c r="L473" s="61">
        <v>45727</v>
      </c>
      <c r="M473" s="7" t="s">
        <v>111</v>
      </c>
      <c r="N473" s="61">
        <v>45727</v>
      </c>
      <c r="O473" s="61">
        <v>45727</v>
      </c>
      <c r="P473" s="59"/>
      <c r="Q473" s="124" t="e">
        <f>P473*#REF!</f>
        <v>#REF!</v>
      </c>
      <c r="R473" s="126">
        <v>45728</v>
      </c>
      <c r="S473" s="153">
        <f>IF(L473="","",L473-B473)</f>
        <v>4</v>
      </c>
      <c r="T473" s="153">
        <f>IF(N473="","",N473-L473)</f>
        <v>0</v>
      </c>
      <c r="U473" s="153">
        <f>IF(O473="","",O473-N473)</f>
        <v>0</v>
      </c>
      <c r="V473" s="154">
        <f>IF(O473="","",O473-B473)</f>
        <v>4</v>
      </c>
      <c r="W473" s="154">
        <f>IF(O473="","",O473-L473)</f>
        <v>0</v>
      </c>
      <c r="X473" s="154">
        <f>IF(R473="","",R473-B473)</f>
        <v>5</v>
      </c>
    </row>
    <row r="474" spans="2:24" ht="17.25" hidden="1" customHeight="1">
      <c r="B474" s="23">
        <v>45723</v>
      </c>
      <c r="C474" s="7">
        <v>2003626525</v>
      </c>
      <c r="D474" s="20">
        <v>5826507</v>
      </c>
      <c r="E474" s="27" t="s">
        <v>201</v>
      </c>
      <c r="F474" s="7" t="s">
        <v>113</v>
      </c>
      <c r="G474" s="7" t="s">
        <v>70</v>
      </c>
      <c r="H474" s="7" t="s">
        <v>47</v>
      </c>
      <c r="I474" s="20" t="s">
        <v>899</v>
      </c>
      <c r="J474" s="20" t="s">
        <v>900</v>
      </c>
      <c r="K474" s="7" t="s">
        <v>119</v>
      </c>
      <c r="L474" s="61">
        <v>45728</v>
      </c>
      <c r="M474" s="7" t="s">
        <v>111</v>
      </c>
      <c r="N474" s="24">
        <v>45728</v>
      </c>
      <c r="O474" s="58">
        <v>45728</v>
      </c>
      <c r="P474" s="59"/>
      <c r="Q474" s="124" t="e">
        <f>P474*#REF!</f>
        <v>#REF!</v>
      </c>
      <c r="R474" s="126">
        <v>45728</v>
      </c>
      <c r="S474" s="153">
        <f>IF(L474="","",L474-B474)</f>
        <v>5</v>
      </c>
      <c r="T474" s="153">
        <f>IF(N474="","",N474-L474)</f>
        <v>0</v>
      </c>
      <c r="U474" s="153">
        <f>IF(O474="","",O474-N474)</f>
        <v>0</v>
      </c>
      <c r="V474" s="154">
        <f>IF(O474="","",O474-B474)</f>
        <v>5</v>
      </c>
      <c r="W474" s="154">
        <f>IF(O474="","",O474-L474)</f>
        <v>0</v>
      </c>
      <c r="X474" s="154">
        <f>IF(R474="","",R474-B474)</f>
        <v>5</v>
      </c>
    </row>
    <row r="475" spans="2:24" ht="17.25" hidden="1" customHeight="1">
      <c r="B475" s="23">
        <v>45723</v>
      </c>
      <c r="C475" s="7">
        <v>2003576409</v>
      </c>
      <c r="D475" s="20">
        <v>5827422</v>
      </c>
      <c r="E475" s="27" t="s">
        <v>126</v>
      </c>
      <c r="F475" s="7" t="s">
        <v>107</v>
      </c>
      <c r="G475" s="7" t="s">
        <v>10</v>
      </c>
      <c r="H475" s="7" t="s">
        <v>45</v>
      </c>
      <c r="I475" s="20" t="s">
        <v>901</v>
      </c>
      <c r="J475" s="20" t="s">
        <v>902</v>
      </c>
      <c r="K475" s="7" t="s">
        <v>110</v>
      </c>
      <c r="L475" s="61">
        <v>45728</v>
      </c>
      <c r="M475" s="7" t="s">
        <v>111</v>
      </c>
      <c r="N475" s="61">
        <v>45729</v>
      </c>
      <c r="O475" s="61">
        <v>45729</v>
      </c>
      <c r="P475" s="59">
        <v>123</v>
      </c>
      <c r="Q475" s="124" t="e">
        <f>P475*#REF!</f>
        <v>#REF!</v>
      </c>
      <c r="R475" s="126">
        <v>45729</v>
      </c>
      <c r="S475" s="153">
        <f>IF(L475="","",L475-B475)</f>
        <v>5</v>
      </c>
      <c r="T475" s="153">
        <f>IF(N475="","",N475-L475)</f>
        <v>1</v>
      </c>
      <c r="U475" s="153">
        <f>IF(O475="","",O475-N475)</f>
        <v>0</v>
      </c>
      <c r="V475" s="154">
        <f>IF(O475="","",O475-B475)</f>
        <v>6</v>
      </c>
      <c r="W475" s="154">
        <f>IF(O475="","",O475-L475)</f>
        <v>1</v>
      </c>
      <c r="X475" s="154">
        <f>IF(R475="","",R475-B475)</f>
        <v>6</v>
      </c>
    </row>
    <row r="476" spans="2:24" ht="17.25" hidden="1" customHeight="1">
      <c r="B476" s="23">
        <v>45723</v>
      </c>
      <c r="C476" s="7">
        <v>2003575931</v>
      </c>
      <c r="D476" s="20">
        <v>5827548</v>
      </c>
      <c r="E476" s="27" t="s">
        <v>138</v>
      </c>
      <c r="F476" s="7" t="s">
        <v>107</v>
      </c>
      <c r="G476" s="7" t="s">
        <v>10</v>
      </c>
      <c r="H476" s="7" t="s">
        <v>45</v>
      </c>
      <c r="I476" s="20" t="s">
        <v>903</v>
      </c>
      <c r="J476" s="20" t="s">
        <v>857</v>
      </c>
      <c r="K476" s="7" t="s">
        <v>119</v>
      </c>
      <c r="L476" s="61">
        <v>45728</v>
      </c>
      <c r="M476" s="7" t="s">
        <v>111</v>
      </c>
      <c r="N476" s="61">
        <v>45729</v>
      </c>
      <c r="O476" s="61">
        <v>45729</v>
      </c>
      <c r="P476" s="59">
        <v>80.2</v>
      </c>
      <c r="Q476" s="124" t="e">
        <f>P476*#REF!</f>
        <v>#REF!</v>
      </c>
      <c r="R476" s="126">
        <v>45730</v>
      </c>
      <c r="S476" s="153">
        <f>IF(L476="","",L476-B476)</f>
        <v>5</v>
      </c>
      <c r="T476" s="153">
        <f>IF(N476="","",N476-L476)</f>
        <v>1</v>
      </c>
      <c r="U476" s="153">
        <f>IF(O476="","",O476-N476)</f>
        <v>0</v>
      </c>
      <c r="V476" s="154">
        <f>IF(O476="","",O476-B476)</f>
        <v>6</v>
      </c>
      <c r="W476" s="154">
        <f>IF(O476="","",O476-L476)</f>
        <v>1</v>
      </c>
      <c r="X476" s="154">
        <f>IF(R476="","",R476-B476)</f>
        <v>7</v>
      </c>
    </row>
    <row r="477" spans="2:24" ht="17.25" hidden="1" customHeight="1">
      <c r="B477" s="23">
        <v>45726</v>
      </c>
      <c r="C477" s="7">
        <v>2003621825</v>
      </c>
      <c r="D477" s="20">
        <v>5827735</v>
      </c>
      <c r="E477" s="27" t="s">
        <v>185</v>
      </c>
      <c r="F477" s="7" t="s">
        <v>107</v>
      </c>
      <c r="G477" s="7" t="s">
        <v>26</v>
      </c>
      <c r="H477" s="7" t="s">
        <v>45</v>
      </c>
      <c r="I477" s="20" t="s">
        <v>884</v>
      </c>
      <c r="J477" s="20" t="s">
        <v>885</v>
      </c>
      <c r="K477" s="7" t="s">
        <v>110</v>
      </c>
      <c r="L477" s="61">
        <v>45730</v>
      </c>
      <c r="M477" s="7" t="s">
        <v>111</v>
      </c>
      <c r="N477" s="24">
        <v>45730</v>
      </c>
      <c r="O477" s="58">
        <v>45730</v>
      </c>
      <c r="P477" s="59"/>
      <c r="Q477" s="124" t="e">
        <f>P477*#REF!</f>
        <v>#REF!</v>
      </c>
      <c r="R477" s="126">
        <v>45730</v>
      </c>
      <c r="S477" s="153">
        <f>IF(L477="","",L477-B477)</f>
        <v>4</v>
      </c>
      <c r="T477" s="153">
        <f>IF(N477="","",N477-L477)</f>
        <v>0</v>
      </c>
      <c r="U477" s="153">
        <f>IF(O477="","",O477-N477)</f>
        <v>0</v>
      </c>
      <c r="V477" s="154">
        <f>IF(O477="","",O477-B477)</f>
        <v>4</v>
      </c>
      <c r="W477" s="154">
        <f>IF(O477="","",O477-L477)</f>
        <v>0</v>
      </c>
      <c r="X477" s="154">
        <f>IF(R477="","",R477-B477)</f>
        <v>4</v>
      </c>
    </row>
    <row r="478" spans="2:24" ht="17.25" hidden="1" customHeight="1">
      <c r="B478" s="23">
        <v>45726</v>
      </c>
      <c r="C478" s="7">
        <v>2003567699</v>
      </c>
      <c r="D478" s="20">
        <v>5827742</v>
      </c>
      <c r="E478" s="27" t="s">
        <v>185</v>
      </c>
      <c r="F478" s="7" t="s">
        <v>107</v>
      </c>
      <c r="G478" s="7" t="s">
        <v>10</v>
      </c>
      <c r="H478" s="7" t="s">
        <v>45</v>
      </c>
      <c r="I478" s="20" t="s">
        <v>904</v>
      </c>
      <c r="J478" s="20" t="s">
        <v>905</v>
      </c>
      <c r="K478" s="7" t="s">
        <v>119</v>
      </c>
      <c r="L478" s="61">
        <v>45730</v>
      </c>
      <c r="M478" s="7" t="s">
        <v>111</v>
      </c>
      <c r="N478" s="61">
        <v>45730</v>
      </c>
      <c r="O478" s="58">
        <v>45733</v>
      </c>
      <c r="P478" s="59"/>
      <c r="Q478" s="124" t="e">
        <f>P478*#REF!</f>
        <v>#REF!</v>
      </c>
      <c r="R478" s="126">
        <v>45733</v>
      </c>
      <c r="S478" s="153">
        <f>IF(L478="","",L478-B478)</f>
        <v>4</v>
      </c>
      <c r="T478" s="153">
        <f>IF(N478="","",N478-L478)</f>
        <v>0</v>
      </c>
      <c r="U478" s="153">
        <f>IF(O478="","",O478-N478)</f>
        <v>3</v>
      </c>
      <c r="V478" s="154">
        <f>IF(O478="","",O478-B478)</f>
        <v>7</v>
      </c>
      <c r="W478" s="154">
        <f>IF(O478="","",O478-L478)</f>
        <v>3</v>
      </c>
      <c r="X478" s="154">
        <f>IF(R478="","",R478-B478)</f>
        <v>7</v>
      </c>
    </row>
    <row r="479" spans="2:24" ht="17.25" hidden="1" customHeight="1">
      <c r="B479" s="23">
        <v>45726</v>
      </c>
      <c r="C479" s="7">
        <v>2003367378</v>
      </c>
      <c r="D479" s="20">
        <v>5827743</v>
      </c>
      <c r="E479" s="27" t="s">
        <v>185</v>
      </c>
      <c r="F479" s="7" t="s">
        <v>107</v>
      </c>
      <c r="G479" s="7" t="s">
        <v>10</v>
      </c>
      <c r="H479" s="7" t="s">
        <v>45</v>
      </c>
      <c r="I479" s="20" t="s">
        <v>906</v>
      </c>
      <c r="J479" s="20" t="s">
        <v>907</v>
      </c>
      <c r="K479" s="7" t="s">
        <v>119</v>
      </c>
      <c r="L479" s="61">
        <v>45727</v>
      </c>
      <c r="M479" s="7" t="s">
        <v>111</v>
      </c>
      <c r="N479" s="61">
        <v>45727</v>
      </c>
      <c r="O479" s="58">
        <v>45728</v>
      </c>
      <c r="P479" s="59"/>
      <c r="Q479" s="124" t="e">
        <f>P479*#REF!</f>
        <v>#REF!</v>
      </c>
      <c r="R479" s="126">
        <v>45728</v>
      </c>
      <c r="S479" s="153">
        <f>IF(L479="","",L479-B479)</f>
        <v>1</v>
      </c>
      <c r="T479" s="153">
        <f>IF(N479="","",N479-L479)</f>
        <v>0</v>
      </c>
      <c r="U479" s="153">
        <f>IF(O479="","",O479-N479)</f>
        <v>1</v>
      </c>
      <c r="V479" s="154">
        <f>IF(O479="","",O479-B479)</f>
        <v>2</v>
      </c>
      <c r="W479" s="154">
        <f>IF(O479="","",O479-L479)</f>
        <v>1</v>
      </c>
      <c r="X479" s="154">
        <f>IF(R479="","",R479-B479)</f>
        <v>2</v>
      </c>
    </row>
    <row r="480" spans="2:24" ht="17.25" hidden="1" customHeight="1">
      <c r="B480" s="23">
        <v>45726</v>
      </c>
      <c r="C480" s="7">
        <v>2003622146</v>
      </c>
      <c r="D480" s="20">
        <v>5828417</v>
      </c>
      <c r="E480" s="27" t="s">
        <v>408</v>
      </c>
      <c r="F480" s="7" t="s">
        <v>107</v>
      </c>
      <c r="G480" s="7" t="s">
        <v>10</v>
      </c>
      <c r="H480" s="7" t="s">
        <v>45</v>
      </c>
      <c r="I480" s="20" t="s">
        <v>602</v>
      </c>
      <c r="J480" s="20" t="s">
        <v>908</v>
      </c>
      <c r="K480" s="7" t="s">
        <v>110</v>
      </c>
      <c r="L480" s="61">
        <v>45727</v>
      </c>
      <c r="M480" s="7" t="s">
        <v>111</v>
      </c>
      <c r="N480" s="61">
        <v>45727</v>
      </c>
      <c r="O480" s="58">
        <v>45728</v>
      </c>
      <c r="P480" s="59"/>
      <c r="Q480" s="124" t="e">
        <f>P480*#REF!</f>
        <v>#REF!</v>
      </c>
      <c r="R480" s="126">
        <v>45728</v>
      </c>
      <c r="S480" s="153">
        <f>IF(L480="","",L480-B480)</f>
        <v>1</v>
      </c>
      <c r="T480" s="153">
        <f>IF(N480="","",N480-L480)</f>
        <v>0</v>
      </c>
      <c r="U480" s="153">
        <f>IF(O480="","",O480-N480)</f>
        <v>1</v>
      </c>
      <c r="V480" s="154">
        <f>IF(O480="","",O480-B480)</f>
        <v>2</v>
      </c>
      <c r="W480" s="154">
        <f>IF(O480="","",O480-L480)</f>
        <v>1</v>
      </c>
      <c r="X480" s="154">
        <f>IF(R480="","",R480-B480)</f>
        <v>2</v>
      </c>
    </row>
    <row r="481" spans="2:24" ht="17.25" hidden="1" customHeight="1">
      <c r="B481" s="23">
        <v>45726</v>
      </c>
      <c r="C481" s="7">
        <v>2003626142</v>
      </c>
      <c r="D481" s="20">
        <v>5828692</v>
      </c>
      <c r="E481" s="27" t="s">
        <v>126</v>
      </c>
      <c r="F481" s="7" t="s">
        <v>107</v>
      </c>
      <c r="G481" s="7" t="s">
        <v>10</v>
      </c>
      <c r="H481" s="7" t="s">
        <v>45</v>
      </c>
      <c r="I481" s="20" t="s">
        <v>909</v>
      </c>
      <c r="J481" s="20" t="s">
        <v>910</v>
      </c>
      <c r="K481" s="7" t="s">
        <v>110</v>
      </c>
      <c r="L481" s="61">
        <v>45728</v>
      </c>
      <c r="M481" s="7" t="s">
        <v>111</v>
      </c>
      <c r="N481" s="61">
        <v>45728</v>
      </c>
      <c r="O481" s="58">
        <v>45729</v>
      </c>
      <c r="P481" s="59"/>
      <c r="Q481" s="124" t="e">
        <f>P481*#REF!</f>
        <v>#REF!</v>
      </c>
      <c r="R481" s="126">
        <v>45729</v>
      </c>
      <c r="S481" s="153">
        <f>IF(L481="","",L481-B481)</f>
        <v>2</v>
      </c>
      <c r="T481" s="153">
        <f>IF(N481="","",N481-L481)</f>
        <v>0</v>
      </c>
      <c r="U481" s="153">
        <f>IF(O481="","",O481-N481)</f>
        <v>1</v>
      </c>
      <c r="V481" s="154">
        <f>IF(O481="","",O481-B481)</f>
        <v>3</v>
      </c>
      <c r="W481" s="154">
        <f>IF(O481="","",O481-L481)</f>
        <v>1</v>
      </c>
      <c r="X481" s="154">
        <f>IF(R481="","",R481-B481)</f>
        <v>3</v>
      </c>
    </row>
    <row r="482" spans="2:24" ht="17.25" hidden="1" customHeight="1">
      <c r="B482" s="23">
        <v>45726</v>
      </c>
      <c r="C482" s="7">
        <v>2003622180</v>
      </c>
      <c r="D482" s="20">
        <v>5828843</v>
      </c>
      <c r="E482" s="27" t="s">
        <v>116</v>
      </c>
      <c r="F482" s="7" t="s">
        <v>107</v>
      </c>
      <c r="G482" s="7" t="s">
        <v>10</v>
      </c>
      <c r="H482" s="7" t="s">
        <v>45</v>
      </c>
      <c r="I482" s="20" t="s">
        <v>155</v>
      </c>
      <c r="J482" s="20" t="s">
        <v>911</v>
      </c>
      <c r="K482" s="7" t="s">
        <v>119</v>
      </c>
      <c r="L482" s="61">
        <v>45736</v>
      </c>
      <c r="M482" s="7" t="s">
        <v>111</v>
      </c>
      <c r="N482" s="61">
        <v>45736</v>
      </c>
      <c r="O482" s="61">
        <v>45736</v>
      </c>
      <c r="P482" s="59"/>
      <c r="Q482" s="124" t="e">
        <f>P482*#REF!</f>
        <v>#REF!</v>
      </c>
      <c r="R482" s="126">
        <v>45736</v>
      </c>
      <c r="S482" s="153">
        <f>IF(L482="","",L482-B482)</f>
        <v>10</v>
      </c>
      <c r="T482" s="153">
        <f>IF(N482="","",N482-L482)</f>
        <v>0</v>
      </c>
      <c r="U482" s="153">
        <f>IF(O482="","",O482-N482)</f>
        <v>0</v>
      </c>
      <c r="V482" s="154">
        <f>IF(O482="","",O482-B482)</f>
        <v>10</v>
      </c>
      <c r="W482" s="154">
        <f>IF(O482="","",O482-L482)</f>
        <v>0</v>
      </c>
      <c r="X482" s="154">
        <f>IF(R482="","",R482-B482)</f>
        <v>10</v>
      </c>
    </row>
    <row r="483" spans="2:24" ht="17.25" hidden="1" customHeight="1">
      <c r="B483" s="23">
        <v>45726</v>
      </c>
      <c r="C483" s="7">
        <v>2003583620</v>
      </c>
      <c r="D483" s="20">
        <v>5828848</v>
      </c>
      <c r="E483" s="27" t="s">
        <v>106</v>
      </c>
      <c r="F483" s="7" t="s">
        <v>107</v>
      </c>
      <c r="G483" s="7" t="s">
        <v>21</v>
      </c>
      <c r="H483" s="7" t="s">
        <v>45</v>
      </c>
      <c r="I483" s="20" t="s">
        <v>352</v>
      </c>
      <c r="J483" s="20" t="s">
        <v>353</v>
      </c>
      <c r="K483" s="7" t="s">
        <v>111</v>
      </c>
      <c r="L483" s="61">
        <v>45727</v>
      </c>
      <c r="M483" s="7" t="s">
        <v>111</v>
      </c>
      <c r="N483" s="61">
        <v>45727</v>
      </c>
      <c r="O483" s="58">
        <v>45728</v>
      </c>
      <c r="P483" s="59"/>
      <c r="Q483" s="124" t="e">
        <f>P483*#REF!</f>
        <v>#REF!</v>
      </c>
      <c r="R483" s="126">
        <v>45728</v>
      </c>
      <c r="S483" s="153">
        <f>IF(L483="","",L483-B483)</f>
        <v>1</v>
      </c>
      <c r="T483" s="153">
        <f>IF(N483="","",N483-L483)</f>
        <v>0</v>
      </c>
      <c r="U483" s="153">
        <f>IF(O483="","",O483-N483)</f>
        <v>1</v>
      </c>
      <c r="V483" s="154">
        <f>IF(O483="","",O483-B483)</f>
        <v>2</v>
      </c>
      <c r="W483" s="154">
        <f>IF(O483="","",O483-L483)</f>
        <v>1</v>
      </c>
      <c r="X483" s="154">
        <f>IF(R483="","",R483-B483)</f>
        <v>2</v>
      </c>
    </row>
    <row r="484" spans="2:24" ht="17.25" hidden="1" customHeight="1">
      <c r="B484" s="23">
        <v>45726</v>
      </c>
      <c r="C484" s="7">
        <v>2003589016</v>
      </c>
      <c r="D484" s="20">
        <v>5828866</v>
      </c>
      <c r="E484" s="27" t="s">
        <v>180</v>
      </c>
      <c r="F484" s="7" t="s">
        <v>107</v>
      </c>
      <c r="G484" s="7" t="s">
        <v>166</v>
      </c>
      <c r="H484" s="7" t="s">
        <v>45</v>
      </c>
      <c r="I484" s="20" t="s">
        <v>133</v>
      </c>
      <c r="J484" s="20" t="s">
        <v>450</v>
      </c>
      <c r="K484" s="7" t="s">
        <v>119</v>
      </c>
      <c r="L484" s="61">
        <v>45727</v>
      </c>
      <c r="M484" s="7" t="s">
        <v>111</v>
      </c>
      <c r="N484" s="61">
        <v>45727</v>
      </c>
      <c r="O484" s="61">
        <v>45727</v>
      </c>
      <c r="P484" s="59"/>
      <c r="Q484" s="124" t="e">
        <f>P484*#REF!</f>
        <v>#REF!</v>
      </c>
      <c r="R484" s="126">
        <v>45728</v>
      </c>
      <c r="S484" s="153">
        <f>IF(L484="","",L484-B484)</f>
        <v>1</v>
      </c>
      <c r="T484" s="153">
        <f>IF(N484="","",N484-L484)</f>
        <v>0</v>
      </c>
      <c r="U484" s="153">
        <f>IF(O484="","",O484-N484)</f>
        <v>0</v>
      </c>
      <c r="V484" s="154">
        <f>IF(O484="","",O484-B484)</f>
        <v>1</v>
      </c>
      <c r="W484" s="154">
        <f>IF(O484="","",O484-L484)</f>
        <v>0</v>
      </c>
      <c r="X484" s="154">
        <f>IF(R484="","",R484-B484)</f>
        <v>2</v>
      </c>
    </row>
    <row r="485" spans="2:24" ht="17.25" hidden="1" customHeight="1">
      <c r="B485" s="23">
        <v>45726</v>
      </c>
      <c r="C485" s="7">
        <v>2003627384</v>
      </c>
      <c r="D485" s="20">
        <v>5829030</v>
      </c>
      <c r="E485" s="27" t="s">
        <v>129</v>
      </c>
      <c r="F485" s="7" t="s">
        <v>107</v>
      </c>
      <c r="G485" s="7" t="s">
        <v>10</v>
      </c>
      <c r="H485" s="7" t="s">
        <v>45</v>
      </c>
      <c r="I485" s="20" t="s">
        <v>912</v>
      </c>
      <c r="J485" s="20" t="s">
        <v>913</v>
      </c>
      <c r="K485" s="7" t="s">
        <v>119</v>
      </c>
      <c r="L485" s="61">
        <v>45729</v>
      </c>
      <c r="M485" s="7" t="s">
        <v>111</v>
      </c>
      <c r="N485" s="61">
        <v>45729</v>
      </c>
      <c r="O485" s="61">
        <v>45730</v>
      </c>
      <c r="P485" s="59"/>
      <c r="Q485" s="124" t="e">
        <f>P485*#REF!</f>
        <v>#REF!</v>
      </c>
      <c r="R485" s="126">
        <v>45730</v>
      </c>
      <c r="S485" s="153">
        <f>IF(L485="","",L485-B485)</f>
        <v>3</v>
      </c>
      <c r="T485" s="153">
        <f>IF(N485="","",N485-L485)</f>
        <v>0</v>
      </c>
      <c r="U485" s="153">
        <f>IF(O485="","",O485-N485)</f>
        <v>1</v>
      </c>
      <c r="V485" s="154">
        <f>IF(O485="","",O485-B485)</f>
        <v>4</v>
      </c>
      <c r="W485" s="154">
        <f>IF(O485="","",O485-L485)</f>
        <v>1</v>
      </c>
      <c r="X485" s="154">
        <f>IF(R485="","",R485-B485)</f>
        <v>4</v>
      </c>
    </row>
    <row r="486" spans="2:24" ht="17.25" hidden="1" customHeight="1">
      <c r="B486" s="23">
        <v>45726</v>
      </c>
      <c r="C486" s="7">
        <v>2003623707</v>
      </c>
      <c r="D486" s="20">
        <v>5829057</v>
      </c>
      <c r="E486" s="27" t="s">
        <v>143</v>
      </c>
      <c r="F486" s="7" t="s">
        <v>113</v>
      </c>
      <c r="G486" s="7" t="s">
        <v>70</v>
      </c>
      <c r="H486" s="7" t="s">
        <v>47</v>
      </c>
      <c r="I486" s="20" t="s">
        <v>451</v>
      </c>
      <c r="J486" s="20" t="s">
        <v>914</v>
      </c>
      <c r="K486" s="7" t="s">
        <v>160</v>
      </c>
      <c r="P486" s="59"/>
      <c r="Q486" s="124" t="e">
        <f>P486*#REF!</f>
        <v>#REF!</v>
      </c>
      <c r="R486" s="126">
        <v>45734</v>
      </c>
      <c r="S486" s="153" t="str">
        <f>IF(L486="","",L486-B486)</f>
        <v/>
      </c>
      <c r="T486" s="153" t="str">
        <f>IF(N486="","",N486-L486)</f>
        <v/>
      </c>
      <c r="U486" s="153" t="str">
        <f>IF(O486="","",O486-N486)</f>
        <v/>
      </c>
      <c r="V486" s="154" t="str">
        <f>IF(O486="","",O486-B486)</f>
        <v/>
      </c>
      <c r="W486" s="154" t="str">
        <f>IF(O486="","",O486-L486)</f>
        <v/>
      </c>
      <c r="X486" s="154">
        <f>IF(R486="","",R486-B486)</f>
        <v>8</v>
      </c>
    </row>
    <row r="487" spans="2:24" ht="17.25" hidden="1" customHeight="1">
      <c r="B487" s="23">
        <v>45726</v>
      </c>
      <c r="C487" s="7">
        <v>2003607291</v>
      </c>
      <c r="D487" s="20">
        <v>5829074</v>
      </c>
      <c r="E487" s="27" t="s">
        <v>106</v>
      </c>
      <c r="F487" s="7" t="s">
        <v>107</v>
      </c>
      <c r="G487" s="7" t="s">
        <v>21</v>
      </c>
      <c r="H487" s="7" t="s">
        <v>45</v>
      </c>
      <c r="I487" s="20" t="s">
        <v>226</v>
      </c>
      <c r="J487" s="20" t="s">
        <v>793</v>
      </c>
      <c r="K487" s="7" t="s">
        <v>110</v>
      </c>
      <c r="L487" s="61">
        <v>45729</v>
      </c>
      <c r="M487" s="7" t="s">
        <v>111</v>
      </c>
      <c r="N487" s="61">
        <v>45734</v>
      </c>
      <c r="O487" s="61">
        <v>45734</v>
      </c>
      <c r="P487" s="59"/>
      <c r="Q487" s="124" t="e">
        <f>P487*#REF!</f>
        <v>#REF!</v>
      </c>
      <c r="R487" s="126">
        <v>45736</v>
      </c>
      <c r="S487" s="153">
        <f>IF(L487="","",L487-B487)</f>
        <v>3</v>
      </c>
      <c r="T487" s="153">
        <f>IF(N487="","",N487-L487)</f>
        <v>5</v>
      </c>
      <c r="U487" s="153">
        <f>IF(O487="","",O487-N487)</f>
        <v>0</v>
      </c>
      <c r="V487" s="154">
        <f>IF(O487="","",O487-B487)</f>
        <v>8</v>
      </c>
      <c r="W487" s="154">
        <f>IF(O487="","",O487-L487)</f>
        <v>5</v>
      </c>
      <c r="X487" s="154">
        <f>IF(R487="","",R487-B487)</f>
        <v>10</v>
      </c>
    </row>
    <row r="488" spans="2:24" ht="17.25" hidden="1" customHeight="1">
      <c r="B488" s="23">
        <v>45726</v>
      </c>
      <c r="C488" s="7">
        <v>2003608354</v>
      </c>
      <c r="D488" s="20">
        <v>5829085</v>
      </c>
      <c r="E488" s="27" t="s">
        <v>126</v>
      </c>
      <c r="F488" s="7" t="s">
        <v>107</v>
      </c>
      <c r="G488" s="7" t="s">
        <v>10</v>
      </c>
      <c r="H488" s="7" t="s">
        <v>45</v>
      </c>
      <c r="I488" s="20" t="s">
        <v>915</v>
      </c>
      <c r="J488" s="20" t="s">
        <v>916</v>
      </c>
      <c r="K488" s="7" t="s">
        <v>110</v>
      </c>
      <c r="L488" s="61">
        <v>45728</v>
      </c>
      <c r="M488" s="7" t="s">
        <v>111</v>
      </c>
      <c r="N488" s="61">
        <v>45728</v>
      </c>
      <c r="O488" s="61">
        <v>45728</v>
      </c>
      <c r="P488" s="59"/>
      <c r="Q488" s="124" t="e">
        <f>P488*#REF!</f>
        <v>#REF!</v>
      </c>
      <c r="R488" s="126">
        <v>45730</v>
      </c>
      <c r="S488" s="153">
        <f>IF(L488="","",L488-B488)</f>
        <v>2</v>
      </c>
      <c r="T488" s="153">
        <f>IF(N488="","",N488-L488)</f>
        <v>0</v>
      </c>
      <c r="U488" s="153">
        <f>IF(O488="","",O488-N488)</f>
        <v>0</v>
      </c>
      <c r="V488" s="154">
        <f>IF(O488="","",O488-B488)</f>
        <v>2</v>
      </c>
      <c r="W488" s="154">
        <f>IF(O488="","",O488-L488)</f>
        <v>0</v>
      </c>
      <c r="X488" s="154">
        <f>IF(R488="","",R488-B488)</f>
        <v>4</v>
      </c>
    </row>
    <row r="489" spans="2:24" ht="17.25" hidden="1" customHeight="1">
      <c r="B489" s="23">
        <v>45726</v>
      </c>
      <c r="C489" s="7">
        <v>2003616923</v>
      </c>
      <c r="D489" s="20">
        <v>5829143</v>
      </c>
      <c r="E489" s="27" t="s">
        <v>408</v>
      </c>
      <c r="F489" s="7" t="s">
        <v>107</v>
      </c>
      <c r="G489" s="7" t="s">
        <v>18</v>
      </c>
      <c r="H489" s="7" t="s">
        <v>45</v>
      </c>
      <c r="I489" s="20" t="s">
        <v>735</v>
      </c>
      <c r="J489" s="20" t="s">
        <v>917</v>
      </c>
      <c r="K489" s="7" t="s">
        <v>110</v>
      </c>
      <c r="L489" s="61">
        <v>45729</v>
      </c>
      <c r="M489" s="7" t="s">
        <v>111</v>
      </c>
      <c r="N489" s="61">
        <v>45729</v>
      </c>
      <c r="O489" s="61">
        <v>45729</v>
      </c>
      <c r="P489" s="59"/>
      <c r="Q489" s="124" t="e">
        <f>P489*#REF!</f>
        <v>#REF!</v>
      </c>
      <c r="R489" s="126">
        <v>45730</v>
      </c>
      <c r="S489" s="153">
        <f>IF(L489="","",L489-B489)</f>
        <v>3</v>
      </c>
      <c r="T489" s="153">
        <f>IF(N489="","",N489-L489)</f>
        <v>0</v>
      </c>
      <c r="U489" s="153">
        <f>IF(O489="","",O489-N489)</f>
        <v>0</v>
      </c>
      <c r="V489" s="154">
        <f>IF(O489="","",O489-B489)</f>
        <v>3</v>
      </c>
      <c r="W489" s="154">
        <f>IF(O489="","",O489-L489)</f>
        <v>0</v>
      </c>
      <c r="X489" s="154">
        <f>IF(R489="","",R489-B489)</f>
        <v>4</v>
      </c>
    </row>
    <row r="490" spans="2:24" ht="17.25" hidden="1" customHeight="1">
      <c r="B490" s="23">
        <v>45726</v>
      </c>
      <c r="C490" s="7">
        <v>2003629741</v>
      </c>
      <c r="D490" s="20">
        <v>5829145</v>
      </c>
      <c r="E490" s="27" t="s">
        <v>622</v>
      </c>
      <c r="F490" s="7" t="s">
        <v>107</v>
      </c>
      <c r="G490" s="7" t="s">
        <v>10</v>
      </c>
      <c r="H490" s="7" t="s">
        <v>45</v>
      </c>
      <c r="I490" s="20" t="s">
        <v>489</v>
      </c>
      <c r="J490" s="20" t="s">
        <v>918</v>
      </c>
      <c r="K490" s="7" t="s">
        <v>110</v>
      </c>
      <c r="L490" s="61">
        <v>45729</v>
      </c>
      <c r="M490" s="7" t="s">
        <v>111</v>
      </c>
      <c r="N490" s="61">
        <v>45729</v>
      </c>
      <c r="O490" s="61">
        <v>45729</v>
      </c>
      <c r="P490" s="59"/>
      <c r="Q490" s="124" t="e">
        <f>P490*#REF!</f>
        <v>#REF!</v>
      </c>
      <c r="R490" s="126">
        <v>45730</v>
      </c>
      <c r="S490" s="153">
        <f>IF(L490="","",L490-B490)</f>
        <v>3</v>
      </c>
      <c r="T490" s="153">
        <f>IF(N490="","",N490-L490)</f>
        <v>0</v>
      </c>
      <c r="U490" s="153">
        <f>IF(O490="","",O490-N490)</f>
        <v>0</v>
      </c>
      <c r="V490" s="154">
        <f>IF(O490="","",O490-B490)</f>
        <v>3</v>
      </c>
      <c r="W490" s="154">
        <f>IF(O490="","",O490-L490)</f>
        <v>0</v>
      </c>
      <c r="X490" s="154">
        <f>IF(R490="","",R490-B490)</f>
        <v>4</v>
      </c>
    </row>
    <row r="491" spans="2:24" ht="17.25" hidden="1" customHeight="1">
      <c r="B491" s="23">
        <v>45726</v>
      </c>
      <c r="C491" s="7">
        <v>2003603576</v>
      </c>
      <c r="D491" s="20">
        <v>5829159</v>
      </c>
      <c r="E491" s="27" t="s">
        <v>157</v>
      </c>
      <c r="F491" s="7" t="s">
        <v>113</v>
      </c>
      <c r="G491" s="7" t="s">
        <v>70</v>
      </c>
      <c r="H491" s="7" t="s">
        <v>47</v>
      </c>
      <c r="I491" s="20" t="s">
        <v>919</v>
      </c>
      <c r="J491" s="20" t="s">
        <v>920</v>
      </c>
      <c r="K491" s="7" t="s">
        <v>160</v>
      </c>
      <c r="P491" s="59"/>
      <c r="Q491" s="124" t="e">
        <f>P491*#REF!</f>
        <v>#REF!</v>
      </c>
      <c r="R491" s="126">
        <v>45734</v>
      </c>
      <c r="S491" s="153" t="str">
        <f>IF(L491="","",L491-B491)</f>
        <v/>
      </c>
      <c r="T491" s="153" t="str">
        <f>IF(N491="","",N491-L491)</f>
        <v/>
      </c>
      <c r="U491" s="153" t="str">
        <f>IF(O491="","",O491-N491)</f>
        <v/>
      </c>
      <c r="V491" s="154" t="str">
        <f>IF(O491="","",O491-B491)</f>
        <v/>
      </c>
      <c r="W491" s="154" t="str">
        <f>IF(O491="","",O491-L491)</f>
        <v/>
      </c>
      <c r="X491" s="154">
        <f>IF(R491="","",R491-B491)</f>
        <v>8</v>
      </c>
    </row>
    <row r="492" spans="2:24" ht="17.25" hidden="1" customHeight="1">
      <c r="B492" s="23">
        <v>45727</v>
      </c>
      <c r="C492" s="7">
        <v>2003572642</v>
      </c>
      <c r="D492" s="20">
        <v>117396</v>
      </c>
      <c r="E492" s="27" t="s">
        <v>185</v>
      </c>
      <c r="F492" s="7" t="s">
        <v>107</v>
      </c>
      <c r="G492" s="7" t="s">
        <v>21</v>
      </c>
      <c r="H492" s="7" t="s">
        <v>45</v>
      </c>
      <c r="I492" s="20" t="s">
        <v>186</v>
      </c>
      <c r="J492" s="20" t="s">
        <v>187</v>
      </c>
      <c r="K492" s="7" t="s">
        <v>119</v>
      </c>
      <c r="L492" s="61">
        <v>45728</v>
      </c>
      <c r="M492" s="7" t="s">
        <v>111</v>
      </c>
      <c r="N492" s="61">
        <v>45728</v>
      </c>
      <c r="O492" s="61">
        <v>45730</v>
      </c>
      <c r="P492" s="59"/>
      <c r="Q492" s="124" t="e">
        <f>P492*#REF!</f>
        <v>#REF!</v>
      </c>
      <c r="R492" s="126">
        <v>45730</v>
      </c>
      <c r="S492" s="153">
        <f>IF(L492="","",L492-B492)</f>
        <v>1</v>
      </c>
      <c r="T492" s="153">
        <f>IF(N492="","",N492-L492)</f>
        <v>0</v>
      </c>
      <c r="U492" s="153">
        <f>IF(O492="","",O492-N492)</f>
        <v>2</v>
      </c>
      <c r="V492" s="154">
        <f>IF(O492="","",O492-B492)</f>
        <v>3</v>
      </c>
      <c r="W492" s="154">
        <f>IF(O492="","",O492-L492)</f>
        <v>2</v>
      </c>
      <c r="X492" s="154">
        <f>IF(R492="","",R492-B492)</f>
        <v>3</v>
      </c>
    </row>
    <row r="493" spans="2:24" ht="17.25" hidden="1" customHeight="1">
      <c r="B493" s="23">
        <v>45727</v>
      </c>
      <c r="C493" s="7">
        <v>2003624630</v>
      </c>
      <c r="D493" s="20">
        <v>117353</v>
      </c>
      <c r="E493" s="27" t="s">
        <v>135</v>
      </c>
      <c r="F493" s="7" t="s">
        <v>107</v>
      </c>
      <c r="G493" s="7" t="s">
        <v>15</v>
      </c>
      <c r="H493" s="7" t="s">
        <v>45</v>
      </c>
      <c r="I493" s="20" t="s">
        <v>921</v>
      </c>
      <c r="J493" s="20" t="s">
        <v>922</v>
      </c>
      <c r="K493" s="7" t="s">
        <v>122</v>
      </c>
      <c r="L493" s="61">
        <v>45729</v>
      </c>
      <c r="M493" s="7" t="s">
        <v>111</v>
      </c>
      <c r="N493" s="61">
        <v>45729</v>
      </c>
      <c r="O493" s="58">
        <v>45735</v>
      </c>
      <c r="P493" s="59"/>
      <c r="Q493" s="124" t="e">
        <f>P493*#REF!</f>
        <v>#REF!</v>
      </c>
      <c r="R493" s="126">
        <v>45736</v>
      </c>
      <c r="S493" s="153">
        <f>IF(L493="","",L493-B493)</f>
        <v>2</v>
      </c>
      <c r="T493" s="153">
        <f>IF(N493="","",N493-L493)</f>
        <v>0</v>
      </c>
      <c r="U493" s="153">
        <f>IF(O493="","",O493-N493)</f>
        <v>6</v>
      </c>
      <c r="V493" s="154">
        <f>IF(O493="","",O493-B493)</f>
        <v>8</v>
      </c>
      <c r="W493" s="154">
        <f>IF(O493="","",O493-L493)</f>
        <v>6</v>
      </c>
      <c r="X493" s="154">
        <f>IF(R493="","",R493-B493)</f>
        <v>9</v>
      </c>
    </row>
    <row r="494" spans="2:24" ht="17.25" hidden="1" customHeight="1">
      <c r="B494" s="23">
        <v>45727</v>
      </c>
      <c r="C494" s="7">
        <v>2003619832</v>
      </c>
      <c r="D494" s="20">
        <v>117216</v>
      </c>
      <c r="E494" s="27" t="s">
        <v>123</v>
      </c>
      <c r="F494" s="7" t="s">
        <v>107</v>
      </c>
      <c r="G494" s="7" t="s">
        <v>10</v>
      </c>
      <c r="H494" s="7" t="s">
        <v>45</v>
      </c>
      <c r="I494" s="20" t="s">
        <v>923</v>
      </c>
      <c r="J494" s="20" t="s">
        <v>924</v>
      </c>
      <c r="K494" s="7" t="s">
        <v>119</v>
      </c>
      <c r="L494" s="61">
        <v>45730</v>
      </c>
      <c r="M494" s="7" t="s">
        <v>111</v>
      </c>
      <c r="N494" s="24">
        <v>45730</v>
      </c>
      <c r="O494" s="24">
        <v>45730</v>
      </c>
      <c r="P494" s="59"/>
      <c r="Q494" s="124" t="e">
        <f>P494*#REF!</f>
        <v>#REF!</v>
      </c>
      <c r="R494" s="126">
        <v>45730</v>
      </c>
      <c r="S494" s="153">
        <f>IF(L494="","",L494-B494)</f>
        <v>3</v>
      </c>
      <c r="T494" s="153">
        <f>IF(N494="","",N494-L494)</f>
        <v>0</v>
      </c>
      <c r="U494" s="153">
        <f>IF(O494="","",O494-N494)</f>
        <v>0</v>
      </c>
      <c r="V494" s="154">
        <f>IF(O494="","",O494-B494)</f>
        <v>3</v>
      </c>
      <c r="W494" s="154">
        <f>IF(O494="","",O494-L494)</f>
        <v>0</v>
      </c>
      <c r="X494" s="154">
        <f>IF(R494="","",R494-B494)</f>
        <v>3</v>
      </c>
    </row>
    <row r="495" spans="2:24" ht="17.25" hidden="1" customHeight="1">
      <c r="B495" s="23">
        <v>45727</v>
      </c>
      <c r="C495" s="7">
        <v>2003627915</v>
      </c>
      <c r="D495" s="20">
        <v>116913</v>
      </c>
      <c r="E495" s="27" t="s">
        <v>152</v>
      </c>
      <c r="F495" s="7" t="s">
        <v>107</v>
      </c>
      <c r="G495" s="7" t="s">
        <v>10</v>
      </c>
      <c r="H495" s="7" t="s">
        <v>45</v>
      </c>
      <c r="I495" s="20" t="s">
        <v>925</v>
      </c>
      <c r="J495" s="20" t="s">
        <v>926</v>
      </c>
      <c r="K495" s="7" t="s">
        <v>110</v>
      </c>
      <c r="L495" s="61">
        <v>45729</v>
      </c>
      <c r="M495" s="7" t="s">
        <v>111</v>
      </c>
      <c r="N495" s="61">
        <v>45729</v>
      </c>
      <c r="O495" s="61">
        <v>45729</v>
      </c>
      <c r="P495" s="59"/>
      <c r="Q495" s="124" t="e">
        <f>P495*#REF!</f>
        <v>#REF!</v>
      </c>
      <c r="R495" s="126">
        <v>45730</v>
      </c>
      <c r="S495" s="153">
        <f>IF(L495="","",L495-B495)</f>
        <v>2</v>
      </c>
      <c r="T495" s="153">
        <f>IF(N495="","",N495-L495)</f>
        <v>0</v>
      </c>
      <c r="U495" s="153">
        <f>IF(O495="","",O495-N495)</f>
        <v>0</v>
      </c>
      <c r="V495" s="154">
        <f>IF(O495="","",O495-B495)</f>
        <v>2</v>
      </c>
      <c r="W495" s="154">
        <f>IF(O495="","",O495-L495)</f>
        <v>0</v>
      </c>
      <c r="X495" s="154">
        <f>IF(R495="","",R495-B495)</f>
        <v>3</v>
      </c>
    </row>
    <row r="496" spans="2:24" ht="17.25" hidden="1" customHeight="1">
      <c r="B496" s="23">
        <v>45727</v>
      </c>
      <c r="C496" s="7">
        <v>2003623845</v>
      </c>
      <c r="D496" s="20">
        <v>116773</v>
      </c>
      <c r="E496" s="20" t="s">
        <v>123</v>
      </c>
      <c r="F496" s="7" t="s">
        <v>107</v>
      </c>
      <c r="G496" s="7" t="s">
        <v>10</v>
      </c>
      <c r="H496" s="7" t="s">
        <v>42</v>
      </c>
      <c r="I496" s="20" t="s">
        <v>526</v>
      </c>
      <c r="J496" s="20" t="s">
        <v>927</v>
      </c>
      <c r="K496" s="7" t="s">
        <v>119</v>
      </c>
      <c r="L496" s="61">
        <v>45728</v>
      </c>
      <c r="M496" s="7" t="s">
        <v>111</v>
      </c>
      <c r="N496" s="61">
        <v>45728</v>
      </c>
      <c r="O496" s="61">
        <v>45728</v>
      </c>
      <c r="P496" s="59"/>
      <c r="Q496" s="124" t="e">
        <f>P496*#REF!</f>
        <v>#REF!</v>
      </c>
      <c r="R496" s="126">
        <v>45729</v>
      </c>
      <c r="S496" s="153">
        <f>IF(L496="","",L496-B496)</f>
        <v>1</v>
      </c>
      <c r="T496" s="153">
        <f>IF(N496="","",N496-L496)</f>
        <v>0</v>
      </c>
      <c r="U496" s="153">
        <f>IF(O496="","",O496-N496)</f>
        <v>0</v>
      </c>
      <c r="V496" s="154">
        <f>IF(O496="","",O496-B496)</f>
        <v>1</v>
      </c>
      <c r="W496" s="154">
        <f>IF(O496="","",O496-L496)</f>
        <v>0</v>
      </c>
      <c r="X496" s="154">
        <f>IF(R496="","",R496-B496)</f>
        <v>2</v>
      </c>
    </row>
    <row r="497" spans="2:24" ht="17.25" hidden="1" customHeight="1">
      <c r="B497" s="23">
        <v>45727</v>
      </c>
      <c r="C497" s="7">
        <v>2003610783</v>
      </c>
      <c r="D497" s="20">
        <v>116738</v>
      </c>
      <c r="E497" s="20" t="s">
        <v>123</v>
      </c>
      <c r="F497" s="7" t="s">
        <v>107</v>
      </c>
      <c r="G497" s="7" t="s">
        <v>10</v>
      </c>
      <c r="H497" s="7" t="s">
        <v>45</v>
      </c>
      <c r="I497" s="20" t="s">
        <v>928</v>
      </c>
      <c r="J497" s="20" t="s">
        <v>929</v>
      </c>
      <c r="K497" s="7" t="s">
        <v>119</v>
      </c>
      <c r="L497" s="61">
        <v>45727</v>
      </c>
      <c r="M497" s="7" t="s">
        <v>111</v>
      </c>
      <c r="N497" s="61">
        <v>45727</v>
      </c>
      <c r="O497" s="61">
        <v>45727</v>
      </c>
      <c r="P497" s="59"/>
      <c r="Q497" s="124" t="e">
        <f>P497*#REF!</f>
        <v>#REF!</v>
      </c>
      <c r="R497" s="126">
        <v>45728</v>
      </c>
      <c r="S497" s="153">
        <f>IF(L497="","",L497-B497)</f>
        <v>0</v>
      </c>
      <c r="T497" s="153">
        <f>IF(N497="","",N497-L497)</f>
        <v>0</v>
      </c>
      <c r="U497" s="153">
        <f>IF(O497="","",O497-N497)</f>
        <v>0</v>
      </c>
      <c r="V497" s="154">
        <f>IF(O497="","",O497-B497)</f>
        <v>0</v>
      </c>
      <c r="W497" s="154">
        <f>IF(O497="","",O497-L497)</f>
        <v>0</v>
      </c>
      <c r="X497" s="154">
        <f>IF(R497="","",R497-B497)</f>
        <v>1</v>
      </c>
    </row>
    <row r="498" spans="2:24" ht="17.25" hidden="1" customHeight="1">
      <c r="B498" s="23">
        <v>45727</v>
      </c>
      <c r="C498" s="7">
        <v>2003615690</v>
      </c>
      <c r="D498" s="20">
        <v>5829673</v>
      </c>
      <c r="E498" s="27" t="s">
        <v>191</v>
      </c>
      <c r="F498" s="7" t="s">
        <v>107</v>
      </c>
      <c r="G498" s="7" t="s">
        <v>18</v>
      </c>
      <c r="H498" s="7" t="s">
        <v>45</v>
      </c>
      <c r="I498" s="20" t="s">
        <v>930</v>
      </c>
      <c r="J498" s="20" t="s">
        <v>931</v>
      </c>
      <c r="K498" s="7" t="s">
        <v>119</v>
      </c>
      <c r="L498" s="61">
        <v>45729</v>
      </c>
      <c r="M498" s="7" t="s">
        <v>111</v>
      </c>
      <c r="N498" s="24">
        <v>45729</v>
      </c>
      <c r="O498" s="61">
        <v>45730</v>
      </c>
      <c r="P498" s="59"/>
      <c r="Q498" s="124" t="e">
        <f>P498*#REF!</f>
        <v>#REF!</v>
      </c>
      <c r="R498" s="126">
        <v>45730</v>
      </c>
      <c r="S498" s="153">
        <f>IF(L498="","",L498-B498)</f>
        <v>2</v>
      </c>
      <c r="T498" s="153">
        <f>IF(N498="","",N498-L498)</f>
        <v>0</v>
      </c>
      <c r="U498" s="153">
        <f>IF(O498="","",O498-N498)</f>
        <v>1</v>
      </c>
      <c r="V498" s="154">
        <f>IF(O498="","",O498-B498)</f>
        <v>3</v>
      </c>
      <c r="W498" s="154">
        <f>IF(O498="","",O498-L498)</f>
        <v>1</v>
      </c>
      <c r="X498" s="154">
        <f>IF(R498="","",R498-B498)</f>
        <v>3</v>
      </c>
    </row>
    <row r="499" spans="2:24" ht="17.25" hidden="1" customHeight="1">
      <c r="B499" s="23">
        <v>45727</v>
      </c>
      <c r="C499" s="7">
        <v>2003499282</v>
      </c>
      <c r="D499" s="20">
        <v>5829796</v>
      </c>
      <c r="E499" s="27" t="s">
        <v>129</v>
      </c>
      <c r="F499" s="7" t="s">
        <v>107</v>
      </c>
      <c r="G499" s="7" t="s">
        <v>10</v>
      </c>
      <c r="H499" s="7" t="s">
        <v>45</v>
      </c>
      <c r="I499" s="20" t="s">
        <v>932</v>
      </c>
      <c r="J499" s="20" t="s">
        <v>933</v>
      </c>
      <c r="K499" s="7" t="s">
        <v>110</v>
      </c>
      <c r="L499" s="61">
        <v>45729</v>
      </c>
      <c r="M499" s="7" t="s">
        <v>111</v>
      </c>
      <c r="N499" s="61">
        <v>45730</v>
      </c>
      <c r="O499" s="61">
        <v>45730</v>
      </c>
      <c r="P499" s="59">
        <v>85.2</v>
      </c>
      <c r="Q499" s="124" t="e">
        <f>P499*#REF!</f>
        <v>#REF!</v>
      </c>
      <c r="R499" s="126">
        <v>45730</v>
      </c>
      <c r="S499" s="153">
        <f>IF(L499="","",L499-B499)</f>
        <v>2</v>
      </c>
      <c r="T499" s="153">
        <f>IF(N499="","",N499-L499)</f>
        <v>1</v>
      </c>
      <c r="U499" s="153">
        <f>IF(O499="","",O499-N499)</f>
        <v>0</v>
      </c>
      <c r="V499" s="154">
        <f>IF(O499="","",O499-B499)</f>
        <v>3</v>
      </c>
      <c r="W499" s="154">
        <f>IF(O499="","",O499-L499)</f>
        <v>1</v>
      </c>
      <c r="X499" s="154">
        <f>IF(R499="","",R499-B499)</f>
        <v>3</v>
      </c>
    </row>
    <row r="500" spans="2:24" ht="17.25" hidden="1" customHeight="1">
      <c r="B500" s="23">
        <v>45727</v>
      </c>
      <c r="C500" s="7">
        <v>2003582283</v>
      </c>
      <c r="D500" s="20">
        <v>5829888</v>
      </c>
      <c r="E500" s="27" t="s">
        <v>116</v>
      </c>
      <c r="F500" s="7" t="s">
        <v>107</v>
      </c>
      <c r="G500" s="7" t="s">
        <v>21</v>
      </c>
      <c r="H500" s="7" t="s">
        <v>45</v>
      </c>
      <c r="I500" s="20" t="s">
        <v>670</v>
      </c>
      <c r="J500" s="20" t="s">
        <v>384</v>
      </c>
      <c r="K500" s="7" t="s">
        <v>122</v>
      </c>
      <c r="L500" s="61">
        <v>45728</v>
      </c>
      <c r="M500" s="7" t="s">
        <v>111</v>
      </c>
      <c r="N500" s="24">
        <v>45729</v>
      </c>
      <c r="O500" s="61">
        <v>45730</v>
      </c>
      <c r="P500" s="59"/>
      <c r="Q500" s="124" t="e">
        <f>P500*#REF!</f>
        <v>#REF!</v>
      </c>
      <c r="R500" s="126">
        <v>45730</v>
      </c>
      <c r="S500" s="153">
        <f>IF(L500="","",L500-B500)</f>
        <v>1</v>
      </c>
      <c r="T500" s="153">
        <f>IF(N500="","",N500-L500)</f>
        <v>1</v>
      </c>
      <c r="U500" s="153">
        <f>IF(O500="","",O500-N500)</f>
        <v>1</v>
      </c>
      <c r="V500" s="154">
        <f>IF(O500="","",O500-B500)</f>
        <v>3</v>
      </c>
      <c r="W500" s="154">
        <f>IF(O500="","",O500-L500)</f>
        <v>2</v>
      </c>
      <c r="X500" s="154">
        <f>IF(R500="","",R500-B500)</f>
        <v>3</v>
      </c>
    </row>
    <row r="501" spans="2:24" ht="17.25" hidden="1" customHeight="1">
      <c r="B501" s="23">
        <v>45727</v>
      </c>
      <c r="C501" s="7">
        <v>2003601261</v>
      </c>
      <c r="D501" s="20">
        <v>5829949</v>
      </c>
      <c r="E501" s="27" t="s">
        <v>230</v>
      </c>
      <c r="F501" s="7" t="s">
        <v>107</v>
      </c>
      <c r="G501" s="7" t="s">
        <v>10</v>
      </c>
      <c r="H501" s="7" t="s">
        <v>45</v>
      </c>
      <c r="I501" s="20" t="s">
        <v>934</v>
      </c>
      <c r="J501" s="20" t="s">
        <v>935</v>
      </c>
      <c r="K501" s="7" t="s">
        <v>122</v>
      </c>
      <c r="L501" s="61">
        <v>45730</v>
      </c>
      <c r="M501" s="7" t="s">
        <v>111</v>
      </c>
      <c r="N501" s="24">
        <v>45729</v>
      </c>
      <c r="O501" s="61">
        <v>45730</v>
      </c>
      <c r="P501" s="59">
        <v>234</v>
      </c>
      <c r="Q501" s="124" t="e">
        <f>P501*#REF!</f>
        <v>#REF!</v>
      </c>
      <c r="R501" s="126">
        <v>45730</v>
      </c>
      <c r="S501" s="153">
        <f>IF(L501="","",L501-B501)</f>
        <v>3</v>
      </c>
      <c r="T501" s="153">
        <f>IF(N501="","",N501-L501)</f>
        <v>-1</v>
      </c>
      <c r="U501" s="153">
        <f>IF(O501="","",O501-N501)</f>
        <v>1</v>
      </c>
      <c r="V501" s="154">
        <f>IF(O501="","",O501-B501)</f>
        <v>3</v>
      </c>
      <c r="W501" s="154">
        <f>IF(O501="","",O501-L501)</f>
        <v>0</v>
      </c>
      <c r="X501" s="154">
        <f>IF(R501="","",R501-B501)</f>
        <v>3</v>
      </c>
    </row>
    <row r="502" spans="2:24" ht="17.25" hidden="1" customHeight="1">
      <c r="B502" s="23">
        <v>45727</v>
      </c>
      <c r="C502" s="7">
        <v>2003627707</v>
      </c>
      <c r="D502" s="20">
        <v>5830026</v>
      </c>
      <c r="E502" s="27" t="s">
        <v>116</v>
      </c>
      <c r="F502" s="7" t="s">
        <v>107</v>
      </c>
      <c r="G502" s="7" t="s">
        <v>26</v>
      </c>
      <c r="H502" s="7" t="s">
        <v>45</v>
      </c>
      <c r="I502" s="20" t="s">
        <v>936</v>
      </c>
      <c r="J502" s="20" t="s">
        <v>937</v>
      </c>
      <c r="K502" s="7" t="s">
        <v>119</v>
      </c>
      <c r="L502" s="61">
        <v>45730</v>
      </c>
      <c r="M502" s="7" t="s">
        <v>111</v>
      </c>
      <c r="N502" s="24">
        <v>45730</v>
      </c>
      <c r="O502" s="58">
        <v>45730</v>
      </c>
      <c r="P502" s="59"/>
      <c r="Q502" s="124" t="e">
        <f>P502*#REF!</f>
        <v>#REF!</v>
      </c>
      <c r="R502" s="126">
        <v>45730</v>
      </c>
      <c r="S502" s="153">
        <f>IF(L502="","",L502-B502)</f>
        <v>3</v>
      </c>
      <c r="T502" s="153">
        <f>IF(N502="","",N502-L502)</f>
        <v>0</v>
      </c>
      <c r="U502" s="153">
        <f>IF(O502="","",O502-N502)</f>
        <v>0</v>
      </c>
      <c r="V502" s="154">
        <f>IF(O502="","",O502-B502)</f>
        <v>3</v>
      </c>
      <c r="W502" s="154">
        <f>IF(O502="","",O502-L502)</f>
        <v>0</v>
      </c>
      <c r="X502" s="154">
        <f>IF(R502="","",R502-B502)</f>
        <v>3</v>
      </c>
    </row>
    <row r="503" spans="2:24" ht="17.25" hidden="1" customHeight="1">
      <c r="B503" s="23">
        <v>45727</v>
      </c>
      <c r="C503" s="7">
        <v>2003624163</v>
      </c>
      <c r="D503" s="20">
        <v>5830504</v>
      </c>
      <c r="E503" s="27" t="s">
        <v>116</v>
      </c>
      <c r="F503" s="7" t="s">
        <v>107</v>
      </c>
      <c r="G503" s="7" t="s">
        <v>26</v>
      </c>
      <c r="H503" s="7" t="s">
        <v>45</v>
      </c>
      <c r="I503" s="20" t="s">
        <v>938</v>
      </c>
      <c r="J503" s="20" t="s">
        <v>939</v>
      </c>
      <c r="K503" s="7" t="s">
        <v>119</v>
      </c>
      <c r="L503" s="61">
        <v>45728</v>
      </c>
      <c r="M503" s="7" t="s">
        <v>111</v>
      </c>
      <c r="N503" s="24">
        <v>45729</v>
      </c>
      <c r="O503" s="58">
        <v>45729</v>
      </c>
      <c r="P503" s="59"/>
      <c r="Q503" s="124" t="e">
        <f>P503*#REF!</f>
        <v>#REF!</v>
      </c>
      <c r="R503" s="126">
        <v>45729</v>
      </c>
      <c r="S503" s="153">
        <f>IF(L503="","",L503-B503)</f>
        <v>1</v>
      </c>
      <c r="T503" s="153">
        <f>IF(N503="","",N503-L503)</f>
        <v>1</v>
      </c>
      <c r="U503" s="153">
        <f>IF(O503="","",O503-N503)</f>
        <v>0</v>
      </c>
      <c r="V503" s="154">
        <f>IF(O503="","",O503-B503)</f>
        <v>2</v>
      </c>
      <c r="W503" s="154">
        <f>IF(O503="","",O503-L503)</f>
        <v>1</v>
      </c>
      <c r="X503" s="154">
        <f>IF(R503="","",R503-B503)</f>
        <v>2</v>
      </c>
    </row>
    <row r="504" spans="2:24" ht="17.25" hidden="1" customHeight="1">
      <c r="B504" s="23">
        <v>45727</v>
      </c>
      <c r="C504" s="7">
        <v>2003622540</v>
      </c>
      <c r="D504" s="20">
        <v>5830595</v>
      </c>
      <c r="E504" s="27" t="s">
        <v>198</v>
      </c>
      <c r="F504" s="7" t="s">
        <v>107</v>
      </c>
      <c r="G504" s="7" t="s">
        <v>10</v>
      </c>
      <c r="H504" s="7" t="s">
        <v>45</v>
      </c>
      <c r="I504" s="20" t="s">
        <v>940</v>
      </c>
      <c r="J504" s="20" t="s">
        <v>941</v>
      </c>
      <c r="K504" s="7" t="s">
        <v>122</v>
      </c>
      <c r="L504" s="61">
        <v>45728</v>
      </c>
      <c r="M504" s="7" t="s">
        <v>111</v>
      </c>
      <c r="N504" s="24">
        <v>45729</v>
      </c>
      <c r="O504" s="61">
        <v>45730</v>
      </c>
      <c r="P504" s="59"/>
      <c r="Q504" s="124" t="e">
        <f>P504*#REF!</f>
        <v>#REF!</v>
      </c>
      <c r="R504" s="126">
        <v>45730</v>
      </c>
      <c r="S504" s="153">
        <f>IF(L504="","",L504-B504)</f>
        <v>1</v>
      </c>
      <c r="T504" s="153">
        <f>IF(N504="","",N504-L504)</f>
        <v>1</v>
      </c>
      <c r="U504" s="153">
        <f>IF(O504="","",O504-N504)</f>
        <v>1</v>
      </c>
      <c r="V504" s="154">
        <f>IF(O504="","",O504-B504)</f>
        <v>3</v>
      </c>
      <c r="W504" s="154">
        <f>IF(O504="","",O504-L504)</f>
        <v>2</v>
      </c>
      <c r="X504" s="154">
        <f>IF(R504="","",R504-B504)</f>
        <v>3</v>
      </c>
    </row>
    <row r="505" spans="2:24" ht="17.25" hidden="1" customHeight="1">
      <c r="B505" s="23">
        <v>45727</v>
      </c>
      <c r="C505" s="7">
        <v>2003562491</v>
      </c>
      <c r="D505" s="20">
        <v>5830596</v>
      </c>
      <c r="E505" s="27" t="s">
        <v>143</v>
      </c>
      <c r="F505" s="7" t="s">
        <v>113</v>
      </c>
      <c r="G505" s="7" t="s">
        <v>70</v>
      </c>
      <c r="H505" s="7" t="s">
        <v>47</v>
      </c>
      <c r="I505" s="20" t="s">
        <v>942</v>
      </c>
      <c r="J505" s="20" t="s">
        <v>375</v>
      </c>
      <c r="K505" s="7" t="s">
        <v>160</v>
      </c>
      <c r="P505" s="59"/>
      <c r="Q505" s="124" t="e">
        <f>P505*#REF!</f>
        <v>#REF!</v>
      </c>
      <c r="R505" s="126">
        <v>45734</v>
      </c>
      <c r="S505" s="153" t="str">
        <f>IF(L505="","",L505-B505)</f>
        <v/>
      </c>
      <c r="T505" s="153" t="str">
        <f>IF(N505="","",N505-L505)</f>
        <v/>
      </c>
      <c r="U505" s="153" t="str">
        <f>IF(O505="","",O505-N505)</f>
        <v/>
      </c>
      <c r="V505" s="154" t="str">
        <f>IF(O505="","",O505-B505)</f>
        <v/>
      </c>
      <c r="W505" s="154" t="str">
        <f>IF(O505="","",O505-L505)</f>
        <v/>
      </c>
      <c r="X505" s="154">
        <f>IF(R505="","",R505-B505)</f>
        <v>7</v>
      </c>
    </row>
    <row r="506" spans="2:24" ht="17.25" hidden="1" customHeight="1">
      <c r="B506" s="23">
        <v>45727</v>
      </c>
      <c r="C506" s="7">
        <v>2003623513</v>
      </c>
      <c r="D506" s="20">
        <v>5830650</v>
      </c>
      <c r="E506" s="27" t="s">
        <v>408</v>
      </c>
      <c r="F506" s="7" t="s">
        <v>107</v>
      </c>
      <c r="G506" s="7" t="s">
        <v>10</v>
      </c>
      <c r="H506" s="7" t="s">
        <v>45</v>
      </c>
      <c r="I506" s="20" t="s">
        <v>943</v>
      </c>
      <c r="J506" s="20" t="s">
        <v>944</v>
      </c>
      <c r="K506" s="7" t="s">
        <v>119</v>
      </c>
      <c r="L506" s="61">
        <v>45729</v>
      </c>
      <c r="M506" s="7" t="s">
        <v>111</v>
      </c>
      <c r="N506" s="61">
        <v>45729</v>
      </c>
      <c r="O506" s="58">
        <v>45730</v>
      </c>
      <c r="P506" s="59"/>
      <c r="Q506" s="124" t="e">
        <f>P506*#REF!</f>
        <v>#REF!</v>
      </c>
      <c r="R506" s="126">
        <v>45730</v>
      </c>
      <c r="S506" s="153">
        <f>IF(L506="","",L506-B506)</f>
        <v>2</v>
      </c>
      <c r="T506" s="153">
        <f>IF(N506="","",N506-L506)</f>
        <v>0</v>
      </c>
      <c r="U506" s="153">
        <f>IF(O506="","",O506-N506)</f>
        <v>1</v>
      </c>
      <c r="V506" s="154">
        <f>IF(O506="","",O506-B506)</f>
        <v>3</v>
      </c>
      <c r="W506" s="154">
        <f>IF(O506="","",O506-L506)</f>
        <v>1</v>
      </c>
      <c r="X506" s="154">
        <f>IF(R506="","",R506-B506)</f>
        <v>3</v>
      </c>
    </row>
    <row r="507" spans="2:24" ht="17.25" hidden="1" customHeight="1">
      <c r="B507" s="23">
        <v>45727</v>
      </c>
      <c r="C507" s="7">
        <v>2003617035</v>
      </c>
      <c r="D507" s="20">
        <v>5830726</v>
      </c>
      <c r="E507" s="27" t="s">
        <v>106</v>
      </c>
      <c r="F507" s="7" t="s">
        <v>107</v>
      </c>
      <c r="G507" s="7" t="s">
        <v>26</v>
      </c>
      <c r="H507" s="7" t="s">
        <v>45</v>
      </c>
      <c r="I507" s="20" t="s">
        <v>945</v>
      </c>
      <c r="J507" s="20" t="s">
        <v>946</v>
      </c>
      <c r="K507" s="7" t="s">
        <v>119</v>
      </c>
      <c r="L507" s="61">
        <v>45729</v>
      </c>
      <c r="M507" s="7" t="s">
        <v>111</v>
      </c>
      <c r="N507" s="61">
        <v>45729</v>
      </c>
      <c r="O507" s="58">
        <v>45730</v>
      </c>
      <c r="P507" s="59"/>
      <c r="Q507" s="124" t="e">
        <f>P507*#REF!</f>
        <v>#REF!</v>
      </c>
      <c r="R507" s="126">
        <v>45730</v>
      </c>
      <c r="S507" s="153">
        <f>IF(L507="","",L507-B507)</f>
        <v>2</v>
      </c>
      <c r="T507" s="153">
        <f>IF(N507="","",N507-L507)</f>
        <v>0</v>
      </c>
      <c r="U507" s="153">
        <f>IF(O507="","",O507-N507)</f>
        <v>1</v>
      </c>
      <c r="V507" s="154">
        <f>IF(O507="","",O507-B507)</f>
        <v>3</v>
      </c>
      <c r="W507" s="154">
        <f>IF(O507="","",O507-L507)</f>
        <v>1</v>
      </c>
      <c r="X507" s="154">
        <f>IF(R507="","",R507-B507)</f>
        <v>3</v>
      </c>
    </row>
    <row r="508" spans="2:24" ht="17.25" hidden="1" customHeight="1">
      <c r="B508" s="23">
        <v>45727</v>
      </c>
      <c r="C508" s="7">
        <v>2003608214</v>
      </c>
      <c r="D508" s="20">
        <v>5830738</v>
      </c>
      <c r="E508" s="27" t="s">
        <v>126</v>
      </c>
      <c r="F508" s="7" t="s">
        <v>107</v>
      </c>
      <c r="G508" s="7" t="s">
        <v>10</v>
      </c>
      <c r="H508" s="7" t="s">
        <v>45</v>
      </c>
      <c r="I508" s="20" t="s">
        <v>716</v>
      </c>
      <c r="J508" s="20" t="s">
        <v>717</v>
      </c>
      <c r="K508" s="7" t="s">
        <v>110</v>
      </c>
      <c r="L508" s="61">
        <v>45730</v>
      </c>
      <c r="M508" s="7" t="s">
        <v>111</v>
      </c>
      <c r="N508" s="61">
        <v>45730</v>
      </c>
      <c r="O508" s="61">
        <v>45730</v>
      </c>
      <c r="P508" s="59"/>
      <c r="Q508" s="124" t="e">
        <f>P508*#REF!</f>
        <v>#REF!</v>
      </c>
      <c r="R508" s="126">
        <v>45730</v>
      </c>
      <c r="S508" s="153">
        <f>IF(L508="","",L508-B508)</f>
        <v>3</v>
      </c>
      <c r="T508" s="153">
        <f>IF(N508="","",N508-L508)</f>
        <v>0</v>
      </c>
      <c r="U508" s="153">
        <f>IF(O508="","",O508-N508)</f>
        <v>0</v>
      </c>
      <c r="V508" s="154">
        <f>IF(O508="","",O508-B508)</f>
        <v>3</v>
      </c>
      <c r="W508" s="154">
        <f>IF(O508="","",O508-L508)</f>
        <v>0</v>
      </c>
      <c r="X508" s="154">
        <f>IF(R508="","",R508-B508)</f>
        <v>3</v>
      </c>
    </row>
    <row r="509" spans="2:24" ht="17.25" hidden="1" customHeight="1">
      <c r="B509" s="23">
        <v>45728</v>
      </c>
      <c r="C509" s="7">
        <v>2003623445</v>
      </c>
      <c r="D509" s="20">
        <v>118448</v>
      </c>
      <c r="E509" s="27" t="s">
        <v>191</v>
      </c>
      <c r="F509" s="7" t="s">
        <v>107</v>
      </c>
      <c r="G509" s="7" t="s">
        <v>10</v>
      </c>
      <c r="H509" s="7" t="s">
        <v>45</v>
      </c>
      <c r="I509" s="20" t="s">
        <v>947</v>
      </c>
      <c r="J509" s="20" t="s">
        <v>948</v>
      </c>
      <c r="K509" s="7" t="s">
        <v>119</v>
      </c>
      <c r="L509" s="61">
        <v>45735</v>
      </c>
      <c r="M509" s="7" t="s">
        <v>111</v>
      </c>
      <c r="N509" s="24">
        <v>45741</v>
      </c>
      <c r="O509" s="24">
        <v>45741</v>
      </c>
      <c r="P509" s="59"/>
      <c r="Q509" s="124" t="e">
        <f>P509*#REF!</f>
        <v>#REF!</v>
      </c>
      <c r="R509" s="126">
        <v>45741</v>
      </c>
      <c r="S509" s="153">
        <f>IF(L509="","",L509-B509)</f>
        <v>7</v>
      </c>
      <c r="T509" s="153">
        <f>IF(N509="","",N509-L509)</f>
        <v>6</v>
      </c>
      <c r="U509" s="153">
        <f>IF(O509="","",O509-N509)</f>
        <v>0</v>
      </c>
      <c r="V509" s="154">
        <f>IF(O509="","",O509-B509)</f>
        <v>13</v>
      </c>
      <c r="W509" s="154">
        <f>IF(O509="","",O509-L509)</f>
        <v>6</v>
      </c>
      <c r="X509" s="154">
        <f>IF(R509="","",R509-B509)</f>
        <v>13</v>
      </c>
    </row>
    <row r="510" spans="2:24" ht="17.25" hidden="1" customHeight="1">
      <c r="B510" s="23">
        <v>45728</v>
      </c>
      <c r="C510" s="7">
        <v>2003616967</v>
      </c>
      <c r="D510" s="20">
        <v>118561</v>
      </c>
      <c r="E510" s="27" t="s">
        <v>949</v>
      </c>
      <c r="F510" s="7" t="s">
        <v>107</v>
      </c>
      <c r="G510" s="7" t="s">
        <v>18</v>
      </c>
      <c r="H510" s="7" t="s">
        <v>45</v>
      </c>
      <c r="I510" s="20" t="s">
        <v>950</v>
      </c>
      <c r="J510" s="20" t="s">
        <v>951</v>
      </c>
      <c r="K510" s="7" t="s">
        <v>110</v>
      </c>
      <c r="L510" s="61">
        <v>45730</v>
      </c>
      <c r="M510" s="7" t="s">
        <v>111</v>
      </c>
      <c r="N510" s="61">
        <v>45730</v>
      </c>
      <c r="O510" s="61">
        <v>45730</v>
      </c>
      <c r="P510" s="59"/>
      <c r="Q510" s="124" t="e">
        <f>P510*#REF!</f>
        <v>#REF!</v>
      </c>
      <c r="R510" s="126">
        <v>45730</v>
      </c>
      <c r="S510" s="153">
        <f>IF(L510="","",L510-B510)</f>
        <v>2</v>
      </c>
      <c r="T510" s="153">
        <f>IF(N510="","",N510-L510)</f>
        <v>0</v>
      </c>
      <c r="U510" s="153">
        <f>IF(O510="","",O510-N510)</f>
        <v>0</v>
      </c>
      <c r="V510" s="154">
        <f>IF(O510="","",O510-B510)</f>
        <v>2</v>
      </c>
      <c r="W510" s="154">
        <f>IF(O510="","",O510-L510)</f>
        <v>0</v>
      </c>
      <c r="X510" s="154">
        <f>IF(R510="","",R510-B510)</f>
        <v>2</v>
      </c>
    </row>
    <row r="511" spans="2:24" ht="17.25" hidden="1" customHeight="1">
      <c r="B511" s="23">
        <v>45728</v>
      </c>
      <c r="C511" s="7">
        <v>2003624055</v>
      </c>
      <c r="D511" s="20">
        <v>118533</v>
      </c>
      <c r="E511" s="27" t="s">
        <v>123</v>
      </c>
      <c r="F511" s="7" t="s">
        <v>107</v>
      </c>
      <c r="G511" s="7" t="s">
        <v>10</v>
      </c>
      <c r="H511" s="7" t="s">
        <v>45</v>
      </c>
      <c r="I511" s="20" t="s">
        <v>952</v>
      </c>
      <c r="J511" s="20" t="s">
        <v>953</v>
      </c>
      <c r="K511" s="7" t="s">
        <v>119</v>
      </c>
      <c r="L511" s="61">
        <v>45730</v>
      </c>
      <c r="M511" s="7" t="s">
        <v>111</v>
      </c>
      <c r="N511" s="24">
        <v>45730</v>
      </c>
      <c r="O511" s="24">
        <v>45730</v>
      </c>
      <c r="P511" s="59"/>
      <c r="Q511" s="124" t="e">
        <f>P511*#REF!</f>
        <v>#REF!</v>
      </c>
      <c r="R511" s="126">
        <v>45730</v>
      </c>
      <c r="S511" s="153">
        <f>IF(L511="","",L511-B511)</f>
        <v>2</v>
      </c>
      <c r="T511" s="153">
        <f>IF(N511="","",N511-L511)</f>
        <v>0</v>
      </c>
      <c r="U511" s="153">
        <f>IF(O511="","",O511-N511)</f>
        <v>0</v>
      </c>
      <c r="V511" s="154">
        <f>IF(O511="","",O511-B511)</f>
        <v>2</v>
      </c>
      <c r="W511" s="154">
        <f>IF(O511="","",O511-L511)</f>
        <v>0</v>
      </c>
      <c r="X511" s="154">
        <f>IF(R511="","",R511-B511)</f>
        <v>2</v>
      </c>
    </row>
    <row r="512" spans="2:24" ht="17.25" hidden="1" customHeight="1">
      <c r="B512" s="23">
        <v>45728</v>
      </c>
      <c r="C512" s="7">
        <v>2003614729</v>
      </c>
      <c r="D512" s="20">
        <v>118388</v>
      </c>
      <c r="E512" s="27" t="s">
        <v>123</v>
      </c>
      <c r="F512" s="7" t="s">
        <v>107</v>
      </c>
      <c r="G512" s="7" t="s">
        <v>10</v>
      </c>
      <c r="H512" s="7" t="s">
        <v>45</v>
      </c>
      <c r="I512" s="20" t="s">
        <v>623</v>
      </c>
      <c r="J512" s="20" t="s">
        <v>954</v>
      </c>
      <c r="K512" s="7" t="s">
        <v>119</v>
      </c>
      <c r="L512" s="61">
        <v>45730</v>
      </c>
      <c r="M512" s="7" t="s">
        <v>111</v>
      </c>
      <c r="N512" s="61">
        <v>45730</v>
      </c>
      <c r="O512" s="58">
        <v>45733</v>
      </c>
      <c r="P512" s="59"/>
      <c r="Q512" s="124" t="e">
        <f>P512*#REF!</f>
        <v>#REF!</v>
      </c>
      <c r="R512" s="126">
        <v>45733</v>
      </c>
      <c r="S512" s="153">
        <f>IF(L512="","",L512-B512)</f>
        <v>2</v>
      </c>
      <c r="T512" s="153">
        <f>IF(N512="","",N512-L512)</f>
        <v>0</v>
      </c>
      <c r="U512" s="153">
        <f>IF(O512="","",O512-N512)</f>
        <v>3</v>
      </c>
      <c r="V512" s="154">
        <f>IF(O512="","",O512-B512)</f>
        <v>5</v>
      </c>
      <c r="W512" s="154">
        <f>IF(O512="","",O512-L512)</f>
        <v>3</v>
      </c>
      <c r="X512" s="154">
        <f>IF(R512="","",R512-B512)</f>
        <v>5</v>
      </c>
    </row>
    <row r="513" spans="2:24" ht="17.25" hidden="1" customHeight="1">
      <c r="B513" s="23">
        <v>45728</v>
      </c>
      <c r="C513" s="7">
        <v>2003629623</v>
      </c>
      <c r="D513" s="20">
        <v>5831065</v>
      </c>
      <c r="E513" s="27" t="s">
        <v>230</v>
      </c>
      <c r="F513" s="7" t="s">
        <v>107</v>
      </c>
      <c r="G513" s="7" t="s">
        <v>18</v>
      </c>
      <c r="H513" s="7" t="s">
        <v>45</v>
      </c>
      <c r="I513" s="20" t="s">
        <v>955</v>
      </c>
      <c r="J513" s="20" t="s">
        <v>956</v>
      </c>
      <c r="K513" s="7" t="s">
        <v>119</v>
      </c>
      <c r="L513" s="61">
        <v>45730</v>
      </c>
      <c r="M513" s="7" t="s">
        <v>111</v>
      </c>
      <c r="N513" s="61">
        <v>45730</v>
      </c>
      <c r="O513" s="58">
        <v>45733</v>
      </c>
      <c r="P513" s="59"/>
      <c r="Q513" s="124" t="e">
        <f>P513*#REF!</f>
        <v>#REF!</v>
      </c>
      <c r="R513" s="126">
        <v>45733</v>
      </c>
      <c r="S513" s="153">
        <f>IF(L513="","",L513-B513)</f>
        <v>2</v>
      </c>
      <c r="T513" s="153">
        <f>IF(N513="","",N513-L513)</f>
        <v>0</v>
      </c>
      <c r="U513" s="153">
        <f>IF(O513="","",O513-N513)</f>
        <v>3</v>
      </c>
      <c r="V513" s="154">
        <f>IF(O513="","",O513-B513)</f>
        <v>5</v>
      </c>
      <c r="W513" s="154">
        <f>IF(O513="","",O513-L513)</f>
        <v>3</v>
      </c>
      <c r="X513" s="154">
        <f>IF(R513="","",R513-B513)</f>
        <v>5</v>
      </c>
    </row>
    <row r="514" spans="2:24" ht="17.25" hidden="1" customHeight="1">
      <c r="B514" s="23">
        <v>45728</v>
      </c>
      <c r="C514" s="7">
        <v>2003631597</v>
      </c>
      <c r="D514" s="20">
        <v>5831141</v>
      </c>
      <c r="E514" s="27" t="s">
        <v>180</v>
      </c>
      <c r="F514" s="7" t="s">
        <v>107</v>
      </c>
      <c r="G514" s="7" t="s">
        <v>10</v>
      </c>
      <c r="H514" s="7" t="s">
        <v>45</v>
      </c>
      <c r="I514" s="20" t="s">
        <v>957</v>
      </c>
      <c r="J514" s="20" t="s">
        <v>958</v>
      </c>
      <c r="K514" s="7" t="s">
        <v>119</v>
      </c>
      <c r="L514" s="61">
        <v>45730</v>
      </c>
      <c r="M514" s="7" t="s">
        <v>111</v>
      </c>
      <c r="N514" s="24">
        <v>45733</v>
      </c>
      <c r="O514" s="24">
        <v>45733</v>
      </c>
      <c r="P514" s="59"/>
      <c r="Q514" s="124" t="e">
        <f>P514*#REF!</f>
        <v>#REF!</v>
      </c>
      <c r="R514" s="126">
        <v>45733</v>
      </c>
      <c r="S514" s="153">
        <f>IF(L514="","",L514-B514)</f>
        <v>2</v>
      </c>
      <c r="T514" s="153">
        <f>IF(N514="","",N514-L514)</f>
        <v>3</v>
      </c>
      <c r="U514" s="153">
        <f>IF(O514="","",O514-N514)</f>
        <v>0</v>
      </c>
      <c r="V514" s="154">
        <f>IF(O514="","",O514-B514)</f>
        <v>5</v>
      </c>
      <c r="W514" s="154">
        <f>IF(O514="","",O514-L514)</f>
        <v>3</v>
      </c>
      <c r="X514" s="154">
        <f>IF(R514="","",R514-B514)</f>
        <v>5</v>
      </c>
    </row>
    <row r="515" spans="2:24" ht="17.25" hidden="1" customHeight="1">
      <c r="B515" s="23">
        <v>45728</v>
      </c>
      <c r="C515" s="7">
        <v>2003630352</v>
      </c>
      <c r="D515" s="20">
        <v>5831265</v>
      </c>
      <c r="E515" s="27" t="s">
        <v>106</v>
      </c>
      <c r="F515" s="7" t="s">
        <v>107</v>
      </c>
      <c r="G515" s="7" t="s">
        <v>26</v>
      </c>
      <c r="H515" s="7" t="s">
        <v>45</v>
      </c>
      <c r="I515" s="20" t="s">
        <v>959</v>
      </c>
      <c r="J515" s="20" t="s">
        <v>960</v>
      </c>
      <c r="K515" s="7" t="s">
        <v>119</v>
      </c>
      <c r="L515" s="61">
        <v>45730</v>
      </c>
      <c r="M515" s="7" t="s">
        <v>111</v>
      </c>
      <c r="N515" s="24">
        <v>45730</v>
      </c>
      <c r="O515" s="58">
        <v>45730</v>
      </c>
      <c r="P515" s="59"/>
      <c r="Q515" s="124" t="e">
        <f>P515*#REF!</f>
        <v>#REF!</v>
      </c>
      <c r="R515" s="126">
        <v>45730</v>
      </c>
      <c r="S515" s="153">
        <f>IF(L515="","",L515-B515)</f>
        <v>2</v>
      </c>
      <c r="T515" s="153">
        <f>IF(N515="","",N515-L515)</f>
        <v>0</v>
      </c>
      <c r="U515" s="153">
        <f>IF(O515="","",O515-N515)</f>
        <v>0</v>
      </c>
      <c r="V515" s="154">
        <f>IF(O515="","",O515-B515)</f>
        <v>2</v>
      </c>
      <c r="W515" s="154">
        <f>IF(O515="","",O515-L515)</f>
        <v>0</v>
      </c>
      <c r="X515" s="154">
        <f>IF(R515="","",R515-B515)</f>
        <v>2</v>
      </c>
    </row>
    <row r="516" spans="2:24" ht="17.25" hidden="1" customHeight="1">
      <c r="B516" s="23">
        <v>45728</v>
      </c>
      <c r="C516" s="7">
        <v>2003630920</v>
      </c>
      <c r="D516" s="20">
        <v>5831426</v>
      </c>
      <c r="E516" s="27" t="s">
        <v>143</v>
      </c>
      <c r="F516" s="7" t="s">
        <v>113</v>
      </c>
      <c r="G516" s="7" t="s">
        <v>70</v>
      </c>
      <c r="H516" s="7" t="s">
        <v>47</v>
      </c>
      <c r="I516" s="20" t="s">
        <v>961</v>
      </c>
      <c r="J516" s="20" t="s">
        <v>962</v>
      </c>
      <c r="K516" s="7" t="s">
        <v>160</v>
      </c>
      <c r="P516" s="59"/>
      <c r="Q516" s="124" t="e">
        <f>P516*#REF!</f>
        <v>#REF!</v>
      </c>
      <c r="R516" s="126">
        <v>45734</v>
      </c>
      <c r="S516" s="153" t="str">
        <f>IF(L516="","",L516-B516)</f>
        <v/>
      </c>
      <c r="T516" s="153" t="str">
        <f>IF(N516="","",N516-L516)</f>
        <v/>
      </c>
      <c r="U516" s="153" t="str">
        <f>IF(O516="","",O516-N516)</f>
        <v/>
      </c>
      <c r="V516" s="154" t="str">
        <f>IF(O516="","",O516-B516)</f>
        <v/>
      </c>
      <c r="W516" s="154" t="str">
        <f>IF(O516="","",O516-L516)</f>
        <v/>
      </c>
      <c r="X516" s="154">
        <f>IF(R516="","",R516-B516)</f>
        <v>6</v>
      </c>
    </row>
    <row r="517" spans="2:24" ht="17.25" hidden="1" customHeight="1">
      <c r="B517" s="23">
        <v>45728</v>
      </c>
      <c r="C517" s="7">
        <v>2003621559</v>
      </c>
      <c r="D517" s="20">
        <v>5831449</v>
      </c>
      <c r="E517" s="27" t="s">
        <v>408</v>
      </c>
      <c r="F517" s="7" t="s">
        <v>107</v>
      </c>
      <c r="G517" s="7" t="s">
        <v>18</v>
      </c>
      <c r="H517" s="7" t="s">
        <v>45</v>
      </c>
      <c r="I517" s="20" t="s">
        <v>963</v>
      </c>
      <c r="J517" s="20" t="s">
        <v>964</v>
      </c>
      <c r="K517" s="7" t="s">
        <v>110</v>
      </c>
      <c r="L517" s="61">
        <v>45730</v>
      </c>
      <c r="M517" s="7" t="s">
        <v>111</v>
      </c>
      <c r="N517" s="61">
        <v>45730</v>
      </c>
      <c r="O517" s="61">
        <v>45730</v>
      </c>
      <c r="P517" s="59"/>
      <c r="Q517" s="124" t="e">
        <f>P517*#REF!</f>
        <v>#REF!</v>
      </c>
      <c r="R517" s="126">
        <v>45730</v>
      </c>
      <c r="S517" s="153">
        <f>IF(L517="","",L517-B517)</f>
        <v>2</v>
      </c>
      <c r="T517" s="153">
        <f>IF(N517="","",N517-L517)</f>
        <v>0</v>
      </c>
      <c r="U517" s="153">
        <f>IF(O517="","",O517-N517)</f>
        <v>0</v>
      </c>
      <c r="V517" s="154">
        <f>IF(O517="","",O517-B517)</f>
        <v>2</v>
      </c>
      <c r="W517" s="154">
        <f>IF(O517="","",O517-L517)</f>
        <v>0</v>
      </c>
      <c r="X517" s="154">
        <f>IF(R517="","",R517-B517)</f>
        <v>2</v>
      </c>
    </row>
    <row r="518" spans="2:24" ht="17.25" hidden="1" customHeight="1">
      <c r="B518" s="23">
        <v>45728</v>
      </c>
      <c r="C518" s="7">
        <v>2003631819</v>
      </c>
      <c r="D518" s="20">
        <v>5831526</v>
      </c>
      <c r="E518" s="27" t="s">
        <v>201</v>
      </c>
      <c r="F518" s="7" t="s">
        <v>107</v>
      </c>
      <c r="G518" s="7" t="s">
        <v>18</v>
      </c>
      <c r="H518" s="7" t="s">
        <v>45</v>
      </c>
      <c r="I518" s="20" t="s">
        <v>965</v>
      </c>
      <c r="J518" s="20" t="s">
        <v>966</v>
      </c>
      <c r="K518" s="7" t="s">
        <v>110</v>
      </c>
      <c r="L518" s="61">
        <v>45730</v>
      </c>
      <c r="M518" s="7" t="s">
        <v>111</v>
      </c>
      <c r="N518" s="61">
        <v>45730</v>
      </c>
      <c r="O518" s="58">
        <v>45733</v>
      </c>
      <c r="P518" s="59"/>
      <c r="Q518" s="124" t="e">
        <f>P518*#REF!</f>
        <v>#REF!</v>
      </c>
      <c r="R518" s="126">
        <v>45733</v>
      </c>
      <c r="S518" s="153">
        <f>IF(L518="","",L518-B518)</f>
        <v>2</v>
      </c>
      <c r="T518" s="153">
        <f>IF(N518="","",N518-L518)</f>
        <v>0</v>
      </c>
      <c r="U518" s="153">
        <f>IF(O518="","",O518-N518)</f>
        <v>3</v>
      </c>
      <c r="V518" s="154">
        <f>IF(O518="","",O518-B518)</f>
        <v>5</v>
      </c>
      <c r="W518" s="154">
        <f>IF(O518="","",O518-L518)</f>
        <v>3</v>
      </c>
      <c r="X518" s="154">
        <f>IF(R518="","",R518-B518)</f>
        <v>5</v>
      </c>
    </row>
    <row r="519" spans="2:24" ht="17.25" hidden="1" customHeight="1">
      <c r="B519" s="23">
        <v>45728</v>
      </c>
      <c r="C519" s="7">
        <v>2003571059</v>
      </c>
      <c r="D519" s="20">
        <v>5831557</v>
      </c>
      <c r="E519" s="27" t="s">
        <v>138</v>
      </c>
      <c r="F519" s="7" t="s">
        <v>107</v>
      </c>
      <c r="G519" s="7" t="s">
        <v>10</v>
      </c>
      <c r="H519" s="7" t="s">
        <v>45</v>
      </c>
      <c r="I519" s="20" t="s">
        <v>967</v>
      </c>
      <c r="J519" s="20" t="s">
        <v>968</v>
      </c>
      <c r="K519" s="7" t="s">
        <v>119</v>
      </c>
      <c r="L519" s="61">
        <v>45729</v>
      </c>
      <c r="M519" s="7" t="s">
        <v>111</v>
      </c>
      <c r="N519" s="61">
        <v>45729</v>
      </c>
      <c r="O519" s="61">
        <v>45730</v>
      </c>
      <c r="P519" s="59"/>
      <c r="Q519" s="124" t="e">
        <f>P519*#REF!</f>
        <v>#REF!</v>
      </c>
      <c r="R519" s="126">
        <v>45730</v>
      </c>
      <c r="S519" s="153">
        <f>IF(L519="","",L519-B519)</f>
        <v>1</v>
      </c>
      <c r="T519" s="153">
        <f>IF(N519="","",N519-L519)</f>
        <v>0</v>
      </c>
      <c r="U519" s="153">
        <f>IF(O519="","",O519-N519)</f>
        <v>1</v>
      </c>
      <c r="V519" s="154">
        <f>IF(O519="","",O519-B519)</f>
        <v>2</v>
      </c>
      <c r="W519" s="154">
        <f>IF(O519="","",O519-L519)</f>
        <v>1</v>
      </c>
      <c r="X519" s="154">
        <f>IF(R519="","",R519-B519)</f>
        <v>2</v>
      </c>
    </row>
    <row r="520" spans="2:24" ht="17.25" hidden="1" customHeight="1">
      <c r="B520" s="23">
        <v>45728</v>
      </c>
      <c r="C520" s="7">
        <v>2003628814</v>
      </c>
      <c r="D520" s="20">
        <v>5831846</v>
      </c>
      <c r="E520" s="27" t="s">
        <v>198</v>
      </c>
      <c r="F520" s="7" t="s">
        <v>107</v>
      </c>
      <c r="G520" s="7" t="s">
        <v>18</v>
      </c>
      <c r="H520" s="7" t="s">
        <v>45</v>
      </c>
      <c r="I520" s="20" t="s">
        <v>969</v>
      </c>
      <c r="J520" s="20" t="s">
        <v>970</v>
      </c>
      <c r="K520" s="7" t="s">
        <v>119</v>
      </c>
      <c r="L520" s="61">
        <v>45730</v>
      </c>
      <c r="M520" s="7" t="s">
        <v>111</v>
      </c>
      <c r="N520" s="24">
        <v>45741</v>
      </c>
      <c r="O520" s="58">
        <v>45742</v>
      </c>
      <c r="P520" s="59"/>
      <c r="Q520" s="124" t="e">
        <f>P520*#REF!</f>
        <v>#REF!</v>
      </c>
      <c r="R520" s="126">
        <v>45742</v>
      </c>
      <c r="S520" s="153">
        <f>IF(L520="","",L520-B520)</f>
        <v>2</v>
      </c>
      <c r="T520" s="153">
        <f>IF(N520="","",N520-L520)</f>
        <v>11</v>
      </c>
      <c r="U520" s="153">
        <f>IF(O520="","",O520-N520)</f>
        <v>1</v>
      </c>
      <c r="V520" s="154">
        <f>IF(O520="","",O520-B520)</f>
        <v>14</v>
      </c>
      <c r="W520" s="154">
        <f>IF(O520="","",O520-L520)</f>
        <v>12</v>
      </c>
      <c r="X520" s="154">
        <f>IF(R520="","",R520-B520)</f>
        <v>14</v>
      </c>
    </row>
    <row r="521" spans="2:24" ht="17.25" hidden="1" customHeight="1">
      <c r="B521" s="23">
        <v>45728</v>
      </c>
      <c r="C521" s="7">
        <v>2003630930</v>
      </c>
      <c r="D521" s="20">
        <v>5831854</v>
      </c>
      <c r="E521" s="27" t="s">
        <v>201</v>
      </c>
      <c r="F521" s="7" t="s">
        <v>107</v>
      </c>
      <c r="G521" s="7" t="s">
        <v>18</v>
      </c>
      <c r="H521" s="7" t="s">
        <v>45</v>
      </c>
      <c r="I521" s="20" t="s">
        <v>971</v>
      </c>
      <c r="J521" s="20" t="s">
        <v>972</v>
      </c>
      <c r="K521" s="7" t="s">
        <v>119</v>
      </c>
      <c r="L521" s="61">
        <v>45733</v>
      </c>
      <c r="M521" s="7" t="s">
        <v>111</v>
      </c>
      <c r="N521" s="61">
        <v>45734</v>
      </c>
      <c r="O521" s="58">
        <v>45735</v>
      </c>
      <c r="P521" s="59">
        <v>61.1</v>
      </c>
      <c r="Q521" s="124" t="e">
        <f>P521*#REF!</f>
        <v>#REF!</v>
      </c>
      <c r="R521" s="126">
        <v>45736</v>
      </c>
      <c r="S521" s="153">
        <f>IF(L521="","",L521-B521)</f>
        <v>5</v>
      </c>
      <c r="T521" s="153">
        <f>IF(N521="","",N521-L521)</f>
        <v>1</v>
      </c>
      <c r="U521" s="153">
        <f>IF(O521="","",O521-N521)</f>
        <v>1</v>
      </c>
      <c r="V521" s="154">
        <f>IF(O521="","",O521-B521)</f>
        <v>7</v>
      </c>
      <c r="W521" s="154">
        <f>IF(O521="","",O521-L521)</f>
        <v>2</v>
      </c>
      <c r="X521" s="154">
        <f>IF(R521="","",R521-B521)</f>
        <v>8</v>
      </c>
    </row>
    <row r="522" spans="2:24" ht="17.25" hidden="1" customHeight="1">
      <c r="B522" s="23">
        <v>45728</v>
      </c>
      <c r="C522" s="7">
        <v>2003632094</v>
      </c>
      <c r="D522" s="20">
        <v>5831860</v>
      </c>
      <c r="E522" s="27" t="s">
        <v>185</v>
      </c>
      <c r="F522" s="7" t="s">
        <v>107</v>
      </c>
      <c r="G522" s="7" t="s">
        <v>10</v>
      </c>
      <c r="H522" s="7" t="s">
        <v>45</v>
      </c>
      <c r="I522" s="20" t="s">
        <v>973</v>
      </c>
      <c r="J522" s="20" t="s">
        <v>974</v>
      </c>
      <c r="K522" s="7" t="s">
        <v>122</v>
      </c>
      <c r="L522" s="61">
        <v>45730</v>
      </c>
      <c r="M522" s="7" t="s">
        <v>111</v>
      </c>
      <c r="N522" s="61">
        <v>45735</v>
      </c>
      <c r="O522" s="58">
        <v>45736</v>
      </c>
      <c r="P522" s="59"/>
      <c r="Q522" s="124" t="e">
        <f>P522*#REF!</f>
        <v>#REF!</v>
      </c>
      <c r="R522" s="126">
        <v>45736</v>
      </c>
      <c r="S522" s="153">
        <f>IF(L522="","",L522-B522)</f>
        <v>2</v>
      </c>
      <c r="T522" s="153">
        <f>IF(N522="","",N522-L522)</f>
        <v>5</v>
      </c>
      <c r="U522" s="153">
        <f>IF(O522="","",O522-N522)</f>
        <v>1</v>
      </c>
      <c r="V522" s="154">
        <f>IF(O522="","",O522-B522)</f>
        <v>8</v>
      </c>
      <c r="W522" s="154">
        <f>IF(O522="","",O522-L522)</f>
        <v>6</v>
      </c>
      <c r="X522" s="154">
        <f>IF(R522="","",R522-B522)</f>
        <v>8</v>
      </c>
    </row>
    <row r="523" spans="2:24" ht="17.25" hidden="1" customHeight="1">
      <c r="B523" s="23">
        <v>45728</v>
      </c>
      <c r="C523" s="7">
        <v>2003624967</v>
      </c>
      <c r="D523" s="20">
        <v>5831930</v>
      </c>
      <c r="E523" s="27" t="s">
        <v>143</v>
      </c>
      <c r="F523" s="7" t="s">
        <v>107</v>
      </c>
      <c r="G523" s="7" t="s">
        <v>30</v>
      </c>
      <c r="H523" s="7" t="s">
        <v>45</v>
      </c>
      <c r="I523" s="20" t="s">
        <v>975</v>
      </c>
      <c r="J523" s="20" t="s">
        <v>976</v>
      </c>
      <c r="K523" s="7" t="s">
        <v>111</v>
      </c>
      <c r="L523" s="61">
        <v>45729</v>
      </c>
      <c r="M523" s="7" t="s">
        <v>111</v>
      </c>
      <c r="N523" s="61">
        <v>45729</v>
      </c>
      <c r="O523" s="58">
        <v>45736</v>
      </c>
      <c r="P523" s="59"/>
      <c r="Q523" s="124" t="e">
        <f>P523*#REF!</f>
        <v>#REF!</v>
      </c>
      <c r="R523" s="126">
        <v>45736</v>
      </c>
      <c r="S523" s="153">
        <f>IF(L523="","",L523-B523)</f>
        <v>1</v>
      </c>
      <c r="T523" s="153">
        <f>IF(N523="","",N523-L523)</f>
        <v>0</v>
      </c>
      <c r="U523" s="153">
        <f>IF(O523="","",O523-N523)</f>
        <v>7</v>
      </c>
      <c r="V523" s="154">
        <f>IF(O523="","",O523-B523)</f>
        <v>8</v>
      </c>
      <c r="W523" s="154">
        <f>IF(O523="","",O523-L523)</f>
        <v>7</v>
      </c>
      <c r="X523" s="154">
        <f>IF(R523="","",R523-B523)</f>
        <v>8</v>
      </c>
    </row>
    <row r="524" spans="2:24" ht="17.25" hidden="1" customHeight="1">
      <c r="B524" s="23">
        <v>45729</v>
      </c>
      <c r="C524" s="7">
        <v>2003620215</v>
      </c>
      <c r="D524" s="20">
        <v>5832608</v>
      </c>
      <c r="E524" s="27" t="s">
        <v>116</v>
      </c>
      <c r="F524" s="7" t="s">
        <v>107</v>
      </c>
      <c r="G524" s="7" t="s">
        <v>10</v>
      </c>
      <c r="H524" s="7" t="s">
        <v>45</v>
      </c>
      <c r="I524" s="20" t="s">
        <v>559</v>
      </c>
      <c r="J524" s="20" t="s">
        <v>977</v>
      </c>
      <c r="K524" s="7" t="s">
        <v>119</v>
      </c>
      <c r="L524" s="61">
        <v>45729</v>
      </c>
      <c r="M524" s="7" t="s">
        <v>111</v>
      </c>
      <c r="N524" s="24">
        <v>45735</v>
      </c>
      <c r="O524" s="24">
        <v>45735</v>
      </c>
      <c r="P524" s="59"/>
      <c r="Q524" s="124" t="e">
        <f>P524*#REF!</f>
        <v>#REF!</v>
      </c>
      <c r="R524" s="126">
        <v>45736</v>
      </c>
      <c r="S524" s="153">
        <f>IF(L524="","",L524-B524)</f>
        <v>0</v>
      </c>
      <c r="T524" s="153">
        <f>IF(N524="","",N524-L524)</f>
        <v>6</v>
      </c>
      <c r="U524" s="153">
        <f>IF(O524="","",O524-N524)</f>
        <v>0</v>
      </c>
      <c r="V524" s="154">
        <f>IF(O524="","",O524-B524)</f>
        <v>6</v>
      </c>
      <c r="W524" s="154">
        <f>IF(O524="","",O524-L524)</f>
        <v>6</v>
      </c>
      <c r="X524" s="154">
        <f>IF(R524="","",R524-B524)</f>
        <v>7</v>
      </c>
    </row>
    <row r="525" spans="2:24" ht="17.25" hidden="1" customHeight="1">
      <c r="B525" s="23">
        <v>45729</v>
      </c>
      <c r="C525" s="7">
        <v>2003580029</v>
      </c>
      <c r="D525" s="20">
        <v>119743</v>
      </c>
      <c r="E525" s="27" t="s">
        <v>123</v>
      </c>
      <c r="F525" s="7" t="s">
        <v>107</v>
      </c>
      <c r="G525" s="7" t="s">
        <v>10</v>
      </c>
      <c r="H525" s="7" t="s">
        <v>45</v>
      </c>
      <c r="I525" s="20" t="s">
        <v>846</v>
      </c>
      <c r="J525" s="20" t="s">
        <v>978</v>
      </c>
      <c r="K525" s="7" t="s">
        <v>122</v>
      </c>
      <c r="L525" s="61">
        <v>45741</v>
      </c>
      <c r="M525" s="7" t="s">
        <v>111</v>
      </c>
      <c r="N525" s="24">
        <v>45743</v>
      </c>
      <c r="O525" s="58">
        <v>45747</v>
      </c>
      <c r="P525" s="59"/>
      <c r="Q525" s="124" t="e">
        <f>P525*#REF!</f>
        <v>#REF!</v>
      </c>
      <c r="R525" s="126">
        <v>45747</v>
      </c>
      <c r="S525" s="153">
        <f>IF(L525="","",L525-B525)</f>
        <v>12</v>
      </c>
      <c r="T525" s="153">
        <f>IF(N525="","",N525-L525)</f>
        <v>2</v>
      </c>
      <c r="U525" s="153">
        <f>IF(O525="","",O525-N525)</f>
        <v>4</v>
      </c>
      <c r="V525" s="154">
        <f>IF(O525="","",O525-B525)</f>
        <v>18</v>
      </c>
      <c r="W525" s="154">
        <f>IF(O525="","",O525-L525)</f>
        <v>6</v>
      </c>
      <c r="X525" s="154">
        <f>IF(R525="","",R525-B525)</f>
        <v>18</v>
      </c>
    </row>
    <row r="526" spans="2:24" ht="17.25" hidden="1" customHeight="1">
      <c r="B526" s="23">
        <v>45729</v>
      </c>
      <c r="C526" s="7">
        <v>2003625650</v>
      </c>
      <c r="D526" s="20">
        <v>5832310</v>
      </c>
      <c r="E526" s="27" t="s">
        <v>177</v>
      </c>
      <c r="F526" s="7" t="s">
        <v>107</v>
      </c>
      <c r="G526" s="7" t="s">
        <v>15</v>
      </c>
      <c r="H526" s="7" t="s">
        <v>45</v>
      </c>
      <c r="I526" s="20" t="s">
        <v>979</v>
      </c>
      <c r="J526" s="20" t="s">
        <v>980</v>
      </c>
      <c r="K526" s="7" t="s">
        <v>119</v>
      </c>
      <c r="L526" s="61">
        <v>45733</v>
      </c>
      <c r="M526" s="7" t="s">
        <v>111</v>
      </c>
      <c r="N526" s="61">
        <v>45733</v>
      </c>
      <c r="O526" s="58">
        <v>45735</v>
      </c>
      <c r="P526" s="59"/>
      <c r="Q526" s="124" t="e">
        <f>P526*#REF!</f>
        <v>#REF!</v>
      </c>
      <c r="R526" s="126">
        <v>45736</v>
      </c>
      <c r="S526" s="153">
        <f>IF(L526="","",L526-B526)</f>
        <v>4</v>
      </c>
      <c r="T526" s="153">
        <f>IF(N526="","",N526-L526)</f>
        <v>0</v>
      </c>
      <c r="U526" s="153">
        <f>IF(O526="","",O526-N526)</f>
        <v>2</v>
      </c>
      <c r="V526" s="154">
        <f>IF(O526="","",O526-B526)</f>
        <v>6</v>
      </c>
      <c r="W526" s="154">
        <f>IF(O526="","",O526-L526)</f>
        <v>2</v>
      </c>
      <c r="X526" s="154">
        <f>IF(R526="","",R526-B526)</f>
        <v>7</v>
      </c>
    </row>
    <row r="527" spans="2:24" ht="17.25" hidden="1" customHeight="1">
      <c r="B527" s="23">
        <v>45729</v>
      </c>
      <c r="C527" s="7">
        <v>2003601509</v>
      </c>
      <c r="D527" s="20">
        <v>5832447</v>
      </c>
      <c r="E527" s="27" t="s">
        <v>568</v>
      </c>
      <c r="F527" s="7" t="s">
        <v>107</v>
      </c>
      <c r="G527" s="7" t="s">
        <v>21</v>
      </c>
      <c r="H527" s="7" t="s">
        <v>45</v>
      </c>
      <c r="I527" s="20" t="s">
        <v>981</v>
      </c>
      <c r="J527" s="20" t="s">
        <v>628</v>
      </c>
      <c r="K527" s="7" t="s">
        <v>111</v>
      </c>
      <c r="L527" s="61">
        <v>45730</v>
      </c>
      <c r="M527" s="7" t="s">
        <v>111</v>
      </c>
      <c r="N527" s="61">
        <v>45730</v>
      </c>
      <c r="O527" s="61">
        <v>45730</v>
      </c>
      <c r="P527" s="59"/>
      <c r="Q527" s="124" t="e">
        <f>P527*#REF!</f>
        <v>#REF!</v>
      </c>
      <c r="R527" s="126">
        <v>45730</v>
      </c>
      <c r="S527" s="153">
        <f>IF(L527="","",L527-B527)</f>
        <v>1</v>
      </c>
      <c r="T527" s="153">
        <f>IF(N527="","",N527-L527)</f>
        <v>0</v>
      </c>
      <c r="U527" s="153">
        <f>IF(O527="","",O527-N527)</f>
        <v>0</v>
      </c>
      <c r="V527" s="154">
        <f>IF(O527="","",O527-B527)</f>
        <v>1</v>
      </c>
      <c r="W527" s="154">
        <f>IF(O527="","",O527-L527)</f>
        <v>0</v>
      </c>
      <c r="X527" s="154">
        <f>IF(R527="","",R527-B527)</f>
        <v>1</v>
      </c>
    </row>
    <row r="528" spans="2:24" ht="17.25" hidden="1" customHeight="1">
      <c r="B528" s="23">
        <v>45729</v>
      </c>
      <c r="C528" s="7">
        <v>2003566526</v>
      </c>
      <c r="D528" s="20">
        <v>5832790</v>
      </c>
      <c r="E528" s="27" t="s">
        <v>152</v>
      </c>
      <c r="F528" s="7" t="s">
        <v>107</v>
      </c>
      <c r="G528" s="7" t="s">
        <v>21</v>
      </c>
      <c r="H528" s="7" t="s">
        <v>45</v>
      </c>
      <c r="I528" s="20" t="s">
        <v>982</v>
      </c>
      <c r="J528" s="20" t="s">
        <v>154</v>
      </c>
      <c r="K528" s="7" t="s">
        <v>111</v>
      </c>
      <c r="L528" s="61">
        <v>45730</v>
      </c>
      <c r="M528" s="7" t="s">
        <v>111</v>
      </c>
      <c r="N528" s="24">
        <v>45730</v>
      </c>
      <c r="O528" s="61">
        <v>45730</v>
      </c>
      <c r="P528" s="59"/>
      <c r="Q528" s="124" t="e">
        <f>P528*#REF!</f>
        <v>#REF!</v>
      </c>
      <c r="R528" s="126">
        <v>45730</v>
      </c>
      <c r="S528" s="153">
        <f>IF(L528="","",L528-B528)</f>
        <v>1</v>
      </c>
      <c r="T528" s="153">
        <f>IF(N528="","",N528-L528)</f>
        <v>0</v>
      </c>
      <c r="U528" s="153">
        <f>IF(O528="","",O528-N528)</f>
        <v>0</v>
      </c>
      <c r="V528" s="154">
        <f>IF(O528="","",O528-B528)</f>
        <v>1</v>
      </c>
      <c r="W528" s="154">
        <f>IF(O528="","",O528-L528)</f>
        <v>0</v>
      </c>
      <c r="X528" s="154">
        <f>IF(R528="","",R528-B528)</f>
        <v>1</v>
      </c>
    </row>
    <row r="529" spans="2:24" ht="17.25" hidden="1" customHeight="1">
      <c r="B529" s="23">
        <v>45729</v>
      </c>
      <c r="C529" s="7">
        <v>2003616501</v>
      </c>
      <c r="D529" s="20">
        <v>5832826</v>
      </c>
      <c r="E529" s="27" t="s">
        <v>191</v>
      </c>
      <c r="F529" s="7" t="s">
        <v>107</v>
      </c>
      <c r="G529" s="7" t="s">
        <v>18</v>
      </c>
      <c r="H529" s="7" t="s">
        <v>45</v>
      </c>
      <c r="I529" s="20" t="s">
        <v>983</v>
      </c>
      <c r="J529" s="20" t="s">
        <v>805</v>
      </c>
      <c r="K529" s="7" t="s">
        <v>119</v>
      </c>
      <c r="L529" s="61">
        <v>45734</v>
      </c>
      <c r="M529" s="7" t="s">
        <v>111</v>
      </c>
      <c r="N529" s="61">
        <v>45735</v>
      </c>
      <c r="O529" s="58">
        <v>45736</v>
      </c>
      <c r="P529" s="59">
        <v>187</v>
      </c>
      <c r="Q529" s="124" t="e">
        <f>P529*#REF!</f>
        <v>#REF!</v>
      </c>
      <c r="R529" s="126">
        <v>45736</v>
      </c>
      <c r="S529" s="153">
        <f>IF(L529="","",L529-B529)</f>
        <v>5</v>
      </c>
      <c r="T529" s="153">
        <f>IF(N529="","",N529-L529)</f>
        <v>1</v>
      </c>
      <c r="U529" s="153">
        <f>IF(O529="","",O529-N529)</f>
        <v>1</v>
      </c>
      <c r="V529" s="154">
        <f>IF(O529="","",O529-B529)</f>
        <v>7</v>
      </c>
      <c r="W529" s="154">
        <f>IF(O529="","",O529-L529)</f>
        <v>2</v>
      </c>
      <c r="X529" s="154">
        <f>IF(R529="","",R529-B529)</f>
        <v>7</v>
      </c>
    </row>
    <row r="530" spans="2:24" ht="17.25" hidden="1" customHeight="1">
      <c r="B530" s="23">
        <v>45729</v>
      </c>
      <c r="C530" s="7">
        <v>2003562512</v>
      </c>
      <c r="D530" s="20">
        <v>5832934</v>
      </c>
      <c r="E530" s="27" t="s">
        <v>116</v>
      </c>
      <c r="F530" s="7" t="s">
        <v>107</v>
      </c>
      <c r="G530" s="7" t="s">
        <v>166</v>
      </c>
      <c r="H530" s="7" t="s">
        <v>45</v>
      </c>
      <c r="I530" s="20" t="s">
        <v>984</v>
      </c>
      <c r="J530" s="20" t="s">
        <v>985</v>
      </c>
      <c r="K530" s="7" t="s">
        <v>119</v>
      </c>
      <c r="L530" s="61">
        <v>45730</v>
      </c>
      <c r="M530" s="7" t="s">
        <v>111</v>
      </c>
      <c r="N530" s="61">
        <v>45730</v>
      </c>
      <c r="O530" s="61">
        <v>45730</v>
      </c>
      <c r="P530" s="59"/>
      <c r="Q530" s="124" t="e">
        <f>P530*#REF!</f>
        <v>#REF!</v>
      </c>
      <c r="R530" s="126">
        <v>45730</v>
      </c>
      <c r="S530" s="153">
        <f>IF(L530="","",L530-B530)</f>
        <v>1</v>
      </c>
      <c r="T530" s="153">
        <f>IF(N530="","",N530-L530)</f>
        <v>0</v>
      </c>
      <c r="U530" s="153">
        <f>IF(O530="","",O530-N530)</f>
        <v>0</v>
      </c>
      <c r="V530" s="154">
        <f>IF(O530="","",O530-B530)</f>
        <v>1</v>
      </c>
      <c r="W530" s="154">
        <f>IF(O530="","",O530-L530)</f>
        <v>0</v>
      </c>
      <c r="X530" s="154">
        <f>IF(R530="","",R530-B530)</f>
        <v>1</v>
      </c>
    </row>
    <row r="531" spans="2:24" ht="17.25" hidden="1" customHeight="1">
      <c r="B531" s="23">
        <v>45730</v>
      </c>
      <c r="C531" s="7">
        <v>2003623859</v>
      </c>
      <c r="D531" s="20">
        <v>5833313</v>
      </c>
      <c r="E531" s="27" t="s">
        <v>622</v>
      </c>
      <c r="F531" s="7" t="s">
        <v>107</v>
      </c>
      <c r="G531" s="7" t="s">
        <v>10</v>
      </c>
      <c r="H531" s="7" t="s">
        <v>45</v>
      </c>
      <c r="I531" s="20" t="s">
        <v>986</v>
      </c>
      <c r="J531" s="20" t="s">
        <v>987</v>
      </c>
      <c r="K531" s="7" t="s">
        <v>119</v>
      </c>
      <c r="L531" s="61">
        <v>45733</v>
      </c>
      <c r="M531" s="7" t="s">
        <v>111</v>
      </c>
      <c r="N531" s="24">
        <v>45733</v>
      </c>
      <c r="O531" s="58">
        <v>45735</v>
      </c>
      <c r="P531" s="59"/>
      <c r="Q531" s="124" t="e">
        <f>P531*#REF!</f>
        <v>#REF!</v>
      </c>
      <c r="R531" s="126">
        <v>45736</v>
      </c>
      <c r="S531" s="153">
        <f>IF(L531="","",L531-B531)</f>
        <v>3</v>
      </c>
      <c r="T531" s="153">
        <f>IF(N531="","",N531-L531)</f>
        <v>0</v>
      </c>
      <c r="U531" s="153">
        <f>IF(O531="","",O531-N531)</f>
        <v>2</v>
      </c>
      <c r="V531" s="154">
        <f>IF(O531="","",O531-B531)</f>
        <v>5</v>
      </c>
      <c r="W531" s="154">
        <f>IF(O531="","",O531-L531)</f>
        <v>2</v>
      </c>
      <c r="X531" s="154">
        <f>IF(R531="","",R531-B531)</f>
        <v>6</v>
      </c>
    </row>
    <row r="532" spans="2:24" ht="17.25" hidden="1" customHeight="1">
      <c r="B532" s="23">
        <v>45730</v>
      </c>
      <c r="C532" s="7">
        <v>2003633383</v>
      </c>
      <c r="D532" s="20">
        <v>5833372</v>
      </c>
      <c r="E532" s="27" t="s">
        <v>408</v>
      </c>
      <c r="F532" s="7" t="s">
        <v>107</v>
      </c>
      <c r="G532" s="7" t="s">
        <v>18</v>
      </c>
      <c r="H532" s="7" t="s">
        <v>45</v>
      </c>
      <c r="I532" s="20" t="s">
        <v>988</v>
      </c>
      <c r="J532" s="20" t="s">
        <v>989</v>
      </c>
      <c r="K532" s="7" t="s">
        <v>119</v>
      </c>
      <c r="L532" s="61">
        <v>45734</v>
      </c>
      <c r="M532" s="7" t="s">
        <v>111</v>
      </c>
      <c r="N532" s="61">
        <v>45734</v>
      </c>
      <c r="O532" s="58">
        <v>45735</v>
      </c>
      <c r="P532" s="59"/>
      <c r="Q532" s="124" t="e">
        <f>P532*#REF!</f>
        <v>#REF!</v>
      </c>
      <c r="R532" s="126">
        <v>45736</v>
      </c>
      <c r="S532" s="153">
        <f>IF(L532="","",L532-B532)</f>
        <v>4</v>
      </c>
      <c r="T532" s="153">
        <f>IF(N532="","",N532-L532)</f>
        <v>0</v>
      </c>
      <c r="U532" s="153">
        <f>IF(O532="","",O532-N532)</f>
        <v>1</v>
      </c>
      <c r="V532" s="154">
        <f>IF(O532="","",O532-B532)</f>
        <v>5</v>
      </c>
      <c r="W532" s="154">
        <f>IF(O532="","",O532-L532)</f>
        <v>1</v>
      </c>
      <c r="X532" s="154">
        <f>IF(R532="","",R532-B532)</f>
        <v>6</v>
      </c>
    </row>
    <row r="533" spans="2:24" ht="17.25" hidden="1" customHeight="1">
      <c r="B533" s="23">
        <v>45730</v>
      </c>
      <c r="C533" s="7">
        <v>2003570680</v>
      </c>
      <c r="D533" s="20">
        <v>5833723</v>
      </c>
      <c r="E533" s="27" t="s">
        <v>143</v>
      </c>
      <c r="F533" s="7" t="s">
        <v>113</v>
      </c>
      <c r="G533" s="7" t="s">
        <v>70</v>
      </c>
      <c r="H533" s="7" t="s">
        <v>47</v>
      </c>
      <c r="I533" s="20" t="s">
        <v>990</v>
      </c>
      <c r="J533" s="20" t="s">
        <v>219</v>
      </c>
      <c r="K533" s="7" t="s">
        <v>160</v>
      </c>
      <c r="P533" s="59"/>
      <c r="Q533" s="124" t="e">
        <f>P533*#REF!</f>
        <v>#REF!</v>
      </c>
      <c r="R533" s="126">
        <v>45741</v>
      </c>
      <c r="S533" s="153" t="str">
        <f>IF(L533="","",L533-B533)</f>
        <v/>
      </c>
      <c r="T533" s="153" t="str">
        <f>IF(N533="","",N533-L533)</f>
        <v/>
      </c>
      <c r="U533" s="153" t="str">
        <f>IF(O533="","",O533-N533)</f>
        <v/>
      </c>
      <c r="V533" s="154" t="str">
        <f>IF(O533="","",O533-B533)</f>
        <v/>
      </c>
      <c r="W533" s="154" t="str">
        <f>IF(O533="","",O533-L533)</f>
        <v/>
      </c>
      <c r="X533" s="154">
        <f>IF(R533="","",R533-B533)</f>
        <v>11</v>
      </c>
    </row>
    <row r="534" spans="2:24" ht="17.25" hidden="1" customHeight="1">
      <c r="B534" s="23">
        <v>45730</v>
      </c>
      <c r="C534" s="7">
        <v>2003358574</v>
      </c>
      <c r="D534" s="20">
        <v>5833805</v>
      </c>
      <c r="E534" s="27" t="s">
        <v>116</v>
      </c>
      <c r="F534" s="7" t="s">
        <v>107</v>
      </c>
      <c r="G534" s="7" t="s">
        <v>10</v>
      </c>
      <c r="H534" s="7" t="s">
        <v>45</v>
      </c>
      <c r="I534" s="20" t="s">
        <v>991</v>
      </c>
      <c r="J534" s="20" t="s">
        <v>992</v>
      </c>
      <c r="K534" s="7" t="s">
        <v>119</v>
      </c>
      <c r="L534" s="61">
        <v>45734</v>
      </c>
      <c r="M534" s="7" t="s">
        <v>111</v>
      </c>
      <c r="N534" s="61">
        <v>45733</v>
      </c>
      <c r="O534" s="61">
        <v>45733</v>
      </c>
      <c r="P534" s="59">
        <v>52.8</v>
      </c>
      <c r="Q534" s="124" t="e">
        <f>P534*#REF!</f>
        <v>#REF!</v>
      </c>
      <c r="R534" s="126">
        <v>45734</v>
      </c>
      <c r="S534" s="153">
        <f>IF(L534="","",L534-B534)</f>
        <v>4</v>
      </c>
      <c r="T534" s="153">
        <f>IF(N534="","",N534-L534)</f>
        <v>-1</v>
      </c>
      <c r="U534" s="153">
        <f>IF(O534="","",O534-N534)</f>
        <v>0</v>
      </c>
      <c r="V534" s="154">
        <f>IF(O534="","",O534-B534)</f>
        <v>3</v>
      </c>
      <c r="W534" s="154">
        <f>IF(O534="","",O534-L534)</f>
        <v>-1</v>
      </c>
      <c r="X534" s="154">
        <f>IF(R534="","",R534-B534)</f>
        <v>4</v>
      </c>
    </row>
    <row r="535" spans="2:24" ht="17.25" hidden="1" customHeight="1">
      <c r="B535" s="23">
        <v>45730</v>
      </c>
      <c r="C535" s="7">
        <v>2003629567</v>
      </c>
      <c r="D535" s="20">
        <v>5833826</v>
      </c>
      <c r="E535" s="27" t="s">
        <v>116</v>
      </c>
      <c r="F535" s="7" t="s">
        <v>107</v>
      </c>
      <c r="G535" s="7" t="s">
        <v>18</v>
      </c>
      <c r="H535" s="7" t="s">
        <v>45</v>
      </c>
      <c r="I535" s="20" t="s">
        <v>993</v>
      </c>
      <c r="J535" s="20" t="s">
        <v>994</v>
      </c>
      <c r="K535" s="7" t="s">
        <v>119</v>
      </c>
      <c r="L535" s="61">
        <v>45733</v>
      </c>
      <c r="M535" s="7" t="s">
        <v>111</v>
      </c>
      <c r="N535" s="61">
        <v>45733</v>
      </c>
      <c r="O535" s="130">
        <v>45733</v>
      </c>
      <c r="P535" s="59"/>
      <c r="Q535" s="124" t="e">
        <f>P535*#REF!</f>
        <v>#REF!</v>
      </c>
      <c r="R535" s="126">
        <v>45734</v>
      </c>
      <c r="S535" s="153">
        <f>IF(L535="","",L535-B535)</f>
        <v>3</v>
      </c>
      <c r="T535" s="153">
        <f>IF(N535="","",N535-L535)</f>
        <v>0</v>
      </c>
      <c r="U535" s="153">
        <f>IF(O535="","",O535-N535)</f>
        <v>0</v>
      </c>
      <c r="V535" s="154">
        <f>IF(O535="","",O535-B535)</f>
        <v>3</v>
      </c>
      <c r="W535" s="154">
        <f>IF(O535="","",O535-L535)</f>
        <v>0</v>
      </c>
      <c r="X535" s="154">
        <f>IF(R535="","",R535-B535)</f>
        <v>4</v>
      </c>
    </row>
    <row r="536" spans="2:24" ht="17.25" hidden="1" customHeight="1">
      <c r="B536" s="23">
        <v>45730</v>
      </c>
      <c r="C536" s="7">
        <v>2003631761</v>
      </c>
      <c r="D536" s="20">
        <v>5833855</v>
      </c>
      <c r="E536" s="27" t="s">
        <v>126</v>
      </c>
      <c r="F536" s="7" t="s">
        <v>113</v>
      </c>
      <c r="G536" s="7" t="s">
        <v>70</v>
      </c>
      <c r="H536" s="7" t="s">
        <v>47</v>
      </c>
      <c r="I536" s="20" t="s">
        <v>995</v>
      </c>
      <c r="J536" s="20" t="s">
        <v>996</v>
      </c>
      <c r="P536" s="59"/>
      <c r="Q536" s="124" t="e">
        <f>P536*#REF!</f>
        <v>#REF!</v>
      </c>
      <c r="R536" s="126">
        <v>45734</v>
      </c>
      <c r="S536" s="153" t="str">
        <f>IF(L536="","",L536-B536)</f>
        <v/>
      </c>
      <c r="T536" s="153" t="str">
        <f>IF(N536="","",N536-L536)</f>
        <v/>
      </c>
      <c r="U536" s="153" t="str">
        <f>IF(O536="","",O536-N536)</f>
        <v/>
      </c>
      <c r="V536" s="154" t="str">
        <f>IF(O536="","",O536-B536)</f>
        <v/>
      </c>
      <c r="W536" s="154" t="str">
        <f>IF(O536="","",O536-L536)</f>
        <v/>
      </c>
      <c r="X536" s="154">
        <f>IF(R536="","",R536-B536)</f>
        <v>4</v>
      </c>
    </row>
    <row r="537" spans="2:24" ht="17.25" hidden="1" customHeight="1">
      <c r="B537" s="23">
        <v>45730</v>
      </c>
      <c r="C537" s="7">
        <v>2003612209</v>
      </c>
      <c r="D537" s="20">
        <v>5833965</v>
      </c>
      <c r="E537" s="27" t="s">
        <v>126</v>
      </c>
      <c r="F537" s="7" t="s">
        <v>107</v>
      </c>
      <c r="G537" s="7" t="s">
        <v>10</v>
      </c>
      <c r="H537" s="7" t="s">
        <v>45</v>
      </c>
      <c r="I537" s="20" t="s">
        <v>431</v>
      </c>
      <c r="J537" s="20" t="s">
        <v>997</v>
      </c>
      <c r="K537" s="7" t="s">
        <v>119</v>
      </c>
      <c r="L537" s="61">
        <v>45735</v>
      </c>
      <c r="M537" s="7" t="s">
        <v>111</v>
      </c>
      <c r="N537" s="61">
        <v>45735</v>
      </c>
      <c r="O537" s="58">
        <v>45737</v>
      </c>
      <c r="P537" s="59"/>
      <c r="Q537" s="124" t="e">
        <f>P537*#REF!</f>
        <v>#REF!</v>
      </c>
      <c r="R537" s="126">
        <v>45741</v>
      </c>
      <c r="S537" s="153">
        <f>IF(L537="","",L537-B537)</f>
        <v>5</v>
      </c>
      <c r="T537" s="153">
        <f>IF(N537="","",N537-L537)</f>
        <v>0</v>
      </c>
      <c r="U537" s="153">
        <f>IF(O537="","",O537-N537)</f>
        <v>2</v>
      </c>
      <c r="V537" s="154">
        <f>IF(O537="","",O537-B537)</f>
        <v>7</v>
      </c>
      <c r="W537" s="154">
        <f>IF(O537="","",O537-L537)</f>
        <v>2</v>
      </c>
      <c r="X537" s="154">
        <f>IF(R537="","",R537-B537)</f>
        <v>11</v>
      </c>
    </row>
    <row r="538" spans="2:24" ht="17.25" hidden="1" customHeight="1">
      <c r="B538" s="23">
        <v>45730</v>
      </c>
      <c r="C538" s="7">
        <v>2003627303</v>
      </c>
      <c r="D538" s="20">
        <v>120294</v>
      </c>
      <c r="E538" s="27" t="s">
        <v>230</v>
      </c>
      <c r="F538" s="7" t="s">
        <v>107</v>
      </c>
      <c r="G538" s="7" t="s">
        <v>18</v>
      </c>
      <c r="H538" s="7" t="s">
        <v>45</v>
      </c>
      <c r="I538" s="20" t="s">
        <v>998</v>
      </c>
      <c r="J538" s="20" t="s">
        <v>999</v>
      </c>
      <c r="K538" s="7" t="s">
        <v>110</v>
      </c>
      <c r="L538" s="61">
        <v>45734</v>
      </c>
      <c r="M538" s="7" t="s">
        <v>111</v>
      </c>
      <c r="N538" s="61">
        <v>45734</v>
      </c>
      <c r="O538" s="58">
        <v>45735</v>
      </c>
      <c r="P538" s="59"/>
      <c r="Q538" s="124" t="e">
        <f>P538*#REF!</f>
        <v>#REF!</v>
      </c>
      <c r="R538" s="126">
        <v>45736</v>
      </c>
      <c r="S538" s="153">
        <f>IF(L538="","",L538-B538)</f>
        <v>4</v>
      </c>
      <c r="T538" s="153">
        <f>IF(N538="","",N538-L538)</f>
        <v>0</v>
      </c>
      <c r="U538" s="153">
        <f>IF(O538="","",O538-N538)</f>
        <v>1</v>
      </c>
      <c r="V538" s="154">
        <f>IF(O538="","",O538-B538)</f>
        <v>5</v>
      </c>
      <c r="W538" s="154">
        <f>IF(O538="","",O538-L538)</f>
        <v>1</v>
      </c>
      <c r="X538" s="154">
        <f>IF(R538="","",R538-B538)</f>
        <v>6</v>
      </c>
    </row>
    <row r="539" spans="2:24" ht="17.25" hidden="1" customHeight="1">
      <c r="B539" s="23">
        <v>45730</v>
      </c>
      <c r="C539" s="7">
        <v>2003607531</v>
      </c>
      <c r="D539" s="20">
        <v>120560</v>
      </c>
      <c r="E539" s="27" t="s">
        <v>123</v>
      </c>
      <c r="F539" s="7" t="s">
        <v>107</v>
      </c>
      <c r="G539" s="7" t="s">
        <v>18</v>
      </c>
      <c r="H539" s="7" t="s">
        <v>45</v>
      </c>
      <c r="I539" s="20" t="s">
        <v>636</v>
      </c>
      <c r="J539" s="20" t="s">
        <v>725</v>
      </c>
      <c r="K539" s="7" t="s">
        <v>119</v>
      </c>
      <c r="L539" s="61">
        <v>45734</v>
      </c>
      <c r="M539" s="7" t="s">
        <v>111</v>
      </c>
      <c r="N539" s="61">
        <v>45734</v>
      </c>
      <c r="O539" s="58">
        <v>45736</v>
      </c>
      <c r="P539" s="59"/>
      <c r="Q539" s="124" t="e">
        <f>P539*#REF!</f>
        <v>#REF!</v>
      </c>
      <c r="R539" s="126">
        <v>45736</v>
      </c>
      <c r="S539" s="153">
        <f>IF(L539="","",L539-B539)</f>
        <v>4</v>
      </c>
      <c r="T539" s="153">
        <f>IF(N539="","",N539-L539)</f>
        <v>0</v>
      </c>
      <c r="U539" s="153">
        <f>IF(O539="","",O539-N539)</f>
        <v>2</v>
      </c>
      <c r="V539" s="154">
        <f>IF(O539="","",O539-B539)</f>
        <v>6</v>
      </c>
      <c r="W539" s="154">
        <f>IF(O539="","",O539-L539)</f>
        <v>2</v>
      </c>
      <c r="X539" s="154">
        <f>IF(R539="","",R539-B539)</f>
        <v>6</v>
      </c>
    </row>
    <row r="540" spans="2:24" ht="17.25" hidden="1" customHeight="1">
      <c r="B540" s="23">
        <v>45730</v>
      </c>
      <c r="C540" s="7">
        <v>2003628713</v>
      </c>
      <c r="D540" s="20">
        <v>120374</v>
      </c>
      <c r="E540" s="27" t="s">
        <v>123</v>
      </c>
      <c r="F540" s="7" t="s">
        <v>107</v>
      </c>
      <c r="G540" s="7" t="s">
        <v>10</v>
      </c>
      <c r="H540" s="7" t="s">
        <v>45</v>
      </c>
      <c r="I540" s="20" t="s">
        <v>991</v>
      </c>
      <c r="J540" s="20" t="s">
        <v>992</v>
      </c>
      <c r="K540" s="7" t="s">
        <v>119</v>
      </c>
      <c r="L540" s="61">
        <v>45733</v>
      </c>
      <c r="M540" s="7" t="s">
        <v>111</v>
      </c>
      <c r="N540" s="61">
        <v>45733</v>
      </c>
      <c r="O540" s="61">
        <v>45733</v>
      </c>
      <c r="P540" s="59"/>
      <c r="Q540" s="124" t="e">
        <f>P540*#REF!</f>
        <v>#REF!</v>
      </c>
      <c r="R540" s="126">
        <v>45734</v>
      </c>
      <c r="S540" s="153">
        <f>IF(L540="","",L540-B540)</f>
        <v>3</v>
      </c>
      <c r="T540" s="153">
        <f>IF(N540="","",N540-L540)</f>
        <v>0</v>
      </c>
      <c r="U540" s="153">
        <f>IF(O540="","",O540-N540)</f>
        <v>0</v>
      </c>
      <c r="V540" s="154">
        <f>IF(O540="","",O540-B540)</f>
        <v>3</v>
      </c>
      <c r="W540" s="154">
        <f>IF(O540="","",O540-L540)</f>
        <v>0</v>
      </c>
      <c r="X540" s="154">
        <f>IF(R540="","",R540-B540)</f>
        <v>4</v>
      </c>
    </row>
    <row r="541" spans="2:24" ht="17.25" hidden="1" customHeight="1">
      <c r="B541" s="23">
        <v>45733</v>
      </c>
      <c r="C541" s="7">
        <v>2003627707</v>
      </c>
      <c r="D541" s="20">
        <v>5834487</v>
      </c>
      <c r="E541" s="27" t="s">
        <v>116</v>
      </c>
      <c r="F541" s="7" t="s">
        <v>107</v>
      </c>
      <c r="G541" s="7" t="s">
        <v>10</v>
      </c>
      <c r="H541" s="7" t="s">
        <v>45</v>
      </c>
      <c r="I541" s="20" t="s">
        <v>775</v>
      </c>
      <c r="J541" s="20" t="s">
        <v>937</v>
      </c>
      <c r="K541" s="7" t="s">
        <v>119</v>
      </c>
      <c r="L541" s="61">
        <v>45732</v>
      </c>
      <c r="M541" s="7" t="s">
        <v>111</v>
      </c>
      <c r="N541" s="61">
        <v>45734</v>
      </c>
      <c r="O541" s="58">
        <v>45735</v>
      </c>
      <c r="P541" s="59"/>
      <c r="Q541" s="124" t="e">
        <f>P541*#REF!</f>
        <v>#REF!</v>
      </c>
      <c r="R541" s="126">
        <v>45736</v>
      </c>
      <c r="S541" s="153">
        <f>IF(L541="","",L541-B541)</f>
        <v>-1</v>
      </c>
      <c r="T541" s="153">
        <f>IF(N541="","",N541-L541)</f>
        <v>2</v>
      </c>
      <c r="U541" s="153">
        <f>IF(O541="","",O541-N541)</f>
        <v>1</v>
      </c>
      <c r="V541" s="154">
        <f>IF(O541="","",O541-B541)</f>
        <v>2</v>
      </c>
      <c r="W541" s="154">
        <f>IF(O541="","",O541-L541)</f>
        <v>3</v>
      </c>
      <c r="X541" s="154">
        <f>IF(R541="","",R541-B541)</f>
        <v>3</v>
      </c>
    </row>
    <row r="542" spans="2:24" ht="17.25" hidden="1" customHeight="1">
      <c r="B542" s="23">
        <v>45733</v>
      </c>
      <c r="C542" s="7">
        <v>2003617035</v>
      </c>
      <c r="D542" s="20">
        <v>5835148</v>
      </c>
      <c r="E542" s="27" t="s">
        <v>106</v>
      </c>
      <c r="F542" s="7" t="s">
        <v>107</v>
      </c>
      <c r="G542" s="7" t="s">
        <v>10</v>
      </c>
      <c r="H542" s="7" t="s">
        <v>45</v>
      </c>
      <c r="I542" s="20" t="s">
        <v>945</v>
      </c>
      <c r="J542" s="20" t="s">
        <v>946</v>
      </c>
      <c r="K542" s="7" t="s">
        <v>119</v>
      </c>
      <c r="L542" s="61">
        <v>45735</v>
      </c>
      <c r="M542" s="7" t="s">
        <v>111</v>
      </c>
      <c r="N542" s="61">
        <v>45735</v>
      </c>
      <c r="O542" s="58">
        <v>45736</v>
      </c>
      <c r="P542" s="59"/>
      <c r="Q542" s="124" t="e">
        <f>P542*#REF!</f>
        <v>#REF!</v>
      </c>
      <c r="R542" s="126">
        <v>45736</v>
      </c>
      <c r="S542" s="153">
        <f>IF(L542="","",L542-B542)</f>
        <v>2</v>
      </c>
      <c r="T542" s="153">
        <f>IF(N542="","",N542-L542)</f>
        <v>0</v>
      </c>
      <c r="U542" s="153">
        <f>IF(O542="","",O542-N542)</f>
        <v>1</v>
      </c>
      <c r="V542" s="154">
        <f>IF(O542="","",O542-B542)</f>
        <v>3</v>
      </c>
      <c r="W542" s="154">
        <f>IF(O542="","",O542-L542)</f>
        <v>1</v>
      </c>
      <c r="X542" s="154">
        <f>IF(R542="","",R542-B542)</f>
        <v>3</v>
      </c>
    </row>
    <row r="543" spans="2:24" ht="17.25" hidden="1" customHeight="1">
      <c r="B543" s="23">
        <v>45733</v>
      </c>
      <c r="C543" s="7">
        <v>2003627790</v>
      </c>
      <c r="D543" s="20">
        <v>5835294</v>
      </c>
      <c r="E543" s="27" t="s">
        <v>112</v>
      </c>
      <c r="F543" s="7" t="s">
        <v>107</v>
      </c>
      <c r="G543" s="7" t="s">
        <v>26</v>
      </c>
      <c r="H543" s="7" t="s">
        <v>45</v>
      </c>
      <c r="I543" s="20" t="s">
        <v>1000</v>
      </c>
      <c r="J543" s="20" t="s">
        <v>1001</v>
      </c>
      <c r="K543" s="7" t="s">
        <v>122</v>
      </c>
      <c r="L543" s="61">
        <v>45735</v>
      </c>
      <c r="M543" s="7" t="s">
        <v>111</v>
      </c>
      <c r="N543" s="24">
        <v>45736</v>
      </c>
      <c r="O543" s="58">
        <v>45736</v>
      </c>
      <c r="P543" s="59">
        <v>187</v>
      </c>
      <c r="Q543" s="124" t="e">
        <f>P543*#REF!</f>
        <v>#REF!</v>
      </c>
      <c r="R543" s="126">
        <v>45736</v>
      </c>
      <c r="S543" s="153">
        <f>IF(L543="","",L543-B543)</f>
        <v>2</v>
      </c>
      <c r="T543" s="153">
        <f>IF(N543="","",N543-L543)</f>
        <v>1</v>
      </c>
      <c r="U543" s="153">
        <f>IF(O543="","",O543-N543)</f>
        <v>0</v>
      </c>
      <c r="V543" s="154">
        <f>IF(O543="","",O543-B543)</f>
        <v>3</v>
      </c>
      <c r="W543" s="154">
        <f>IF(O543="","",O543-L543)</f>
        <v>1</v>
      </c>
      <c r="X543" s="154">
        <f>IF(R543="","",R543-B543)</f>
        <v>3</v>
      </c>
    </row>
    <row r="544" spans="2:24" ht="17.25" hidden="1" customHeight="1">
      <c r="B544" s="23">
        <v>45733</v>
      </c>
      <c r="C544" s="7">
        <v>2003635701</v>
      </c>
      <c r="D544" s="20">
        <v>5835443</v>
      </c>
      <c r="E544" s="27" t="s">
        <v>622</v>
      </c>
      <c r="F544" s="7" t="s">
        <v>107</v>
      </c>
      <c r="G544" s="7" t="s">
        <v>10</v>
      </c>
      <c r="H544" s="7" t="s">
        <v>45</v>
      </c>
      <c r="I544" s="20" t="s">
        <v>1002</v>
      </c>
      <c r="J544" s="20" t="s">
        <v>1003</v>
      </c>
      <c r="K544" s="7" t="s">
        <v>119</v>
      </c>
      <c r="L544" s="61">
        <v>45736</v>
      </c>
      <c r="M544" s="7" t="s">
        <v>111</v>
      </c>
      <c r="N544" s="24">
        <v>45741</v>
      </c>
      <c r="O544" s="24">
        <v>45741</v>
      </c>
      <c r="P544" s="59">
        <v>83.7</v>
      </c>
      <c r="Q544" s="124" t="e">
        <f>P544*#REF!</f>
        <v>#REF!</v>
      </c>
      <c r="R544" s="126">
        <v>45741</v>
      </c>
      <c r="S544" s="153">
        <f>IF(L544="","",L544-B544)</f>
        <v>3</v>
      </c>
      <c r="T544" s="153">
        <f>IF(N544="","",N544-L544)</f>
        <v>5</v>
      </c>
      <c r="U544" s="153">
        <f>IF(O544="","",O544-N544)</f>
        <v>0</v>
      </c>
      <c r="V544" s="154">
        <f>IF(O544="","",O544-B544)</f>
        <v>8</v>
      </c>
      <c r="W544" s="154">
        <f>IF(O544="","",O544-L544)</f>
        <v>5</v>
      </c>
      <c r="X544" s="154">
        <f>IF(R544="","",R544-B544)</f>
        <v>8</v>
      </c>
    </row>
    <row r="545" spans="2:32" ht="17.25" hidden="1" customHeight="1">
      <c r="B545" s="23">
        <v>45733</v>
      </c>
      <c r="C545" s="7">
        <v>2003630809</v>
      </c>
      <c r="D545" s="20">
        <v>5835707</v>
      </c>
      <c r="E545" s="27" t="s">
        <v>123</v>
      </c>
      <c r="F545" s="7" t="s">
        <v>107</v>
      </c>
      <c r="G545" s="7" t="s">
        <v>10</v>
      </c>
      <c r="H545" s="7" t="s">
        <v>45</v>
      </c>
      <c r="I545" s="20" t="s">
        <v>636</v>
      </c>
      <c r="J545" s="20" t="s">
        <v>1004</v>
      </c>
      <c r="K545" s="7" t="s">
        <v>110</v>
      </c>
      <c r="L545" s="61">
        <v>45735</v>
      </c>
      <c r="M545" s="7" t="s">
        <v>111</v>
      </c>
      <c r="N545" s="61">
        <v>45735</v>
      </c>
      <c r="O545" s="24">
        <v>45737</v>
      </c>
      <c r="P545" s="59"/>
      <c r="Q545" s="124" t="e">
        <f>P545*#REF!</f>
        <v>#REF!</v>
      </c>
      <c r="R545" s="126">
        <v>45742</v>
      </c>
      <c r="S545" s="153">
        <f>IF(L545="","",L545-B545)</f>
        <v>2</v>
      </c>
      <c r="T545" s="153">
        <f>IF(N545="","",N545-L545)</f>
        <v>0</v>
      </c>
      <c r="U545" s="153">
        <f>IF(O545="","",O545-N545)</f>
        <v>2</v>
      </c>
      <c r="V545" s="154">
        <f>IF(O545="","",O545-B545)</f>
        <v>4</v>
      </c>
      <c r="W545" s="154">
        <f>IF(O545="","",O545-L545)</f>
        <v>2</v>
      </c>
      <c r="X545" s="154">
        <f>IF(R545="","",R545-B545)</f>
        <v>9</v>
      </c>
    </row>
    <row r="546" spans="2:32" ht="17.25" hidden="1" customHeight="1">
      <c r="B546" s="23">
        <v>45733</v>
      </c>
      <c r="C546" s="7">
        <v>2003553952</v>
      </c>
      <c r="D546" s="20">
        <v>5835751</v>
      </c>
      <c r="E546" s="27" t="s">
        <v>123</v>
      </c>
      <c r="F546" s="7" t="s">
        <v>107</v>
      </c>
      <c r="G546" s="7" t="s">
        <v>10</v>
      </c>
      <c r="H546" s="7" t="s">
        <v>45</v>
      </c>
      <c r="I546" s="20" t="s">
        <v>1005</v>
      </c>
      <c r="J546" s="20" t="s">
        <v>1006</v>
      </c>
      <c r="K546" s="7" t="s">
        <v>122</v>
      </c>
      <c r="L546" s="61">
        <v>45736</v>
      </c>
      <c r="M546" s="7" t="s">
        <v>111</v>
      </c>
      <c r="N546" s="24">
        <v>45741</v>
      </c>
      <c r="O546" s="58">
        <v>45742</v>
      </c>
      <c r="P546" s="59"/>
      <c r="Q546" s="124" t="e">
        <f>P546*#REF!</f>
        <v>#REF!</v>
      </c>
      <c r="R546" s="126">
        <v>45743</v>
      </c>
      <c r="S546" s="153">
        <f>IF(L546="","",L546-B546)</f>
        <v>3</v>
      </c>
      <c r="T546" s="153">
        <f>IF(N546="","",N546-L546)</f>
        <v>5</v>
      </c>
      <c r="U546" s="153">
        <f>IF(O546="","",O546-N546)</f>
        <v>1</v>
      </c>
      <c r="V546" s="154">
        <f>IF(O546="","",O546-B546)</f>
        <v>9</v>
      </c>
      <c r="W546" s="154">
        <f>IF(O546="","",O546-L546)</f>
        <v>6</v>
      </c>
      <c r="X546" s="154">
        <f>IF(R546="","",R546-B546)</f>
        <v>10</v>
      </c>
    </row>
    <row r="547" spans="2:32" ht="17.25" hidden="1" customHeight="1">
      <c r="B547" s="23">
        <v>45733</v>
      </c>
      <c r="C547" s="7">
        <v>2003554318</v>
      </c>
      <c r="D547" s="20">
        <v>5835753</v>
      </c>
      <c r="E547" s="27" t="s">
        <v>123</v>
      </c>
      <c r="F547" s="7" t="s">
        <v>107</v>
      </c>
      <c r="G547" s="7" t="s">
        <v>18</v>
      </c>
      <c r="H547" s="7" t="s">
        <v>45</v>
      </c>
      <c r="I547" s="20" t="s">
        <v>1005</v>
      </c>
      <c r="J547" s="20" t="s">
        <v>1006</v>
      </c>
      <c r="K547" s="7" t="s">
        <v>122</v>
      </c>
      <c r="L547" s="61">
        <v>45736</v>
      </c>
      <c r="M547" s="7" t="s">
        <v>111</v>
      </c>
      <c r="N547" s="24">
        <v>45741</v>
      </c>
      <c r="O547" s="58">
        <v>45742</v>
      </c>
      <c r="P547" s="59"/>
      <c r="Q547" s="124" t="e">
        <f>P547*#REF!</f>
        <v>#REF!</v>
      </c>
      <c r="R547" s="126">
        <v>45742</v>
      </c>
      <c r="S547" s="153">
        <f>IF(L547="","",L547-B547)</f>
        <v>3</v>
      </c>
      <c r="T547" s="153">
        <f>IF(N547="","",N547-L547)</f>
        <v>5</v>
      </c>
      <c r="U547" s="153">
        <f>IF(O547="","",O547-N547)</f>
        <v>1</v>
      </c>
      <c r="V547" s="154">
        <f>IF(O547="","",O547-B547)</f>
        <v>9</v>
      </c>
      <c r="W547" s="154">
        <f>IF(O547="","",O547-L547)</f>
        <v>6</v>
      </c>
      <c r="X547" s="154">
        <f>IF(R547="","",R547-B547)</f>
        <v>9</v>
      </c>
    </row>
    <row r="548" spans="2:32" ht="17.25" hidden="1" customHeight="1">
      <c r="B548" s="23">
        <v>45733</v>
      </c>
      <c r="C548" s="7">
        <v>2003633519</v>
      </c>
      <c r="D548" s="20">
        <v>121903</v>
      </c>
      <c r="E548" s="27" t="s">
        <v>123</v>
      </c>
      <c r="F548" s="7" t="s">
        <v>107</v>
      </c>
      <c r="G548" s="7" t="s">
        <v>18</v>
      </c>
      <c r="H548" s="7" t="s">
        <v>45</v>
      </c>
      <c r="I548" s="20" t="s">
        <v>1007</v>
      </c>
      <c r="J548" s="20" t="s">
        <v>1008</v>
      </c>
      <c r="K548" s="7" t="s">
        <v>122</v>
      </c>
      <c r="L548" s="61">
        <v>45735</v>
      </c>
      <c r="M548" s="7" t="s">
        <v>111</v>
      </c>
      <c r="N548" s="24">
        <v>45741</v>
      </c>
      <c r="O548" s="58">
        <v>45742</v>
      </c>
      <c r="P548" s="59"/>
      <c r="Q548" s="124" t="e">
        <f>P548*#REF!</f>
        <v>#REF!</v>
      </c>
      <c r="R548" s="126">
        <v>45742</v>
      </c>
      <c r="S548" s="153">
        <f>IF(L548="","",L548-B548)</f>
        <v>2</v>
      </c>
      <c r="T548" s="153">
        <f>IF(N548="","",N548-L548)</f>
        <v>6</v>
      </c>
      <c r="U548" s="153">
        <f>IF(O548="","",O548-N548)</f>
        <v>1</v>
      </c>
      <c r="V548" s="154">
        <f>IF(O548="","",O548-B548)</f>
        <v>9</v>
      </c>
      <c r="W548" s="154">
        <f>IF(O548="","",O548-L548)</f>
        <v>7</v>
      </c>
      <c r="X548" s="154">
        <f>IF(R548="","",R548-B548)</f>
        <v>9</v>
      </c>
    </row>
    <row r="549" spans="2:32" ht="17.25" hidden="1" customHeight="1">
      <c r="B549" s="23">
        <v>45733</v>
      </c>
      <c r="C549" s="7">
        <v>2003633387</v>
      </c>
      <c r="D549" s="20">
        <v>121363</v>
      </c>
      <c r="E549" s="27" t="s">
        <v>126</v>
      </c>
      <c r="F549" s="7" t="s">
        <v>107</v>
      </c>
      <c r="G549" s="7" t="s">
        <v>10</v>
      </c>
      <c r="H549" s="7" t="s">
        <v>45</v>
      </c>
      <c r="I549" s="20" t="s">
        <v>1009</v>
      </c>
      <c r="J549" s="20" t="s">
        <v>1010</v>
      </c>
      <c r="K549" s="7" t="s">
        <v>119</v>
      </c>
      <c r="L549" s="61">
        <v>45736</v>
      </c>
      <c r="M549" s="7" t="s">
        <v>111</v>
      </c>
      <c r="N549" s="61">
        <v>45736</v>
      </c>
      <c r="O549" s="58">
        <v>45737</v>
      </c>
      <c r="P549" s="59"/>
      <c r="Q549" s="124" t="e">
        <f>P549*#REF!</f>
        <v>#REF!</v>
      </c>
      <c r="R549" s="126">
        <v>45741</v>
      </c>
      <c r="S549" s="153">
        <f>IF(L549="","",L549-B549)</f>
        <v>3</v>
      </c>
      <c r="T549" s="153">
        <f>IF(N549="","",N549-L549)</f>
        <v>0</v>
      </c>
      <c r="U549" s="153">
        <f>IF(O549="","",O549-N549)</f>
        <v>1</v>
      </c>
      <c r="V549" s="154">
        <f>IF(O549="","",O549-B549)</f>
        <v>4</v>
      </c>
      <c r="W549" s="154">
        <f>IF(O549="","",O549-L549)</f>
        <v>1</v>
      </c>
      <c r="X549" s="154">
        <f>IF(R549="","",R549-B549)</f>
        <v>8</v>
      </c>
    </row>
    <row r="550" spans="2:32" ht="17.25" hidden="1" customHeight="1">
      <c r="B550" s="23">
        <v>45733</v>
      </c>
      <c r="C550" s="7">
        <v>2003616399</v>
      </c>
      <c r="D550" s="20">
        <v>121072</v>
      </c>
      <c r="E550" s="27" t="s">
        <v>191</v>
      </c>
      <c r="F550" s="7" t="s">
        <v>107</v>
      </c>
      <c r="G550" s="7" t="s">
        <v>18</v>
      </c>
      <c r="H550" s="7" t="s">
        <v>45</v>
      </c>
      <c r="I550" s="20" t="s">
        <v>1011</v>
      </c>
      <c r="J550" s="20" t="s">
        <v>1012</v>
      </c>
      <c r="K550" s="7" t="s">
        <v>119</v>
      </c>
      <c r="L550" s="61">
        <v>45735</v>
      </c>
      <c r="M550" s="7" t="s">
        <v>111</v>
      </c>
      <c r="N550" s="61">
        <v>45735</v>
      </c>
      <c r="O550" s="61">
        <v>45735</v>
      </c>
      <c r="P550" s="59"/>
      <c r="Q550" s="124" t="e">
        <f>P550*#REF!</f>
        <v>#REF!</v>
      </c>
      <c r="R550" s="126">
        <v>45736</v>
      </c>
      <c r="S550" s="153">
        <f>IF(L550="","",L550-B550)</f>
        <v>2</v>
      </c>
      <c r="T550" s="153">
        <f>IF(N550="","",N550-L550)</f>
        <v>0</v>
      </c>
      <c r="U550" s="153">
        <f>IF(O550="","",O550-N550)</f>
        <v>0</v>
      </c>
      <c r="V550" s="154">
        <f>IF(O550="","",O550-B550)</f>
        <v>2</v>
      </c>
      <c r="W550" s="154">
        <f>IF(O550="","",O550-L550)</f>
        <v>0</v>
      </c>
      <c r="X550" s="154">
        <f>IF(R550="","",R550-B550)</f>
        <v>3</v>
      </c>
    </row>
    <row r="551" spans="2:32" s="128" customFormat="1" ht="17.25" hidden="1" customHeight="1">
      <c r="B551" s="207">
        <v>45734</v>
      </c>
      <c r="C551" s="112">
        <v>2003567022</v>
      </c>
      <c r="D551" s="128">
        <v>122425</v>
      </c>
      <c r="E551" s="128" t="s">
        <v>265</v>
      </c>
      <c r="F551" s="112" t="s">
        <v>107</v>
      </c>
      <c r="G551" s="112" t="s">
        <v>18</v>
      </c>
      <c r="H551" s="112" t="s">
        <v>45</v>
      </c>
      <c r="I551" s="105" t="s">
        <v>1013</v>
      </c>
      <c r="J551" s="128" t="s">
        <v>1014</v>
      </c>
      <c r="K551" s="112" t="s">
        <v>110</v>
      </c>
      <c r="L551" s="209">
        <v>45735</v>
      </c>
      <c r="M551" s="112" t="s">
        <v>111</v>
      </c>
      <c r="N551" s="209">
        <v>45735</v>
      </c>
      <c r="O551" s="58">
        <v>45736</v>
      </c>
      <c r="P551" s="211"/>
      <c r="Q551" s="212" t="e">
        <f>P551*#REF!</f>
        <v>#REF!</v>
      </c>
      <c r="R551" s="126">
        <v>45741</v>
      </c>
      <c r="S551" s="153">
        <f>IF(L551="","",L551-B551)</f>
        <v>1</v>
      </c>
      <c r="T551" s="153">
        <f>IF(N551="","",N551-L551)</f>
        <v>0</v>
      </c>
      <c r="U551" s="153">
        <f>IF(O551="","",O551-N551)</f>
        <v>1</v>
      </c>
      <c r="V551" s="154">
        <f>IF(O551="","",O551-B551)</f>
        <v>2</v>
      </c>
      <c r="W551" s="154">
        <f>IF(O551="","",O551-L551)</f>
        <v>1</v>
      </c>
      <c r="X551" s="154">
        <f>IF(R551="","",R551-B551)</f>
        <v>7</v>
      </c>
      <c r="Y551" s="213"/>
      <c r="Z551" s="213"/>
      <c r="AA551" s="213"/>
      <c r="AB551" s="213"/>
      <c r="AC551" s="213"/>
      <c r="AD551" s="213"/>
      <c r="AE551" s="213"/>
      <c r="AF551" s="214"/>
    </row>
    <row r="552" spans="2:32" ht="17.25" hidden="1" customHeight="1">
      <c r="B552" s="23">
        <v>45734</v>
      </c>
      <c r="C552" s="7">
        <v>2003629252</v>
      </c>
      <c r="D552" s="20">
        <v>5836472</v>
      </c>
      <c r="E552" s="27" t="s">
        <v>129</v>
      </c>
      <c r="F552" s="7" t="s">
        <v>107</v>
      </c>
      <c r="G552" s="7" t="s">
        <v>18</v>
      </c>
      <c r="H552" s="7" t="s">
        <v>45</v>
      </c>
      <c r="I552" s="20" t="s">
        <v>1015</v>
      </c>
      <c r="J552" s="20" t="s">
        <v>1016</v>
      </c>
      <c r="K552" s="7" t="s">
        <v>122</v>
      </c>
      <c r="L552" s="61">
        <v>45737</v>
      </c>
      <c r="M552" s="7" t="s">
        <v>111</v>
      </c>
      <c r="N552" s="24">
        <v>45741</v>
      </c>
      <c r="O552" s="58">
        <v>45742</v>
      </c>
      <c r="P552" s="59"/>
      <c r="Q552" s="124" t="e">
        <f>P552*#REF!</f>
        <v>#REF!</v>
      </c>
      <c r="R552" s="126">
        <v>45742</v>
      </c>
      <c r="S552" s="153">
        <f>IF(L552="","",L552-B552)</f>
        <v>3</v>
      </c>
      <c r="T552" s="153">
        <f>IF(N552="","",N552-L552)</f>
        <v>4</v>
      </c>
      <c r="U552" s="153">
        <f>IF(O552="","",O552-N552)</f>
        <v>1</v>
      </c>
      <c r="V552" s="154">
        <f>IF(O552="","",O552-B552)</f>
        <v>8</v>
      </c>
      <c r="W552" s="154">
        <f>IF(O552="","",O552-L552)</f>
        <v>5</v>
      </c>
      <c r="X552" s="154">
        <f>IF(R552="","",R552-B552)</f>
        <v>8</v>
      </c>
    </row>
    <row r="553" spans="2:32" ht="17.25" hidden="1" customHeight="1">
      <c r="B553" s="23">
        <v>45734</v>
      </c>
      <c r="C553" s="7">
        <v>2003629132</v>
      </c>
      <c r="D553" s="20">
        <v>5836483</v>
      </c>
      <c r="E553" s="27" t="s">
        <v>135</v>
      </c>
      <c r="F553" s="7" t="s">
        <v>107</v>
      </c>
      <c r="G553" s="7" t="s">
        <v>15</v>
      </c>
      <c r="H553" s="7" t="s">
        <v>45</v>
      </c>
      <c r="I553" s="20" t="s">
        <v>1017</v>
      </c>
      <c r="J553" s="20" t="s">
        <v>1018</v>
      </c>
      <c r="K553" s="7" t="s">
        <v>122</v>
      </c>
      <c r="L553" s="61">
        <v>45741</v>
      </c>
      <c r="M553" s="7" t="s">
        <v>111</v>
      </c>
      <c r="N553" s="24">
        <v>45743</v>
      </c>
      <c r="O553" s="58">
        <v>45747</v>
      </c>
      <c r="P553" s="59"/>
      <c r="Q553" s="124" t="e">
        <f>P553*#REF!</f>
        <v>#REF!</v>
      </c>
      <c r="R553" s="126">
        <v>45747</v>
      </c>
      <c r="S553" s="153">
        <f>IF(L553="","",L553-B553)</f>
        <v>7</v>
      </c>
      <c r="T553" s="153">
        <f>IF(N553="","",N553-L553)</f>
        <v>2</v>
      </c>
      <c r="U553" s="153">
        <f>IF(O553="","",O553-N553)</f>
        <v>4</v>
      </c>
      <c r="V553" s="154">
        <f>IF(O553="","",O553-B553)</f>
        <v>13</v>
      </c>
      <c r="W553" s="154">
        <f>IF(O553="","",O553-L553)</f>
        <v>6</v>
      </c>
      <c r="X553" s="154">
        <f>IF(R553="","",R553-B553)</f>
        <v>13</v>
      </c>
    </row>
    <row r="554" spans="2:32" ht="17.25" hidden="1" customHeight="1">
      <c r="B554" s="23">
        <v>45734</v>
      </c>
      <c r="C554" s="7">
        <v>2003542491</v>
      </c>
      <c r="D554" s="20">
        <v>5836526</v>
      </c>
      <c r="E554" s="27" t="s">
        <v>106</v>
      </c>
      <c r="F554" s="7" t="s">
        <v>107</v>
      </c>
      <c r="G554" s="7" t="s">
        <v>10</v>
      </c>
      <c r="H554" s="7" t="s">
        <v>45</v>
      </c>
      <c r="I554" s="20" t="s">
        <v>415</v>
      </c>
      <c r="J554" s="20" t="s">
        <v>315</v>
      </c>
      <c r="K554" s="7" t="s">
        <v>122</v>
      </c>
      <c r="L554" s="61">
        <v>45735</v>
      </c>
      <c r="M554" s="7" t="s">
        <v>111</v>
      </c>
      <c r="N554" s="24">
        <v>45743</v>
      </c>
      <c r="O554" s="58">
        <v>45756</v>
      </c>
      <c r="P554" s="59"/>
      <c r="Q554" s="124" t="e">
        <f>P554*#REF!</f>
        <v>#REF!</v>
      </c>
      <c r="R554" s="126">
        <v>45758</v>
      </c>
      <c r="S554" s="153">
        <f>IF(L554="","",L554-B554)</f>
        <v>1</v>
      </c>
      <c r="T554" s="153">
        <f>IF(N554="","",N554-L554)</f>
        <v>8</v>
      </c>
      <c r="U554" s="153">
        <f>IF(O554="","",O554-N554)</f>
        <v>13</v>
      </c>
      <c r="V554" s="154">
        <f>IF(O554="","",O554-B554)</f>
        <v>22</v>
      </c>
      <c r="W554" s="154">
        <f>IF(O554="","",O554-L554)</f>
        <v>21</v>
      </c>
      <c r="X554" s="154">
        <f>IF(R554="","",R554-B554)</f>
        <v>24</v>
      </c>
    </row>
    <row r="555" spans="2:32" ht="17.25" hidden="1" customHeight="1">
      <c r="B555" s="23">
        <v>45734</v>
      </c>
      <c r="C555" s="7">
        <v>2003636352</v>
      </c>
      <c r="D555" s="20">
        <v>5836546</v>
      </c>
      <c r="E555" s="27" t="s">
        <v>116</v>
      </c>
      <c r="F555" s="7" t="s">
        <v>107</v>
      </c>
      <c r="G555" s="7" t="s">
        <v>10</v>
      </c>
      <c r="H555" s="7" t="s">
        <v>45</v>
      </c>
      <c r="I555" s="20" t="s">
        <v>1019</v>
      </c>
      <c r="J555" s="20" t="s">
        <v>1020</v>
      </c>
      <c r="K555" s="7" t="s">
        <v>119</v>
      </c>
      <c r="L555" s="61">
        <v>45737</v>
      </c>
      <c r="M555" s="7" t="s">
        <v>111</v>
      </c>
      <c r="N555" s="24">
        <v>45742</v>
      </c>
      <c r="O555" s="24">
        <v>45742</v>
      </c>
      <c r="P555" s="59"/>
      <c r="Q555" s="124" t="e">
        <f>P555*#REF!</f>
        <v>#REF!</v>
      </c>
      <c r="R555" s="126">
        <v>45742</v>
      </c>
      <c r="S555" s="153">
        <f>IF(L555="","",L555-B555)</f>
        <v>3</v>
      </c>
      <c r="T555" s="153">
        <f>IF(N555="","",N555-L555)</f>
        <v>5</v>
      </c>
      <c r="U555" s="153">
        <f>IF(O555="","",O555-N555)</f>
        <v>0</v>
      </c>
      <c r="V555" s="154">
        <f>IF(O555="","",O555-B555)</f>
        <v>8</v>
      </c>
      <c r="W555" s="154">
        <f>IF(O555="","",O555-L555)</f>
        <v>5</v>
      </c>
      <c r="X555" s="154">
        <f>IF(R555="","",R555-B555)</f>
        <v>8</v>
      </c>
    </row>
    <row r="556" spans="2:32" ht="17.25" hidden="1" customHeight="1">
      <c r="B556" s="23">
        <v>45734</v>
      </c>
      <c r="C556" s="7">
        <v>2003632146</v>
      </c>
      <c r="D556" s="20">
        <v>5836547</v>
      </c>
      <c r="E556" s="27" t="s">
        <v>888</v>
      </c>
      <c r="F556" s="7" t="s">
        <v>107</v>
      </c>
      <c r="G556" s="7" t="s">
        <v>21</v>
      </c>
      <c r="H556" s="7" t="s">
        <v>45</v>
      </c>
      <c r="I556" s="20" t="s">
        <v>400</v>
      </c>
      <c r="J556" s="20" t="s">
        <v>401</v>
      </c>
      <c r="K556" s="7" t="s">
        <v>111</v>
      </c>
      <c r="L556" s="61">
        <v>45735</v>
      </c>
      <c r="M556" s="7" t="s">
        <v>111</v>
      </c>
      <c r="N556" s="24">
        <v>45741</v>
      </c>
      <c r="O556" s="24">
        <v>45741</v>
      </c>
      <c r="P556" s="59"/>
      <c r="Q556" s="124" t="e">
        <f>P556*#REF!</f>
        <v>#REF!</v>
      </c>
      <c r="R556" s="126">
        <v>45742</v>
      </c>
      <c r="S556" s="153">
        <f>IF(L556="","",L556-B556)</f>
        <v>1</v>
      </c>
      <c r="T556" s="153">
        <f>IF(N556="","",N556-L556)</f>
        <v>6</v>
      </c>
      <c r="U556" s="153">
        <f>IF(O556="","",O556-N556)</f>
        <v>0</v>
      </c>
      <c r="V556" s="154">
        <f>IF(O556="","",O556-B556)</f>
        <v>7</v>
      </c>
      <c r="W556" s="154">
        <f>IF(O556="","",O556-L556)</f>
        <v>6</v>
      </c>
      <c r="X556" s="154">
        <f>IF(R556="","",R556-B556)</f>
        <v>8</v>
      </c>
    </row>
    <row r="557" spans="2:32" ht="17.25" hidden="1" customHeight="1">
      <c r="B557" s="23">
        <v>45734</v>
      </c>
      <c r="C557" s="7">
        <v>2003633864</v>
      </c>
      <c r="D557" s="20">
        <v>5836596</v>
      </c>
      <c r="E557" s="27" t="s">
        <v>265</v>
      </c>
      <c r="F557" s="7" t="s">
        <v>107</v>
      </c>
      <c r="G557" s="7" t="s">
        <v>15</v>
      </c>
      <c r="H557" s="7" t="s">
        <v>45</v>
      </c>
      <c r="I557" s="20" t="s">
        <v>1021</v>
      </c>
      <c r="J557" s="20" t="s">
        <v>1022</v>
      </c>
      <c r="K557" s="7" t="s">
        <v>119</v>
      </c>
      <c r="L557" s="61">
        <v>45737</v>
      </c>
      <c r="M557" s="7" t="s">
        <v>111</v>
      </c>
      <c r="N557" s="24">
        <v>45741</v>
      </c>
      <c r="O557" s="24">
        <v>45741</v>
      </c>
      <c r="P557" s="59">
        <v>123</v>
      </c>
      <c r="Q557" s="124" t="e">
        <f>P557*#REF!</f>
        <v>#REF!</v>
      </c>
      <c r="R557" s="126">
        <v>45741</v>
      </c>
      <c r="S557" s="153">
        <f>IF(L557="","",L557-B557)</f>
        <v>3</v>
      </c>
      <c r="T557" s="153">
        <f>IF(N557="","",N557-L557)</f>
        <v>4</v>
      </c>
      <c r="U557" s="153">
        <f>IF(O557="","",O557-N557)</f>
        <v>0</v>
      </c>
      <c r="V557" s="154">
        <f>IF(O557="","",O557-B557)</f>
        <v>7</v>
      </c>
      <c r="W557" s="154">
        <f>IF(O557="","",O557-L557)</f>
        <v>4</v>
      </c>
      <c r="X557" s="154">
        <f>IF(R557="","",R557-B557)</f>
        <v>7</v>
      </c>
    </row>
    <row r="558" spans="2:32" ht="17.25" hidden="1" customHeight="1">
      <c r="B558" s="23">
        <v>45734</v>
      </c>
      <c r="C558" s="7">
        <v>2003617562</v>
      </c>
      <c r="D558" s="20">
        <v>5836623</v>
      </c>
      <c r="E558" s="27" t="s">
        <v>201</v>
      </c>
      <c r="F558" s="7" t="s">
        <v>107</v>
      </c>
      <c r="G558" s="7" t="s">
        <v>10</v>
      </c>
      <c r="H558" s="7" t="s">
        <v>45</v>
      </c>
      <c r="I558" s="20" t="s">
        <v>1023</v>
      </c>
      <c r="J558" s="20" t="s">
        <v>1024</v>
      </c>
      <c r="K558" s="7" t="s">
        <v>119</v>
      </c>
      <c r="L558" s="61">
        <v>45741</v>
      </c>
      <c r="M558" s="7" t="s">
        <v>111</v>
      </c>
      <c r="N558" s="61">
        <v>45741</v>
      </c>
      <c r="O558" s="61">
        <v>45741</v>
      </c>
      <c r="P558" s="59">
        <v>157</v>
      </c>
      <c r="Q558" s="124" t="e">
        <f>P558*#REF!</f>
        <v>#REF!</v>
      </c>
      <c r="R558" s="126">
        <v>45742</v>
      </c>
      <c r="S558" s="153">
        <f>IF(L558="","",L558-B558)</f>
        <v>7</v>
      </c>
      <c r="T558" s="153">
        <f>IF(N558="","",N558-L558)</f>
        <v>0</v>
      </c>
      <c r="U558" s="153">
        <f>IF(O558="","",O558-N558)</f>
        <v>0</v>
      </c>
      <c r="V558" s="154">
        <f>IF(O558="","",O558-B558)</f>
        <v>7</v>
      </c>
      <c r="W558" s="154">
        <f>IF(O558="","",O558-L558)</f>
        <v>0</v>
      </c>
      <c r="X558" s="154">
        <f>IF(R558="","",R558-B558)</f>
        <v>8</v>
      </c>
    </row>
    <row r="559" spans="2:32" ht="17.25" hidden="1" customHeight="1">
      <c r="B559" s="23">
        <v>45734</v>
      </c>
      <c r="C559" s="7">
        <v>2003620960</v>
      </c>
      <c r="D559" s="20">
        <v>5836641</v>
      </c>
      <c r="E559" s="27" t="s">
        <v>129</v>
      </c>
      <c r="F559" s="7" t="s">
        <v>107</v>
      </c>
      <c r="G559" s="7" t="s">
        <v>30</v>
      </c>
      <c r="H559" s="7" t="s">
        <v>45</v>
      </c>
      <c r="I559" s="20" t="s">
        <v>400</v>
      </c>
      <c r="J559" s="20" t="s">
        <v>401</v>
      </c>
      <c r="K559" s="7" t="s">
        <v>111</v>
      </c>
      <c r="L559" s="61">
        <v>45735</v>
      </c>
      <c r="M559" s="7" t="s">
        <v>111</v>
      </c>
      <c r="N559" s="61">
        <v>45735</v>
      </c>
      <c r="O559" s="58">
        <v>45769</v>
      </c>
      <c r="P559" s="59"/>
      <c r="Q559" s="124" t="e">
        <f>P559*#REF!</f>
        <v>#REF!</v>
      </c>
      <c r="R559" s="126">
        <v>45770</v>
      </c>
      <c r="S559" s="153">
        <f>IF(L559="","",L559-B559)</f>
        <v>1</v>
      </c>
      <c r="T559" s="153">
        <f>IF(N559="","",N559-L559)</f>
        <v>0</v>
      </c>
      <c r="U559" s="153">
        <f>IF(O559="","",O559-N559)</f>
        <v>34</v>
      </c>
      <c r="V559" s="154">
        <f>IF(O559="","",O559-B559)</f>
        <v>35</v>
      </c>
      <c r="W559" s="154">
        <f>IF(O559="","",O559-L559)</f>
        <v>34</v>
      </c>
      <c r="X559" s="154">
        <f>IF(R559="","",R559-B559)</f>
        <v>36</v>
      </c>
    </row>
    <row r="560" spans="2:32" ht="17.25" hidden="1" customHeight="1">
      <c r="B560" s="23">
        <v>45734</v>
      </c>
      <c r="C560" s="7">
        <v>2003591667</v>
      </c>
      <c r="D560" s="20">
        <v>5836678</v>
      </c>
      <c r="E560" s="27" t="s">
        <v>143</v>
      </c>
      <c r="F560" s="7" t="s">
        <v>107</v>
      </c>
      <c r="G560" s="7" t="s">
        <v>18</v>
      </c>
      <c r="H560" s="7" t="s">
        <v>45</v>
      </c>
      <c r="I560" s="20" t="s">
        <v>503</v>
      </c>
      <c r="J560" s="20" t="s">
        <v>504</v>
      </c>
      <c r="K560" s="7" t="s">
        <v>122</v>
      </c>
      <c r="L560" s="61">
        <v>45748</v>
      </c>
      <c r="M560" s="7" t="s">
        <v>111</v>
      </c>
      <c r="N560" s="61">
        <v>45750</v>
      </c>
      <c r="O560" s="58">
        <v>45755</v>
      </c>
      <c r="P560" s="59"/>
      <c r="Q560" s="124" t="e">
        <f>P560*#REF!</f>
        <v>#REF!</v>
      </c>
      <c r="R560" s="126">
        <v>45755</v>
      </c>
      <c r="S560" s="153">
        <f>IF(L560="","",L560-B560)</f>
        <v>14</v>
      </c>
      <c r="T560" s="153">
        <f>IF(N560="","",N560-L560)</f>
        <v>2</v>
      </c>
      <c r="U560" s="153">
        <f>IF(O560="","",O560-N560)</f>
        <v>5</v>
      </c>
      <c r="V560" s="154">
        <f>IF(O560="","",O560-B560)</f>
        <v>21</v>
      </c>
      <c r="W560" s="154">
        <f>IF(O560="","",O560-L560)</f>
        <v>7</v>
      </c>
      <c r="X560" s="154">
        <f>IF(R560="","",R560-B560)</f>
        <v>21</v>
      </c>
    </row>
    <row r="561" spans="2:24" ht="17.25" hidden="1" customHeight="1">
      <c r="B561" s="23">
        <v>45734</v>
      </c>
      <c r="C561" s="7">
        <v>2003627457</v>
      </c>
      <c r="D561" s="20">
        <v>5836824</v>
      </c>
      <c r="E561" s="27" t="s">
        <v>116</v>
      </c>
      <c r="F561" s="7" t="s">
        <v>107</v>
      </c>
      <c r="G561" s="7" t="s">
        <v>10</v>
      </c>
      <c r="H561" s="7" t="s">
        <v>45</v>
      </c>
      <c r="I561" s="20" t="s">
        <v>268</v>
      </c>
      <c r="J561" s="20" t="s">
        <v>1025</v>
      </c>
      <c r="K561" s="7" t="s">
        <v>119</v>
      </c>
      <c r="L561" s="61">
        <v>45736</v>
      </c>
      <c r="M561" s="7" t="s">
        <v>111</v>
      </c>
      <c r="N561" s="61">
        <v>45736</v>
      </c>
      <c r="O561" s="58">
        <v>45747</v>
      </c>
      <c r="P561" s="59"/>
      <c r="Q561" s="124" t="e">
        <f>P561*#REF!</f>
        <v>#REF!</v>
      </c>
      <c r="R561" s="126">
        <v>45747</v>
      </c>
      <c r="S561" s="153">
        <f>IF(L561="","",L561-B561)</f>
        <v>2</v>
      </c>
      <c r="T561" s="153">
        <f>IF(N561="","",N561-L561)</f>
        <v>0</v>
      </c>
      <c r="U561" s="153">
        <f>IF(O561="","",O561-N561)</f>
        <v>11</v>
      </c>
      <c r="V561" s="154">
        <f>IF(O561="","",O561-B561)</f>
        <v>13</v>
      </c>
      <c r="W561" s="154">
        <f>IF(O561="","",O561-L561)</f>
        <v>11</v>
      </c>
      <c r="X561" s="154">
        <f>IF(R561="","",R561-B561)</f>
        <v>13</v>
      </c>
    </row>
    <row r="562" spans="2:24" ht="17.25" hidden="1" customHeight="1">
      <c r="B562" s="23">
        <v>45734</v>
      </c>
      <c r="C562" s="7">
        <v>2003364234</v>
      </c>
      <c r="D562" s="20">
        <v>5836971</v>
      </c>
      <c r="E562" s="27" t="s">
        <v>191</v>
      </c>
      <c r="F562" s="7" t="s">
        <v>107</v>
      </c>
      <c r="G562" s="7" t="s">
        <v>10</v>
      </c>
      <c r="H562" s="7" t="s">
        <v>45</v>
      </c>
      <c r="I562" s="20" t="s">
        <v>1026</v>
      </c>
      <c r="J562" s="20" t="s">
        <v>1027</v>
      </c>
      <c r="K562" s="7" t="s">
        <v>110</v>
      </c>
      <c r="L562" s="61">
        <v>45736</v>
      </c>
      <c r="M562" s="7" t="s">
        <v>111</v>
      </c>
      <c r="N562" s="61">
        <v>45736</v>
      </c>
      <c r="O562" s="58">
        <v>45737</v>
      </c>
      <c r="P562" s="59"/>
      <c r="Q562" s="124" t="e">
        <f>P562*#REF!</f>
        <v>#REF!</v>
      </c>
      <c r="R562" s="126">
        <v>45741</v>
      </c>
      <c r="S562" s="153">
        <f>IF(L562="","",L562-B562)</f>
        <v>2</v>
      </c>
      <c r="T562" s="153">
        <f>IF(N562="","",N562-L562)</f>
        <v>0</v>
      </c>
      <c r="U562" s="153">
        <f>IF(O562="","",O562-N562)</f>
        <v>1</v>
      </c>
      <c r="V562" s="154">
        <f>IF(O562="","",O562-B562)</f>
        <v>3</v>
      </c>
      <c r="W562" s="154">
        <f>IF(O562="","",O562-L562)</f>
        <v>1</v>
      </c>
      <c r="X562" s="154">
        <f>IF(R562="","",R562-B562)</f>
        <v>7</v>
      </c>
    </row>
    <row r="563" spans="2:24" ht="17.25" hidden="1" customHeight="1">
      <c r="B563" s="23">
        <v>45734</v>
      </c>
      <c r="C563" s="7">
        <v>2003548253</v>
      </c>
      <c r="D563" s="20">
        <v>5836992</v>
      </c>
      <c r="E563" s="27" t="s">
        <v>138</v>
      </c>
      <c r="F563" s="7" t="s">
        <v>107</v>
      </c>
      <c r="G563" s="7" t="s">
        <v>21</v>
      </c>
      <c r="H563" s="7" t="s">
        <v>45</v>
      </c>
      <c r="I563" s="20" t="s">
        <v>1028</v>
      </c>
      <c r="J563" s="20" t="s">
        <v>1029</v>
      </c>
      <c r="K563" s="7" t="s">
        <v>111</v>
      </c>
      <c r="L563" s="61">
        <v>45735</v>
      </c>
      <c r="M563" s="7" t="s">
        <v>111</v>
      </c>
      <c r="N563" s="61">
        <v>45745</v>
      </c>
      <c r="O563" s="58">
        <v>45747</v>
      </c>
      <c r="P563" s="59"/>
      <c r="Q563" s="124" t="e">
        <f>P563*#REF!</f>
        <v>#REF!</v>
      </c>
      <c r="R563" s="126">
        <v>45747</v>
      </c>
      <c r="S563" s="153">
        <f>IF(L563="","",L563-B563)</f>
        <v>1</v>
      </c>
      <c r="T563" s="153">
        <f>IF(N563="","",N563-L563)</f>
        <v>10</v>
      </c>
      <c r="U563" s="153">
        <f>IF(O563="","",O563-N563)</f>
        <v>2</v>
      </c>
      <c r="V563" s="154">
        <f>IF(O563="","",O563-B563)</f>
        <v>13</v>
      </c>
      <c r="W563" s="154">
        <f>IF(O563="","",O563-L563)</f>
        <v>12</v>
      </c>
      <c r="X563" s="154">
        <f>IF(R563="","",R563-B563)</f>
        <v>13</v>
      </c>
    </row>
    <row r="564" spans="2:24" ht="17.25" hidden="1" customHeight="1">
      <c r="B564" s="23">
        <v>45734</v>
      </c>
      <c r="C564" s="7">
        <v>2003633867</v>
      </c>
      <c r="D564" s="20">
        <v>5836999</v>
      </c>
      <c r="E564" s="27" t="s">
        <v>198</v>
      </c>
      <c r="F564" s="7" t="s">
        <v>107</v>
      </c>
      <c r="G564" s="7" t="s">
        <v>10</v>
      </c>
      <c r="H564" s="7" t="s">
        <v>45</v>
      </c>
      <c r="I564" s="20" t="s">
        <v>1005</v>
      </c>
      <c r="J564" s="20" t="s">
        <v>1030</v>
      </c>
      <c r="K564" s="7" t="s">
        <v>119</v>
      </c>
      <c r="L564" s="61">
        <v>45741</v>
      </c>
      <c r="M564" s="7" t="s">
        <v>111</v>
      </c>
      <c r="N564" s="61">
        <v>45741</v>
      </c>
      <c r="O564" s="24">
        <v>45743</v>
      </c>
      <c r="P564" s="59"/>
      <c r="Q564" s="124" t="e">
        <f>P564*#REF!</f>
        <v>#REF!</v>
      </c>
      <c r="R564" s="126">
        <v>45743</v>
      </c>
      <c r="S564" s="153">
        <f>IF(L564="","",L564-B564)</f>
        <v>7</v>
      </c>
      <c r="T564" s="153">
        <f>IF(N564="","",N564-L564)</f>
        <v>0</v>
      </c>
      <c r="U564" s="153">
        <f>IF(O564="","",O564-N564)</f>
        <v>2</v>
      </c>
      <c r="V564" s="154">
        <f>IF(O564="","",O564-B564)</f>
        <v>9</v>
      </c>
      <c r="W564" s="154">
        <f>IF(O564="","",O564-L564)</f>
        <v>2</v>
      </c>
      <c r="X564" s="154">
        <f>IF(R564="","",R564-B564)</f>
        <v>9</v>
      </c>
    </row>
    <row r="565" spans="2:24" ht="17.25" hidden="1" customHeight="1">
      <c r="B565" s="23">
        <v>45735</v>
      </c>
      <c r="C565" s="7">
        <v>2003588453</v>
      </c>
      <c r="D565" s="20">
        <v>246560</v>
      </c>
      <c r="E565" s="27" t="s">
        <v>1031</v>
      </c>
      <c r="F565" s="7" t="s">
        <v>107</v>
      </c>
      <c r="G565" s="7" t="s">
        <v>18</v>
      </c>
      <c r="H565" s="7" t="s">
        <v>45</v>
      </c>
      <c r="I565" s="20" t="s">
        <v>631</v>
      </c>
      <c r="J565" s="20" t="s">
        <v>1032</v>
      </c>
      <c r="K565" s="7" t="s">
        <v>110</v>
      </c>
      <c r="L565" s="61">
        <v>45741</v>
      </c>
      <c r="M565" s="7" t="s">
        <v>111</v>
      </c>
      <c r="N565" s="24">
        <v>45763</v>
      </c>
      <c r="O565" s="58">
        <v>45765</v>
      </c>
      <c r="P565" s="59"/>
      <c r="Q565" s="124" t="e">
        <f>P565*#REF!</f>
        <v>#REF!</v>
      </c>
      <c r="R565" s="126">
        <v>45765</v>
      </c>
      <c r="S565" s="153">
        <f>IF(L565="","",L565-B565)</f>
        <v>6</v>
      </c>
      <c r="T565" s="153">
        <f>IF(N565="","",N565-L565)</f>
        <v>22</v>
      </c>
      <c r="U565" s="153">
        <f>IF(O565="","",O565-N565)</f>
        <v>2</v>
      </c>
      <c r="V565" s="154">
        <f>IF(O565="","",O565-B565)</f>
        <v>30</v>
      </c>
      <c r="W565" s="154">
        <f>IF(O565="","",O565-L565)</f>
        <v>24</v>
      </c>
      <c r="X565" s="154">
        <f>IF(R565="","",R565-B565)</f>
        <v>30</v>
      </c>
    </row>
    <row r="566" spans="2:24" ht="17.25" hidden="1" customHeight="1">
      <c r="B566" s="23">
        <v>45735</v>
      </c>
      <c r="C566" s="7">
        <v>2003567955</v>
      </c>
      <c r="E566" s="27" t="s">
        <v>138</v>
      </c>
      <c r="F566" s="7" t="s">
        <v>107</v>
      </c>
      <c r="G566" s="7" t="s">
        <v>21</v>
      </c>
      <c r="H566" s="7" t="s">
        <v>45</v>
      </c>
      <c r="I566" s="20" t="s">
        <v>371</v>
      </c>
      <c r="J566" s="20" t="s">
        <v>372</v>
      </c>
      <c r="K566" s="7" t="s">
        <v>110</v>
      </c>
      <c r="L566" s="61">
        <v>45736</v>
      </c>
      <c r="M566" s="7" t="s">
        <v>111</v>
      </c>
      <c r="N566" s="24">
        <v>45736</v>
      </c>
      <c r="O566" s="58">
        <v>45737</v>
      </c>
      <c r="P566" s="59"/>
      <c r="Q566" s="124" t="e">
        <f>P566*#REF!</f>
        <v>#REF!</v>
      </c>
      <c r="R566" s="126">
        <v>45741</v>
      </c>
      <c r="S566" s="153">
        <f>IF(L566="","",L566-B566)</f>
        <v>1</v>
      </c>
      <c r="T566" s="153">
        <f>IF(N566="","",N566-L566)</f>
        <v>0</v>
      </c>
      <c r="U566" s="153">
        <f>IF(O566="","",O566-N566)</f>
        <v>1</v>
      </c>
      <c r="V566" s="154">
        <f>IF(O566="","",O566-B566)</f>
        <v>2</v>
      </c>
      <c r="W566" s="154">
        <f>IF(O566="","",O566-L566)</f>
        <v>1</v>
      </c>
      <c r="X566" s="154">
        <f>IF(R566="","",R566-B566)</f>
        <v>6</v>
      </c>
    </row>
    <row r="567" spans="2:24" ht="17.25" hidden="1" customHeight="1">
      <c r="B567" s="23">
        <v>45735</v>
      </c>
      <c r="C567" s="7">
        <v>2003626190</v>
      </c>
      <c r="D567" s="20">
        <v>5837227</v>
      </c>
      <c r="E567" s="27" t="s">
        <v>123</v>
      </c>
      <c r="F567" s="7" t="s">
        <v>107</v>
      </c>
      <c r="G567" s="7" t="s">
        <v>10</v>
      </c>
      <c r="H567" s="7" t="s">
        <v>45</v>
      </c>
      <c r="I567" s="20" t="s">
        <v>1033</v>
      </c>
      <c r="J567" s="20" t="s">
        <v>1034</v>
      </c>
      <c r="K567" s="7" t="s">
        <v>119</v>
      </c>
      <c r="L567" s="61">
        <v>45741</v>
      </c>
      <c r="M567" s="7" t="s">
        <v>111</v>
      </c>
      <c r="N567" s="24">
        <v>45741</v>
      </c>
      <c r="O567" s="58">
        <v>45743</v>
      </c>
      <c r="P567" s="59"/>
      <c r="Q567" s="124" t="e">
        <f>P567*#REF!</f>
        <v>#REF!</v>
      </c>
      <c r="R567" s="126">
        <v>45743</v>
      </c>
      <c r="S567" s="153">
        <f>IF(L567="","",L567-B567)</f>
        <v>6</v>
      </c>
      <c r="T567" s="153">
        <f>IF(N567="","",N567-L567)</f>
        <v>0</v>
      </c>
      <c r="U567" s="153">
        <f>IF(O567="","",O567-N567)</f>
        <v>2</v>
      </c>
      <c r="V567" s="154">
        <f>IF(O567="","",O567-B567)</f>
        <v>8</v>
      </c>
      <c r="W567" s="154">
        <f>IF(O567="","",O567-L567)</f>
        <v>2</v>
      </c>
      <c r="X567" s="154">
        <f>IF(R567="","",R567-B567)</f>
        <v>8</v>
      </c>
    </row>
    <row r="568" spans="2:24" ht="17.25" hidden="1" customHeight="1">
      <c r="B568" s="23">
        <v>45735</v>
      </c>
      <c r="C568" s="7">
        <v>2003624163</v>
      </c>
      <c r="D568" s="20">
        <v>5837260</v>
      </c>
      <c r="E568" s="27" t="s">
        <v>116</v>
      </c>
      <c r="F568" s="7" t="s">
        <v>107</v>
      </c>
      <c r="G568" s="7" t="s">
        <v>18</v>
      </c>
      <c r="H568" s="7" t="s">
        <v>45</v>
      </c>
      <c r="I568" s="20" t="s">
        <v>938</v>
      </c>
      <c r="J568" s="20" t="s">
        <v>939</v>
      </c>
      <c r="K568" s="7" t="s">
        <v>119</v>
      </c>
      <c r="L568" s="61">
        <v>45737</v>
      </c>
      <c r="M568" s="7" t="s">
        <v>111</v>
      </c>
      <c r="N568" s="61">
        <v>45737</v>
      </c>
      <c r="O568" s="61">
        <v>45737</v>
      </c>
      <c r="P568" s="59"/>
      <c r="Q568" s="124" t="e">
        <f>P568*#REF!</f>
        <v>#REF!</v>
      </c>
      <c r="R568" s="126">
        <v>45741</v>
      </c>
      <c r="S568" s="153">
        <f>IF(L568="","",L568-B568)</f>
        <v>2</v>
      </c>
      <c r="T568" s="153">
        <f>IF(N568="","",N568-L568)</f>
        <v>0</v>
      </c>
      <c r="U568" s="153">
        <f>IF(O568="","",O568-N568)</f>
        <v>0</v>
      </c>
      <c r="V568" s="154">
        <f>IF(O568="","",O568-B568)</f>
        <v>2</v>
      </c>
      <c r="W568" s="154">
        <f>IF(O568="","",O568-L568)</f>
        <v>0</v>
      </c>
      <c r="X568" s="154">
        <f>IF(R568="","",R568-B568)</f>
        <v>6</v>
      </c>
    </row>
    <row r="569" spans="2:24" ht="17.25" hidden="1" customHeight="1">
      <c r="B569" s="23">
        <v>45735</v>
      </c>
      <c r="C569" s="215">
        <v>2003490114</v>
      </c>
      <c r="D569" s="20">
        <v>5837742</v>
      </c>
      <c r="E569" s="27" t="s">
        <v>126</v>
      </c>
      <c r="F569" s="7" t="s">
        <v>107</v>
      </c>
      <c r="G569" s="7" t="s">
        <v>10</v>
      </c>
      <c r="H569" s="7" t="s">
        <v>45</v>
      </c>
      <c r="I569" s="20" t="s">
        <v>1035</v>
      </c>
      <c r="J569" s="20" t="s">
        <v>1027</v>
      </c>
      <c r="K569" s="7" t="s">
        <v>110</v>
      </c>
      <c r="L569" s="61">
        <v>45736</v>
      </c>
      <c r="M569" s="7" t="s">
        <v>111</v>
      </c>
      <c r="N569" s="61">
        <v>45736</v>
      </c>
      <c r="O569" s="58">
        <v>45737</v>
      </c>
      <c r="P569" s="59"/>
      <c r="Q569" s="124" t="e">
        <f>P569*#REF!</f>
        <v>#REF!</v>
      </c>
      <c r="R569" s="126">
        <v>45741</v>
      </c>
      <c r="S569" s="153">
        <f>IF(L569="","",L569-B569)</f>
        <v>1</v>
      </c>
      <c r="T569" s="153">
        <f>IF(N569="","",N569-L569)</f>
        <v>0</v>
      </c>
      <c r="U569" s="153">
        <f>IF(O569="","",O569-N569)</f>
        <v>1</v>
      </c>
      <c r="V569" s="154">
        <f>IF(O569="","",O569-B569)</f>
        <v>2</v>
      </c>
      <c r="W569" s="154">
        <f>IF(O569="","",O569-L569)</f>
        <v>1</v>
      </c>
      <c r="X569" s="154">
        <f>IF(R569="","",R569-B569)</f>
        <v>6</v>
      </c>
    </row>
    <row r="570" spans="2:24" ht="17.25" hidden="1" customHeight="1">
      <c r="B570" s="23">
        <v>45735</v>
      </c>
      <c r="C570" s="7">
        <v>2003617127</v>
      </c>
      <c r="D570" s="20">
        <v>5837835</v>
      </c>
      <c r="E570" s="27" t="s">
        <v>123</v>
      </c>
      <c r="F570" s="7" t="s">
        <v>107</v>
      </c>
      <c r="G570" s="7" t="s">
        <v>10</v>
      </c>
      <c r="H570" s="7" t="s">
        <v>45</v>
      </c>
      <c r="I570" s="20" t="s">
        <v>381</v>
      </c>
      <c r="J570" s="20" t="s">
        <v>382</v>
      </c>
      <c r="K570" s="7" t="s">
        <v>119</v>
      </c>
      <c r="L570" s="61">
        <v>45742</v>
      </c>
      <c r="M570" s="7" t="s">
        <v>111</v>
      </c>
      <c r="N570" s="24">
        <v>45743</v>
      </c>
      <c r="O570" s="58">
        <v>45743</v>
      </c>
      <c r="P570" s="59">
        <v>75.8</v>
      </c>
      <c r="Q570" s="124" t="e">
        <f>P570*#REF!</f>
        <v>#REF!</v>
      </c>
      <c r="R570" s="126">
        <v>45744</v>
      </c>
      <c r="S570" s="153">
        <f>IF(L570="","",L570-B570)</f>
        <v>7</v>
      </c>
      <c r="T570" s="153">
        <f>IF(N570="","",N570-L570)</f>
        <v>1</v>
      </c>
      <c r="U570" s="153">
        <f>IF(O570="","",O570-N570)</f>
        <v>0</v>
      </c>
      <c r="V570" s="154">
        <f>IF(O570="","",O570-B570)</f>
        <v>8</v>
      </c>
      <c r="W570" s="154">
        <f>IF(O570="","",O570-L570)</f>
        <v>1</v>
      </c>
      <c r="X570" s="154">
        <f>IF(R570="","",R570-B570)</f>
        <v>9</v>
      </c>
    </row>
    <row r="571" spans="2:24" ht="17.25" hidden="1" customHeight="1">
      <c r="B571" s="23">
        <v>45735</v>
      </c>
      <c r="C571" s="7">
        <v>2003634769</v>
      </c>
      <c r="D571" s="20">
        <v>5837866</v>
      </c>
      <c r="E571" s="27" t="s">
        <v>143</v>
      </c>
      <c r="F571" s="7" t="s">
        <v>107</v>
      </c>
      <c r="G571" s="7" t="s">
        <v>10</v>
      </c>
      <c r="H571" s="7" t="s">
        <v>45</v>
      </c>
      <c r="I571" s="20" t="s">
        <v>1036</v>
      </c>
      <c r="J571" s="20" t="s">
        <v>1037</v>
      </c>
      <c r="K571" s="7" t="s">
        <v>110</v>
      </c>
      <c r="L571" s="61">
        <v>45743</v>
      </c>
      <c r="M571" s="7" t="s">
        <v>111</v>
      </c>
      <c r="N571" s="61">
        <v>45742</v>
      </c>
      <c r="O571" s="61">
        <v>45742</v>
      </c>
      <c r="P571" s="59">
        <v>92.1</v>
      </c>
      <c r="Q571" s="124" t="e">
        <f>P571*#REF!</f>
        <v>#REF!</v>
      </c>
      <c r="R571" s="126">
        <v>45743</v>
      </c>
      <c r="S571" s="153">
        <f>IF(L571="","",L571-B571)</f>
        <v>8</v>
      </c>
      <c r="T571" s="153">
        <f>IF(N571="","",N571-L571)</f>
        <v>-1</v>
      </c>
      <c r="U571" s="153">
        <f>IF(O571="","",O571-N571)</f>
        <v>0</v>
      </c>
      <c r="V571" s="154">
        <f>IF(O571="","",O571-B571)</f>
        <v>7</v>
      </c>
      <c r="W571" s="154">
        <f>IF(O571="","",O571-L571)</f>
        <v>-1</v>
      </c>
      <c r="X571" s="154">
        <f>IF(R571="","",R571-B571)</f>
        <v>8</v>
      </c>
    </row>
    <row r="572" spans="2:24" ht="17.25" hidden="1" customHeight="1">
      <c r="B572" s="23">
        <v>45735</v>
      </c>
      <c r="C572" s="7">
        <v>2003630973</v>
      </c>
      <c r="D572" s="20">
        <v>5837931</v>
      </c>
      <c r="E572" s="27" t="s">
        <v>191</v>
      </c>
      <c r="F572" s="7" t="s">
        <v>107</v>
      </c>
      <c r="G572" s="7" t="s">
        <v>10</v>
      </c>
      <c r="H572" s="7" t="s">
        <v>45</v>
      </c>
      <c r="I572" s="20" t="s">
        <v>1038</v>
      </c>
      <c r="J572" s="20" t="s">
        <v>1039</v>
      </c>
      <c r="K572" s="7" t="s">
        <v>119</v>
      </c>
      <c r="L572" s="61">
        <v>45742</v>
      </c>
      <c r="M572" s="7" t="s">
        <v>111</v>
      </c>
      <c r="N572" s="24">
        <v>45745</v>
      </c>
      <c r="O572" s="24">
        <v>45745</v>
      </c>
      <c r="P572" s="59"/>
      <c r="Q572" s="124" t="e">
        <f>P572*#REF!</f>
        <v>#REF!</v>
      </c>
      <c r="R572" s="126">
        <v>45747</v>
      </c>
      <c r="S572" s="153">
        <f>IF(L572="","",L572-B572)</f>
        <v>7</v>
      </c>
      <c r="T572" s="153">
        <f>IF(N572="","",N572-L572)</f>
        <v>3</v>
      </c>
      <c r="U572" s="153">
        <f>IF(O572="","",O572-N572)</f>
        <v>0</v>
      </c>
      <c r="V572" s="154">
        <f>IF(O572="","",O572-B572)</f>
        <v>10</v>
      </c>
      <c r="W572" s="154">
        <f>IF(O572="","",O572-L572)</f>
        <v>3</v>
      </c>
      <c r="X572" s="154">
        <f>IF(R572="","",R572-B572)</f>
        <v>12</v>
      </c>
    </row>
    <row r="573" spans="2:24" ht="17.25" hidden="1" customHeight="1">
      <c r="B573" s="23">
        <v>45735</v>
      </c>
      <c r="C573" s="7">
        <v>2003638016</v>
      </c>
      <c r="D573" s="20">
        <v>5838028</v>
      </c>
      <c r="E573" s="27" t="s">
        <v>123</v>
      </c>
      <c r="F573" s="7" t="s">
        <v>107</v>
      </c>
      <c r="G573" s="7" t="s">
        <v>18</v>
      </c>
      <c r="H573" s="7" t="s">
        <v>45</v>
      </c>
      <c r="I573" s="20" t="s">
        <v>1040</v>
      </c>
      <c r="J573" s="20" t="s">
        <v>1041</v>
      </c>
      <c r="K573" s="7" t="s">
        <v>122</v>
      </c>
      <c r="L573" s="61">
        <v>45737</v>
      </c>
      <c r="M573" s="7" t="s">
        <v>111</v>
      </c>
      <c r="N573" s="24">
        <v>45741</v>
      </c>
      <c r="O573" s="58">
        <v>45742</v>
      </c>
      <c r="P573" s="59"/>
      <c r="Q573" s="124" t="e">
        <f>P573*#REF!</f>
        <v>#REF!</v>
      </c>
      <c r="R573" s="126">
        <v>45742</v>
      </c>
      <c r="S573" s="153">
        <f>IF(L573="","",L573-B573)</f>
        <v>2</v>
      </c>
      <c r="T573" s="153">
        <f>IF(N573="","",N573-L573)</f>
        <v>4</v>
      </c>
      <c r="U573" s="153">
        <f>IF(O573="","",O573-N573)</f>
        <v>1</v>
      </c>
      <c r="V573" s="154">
        <f>IF(O573="","",O573-B573)</f>
        <v>7</v>
      </c>
      <c r="W573" s="154">
        <f>IF(O573="","",O573-L573)</f>
        <v>5</v>
      </c>
      <c r="X573" s="154">
        <f>IF(R573="","",R573-B573)</f>
        <v>7</v>
      </c>
    </row>
    <row r="574" spans="2:24" ht="17.25" hidden="1" customHeight="1">
      <c r="B574" s="23">
        <v>45735</v>
      </c>
      <c r="C574" s="7">
        <v>2003638226</v>
      </c>
      <c r="D574" s="20">
        <v>5838053</v>
      </c>
      <c r="E574" s="27" t="s">
        <v>116</v>
      </c>
      <c r="F574" s="7" t="s">
        <v>107</v>
      </c>
      <c r="G574" s="7" t="s">
        <v>10</v>
      </c>
      <c r="H574" s="7" t="s">
        <v>45</v>
      </c>
      <c r="I574" s="20" t="s">
        <v>1042</v>
      </c>
      <c r="J574" s="20" t="s">
        <v>1043</v>
      </c>
      <c r="K574" s="7" t="s">
        <v>119</v>
      </c>
      <c r="L574" s="61">
        <v>45741</v>
      </c>
      <c r="M574" s="7" t="s">
        <v>111</v>
      </c>
      <c r="N574" s="24">
        <v>45741</v>
      </c>
      <c r="O574" s="24">
        <v>45743</v>
      </c>
      <c r="P574" s="59"/>
      <c r="Q574" s="124" t="e">
        <f>P574*#REF!</f>
        <v>#REF!</v>
      </c>
      <c r="R574" s="126">
        <v>45743</v>
      </c>
      <c r="S574" s="153">
        <f>IF(L574="","",L574-B574)</f>
        <v>6</v>
      </c>
      <c r="T574" s="153">
        <f>IF(N574="","",N574-L574)</f>
        <v>0</v>
      </c>
      <c r="U574" s="153">
        <f>IF(O574="","",O574-N574)</f>
        <v>2</v>
      </c>
      <c r="V574" s="154">
        <f>IF(O574="","",O574-B574)</f>
        <v>8</v>
      </c>
      <c r="W574" s="154">
        <f>IF(O574="","",O574-L574)</f>
        <v>2</v>
      </c>
      <c r="X574" s="154">
        <f>IF(R574="","",R574-B574)</f>
        <v>8</v>
      </c>
    </row>
    <row r="575" spans="2:24" ht="17.25" hidden="1" customHeight="1">
      <c r="B575" s="23">
        <v>45735</v>
      </c>
      <c r="C575" s="7">
        <v>2003631580</v>
      </c>
      <c r="D575" s="20">
        <v>5838077</v>
      </c>
      <c r="E575" s="27" t="s">
        <v>138</v>
      </c>
      <c r="F575" s="7" t="s">
        <v>107</v>
      </c>
      <c r="G575" s="7" t="s">
        <v>10</v>
      </c>
      <c r="H575" s="7" t="s">
        <v>45</v>
      </c>
      <c r="I575" s="20" t="s">
        <v>1044</v>
      </c>
      <c r="J575" s="20" t="s">
        <v>1045</v>
      </c>
      <c r="K575" s="7" t="s">
        <v>119</v>
      </c>
      <c r="L575" s="61">
        <v>45741</v>
      </c>
      <c r="M575" s="7" t="s">
        <v>111</v>
      </c>
      <c r="N575" s="61">
        <v>45741</v>
      </c>
      <c r="O575" s="24">
        <v>45743</v>
      </c>
      <c r="P575" s="59"/>
      <c r="Q575" s="124" t="e">
        <f>P575*#REF!</f>
        <v>#REF!</v>
      </c>
      <c r="R575" s="126">
        <v>45743</v>
      </c>
      <c r="S575" s="153">
        <f>IF(L575="","",L575-B575)</f>
        <v>6</v>
      </c>
      <c r="T575" s="153">
        <f>IF(N575="","",N575-L575)</f>
        <v>0</v>
      </c>
      <c r="U575" s="153">
        <f>IF(O575="","",O575-N575)</f>
        <v>2</v>
      </c>
      <c r="V575" s="154">
        <f>IF(O575="","",O575-B575)</f>
        <v>8</v>
      </c>
      <c r="W575" s="154">
        <f>IF(O575="","",O575-L575)</f>
        <v>2</v>
      </c>
      <c r="X575" s="154">
        <f>IF(R575="","",R575-B575)</f>
        <v>8</v>
      </c>
    </row>
    <row r="576" spans="2:24" ht="17.25" hidden="1" customHeight="1">
      <c r="B576" s="23">
        <v>45735</v>
      </c>
      <c r="C576" s="7">
        <v>2003608842</v>
      </c>
      <c r="D576" s="20">
        <v>122866</v>
      </c>
      <c r="E576" s="27" t="s">
        <v>143</v>
      </c>
      <c r="F576" s="7" t="s">
        <v>107</v>
      </c>
      <c r="G576" s="7" t="s">
        <v>18</v>
      </c>
      <c r="H576" s="7" t="s">
        <v>45</v>
      </c>
      <c r="I576" s="20" t="s">
        <v>1046</v>
      </c>
      <c r="J576" s="20" t="s">
        <v>1047</v>
      </c>
      <c r="K576" s="7" t="s">
        <v>111</v>
      </c>
      <c r="L576" s="61">
        <v>45736</v>
      </c>
      <c r="M576" s="7" t="s">
        <v>111</v>
      </c>
      <c r="N576" s="61">
        <v>45736</v>
      </c>
      <c r="O576" s="58">
        <v>45748</v>
      </c>
      <c r="P576" s="59"/>
      <c r="Q576" s="124" t="e">
        <f>P576*#REF!</f>
        <v>#REF!</v>
      </c>
      <c r="R576" s="126">
        <v>45750</v>
      </c>
      <c r="S576" s="153">
        <f>IF(L576="","",L576-B576)</f>
        <v>1</v>
      </c>
      <c r="T576" s="153">
        <f>IF(N576="","",N576-L576)</f>
        <v>0</v>
      </c>
      <c r="U576" s="153">
        <f>IF(O576="","",O576-N576)</f>
        <v>12</v>
      </c>
      <c r="V576" s="154">
        <f>IF(O576="","",O576-B576)</f>
        <v>13</v>
      </c>
      <c r="W576" s="154">
        <f>IF(O576="","",O576-L576)</f>
        <v>12</v>
      </c>
      <c r="X576" s="154">
        <f>IF(R576="","",R576-B576)</f>
        <v>15</v>
      </c>
    </row>
    <row r="577" spans="2:24" ht="17.25" hidden="1" customHeight="1">
      <c r="B577" s="23">
        <v>45735</v>
      </c>
      <c r="C577" s="7">
        <v>2003604972</v>
      </c>
      <c r="D577" s="20">
        <v>123037</v>
      </c>
      <c r="E577" s="27" t="s">
        <v>129</v>
      </c>
      <c r="F577" s="7" t="s">
        <v>107</v>
      </c>
      <c r="G577" s="7" t="s">
        <v>18</v>
      </c>
      <c r="H577" s="7" t="s">
        <v>45</v>
      </c>
      <c r="I577" s="20" t="s">
        <v>1048</v>
      </c>
      <c r="J577" s="20" t="s">
        <v>1049</v>
      </c>
      <c r="K577" s="7" t="s">
        <v>111</v>
      </c>
      <c r="L577" s="61">
        <v>45742</v>
      </c>
      <c r="M577" s="7" t="s">
        <v>111</v>
      </c>
      <c r="N577" s="24">
        <v>45743</v>
      </c>
      <c r="O577" s="58">
        <v>45754</v>
      </c>
      <c r="P577" s="59"/>
      <c r="Q577" s="124" t="e">
        <f>P577*#REF!</f>
        <v>#REF!</v>
      </c>
      <c r="R577" s="126">
        <v>45755</v>
      </c>
      <c r="S577" s="153">
        <f>IF(L577="","",L577-B577)</f>
        <v>7</v>
      </c>
      <c r="T577" s="153">
        <f>IF(N577="","",N577-L577)</f>
        <v>1</v>
      </c>
      <c r="U577" s="153">
        <f>IF(O577="","",O577-N577)</f>
        <v>11</v>
      </c>
      <c r="V577" s="154">
        <f>IF(O577="","",O577-B577)</f>
        <v>19</v>
      </c>
      <c r="W577" s="154">
        <f>IF(O577="","",O577-L577)</f>
        <v>12</v>
      </c>
      <c r="X577" s="154">
        <f>IF(R577="","",R577-B577)</f>
        <v>20</v>
      </c>
    </row>
    <row r="578" spans="2:24" ht="17.25" hidden="1" customHeight="1">
      <c r="B578" s="23">
        <v>45735</v>
      </c>
      <c r="C578" s="7">
        <v>2003623237</v>
      </c>
      <c r="D578" s="20">
        <v>122707</v>
      </c>
      <c r="E578" s="27" t="s">
        <v>123</v>
      </c>
      <c r="F578" s="7" t="s">
        <v>107</v>
      </c>
      <c r="G578" s="7" t="s">
        <v>15</v>
      </c>
      <c r="H578" s="7" t="s">
        <v>45</v>
      </c>
      <c r="I578" s="20" t="s">
        <v>1050</v>
      </c>
      <c r="J578" s="20" t="s">
        <v>1051</v>
      </c>
      <c r="K578" s="7" t="s">
        <v>110</v>
      </c>
      <c r="L578" s="61">
        <v>45736</v>
      </c>
      <c r="M578" s="7" t="s">
        <v>111</v>
      </c>
      <c r="N578" s="61">
        <v>45736</v>
      </c>
      <c r="O578" s="58">
        <v>45737</v>
      </c>
      <c r="P578" s="59"/>
      <c r="Q578" s="124" t="e">
        <f>P578*#REF!</f>
        <v>#REF!</v>
      </c>
      <c r="R578" s="126">
        <v>45741</v>
      </c>
      <c r="S578" s="153">
        <f>IF(L578="","",L578-B578)</f>
        <v>1</v>
      </c>
      <c r="T578" s="153">
        <f>IF(N578="","",N578-L578)</f>
        <v>0</v>
      </c>
      <c r="U578" s="153">
        <f>IF(O578="","",O578-N578)</f>
        <v>1</v>
      </c>
      <c r="V578" s="154">
        <f>IF(O578="","",O578-B578)</f>
        <v>2</v>
      </c>
      <c r="W578" s="154">
        <f>IF(O578="","",O578-L578)</f>
        <v>1</v>
      </c>
      <c r="X578" s="154">
        <f>IF(R578="","",R578-B578)</f>
        <v>6</v>
      </c>
    </row>
    <row r="579" spans="2:24" ht="17.25" hidden="1" customHeight="1">
      <c r="B579" s="23">
        <v>45736</v>
      </c>
      <c r="C579" s="7">
        <v>2003623495</v>
      </c>
      <c r="D579" s="20">
        <v>124663</v>
      </c>
      <c r="E579" s="27" t="s">
        <v>622</v>
      </c>
      <c r="F579" s="7" t="s">
        <v>107</v>
      </c>
      <c r="G579" s="7" t="s">
        <v>10</v>
      </c>
      <c r="H579" s="7" t="s">
        <v>45</v>
      </c>
      <c r="I579" s="20" t="s">
        <v>780</v>
      </c>
      <c r="J579" s="20" t="s">
        <v>1052</v>
      </c>
      <c r="K579" s="7" t="s">
        <v>119</v>
      </c>
      <c r="L579" s="61">
        <v>45741</v>
      </c>
      <c r="M579" s="7" t="s">
        <v>111</v>
      </c>
      <c r="N579" s="58">
        <v>45754</v>
      </c>
      <c r="O579" s="58">
        <v>45754</v>
      </c>
      <c r="P579" s="59"/>
      <c r="Q579" s="124" t="e">
        <f>P579*#REF!</f>
        <v>#REF!</v>
      </c>
      <c r="R579" s="126">
        <v>45755</v>
      </c>
      <c r="S579" s="153">
        <f>IF(L579="","",L579-B579)</f>
        <v>5</v>
      </c>
      <c r="T579" s="153">
        <f>IF(N579="","",N579-L579)</f>
        <v>13</v>
      </c>
      <c r="U579" s="153">
        <f>IF(O579="","",O579-N579)</f>
        <v>0</v>
      </c>
      <c r="V579" s="154">
        <f>IF(O579="","",O579-B579)</f>
        <v>18</v>
      </c>
      <c r="W579" s="154">
        <f>IF(O579="","",O579-L579)</f>
        <v>13</v>
      </c>
      <c r="X579" s="154">
        <f>IF(R579="","",R579-B579)</f>
        <v>19</v>
      </c>
    </row>
    <row r="580" spans="2:24" ht="17.25" hidden="1" customHeight="1">
      <c r="B580" s="23">
        <v>45736</v>
      </c>
      <c r="C580" s="7">
        <v>2003634073</v>
      </c>
      <c r="D580" s="20">
        <v>123759</v>
      </c>
      <c r="E580" s="27" t="s">
        <v>143</v>
      </c>
      <c r="F580" s="7" t="s">
        <v>113</v>
      </c>
      <c r="G580" s="7" t="s">
        <v>70</v>
      </c>
      <c r="H580" s="7" t="s">
        <v>47</v>
      </c>
      <c r="I580" s="20" t="s">
        <v>1053</v>
      </c>
      <c r="J580" s="20" t="s">
        <v>1054</v>
      </c>
      <c r="K580" s="7" t="s">
        <v>160</v>
      </c>
      <c r="P580" s="59"/>
      <c r="Q580" s="124" t="e">
        <f>P580*#REF!</f>
        <v>#REF!</v>
      </c>
      <c r="R580" s="126">
        <v>45747</v>
      </c>
      <c r="S580" s="153" t="str">
        <f>IF(L580="","",L580-B580)</f>
        <v/>
      </c>
      <c r="T580" s="153" t="str">
        <f>IF(N580="","",N580-L580)</f>
        <v/>
      </c>
      <c r="U580" s="153" t="str">
        <f>IF(O580="","",O580-N580)</f>
        <v/>
      </c>
      <c r="V580" s="154" t="str">
        <f>IF(O580="","",O580-B580)</f>
        <v/>
      </c>
      <c r="W580" s="154" t="str">
        <f>IF(O580="","",O580-L580)</f>
        <v/>
      </c>
      <c r="X580" s="154">
        <f>IF(R580="","",R580-B580)</f>
        <v>11</v>
      </c>
    </row>
    <row r="581" spans="2:24" ht="17.25" hidden="1" customHeight="1">
      <c r="B581" s="23">
        <v>45736</v>
      </c>
      <c r="C581" s="7">
        <v>2003623967</v>
      </c>
      <c r="D581" s="20">
        <v>124061</v>
      </c>
      <c r="E581" s="27" t="s">
        <v>123</v>
      </c>
      <c r="F581" s="7" t="s">
        <v>107</v>
      </c>
      <c r="G581" s="7" t="s">
        <v>15</v>
      </c>
      <c r="H581" s="7" t="s">
        <v>45</v>
      </c>
      <c r="I581" s="20" t="s">
        <v>206</v>
      </c>
      <c r="J581" s="20" t="s">
        <v>1055</v>
      </c>
      <c r="K581" s="7" t="s">
        <v>119</v>
      </c>
      <c r="L581" s="61">
        <v>45737</v>
      </c>
      <c r="M581" s="7" t="s">
        <v>111</v>
      </c>
      <c r="N581" s="24">
        <v>45741</v>
      </c>
      <c r="O581" s="24">
        <v>45741</v>
      </c>
      <c r="P581" s="59"/>
      <c r="Q581" s="124" t="e">
        <f>P581*#REF!</f>
        <v>#REF!</v>
      </c>
      <c r="R581" s="126">
        <v>45741</v>
      </c>
      <c r="S581" s="153">
        <f>IF(L581="","",L581-B581)</f>
        <v>1</v>
      </c>
      <c r="T581" s="153">
        <f>IF(N581="","",N581-L581)</f>
        <v>4</v>
      </c>
      <c r="U581" s="153">
        <f>IF(O581="","",O581-N581)</f>
        <v>0</v>
      </c>
      <c r="V581" s="154">
        <f>IF(O581="","",O581-B581)</f>
        <v>5</v>
      </c>
      <c r="W581" s="154">
        <f>IF(O581="","",O581-L581)</f>
        <v>4</v>
      </c>
      <c r="X581" s="154">
        <f>IF(R581="","",R581-B581)</f>
        <v>5</v>
      </c>
    </row>
    <row r="582" spans="2:24" ht="17.25" hidden="1" customHeight="1">
      <c r="B582" s="23">
        <v>45736</v>
      </c>
      <c r="C582" s="7">
        <v>2003628303</v>
      </c>
      <c r="D582" s="20">
        <v>124057</v>
      </c>
      <c r="E582" s="27" t="s">
        <v>123</v>
      </c>
      <c r="F582" s="7" t="s">
        <v>107</v>
      </c>
      <c r="G582" s="7" t="s">
        <v>18</v>
      </c>
      <c r="H582" s="7" t="s">
        <v>45</v>
      </c>
      <c r="I582" s="20" t="s">
        <v>1056</v>
      </c>
      <c r="J582" s="20" t="s">
        <v>1057</v>
      </c>
      <c r="K582" s="7" t="s">
        <v>110</v>
      </c>
      <c r="L582" s="61">
        <v>45742</v>
      </c>
      <c r="M582" s="7" t="s">
        <v>111</v>
      </c>
      <c r="N582" s="61">
        <v>45742</v>
      </c>
      <c r="O582" s="58">
        <v>45748</v>
      </c>
      <c r="P582" s="59"/>
      <c r="Q582" s="124" t="e">
        <f>P582*#REF!</f>
        <v>#REF!</v>
      </c>
      <c r="R582" s="126">
        <v>45751</v>
      </c>
      <c r="S582" s="153">
        <f>IF(L582="","",L582-B582)</f>
        <v>6</v>
      </c>
      <c r="T582" s="153">
        <f>IF(N582="","",N582-L582)</f>
        <v>0</v>
      </c>
      <c r="U582" s="153">
        <f>IF(O582="","",O582-N582)</f>
        <v>6</v>
      </c>
      <c r="V582" s="154">
        <f>IF(O582="","",O582-B582)</f>
        <v>12</v>
      </c>
      <c r="W582" s="154">
        <f>IF(O582="","",O582-L582)</f>
        <v>6</v>
      </c>
      <c r="X582" s="154">
        <f>IF(R582="","",R582-B582)</f>
        <v>15</v>
      </c>
    </row>
    <row r="583" spans="2:24" ht="17.25" hidden="1" customHeight="1">
      <c r="B583" s="23">
        <v>45736</v>
      </c>
      <c r="C583" s="7">
        <v>2003568203</v>
      </c>
      <c r="D583" s="20">
        <v>123891</v>
      </c>
      <c r="E583" s="27" t="s">
        <v>888</v>
      </c>
      <c r="F583" s="7" t="s">
        <v>107</v>
      </c>
      <c r="G583" s="7" t="s">
        <v>21</v>
      </c>
      <c r="H583" s="7" t="s">
        <v>45</v>
      </c>
      <c r="I583" s="20" t="s">
        <v>1058</v>
      </c>
      <c r="J583" s="20" t="s">
        <v>172</v>
      </c>
      <c r="K583" s="7" t="s">
        <v>111</v>
      </c>
      <c r="L583" s="61">
        <v>45736</v>
      </c>
      <c r="M583" s="7" t="s">
        <v>111</v>
      </c>
      <c r="N583" s="24">
        <v>45737</v>
      </c>
      <c r="O583" s="24">
        <v>45737</v>
      </c>
      <c r="P583" s="59"/>
      <c r="Q583" s="124" t="e">
        <f>P583*#REF!</f>
        <v>#REF!</v>
      </c>
      <c r="R583" s="126">
        <v>45741</v>
      </c>
      <c r="S583" s="153">
        <f>IF(L583="","",L583-B583)</f>
        <v>0</v>
      </c>
      <c r="T583" s="153">
        <f>IF(N583="","",N583-L583)</f>
        <v>1</v>
      </c>
      <c r="U583" s="153">
        <f>IF(O583="","",O583-N583)</f>
        <v>0</v>
      </c>
      <c r="V583" s="154">
        <f>IF(O583="","",O583-B583)</f>
        <v>1</v>
      </c>
      <c r="W583" s="154">
        <f>IF(O583="","",O583-L583)</f>
        <v>1</v>
      </c>
      <c r="X583" s="154">
        <f>IF(R583="","",R583-B583)</f>
        <v>5</v>
      </c>
    </row>
    <row r="584" spans="2:24" ht="17.25" hidden="1" customHeight="1">
      <c r="B584" s="23">
        <v>45736</v>
      </c>
      <c r="C584" s="7">
        <v>2003623079</v>
      </c>
      <c r="D584" s="20">
        <v>123835</v>
      </c>
      <c r="E584" s="27" t="s">
        <v>191</v>
      </c>
      <c r="F584" s="7" t="s">
        <v>107</v>
      </c>
      <c r="G584" s="7" t="s">
        <v>10</v>
      </c>
      <c r="H584" s="7" t="s">
        <v>45</v>
      </c>
      <c r="I584" s="20" t="s">
        <v>1059</v>
      </c>
      <c r="J584" s="20" t="s">
        <v>1060</v>
      </c>
      <c r="K584" s="7" t="s">
        <v>119</v>
      </c>
      <c r="L584" s="61">
        <v>45743</v>
      </c>
      <c r="M584" s="7" t="s">
        <v>111</v>
      </c>
      <c r="N584" s="24">
        <v>45743</v>
      </c>
      <c r="O584" s="58">
        <v>45747</v>
      </c>
      <c r="P584" s="59"/>
      <c r="Q584" s="124" t="e">
        <f>P584*#REF!</f>
        <v>#REF!</v>
      </c>
      <c r="R584" s="126">
        <v>45747</v>
      </c>
      <c r="S584" s="153">
        <f>IF(L584="","",L584-B584)</f>
        <v>7</v>
      </c>
      <c r="T584" s="153">
        <f>IF(N584="","",N584-L584)</f>
        <v>0</v>
      </c>
      <c r="U584" s="153">
        <f>IF(O584="","",O584-N584)</f>
        <v>4</v>
      </c>
      <c r="V584" s="154">
        <f>IF(O584="","",O584-B584)</f>
        <v>11</v>
      </c>
      <c r="W584" s="154">
        <f>IF(O584="","",O584-L584)</f>
        <v>4</v>
      </c>
      <c r="X584" s="154">
        <f>IF(R584="","",R584-B584)</f>
        <v>11</v>
      </c>
    </row>
    <row r="585" spans="2:24" ht="17.25" hidden="1" customHeight="1">
      <c r="B585" s="23">
        <v>45736</v>
      </c>
      <c r="C585" s="7">
        <v>2003541256</v>
      </c>
      <c r="D585" s="20">
        <v>5838298</v>
      </c>
      <c r="E585" s="27" t="s">
        <v>123</v>
      </c>
      <c r="F585" s="7" t="s">
        <v>107</v>
      </c>
      <c r="G585" s="7" t="s">
        <v>21</v>
      </c>
      <c r="H585" s="7" t="s">
        <v>45</v>
      </c>
      <c r="I585" s="20" t="s">
        <v>1061</v>
      </c>
      <c r="J585" s="20" t="s">
        <v>720</v>
      </c>
      <c r="K585" s="7" t="s">
        <v>119</v>
      </c>
      <c r="L585" s="61">
        <v>45737</v>
      </c>
      <c r="M585" s="7" t="s">
        <v>111</v>
      </c>
      <c r="N585" s="24">
        <v>45741</v>
      </c>
      <c r="O585" s="58">
        <v>45747</v>
      </c>
      <c r="P585" s="59"/>
      <c r="Q585" s="124" t="e">
        <f>P585*#REF!</f>
        <v>#REF!</v>
      </c>
      <c r="R585" s="126">
        <v>45747</v>
      </c>
      <c r="S585" s="153">
        <f>IF(L585="","",L585-B585)</f>
        <v>1</v>
      </c>
      <c r="T585" s="153">
        <f>IF(N585="","",N585-L585)</f>
        <v>4</v>
      </c>
      <c r="U585" s="153">
        <f>IF(O585="","",O585-N585)</f>
        <v>6</v>
      </c>
      <c r="V585" s="154">
        <f>IF(O585="","",O585-B585)</f>
        <v>11</v>
      </c>
      <c r="W585" s="154">
        <f>IF(O585="","",O585-L585)</f>
        <v>10</v>
      </c>
      <c r="X585" s="154">
        <f>IF(R585="","",R585-B585)</f>
        <v>11</v>
      </c>
    </row>
    <row r="586" spans="2:24" ht="17.25" hidden="1" customHeight="1">
      <c r="B586" s="23">
        <v>45736</v>
      </c>
      <c r="C586" s="7">
        <v>2003630938</v>
      </c>
      <c r="D586" s="20">
        <v>5838673</v>
      </c>
      <c r="E586" s="27" t="s">
        <v>230</v>
      </c>
      <c r="F586" s="7" t="s">
        <v>107</v>
      </c>
      <c r="G586" s="7" t="s">
        <v>10</v>
      </c>
      <c r="H586" s="7" t="s">
        <v>45</v>
      </c>
      <c r="I586" s="20" t="s">
        <v>1062</v>
      </c>
      <c r="J586" s="20" t="s">
        <v>1063</v>
      </c>
      <c r="K586" s="7" t="s">
        <v>119</v>
      </c>
      <c r="L586" s="61">
        <v>45743</v>
      </c>
      <c r="M586" s="7" t="s">
        <v>111</v>
      </c>
      <c r="N586" s="24">
        <v>45745</v>
      </c>
      <c r="O586" s="24">
        <v>45745</v>
      </c>
      <c r="P586" s="59"/>
      <c r="Q586" s="124" t="e">
        <f>P586*#REF!</f>
        <v>#REF!</v>
      </c>
      <c r="R586" s="126">
        <v>45747</v>
      </c>
      <c r="S586" s="153">
        <f>IF(L586="","",L586-B586)</f>
        <v>7</v>
      </c>
      <c r="T586" s="153">
        <f>IF(N586="","",N586-L586)</f>
        <v>2</v>
      </c>
      <c r="U586" s="153">
        <f>IF(O586="","",O586-N586)</f>
        <v>0</v>
      </c>
      <c r="V586" s="154">
        <f>IF(O586="","",O586-B586)</f>
        <v>9</v>
      </c>
      <c r="W586" s="154">
        <f>IF(O586="","",O586-L586)</f>
        <v>2</v>
      </c>
      <c r="X586" s="154">
        <f>IF(R586="","",R586-B586)</f>
        <v>11</v>
      </c>
    </row>
    <row r="587" spans="2:24" ht="17.25" hidden="1" customHeight="1">
      <c r="B587" s="23">
        <v>45736</v>
      </c>
      <c r="C587" s="7">
        <v>2003637568</v>
      </c>
      <c r="D587" s="20">
        <v>5838742</v>
      </c>
      <c r="E587" s="27" t="s">
        <v>198</v>
      </c>
      <c r="F587" s="7" t="s">
        <v>107</v>
      </c>
      <c r="G587" s="7" t="s">
        <v>10</v>
      </c>
      <c r="H587" s="7" t="s">
        <v>45</v>
      </c>
      <c r="I587" s="20" t="s">
        <v>1064</v>
      </c>
      <c r="J587" s="20" t="s">
        <v>1065</v>
      </c>
      <c r="K587" s="7" t="s">
        <v>119</v>
      </c>
      <c r="L587" s="61">
        <v>45742</v>
      </c>
      <c r="M587" s="7" t="s">
        <v>111</v>
      </c>
      <c r="N587" s="61">
        <v>45742</v>
      </c>
      <c r="O587" s="58">
        <v>45743</v>
      </c>
      <c r="P587" s="59"/>
      <c r="Q587" s="124" t="e">
        <f>P587*#REF!</f>
        <v>#REF!</v>
      </c>
      <c r="R587" s="126">
        <v>45747</v>
      </c>
      <c r="S587" s="153">
        <f>IF(L587="","",L587-B587)</f>
        <v>6</v>
      </c>
      <c r="T587" s="153">
        <f>IF(N587="","",N587-L587)</f>
        <v>0</v>
      </c>
      <c r="U587" s="153">
        <f>IF(O587="","",O587-N587)</f>
        <v>1</v>
      </c>
      <c r="V587" s="154">
        <f>IF(O587="","",O587-B587)</f>
        <v>7</v>
      </c>
      <c r="W587" s="154">
        <f>IF(O587="","",O587-L587)</f>
        <v>1</v>
      </c>
      <c r="X587" s="154">
        <f>IF(R587="","",R587-B587)</f>
        <v>11</v>
      </c>
    </row>
    <row r="588" spans="2:24" ht="17.25" hidden="1" customHeight="1">
      <c r="B588" s="23">
        <v>45736</v>
      </c>
      <c r="C588" s="7">
        <v>2003623202</v>
      </c>
      <c r="D588" s="20">
        <v>5838743</v>
      </c>
      <c r="E588" s="27" t="s">
        <v>116</v>
      </c>
      <c r="F588" s="7" t="s">
        <v>107</v>
      </c>
      <c r="G588" s="7" t="s">
        <v>10</v>
      </c>
      <c r="H588" s="7" t="s">
        <v>45</v>
      </c>
      <c r="I588" s="20" t="s">
        <v>1066</v>
      </c>
      <c r="J588" s="20" t="s">
        <v>875</v>
      </c>
      <c r="K588" s="7" t="s">
        <v>119</v>
      </c>
      <c r="L588" s="61">
        <v>45744</v>
      </c>
      <c r="M588" s="7" t="s">
        <v>111</v>
      </c>
      <c r="N588" s="24">
        <v>45756</v>
      </c>
      <c r="O588" s="24">
        <v>45756</v>
      </c>
      <c r="P588" s="59"/>
      <c r="Q588" s="124" t="e">
        <f>P588*#REF!</f>
        <v>#REF!</v>
      </c>
      <c r="R588" s="126">
        <v>45758</v>
      </c>
      <c r="S588" s="153">
        <f>IF(L588="","",L588-B588)</f>
        <v>8</v>
      </c>
      <c r="T588" s="153">
        <f>IF(N588="","",N588-L588)</f>
        <v>12</v>
      </c>
      <c r="U588" s="153">
        <f>IF(O588="","",O588-N588)</f>
        <v>0</v>
      </c>
      <c r="V588" s="154">
        <f>IF(O588="","",O588-B588)</f>
        <v>20</v>
      </c>
      <c r="W588" s="154">
        <f>IF(O588="","",O588-L588)</f>
        <v>12</v>
      </c>
      <c r="X588" s="154">
        <f>IF(R588="","",R588-B588)</f>
        <v>22</v>
      </c>
    </row>
    <row r="589" spans="2:24" ht="17.25" hidden="1" customHeight="1">
      <c r="B589" s="23">
        <v>45736</v>
      </c>
      <c r="C589" s="7">
        <v>2003637955</v>
      </c>
      <c r="D589" s="20">
        <v>5838753</v>
      </c>
      <c r="E589" s="27" t="s">
        <v>201</v>
      </c>
      <c r="F589" s="7" t="s">
        <v>107</v>
      </c>
      <c r="G589" s="7" t="s">
        <v>10</v>
      </c>
      <c r="H589" s="7" t="s">
        <v>45</v>
      </c>
      <c r="I589" s="20" t="s">
        <v>1067</v>
      </c>
      <c r="J589" s="20" t="s">
        <v>1068</v>
      </c>
      <c r="K589" s="7" t="s">
        <v>122</v>
      </c>
      <c r="L589" s="61">
        <v>45741</v>
      </c>
      <c r="M589" s="7" t="s">
        <v>111</v>
      </c>
      <c r="N589" s="61">
        <v>45743</v>
      </c>
      <c r="O589" s="58">
        <v>45747</v>
      </c>
      <c r="P589" s="59"/>
      <c r="Q589" s="124" t="e">
        <f>P589*#REF!</f>
        <v>#REF!</v>
      </c>
      <c r="R589" s="126">
        <v>45747</v>
      </c>
      <c r="S589" s="153">
        <f>IF(L589="","",L589-B589)</f>
        <v>5</v>
      </c>
      <c r="T589" s="153">
        <f>IF(N589="","",N589-L589)</f>
        <v>2</v>
      </c>
      <c r="U589" s="153">
        <f>IF(O589="","",O589-N589)</f>
        <v>4</v>
      </c>
      <c r="V589" s="154">
        <f>IF(O589="","",O589-B589)</f>
        <v>11</v>
      </c>
      <c r="W589" s="154">
        <f>IF(O589="","",O589-L589)</f>
        <v>6</v>
      </c>
      <c r="X589" s="154">
        <f>IF(R589="","",R589-B589)</f>
        <v>11</v>
      </c>
    </row>
    <row r="590" spans="2:24" ht="17.25" hidden="1" customHeight="1">
      <c r="B590" s="23">
        <v>45736</v>
      </c>
      <c r="C590" s="7">
        <v>2003639289</v>
      </c>
      <c r="D590" s="20">
        <v>5838860</v>
      </c>
      <c r="E590" s="27" t="s">
        <v>126</v>
      </c>
      <c r="F590" s="7" t="s">
        <v>107</v>
      </c>
      <c r="G590" s="7" t="s">
        <v>26</v>
      </c>
      <c r="H590" s="7" t="s">
        <v>45</v>
      </c>
      <c r="I590" s="20" t="s">
        <v>833</v>
      </c>
      <c r="J590" s="20" t="s">
        <v>1069</v>
      </c>
      <c r="K590" s="7" t="s">
        <v>119</v>
      </c>
      <c r="L590" s="61">
        <v>45763</v>
      </c>
      <c r="M590" s="7" t="s">
        <v>111</v>
      </c>
      <c r="N590" s="24">
        <v>45765</v>
      </c>
      <c r="O590" s="58">
        <v>45765</v>
      </c>
      <c r="P590" s="59"/>
      <c r="Q590" s="124" t="e">
        <f>P590*#REF!</f>
        <v>#REF!</v>
      </c>
      <c r="R590" s="126">
        <v>45765</v>
      </c>
      <c r="S590" s="153">
        <f>IF(L590="","",L590-B590)</f>
        <v>27</v>
      </c>
      <c r="T590" s="153">
        <f>IF(N590="","",N590-L590)</f>
        <v>2</v>
      </c>
      <c r="U590" s="153">
        <f>IF(O590="","",O590-N590)</f>
        <v>0</v>
      </c>
      <c r="V590" s="154">
        <f>IF(O590="","",O590-B590)</f>
        <v>29</v>
      </c>
      <c r="W590" s="154">
        <f>IF(O590="","",O590-L590)</f>
        <v>2</v>
      </c>
      <c r="X590" s="154">
        <f>IF(R590="","",R590-B590)</f>
        <v>29</v>
      </c>
    </row>
    <row r="591" spans="2:24" ht="17.25" hidden="1" customHeight="1">
      <c r="B591" s="23">
        <v>45736</v>
      </c>
      <c r="C591" s="7">
        <v>2003580763</v>
      </c>
      <c r="D591" s="20">
        <v>5838864</v>
      </c>
      <c r="E591" s="27" t="s">
        <v>138</v>
      </c>
      <c r="F591" s="7" t="s">
        <v>107</v>
      </c>
      <c r="G591" s="7" t="s">
        <v>21</v>
      </c>
      <c r="H591" s="7" t="s">
        <v>45</v>
      </c>
      <c r="I591" s="20" t="s">
        <v>147</v>
      </c>
      <c r="J591" s="20" t="s">
        <v>324</v>
      </c>
      <c r="K591" s="7" t="s">
        <v>119</v>
      </c>
      <c r="L591" s="61">
        <v>45737</v>
      </c>
      <c r="M591" s="7" t="s">
        <v>111</v>
      </c>
      <c r="N591" s="24">
        <v>45741</v>
      </c>
      <c r="P591" s="59"/>
      <c r="Q591" s="124" t="e">
        <f>P591*#REF!</f>
        <v>#REF!</v>
      </c>
      <c r="R591" s="126">
        <v>45741</v>
      </c>
      <c r="S591" s="153">
        <f>IF(L591="","",L591-B591)</f>
        <v>1</v>
      </c>
      <c r="T591" s="153">
        <f>IF(N591="","",N591-L591)</f>
        <v>4</v>
      </c>
      <c r="U591" s="153" t="str">
        <f>IF(O591="","",O591-N591)</f>
        <v/>
      </c>
      <c r="V591" s="154" t="str">
        <f>IF(O591="","",O591-B591)</f>
        <v/>
      </c>
      <c r="W591" s="154" t="str">
        <f>IF(O591="","",O591-L591)</f>
        <v/>
      </c>
      <c r="X591" s="154">
        <f>IF(R591="","",R591-B591)</f>
        <v>5</v>
      </c>
    </row>
    <row r="592" spans="2:24" ht="17.25" hidden="1" customHeight="1">
      <c r="B592" s="23">
        <v>45736</v>
      </c>
      <c r="C592" s="7">
        <v>2003602630</v>
      </c>
      <c r="D592" s="20">
        <v>5838947</v>
      </c>
      <c r="E592" s="27" t="s">
        <v>116</v>
      </c>
      <c r="F592" s="7" t="s">
        <v>107</v>
      </c>
      <c r="G592" s="7" t="s">
        <v>10</v>
      </c>
      <c r="H592" s="7" t="s">
        <v>45</v>
      </c>
      <c r="I592" s="20" t="s">
        <v>1070</v>
      </c>
      <c r="J592" s="20" t="s">
        <v>1071</v>
      </c>
      <c r="K592" s="7" t="s">
        <v>119</v>
      </c>
      <c r="L592" s="61">
        <v>45742</v>
      </c>
      <c r="M592" s="7" t="s">
        <v>111</v>
      </c>
      <c r="N592" s="61">
        <v>45742</v>
      </c>
      <c r="O592" s="61">
        <v>45742</v>
      </c>
      <c r="P592" s="59"/>
      <c r="Q592" s="124" t="e">
        <f>P592*#REF!</f>
        <v>#REF!</v>
      </c>
      <c r="R592" s="126">
        <v>45743</v>
      </c>
      <c r="S592" s="153">
        <f>IF(L592="","",L592-B592)</f>
        <v>6</v>
      </c>
      <c r="T592" s="153">
        <f>IF(N592="","",N592-L592)</f>
        <v>0</v>
      </c>
      <c r="U592" s="153">
        <f>IF(O592="","",O592-N592)</f>
        <v>0</v>
      </c>
      <c r="V592" s="154">
        <f>IF(O592="","",O592-B592)</f>
        <v>6</v>
      </c>
      <c r="W592" s="154">
        <f>IF(O592="","",O592-L592)</f>
        <v>0</v>
      </c>
      <c r="X592" s="154">
        <f>IF(R592="","",R592-B592)</f>
        <v>7</v>
      </c>
    </row>
    <row r="593" spans="2:24" ht="17.25" hidden="1" customHeight="1">
      <c r="B593" s="23">
        <v>45736</v>
      </c>
      <c r="C593" s="7">
        <v>2003613738</v>
      </c>
      <c r="D593" s="20">
        <v>5839020</v>
      </c>
      <c r="E593" s="27" t="s">
        <v>149</v>
      </c>
      <c r="F593" s="7" t="s">
        <v>107</v>
      </c>
      <c r="G593" s="7" t="s">
        <v>21</v>
      </c>
      <c r="H593" s="7" t="s">
        <v>45</v>
      </c>
      <c r="I593" s="20" t="s">
        <v>1072</v>
      </c>
      <c r="J593" s="20" t="s">
        <v>760</v>
      </c>
      <c r="K593" s="7" t="s">
        <v>110</v>
      </c>
      <c r="L593" s="61">
        <v>45741</v>
      </c>
      <c r="M593" s="7" t="s">
        <v>111</v>
      </c>
      <c r="N593" s="61">
        <v>45741</v>
      </c>
      <c r="O593" s="58">
        <v>45742</v>
      </c>
      <c r="P593" s="59"/>
      <c r="Q593" s="124" t="e">
        <f>P593*#REF!</f>
        <v>#REF!</v>
      </c>
      <c r="R593" s="126">
        <v>45742</v>
      </c>
      <c r="S593" s="153">
        <f>IF(L593="","",L593-B593)</f>
        <v>5</v>
      </c>
      <c r="T593" s="153">
        <f>IF(N593="","",N593-L593)</f>
        <v>0</v>
      </c>
      <c r="U593" s="153">
        <f>IF(O593="","",O593-N593)</f>
        <v>1</v>
      </c>
      <c r="V593" s="154">
        <f>IF(O593="","",O593-B593)</f>
        <v>6</v>
      </c>
      <c r="W593" s="154">
        <f>IF(O593="","",O593-L593)</f>
        <v>1</v>
      </c>
      <c r="X593" s="154">
        <f>IF(R593="","",R593-B593)</f>
        <v>6</v>
      </c>
    </row>
    <row r="594" spans="2:24" ht="17.25" hidden="1" customHeight="1">
      <c r="B594" s="23">
        <v>45736</v>
      </c>
      <c r="C594" s="7">
        <v>2003637944</v>
      </c>
      <c r="D594" s="20">
        <v>5839059</v>
      </c>
      <c r="E594" s="27" t="s">
        <v>408</v>
      </c>
      <c r="F594" s="7" t="s">
        <v>107</v>
      </c>
      <c r="G594" s="7" t="s">
        <v>18</v>
      </c>
      <c r="H594" s="7" t="s">
        <v>45</v>
      </c>
      <c r="I594" s="20" t="s">
        <v>1073</v>
      </c>
      <c r="J594" s="20" t="s">
        <v>1074</v>
      </c>
      <c r="K594" s="7" t="s">
        <v>110</v>
      </c>
      <c r="L594" s="61">
        <v>45741</v>
      </c>
      <c r="M594" s="7" t="s">
        <v>111</v>
      </c>
      <c r="N594" s="61">
        <v>45741</v>
      </c>
      <c r="O594" s="58">
        <v>45748</v>
      </c>
      <c r="P594" s="59"/>
      <c r="Q594" s="124" t="e">
        <f>P594*#REF!</f>
        <v>#REF!</v>
      </c>
      <c r="R594" s="126">
        <v>45750</v>
      </c>
      <c r="S594" s="153">
        <f>IF(L594="","",L594-B594)</f>
        <v>5</v>
      </c>
      <c r="T594" s="153">
        <f>IF(N594="","",N594-L594)</f>
        <v>0</v>
      </c>
      <c r="U594" s="153">
        <f>IF(O594="","",O594-N594)</f>
        <v>7</v>
      </c>
      <c r="V594" s="154">
        <f>IF(O594="","",O594-B594)</f>
        <v>12</v>
      </c>
      <c r="W594" s="154">
        <f>IF(O594="","",O594-L594)</f>
        <v>7</v>
      </c>
      <c r="X594" s="154">
        <f>IF(R594="","",R594-B594)</f>
        <v>14</v>
      </c>
    </row>
    <row r="595" spans="2:24" ht="17.25" hidden="1" customHeight="1">
      <c r="B595" s="23">
        <v>45736</v>
      </c>
      <c r="C595" s="7">
        <v>2003631217</v>
      </c>
      <c r="D595" s="20">
        <v>5839072</v>
      </c>
      <c r="E595" s="27" t="s">
        <v>408</v>
      </c>
      <c r="F595" s="7" t="s">
        <v>107</v>
      </c>
      <c r="G595" s="7" t="s">
        <v>10</v>
      </c>
      <c r="H595" s="7" t="s">
        <v>45</v>
      </c>
      <c r="I595" s="20" t="s">
        <v>1075</v>
      </c>
      <c r="J595" s="20" t="s">
        <v>1076</v>
      </c>
      <c r="K595" s="7" t="s">
        <v>119</v>
      </c>
      <c r="L595" s="61">
        <v>45741</v>
      </c>
      <c r="M595" s="7" t="s">
        <v>111</v>
      </c>
      <c r="N595" s="61">
        <v>45741</v>
      </c>
      <c r="O595" s="58">
        <v>45743</v>
      </c>
      <c r="P595" s="59"/>
      <c r="Q595" s="124" t="e">
        <f>P595*#REF!</f>
        <v>#REF!</v>
      </c>
      <c r="R595" s="126">
        <v>45744</v>
      </c>
      <c r="S595" s="153">
        <f>IF(L595="","",L595-B595)</f>
        <v>5</v>
      </c>
      <c r="T595" s="153">
        <f>IF(N595="","",N595-L595)</f>
        <v>0</v>
      </c>
      <c r="U595" s="153">
        <f>IF(O595="","",O595-N595)</f>
        <v>2</v>
      </c>
      <c r="V595" s="154">
        <f>IF(O595="","",O595-B595)</f>
        <v>7</v>
      </c>
      <c r="W595" s="154">
        <f>IF(O595="","",O595-L595)</f>
        <v>2</v>
      </c>
      <c r="X595" s="154">
        <f>IF(R595="","",R595-B595)</f>
        <v>8</v>
      </c>
    </row>
    <row r="596" spans="2:24" ht="17.25" hidden="1" customHeight="1">
      <c r="B596" s="23">
        <v>45736</v>
      </c>
      <c r="C596" s="7">
        <v>2003466288</v>
      </c>
      <c r="D596" s="20">
        <v>5839080</v>
      </c>
      <c r="E596" s="27" t="s">
        <v>138</v>
      </c>
      <c r="F596" s="7" t="s">
        <v>107</v>
      </c>
      <c r="G596" s="7" t="s">
        <v>10</v>
      </c>
      <c r="H596" s="7" t="s">
        <v>45</v>
      </c>
      <c r="I596" s="20" t="s">
        <v>1077</v>
      </c>
      <c r="J596" s="20" t="s">
        <v>1078</v>
      </c>
      <c r="K596" s="7" t="s">
        <v>111</v>
      </c>
      <c r="L596" s="61">
        <v>45742</v>
      </c>
      <c r="M596" s="7" t="s">
        <v>111</v>
      </c>
      <c r="N596" s="61">
        <v>45742</v>
      </c>
      <c r="O596" s="61">
        <v>45742</v>
      </c>
      <c r="P596" s="59"/>
      <c r="Q596" s="124" t="e">
        <f>P596*#REF!</f>
        <v>#REF!</v>
      </c>
      <c r="R596" s="126">
        <v>45744</v>
      </c>
      <c r="S596" s="153">
        <f>IF(L596="","",L596-B596)</f>
        <v>6</v>
      </c>
      <c r="T596" s="153">
        <f>IF(N596="","",N596-L596)</f>
        <v>0</v>
      </c>
      <c r="U596" s="153">
        <f>IF(O596="","",O596-N596)</f>
        <v>0</v>
      </c>
      <c r="V596" s="154">
        <f>IF(O596="","",O596-B596)</f>
        <v>6</v>
      </c>
      <c r="W596" s="154">
        <f>IF(O596="","",O596-L596)</f>
        <v>0</v>
      </c>
      <c r="X596" s="154">
        <f>IF(R596="","",R596-B596)</f>
        <v>8</v>
      </c>
    </row>
    <row r="597" spans="2:24" ht="17.25" hidden="1" customHeight="1">
      <c r="B597" s="23">
        <v>45736</v>
      </c>
      <c r="C597" s="7">
        <v>2003588265</v>
      </c>
      <c r="D597" s="20">
        <v>124752</v>
      </c>
      <c r="E597" s="27" t="s">
        <v>123</v>
      </c>
      <c r="F597" s="7" t="s">
        <v>107</v>
      </c>
      <c r="G597" s="7" t="s">
        <v>10</v>
      </c>
      <c r="H597" s="7" t="s">
        <v>45</v>
      </c>
      <c r="I597" s="20" t="s">
        <v>489</v>
      </c>
      <c r="J597" s="20" t="s">
        <v>490</v>
      </c>
      <c r="K597" s="7" t="s">
        <v>110</v>
      </c>
      <c r="L597" s="61">
        <v>45741</v>
      </c>
      <c r="M597" s="7" t="s">
        <v>111</v>
      </c>
      <c r="N597" s="24">
        <v>45745</v>
      </c>
      <c r="O597" s="24">
        <v>45745</v>
      </c>
      <c r="P597" s="59"/>
      <c r="Q597" s="124" t="e">
        <f>P597*#REF!</f>
        <v>#REF!</v>
      </c>
      <c r="R597" s="126">
        <v>45747</v>
      </c>
      <c r="S597" s="153">
        <f>IF(L597="","",L597-B597)</f>
        <v>5</v>
      </c>
      <c r="T597" s="153">
        <f>IF(N597="","",N597-L597)</f>
        <v>4</v>
      </c>
      <c r="U597" s="153">
        <f>IF(O597="","",O597-N597)</f>
        <v>0</v>
      </c>
      <c r="V597" s="154">
        <f>IF(O597="","",O597-B597)</f>
        <v>9</v>
      </c>
      <c r="W597" s="154">
        <f>IF(O597="","",O597-L597)</f>
        <v>4</v>
      </c>
      <c r="X597" s="154">
        <f>IF(R597="","",R597-B597)</f>
        <v>11</v>
      </c>
    </row>
    <row r="598" spans="2:24" ht="17.25" hidden="1" customHeight="1">
      <c r="B598" s="23">
        <v>45736</v>
      </c>
      <c r="C598" s="7">
        <v>2003627308</v>
      </c>
      <c r="D598" s="20">
        <v>125102</v>
      </c>
      <c r="E598" s="27" t="s">
        <v>123</v>
      </c>
      <c r="F598" s="7" t="s">
        <v>107</v>
      </c>
      <c r="G598" s="7" t="s">
        <v>26</v>
      </c>
      <c r="H598" s="7" t="s">
        <v>45</v>
      </c>
      <c r="I598" s="20" t="s">
        <v>1079</v>
      </c>
      <c r="J598" s="20" t="s">
        <v>1080</v>
      </c>
      <c r="K598" s="7" t="s">
        <v>119</v>
      </c>
      <c r="L598" s="61">
        <v>45742</v>
      </c>
      <c r="M598" s="7" t="s">
        <v>111</v>
      </c>
      <c r="N598" s="24">
        <v>45743</v>
      </c>
      <c r="O598" s="58">
        <v>45743</v>
      </c>
      <c r="P598" s="59"/>
      <c r="Q598" s="124" t="e">
        <f>P598*#REF!</f>
        <v>#REF!</v>
      </c>
      <c r="R598" s="126">
        <v>45743</v>
      </c>
      <c r="S598" s="153">
        <f>IF(L598="","",L598-B598)</f>
        <v>6</v>
      </c>
      <c r="T598" s="153">
        <f>IF(N598="","",N598-L598)</f>
        <v>1</v>
      </c>
      <c r="U598" s="153">
        <f>IF(O598="","",O598-N598)</f>
        <v>0</v>
      </c>
      <c r="V598" s="154">
        <f>IF(O598="","",O598-B598)</f>
        <v>7</v>
      </c>
      <c r="W598" s="154">
        <f>IF(O598="","",O598-L598)</f>
        <v>1</v>
      </c>
      <c r="X598" s="154">
        <f>IF(R598="","",R598-B598)</f>
        <v>7</v>
      </c>
    </row>
    <row r="599" spans="2:24" ht="17.25" hidden="1" customHeight="1">
      <c r="B599" s="23">
        <v>45737</v>
      </c>
      <c r="C599" s="7">
        <v>2003639100</v>
      </c>
      <c r="D599" s="20">
        <v>126042</v>
      </c>
      <c r="E599" s="27" t="s">
        <v>185</v>
      </c>
      <c r="F599" s="7" t="s">
        <v>107</v>
      </c>
      <c r="G599" s="7" t="s">
        <v>26</v>
      </c>
      <c r="H599" s="7" t="s">
        <v>45</v>
      </c>
      <c r="I599" s="20" t="s">
        <v>423</v>
      </c>
      <c r="J599" s="20" t="s">
        <v>1081</v>
      </c>
      <c r="K599" s="7" t="s">
        <v>110</v>
      </c>
      <c r="L599" s="61">
        <v>45747</v>
      </c>
      <c r="M599" s="7" t="s">
        <v>111</v>
      </c>
      <c r="P599" s="59"/>
      <c r="Q599" s="124" t="e">
        <f>P599*#REF!</f>
        <v>#REF!</v>
      </c>
      <c r="R599" s="126">
        <v>45742</v>
      </c>
      <c r="S599" s="153">
        <f>IF(L599="","",L599-B599)</f>
        <v>10</v>
      </c>
      <c r="T599" s="153" t="str">
        <f>IF(N599="","",N599-L599)</f>
        <v/>
      </c>
      <c r="U599" s="153" t="str">
        <f>IF(O599="","",O599-N599)</f>
        <v/>
      </c>
      <c r="V599" s="154" t="str">
        <f>IF(O599="","",O599-B599)</f>
        <v/>
      </c>
      <c r="W599" s="154" t="str">
        <f>IF(O599="","",O599-L599)</f>
        <v/>
      </c>
      <c r="X599" s="154">
        <f>IF(R599="","",R599-B599)</f>
        <v>5</v>
      </c>
    </row>
    <row r="600" spans="2:24" ht="17.25" hidden="1" customHeight="1">
      <c r="B600" s="23">
        <v>45737</v>
      </c>
      <c r="C600" s="7">
        <v>2003638627</v>
      </c>
      <c r="D600" s="20">
        <v>5839335</v>
      </c>
      <c r="E600" s="27" t="s">
        <v>191</v>
      </c>
      <c r="F600" s="7" t="s">
        <v>107</v>
      </c>
      <c r="G600" s="7" t="s">
        <v>10</v>
      </c>
      <c r="H600" s="7" t="s">
        <v>45</v>
      </c>
      <c r="I600" s="20" t="s">
        <v>453</v>
      </c>
      <c r="J600" s="20" t="s">
        <v>454</v>
      </c>
      <c r="K600" s="7" t="s">
        <v>110</v>
      </c>
      <c r="L600" s="61">
        <v>45742</v>
      </c>
      <c r="M600" s="7" t="s">
        <v>111</v>
      </c>
      <c r="N600" s="61">
        <v>45742</v>
      </c>
      <c r="O600" s="58">
        <v>45743</v>
      </c>
      <c r="P600" s="59"/>
      <c r="Q600" s="124" t="e">
        <f>P600*#REF!</f>
        <v>#REF!</v>
      </c>
      <c r="R600" s="126">
        <v>45744</v>
      </c>
      <c r="S600" s="153">
        <f>IF(L600="","",L600-B600)</f>
        <v>5</v>
      </c>
      <c r="T600" s="153">
        <f>IF(N600="","",N600-L600)</f>
        <v>0</v>
      </c>
      <c r="U600" s="153">
        <f>IF(O600="","",O600-N600)</f>
        <v>1</v>
      </c>
      <c r="V600" s="154">
        <f>IF(O600="","",O600-B600)</f>
        <v>6</v>
      </c>
      <c r="W600" s="154">
        <f>IF(O600="","",O600-L600)</f>
        <v>1</v>
      </c>
      <c r="X600" s="154">
        <f>IF(R600="","",R600-B600)</f>
        <v>7</v>
      </c>
    </row>
    <row r="601" spans="2:24" ht="17.25" hidden="1" customHeight="1">
      <c r="B601" s="23">
        <v>45737</v>
      </c>
      <c r="C601" s="7">
        <v>2003625291</v>
      </c>
      <c r="D601" s="20">
        <v>5839594</v>
      </c>
      <c r="E601" s="27" t="s">
        <v>265</v>
      </c>
      <c r="F601" s="7" t="s">
        <v>113</v>
      </c>
      <c r="G601" s="7" t="s">
        <v>70</v>
      </c>
      <c r="H601" s="7" t="s">
        <v>47</v>
      </c>
      <c r="I601" s="20" t="s">
        <v>108</v>
      </c>
      <c r="J601" s="20" t="s">
        <v>1082</v>
      </c>
      <c r="K601" s="7" t="s">
        <v>160</v>
      </c>
      <c r="P601" s="59"/>
      <c r="Q601" s="124" t="e">
        <f>P601*#REF!</f>
        <v>#REF!</v>
      </c>
      <c r="R601" s="126">
        <v>45747</v>
      </c>
      <c r="S601" s="153" t="str">
        <f>IF(L601="","",L601-B601)</f>
        <v/>
      </c>
      <c r="T601" s="153" t="str">
        <f>IF(N601="","",N601-L601)</f>
        <v/>
      </c>
      <c r="U601" s="153" t="str">
        <f>IF(O601="","",O601-N601)</f>
        <v/>
      </c>
      <c r="V601" s="154" t="str">
        <f>IF(O601="","",O601-B601)</f>
        <v/>
      </c>
      <c r="W601" s="154" t="str">
        <f>IF(O601="","",O601-L601)</f>
        <v/>
      </c>
      <c r="X601" s="154">
        <f>IF(R601="","",R601-B601)</f>
        <v>10</v>
      </c>
    </row>
    <row r="602" spans="2:24" ht="17.25" hidden="1" customHeight="1">
      <c r="B602" s="23">
        <v>45737</v>
      </c>
      <c r="C602" s="7">
        <v>2003621825</v>
      </c>
      <c r="D602" s="20">
        <v>5839728</v>
      </c>
      <c r="E602" s="27" t="s">
        <v>185</v>
      </c>
      <c r="F602" s="7" t="s">
        <v>107</v>
      </c>
      <c r="G602" s="7" t="s">
        <v>18</v>
      </c>
      <c r="H602" s="7" t="s">
        <v>45</v>
      </c>
      <c r="I602" s="20" t="s">
        <v>884</v>
      </c>
      <c r="J602" s="20" t="s">
        <v>885</v>
      </c>
      <c r="K602" s="7" t="s">
        <v>110</v>
      </c>
      <c r="L602" s="61">
        <v>45741</v>
      </c>
      <c r="M602" s="7" t="s">
        <v>111</v>
      </c>
      <c r="N602" s="61">
        <v>45741</v>
      </c>
      <c r="O602" s="58">
        <v>45742</v>
      </c>
      <c r="P602" s="59"/>
      <c r="Q602" s="124" t="e">
        <f>P602*#REF!</f>
        <v>#REF!</v>
      </c>
      <c r="R602" s="126">
        <v>45742</v>
      </c>
      <c r="S602" s="153">
        <f>IF(L602="","",L602-B602)</f>
        <v>4</v>
      </c>
      <c r="T602" s="153">
        <f>IF(N602="","",N602-L602)</f>
        <v>0</v>
      </c>
      <c r="U602" s="153">
        <f>IF(O602="","",O602-N602)</f>
        <v>1</v>
      </c>
      <c r="V602" s="154">
        <f>IF(O602="","",O602-B602)</f>
        <v>5</v>
      </c>
      <c r="W602" s="154">
        <f>IF(O602="","",O602-L602)</f>
        <v>1</v>
      </c>
      <c r="X602" s="154">
        <f>IF(R602="","",R602-B602)</f>
        <v>5</v>
      </c>
    </row>
    <row r="603" spans="2:24" ht="17.25" hidden="1" customHeight="1">
      <c r="B603" s="23">
        <v>45737</v>
      </c>
      <c r="C603" s="7">
        <v>2003638152</v>
      </c>
      <c r="D603" s="20">
        <v>5839832</v>
      </c>
      <c r="E603" s="27" t="s">
        <v>138</v>
      </c>
      <c r="F603" s="7" t="s">
        <v>107</v>
      </c>
      <c r="G603" s="7" t="s">
        <v>10</v>
      </c>
      <c r="H603" s="7" t="s">
        <v>45</v>
      </c>
      <c r="I603" s="20" t="s">
        <v>1083</v>
      </c>
      <c r="J603" s="20" t="s">
        <v>1084</v>
      </c>
      <c r="K603" s="7" t="s">
        <v>119</v>
      </c>
      <c r="L603" s="61">
        <v>45742</v>
      </c>
      <c r="M603" s="7" t="s">
        <v>111</v>
      </c>
      <c r="N603" s="24">
        <v>45748</v>
      </c>
      <c r="O603" s="24">
        <v>45748</v>
      </c>
      <c r="P603" s="59"/>
      <c r="Q603" s="124" t="e">
        <f>P603*#REF!</f>
        <v>#REF!</v>
      </c>
      <c r="R603" s="126">
        <v>45750</v>
      </c>
      <c r="S603" s="153">
        <f>IF(L603="","",L603-B603)</f>
        <v>5</v>
      </c>
      <c r="T603" s="153">
        <f>IF(N603="","",N603-L603)</f>
        <v>6</v>
      </c>
      <c r="U603" s="153">
        <f>IF(O603="","",O603-N603)</f>
        <v>0</v>
      </c>
      <c r="V603" s="154">
        <f>IF(O603="","",O603-B603)</f>
        <v>11</v>
      </c>
      <c r="W603" s="154">
        <f>IF(O603="","",O603-L603)</f>
        <v>6</v>
      </c>
      <c r="X603" s="154">
        <f>IF(R603="","",R603-B603)</f>
        <v>13</v>
      </c>
    </row>
    <row r="604" spans="2:24" ht="17.25" hidden="1" customHeight="1">
      <c r="B604" s="23">
        <v>45737</v>
      </c>
      <c r="C604" s="7">
        <v>2003626298</v>
      </c>
      <c r="D604" s="20">
        <v>5840091</v>
      </c>
      <c r="E604" s="27" t="s">
        <v>126</v>
      </c>
      <c r="F604" s="7" t="s">
        <v>107</v>
      </c>
      <c r="G604" s="7" t="s">
        <v>18</v>
      </c>
      <c r="H604" s="7" t="s">
        <v>45</v>
      </c>
      <c r="I604" s="20" t="s">
        <v>1085</v>
      </c>
      <c r="J604" s="20" t="s">
        <v>1086</v>
      </c>
      <c r="K604" s="7" t="s">
        <v>110</v>
      </c>
      <c r="L604" s="61">
        <v>45741</v>
      </c>
      <c r="M604" s="7" t="s">
        <v>111</v>
      </c>
      <c r="N604" s="61">
        <v>45741</v>
      </c>
      <c r="O604" s="58">
        <v>45748</v>
      </c>
      <c r="P604" s="59"/>
      <c r="Q604" s="124" t="e">
        <f>P604*#REF!</f>
        <v>#REF!</v>
      </c>
      <c r="R604" s="126">
        <v>45750</v>
      </c>
      <c r="S604" s="153">
        <f>IF(L604="","",L604-B604)</f>
        <v>4</v>
      </c>
      <c r="T604" s="153">
        <f>IF(N604="","",N604-L604)</f>
        <v>0</v>
      </c>
      <c r="U604" s="153">
        <f>IF(O604="","",O604-N604)</f>
        <v>7</v>
      </c>
      <c r="V604" s="154">
        <f>IF(O604="","",O604-B604)</f>
        <v>11</v>
      </c>
      <c r="W604" s="154">
        <f>IF(O604="","",O604-L604)</f>
        <v>7</v>
      </c>
      <c r="X604" s="154">
        <f>IF(R604="","",R604-B604)</f>
        <v>13</v>
      </c>
    </row>
    <row r="605" spans="2:24" ht="17.25" hidden="1" customHeight="1">
      <c r="B605" s="23">
        <v>45737</v>
      </c>
      <c r="C605" s="7">
        <v>2003636451</v>
      </c>
      <c r="D605" s="20">
        <v>5840095</v>
      </c>
      <c r="E605" s="27" t="s">
        <v>106</v>
      </c>
      <c r="F605" s="7" t="s">
        <v>107</v>
      </c>
      <c r="G605" s="7" t="s">
        <v>10</v>
      </c>
      <c r="H605" s="7" t="s">
        <v>45</v>
      </c>
      <c r="I605" s="20" t="s">
        <v>108</v>
      </c>
      <c r="J605" s="20" t="s">
        <v>1087</v>
      </c>
      <c r="K605" s="7" t="s">
        <v>119</v>
      </c>
      <c r="L605" s="61">
        <v>45742</v>
      </c>
      <c r="M605" s="7" t="s">
        <v>111</v>
      </c>
      <c r="N605" s="24">
        <v>45748</v>
      </c>
      <c r="O605" s="24">
        <v>45748</v>
      </c>
      <c r="P605" s="59"/>
      <c r="Q605" s="124" t="e">
        <f>P605*#REF!</f>
        <v>#REF!</v>
      </c>
      <c r="R605" s="126">
        <v>45750</v>
      </c>
      <c r="S605" s="153">
        <f>IF(L605="","",L605-B605)</f>
        <v>5</v>
      </c>
      <c r="T605" s="153">
        <f>IF(N605="","",N605-L605)</f>
        <v>6</v>
      </c>
      <c r="U605" s="153">
        <f>IF(O605="","",O605-N605)</f>
        <v>0</v>
      </c>
      <c r="V605" s="154">
        <f>IF(O605="","",O605-B605)</f>
        <v>11</v>
      </c>
      <c r="W605" s="154">
        <f>IF(O605="","",O605-L605)</f>
        <v>6</v>
      </c>
      <c r="X605" s="154">
        <f>IF(R605="","",R605-B605)</f>
        <v>13</v>
      </c>
    </row>
    <row r="606" spans="2:24" ht="17.25" hidden="1" customHeight="1">
      <c r="B606" s="23">
        <v>45737</v>
      </c>
      <c r="C606" s="7">
        <v>2003566780</v>
      </c>
      <c r="D606" s="20">
        <v>5840097</v>
      </c>
      <c r="E606" s="27" t="s">
        <v>149</v>
      </c>
      <c r="F606" s="7" t="s">
        <v>113</v>
      </c>
      <c r="G606" s="7" t="s">
        <v>70</v>
      </c>
      <c r="H606" s="7" t="s">
        <v>47</v>
      </c>
      <c r="I606" s="20" t="s">
        <v>1088</v>
      </c>
      <c r="J606" s="20" t="s">
        <v>1089</v>
      </c>
      <c r="K606" s="7" t="s">
        <v>110</v>
      </c>
      <c r="M606" s="7" t="s">
        <v>111</v>
      </c>
      <c r="P606" s="59"/>
      <c r="Q606" s="124" t="e">
        <f>P606*#REF!</f>
        <v>#REF!</v>
      </c>
      <c r="R606" s="126">
        <v>45741</v>
      </c>
      <c r="S606" s="153" t="str">
        <f>IF(L606="","",L606-B606)</f>
        <v/>
      </c>
      <c r="T606" s="153" t="str">
        <f>IF(N606="","",N606-L606)</f>
        <v/>
      </c>
      <c r="U606" s="153" t="str">
        <f>IF(O606="","",O606-N606)</f>
        <v/>
      </c>
      <c r="V606" s="154" t="str">
        <f>IF(O606="","",O606-B606)</f>
        <v/>
      </c>
      <c r="W606" s="154" t="str">
        <f>IF(O606="","",O606-L606)</f>
        <v/>
      </c>
      <c r="X606" s="154">
        <f>IF(R606="","",R606-B606)</f>
        <v>4</v>
      </c>
    </row>
    <row r="607" spans="2:24" ht="17.25" hidden="1" customHeight="1">
      <c r="B607" s="23">
        <v>45737</v>
      </c>
      <c r="C607" s="7">
        <v>2003636256</v>
      </c>
      <c r="D607" s="20">
        <v>5840169</v>
      </c>
      <c r="E607" s="27" t="s">
        <v>123</v>
      </c>
      <c r="F607" s="7" t="s">
        <v>107</v>
      </c>
      <c r="G607" s="7" t="s">
        <v>10</v>
      </c>
      <c r="H607" s="7" t="s">
        <v>45</v>
      </c>
      <c r="I607" s="20" t="s">
        <v>1090</v>
      </c>
      <c r="J607" s="20" t="s">
        <v>1091</v>
      </c>
      <c r="K607" s="7" t="s">
        <v>119</v>
      </c>
      <c r="L607" s="61">
        <v>45743</v>
      </c>
      <c r="M607" s="7" t="s">
        <v>111</v>
      </c>
      <c r="N607" s="24">
        <v>45763</v>
      </c>
      <c r="O607" s="58">
        <v>45765</v>
      </c>
      <c r="P607" s="59"/>
      <c r="Q607" s="124" t="e">
        <f>P607*#REF!</f>
        <v>#REF!</v>
      </c>
      <c r="R607" s="126">
        <v>45765</v>
      </c>
      <c r="S607" s="153">
        <f>IF(L607="","",L607-B607)</f>
        <v>6</v>
      </c>
      <c r="T607" s="153">
        <f>IF(N607="","",N607-L607)</f>
        <v>20</v>
      </c>
      <c r="U607" s="153">
        <f>IF(O607="","",O607-N607)</f>
        <v>2</v>
      </c>
      <c r="V607" s="154">
        <f>IF(O607="","",O607-B607)</f>
        <v>28</v>
      </c>
      <c r="W607" s="154">
        <f>IF(O607="","",O607-L607)</f>
        <v>22</v>
      </c>
      <c r="X607" s="154">
        <f>IF(R607="","",R607-B607)</f>
        <v>28</v>
      </c>
    </row>
    <row r="608" spans="2:24" ht="17.25" hidden="1" customHeight="1">
      <c r="B608" s="23">
        <v>45748</v>
      </c>
      <c r="C608" s="7">
        <v>2003642412</v>
      </c>
      <c r="D608" s="20">
        <v>5863679</v>
      </c>
      <c r="E608" s="27" t="s">
        <v>123</v>
      </c>
      <c r="F608" s="7" t="s">
        <v>107</v>
      </c>
      <c r="G608" s="7" t="s">
        <v>18</v>
      </c>
      <c r="H608" s="7" t="s">
        <v>45</v>
      </c>
      <c r="I608" s="20" t="s">
        <v>1092</v>
      </c>
      <c r="J608" s="20" t="s">
        <v>1093</v>
      </c>
      <c r="K608" s="7" t="s">
        <v>122</v>
      </c>
      <c r="L608" s="61">
        <v>45750</v>
      </c>
      <c r="M608" s="7" t="s">
        <v>111</v>
      </c>
      <c r="N608" s="61">
        <v>45754</v>
      </c>
      <c r="O608" s="58">
        <v>45755</v>
      </c>
      <c r="P608" s="59"/>
      <c r="Q608" s="124" t="e">
        <f>P608*#REF!</f>
        <v>#REF!</v>
      </c>
      <c r="R608" s="126">
        <v>45755</v>
      </c>
      <c r="S608" s="153">
        <f>IF(L608="","",L608-B608)</f>
        <v>2</v>
      </c>
      <c r="T608" s="153">
        <f>IF(N608="","",N608-L608)</f>
        <v>4</v>
      </c>
      <c r="U608" s="153">
        <f>IF(O608="","",O608-N608)</f>
        <v>1</v>
      </c>
      <c r="V608" s="154">
        <f>IF(O608="","",O608-B608)</f>
        <v>7</v>
      </c>
      <c r="W608" s="154">
        <f>IF(O608="","",O608-L608)</f>
        <v>5</v>
      </c>
      <c r="X608" s="154">
        <f>IF(R608="","",R608-B608)</f>
        <v>7</v>
      </c>
    </row>
    <row r="609" spans="2:24" ht="17.25" hidden="1" customHeight="1">
      <c r="B609" s="23">
        <v>45741</v>
      </c>
      <c r="C609" s="7">
        <v>2003627915</v>
      </c>
      <c r="D609" s="20">
        <v>127630</v>
      </c>
      <c r="E609" s="27" t="s">
        <v>152</v>
      </c>
      <c r="F609" s="7" t="s">
        <v>107</v>
      </c>
      <c r="G609" s="7" t="s">
        <v>21</v>
      </c>
      <c r="H609" s="7" t="s">
        <v>45</v>
      </c>
      <c r="I609" s="20" t="s">
        <v>925</v>
      </c>
      <c r="J609" s="20" t="s">
        <v>926</v>
      </c>
      <c r="K609" s="7" t="s">
        <v>111</v>
      </c>
      <c r="L609" s="61">
        <v>45742</v>
      </c>
      <c r="M609" s="7" t="s">
        <v>111</v>
      </c>
      <c r="N609" s="61">
        <v>45742</v>
      </c>
      <c r="O609" s="58">
        <v>45743</v>
      </c>
      <c r="P609" s="59"/>
      <c r="Q609" s="124" t="e">
        <f>P609*#REF!</f>
        <v>#REF!</v>
      </c>
      <c r="R609" s="126">
        <v>45744</v>
      </c>
      <c r="S609" s="153">
        <f>IF(L609="","",L609-B609)</f>
        <v>1</v>
      </c>
      <c r="T609" s="153">
        <f>IF(N609="","",N609-L609)</f>
        <v>0</v>
      </c>
      <c r="U609" s="153">
        <f>IF(O609="","",O609-N609)</f>
        <v>1</v>
      </c>
      <c r="V609" s="154">
        <f>IF(O609="","",O609-B609)</f>
        <v>2</v>
      </c>
      <c r="W609" s="154">
        <f>IF(O609="","",O609-L609)</f>
        <v>1</v>
      </c>
      <c r="X609" s="154">
        <f>IF(R609="","",R609-B609)</f>
        <v>3</v>
      </c>
    </row>
    <row r="610" spans="2:24" ht="17.25" hidden="1" customHeight="1">
      <c r="B610" s="23">
        <v>45741</v>
      </c>
      <c r="C610" s="7">
        <v>2003627680</v>
      </c>
      <c r="D610" s="20">
        <v>127486</v>
      </c>
      <c r="E610" s="27" t="s">
        <v>123</v>
      </c>
      <c r="F610" s="7" t="s">
        <v>107</v>
      </c>
      <c r="G610" s="7" t="s">
        <v>10</v>
      </c>
      <c r="H610" s="7" t="s">
        <v>45</v>
      </c>
      <c r="I610" s="20" t="s">
        <v>1094</v>
      </c>
      <c r="J610" s="20" t="s">
        <v>1095</v>
      </c>
      <c r="K610" s="7" t="s">
        <v>122</v>
      </c>
      <c r="L610" s="61">
        <v>45743</v>
      </c>
      <c r="M610" s="7" t="s">
        <v>111</v>
      </c>
      <c r="N610" s="61">
        <v>45744</v>
      </c>
      <c r="O610" s="58">
        <v>45747</v>
      </c>
      <c r="P610" s="59"/>
      <c r="Q610" s="124" t="e">
        <f>P610*#REF!</f>
        <v>#REF!</v>
      </c>
      <c r="R610" s="126">
        <v>45747</v>
      </c>
      <c r="S610" s="153">
        <f>IF(L610="","",L610-B610)</f>
        <v>2</v>
      </c>
      <c r="T610" s="153">
        <f>IF(N610="","",N610-L610)</f>
        <v>1</v>
      </c>
      <c r="U610" s="153">
        <f>IF(O610="","",O610-N610)</f>
        <v>3</v>
      </c>
      <c r="V610" s="154">
        <f>IF(O610="","",O610-B610)</f>
        <v>6</v>
      </c>
      <c r="W610" s="154">
        <f>IF(O610="","",O610-L610)</f>
        <v>4</v>
      </c>
      <c r="X610" s="154">
        <f>IF(R610="","",R610-B610)</f>
        <v>6</v>
      </c>
    </row>
    <row r="611" spans="2:24" ht="17.25" hidden="1" customHeight="1">
      <c r="B611" s="23">
        <v>45741</v>
      </c>
      <c r="C611" s="7">
        <v>2003633814</v>
      </c>
      <c r="D611" s="20">
        <v>127505</v>
      </c>
      <c r="E611" s="27" t="s">
        <v>198</v>
      </c>
      <c r="F611" s="7" t="s">
        <v>107</v>
      </c>
      <c r="G611" s="7" t="s">
        <v>10</v>
      </c>
      <c r="H611" s="7" t="s">
        <v>45</v>
      </c>
      <c r="I611" s="20" t="s">
        <v>1096</v>
      </c>
      <c r="J611" s="20" t="s">
        <v>1097</v>
      </c>
      <c r="K611" s="7" t="s">
        <v>110</v>
      </c>
      <c r="L611" s="61">
        <v>45744</v>
      </c>
      <c r="M611" s="7" t="s">
        <v>111</v>
      </c>
      <c r="N611" s="61">
        <v>45744</v>
      </c>
      <c r="O611" s="58">
        <v>45747</v>
      </c>
      <c r="P611" s="59"/>
      <c r="Q611" s="124" t="e">
        <f>P611*#REF!</f>
        <v>#REF!</v>
      </c>
      <c r="R611" s="126">
        <v>45747</v>
      </c>
      <c r="S611" s="153">
        <f>IF(L611="","",L611-B611)</f>
        <v>3</v>
      </c>
      <c r="T611" s="153">
        <f>IF(N611="","",N611-L611)</f>
        <v>0</v>
      </c>
      <c r="U611" s="153">
        <f>IF(O611="","",O611-N611)</f>
        <v>3</v>
      </c>
      <c r="V611" s="154">
        <f>IF(O611="","",O611-B611)</f>
        <v>6</v>
      </c>
      <c r="W611" s="154">
        <f>IF(O611="","",O611-L611)</f>
        <v>3</v>
      </c>
      <c r="X611" s="154">
        <f>IF(R611="","",R611-B611)</f>
        <v>6</v>
      </c>
    </row>
    <row r="612" spans="2:24" ht="17.25" hidden="1" customHeight="1">
      <c r="B612" s="23">
        <v>45741</v>
      </c>
      <c r="C612" s="7">
        <v>2003601144</v>
      </c>
      <c r="D612" s="20">
        <v>127053</v>
      </c>
      <c r="E612" s="27" t="s">
        <v>1098</v>
      </c>
      <c r="F612" s="7" t="s">
        <v>107</v>
      </c>
      <c r="G612" s="7" t="s">
        <v>18</v>
      </c>
      <c r="H612" s="7" t="s">
        <v>45</v>
      </c>
      <c r="I612" s="20" t="s">
        <v>623</v>
      </c>
      <c r="J612" s="20" t="s">
        <v>624</v>
      </c>
      <c r="K612" s="7" t="s">
        <v>119</v>
      </c>
      <c r="L612" s="61">
        <v>45742</v>
      </c>
      <c r="M612" s="7" t="s">
        <v>111</v>
      </c>
      <c r="N612" s="61">
        <v>45742</v>
      </c>
      <c r="O612" s="61">
        <v>45742</v>
      </c>
      <c r="P612" s="59"/>
      <c r="Q612" s="124" t="e">
        <f>P612*#REF!</f>
        <v>#REF!</v>
      </c>
      <c r="R612" s="126">
        <v>45743</v>
      </c>
      <c r="S612" s="153">
        <f>IF(L612="","",L612-B612)</f>
        <v>1</v>
      </c>
      <c r="T612" s="153">
        <f>IF(N612="","",N612-L612)</f>
        <v>0</v>
      </c>
      <c r="U612" s="153">
        <f>IF(O612="","",O612-N612)</f>
        <v>0</v>
      </c>
      <c r="V612" s="154">
        <f>IF(O612="","",O612-B612)</f>
        <v>1</v>
      </c>
      <c r="W612" s="154">
        <f>IF(O612="","",O612-L612)</f>
        <v>0</v>
      </c>
      <c r="X612" s="154">
        <f>IF(R612="","",R612-B612)</f>
        <v>2</v>
      </c>
    </row>
    <row r="613" spans="2:24" ht="17.25" hidden="1" customHeight="1">
      <c r="B613" s="23">
        <v>45741</v>
      </c>
      <c r="C613" s="7">
        <v>2003565289</v>
      </c>
      <c r="D613" s="20">
        <v>127039</v>
      </c>
      <c r="E613" s="27" t="s">
        <v>132</v>
      </c>
      <c r="F613" s="7" t="s">
        <v>107</v>
      </c>
      <c r="G613" s="7" t="s">
        <v>166</v>
      </c>
      <c r="H613" s="7" t="s">
        <v>45</v>
      </c>
      <c r="I613" s="20" t="s">
        <v>196</v>
      </c>
      <c r="J613" s="20" t="s">
        <v>373</v>
      </c>
      <c r="K613" s="7" t="s">
        <v>110</v>
      </c>
      <c r="L613" s="61">
        <v>45742</v>
      </c>
      <c r="M613" s="7" t="s">
        <v>111</v>
      </c>
      <c r="N613" s="61">
        <v>45742</v>
      </c>
      <c r="O613" s="61">
        <v>45742</v>
      </c>
      <c r="P613" s="59"/>
      <c r="Q613" s="124" t="e">
        <f>P613*#REF!</f>
        <v>#REF!</v>
      </c>
      <c r="R613" s="126">
        <v>45743</v>
      </c>
      <c r="S613" s="153">
        <f>IF(L613="","",L613-B613)</f>
        <v>1</v>
      </c>
      <c r="T613" s="153">
        <f>IF(N613="","",N613-L613)</f>
        <v>0</v>
      </c>
      <c r="U613" s="153">
        <f>IF(O613="","",O613-N613)</f>
        <v>0</v>
      </c>
      <c r="V613" s="154">
        <f>IF(O613="","",O613-B613)</f>
        <v>1</v>
      </c>
      <c r="W613" s="154">
        <f>IF(O613="","",O613-L613)</f>
        <v>0</v>
      </c>
      <c r="X613" s="154">
        <f>IF(R613="","",R613-B613)</f>
        <v>2</v>
      </c>
    </row>
    <row r="614" spans="2:24" ht="17.25" hidden="1" customHeight="1">
      <c r="B614" s="23">
        <v>45741</v>
      </c>
      <c r="C614" s="7">
        <v>2003634863</v>
      </c>
      <c r="D614" s="20">
        <v>5840333</v>
      </c>
      <c r="E614" s="27" t="s">
        <v>185</v>
      </c>
      <c r="F614" s="7" t="s">
        <v>107</v>
      </c>
      <c r="G614" s="7" t="s">
        <v>18</v>
      </c>
      <c r="H614" s="7" t="s">
        <v>45</v>
      </c>
      <c r="I614" s="20" t="s">
        <v>732</v>
      </c>
      <c r="J614" s="20" t="s">
        <v>1099</v>
      </c>
      <c r="K614" s="7" t="s">
        <v>110</v>
      </c>
      <c r="L614" s="61">
        <v>45742</v>
      </c>
      <c r="M614" s="7" t="s">
        <v>111</v>
      </c>
      <c r="N614" s="61">
        <v>45742</v>
      </c>
      <c r="O614" s="61">
        <v>45742</v>
      </c>
      <c r="P614" s="59"/>
      <c r="Q614" s="124" t="e">
        <f>P614*#REF!</f>
        <v>#REF!</v>
      </c>
      <c r="R614" s="126">
        <v>45743</v>
      </c>
      <c r="S614" s="153">
        <f>IF(L614="","",L614-B614)</f>
        <v>1</v>
      </c>
      <c r="T614" s="153">
        <f>IF(N614="","",N614-L614)</f>
        <v>0</v>
      </c>
      <c r="U614" s="153">
        <f>IF(O614="","",O614-N614)</f>
        <v>0</v>
      </c>
      <c r="V614" s="154">
        <f>IF(O614="","",O614-B614)</f>
        <v>1</v>
      </c>
      <c r="W614" s="154">
        <f>IF(O614="","",O614-L614)</f>
        <v>0</v>
      </c>
      <c r="X614" s="154">
        <f>IF(R614="","",R614-B614)</f>
        <v>2</v>
      </c>
    </row>
    <row r="615" spans="2:24" ht="17.25" hidden="1" customHeight="1">
      <c r="B615" s="23">
        <v>45741</v>
      </c>
      <c r="C615" s="7">
        <v>2003570469</v>
      </c>
      <c r="D615" s="20">
        <v>5840348</v>
      </c>
      <c r="E615" s="27" t="s">
        <v>185</v>
      </c>
      <c r="F615" s="7" t="s">
        <v>107</v>
      </c>
      <c r="G615" s="7" t="s">
        <v>26</v>
      </c>
      <c r="H615" s="7" t="s">
        <v>45</v>
      </c>
      <c r="I615" s="20" t="s">
        <v>1100</v>
      </c>
      <c r="J615" s="20" t="s">
        <v>1101</v>
      </c>
      <c r="K615" s="7" t="s">
        <v>110</v>
      </c>
      <c r="L615" s="61">
        <v>45744</v>
      </c>
      <c r="M615" s="7" t="s">
        <v>111</v>
      </c>
      <c r="N615" s="24">
        <v>45744</v>
      </c>
      <c r="O615" s="58">
        <v>45744</v>
      </c>
      <c r="P615" s="59"/>
      <c r="Q615" s="124" t="e">
        <f>P615*#REF!</f>
        <v>#REF!</v>
      </c>
      <c r="R615" s="126">
        <v>45744</v>
      </c>
      <c r="S615" s="153">
        <f>IF(L615="","",L615-B615)</f>
        <v>3</v>
      </c>
      <c r="T615" s="153">
        <f>IF(N615="","",N615-L615)</f>
        <v>0</v>
      </c>
      <c r="U615" s="153">
        <f>IF(O615="","",O615-N615)</f>
        <v>0</v>
      </c>
      <c r="V615" s="154">
        <f>IF(O615="","",O615-B615)</f>
        <v>3</v>
      </c>
      <c r="W615" s="154">
        <f>IF(O615="","",O615-L615)</f>
        <v>0</v>
      </c>
      <c r="X615" s="154">
        <f>IF(R615="","",R615-B615)</f>
        <v>3</v>
      </c>
    </row>
    <row r="616" spans="2:24" ht="17.25" hidden="1" customHeight="1">
      <c r="B616" s="23">
        <v>45741</v>
      </c>
      <c r="C616" s="7">
        <v>2003553273</v>
      </c>
      <c r="D616" s="20">
        <v>5840721</v>
      </c>
      <c r="E616" s="27" t="s">
        <v>116</v>
      </c>
      <c r="F616" s="7" t="s">
        <v>107</v>
      </c>
      <c r="G616" s="7" t="s">
        <v>10</v>
      </c>
      <c r="H616" s="7" t="s">
        <v>45</v>
      </c>
      <c r="I616" s="20" t="s">
        <v>1102</v>
      </c>
      <c r="J616" s="20" t="s">
        <v>1103</v>
      </c>
      <c r="K616" s="7" t="s">
        <v>119</v>
      </c>
      <c r="L616" s="61">
        <v>45743</v>
      </c>
      <c r="M616" s="7" t="s">
        <v>111</v>
      </c>
      <c r="N616" s="61">
        <v>45743</v>
      </c>
      <c r="O616" s="58">
        <v>45747</v>
      </c>
      <c r="P616" s="59"/>
      <c r="Q616" s="124" t="e">
        <f>P616*#REF!</f>
        <v>#REF!</v>
      </c>
      <c r="R616" s="126">
        <v>45747</v>
      </c>
      <c r="S616" s="153">
        <f>IF(L616="","",L616-B616)</f>
        <v>2</v>
      </c>
      <c r="T616" s="153">
        <f>IF(N616="","",N616-L616)</f>
        <v>0</v>
      </c>
      <c r="U616" s="153">
        <f>IF(O616="","",O616-N616)</f>
        <v>4</v>
      </c>
      <c r="V616" s="154">
        <f>IF(O616="","",O616-B616)</f>
        <v>6</v>
      </c>
      <c r="W616" s="154">
        <f>IF(O616="","",O616-L616)</f>
        <v>4</v>
      </c>
      <c r="X616" s="154">
        <f>IF(R616="","",R616-B616)</f>
        <v>6</v>
      </c>
    </row>
    <row r="617" spans="2:24" ht="17.25" hidden="1" customHeight="1">
      <c r="B617" s="23">
        <v>45741</v>
      </c>
      <c r="C617" s="7">
        <v>2003611421</v>
      </c>
      <c r="D617" s="20">
        <v>5840922</v>
      </c>
      <c r="E617" s="27" t="s">
        <v>106</v>
      </c>
      <c r="F617" s="7" t="s">
        <v>107</v>
      </c>
      <c r="G617" s="7" t="s">
        <v>18</v>
      </c>
      <c r="H617" s="7" t="s">
        <v>45</v>
      </c>
      <c r="I617" s="20" t="s">
        <v>1104</v>
      </c>
      <c r="J617" s="20" t="s">
        <v>1105</v>
      </c>
      <c r="K617" s="7" t="s">
        <v>119</v>
      </c>
      <c r="L617" s="61">
        <v>45744</v>
      </c>
      <c r="M617" s="7" t="s">
        <v>111</v>
      </c>
      <c r="N617" s="61">
        <v>45744</v>
      </c>
      <c r="O617" s="58">
        <v>45747</v>
      </c>
      <c r="P617" s="59">
        <v>105</v>
      </c>
      <c r="Q617" s="124" t="e">
        <f>P617*#REF!</f>
        <v>#REF!</v>
      </c>
      <c r="R617" s="126">
        <v>45747</v>
      </c>
      <c r="S617" s="153">
        <f>IF(L617="","",L617-B617)</f>
        <v>3</v>
      </c>
      <c r="T617" s="153">
        <f>IF(N617="","",N617-L617)</f>
        <v>0</v>
      </c>
      <c r="U617" s="153">
        <f>IF(O617="","",O617-N617)</f>
        <v>3</v>
      </c>
      <c r="V617" s="154">
        <f>IF(O617="","",O617-B617)</f>
        <v>6</v>
      </c>
      <c r="W617" s="154">
        <f>IF(O617="","",O617-L617)</f>
        <v>3</v>
      </c>
      <c r="X617" s="154">
        <f>IF(R617="","",R617-B617)</f>
        <v>6</v>
      </c>
    </row>
    <row r="618" spans="2:24" ht="17.25" hidden="1" customHeight="1">
      <c r="B618" s="23">
        <v>45741</v>
      </c>
      <c r="C618" s="7">
        <v>2003377537</v>
      </c>
      <c r="D618" s="20">
        <v>5840991</v>
      </c>
      <c r="E618" s="27" t="s">
        <v>198</v>
      </c>
      <c r="F618" s="7" t="s">
        <v>107</v>
      </c>
      <c r="G618" s="7" t="s">
        <v>10</v>
      </c>
      <c r="H618" s="7" t="s">
        <v>45</v>
      </c>
      <c r="I618" s="20" t="s">
        <v>1106</v>
      </c>
      <c r="J618" s="20" t="s">
        <v>1027</v>
      </c>
      <c r="K618" s="7" t="s">
        <v>111</v>
      </c>
      <c r="L618" s="61">
        <v>45742</v>
      </c>
      <c r="M618" s="7" t="s">
        <v>111</v>
      </c>
      <c r="N618" s="24">
        <v>45765</v>
      </c>
      <c r="O618" s="58">
        <v>45765</v>
      </c>
      <c r="P618" s="59"/>
      <c r="Q618" s="124" t="e">
        <f>P618*#REF!</f>
        <v>#REF!</v>
      </c>
      <c r="R618" s="126">
        <v>45765</v>
      </c>
      <c r="S618" s="153">
        <f>IF(L618="","",L618-B618)</f>
        <v>1</v>
      </c>
      <c r="T618" s="153">
        <f>IF(N618="","",N618-L618)</f>
        <v>23</v>
      </c>
      <c r="U618" s="153">
        <f>IF(O618="","",O618-N618)</f>
        <v>0</v>
      </c>
      <c r="V618" s="154">
        <f>IF(O618="","",O618-B618)</f>
        <v>24</v>
      </c>
      <c r="W618" s="154">
        <f>IF(O618="","",O618-L618)</f>
        <v>23</v>
      </c>
      <c r="X618" s="154">
        <f>IF(R618="","",R618-B618)</f>
        <v>24</v>
      </c>
    </row>
    <row r="619" spans="2:24" ht="17.25" hidden="1" customHeight="1">
      <c r="B619" s="23">
        <v>45741</v>
      </c>
      <c r="C619" s="7">
        <v>2003636535</v>
      </c>
      <c r="D619" s="20">
        <v>5841170</v>
      </c>
      <c r="E619" s="27" t="s">
        <v>123</v>
      </c>
      <c r="F619" s="7" t="s">
        <v>107</v>
      </c>
      <c r="G619" s="7" t="s">
        <v>10</v>
      </c>
      <c r="H619" s="7" t="s">
        <v>45</v>
      </c>
      <c r="I619" s="20" t="s">
        <v>1107</v>
      </c>
      <c r="J619" s="20" t="s">
        <v>1108</v>
      </c>
      <c r="K619" s="7" t="s">
        <v>119</v>
      </c>
      <c r="L619" s="61">
        <v>45743</v>
      </c>
      <c r="M619" s="7" t="s">
        <v>111</v>
      </c>
      <c r="N619" s="61">
        <v>45745</v>
      </c>
      <c r="O619" s="58">
        <v>45747</v>
      </c>
      <c r="P619" s="59"/>
      <c r="Q619" s="124" t="e">
        <f>P619*#REF!</f>
        <v>#REF!</v>
      </c>
      <c r="R619" s="126">
        <v>45747</v>
      </c>
      <c r="S619" s="153">
        <f>IF(L619="","",L619-B619)</f>
        <v>2</v>
      </c>
      <c r="T619" s="153">
        <f>IF(N619="","",N619-L619)</f>
        <v>2</v>
      </c>
      <c r="U619" s="153">
        <f>IF(O619="","",O619-N619)</f>
        <v>2</v>
      </c>
      <c r="V619" s="154">
        <f>IF(O619="","",O619-B619)</f>
        <v>6</v>
      </c>
      <c r="W619" s="154">
        <f>IF(O619="","",O619-L619)</f>
        <v>4</v>
      </c>
      <c r="X619" s="154">
        <f>IF(R619="","",R619-B619)</f>
        <v>6</v>
      </c>
    </row>
    <row r="620" spans="2:24" ht="17.25" hidden="1" customHeight="1">
      <c r="B620" s="23">
        <v>45741</v>
      </c>
      <c r="C620" s="7">
        <v>2003616914</v>
      </c>
      <c r="D620" s="20">
        <v>5841259</v>
      </c>
      <c r="E620" s="27" t="s">
        <v>568</v>
      </c>
      <c r="F620" s="7" t="s">
        <v>107</v>
      </c>
      <c r="G620" s="7" t="s">
        <v>10</v>
      </c>
      <c r="H620" s="7" t="s">
        <v>45</v>
      </c>
      <c r="I620" s="20" t="s">
        <v>1109</v>
      </c>
      <c r="J620" s="20" t="s">
        <v>1110</v>
      </c>
      <c r="K620" s="7" t="s">
        <v>119</v>
      </c>
      <c r="L620" s="61">
        <v>45743</v>
      </c>
      <c r="M620" s="7" t="s">
        <v>111</v>
      </c>
      <c r="N620" s="61">
        <v>45743</v>
      </c>
      <c r="O620" s="61">
        <v>45743</v>
      </c>
      <c r="P620" s="59"/>
      <c r="Q620" s="124" t="e">
        <f>P620*#REF!</f>
        <v>#REF!</v>
      </c>
      <c r="R620" s="126">
        <v>45744</v>
      </c>
      <c r="S620" s="153">
        <f>IF(L620="","",L620-B620)</f>
        <v>2</v>
      </c>
      <c r="T620" s="153">
        <f>IF(N620="","",N620-L620)</f>
        <v>0</v>
      </c>
      <c r="U620" s="153">
        <f>IF(O620="","",O620-N620)</f>
        <v>0</v>
      </c>
      <c r="V620" s="154">
        <f>IF(O620="","",O620-B620)</f>
        <v>2</v>
      </c>
      <c r="W620" s="154">
        <f>IF(O620="","",O620-L620)</f>
        <v>0</v>
      </c>
      <c r="X620" s="154">
        <f>IF(R620="","",R620-B620)</f>
        <v>3</v>
      </c>
    </row>
    <row r="621" spans="2:24" ht="17.25" hidden="1" customHeight="1">
      <c r="B621" s="23">
        <v>45741</v>
      </c>
      <c r="C621" s="7">
        <v>2003615531</v>
      </c>
      <c r="D621" s="20">
        <v>5841452</v>
      </c>
      <c r="E621" s="27" t="s">
        <v>132</v>
      </c>
      <c r="F621" s="7" t="s">
        <v>107</v>
      </c>
      <c r="G621" s="7" t="s">
        <v>18</v>
      </c>
      <c r="H621" s="7" t="s">
        <v>45</v>
      </c>
      <c r="I621" s="20" t="s">
        <v>280</v>
      </c>
      <c r="J621" s="20" t="s">
        <v>1111</v>
      </c>
      <c r="K621" s="7" t="s">
        <v>119</v>
      </c>
      <c r="L621" s="61">
        <v>45744</v>
      </c>
      <c r="M621" s="7" t="s">
        <v>111</v>
      </c>
      <c r="N621" s="61">
        <v>45744</v>
      </c>
      <c r="O621" s="58">
        <v>45747</v>
      </c>
      <c r="P621" s="59"/>
      <c r="Q621" s="124" t="e">
        <f>P621*#REF!</f>
        <v>#REF!</v>
      </c>
      <c r="R621" s="126">
        <v>45747</v>
      </c>
      <c r="S621" s="153">
        <f>IF(L621="","",L621-B621)</f>
        <v>3</v>
      </c>
      <c r="T621" s="153">
        <f>IF(N621="","",N621-L621)</f>
        <v>0</v>
      </c>
      <c r="U621" s="153">
        <f>IF(O621="","",O621-N621)</f>
        <v>3</v>
      </c>
      <c r="V621" s="154">
        <f>IF(O621="","",O621-B621)</f>
        <v>6</v>
      </c>
      <c r="W621" s="154">
        <f>IF(O621="","",O621-L621)</f>
        <v>3</v>
      </c>
      <c r="X621" s="154">
        <f>IF(R621="","",R621-B621)</f>
        <v>6</v>
      </c>
    </row>
    <row r="622" spans="2:24" ht="17.25" hidden="1" customHeight="1">
      <c r="B622" s="23">
        <v>45741</v>
      </c>
      <c r="C622" s="7">
        <v>2003630920</v>
      </c>
      <c r="D622" s="20">
        <v>5841588</v>
      </c>
      <c r="E622" s="27" t="s">
        <v>143</v>
      </c>
      <c r="F622" s="7" t="s">
        <v>107</v>
      </c>
      <c r="G622" s="7" t="s">
        <v>10</v>
      </c>
      <c r="H622" s="7" t="s">
        <v>45</v>
      </c>
      <c r="I622" s="20" t="s">
        <v>1112</v>
      </c>
      <c r="J622" s="20" t="s">
        <v>962</v>
      </c>
      <c r="K622" s="7" t="s">
        <v>110</v>
      </c>
      <c r="L622" s="61">
        <v>45744</v>
      </c>
      <c r="M622" s="7" t="s">
        <v>111</v>
      </c>
      <c r="N622" s="61">
        <v>45744</v>
      </c>
      <c r="O622" s="58">
        <v>45747</v>
      </c>
      <c r="P622" s="59"/>
      <c r="Q622" s="124" t="e">
        <f>P622*#REF!</f>
        <v>#REF!</v>
      </c>
      <c r="R622" s="126">
        <v>45747</v>
      </c>
      <c r="S622" s="153">
        <f>IF(L622="","",L622-B622)</f>
        <v>3</v>
      </c>
      <c r="T622" s="153">
        <f>IF(N622="","",N622-L622)</f>
        <v>0</v>
      </c>
      <c r="U622" s="153">
        <f>IF(O622="","",O622-N622)</f>
        <v>3</v>
      </c>
      <c r="V622" s="154">
        <f>IF(O622="","",O622-B622)</f>
        <v>6</v>
      </c>
      <c r="W622" s="154">
        <f>IF(O622="","",O622-L622)</f>
        <v>3</v>
      </c>
      <c r="X622" s="154">
        <f>IF(R622="","",R622-B622)</f>
        <v>6</v>
      </c>
    </row>
    <row r="623" spans="2:24" ht="17.25" hidden="1" customHeight="1">
      <c r="B623" s="23">
        <v>45741</v>
      </c>
      <c r="C623" s="7">
        <v>2003627662</v>
      </c>
      <c r="D623" s="20">
        <v>5841628</v>
      </c>
      <c r="E623" s="27" t="s">
        <v>408</v>
      </c>
      <c r="F623" s="7" t="s">
        <v>107</v>
      </c>
      <c r="G623" s="7" t="s">
        <v>26</v>
      </c>
      <c r="H623" s="7" t="s">
        <v>45</v>
      </c>
      <c r="I623" s="20" t="s">
        <v>1113</v>
      </c>
      <c r="J623" s="20" t="s">
        <v>1114</v>
      </c>
      <c r="K623" s="7" t="s">
        <v>110</v>
      </c>
      <c r="L623" s="61">
        <v>45747</v>
      </c>
      <c r="M623" s="7" t="s">
        <v>111</v>
      </c>
      <c r="N623" s="24">
        <v>45748</v>
      </c>
      <c r="O623" s="58">
        <v>45748</v>
      </c>
      <c r="P623" s="59"/>
      <c r="Q623" s="124" t="e">
        <f>P623*#REF!</f>
        <v>#REF!</v>
      </c>
      <c r="R623" s="126">
        <v>45748</v>
      </c>
      <c r="S623" s="153">
        <f>IF(L623="","",L623-B623)</f>
        <v>6</v>
      </c>
      <c r="T623" s="153">
        <f>IF(N623="","",N623-L623)</f>
        <v>1</v>
      </c>
      <c r="U623" s="153">
        <f>IF(O623="","",O623-N623)</f>
        <v>0</v>
      </c>
      <c r="V623" s="154">
        <f>IF(O623="","",O623-B623)</f>
        <v>7</v>
      </c>
      <c r="W623" s="154">
        <f>IF(O623="","",O623-L623)</f>
        <v>1</v>
      </c>
      <c r="X623" s="154">
        <f>IF(R623="","",R623-B623)</f>
        <v>7</v>
      </c>
    </row>
    <row r="624" spans="2:24" ht="17.25" hidden="1" customHeight="1">
      <c r="B624" s="23">
        <v>45741</v>
      </c>
      <c r="C624" s="7">
        <v>2003642089</v>
      </c>
      <c r="D624" s="20">
        <v>5841631</v>
      </c>
      <c r="E624" s="27" t="s">
        <v>408</v>
      </c>
      <c r="F624" s="7" t="s">
        <v>107</v>
      </c>
      <c r="G624" s="7" t="s">
        <v>10</v>
      </c>
      <c r="H624" s="7" t="s">
        <v>45</v>
      </c>
      <c r="I624" s="20" t="s">
        <v>1115</v>
      </c>
      <c r="J624" s="20" t="s">
        <v>1116</v>
      </c>
      <c r="K624" s="7" t="s">
        <v>119</v>
      </c>
      <c r="L624" s="61">
        <v>45743</v>
      </c>
      <c r="M624" s="7" t="s">
        <v>111</v>
      </c>
      <c r="N624" s="61">
        <v>45743</v>
      </c>
      <c r="O624" s="61">
        <v>45743</v>
      </c>
      <c r="P624" s="59"/>
      <c r="Q624" s="124" t="e">
        <f>P624*#REF!</f>
        <v>#REF!</v>
      </c>
      <c r="R624" s="126">
        <v>45744</v>
      </c>
      <c r="S624" s="153">
        <f>IF(L624="","",L624-B624)</f>
        <v>2</v>
      </c>
      <c r="T624" s="153">
        <f>IF(N624="","",N624-L624)</f>
        <v>0</v>
      </c>
      <c r="U624" s="153">
        <f>IF(O624="","",O624-N624)</f>
        <v>0</v>
      </c>
      <c r="V624" s="154">
        <f>IF(O624="","",O624-B624)</f>
        <v>2</v>
      </c>
      <c r="W624" s="154">
        <f>IF(O624="","",O624-L624)</f>
        <v>0</v>
      </c>
      <c r="X624" s="154">
        <f>IF(R624="","",R624-B624)</f>
        <v>3</v>
      </c>
    </row>
    <row r="625" spans="2:24" ht="17.25" hidden="1" customHeight="1">
      <c r="B625" s="23">
        <v>45742</v>
      </c>
      <c r="C625" s="7">
        <v>2003644311</v>
      </c>
      <c r="D625" s="20">
        <v>128924</v>
      </c>
      <c r="E625" s="27" t="s">
        <v>408</v>
      </c>
      <c r="F625" s="7" t="s">
        <v>107</v>
      </c>
      <c r="G625" s="7" t="s">
        <v>10</v>
      </c>
      <c r="H625" s="7" t="s">
        <v>45</v>
      </c>
      <c r="I625" s="20" t="s">
        <v>1009</v>
      </c>
      <c r="J625" s="20" t="s">
        <v>1010</v>
      </c>
      <c r="K625" s="7" t="s">
        <v>119</v>
      </c>
      <c r="L625" s="61">
        <v>45747</v>
      </c>
      <c r="M625" s="7" t="s">
        <v>111</v>
      </c>
      <c r="N625" s="24">
        <v>45748</v>
      </c>
      <c r="O625" s="24">
        <v>45748</v>
      </c>
      <c r="P625" s="59"/>
      <c r="Q625" s="124" t="e">
        <f>P625*#REF!</f>
        <v>#REF!</v>
      </c>
      <c r="R625" s="126">
        <v>45750</v>
      </c>
      <c r="S625" s="153">
        <f>IF(L625="","",L625-B625)</f>
        <v>5</v>
      </c>
      <c r="T625" s="153">
        <f>IF(N625="","",N625-L625)</f>
        <v>1</v>
      </c>
      <c r="U625" s="153">
        <f>IF(O625="","",O625-N625)</f>
        <v>0</v>
      </c>
      <c r="V625" s="154">
        <f>IF(O625="","",O625-B625)</f>
        <v>6</v>
      </c>
      <c r="W625" s="154">
        <f>IF(O625="","",O625-L625)</f>
        <v>1</v>
      </c>
      <c r="X625" s="154">
        <f>IF(R625="","",R625-B625)</f>
        <v>8</v>
      </c>
    </row>
    <row r="626" spans="2:24" ht="17.25" hidden="1" customHeight="1">
      <c r="B626" s="23">
        <v>45742</v>
      </c>
      <c r="C626" s="7">
        <v>2003637961</v>
      </c>
      <c r="D626" s="20">
        <v>128429</v>
      </c>
      <c r="E626" s="27" t="s">
        <v>123</v>
      </c>
      <c r="F626" s="7" t="s">
        <v>107</v>
      </c>
      <c r="G626" s="7" t="s">
        <v>10</v>
      </c>
      <c r="H626" s="7" t="s">
        <v>45</v>
      </c>
      <c r="I626" s="20" t="s">
        <v>1117</v>
      </c>
      <c r="J626" s="20" t="s">
        <v>1118</v>
      </c>
      <c r="K626" s="7" t="s">
        <v>119</v>
      </c>
      <c r="L626" s="61">
        <v>45748</v>
      </c>
      <c r="M626" s="7" t="s">
        <v>111</v>
      </c>
      <c r="N626" s="61">
        <v>45750</v>
      </c>
      <c r="O626" s="61">
        <v>45754</v>
      </c>
      <c r="P626" s="59"/>
      <c r="Q626" s="124" t="e">
        <f>P626*#REF!</f>
        <v>#REF!</v>
      </c>
      <c r="R626" s="126">
        <v>45755</v>
      </c>
      <c r="S626" s="153">
        <f>IF(L626="","",L626-B626)</f>
        <v>6</v>
      </c>
      <c r="T626" s="153">
        <f>IF(N626="","",N626-L626)</f>
        <v>2</v>
      </c>
      <c r="U626" s="153">
        <f>IF(O626="","",O626-N626)</f>
        <v>4</v>
      </c>
      <c r="V626" s="154">
        <f>IF(O626="","",O626-B626)</f>
        <v>12</v>
      </c>
      <c r="W626" s="154">
        <f>IF(O626="","",O626-L626)</f>
        <v>6</v>
      </c>
      <c r="X626" s="154">
        <f>IF(R626="","",R626-B626)</f>
        <v>13</v>
      </c>
    </row>
    <row r="627" spans="2:24" ht="17.25" hidden="1" customHeight="1">
      <c r="B627" s="23">
        <v>45742</v>
      </c>
      <c r="C627" s="7">
        <v>2003607794</v>
      </c>
      <c r="D627" s="20">
        <v>128061</v>
      </c>
      <c r="E627" s="20" t="s">
        <v>123</v>
      </c>
      <c r="F627" s="7" t="s">
        <v>107</v>
      </c>
      <c r="G627" s="7" t="s">
        <v>21</v>
      </c>
      <c r="H627" s="7" t="s">
        <v>45</v>
      </c>
      <c r="I627" s="20" t="s">
        <v>693</v>
      </c>
      <c r="J627" s="20" t="s">
        <v>694</v>
      </c>
      <c r="K627" s="7" t="s">
        <v>122</v>
      </c>
      <c r="L627" s="61">
        <v>45744</v>
      </c>
      <c r="M627" s="7" t="s">
        <v>111</v>
      </c>
      <c r="N627" s="24">
        <v>45748</v>
      </c>
      <c r="O627" s="24">
        <v>45748</v>
      </c>
      <c r="P627" s="59"/>
      <c r="Q627" s="124" t="e">
        <f>P627*#REF!</f>
        <v>#REF!</v>
      </c>
      <c r="R627" s="126">
        <v>45751</v>
      </c>
      <c r="S627" s="153">
        <f>IF(L627="","",L627-B627)</f>
        <v>2</v>
      </c>
      <c r="T627" s="153">
        <f>IF(N627="","",N627-L627)</f>
        <v>4</v>
      </c>
      <c r="U627" s="153">
        <f>IF(O627="","",O627-N627)</f>
        <v>0</v>
      </c>
      <c r="V627" s="154">
        <f>IF(O627="","",O627-B627)</f>
        <v>6</v>
      </c>
      <c r="W627" s="154">
        <f>IF(O627="","",O627-L627)</f>
        <v>4</v>
      </c>
      <c r="X627" s="154">
        <f>IF(R627="","",R627-B627)</f>
        <v>9</v>
      </c>
    </row>
    <row r="628" spans="2:24" ht="17.25" hidden="1" customHeight="1">
      <c r="B628" s="23">
        <v>45742</v>
      </c>
      <c r="C628" s="7">
        <v>2003642118</v>
      </c>
      <c r="D628" s="20">
        <v>5841848</v>
      </c>
      <c r="E628" s="27" t="s">
        <v>129</v>
      </c>
      <c r="F628" s="7" t="s">
        <v>107</v>
      </c>
      <c r="G628" s="7" t="s">
        <v>26</v>
      </c>
      <c r="H628" s="7" t="s">
        <v>45</v>
      </c>
      <c r="I628" s="20" t="s">
        <v>1119</v>
      </c>
      <c r="J628" s="20" t="s">
        <v>1120</v>
      </c>
      <c r="K628" s="7" t="s">
        <v>110</v>
      </c>
      <c r="L628" s="61">
        <v>45748</v>
      </c>
      <c r="M628" s="7" t="s">
        <v>111</v>
      </c>
      <c r="N628" s="24">
        <v>45750</v>
      </c>
      <c r="O628" s="58">
        <v>45750</v>
      </c>
      <c r="P628" s="59"/>
      <c r="Q628" s="124" t="e">
        <f>P628*#REF!</f>
        <v>#REF!</v>
      </c>
      <c r="R628" s="126">
        <v>45750</v>
      </c>
      <c r="S628" s="153">
        <f>IF(L628="","",L628-B628)</f>
        <v>6</v>
      </c>
      <c r="T628" s="153">
        <f>IF(N628="","",N628-L628)</f>
        <v>2</v>
      </c>
      <c r="U628" s="153">
        <f>IF(O628="","",O628-N628)</f>
        <v>0</v>
      </c>
      <c r="V628" s="154">
        <f>IF(O628="","",O628-B628)</f>
        <v>8</v>
      </c>
      <c r="W628" s="154">
        <f>IF(O628="","",O628-L628)</f>
        <v>2</v>
      </c>
      <c r="X628" s="154">
        <f>IF(R628="","",R628-B628)</f>
        <v>8</v>
      </c>
    </row>
    <row r="629" spans="2:24" ht="17.25" hidden="1" customHeight="1">
      <c r="B629" s="23">
        <v>45742</v>
      </c>
      <c r="C629" s="7">
        <v>2003642314</v>
      </c>
      <c r="D629" s="20">
        <v>5841949</v>
      </c>
      <c r="E629" s="27" t="s">
        <v>566</v>
      </c>
      <c r="F629" s="7" t="s">
        <v>107</v>
      </c>
      <c r="G629" s="7" t="s">
        <v>10</v>
      </c>
      <c r="H629" s="7" t="s">
        <v>45</v>
      </c>
      <c r="I629" s="20" t="s">
        <v>1121</v>
      </c>
      <c r="J629" s="20" t="s">
        <v>1122</v>
      </c>
      <c r="K629" s="7" t="s">
        <v>119</v>
      </c>
      <c r="L629" s="61">
        <v>45743</v>
      </c>
      <c r="M629" s="7" t="s">
        <v>111</v>
      </c>
      <c r="N629" s="24">
        <v>45743</v>
      </c>
      <c r="O629" s="58">
        <v>45747</v>
      </c>
      <c r="P629" s="59"/>
      <c r="Q629" s="124" t="e">
        <f>P629*#REF!</f>
        <v>#REF!</v>
      </c>
      <c r="R629" s="126">
        <v>45747</v>
      </c>
      <c r="S629" s="153">
        <f>IF(L629="","",L629-B629)</f>
        <v>1</v>
      </c>
      <c r="T629" s="153">
        <f>IF(N629="","",N629-L629)</f>
        <v>0</v>
      </c>
      <c r="U629" s="153">
        <f>IF(O629="","",O629-N629)</f>
        <v>4</v>
      </c>
      <c r="V629" s="154">
        <f>IF(O629="","",O629-B629)</f>
        <v>5</v>
      </c>
      <c r="W629" s="154">
        <f>IF(O629="","",O629-L629)</f>
        <v>4</v>
      </c>
      <c r="X629" s="154">
        <f>IF(R629="","",R629-B629)</f>
        <v>5</v>
      </c>
    </row>
    <row r="630" spans="2:24" ht="17.25" hidden="1" customHeight="1">
      <c r="B630" s="23">
        <v>45742</v>
      </c>
      <c r="C630" s="7">
        <v>2003561620</v>
      </c>
      <c r="D630" s="20">
        <v>5841969</v>
      </c>
      <c r="E630" s="27" t="s">
        <v>123</v>
      </c>
      <c r="F630" s="7" t="s">
        <v>107</v>
      </c>
      <c r="G630" s="7" t="s">
        <v>21</v>
      </c>
      <c r="H630" s="7" t="s">
        <v>45</v>
      </c>
      <c r="I630" s="20" t="s">
        <v>784</v>
      </c>
      <c r="J630" s="20" t="s">
        <v>785</v>
      </c>
      <c r="K630" s="7" t="s">
        <v>119</v>
      </c>
      <c r="L630" s="61">
        <v>45743</v>
      </c>
      <c r="M630" s="7" t="s">
        <v>111</v>
      </c>
      <c r="N630" s="61">
        <v>45743</v>
      </c>
      <c r="O630" s="58">
        <v>45747</v>
      </c>
      <c r="P630" s="59"/>
      <c r="Q630" s="124" t="e">
        <f>P630*#REF!</f>
        <v>#REF!</v>
      </c>
      <c r="R630" s="126">
        <v>45747</v>
      </c>
      <c r="S630" s="153">
        <f>IF(L630="","",L630-B630)</f>
        <v>1</v>
      </c>
      <c r="T630" s="153">
        <f>IF(N630="","",N630-L630)</f>
        <v>0</v>
      </c>
      <c r="U630" s="153">
        <f>IF(O630="","",O630-N630)</f>
        <v>4</v>
      </c>
      <c r="V630" s="154">
        <f>IF(O630="","",O630-B630)</f>
        <v>5</v>
      </c>
      <c r="W630" s="154">
        <f>IF(O630="","",O630-L630)</f>
        <v>4</v>
      </c>
      <c r="X630" s="154">
        <f>IF(R630="","",R630-B630)</f>
        <v>5</v>
      </c>
    </row>
    <row r="631" spans="2:24" ht="17.25" hidden="1" customHeight="1">
      <c r="B631" s="23">
        <v>45742</v>
      </c>
      <c r="C631" s="7">
        <v>2003634204</v>
      </c>
      <c r="D631" s="20">
        <v>5842047</v>
      </c>
      <c r="E631" s="27" t="s">
        <v>152</v>
      </c>
      <c r="F631" s="7" t="s">
        <v>107</v>
      </c>
      <c r="G631" s="7" t="s">
        <v>10</v>
      </c>
      <c r="H631" s="7" t="s">
        <v>45</v>
      </c>
      <c r="I631" s="20" t="s">
        <v>1123</v>
      </c>
      <c r="J631" s="20" t="s">
        <v>1124</v>
      </c>
      <c r="K631" s="7" t="s">
        <v>110</v>
      </c>
      <c r="L631" s="61">
        <v>45744</v>
      </c>
      <c r="M631" s="7" t="s">
        <v>111</v>
      </c>
      <c r="N631" s="61">
        <v>45744</v>
      </c>
      <c r="O631" s="58">
        <v>45747</v>
      </c>
      <c r="P631" s="59"/>
      <c r="Q631" s="124" t="e">
        <f>P631*#REF!</f>
        <v>#REF!</v>
      </c>
      <c r="R631" s="126">
        <v>45747</v>
      </c>
      <c r="S631" s="153">
        <f>IF(L631="","",L631-B631)</f>
        <v>2</v>
      </c>
      <c r="T631" s="153">
        <f>IF(N631="","",N631-L631)</f>
        <v>0</v>
      </c>
      <c r="U631" s="153">
        <f>IF(O631="","",O631-N631)</f>
        <v>3</v>
      </c>
      <c r="V631" s="154">
        <f>IF(O631="","",O631-B631)</f>
        <v>5</v>
      </c>
      <c r="W631" s="154">
        <f>IF(O631="","",O631-L631)</f>
        <v>3</v>
      </c>
      <c r="X631" s="154">
        <f>IF(R631="","",R631-B631)</f>
        <v>5</v>
      </c>
    </row>
    <row r="632" spans="2:24" ht="17.25" hidden="1" customHeight="1">
      <c r="B632" s="23">
        <v>45742</v>
      </c>
      <c r="C632" s="7">
        <v>2003638596</v>
      </c>
      <c r="D632" s="20">
        <v>5842237</v>
      </c>
      <c r="E632" s="27" t="s">
        <v>568</v>
      </c>
      <c r="F632" s="7" t="s">
        <v>107</v>
      </c>
      <c r="G632" s="7" t="s">
        <v>10</v>
      </c>
      <c r="H632" s="7" t="s">
        <v>45</v>
      </c>
      <c r="I632" s="20" t="s">
        <v>1123</v>
      </c>
      <c r="J632" s="20" t="s">
        <v>1124</v>
      </c>
      <c r="K632" s="7" t="s">
        <v>110</v>
      </c>
      <c r="L632" s="61">
        <v>45744</v>
      </c>
      <c r="M632" s="7" t="s">
        <v>111</v>
      </c>
      <c r="N632" s="24">
        <v>45748</v>
      </c>
      <c r="O632" s="24">
        <v>45748</v>
      </c>
      <c r="P632" s="59"/>
      <c r="Q632" s="124" t="e">
        <f>P632*#REF!</f>
        <v>#REF!</v>
      </c>
      <c r="R632" s="126">
        <v>45750</v>
      </c>
      <c r="S632" s="153">
        <f>IF(L632="","",L632-B632)</f>
        <v>2</v>
      </c>
      <c r="T632" s="153">
        <f>IF(N632="","",N632-L632)</f>
        <v>4</v>
      </c>
      <c r="U632" s="153">
        <f>IF(O632="","",O632-N632)</f>
        <v>0</v>
      </c>
      <c r="V632" s="154">
        <f>IF(O632="","",O632-B632)</f>
        <v>6</v>
      </c>
      <c r="W632" s="154">
        <f>IF(O632="","",O632-L632)</f>
        <v>4</v>
      </c>
      <c r="X632" s="154">
        <f>IF(R632="","",R632-B632)</f>
        <v>8</v>
      </c>
    </row>
    <row r="633" spans="2:24" ht="17.25" hidden="1" customHeight="1">
      <c r="B633" s="23">
        <v>45742</v>
      </c>
      <c r="C633" s="7">
        <v>2003641949</v>
      </c>
      <c r="D633" s="20">
        <v>5842316</v>
      </c>
      <c r="E633" s="27" t="s">
        <v>123</v>
      </c>
      <c r="F633" s="7" t="s">
        <v>107</v>
      </c>
      <c r="G633" s="7" t="s">
        <v>10</v>
      </c>
      <c r="H633" s="7" t="s">
        <v>45</v>
      </c>
      <c r="I633" s="20" t="s">
        <v>1125</v>
      </c>
      <c r="J633" s="20" t="s">
        <v>1126</v>
      </c>
      <c r="K633" s="7" t="s">
        <v>119</v>
      </c>
      <c r="L633" s="61">
        <v>45744</v>
      </c>
      <c r="M633" s="7" t="s">
        <v>111</v>
      </c>
      <c r="N633" s="61">
        <v>45744</v>
      </c>
      <c r="O633" s="61">
        <v>45744</v>
      </c>
      <c r="P633" s="59"/>
      <c r="Q633" s="124" t="e">
        <f>P633*#REF!</f>
        <v>#REF!</v>
      </c>
      <c r="R633" s="126">
        <v>45747</v>
      </c>
      <c r="S633" s="153">
        <f>IF(L633="","",L633-B633)</f>
        <v>2</v>
      </c>
      <c r="T633" s="153">
        <f>IF(N633="","",N633-L633)</f>
        <v>0</v>
      </c>
      <c r="U633" s="153">
        <f>IF(O633="","",O633-N633)</f>
        <v>0</v>
      </c>
      <c r="V633" s="154">
        <f>IF(O633="","",O633-B633)</f>
        <v>2</v>
      </c>
      <c r="W633" s="154">
        <f>IF(O633="","",O633-L633)</f>
        <v>0</v>
      </c>
      <c r="X633" s="154">
        <f>IF(R633="","",R633-B633)</f>
        <v>5</v>
      </c>
    </row>
    <row r="634" spans="2:24" ht="17.25" hidden="1" customHeight="1">
      <c r="B634" s="23">
        <v>45742</v>
      </c>
      <c r="C634" s="7">
        <v>2003627322</v>
      </c>
      <c r="D634" s="20">
        <v>5842344</v>
      </c>
      <c r="E634" s="27" t="s">
        <v>123</v>
      </c>
      <c r="F634" s="7" t="s">
        <v>107</v>
      </c>
      <c r="G634" s="7" t="s">
        <v>15</v>
      </c>
      <c r="H634" s="7" t="s">
        <v>45</v>
      </c>
      <c r="I634" s="20" t="s">
        <v>1127</v>
      </c>
      <c r="J634" s="20" t="s">
        <v>1128</v>
      </c>
      <c r="K634" s="7" t="s">
        <v>122</v>
      </c>
      <c r="L634" s="61">
        <v>45744</v>
      </c>
      <c r="M634" s="7" t="s">
        <v>111</v>
      </c>
      <c r="N634" s="24">
        <v>45748</v>
      </c>
      <c r="O634" s="24">
        <v>45748</v>
      </c>
      <c r="P634" s="59"/>
      <c r="Q634" s="124" t="e">
        <f>P634*#REF!</f>
        <v>#REF!</v>
      </c>
      <c r="R634" s="126">
        <v>45751</v>
      </c>
      <c r="S634" s="153">
        <f>IF(L634="","",L634-B634)</f>
        <v>2</v>
      </c>
      <c r="T634" s="153">
        <f>IF(N634="","",N634-L634)</f>
        <v>4</v>
      </c>
      <c r="U634" s="153">
        <f>IF(O634="","",O634-N634)</f>
        <v>0</v>
      </c>
      <c r="V634" s="154">
        <f>IF(O634="","",O634-B634)</f>
        <v>6</v>
      </c>
      <c r="W634" s="154">
        <f>IF(O634="","",O634-L634)</f>
        <v>4</v>
      </c>
      <c r="X634" s="154">
        <f>IF(R634="","",R634-B634)</f>
        <v>9</v>
      </c>
    </row>
    <row r="635" spans="2:24" ht="17.25" hidden="1" customHeight="1">
      <c r="B635" s="23">
        <v>45742</v>
      </c>
      <c r="C635" s="7">
        <v>2003627354</v>
      </c>
      <c r="D635" s="20">
        <v>5842348</v>
      </c>
      <c r="E635" s="27" t="s">
        <v>123</v>
      </c>
      <c r="F635" s="7" t="s">
        <v>107</v>
      </c>
      <c r="G635" s="7" t="s">
        <v>10</v>
      </c>
      <c r="H635" s="7" t="s">
        <v>45</v>
      </c>
      <c r="I635" s="20" t="s">
        <v>1129</v>
      </c>
      <c r="J635" s="20" t="s">
        <v>1130</v>
      </c>
      <c r="K635" s="7" t="s">
        <v>110</v>
      </c>
      <c r="L635" s="61">
        <v>45747</v>
      </c>
      <c r="M635" s="7" t="s">
        <v>111</v>
      </c>
      <c r="N635" s="61">
        <v>45748</v>
      </c>
      <c r="O635" s="61">
        <v>45748</v>
      </c>
      <c r="P635" s="59"/>
      <c r="Q635" s="124" t="e">
        <f>P635*#REF!</f>
        <v>#REF!</v>
      </c>
      <c r="R635" s="126">
        <v>45750</v>
      </c>
      <c r="S635" s="153">
        <f>IF(L635="","",L635-B635)</f>
        <v>5</v>
      </c>
      <c r="T635" s="153">
        <f>IF(N635="","",N635-L635)</f>
        <v>1</v>
      </c>
      <c r="U635" s="153">
        <f>IF(O635="","",O635-N635)</f>
        <v>0</v>
      </c>
      <c r="V635" s="154">
        <f>IF(O635="","",O635-B635)</f>
        <v>6</v>
      </c>
      <c r="W635" s="154">
        <f>IF(O635="","",O635-L635)</f>
        <v>1</v>
      </c>
      <c r="X635" s="154">
        <f>IF(R635="","",R635-B635)</f>
        <v>8</v>
      </c>
    </row>
    <row r="636" spans="2:24" ht="17.25" hidden="1" customHeight="1">
      <c r="B636" s="23">
        <v>45742</v>
      </c>
      <c r="C636" s="7">
        <v>2003633842</v>
      </c>
      <c r="D636" s="20">
        <v>5842444</v>
      </c>
      <c r="E636" s="27" t="s">
        <v>138</v>
      </c>
      <c r="F636" s="7" t="s">
        <v>107</v>
      </c>
      <c r="G636" s="7" t="s">
        <v>10</v>
      </c>
      <c r="H636" s="7" t="s">
        <v>45</v>
      </c>
      <c r="I636" s="20" t="s">
        <v>1131</v>
      </c>
      <c r="J636" s="20" t="s">
        <v>1132</v>
      </c>
      <c r="K636" s="7" t="s">
        <v>119</v>
      </c>
      <c r="L636" s="61">
        <v>45743</v>
      </c>
      <c r="M636" s="7" t="s">
        <v>111</v>
      </c>
      <c r="N636" s="61">
        <v>45743</v>
      </c>
      <c r="O636" s="61">
        <v>45743</v>
      </c>
      <c r="P636" s="59"/>
      <c r="Q636" s="124" t="e">
        <f>P636*#REF!</f>
        <v>#REF!</v>
      </c>
      <c r="R636" s="126">
        <v>45744</v>
      </c>
      <c r="S636" s="153">
        <f>IF(L636="","",L636-B636)</f>
        <v>1</v>
      </c>
      <c r="T636" s="153">
        <f>IF(N636="","",N636-L636)</f>
        <v>0</v>
      </c>
      <c r="U636" s="153">
        <f>IF(O636="","",O636-N636)</f>
        <v>0</v>
      </c>
      <c r="V636" s="154">
        <f>IF(O636="","",O636-B636)</f>
        <v>1</v>
      </c>
      <c r="W636" s="154">
        <f>IF(O636="","",O636-L636)</f>
        <v>0</v>
      </c>
      <c r="X636" s="154">
        <f>IF(R636="","",R636-B636)</f>
        <v>2</v>
      </c>
    </row>
    <row r="637" spans="2:24" ht="17.25" hidden="1" customHeight="1">
      <c r="B637" s="23">
        <v>45742</v>
      </c>
      <c r="C637" s="7">
        <v>2003644264</v>
      </c>
      <c r="D637" s="20">
        <v>5842559</v>
      </c>
      <c r="E637" s="27" t="s">
        <v>123</v>
      </c>
      <c r="F637" s="7" t="s">
        <v>107</v>
      </c>
      <c r="G637" s="7" t="s">
        <v>10</v>
      </c>
      <c r="H637" s="7" t="s">
        <v>45</v>
      </c>
      <c r="I637" s="20" t="s">
        <v>1133</v>
      </c>
      <c r="J637" s="20" t="s">
        <v>1134</v>
      </c>
      <c r="K637" s="7" t="s">
        <v>119</v>
      </c>
      <c r="L637" s="61">
        <v>45744</v>
      </c>
      <c r="M637" s="7" t="s">
        <v>111</v>
      </c>
      <c r="N637" s="24">
        <v>45744</v>
      </c>
      <c r="O637" s="58">
        <v>45747</v>
      </c>
      <c r="P637" s="59"/>
      <c r="Q637" s="124" t="e">
        <f>P637*#REF!</f>
        <v>#REF!</v>
      </c>
      <c r="R637" s="126">
        <v>45747</v>
      </c>
      <c r="S637" s="153">
        <f>IF(L637="","",L637-B637)</f>
        <v>2</v>
      </c>
      <c r="T637" s="153">
        <f>IF(N637="","",N637-L637)</f>
        <v>0</v>
      </c>
      <c r="U637" s="153">
        <f>IF(O637="","",O637-N637)</f>
        <v>3</v>
      </c>
      <c r="V637" s="154">
        <f>IF(O637="","",O637-B637)</f>
        <v>5</v>
      </c>
      <c r="W637" s="154">
        <f>IF(O637="","",O637-L637)</f>
        <v>3</v>
      </c>
      <c r="X637" s="154">
        <f>IF(R637="","",R637-B637)</f>
        <v>5</v>
      </c>
    </row>
    <row r="638" spans="2:24" ht="17.25" hidden="1" customHeight="1">
      <c r="B638" s="23">
        <v>45742</v>
      </c>
      <c r="C638" s="7">
        <v>2003629339</v>
      </c>
      <c r="D638" s="20">
        <v>5842584</v>
      </c>
      <c r="E638" s="27" t="s">
        <v>106</v>
      </c>
      <c r="F638" s="7" t="s">
        <v>107</v>
      </c>
      <c r="G638" s="7" t="s">
        <v>10</v>
      </c>
      <c r="H638" s="7" t="s">
        <v>45</v>
      </c>
      <c r="I638" s="20" t="s">
        <v>1102</v>
      </c>
      <c r="J638" s="20" t="s">
        <v>1135</v>
      </c>
      <c r="K638" s="7" t="s">
        <v>119</v>
      </c>
      <c r="L638" s="61">
        <v>45747</v>
      </c>
      <c r="M638" s="7" t="s">
        <v>111</v>
      </c>
      <c r="N638" s="24">
        <v>45748</v>
      </c>
      <c r="O638" s="24">
        <v>45748</v>
      </c>
      <c r="P638" s="59"/>
      <c r="Q638" s="124" t="e">
        <f>P638*#REF!</f>
        <v>#REF!</v>
      </c>
      <c r="R638" s="126">
        <v>45750</v>
      </c>
      <c r="S638" s="153">
        <f>IF(L638="","",L638-B638)</f>
        <v>5</v>
      </c>
      <c r="T638" s="153">
        <f>IF(N638="","",N638-L638)</f>
        <v>1</v>
      </c>
      <c r="U638" s="153">
        <f>IF(O638="","",O638-N638)</f>
        <v>0</v>
      </c>
      <c r="V638" s="154">
        <f>IF(O638="","",O638-B638)</f>
        <v>6</v>
      </c>
      <c r="W638" s="154">
        <f>IF(O638="","",O638-L638)</f>
        <v>1</v>
      </c>
      <c r="X638" s="154">
        <f>IF(R638="","",R638-B638)</f>
        <v>8</v>
      </c>
    </row>
    <row r="639" spans="2:24" ht="17.25" hidden="1" customHeight="1">
      <c r="B639" s="23">
        <v>45742</v>
      </c>
      <c r="C639" s="7">
        <v>2003644247</v>
      </c>
      <c r="D639" s="20">
        <v>5842609</v>
      </c>
      <c r="E639" s="27" t="s">
        <v>116</v>
      </c>
      <c r="F639" s="7" t="s">
        <v>107</v>
      </c>
      <c r="G639" s="7" t="s">
        <v>10</v>
      </c>
      <c r="H639" s="7" t="s">
        <v>45</v>
      </c>
      <c r="I639" s="20" t="s">
        <v>1133</v>
      </c>
      <c r="J639" s="20" t="s">
        <v>1134</v>
      </c>
      <c r="K639" s="7" t="s">
        <v>119</v>
      </c>
      <c r="L639" s="61">
        <v>45744</v>
      </c>
      <c r="M639" s="7" t="s">
        <v>111</v>
      </c>
      <c r="N639" s="61">
        <v>45744</v>
      </c>
      <c r="O639" s="58">
        <v>45747</v>
      </c>
      <c r="P639" s="59"/>
      <c r="Q639" s="124" t="e">
        <f>P639*#REF!</f>
        <v>#REF!</v>
      </c>
      <c r="R639" s="126">
        <v>45747</v>
      </c>
      <c r="S639" s="153">
        <f>IF(L639="","",L639-B639)</f>
        <v>2</v>
      </c>
      <c r="T639" s="153">
        <f>IF(N639="","",N639-L639)</f>
        <v>0</v>
      </c>
      <c r="U639" s="153">
        <f>IF(O639="","",O639-N639)</f>
        <v>3</v>
      </c>
      <c r="V639" s="154">
        <f>IF(O639="","",O639-B639)</f>
        <v>5</v>
      </c>
      <c r="W639" s="154">
        <f>IF(O639="","",O639-L639)</f>
        <v>3</v>
      </c>
      <c r="X639" s="154">
        <f>IF(R639="","",R639-B639)</f>
        <v>5</v>
      </c>
    </row>
    <row r="640" spans="2:24" ht="17.25" hidden="1" customHeight="1">
      <c r="B640" s="23">
        <v>45742</v>
      </c>
      <c r="C640" s="7">
        <v>2003643352</v>
      </c>
      <c r="D640" s="20">
        <v>5842709</v>
      </c>
      <c r="E640" s="27" t="s">
        <v>126</v>
      </c>
      <c r="F640" s="7" t="s">
        <v>107</v>
      </c>
      <c r="G640" s="7" t="s">
        <v>10</v>
      </c>
      <c r="H640" s="7" t="s">
        <v>45</v>
      </c>
      <c r="I640" s="20" t="s">
        <v>1136</v>
      </c>
      <c r="J640" s="20" t="s">
        <v>1137</v>
      </c>
      <c r="K640" s="7" t="s">
        <v>119</v>
      </c>
      <c r="L640" s="61">
        <v>45747</v>
      </c>
      <c r="M640" s="7" t="s">
        <v>111</v>
      </c>
      <c r="N640" s="24">
        <v>45748</v>
      </c>
      <c r="O640" s="24">
        <v>45748</v>
      </c>
      <c r="P640" s="59"/>
      <c r="Q640" s="124" t="e">
        <f>P640*#REF!</f>
        <v>#REF!</v>
      </c>
      <c r="R640" s="126">
        <v>45750</v>
      </c>
      <c r="S640" s="153">
        <f>IF(L640="","",L640-B640)</f>
        <v>5</v>
      </c>
      <c r="T640" s="153">
        <f>IF(N640="","",N640-L640)</f>
        <v>1</v>
      </c>
      <c r="U640" s="153">
        <f>IF(O640="","",O640-N640)</f>
        <v>0</v>
      </c>
      <c r="V640" s="154">
        <f>IF(O640="","",O640-B640)</f>
        <v>6</v>
      </c>
      <c r="W640" s="154">
        <f>IF(O640="","",O640-L640)</f>
        <v>1</v>
      </c>
      <c r="X640" s="154">
        <f>IF(R640="","",R640-B640)</f>
        <v>8</v>
      </c>
    </row>
    <row r="641" spans="2:24" ht="17.25" hidden="1" customHeight="1">
      <c r="B641" s="23">
        <v>45743</v>
      </c>
      <c r="C641" s="7">
        <v>2003644312</v>
      </c>
      <c r="D641" s="20">
        <v>129744</v>
      </c>
      <c r="E641" s="27" t="s">
        <v>230</v>
      </c>
      <c r="F641" s="7" t="s">
        <v>107</v>
      </c>
      <c r="G641" s="7" t="s">
        <v>10</v>
      </c>
      <c r="H641" s="7" t="s">
        <v>45</v>
      </c>
      <c r="I641" s="20" t="s">
        <v>1138</v>
      </c>
      <c r="J641" s="20" t="s">
        <v>1139</v>
      </c>
      <c r="K641" s="7" t="s">
        <v>110</v>
      </c>
      <c r="L641" s="61">
        <v>45747</v>
      </c>
      <c r="M641" s="7" t="s">
        <v>111</v>
      </c>
      <c r="N641" s="58">
        <v>45754</v>
      </c>
      <c r="O641" s="58">
        <v>45754</v>
      </c>
      <c r="P641" s="59"/>
      <c r="Q641" s="124" t="e">
        <f>P641*#REF!</f>
        <v>#REF!</v>
      </c>
      <c r="R641" s="126">
        <v>45755</v>
      </c>
      <c r="S641" s="153">
        <f>IF(L641="","",L641-B641)</f>
        <v>4</v>
      </c>
      <c r="T641" s="153">
        <f>IF(N641="","",N641-L641)</f>
        <v>7</v>
      </c>
      <c r="U641" s="153">
        <f>IF(O641="","",O641-N641)</f>
        <v>0</v>
      </c>
      <c r="V641" s="154">
        <f>IF(O641="","",O641-B641)</f>
        <v>11</v>
      </c>
      <c r="W641" s="154">
        <f>IF(O641="","",O641-L641)</f>
        <v>7</v>
      </c>
      <c r="X641" s="154">
        <f>IF(R641="","",R641-B641)</f>
        <v>12</v>
      </c>
    </row>
    <row r="642" spans="2:24" ht="17.25" hidden="1" customHeight="1">
      <c r="B642" s="23">
        <v>45743</v>
      </c>
      <c r="C642" s="7">
        <v>2003643843</v>
      </c>
      <c r="D642" s="20">
        <v>130016</v>
      </c>
      <c r="E642" s="27" t="s">
        <v>116</v>
      </c>
      <c r="F642" s="7" t="s">
        <v>107</v>
      </c>
      <c r="G642" s="7" t="s">
        <v>10</v>
      </c>
      <c r="H642" s="7" t="s">
        <v>45</v>
      </c>
      <c r="I642" s="20" t="s">
        <v>1140</v>
      </c>
      <c r="J642" s="20" t="s">
        <v>1141</v>
      </c>
      <c r="K642" s="7" t="s">
        <v>119</v>
      </c>
      <c r="L642" s="61">
        <v>45748</v>
      </c>
      <c r="M642" s="7" t="s">
        <v>111</v>
      </c>
      <c r="N642" s="61">
        <v>45750</v>
      </c>
      <c r="O642" s="61">
        <v>45750</v>
      </c>
      <c r="P642" s="59"/>
      <c r="Q642" s="124" t="e">
        <f>P642*#REF!</f>
        <v>#REF!</v>
      </c>
      <c r="R642" s="126">
        <v>45750</v>
      </c>
      <c r="S642" s="153">
        <f>IF(L642="","",L642-B642)</f>
        <v>5</v>
      </c>
      <c r="T642" s="153">
        <f>IF(N642="","",N642-L642)</f>
        <v>2</v>
      </c>
      <c r="U642" s="153">
        <f>IF(O642="","",O642-N642)</f>
        <v>0</v>
      </c>
      <c r="V642" s="154">
        <f>IF(O642="","",O642-B642)</f>
        <v>7</v>
      </c>
      <c r="W642" s="154">
        <f>IF(O642="","",O642-L642)</f>
        <v>2</v>
      </c>
      <c r="X642" s="154">
        <f>IF(R642="","",R642-B642)</f>
        <v>7</v>
      </c>
    </row>
    <row r="643" spans="2:24" ht="17.25" hidden="1" customHeight="1">
      <c r="B643" s="23">
        <v>45743</v>
      </c>
      <c r="C643" s="7">
        <v>2003645509</v>
      </c>
      <c r="D643" s="20">
        <v>129940</v>
      </c>
      <c r="E643" s="20" t="s">
        <v>116</v>
      </c>
      <c r="F643" s="7" t="s">
        <v>107</v>
      </c>
      <c r="G643" s="7" t="s">
        <v>10</v>
      </c>
      <c r="H643" s="7" t="s">
        <v>45</v>
      </c>
      <c r="I643" s="20" t="s">
        <v>1142</v>
      </c>
      <c r="J643" s="20" t="s">
        <v>1143</v>
      </c>
      <c r="K643" s="7" t="s">
        <v>119</v>
      </c>
      <c r="L643" s="61">
        <v>45750</v>
      </c>
      <c r="M643" s="7" t="s">
        <v>111</v>
      </c>
      <c r="N643" s="58">
        <v>45754</v>
      </c>
      <c r="O643" s="58">
        <v>45754</v>
      </c>
      <c r="P643" s="59"/>
      <c r="Q643" s="124" t="e">
        <f>P643*#REF!</f>
        <v>#REF!</v>
      </c>
      <c r="R643" s="126">
        <v>45755</v>
      </c>
      <c r="S643" s="153">
        <f>IF(L643="","",L643-B643)</f>
        <v>7</v>
      </c>
      <c r="T643" s="153">
        <f>IF(N643="","",N643-L643)</f>
        <v>4</v>
      </c>
      <c r="U643" s="153">
        <f>IF(O643="","",O643-N643)</f>
        <v>0</v>
      </c>
      <c r="V643" s="154">
        <f>IF(O643="","",O643-B643)</f>
        <v>11</v>
      </c>
      <c r="W643" s="154">
        <f>IF(O643="","",O643-L643)</f>
        <v>4</v>
      </c>
      <c r="X643" s="154">
        <f>IF(R643="","",R643-B643)</f>
        <v>12</v>
      </c>
    </row>
    <row r="644" spans="2:24" ht="17.25" hidden="1" customHeight="1">
      <c r="B644" s="23">
        <v>45743</v>
      </c>
      <c r="C644" s="7">
        <v>2003643955</v>
      </c>
      <c r="D644" s="20">
        <v>130101</v>
      </c>
      <c r="E644" s="27" t="s">
        <v>143</v>
      </c>
      <c r="F644" s="7" t="s">
        <v>113</v>
      </c>
      <c r="G644" s="7" t="s">
        <v>70</v>
      </c>
      <c r="H644" s="7" t="s">
        <v>47</v>
      </c>
      <c r="I644" s="20" t="s">
        <v>423</v>
      </c>
      <c r="J644" s="20" t="s">
        <v>1144</v>
      </c>
      <c r="K644" s="7" t="s">
        <v>160</v>
      </c>
      <c r="P644" s="59"/>
      <c r="Q644" s="124" t="e">
        <f>P644*#REF!</f>
        <v>#REF!</v>
      </c>
      <c r="R644" s="126">
        <v>45755</v>
      </c>
      <c r="S644" s="153" t="str">
        <f>IF(L644="","",L644-B644)</f>
        <v/>
      </c>
      <c r="T644" s="153" t="str">
        <f>IF(N644="","",N644-L644)</f>
        <v/>
      </c>
      <c r="U644" s="153" t="str">
        <f>IF(O644="","",O644-N644)</f>
        <v/>
      </c>
      <c r="V644" s="154" t="str">
        <f>IF(O644="","",O644-B644)</f>
        <v/>
      </c>
      <c r="W644" s="154" t="str">
        <f>IF(O644="","",O644-L644)</f>
        <v/>
      </c>
      <c r="X644" s="154">
        <f>IF(R644="","",R644-B644)</f>
        <v>12</v>
      </c>
    </row>
    <row r="645" spans="2:24" ht="17.25" hidden="1" customHeight="1">
      <c r="B645" s="23">
        <v>45743</v>
      </c>
      <c r="C645" s="7">
        <v>2003635576</v>
      </c>
      <c r="D645" s="20">
        <v>129807</v>
      </c>
      <c r="E645" s="27" t="s">
        <v>138</v>
      </c>
      <c r="F645" s="7" t="s">
        <v>107</v>
      </c>
      <c r="G645" s="7" t="s">
        <v>10</v>
      </c>
      <c r="H645" s="7" t="s">
        <v>45</v>
      </c>
      <c r="I645" s="20" t="s">
        <v>627</v>
      </c>
      <c r="J645" s="20" t="s">
        <v>1145</v>
      </c>
      <c r="K645" s="7" t="s">
        <v>119</v>
      </c>
      <c r="L645" s="61">
        <v>45744</v>
      </c>
      <c r="M645" s="7" t="s">
        <v>111</v>
      </c>
      <c r="N645" s="61">
        <v>45744</v>
      </c>
      <c r="O645" s="58">
        <v>45747</v>
      </c>
      <c r="P645" s="59"/>
      <c r="Q645" s="124" t="e">
        <f>P645*#REF!</f>
        <v>#REF!</v>
      </c>
      <c r="R645" s="126">
        <v>45747</v>
      </c>
      <c r="S645" s="153">
        <f>IF(L645="","",L645-B645)</f>
        <v>1</v>
      </c>
      <c r="T645" s="153">
        <f>IF(N645="","",N645-L645)</f>
        <v>0</v>
      </c>
      <c r="U645" s="153">
        <f>IF(O645="","",O645-N645)</f>
        <v>3</v>
      </c>
      <c r="V645" s="154">
        <f>IF(O645="","",O645-B645)</f>
        <v>4</v>
      </c>
      <c r="W645" s="154">
        <f>IF(O645="","",O645-L645)</f>
        <v>3</v>
      </c>
      <c r="X645" s="154">
        <f>IF(R645="","",R645-B645)</f>
        <v>4</v>
      </c>
    </row>
    <row r="646" spans="2:24" ht="17.25" hidden="1" customHeight="1">
      <c r="B646" s="23">
        <v>45743</v>
      </c>
      <c r="C646" s="7">
        <v>2003632359</v>
      </c>
      <c r="D646" s="20">
        <v>5843109</v>
      </c>
      <c r="E646" s="27" t="s">
        <v>106</v>
      </c>
      <c r="F646" s="7" t="s">
        <v>107</v>
      </c>
      <c r="G646" s="7" t="s">
        <v>10</v>
      </c>
      <c r="H646" s="7" t="s">
        <v>45</v>
      </c>
      <c r="I646" s="20" t="s">
        <v>1146</v>
      </c>
      <c r="J646" s="20" t="s">
        <v>1147</v>
      </c>
      <c r="K646" s="7" t="s">
        <v>110</v>
      </c>
      <c r="L646" s="61">
        <v>45744</v>
      </c>
      <c r="M646" s="7" t="s">
        <v>111</v>
      </c>
      <c r="N646" s="61">
        <v>45744</v>
      </c>
      <c r="O646" s="58">
        <v>45747</v>
      </c>
      <c r="P646" s="59"/>
      <c r="Q646" s="124" t="e">
        <f>P646*#REF!</f>
        <v>#REF!</v>
      </c>
      <c r="R646" s="126">
        <v>45747</v>
      </c>
      <c r="S646" s="153">
        <f>IF(L646="","",L646-B646)</f>
        <v>1</v>
      </c>
      <c r="T646" s="153">
        <f>IF(N646="","",N646-L646)</f>
        <v>0</v>
      </c>
      <c r="U646" s="153">
        <f>IF(O646="","",O646-N646)</f>
        <v>3</v>
      </c>
      <c r="V646" s="154">
        <f>IF(O646="","",O646-B646)</f>
        <v>4</v>
      </c>
      <c r="W646" s="154">
        <f>IF(O646="","",O646-L646)</f>
        <v>3</v>
      </c>
      <c r="X646" s="154">
        <f>IF(R646="","",R646-B646)</f>
        <v>4</v>
      </c>
    </row>
    <row r="647" spans="2:24" ht="17.25" hidden="1" customHeight="1">
      <c r="B647" s="23">
        <v>45743</v>
      </c>
      <c r="C647" s="7">
        <v>2003607373</v>
      </c>
      <c r="D647" s="20">
        <v>5843275</v>
      </c>
      <c r="E647" s="27" t="s">
        <v>180</v>
      </c>
      <c r="F647" s="7" t="s">
        <v>107</v>
      </c>
      <c r="G647" s="7" t="s">
        <v>10</v>
      </c>
      <c r="H647" s="7" t="s">
        <v>45</v>
      </c>
      <c r="I647" s="20" t="s">
        <v>1148</v>
      </c>
      <c r="J647" s="20" t="s">
        <v>736</v>
      </c>
      <c r="K647" s="7" t="s">
        <v>110</v>
      </c>
      <c r="L647" s="61">
        <v>45750</v>
      </c>
      <c r="M647" s="7" t="s">
        <v>111</v>
      </c>
      <c r="N647" s="61">
        <v>45750</v>
      </c>
      <c r="O647" s="61">
        <v>45754</v>
      </c>
      <c r="P647" s="59"/>
      <c r="Q647" s="124" t="e">
        <f>P647*#REF!</f>
        <v>#REF!</v>
      </c>
      <c r="R647" s="126">
        <v>45755</v>
      </c>
      <c r="S647" s="153">
        <f>IF(L647="","",L647-B647)</f>
        <v>7</v>
      </c>
      <c r="T647" s="153">
        <f>IF(N647="","",N647-L647)</f>
        <v>0</v>
      </c>
      <c r="U647" s="153">
        <f>IF(O647="","",O647-N647)</f>
        <v>4</v>
      </c>
      <c r="V647" s="154">
        <f>IF(O647="","",O647-B647)</f>
        <v>11</v>
      </c>
      <c r="W647" s="154">
        <f>IF(O647="","",O647-L647)</f>
        <v>4</v>
      </c>
      <c r="X647" s="154">
        <f>IF(R647="","",R647-B647)</f>
        <v>12</v>
      </c>
    </row>
    <row r="648" spans="2:24" ht="17.25" hidden="1" customHeight="1">
      <c r="B648" s="23">
        <v>45743</v>
      </c>
      <c r="C648" s="7">
        <v>2003638053</v>
      </c>
      <c r="D648" s="20">
        <v>5843294</v>
      </c>
      <c r="E648" s="27" t="s">
        <v>106</v>
      </c>
      <c r="F648" s="7" t="s">
        <v>107</v>
      </c>
      <c r="G648" s="7" t="s">
        <v>10</v>
      </c>
      <c r="H648" s="7" t="s">
        <v>45</v>
      </c>
      <c r="I648" s="20" t="s">
        <v>1149</v>
      </c>
      <c r="J648" s="20" t="s">
        <v>1150</v>
      </c>
      <c r="K648" s="7" t="s">
        <v>119</v>
      </c>
      <c r="L648" s="61">
        <v>45748</v>
      </c>
      <c r="M648" s="7" t="s">
        <v>111</v>
      </c>
      <c r="N648" s="24">
        <v>45750</v>
      </c>
      <c r="O648" s="58">
        <v>45755</v>
      </c>
      <c r="P648" s="59"/>
      <c r="Q648" s="124" t="e">
        <f>P648*#REF!</f>
        <v>#REF!</v>
      </c>
      <c r="R648" s="126">
        <v>45755</v>
      </c>
      <c r="S648" s="153">
        <f>IF(L648="","",L648-B648)</f>
        <v>5</v>
      </c>
      <c r="T648" s="153">
        <f>IF(N648="","",N648-L648)</f>
        <v>2</v>
      </c>
      <c r="U648" s="153">
        <f>IF(O648="","",O648-N648)</f>
        <v>5</v>
      </c>
      <c r="V648" s="154">
        <f>IF(O648="","",O648-B648)</f>
        <v>12</v>
      </c>
      <c r="W648" s="154">
        <f>IF(O648="","",O648-L648)</f>
        <v>7</v>
      </c>
      <c r="X648" s="154">
        <f>IF(R648="","",R648-B648)</f>
        <v>12</v>
      </c>
    </row>
    <row r="649" spans="2:24" ht="17.25" hidden="1" customHeight="1">
      <c r="B649" s="23">
        <v>45743</v>
      </c>
      <c r="C649" s="7">
        <v>2003612433</v>
      </c>
      <c r="D649" s="20">
        <v>5843377</v>
      </c>
      <c r="E649" s="27" t="s">
        <v>152</v>
      </c>
      <c r="F649" s="7" t="s">
        <v>107</v>
      </c>
      <c r="G649" s="7" t="s">
        <v>10</v>
      </c>
      <c r="H649" s="7" t="s">
        <v>45</v>
      </c>
      <c r="I649" s="20" t="s">
        <v>1151</v>
      </c>
      <c r="J649" s="20" t="s">
        <v>1152</v>
      </c>
      <c r="K649" s="7" t="s">
        <v>119</v>
      </c>
      <c r="L649" s="61">
        <v>45750</v>
      </c>
      <c r="M649" s="7" t="s">
        <v>111</v>
      </c>
      <c r="N649" s="61">
        <v>45750</v>
      </c>
      <c r="O649" s="61">
        <v>45750</v>
      </c>
      <c r="P649" s="59"/>
      <c r="Q649" s="124" t="e">
        <f>P649*#REF!</f>
        <v>#REF!</v>
      </c>
      <c r="R649" s="126">
        <v>45751</v>
      </c>
      <c r="S649" s="153">
        <f>IF(L649="","",L649-B649)</f>
        <v>7</v>
      </c>
      <c r="T649" s="153">
        <f>IF(N649="","",N649-L649)</f>
        <v>0</v>
      </c>
      <c r="U649" s="153">
        <f>IF(O649="","",O649-N649)</f>
        <v>0</v>
      </c>
      <c r="V649" s="154">
        <f>IF(O649="","",O649-B649)</f>
        <v>7</v>
      </c>
      <c r="W649" s="154">
        <f>IF(O649="","",O649-L649)</f>
        <v>0</v>
      </c>
      <c r="X649" s="154">
        <f>IF(R649="","",R649-B649)</f>
        <v>8</v>
      </c>
    </row>
    <row r="650" spans="2:24" ht="17.25" hidden="1" customHeight="1">
      <c r="B650" s="23">
        <v>45743</v>
      </c>
      <c r="C650" s="7">
        <v>2003616923</v>
      </c>
      <c r="D650" s="20">
        <v>5843548</v>
      </c>
      <c r="E650" s="27" t="s">
        <v>408</v>
      </c>
      <c r="F650" s="7" t="s">
        <v>107</v>
      </c>
      <c r="G650" s="7" t="s">
        <v>10</v>
      </c>
      <c r="H650" s="7" t="s">
        <v>45</v>
      </c>
      <c r="I650" s="20" t="s">
        <v>1148</v>
      </c>
      <c r="J650" s="20" t="s">
        <v>917</v>
      </c>
      <c r="K650" s="7" t="s">
        <v>110</v>
      </c>
      <c r="L650" s="61">
        <v>45747</v>
      </c>
      <c r="M650" s="7" t="s">
        <v>111</v>
      </c>
      <c r="N650" s="61">
        <v>45748</v>
      </c>
      <c r="O650" s="61">
        <v>45748</v>
      </c>
      <c r="P650" s="59"/>
      <c r="Q650" s="124" t="e">
        <f>P650*#REF!</f>
        <v>#REF!</v>
      </c>
      <c r="R650" s="126">
        <v>45750</v>
      </c>
      <c r="S650" s="153">
        <f>IF(L650="","",L650-B650)</f>
        <v>4</v>
      </c>
      <c r="T650" s="153">
        <f>IF(N650="","",N650-L650)</f>
        <v>1</v>
      </c>
      <c r="U650" s="153">
        <f>IF(O650="","",O650-N650)</f>
        <v>0</v>
      </c>
      <c r="V650" s="154">
        <f>IF(O650="","",O650-B650)</f>
        <v>5</v>
      </c>
      <c r="W650" s="154">
        <f>IF(O650="","",O650-L650)</f>
        <v>1</v>
      </c>
      <c r="X650" s="154">
        <f>IF(R650="","",R650-B650)</f>
        <v>7</v>
      </c>
    </row>
    <row r="651" spans="2:24" ht="17.25" hidden="1" customHeight="1">
      <c r="B651" s="23">
        <v>45744</v>
      </c>
      <c r="C651" s="7">
        <v>2003603819</v>
      </c>
      <c r="D651" s="20">
        <v>584483</v>
      </c>
      <c r="E651" s="20" t="s">
        <v>143</v>
      </c>
      <c r="F651" s="7" t="s">
        <v>107</v>
      </c>
      <c r="G651" s="7" t="s">
        <v>18</v>
      </c>
      <c r="H651" s="7" t="s">
        <v>45</v>
      </c>
      <c r="I651" s="20" t="s">
        <v>1153</v>
      </c>
      <c r="J651" s="20" t="s">
        <v>1154</v>
      </c>
      <c r="K651" s="7" t="s">
        <v>110</v>
      </c>
      <c r="L651" s="61">
        <v>45744</v>
      </c>
      <c r="M651" s="7" t="s">
        <v>146</v>
      </c>
      <c r="N651" s="24">
        <v>45747</v>
      </c>
      <c r="O651" s="58">
        <v>45747</v>
      </c>
      <c r="P651" s="59"/>
      <c r="Q651" s="124" t="e">
        <f>P651*#REF!</f>
        <v>#REF!</v>
      </c>
      <c r="R651" s="126">
        <v>45747</v>
      </c>
      <c r="S651" s="153">
        <f>IF(L651="","",L651-B651)</f>
        <v>0</v>
      </c>
      <c r="T651" s="153">
        <f>IF(N651="","",N651-L651)</f>
        <v>3</v>
      </c>
      <c r="U651" s="153">
        <f>IF(O651="","",O651-N651)</f>
        <v>0</v>
      </c>
      <c r="V651" s="154">
        <f>IF(O651="","",O651-B651)</f>
        <v>3</v>
      </c>
      <c r="W651" s="154">
        <f>IF(O651="","",O651-L651)</f>
        <v>3</v>
      </c>
      <c r="X651" s="154">
        <f>IF(R651="","",R651-B651)</f>
        <v>3</v>
      </c>
    </row>
    <row r="652" spans="2:24" ht="17.25" hidden="1" customHeight="1">
      <c r="B652" s="23">
        <v>45744</v>
      </c>
      <c r="C652" s="7">
        <v>2003600499</v>
      </c>
      <c r="D652" s="20">
        <v>5844780</v>
      </c>
      <c r="E652" s="27" t="s">
        <v>126</v>
      </c>
      <c r="F652" s="7" t="s">
        <v>107</v>
      </c>
      <c r="G652" s="112" t="s">
        <v>10</v>
      </c>
      <c r="H652" s="7" t="s">
        <v>45</v>
      </c>
      <c r="I652" s="20" t="s">
        <v>1155</v>
      </c>
      <c r="J652" s="20" t="s">
        <v>1156</v>
      </c>
      <c r="K652" s="7" t="s">
        <v>119</v>
      </c>
      <c r="L652" s="61">
        <v>45750</v>
      </c>
      <c r="M652" s="7" t="s">
        <v>111</v>
      </c>
      <c r="N652" s="61">
        <v>45750</v>
      </c>
      <c r="O652" s="61">
        <v>45750</v>
      </c>
      <c r="P652" s="59"/>
      <c r="Q652" s="124"/>
      <c r="R652" s="126">
        <v>45751</v>
      </c>
      <c r="V652" s="154"/>
      <c r="W652" s="154"/>
      <c r="X652" s="154"/>
    </row>
    <row r="653" spans="2:24" ht="17.25" hidden="1" customHeight="1">
      <c r="B653" s="23">
        <v>45744</v>
      </c>
      <c r="C653" s="7">
        <v>2003562491</v>
      </c>
      <c r="D653" s="20">
        <v>5844888</v>
      </c>
      <c r="E653" s="27" t="s">
        <v>143</v>
      </c>
      <c r="F653" s="7" t="s">
        <v>107</v>
      </c>
      <c r="G653" s="7" t="s">
        <v>30</v>
      </c>
      <c r="H653" s="7" t="s">
        <v>45</v>
      </c>
      <c r="I653" s="20" t="s">
        <v>942</v>
      </c>
      <c r="J653" s="20" t="s">
        <v>375</v>
      </c>
      <c r="K653" s="7" t="s">
        <v>111</v>
      </c>
      <c r="L653" s="61">
        <v>45747</v>
      </c>
      <c r="M653" s="7" t="s">
        <v>111</v>
      </c>
      <c r="N653" s="61">
        <v>45748</v>
      </c>
      <c r="O653" s="58">
        <v>45761</v>
      </c>
      <c r="P653" s="59"/>
      <c r="Q653" s="124" t="e">
        <f>P653*#REF!</f>
        <v>#REF!</v>
      </c>
      <c r="R653" s="126">
        <v>45765</v>
      </c>
      <c r="S653" s="153">
        <f>IF(L653="","",L653-B653)</f>
        <v>3</v>
      </c>
      <c r="T653" s="153">
        <f>IF(N653="","",N653-L653)</f>
        <v>1</v>
      </c>
      <c r="U653" s="153">
        <f>IF(O653="","",O653-N653)</f>
        <v>13</v>
      </c>
      <c r="V653" s="154">
        <f>IF(O653="","",O653-B653)</f>
        <v>17</v>
      </c>
      <c r="W653" s="154">
        <f>IF(O653="","",O653-L653)</f>
        <v>14</v>
      </c>
      <c r="X653" s="154">
        <f>IF(R653="","",R653-B653)</f>
        <v>21</v>
      </c>
    </row>
    <row r="654" spans="2:24" ht="17.25" hidden="1" customHeight="1">
      <c r="B654" s="23">
        <v>45744</v>
      </c>
      <c r="C654" s="7">
        <v>2003362629</v>
      </c>
      <c r="D654" s="20">
        <v>5845156</v>
      </c>
      <c r="E654" s="27" t="s">
        <v>116</v>
      </c>
      <c r="F654" s="7" t="s">
        <v>107</v>
      </c>
      <c r="G654" s="7" t="s">
        <v>10</v>
      </c>
      <c r="H654" s="7" t="s">
        <v>45</v>
      </c>
      <c r="I654" s="20" t="s">
        <v>1157</v>
      </c>
      <c r="J654" s="20" t="s">
        <v>1158</v>
      </c>
      <c r="K654" s="7" t="s">
        <v>119</v>
      </c>
      <c r="L654" s="61">
        <v>45751</v>
      </c>
      <c r="M654" s="7" t="s">
        <v>111</v>
      </c>
      <c r="N654" s="24">
        <v>45754</v>
      </c>
      <c r="O654" s="58">
        <v>45755</v>
      </c>
      <c r="P654" s="59">
        <v>89</v>
      </c>
      <c r="Q654" s="124" t="e">
        <f>P654*#REF!</f>
        <v>#REF!</v>
      </c>
      <c r="R654" s="126">
        <v>45755</v>
      </c>
      <c r="S654" s="153">
        <f>IF(L654="","",L654-B654)</f>
        <v>7</v>
      </c>
      <c r="T654" s="153">
        <f>IF(N654="","",N654-L654)</f>
        <v>3</v>
      </c>
      <c r="U654" s="153">
        <f>IF(O654="","",O654-N654)</f>
        <v>1</v>
      </c>
      <c r="V654" s="154">
        <f>IF(O654="","",O654-B654)</f>
        <v>11</v>
      </c>
      <c r="W654" s="154">
        <f>IF(O654="","",O654-L654)</f>
        <v>4</v>
      </c>
      <c r="X654" s="154">
        <f>IF(R654="","",R654-B654)</f>
        <v>11</v>
      </c>
    </row>
    <row r="655" spans="2:24" ht="17.25" hidden="1" customHeight="1">
      <c r="B655" s="23">
        <v>45744</v>
      </c>
      <c r="C655" s="7">
        <v>2003632467</v>
      </c>
      <c r="D655" s="20">
        <v>5845175</v>
      </c>
      <c r="E655" s="27" t="s">
        <v>185</v>
      </c>
      <c r="F655" s="7" t="s">
        <v>107</v>
      </c>
      <c r="G655" s="7" t="s">
        <v>18</v>
      </c>
      <c r="H655" s="7" t="s">
        <v>45</v>
      </c>
      <c r="I655" s="20" t="s">
        <v>1159</v>
      </c>
      <c r="J655" s="20" t="s">
        <v>1160</v>
      </c>
      <c r="K655" s="7" t="s">
        <v>110</v>
      </c>
      <c r="L655" s="61">
        <v>45748</v>
      </c>
      <c r="M655" s="7" t="s">
        <v>111</v>
      </c>
      <c r="N655" s="61">
        <v>45748</v>
      </c>
      <c r="O655" s="61">
        <v>45748</v>
      </c>
      <c r="P655" s="59">
        <v>67.900000000000006</v>
      </c>
      <c r="Q655" s="124" t="e">
        <f>P655*#REF!</f>
        <v>#REF!</v>
      </c>
      <c r="R655" s="126">
        <v>45750</v>
      </c>
      <c r="S655" s="153">
        <f>IF(L655="","",L655-B655)</f>
        <v>4</v>
      </c>
      <c r="T655" s="153">
        <f>IF(N655="","",N655-L655)</f>
        <v>0</v>
      </c>
      <c r="U655" s="153">
        <f>IF(O655="","",O655-N655)</f>
        <v>0</v>
      </c>
      <c r="V655" s="154">
        <f>IF(O655="","",O655-B655)</f>
        <v>4</v>
      </c>
      <c r="W655" s="154">
        <f>IF(O655="","",O655-L655)</f>
        <v>0</v>
      </c>
      <c r="X655" s="154">
        <f>IF(R655="","",R655-B655)</f>
        <v>6</v>
      </c>
    </row>
    <row r="656" spans="2:24" ht="17.25" hidden="1" customHeight="1">
      <c r="B656" s="23">
        <v>45744</v>
      </c>
      <c r="C656" s="7">
        <v>2003644924</v>
      </c>
      <c r="D656" s="20">
        <v>5845236</v>
      </c>
      <c r="E656" s="27" t="s">
        <v>126</v>
      </c>
      <c r="F656" s="7" t="s">
        <v>107</v>
      </c>
      <c r="G656" s="7" t="s">
        <v>10</v>
      </c>
      <c r="H656" s="7" t="s">
        <v>45</v>
      </c>
      <c r="I656" s="20" t="s">
        <v>1161</v>
      </c>
      <c r="J656" s="20" t="s">
        <v>1162</v>
      </c>
      <c r="K656" s="7" t="s">
        <v>119</v>
      </c>
      <c r="L656" s="61">
        <v>45751</v>
      </c>
      <c r="M656" s="7" t="s">
        <v>111</v>
      </c>
      <c r="N656" s="61">
        <v>45754</v>
      </c>
      <c r="O656" s="61">
        <v>45754</v>
      </c>
      <c r="P656" s="59"/>
      <c r="Q656" s="124" t="e">
        <f>P656*#REF!</f>
        <v>#REF!</v>
      </c>
      <c r="R656" s="126">
        <v>45755</v>
      </c>
      <c r="S656" s="153">
        <f>IF(L656="","",L656-B656)</f>
        <v>7</v>
      </c>
      <c r="T656" s="153">
        <f>IF(N656="","",N656-L656)</f>
        <v>3</v>
      </c>
      <c r="U656" s="153">
        <f>IF(O656="","",O656-N656)</f>
        <v>0</v>
      </c>
      <c r="V656" s="154">
        <f>IF(O656="","",O656-B656)</f>
        <v>10</v>
      </c>
      <c r="W656" s="154">
        <f>IF(O656="","",O656-L656)</f>
        <v>3</v>
      </c>
      <c r="X656" s="154">
        <f>IF(R656="","",R656-B656)</f>
        <v>11</v>
      </c>
    </row>
    <row r="657" spans="2:24" ht="17.25" hidden="1" customHeight="1">
      <c r="B657" s="23">
        <v>45744</v>
      </c>
      <c r="C657" s="7">
        <v>2003580735</v>
      </c>
      <c r="D657" s="20">
        <v>5845239</v>
      </c>
      <c r="E657" s="27" t="s">
        <v>185</v>
      </c>
      <c r="F657" s="7" t="s">
        <v>107</v>
      </c>
      <c r="G657" s="7" t="s">
        <v>166</v>
      </c>
      <c r="H657" s="7" t="s">
        <v>45</v>
      </c>
      <c r="I657" s="20" t="s">
        <v>863</v>
      </c>
      <c r="J657" s="20" t="s">
        <v>346</v>
      </c>
      <c r="K657" s="7" t="s">
        <v>119</v>
      </c>
      <c r="L657" s="61">
        <v>45747</v>
      </c>
      <c r="M657" s="7" t="s">
        <v>111</v>
      </c>
      <c r="N657" s="24">
        <v>45748</v>
      </c>
      <c r="O657" s="24">
        <v>45748</v>
      </c>
      <c r="P657" s="59"/>
      <c r="Q657" s="124" t="e">
        <f>P657*#REF!</f>
        <v>#REF!</v>
      </c>
      <c r="R657" s="126">
        <v>45750</v>
      </c>
      <c r="S657" s="153">
        <f>IF(L657="","",L657-B657)</f>
        <v>3</v>
      </c>
      <c r="T657" s="153">
        <f>IF(N657="","",N657-L657)</f>
        <v>1</v>
      </c>
      <c r="U657" s="153">
        <f>IF(O657="","",O657-N657)</f>
        <v>0</v>
      </c>
      <c r="V657" s="154">
        <f>IF(O657="","",O657-B657)</f>
        <v>4</v>
      </c>
      <c r="W657" s="154">
        <f>IF(O657="","",O657-L657)</f>
        <v>1</v>
      </c>
      <c r="X657" s="154">
        <f>IF(R657="","",R657-B657)</f>
        <v>6</v>
      </c>
    </row>
    <row r="658" spans="2:24" ht="17.25" hidden="1" customHeight="1">
      <c r="B658" s="23">
        <v>45744</v>
      </c>
      <c r="C658" s="7">
        <v>2003613488</v>
      </c>
      <c r="D658" s="20">
        <v>5845428</v>
      </c>
      <c r="E658" s="27" t="s">
        <v>149</v>
      </c>
      <c r="F658" s="7" t="s">
        <v>107</v>
      </c>
      <c r="G658" s="7" t="s">
        <v>166</v>
      </c>
      <c r="H658" s="7" t="s">
        <v>45</v>
      </c>
      <c r="I658" s="20" t="s">
        <v>256</v>
      </c>
      <c r="J658" s="20" t="s">
        <v>807</v>
      </c>
      <c r="K658" s="7" t="s">
        <v>119</v>
      </c>
      <c r="L658" s="61">
        <v>45747</v>
      </c>
      <c r="M658" s="7" t="s">
        <v>111</v>
      </c>
      <c r="N658" s="24">
        <v>45748</v>
      </c>
      <c r="O658" s="24">
        <v>45748</v>
      </c>
      <c r="P658" s="59"/>
      <c r="Q658" s="124" t="e">
        <f>P658*#REF!</f>
        <v>#REF!</v>
      </c>
      <c r="R658" s="126">
        <v>45750</v>
      </c>
      <c r="S658" s="153">
        <f>IF(L658="","",L658-B658)</f>
        <v>3</v>
      </c>
      <c r="T658" s="153">
        <f>IF(N658="","",N658-L658)</f>
        <v>1</v>
      </c>
      <c r="U658" s="153">
        <f>IF(O658="","",O658-N658)</f>
        <v>0</v>
      </c>
      <c r="V658" s="154">
        <f>IF(O658="","",O658-B658)</f>
        <v>4</v>
      </c>
      <c r="W658" s="154">
        <f>IF(O658="","",O658-L658)</f>
        <v>1</v>
      </c>
      <c r="X658" s="154">
        <f>IF(R658="","",R658-B658)</f>
        <v>6</v>
      </c>
    </row>
    <row r="659" spans="2:24" ht="17.25" hidden="1" customHeight="1">
      <c r="B659" s="23">
        <v>45744</v>
      </c>
      <c r="C659" s="7">
        <v>2003406529</v>
      </c>
      <c r="D659" s="20">
        <v>5845468</v>
      </c>
      <c r="E659" s="27" t="s">
        <v>106</v>
      </c>
      <c r="F659" s="7" t="s">
        <v>107</v>
      </c>
      <c r="G659" s="7" t="s">
        <v>18</v>
      </c>
      <c r="H659" s="7" t="s">
        <v>45</v>
      </c>
      <c r="I659" s="20" t="s">
        <v>644</v>
      </c>
      <c r="J659" s="20" t="s">
        <v>1163</v>
      </c>
      <c r="K659" s="7" t="s">
        <v>119</v>
      </c>
      <c r="L659" s="61">
        <v>45750</v>
      </c>
      <c r="M659" s="7" t="s">
        <v>111</v>
      </c>
      <c r="N659" s="24">
        <v>45754</v>
      </c>
      <c r="O659" s="24">
        <v>45754</v>
      </c>
      <c r="P659" s="59"/>
      <c r="Q659" s="124" t="e">
        <f>P659*#REF!</f>
        <v>#REF!</v>
      </c>
      <c r="R659" s="126">
        <v>45755</v>
      </c>
      <c r="S659" s="153">
        <f>IF(L659="","",L659-B659)</f>
        <v>6</v>
      </c>
      <c r="T659" s="153">
        <f>IF(N659="","",N659-L659)</f>
        <v>4</v>
      </c>
      <c r="U659" s="153">
        <f>IF(O659="","",O659-N659)</f>
        <v>0</v>
      </c>
      <c r="V659" s="154">
        <f>IF(O659="","",O659-B659)</f>
        <v>10</v>
      </c>
      <c r="W659" s="154">
        <f>IF(O659="","",O659-L659)</f>
        <v>4</v>
      </c>
      <c r="X659" s="154">
        <f>IF(R659="","",R659-B659)</f>
        <v>11</v>
      </c>
    </row>
    <row r="660" spans="2:24" ht="17.25" hidden="1" customHeight="1">
      <c r="B660" s="23">
        <v>45744</v>
      </c>
      <c r="C660" s="7">
        <v>2003647128</v>
      </c>
      <c r="D660" s="20">
        <v>5845480</v>
      </c>
      <c r="E660" s="27" t="s">
        <v>180</v>
      </c>
      <c r="F660" s="7" t="s">
        <v>113</v>
      </c>
      <c r="G660" s="7" t="s">
        <v>70</v>
      </c>
      <c r="H660" s="7" t="s">
        <v>47</v>
      </c>
      <c r="I660" s="20" t="s">
        <v>965</v>
      </c>
      <c r="J660" s="20" t="s">
        <v>1164</v>
      </c>
      <c r="K660" s="7" t="s">
        <v>160</v>
      </c>
      <c r="P660" s="59"/>
      <c r="Q660" s="124" t="e">
        <f>P660*#REF!</f>
        <v>#REF!</v>
      </c>
      <c r="R660" s="126">
        <v>45755</v>
      </c>
      <c r="S660" s="153" t="str">
        <f>IF(L660="","",L660-B660)</f>
        <v/>
      </c>
      <c r="T660" s="153" t="str">
        <f>IF(N660="","",N660-L660)</f>
        <v/>
      </c>
      <c r="U660" s="153" t="str">
        <f>IF(O660="","",O660-N660)</f>
        <v/>
      </c>
      <c r="V660" s="154" t="str">
        <f>IF(O660="","",O660-B660)</f>
        <v/>
      </c>
      <c r="W660" s="154" t="str">
        <f>IF(O660="","",O660-L660)</f>
        <v/>
      </c>
      <c r="X660" s="154">
        <f>IF(R660="","",R660-B660)</f>
        <v>11</v>
      </c>
    </row>
    <row r="661" spans="2:24" ht="17.25" hidden="1" customHeight="1">
      <c r="B661" s="23">
        <v>45744</v>
      </c>
      <c r="C661" s="7">
        <v>2003643048</v>
      </c>
      <c r="D661" s="20">
        <v>5845494</v>
      </c>
      <c r="E661" s="27" t="s">
        <v>126</v>
      </c>
      <c r="F661" s="7" t="s">
        <v>107</v>
      </c>
      <c r="G661" s="7" t="s">
        <v>18</v>
      </c>
      <c r="H661" s="7" t="s">
        <v>45</v>
      </c>
      <c r="I661" s="20" t="s">
        <v>1165</v>
      </c>
      <c r="J661" s="20" t="s">
        <v>1166</v>
      </c>
      <c r="K661" s="7" t="s">
        <v>110</v>
      </c>
      <c r="L661" s="61">
        <v>45747</v>
      </c>
      <c r="M661" s="7" t="s">
        <v>111</v>
      </c>
      <c r="N661" s="24">
        <v>45748</v>
      </c>
      <c r="O661" s="61">
        <v>45748</v>
      </c>
      <c r="P661" s="59"/>
      <c r="Q661" s="124" t="e">
        <f>P661*#REF!</f>
        <v>#REF!</v>
      </c>
      <c r="R661" s="126">
        <v>45750</v>
      </c>
      <c r="S661" s="153">
        <f>IF(L661="","",L661-B661)</f>
        <v>3</v>
      </c>
      <c r="T661" s="153">
        <f>IF(N661="","",N661-L661)</f>
        <v>1</v>
      </c>
      <c r="U661" s="153">
        <f>IF(O661="","",O661-N661)</f>
        <v>0</v>
      </c>
      <c r="V661" s="154">
        <f>IF(O661="","",O661-B661)</f>
        <v>4</v>
      </c>
      <c r="W661" s="154">
        <f>IF(O661="","",O661-L661)</f>
        <v>1</v>
      </c>
      <c r="X661" s="154">
        <f>IF(R661="","",R661-B661)</f>
        <v>6</v>
      </c>
    </row>
    <row r="662" spans="2:24" ht="17.25" hidden="1" customHeight="1">
      <c r="B662" s="23">
        <v>45744</v>
      </c>
      <c r="C662" s="7">
        <v>2003633566</v>
      </c>
      <c r="D662" s="20">
        <v>130812</v>
      </c>
      <c r="E662" s="27" t="s">
        <v>143</v>
      </c>
      <c r="F662" s="7" t="s">
        <v>107</v>
      </c>
      <c r="G662" s="7" t="s">
        <v>10</v>
      </c>
      <c r="H662" s="7" t="s">
        <v>45</v>
      </c>
      <c r="I662" s="20" t="s">
        <v>1167</v>
      </c>
      <c r="J662" s="20" t="s">
        <v>1168</v>
      </c>
      <c r="K662" s="7" t="s">
        <v>110</v>
      </c>
      <c r="L662" s="61">
        <v>45751</v>
      </c>
      <c r="M662" s="7" t="s">
        <v>111</v>
      </c>
      <c r="N662" s="61">
        <v>45751</v>
      </c>
      <c r="O662" s="61">
        <v>45754</v>
      </c>
      <c r="P662" s="59"/>
      <c r="Q662" s="124" t="e">
        <f>P662*#REF!</f>
        <v>#REF!</v>
      </c>
      <c r="R662" s="126">
        <v>45755</v>
      </c>
      <c r="S662" s="153">
        <f>IF(L662="","",L662-B662)</f>
        <v>7</v>
      </c>
      <c r="T662" s="153">
        <f>IF(N662="","",N662-L662)</f>
        <v>0</v>
      </c>
      <c r="U662" s="153">
        <f>IF(O662="","",O662-N662)</f>
        <v>3</v>
      </c>
      <c r="V662" s="154">
        <f>IF(O662="","",O662-B662)</f>
        <v>10</v>
      </c>
      <c r="W662" s="154">
        <f>IF(O662="","",O662-L662)</f>
        <v>3</v>
      </c>
      <c r="X662" s="154">
        <f>IF(R662="","",R662-B662)</f>
        <v>11</v>
      </c>
    </row>
    <row r="663" spans="2:24" ht="17.25" hidden="1" customHeight="1">
      <c r="B663" s="23">
        <v>45744</v>
      </c>
      <c r="C663" s="7">
        <v>2003644125</v>
      </c>
      <c r="D663" s="20">
        <v>130608</v>
      </c>
      <c r="E663" s="27" t="s">
        <v>622</v>
      </c>
      <c r="F663" s="7" t="s">
        <v>107</v>
      </c>
      <c r="G663" s="7" t="s">
        <v>18</v>
      </c>
      <c r="H663" s="7" t="s">
        <v>45</v>
      </c>
      <c r="I663" s="20" t="s">
        <v>627</v>
      </c>
      <c r="J663" s="20" t="s">
        <v>1169</v>
      </c>
      <c r="K663" s="7" t="s">
        <v>110</v>
      </c>
      <c r="L663" s="61">
        <v>45748</v>
      </c>
      <c r="M663" s="7" t="s">
        <v>111</v>
      </c>
      <c r="N663" s="61">
        <v>45748</v>
      </c>
      <c r="O663" s="58">
        <v>45751</v>
      </c>
      <c r="P663" s="59"/>
      <c r="Q663" s="124" t="e">
        <f>P663*#REF!</f>
        <v>#REF!</v>
      </c>
      <c r="R663" s="126">
        <v>45755</v>
      </c>
      <c r="S663" s="153">
        <f>IF(L663="","",L663-B663)</f>
        <v>4</v>
      </c>
      <c r="T663" s="153">
        <f>IF(N663="","",N663-L663)</f>
        <v>0</v>
      </c>
      <c r="U663" s="153">
        <f>IF(O663="","",O663-N663)</f>
        <v>3</v>
      </c>
      <c r="V663" s="154">
        <f>IF(O663="","",O663-B663)</f>
        <v>7</v>
      </c>
      <c r="W663" s="154">
        <f>IF(O663="","",O663-L663)</f>
        <v>3</v>
      </c>
      <c r="X663" s="154">
        <f>IF(R663="","",R663-B663)</f>
        <v>11</v>
      </c>
    </row>
    <row r="664" spans="2:24" ht="17.25" hidden="1" customHeight="1">
      <c r="B664" s="23">
        <v>45747</v>
      </c>
      <c r="C664" s="7">
        <v>2003641561</v>
      </c>
      <c r="D664" s="20">
        <v>132523</v>
      </c>
      <c r="E664" s="27" t="s">
        <v>185</v>
      </c>
      <c r="F664" s="7" t="s">
        <v>107</v>
      </c>
      <c r="G664" s="7" t="s">
        <v>10</v>
      </c>
      <c r="H664" s="7" t="s">
        <v>45</v>
      </c>
      <c r="I664" s="20" t="s">
        <v>358</v>
      </c>
      <c r="J664" s="20" t="s">
        <v>1170</v>
      </c>
      <c r="K664" s="7" t="s">
        <v>110</v>
      </c>
      <c r="L664" s="61">
        <v>45750</v>
      </c>
      <c r="M664" s="7" t="s">
        <v>111</v>
      </c>
      <c r="N664" s="61">
        <v>45750</v>
      </c>
      <c r="O664" s="61">
        <v>45754</v>
      </c>
      <c r="P664" s="59"/>
      <c r="Q664" s="124" t="e">
        <f>P664*#REF!</f>
        <v>#REF!</v>
      </c>
      <c r="R664" s="126">
        <v>45755</v>
      </c>
      <c r="S664" s="153">
        <f>IF(L664="","",L664-B664)</f>
        <v>3</v>
      </c>
      <c r="T664" s="153">
        <f>IF(N664="","",N664-L664)</f>
        <v>0</v>
      </c>
      <c r="U664" s="153">
        <f>IF(O664="","",O664-N664)</f>
        <v>4</v>
      </c>
      <c r="V664" s="154">
        <f>IF(O664="","",O664-B664)</f>
        <v>7</v>
      </c>
      <c r="W664" s="154">
        <f>IF(O664="","",O664-L664)</f>
        <v>4</v>
      </c>
      <c r="X664" s="154">
        <f>IF(R664="","",R664-B664)</f>
        <v>8</v>
      </c>
    </row>
    <row r="665" spans="2:24" ht="17.25" hidden="1" customHeight="1">
      <c r="B665" s="23">
        <v>45747</v>
      </c>
      <c r="C665" s="7">
        <v>2003644512</v>
      </c>
      <c r="D665" s="20">
        <v>132021</v>
      </c>
      <c r="E665" s="27" t="s">
        <v>123</v>
      </c>
      <c r="F665" s="7" t="s">
        <v>107</v>
      </c>
      <c r="G665" s="7" t="s">
        <v>10</v>
      </c>
      <c r="H665" s="7" t="s">
        <v>45</v>
      </c>
      <c r="I665" s="20" t="s">
        <v>1171</v>
      </c>
      <c r="J665" s="20" t="s">
        <v>1172</v>
      </c>
      <c r="K665" s="7" t="s">
        <v>119</v>
      </c>
      <c r="L665" s="61">
        <v>45750</v>
      </c>
      <c r="M665" s="7" t="s">
        <v>111</v>
      </c>
      <c r="N665" s="61">
        <v>45750</v>
      </c>
      <c r="O665" s="61">
        <v>45754</v>
      </c>
      <c r="P665" s="59"/>
      <c r="Q665" s="124" t="e">
        <f>P665*#REF!</f>
        <v>#REF!</v>
      </c>
      <c r="R665" s="126">
        <v>45755</v>
      </c>
      <c r="S665" s="153">
        <f>IF(L665="","",L665-B665)</f>
        <v>3</v>
      </c>
      <c r="T665" s="153">
        <f>IF(N665="","",N665-L665)</f>
        <v>0</v>
      </c>
      <c r="U665" s="153">
        <f>IF(O665="","",O665-N665)</f>
        <v>4</v>
      </c>
      <c r="V665" s="154">
        <f>IF(O665="","",O665-B665)</f>
        <v>7</v>
      </c>
      <c r="W665" s="154">
        <f>IF(O665="","",O665-L665)</f>
        <v>4</v>
      </c>
      <c r="X665" s="154">
        <f>IF(R665="","",R665-B665)</f>
        <v>8</v>
      </c>
    </row>
    <row r="666" spans="2:24" ht="17.25" hidden="1" customHeight="1">
      <c r="B666" s="23">
        <v>45747</v>
      </c>
      <c r="C666" s="7">
        <v>2003645308</v>
      </c>
      <c r="D666" s="20">
        <v>5862098</v>
      </c>
      <c r="E666" s="27" t="s">
        <v>123</v>
      </c>
      <c r="F666" s="7" t="s">
        <v>107</v>
      </c>
      <c r="G666" s="7" t="s">
        <v>10</v>
      </c>
      <c r="H666" s="7" t="s">
        <v>45</v>
      </c>
      <c r="I666" s="20" t="s">
        <v>1173</v>
      </c>
      <c r="J666" s="20" t="s">
        <v>1174</v>
      </c>
      <c r="K666" s="7" t="s">
        <v>110</v>
      </c>
      <c r="L666" s="61">
        <v>45750</v>
      </c>
      <c r="M666" s="7" t="s">
        <v>111</v>
      </c>
      <c r="N666" s="61">
        <v>45750</v>
      </c>
      <c r="O666" s="61">
        <v>45754</v>
      </c>
      <c r="P666" s="59"/>
      <c r="Q666" s="124" t="e">
        <f>P666*#REF!</f>
        <v>#REF!</v>
      </c>
      <c r="R666" s="126">
        <v>45755</v>
      </c>
      <c r="S666" s="153">
        <f>IF(L666="","",L666-B666)</f>
        <v>3</v>
      </c>
      <c r="T666" s="153">
        <f>IF(N666="","",N666-L666)</f>
        <v>0</v>
      </c>
      <c r="U666" s="153">
        <f>IF(O666="","",O666-N666)</f>
        <v>4</v>
      </c>
      <c r="V666" s="154">
        <f>IF(O666="","",O666-B666)</f>
        <v>7</v>
      </c>
      <c r="W666" s="154">
        <f>IF(O666="","",O666-L666)</f>
        <v>4</v>
      </c>
      <c r="X666" s="154">
        <f>IF(R666="","",R666-B666)</f>
        <v>8</v>
      </c>
    </row>
    <row r="667" spans="2:24" ht="17.25" hidden="1" customHeight="1">
      <c r="B667" s="23">
        <v>45747</v>
      </c>
      <c r="C667" s="7">
        <v>2003556660</v>
      </c>
      <c r="D667" s="20">
        <v>5862717</v>
      </c>
      <c r="E667" s="27" t="s">
        <v>138</v>
      </c>
      <c r="F667" s="7" t="s">
        <v>107</v>
      </c>
      <c r="G667" s="7" t="s">
        <v>18</v>
      </c>
      <c r="H667" s="7" t="s">
        <v>45</v>
      </c>
      <c r="I667" s="20" t="s">
        <v>1175</v>
      </c>
      <c r="J667" s="20" t="s">
        <v>1176</v>
      </c>
      <c r="K667" s="7" t="s">
        <v>110</v>
      </c>
      <c r="L667" s="61">
        <v>45748</v>
      </c>
      <c r="M667" s="7" t="s">
        <v>111</v>
      </c>
      <c r="N667" s="61">
        <v>45750</v>
      </c>
      <c r="O667" s="61">
        <v>45754</v>
      </c>
      <c r="P667" s="59"/>
      <c r="Q667" s="124" t="e">
        <f>P667*#REF!</f>
        <v>#REF!</v>
      </c>
      <c r="R667" s="126">
        <v>45755</v>
      </c>
      <c r="S667" s="153">
        <f>IF(L667="","",L667-B667)</f>
        <v>1</v>
      </c>
      <c r="T667" s="153">
        <f>IF(N667="","",N667-L667)</f>
        <v>2</v>
      </c>
      <c r="U667" s="153">
        <f>IF(O667="","",O667-N667)</f>
        <v>4</v>
      </c>
      <c r="V667" s="154">
        <f>IF(O667="","",O667-B667)</f>
        <v>7</v>
      </c>
      <c r="W667" s="154">
        <f>IF(O667="","",O667-L667)</f>
        <v>6</v>
      </c>
      <c r="X667" s="154">
        <f>IF(R667="","",R667-B667)</f>
        <v>8</v>
      </c>
    </row>
    <row r="668" spans="2:24" ht="17.25" hidden="1" customHeight="1">
      <c r="B668" s="23">
        <v>45747</v>
      </c>
      <c r="C668" s="7">
        <v>2003523975</v>
      </c>
      <c r="D668" s="20">
        <v>5862790</v>
      </c>
      <c r="E668" s="27" t="s">
        <v>143</v>
      </c>
      <c r="F668" s="7" t="s">
        <v>107</v>
      </c>
      <c r="G668" s="7" t="s">
        <v>21</v>
      </c>
      <c r="H668" s="7" t="s">
        <v>45</v>
      </c>
      <c r="I668" s="20" t="s">
        <v>1177</v>
      </c>
      <c r="J668" s="20" t="s">
        <v>1178</v>
      </c>
      <c r="K668" s="7" t="s">
        <v>111</v>
      </c>
      <c r="L668" s="61">
        <v>45748</v>
      </c>
      <c r="M668" s="7" t="s">
        <v>111</v>
      </c>
      <c r="N668" s="24">
        <v>45748</v>
      </c>
      <c r="O668" s="61">
        <v>45748</v>
      </c>
      <c r="P668" s="59"/>
      <c r="Q668" s="124" t="e">
        <f>P668*#REF!</f>
        <v>#REF!</v>
      </c>
      <c r="R668" s="126">
        <v>45750</v>
      </c>
      <c r="S668" s="153">
        <f>IF(L668="","",L668-B668)</f>
        <v>1</v>
      </c>
      <c r="T668" s="153">
        <f>IF(N668="","",N668-L668)</f>
        <v>0</v>
      </c>
      <c r="U668" s="153">
        <f>IF(O668="","",O668-N668)</f>
        <v>0</v>
      </c>
      <c r="V668" s="154">
        <f>IF(O668="","",O668-B668)</f>
        <v>1</v>
      </c>
      <c r="W668" s="154">
        <f>IF(O668="","",O668-L668)</f>
        <v>0</v>
      </c>
      <c r="X668" s="154">
        <f>IF(R668="","",R668-B668)</f>
        <v>3</v>
      </c>
    </row>
    <row r="669" spans="2:24" ht="17.25" hidden="1" customHeight="1">
      <c r="B669" s="23">
        <v>45747</v>
      </c>
      <c r="C669" s="7">
        <v>2003570680</v>
      </c>
      <c r="D669" s="20">
        <v>5862997</v>
      </c>
      <c r="E669" s="27" t="s">
        <v>143</v>
      </c>
      <c r="F669" s="7" t="s">
        <v>113</v>
      </c>
      <c r="G669" s="7" t="s">
        <v>70</v>
      </c>
      <c r="H669" s="7" t="s">
        <v>47</v>
      </c>
      <c r="I669" s="20" t="s">
        <v>218</v>
      </c>
      <c r="J669" s="20" t="s">
        <v>219</v>
      </c>
      <c r="K669" s="7" t="s">
        <v>160</v>
      </c>
      <c r="P669" s="59"/>
      <c r="Q669" s="124" t="e">
        <f>P669*#REF!</f>
        <v>#REF!</v>
      </c>
      <c r="R669" s="126">
        <v>45755</v>
      </c>
      <c r="S669" s="153" t="str">
        <f>IF(L669="","",L669-B669)</f>
        <v/>
      </c>
      <c r="T669" s="153" t="str">
        <f>IF(N669="","",N669-L669)</f>
        <v/>
      </c>
      <c r="U669" s="153" t="str">
        <f>IF(O669="","",O669-N669)</f>
        <v/>
      </c>
      <c r="V669" s="154" t="str">
        <f>IF(O669="","",O669-B669)</f>
        <v/>
      </c>
      <c r="W669" s="154" t="str">
        <f>IF(O669="","",O669-L669)</f>
        <v/>
      </c>
      <c r="X669" s="154">
        <f>IF(R669="","",R669-B669)</f>
        <v>8</v>
      </c>
    </row>
    <row r="670" spans="2:24" ht="17.25" hidden="1" customHeight="1">
      <c r="B670" s="23">
        <v>45747</v>
      </c>
      <c r="C670" s="7">
        <v>2003511769</v>
      </c>
      <c r="D670" s="20">
        <v>5863070</v>
      </c>
      <c r="E670" s="27" t="s">
        <v>198</v>
      </c>
      <c r="F670" s="7" t="s">
        <v>107</v>
      </c>
      <c r="G670" s="7" t="s">
        <v>10</v>
      </c>
      <c r="H670" s="7" t="s">
        <v>45</v>
      </c>
      <c r="I670" s="20" t="s">
        <v>618</v>
      </c>
      <c r="J670" s="20" t="s">
        <v>1179</v>
      </c>
      <c r="K670" s="7" t="s">
        <v>110</v>
      </c>
      <c r="L670" s="61">
        <v>45750</v>
      </c>
      <c r="M670" s="7" t="s">
        <v>111</v>
      </c>
      <c r="N670" s="61">
        <v>45750</v>
      </c>
      <c r="O670" s="61">
        <v>45754</v>
      </c>
      <c r="P670" s="59"/>
      <c r="Q670" s="124" t="e">
        <f>P670*#REF!</f>
        <v>#REF!</v>
      </c>
      <c r="R670" s="126">
        <v>45755</v>
      </c>
      <c r="S670" s="153">
        <f>IF(L670="","",L670-B670)</f>
        <v>3</v>
      </c>
      <c r="T670" s="153">
        <f>IF(N670="","",N670-L670)</f>
        <v>0</v>
      </c>
      <c r="U670" s="153">
        <f>IF(O670="","",O670-N670)</f>
        <v>4</v>
      </c>
      <c r="V670" s="154">
        <f>IF(O670="","",O670-B670)</f>
        <v>7</v>
      </c>
      <c r="W670" s="154">
        <f>IF(O670="","",O670-L670)</f>
        <v>4</v>
      </c>
      <c r="X670" s="154">
        <f>IF(R670="","",R670-B670)</f>
        <v>8</v>
      </c>
    </row>
    <row r="671" spans="2:24" ht="17.25" hidden="1" customHeight="1">
      <c r="B671" s="23">
        <v>45747</v>
      </c>
      <c r="C671" s="7">
        <v>2003564212</v>
      </c>
      <c r="D671" s="20">
        <v>5863085</v>
      </c>
      <c r="E671" s="27" t="s">
        <v>191</v>
      </c>
      <c r="F671" s="7" t="s">
        <v>107</v>
      </c>
      <c r="G671" s="7" t="s">
        <v>10</v>
      </c>
      <c r="H671" s="7" t="s">
        <v>45</v>
      </c>
      <c r="I671" s="20" t="s">
        <v>1180</v>
      </c>
      <c r="J671" s="20" t="s">
        <v>1181</v>
      </c>
      <c r="K671" s="7" t="s">
        <v>119</v>
      </c>
      <c r="L671" s="61">
        <v>45754</v>
      </c>
      <c r="M671" s="7" t="s">
        <v>111</v>
      </c>
      <c r="N671" s="61">
        <v>45754</v>
      </c>
      <c r="O671" s="58">
        <v>45755</v>
      </c>
      <c r="P671" s="59">
        <v>120</v>
      </c>
      <c r="Q671" s="124" t="e">
        <f>P671*#REF!</f>
        <v>#REF!</v>
      </c>
      <c r="R671" s="126">
        <v>45755</v>
      </c>
      <c r="S671" s="153">
        <f>IF(L671="","",L671-B671)</f>
        <v>7</v>
      </c>
      <c r="T671" s="153">
        <f>IF(N671="","",N671-L671)</f>
        <v>0</v>
      </c>
      <c r="U671" s="153">
        <f>IF(O671="","",O671-N671)</f>
        <v>1</v>
      </c>
      <c r="V671" s="154">
        <f>IF(O671="","",O671-B671)</f>
        <v>8</v>
      </c>
      <c r="W671" s="154">
        <f>IF(O671="","",O671-L671)</f>
        <v>1</v>
      </c>
      <c r="X671" s="154">
        <f>IF(R671="","",R671-B671)</f>
        <v>8</v>
      </c>
    </row>
    <row r="672" spans="2:24" ht="17.25" hidden="1" customHeight="1">
      <c r="B672" s="23">
        <v>45747</v>
      </c>
      <c r="C672" s="7">
        <v>2003641105</v>
      </c>
      <c r="D672" s="20">
        <v>5863094</v>
      </c>
      <c r="E672" s="27" t="s">
        <v>123</v>
      </c>
      <c r="F672" s="7" t="s">
        <v>107</v>
      </c>
      <c r="G672" s="7" t="s">
        <v>18</v>
      </c>
      <c r="H672" s="7" t="s">
        <v>45</v>
      </c>
      <c r="I672" s="20" t="s">
        <v>1182</v>
      </c>
      <c r="J672" s="20" t="s">
        <v>1183</v>
      </c>
      <c r="K672" s="7" t="s">
        <v>110</v>
      </c>
      <c r="L672" s="61">
        <v>45750</v>
      </c>
      <c r="M672" s="7" t="s">
        <v>111</v>
      </c>
      <c r="N672" s="61">
        <v>45750</v>
      </c>
      <c r="O672" s="61">
        <v>45754</v>
      </c>
      <c r="P672" s="59"/>
      <c r="Q672" s="124" t="e">
        <f>P672*#REF!</f>
        <v>#REF!</v>
      </c>
      <c r="R672" s="126">
        <v>45758</v>
      </c>
      <c r="S672" s="153">
        <f>IF(L672="","",L672-B672)</f>
        <v>3</v>
      </c>
      <c r="T672" s="153">
        <f>IF(N672="","",N672-L672)</f>
        <v>0</v>
      </c>
      <c r="U672" s="153">
        <f>IF(O672="","",O672-N672)</f>
        <v>4</v>
      </c>
      <c r="V672" s="154">
        <f>IF(O672="","",O672-B672)</f>
        <v>7</v>
      </c>
      <c r="W672" s="154">
        <f>IF(O672="","",O672-L672)</f>
        <v>4</v>
      </c>
      <c r="X672" s="154">
        <f>IF(R672="","",R672-B672)</f>
        <v>11</v>
      </c>
    </row>
    <row r="673" spans="2:24" ht="17.25" hidden="1" customHeight="1">
      <c r="B673" s="23">
        <v>45747</v>
      </c>
      <c r="C673" s="7">
        <v>2003633653</v>
      </c>
      <c r="D673" s="20">
        <v>5863100</v>
      </c>
      <c r="E673" s="27" t="s">
        <v>123</v>
      </c>
      <c r="F673" s="7" t="s">
        <v>107</v>
      </c>
      <c r="G673" s="7" t="s">
        <v>10</v>
      </c>
      <c r="H673" s="7" t="s">
        <v>45</v>
      </c>
      <c r="I673" s="20" t="s">
        <v>1184</v>
      </c>
      <c r="J673" s="20" t="s">
        <v>1185</v>
      </c>
      <c r="K673" s="7" t="s">
        <v>119</v>
      </c>
      <c r="L673" s="61">
        <v>45755</v>
      </c>
      <c r="M673" s="7" t="s">
        <v>111</v>
      </c>
      <c r="N673" s="61">
        <v>45756</v>
      </c>
      <c r="O673" s="61">
        <v>45756</v>
      </c>
      <c r="P673" s="59">
        <v>130</v>
      </c>
      <c r="Q673" s="124" t="e">
        <f>P673*#REF!</f>
        <v>#REF!</v>
      </c>
      <c r="R673" s="126">
        <v>45758</v>
      </c>
      <c r="S673" s="153">
        <f>IF(L673="","",L673-B673)</f>
        <v>8</v>
      </c>
      <c r="T673" s="153">
        <f>IF(N673="","",N673-L673)</f>
        <v>1</v>
      </c>
      <c r="U673" s="153">
        <f>IF(O673="","",O673-N673)</f>
        <v>0</v>
      </c>
      <c r="V673" s="154">
        <f>IF(O673="","",O673-B673)</f>
        <v>9</v>
      </c>
      <c r="W673" s="154">
        <f>IF(O673="","",O673-L673)</f>
        <v>1</v>
      </c>
      <c r="X673" s="154">
        <f>IF(R673="","",R673-B673)</f>
        <v>11</v>
      </c>
    </row>
    <row r="674" spans="2:24" ht="17.25" hidden="1" customHeight="1">
      <c r="B674" s="23">
        <v>45747</v>
      </c>
      <c r="C674" s="7">
        <v>2003645119</v>
      </c>
      <c r="D674" s="20">
        <v>5863325</v>
      </c>
      <c r="E674" s="27" t="s">
        <v>149</v>
      </c>
      <c r="F674" s="7" t="s">
        <v>107</v>
      </c>
      <c r="G674" s="7" t="s">
        <v>10</v>
      </c>
      <c r="H674" s="7" t="s">
        <v>45</v>
      </c>
      <c r="I674" s="20" t="s">
        <v>1186</v>
      </c>
      <c r="J674" s="20" t="s">
        <v>1187</v>
      </c>
      <c r="K674" s="7" t="s">
        <v>119</v>
      </c>
      <c r="L674" s="61">
        <v>45750</v>
      </c>
      <c r="M674" s="7" t="s">
        <v>111</v>
      </c>
      <c r="N674" s="61">
        <v>45750</v>
      </c>
      <c r="O674" s="61">
        <v>45754</v>
      </c>
      <c r="P674" s="59"/>
      <c r="Q674" s="124" t="e">
        <f>P674*#REF!</f>
        <v>#REF!</v>
      </c>
      <c r="R674" s="126">
        <v>45755</v>
      </c>
      <c r="S674" s="153">
        <f>IF(L674="","",L674-B674)</f>
        <v>3</v>
      </c>
      <c r="T674" s="153">
        <f>IF(N674="","",N674-L674)</f>
        <v>0</v>
      </c>
      <c r="U674" s="153">
        <f>IF(O674="","",O674-N674)</f>
        <v>4</v>
      </c>
      <c r="V674" s="154">
        <f>IF(O674="","",O674-B674)</f>
        <v>7</v>
      </c>
      <c r="W674" s="154">
        <f>IF(O674="","",O674-L674)</f>
        <v>4</v>
      </c>
      <c r="X674" s="154">
        <f>IF(R674="","",R674-B674)</f>
        <v>8</v>
      </c>
    </row>
    <row r="675" spans="2:24" ht="17.25" hidden="1" customHeight="1">
      <c r="B675" s="23">
        <v>45748</v>
      </c>
      <c r="C675" s="7">
        <v>2003343622</v>
      </c>
      <c r="D675" s="20">
        <v>5863747</v>
      </c>
      <c r="E675" s="27" t="s">
        <v>123</v>
      </c>
      <c r="F675" s="7" t="s">
        <v>107</v>
      </c>
      <c r="G675" s="7" t="s">
        <v>10</v>
      </c>
      <c r="H675" s="7" t="s">
        <v>45</v>
      </c>
      <c r="I675" s="20" t="s">
        <v>1188</v>
      </c>
      <c r="J675" s="20" t="s">
        <v>1189</v>
      </c>
      <c r="K675" s="7" t="s">
        <v>122</v>
      </c>
      <c r="L675" s="61">
        <v>45750</v>
      </c>
      <c r="M675" s="7" t="s">
        <v>111</v>
      </c>
      <c r="N675" s="61">
        <v>45754</v>
      </c>
      <c r="O675" s="58">
        <v>45755</v>
      </c>
      <c r="P675" s="59"/>
      <c r="Q675" s="124" t="e">
        <f>P675*#REF!</f>
        <v>#REF!</v>
      </c>
      <c r="R675" s="126">
        <v>45755</v>
      </c>
      <c r="S675" s="153">
        <f>IF(L675="","",L675-B675)</f>
        <v>2</v>
      </c>
      <c r="T675" s="153">
        <f>IF(N675="","",N675-L675)</f>
        <v>4</v>
      </c>
      <c r="U675" s="153">
        <f>IF(O675="","",O675-N675)</f>
        <v>1</v>
      </c>
      <c r="V675" s="154">
        <f>IF(O675="","",O675-B675)</f>
        <v>7</v>
      </c>
      <c r="W675" s="154">
        <f>IF(O675="","",O675-L675)</f>
        <v>5</v>
      </c>
      <c r="X675" s="154">
        <f>IF(R675="","",R675-B675)</f>
        <v>7</v>
      </c>
    </row>
    <row r="676" spans="2:24" ht="17.25" hidden="1" customHeight="1">
      <c r="B676" s="23">
        <v>45748</v>
      </c>
      <c r="C676" s="7">
        <v>2003639100</v>
      </c>
      <c r="D676" s="20">
        <v>133400</v>
      </c>
      <c r="E676" s="27" t="s">
        <v>185</v>
      </c>
      <c r="F676" s="7" t="s">
        <v>107</v>
      </c>
      <c r="G676" s="7" t="s">
        <v>10</v>
      </c>
      <c r="H676" s="7" t="s">
        <v>45</v>
      </c>
      <c r="I676" s="20" t="s">
        <v>423</v>
      </c>
      <c r="J676" s="20" t="s">
        <v>1081</v>
      </c>
      <c r="K676" s="7" t="s">
        <v>110</v>
      </c>
      <c r="L676" s="61">
        <v>45747</v>
      </c>
      <c r="M676" s="7" t="s">
        <v>111</v>
      </c>
      <c r="N676" s="24">
        <v>45748</v>
      </c>
      <c r="O676" s="58">
        <v>45748</v>
      </c>
      <c r="P676" s="59"/>
      <c r="Q676" s="124" t="e">
        <f>P676*#REF!</f>
        <v>#REF!</v>
      </c>
      <c r="R676" s="126">
        <v>45750</v>
      </c>
      <c r="S676" s="153">
        <f>IF(L676="","",L676-B676)</f>
        <v>-1</v>
      </c>
      <c r="T676" s="153">
        <f>IF(N676="","",N676-L676)</f>
        <v>1</v>
      </c>
      <c r="U676" s="153">
        <f>IF(O676="","",O676-N676)</f>
        <v>0</v>
      </c>
      <c r="V676" s="154">
        <f>IF(O676="","",O676-B676)</f>
        <v>0</v>
      </c>
      <c r="W676" s="154">
        <f>IF(O676="","",O676-L676)</f>
        <v>1</v>
      </c>
      <c r="X676" s="154">
        <f>IF(R676="","",R676-B676)</f>
        <v>2</v>
      </c>
    </row>
    <row r="677" spans="2:24" ht="17.25" hidden="1" customHeight="1">
      <c r="B677" s="23">
        <v>45748</v>
      </c>
      <c r="C677" s="7">
        <v>2003568951</v>
      </c>
      <c r="D677" s="20">
        <v>133395</v>
      </c>
      <c r="E677" s="27" t="s">
        <v>123</v>
      </c>
      <c r="F677" s="7" t="s">
        <v>107</v>
      </c>
      <c r="G677" s="7" t="s">
        <v>10</v>
      </c>
      <c r="H677" s="7" t="s">
        <v>45</v>
      </c>
      <c r="I677" s="20" t="s">
        <v>164</v>
      </c>
      <c r="J677" s="20" t="s">
        <v>1190</v>
      </c>
      <c r="K677" s="7" t="s">
        <v>119</v>
      </c>
      <c r="L677" s="61">
        <v>45755</v>
      </c>
      <c r="M677" s="7" t="s">
        <v>111</v>
      </c>
      <c r="N677" s="61">
        <v>45755</v>
      </c>
      <c r="O677" s="58">
        <v>45757</v>
      </c>
      <c r="P677" s="59"/>
      <c r="Q677" s="124" t="e">
        <f>P677*#REF!</f>
        <v>#REF!</v>
      </c>
      <c r="R677" s="126">
        <v>45758</v>
      </c>
      <c r="S677" s="153">
        <f>IF(L677="","",L677-B677)</f>
        <v>7</v>
      </c>
      <c r="T677" s="153">
        <f>IF(N677="","",N677-L677)</f>
        <v>0</v>
      </c>
      <c r="U677" s="153">
        <f>IF(O677="","",O677-N677)</f>
        <v>2</v>
      </c>
      <c r="V677" s="154">
        <f>IF(O677="","",O677-B677)</f>
        <v>9</v>
      </c>
      <c r="W677" s="154">
        <f>IF(O677="","",O677-L677)</f>
        <v>2</v>
      </c>
      <c r="X677" s="154">
        <f>IF(R677="","",R677-B677)</f>
        <v>10</v>
      </c>
    </row>
    <row r="678" spans="2:24" ht="17.25" hidden="1" customHeight="1">
      <c r="B678" s="23">
        <v>45748</v>
      </c>
      <c r="C678" s="7">
        <v>2003624055</v>
      </c>
      <c r="D678" s="20">
        <v>133277</v>
      </c>
      <c r="E678" s="20" t="s">
        <v>123</v>
      </c>
      <c r="F678" s="7" t="s">
        <v>107</v>
      </c>
      <c r="G678" s="7" t="s">
        <v>21</v>
      </c>
      <c r="H678" s="7" t="s">
        <v>45</v>
      </c>
      <c r="I678" s="20" t="s">
        <v>952</v>
      </c>
      <c r="J678" s="20" t="s">
        <v>953</v>
      </c>
      <c r="K678" s="7" t="s">
        <v>119</v>
      </c>
      <c r="L678" s="61">
        <v>45750</v>
      </c>
      <c r="M678" s="7" t="s">
        <v>111</v>
      </c>
      <c r="N678" s="61">
        <v>45750</v>
      </c>
      <c r="O678" s="58">
        <v>45757</v>
      </c>
      <c r="P678" s="59"/>
      <c r="Q678" s="124" t="e">
        <f>P678*#REF!</f>
        <v>#REF!</v>
      </c>
      <c r="R678" s="126">
        <v>45758</v>
      </c>
      <c r="S678" s="153">
        <f>IF(L678="","",L678-B678)</f>
        <v>2</v>
      </c>
      <c r="T678" s="153">
        <f>IF(N678="","",N678-L678)</f>
        <v>0</v>
      </c>
      <c r="U678" s="153">
        <f>IF(O678="","",O678-N678)</f>
        <v>7</v>
      </c>
      <c r="V678" s="154">
        <f>IF(O678="","",O678-B678)</f>
        <v>9</v>
      </c>
      <c r="W678" s="154">
        <f>IF(O678="","",O678-L678)</f>
        <v>7</v>
      </c>
      <c r="X678" s="154">
        <f>IF(R678="","",R678-B678)</f>
        <v>10</v>
      </c>
    </row>
    <row r="679" spans="2:24" ht="17.25" hidden="1" customHeight="1">
      <c r="B679" s="23">
        <v>45748</v>
      </c>
      <c r="C679" s="7">
        <v>2003646916</v>
      </c>
      <c r="D679" s="20">
        <v>133548</v>
      </c>
      <c r="E679" s="27" t="s">
        <v>116</v>
      </c>
      <c r="F679" s="7" t="s">
        <v>113</v>
      </c>
      <c r="G679" s="7" t="s">
        <v>70</v>
      </c>
      <c r="H679" s="7" t="s">
        <v>47</v>
      </c>
      <c r="I679" s="20" t="s">
        <v>1191</v>
      </c>
      <c r="J679" s="20" t="s">
        <v>1192</v>
      </c>
      <c r="K679" s="7" t="s">
        <v>122</v>
      </c>
      <c r="L679" s="61">
        <v>45751</v>
      </c>
      <c r="M679" s="7" t="s">
        <v>111</v>
      </c>
      <c r="P679" s="59"/>
      <c r="Q679" s="124" t="e">
        <f>P679*#REF!</f>
        <v>#REF!</v>
      </c>
      <c r="R679" s="126">
        <v>45770</v>
      </c>
      <c r="S679" s="153">
        <f>IF(L679="","",L679-B679)</f>
        <v>3</v>
      </c>
      <c r="T679" s="153" t="str">
        <f>IF(N679="","",N679-L679)</f>
        <v/>
      </c>
      <c r="U679" s="153" t="str">
        <f>IF(O679="","",O679-N679)</f>
        <v/>
      </c>
      <c r="V679" s="154" t="str">
        <f>IF(O679="","",O679-B679)</f>
        <v/>
      </c>
      <c r="W679" s="154" t="str">
        <f>IF(O679="","",O679-L679)</f>
        <v/>
      </c>
      <c r="X679" s="154">
        <f>IF(R679="","",R679-B679)</f>
        <v>22</v>
      </c>
    </row>
    <row r="680" spans="2:24" ht="17.25" hidden="1" customHeight="1">
      <c r="B680" s="23">
        <v>45748</v>
      </c>
      <c r="C680" s="7">
        <v>2003633958</v>
      </c>
      <c r="D680" s="20">
        <v>5864662</v>
      </c>
      <c r="E680" s="27" t="s">
        <v>138</v>
      </c>
      <c r="F680" s="7" t="s">
        <v>107</v>
      </c>
      <c r="G680" s="7" t="s">
        <v>10</v>
      </c>
      <c r="H680" s="7" t="s">
        <v>45</v>
      </c>
      <c r="I680" s="20" t="s">
        <v>1165</v>
      </c>
      <c r="J680" s="20" t="s">
        <v>1193</v>
      </c>
      <c r="K680" s="7" t="s">
        <v>122</v>
      </c>
      <c r="L680" s="61">
        <v>45751</v>
      </c>
      <c r="M680" s="7" t="s">
        <v>111</v>
      </c>
      <c r="N680" s="61">
        <v>45754</v>
      </c>
      <c r="O680" s="58">
        <v>45755</v>
      </c>
      <c r="P680" s="59"/>
      <c r="Q680" s="124" t="e">
        <f>P680*#REF!</f>
        <v>#REF!</v>
      </c>
      <c r="R680" s="126">
        <v>45755</v>
      </c>
      <c r="S680" s="153">
        <f>IF(L680="","",L680-B680)</f>
        <v>3</v>
      </c>
      <c r="T680" s="153">
        <f>IF(N680="","",N680-L680)</f>
        <v>3</v>
      </c>
      <c r="U680" s="153">
        <f>IF(O680="","",O680-N680)</f>
        <v>1</v>
      </c>
      <c r="V680" s="154">
        <f>IF(O680="","",O680-B680)</f>
        <v>7</v>
      </c>
      <c r="W680" s="154">
        <f>IF(O680="","",O680-L680)</f>
        <v>4</v>
      </c>
      <c r="X680" s="154">
        <f>IF(R680="","",R680-B680)</f>
        <v>7</v>
      </c>
    </row>
    <row r="681" spans="2:24" ht="17.25" hidden="1" customHeight="1">
      <c r="B681" s="23">
        <v>45748</v>
      </c>
      <c r="C681" s="7">
        <v>2003620849</v>
      </c>
      <c r="D681" s="20">
        <v>5864045</v>
      </c>
      <c r="E681" s="27" t="s">
        <v>126</v>
      </c>
      <c r="F681" s="7" t="s">
        <v>107</v>
      </c>
      <c r="G681" s="7" t="s">
        <v>18</v>
      </c>
      <c r="H681" s="7" t="s">
        <v>45</v>
      </c>
      <c r="I681" s="20" t="s">
        <v>1194</v>
      </c>
      <c r="J681" s="20" t="s">
        <v>1195</v>
      </c>
      <c r="K681" s="7" t="s">
        <v>110</v>
      </c>
      <c r="L681" s="61">
        <v>45750</v>
      </c>
      <c r="M681" s="7" t="s">
        <v>111</v>
      </c>
      <c r="N681" s="61">
        <v>45750</v>
      </c>
      <c r="O681" s="61">
        <v>45754</v>
      </c>
      <c r="P681" s="59"/>
      <c r="Q681" s="124" t="e">
        <f>P681*#REF!</f>
        <v>#REF!</v>
      </c>
      <c r="R681" s="126">
        <v>45758</v>
      </c>
      <c r="S681" s="153">
        <f>IF(L681="","",L681-B681)</f>
        <v>2</v>
      </c>
      <c r="T681" s="153">
        <f>IF(N681="","",N681-L681)</f>
        <v>0</v>
      </c>
      <c r="U681" s="153">
        <f>IF(O681="","",O681-N681)</f>
        <v>4</v>
      </c>
      <c r="V681" s="154">
        <f>IF(O681="","",O681-B681)</f>
        <v>6</v>
      </c>
      <c r="W681" s="154">
        <f>IF(O681="","",O681-L681)</f>
        <v>4</v>
      </c>
      <c r="X681" s="154">
        <f>IF(R681="","",R681-B681)</f>
        <v>10</v>
      </c>
    </row>
    <row r="682" spans="2:24" ht="17.25" hidden="1" customHeight="1">
      <c r="B682" s="23">
        <v>45748</v>
      </c>
      <c r="C682" s="7">
        <v>2003624803</v>
      </c>
      <c r="D682" s="20">
        <v>5864411</v>
      </c>
      <c r="E682" s="27" t="s">
        <v>132</v>
      </c>
      <c r="F682" s="7" t="s">
        <v>107</v>
      </c>
      <c r="G682" s="7" t="s">
        <v>10</v>
      </c>
      <c r="H682" s="7" t="s">
        <v>45</v>
      </c>
      <c r="I682" s="20" t="s">
        <v>1196</v>
      </c>
      <c r="J682" s="20" t="s">
        <v>1197</v>
      </c>
      <c r="K682" s="7" t="s">
        <v>119</v>
      </c>
      <c r="L682" s="61">
        <v>45748</v>
      </c>
      <c r="M682" s="7" t="s">
        <v>111</v>
      </c>
      <c r="N682" s="24">
        <v>45761</v>
      </c>
      <c r="O682" s="24">
        <v>45761</v>
      </c>
      <c r="P682" s="59"/>
      <c r="Q682" s="229">
        <v>0</v>
      </c>
      <c r="R682" s="126">
        <v>45765</v>
      </c>
      <c r="S682" s="153">
        <f>IF(L682="","",L682-B682)</f>
        <v>0</v>
      </c>
      <c r="T682" s="153">
        <f>IF(N682="","",N682-L682)</f>
        <v>13</v>
      </c>
      <c r="U682" s="153">
        <f>IF(O682="","",O682-N682)</f>
        <v>0</v>
      </c>
      <c r="V682" s="154">
        <f>IF(O682="","",O682-B682)</f>
        <v>13</v>
      </c>
      <c r="W682" s="154">
        <f>IF(O682="","",O682-L682)</f>
        <v>13</v>
      </c>
      <c r="X682" s="154">
        <f>IF(R682="","",R682-B682)</f>
        <v>17</v>
      </c>
    </row>
    <row r="683" spans="2:24" ht="17.25" hidden="1" customHeight="1">
      <c r="B683" s="23">
        <v>45748</v>
      </c>
      <c r="C683" s="7">
        <v>2003617771</v>
      </c>
      <c r="D683" s="20">
        <v>5864433</v>
      </c>
      <c r="E683" s="27" t="s">
        <v>143</v>
      </c>
      <c r="F683" s="7" t="s">
        <v>107</v>
      </c>
      <c r="G683" s="7" t="s">
        <v>10</v>
      </c>
      <c r="H683" s="7" t="s">
        <v>45</v>
      </c>
      <c r="I683" s="20" t="s">
        <v>1198</v>
      </c>
      <c r="J683" s="20" t="s">
        <v>1199</v>
      </c>
      <c r="K683" s="7" t="s">
        <v>110</v>
      </c>
      <c r="L683" s="61">
        <v>45750</v>
      </c>
      <c r="M683" s="7" t="s">
        <v>111</v>
      </c>
      <c r="N683" s="61">
        <v>45750</v>
      </c>
      <c r="O683" s="61">
        <v>45750</v>
      </c>
      <c r="P683" s="59">
        <v>128</v>
      </c>
      <c r="Q683" s="124" t="e">
        <f>P683*#REF!</f>
        <v>#REF!</v>
      </c>
      <c r="R683" s="126">
        <v>45750</v>
      </c>
      <c r="S683" s="153">
        <f>IF(L683="","",L683-B683)</f>
        <v>2</v>
      </c>
      <c r="T683" s="153">
        <f>IF(N683="","",N683-L683)</f>
        <v>0</v>
      </c>
      <c r="U683" s="153">
        <f>IF(O683="","",O683-N683)</f>
        <v>0</v>
      </c>
      <c r="V683" s="154">
        <f>IF(O683="","",O683-B683)</f>
        <v>2</v>
      </c>
      <c r="W683" s="154">
        <f>IF(O683="","",O683-L683)</f>
        <v>0</v>
      </c>
      <c r="X683" s="154">
        <f>IF(R683="","",R683-B683)</f>
        <v>2</v>
      </c>
    </row>
    <row r="684" spans="2:24" ht="17.25" hidden="1" customHeight="1">
      <c r="B684" s="23">
        <v>45748</v>
      </c>
      <c r="C684" s="7">
        <v>2003546141</v>
      </c>
      <c r="D684" s="20">
        <v>5864637</v>
      </c>
      <c r="E684" s="27" t="s">
        <v>116</v>
      </c>
      <c r="F684" s="7" t="s">
        <v>107</v>
      </c>
      <c r="G684" s="7" t="s">
        <v>10</v>
      </c>
      <c r="H684" s="7" t="s">
        <v>45</v>
      </c>
      <c r="I684" s="20" t="s">
        <v>1200</v>
      </c>
      <c r="J684" s="20" t="s">
        <v>1201</v>
      </c>
      <c r="K684" s="7" t="s">
        <v>119</v>
      </c>
      <c r="L684" s="61">
        <v>45756</v>
      </c>
      <c r="M684" s="7" t="s">
        <v>111</v>
      </c>
      <c r="N684" s="61">
        <v>45756</v>
      </c>
      <c r="O684" s="61">
        <v>45756</v>
      </c>
      <c r="P684" s="59">
        <v>83.6</v>
      </c>
      <c r="Q684" s="124" t="e">
        <f>P684*#REF!</f>
        <v>#REF!</v>
      </c>
      <c r="R684" s="126">
        <v>45758</v>
      </c>
      <c r="S684" s="153">
        <f>IF(L684="","",L684-B684)</f>
        <v>8</v>
      </c>
      <c r="T684" s="153">
        <f>IF(N684="","",N684-L684)</f>
        <v>0</v>
      </c>
      <c r="U684" s="153">
        <f>IF(O684="","",O684-N684)</f>
        <v>0</v>
      </c>
      <c r="V684" s="154">
        <f>IF(O684="","",O684-B684)</f>
        <v>8</v>
      </c>
      <c r="W684" s="154">
        <f>IF(O684="","",O684-L684)</f>
        <v>0</v>
      </c>
      <c r="X684" s="154">
        <f>IF(R684="","",R684-B684)</f>
        <v>10</v>
      </c>
    </row>
    <row r="685" spans="2:24" ht="17.25" hidden="1" customHeight="1">
      <c r="B685" s="23">
        <v>45748</v>
      </c>
      <c r="C685" s="7">
        <v>2003650071</v>
      </c>
      <c r="D685" s="20">
        <v>5864656</v>
      </c>
      <c r="E685" s="27" t="s">
        <v>123</v>
      </c>
      <c r="F685" s="7" t="s">
        <v>107</v>
      </c>
      <c r="G685" s="7" t="s">
        <v>18</v>
      </c>
      <c r="H685" s="7" t="s">
        <v>45</v>
      </c>
      <c r="I685" s="20" t="s">
        <v>1200</v>
      </c>
      <c r="J685" s="20" t="s">
        <v>1201</v>
      </c>
      <c r="K685" s="7" t="s">
        <v>119</v>
      </c>
      <c r="L685" s="61">
        <v>45756</v>
      </c>
      <c r="M685" s="7" t="s">
        <v>111</v>
      </c>
      <c r="N685" s="61">
        <v>45756</v>
      </c>
      <c r="O685" s="58">
        <v>45757</v>
      </c>
      <c r="P685" s="59"/>
      <c r="Q685" s="124" t="e">
        <f>P685*#REF!</f>
        <v>#REF!</v>
      </c>
      <c r="R685" s="126">
        <v>45758</v>
      </c>
      <c r="S685" s="153">
        <f>IF(L685="","",L685-B685)</f>
        <v>8</v>
      </c>
      <c r="T685" s="153">
        <f>IF(N685="","",N685-L685)</f>
        <v>0</v>
      </c>
      <c r="U685" s="153">
        <f>IF(O685="","",O685-N685)</f>
        <v>1</v>
      </c>
      <c r="V685" s="154">
        <f>IF(O685="","",O685-B685)</f>
        <v>9</v>
      </c>
      <c r="W685" s="154">
        <f>IF(O685="","",O685-L685)</f>
        <v>1</v>
      </c>
      <c r="X685" s="154">
        <f>IF(R685="","",R685-B685)</f>
        <v>10</v>
      </c>
    </row>
    <row r="686" spans="2:24" ht="17.25" hidden="1" customHeight="1">
      <c r="B686" s="23">
        <v>45750</v>
      </c>
      <c r="C686" s="7">
        <v>2003645840</v>
      </c>
      <c r="D686" s="20">
        <v>5866125</v>
      </c>
      <c r="E686" s="27" t="s">
        <v>123</v>
      </c>
      <c r="F686" s="7" t="s">
        <v>107</v>
      </c>
      <c r="G686" s="7" t="s">
        <v>26</v>
      </c>
      <c r="H686" s="7" t="s">
        <v>45</v>
      </c>
      <c r="I686" s="20" t="s">
        <v>1202</v>
      </c>
      <c r="J686" s="20" t="s">
        <v>1203</v>
      </c>
      <c r="K686" s="7" t="s">
        <v>122</v>
      </c>
      <c r="L686" s="61">
        <v>45754</v>
      </c>
      <c r="M686" s="7" t="s">
        <v>111</v>
      </c>
      <c r="N686" s="24">
        <v>45755</v>
      </c>
      <c r="O686" s="58">
        <v>45755</v>
      </c>
      <c r="P686" s="59"/>
      <c r="Q686" s="124" t="e">
        <f>P686*#REF!</f>
        <v>#REF!</v>
      </c>
      <c r="R686" s="126">
        <v>45755</v>
      </c>
      <c r="S686" s="153">
        <f>IF(L686="","",L686-B686)</f>
        <v>4</v>
      </c>
      <c r="T686" s="153">
        <f>IF(N686="","",N686-L686)</f>
        <v>1</v>
      </c>
      <c r="U686" s="153">
        <f>IF(O686="","",O686-N686)</f>
        <v>0</v>
      </c>
      <c r="V686" s="154">
        <f>IF(O686="","",O686-B686)</f>
        <v>5</v>
      </c>
      <c r="W686" s="154">
        <f>IF(O686="","",O686-L686)</f>
        <v>1</v>
      </c>
      <c r="X686" s="154">
        <f>IF(R686="","",R686-B686)</f>
        <v>5</v>
      </c>
    </row>
    <row r="687" spans="2:24" ht="17.25" hidden="1" customHeight="1">
      <c r="B687" s="23">
        <v>45748</v>
      </c>
      <c r="C687" s="7">
        <v>2003639507</v>
      </c>
      <c r="D687" s="20">
        <v>5864699</v>
      </c>
      <c r="E687" s="27" t="s">
        <v>157</v>
      </c>
      <c r="F687" s="7" t="s">
        <v>107</v>
      </c>
      <c r="G687" s="7" t="s">
        <v>15</v>
      </c>
      <c r="H687" s="7" t="s">
        <v>45</v>
      </c>
      <c r="I687" s="20" t="s">
        <v>1171</v>
      </c>
      <c r="J687" s="20" t="s">
        <v>1204</v>
      </c>
      <c r="K687" s="7" t="s">
        <v>110</v>
      </c>
      <c r="L687" s="61">
        <v>45756</v>
      </c>
      <c r="M687" s="7" t="s">
        <v>111</v>
      </c>
      <c r="N687" s="61">
        <v>45756</v>
      </c>
      <c r="O687" s="58">
        <v>45757</v>
      </c>
      <c r="P687" s="59"/>
      <c r="Q687" s="124" t="e">
        <f>P687*#REF!</f>
        <v>#REF!</v>
      </c>
      <c r="R687" s="126">
        <v>45758</v>
      </c>
      <c r="S687" s="153">
        <f>IF(L687="","",L687-B687)</f>
        <v>8</v>
      </c>
      <c r="T687" s="153">
        <f>IF(N687="","",N687-L687)</f>
        <v>0</v>
      </c>
      <c r="U687" s="153">
        <f>IF(O687="","",O687-N687)</f>
        <v>1</v>
      </c>
      <c r="V687" s="154">
        <f>IF(O687="","",O687-B687)</f>
        <v>9</v>
      </c>
      <c r="W687" s="154">
        <f>IF(O687="","",O687-L687)</f>
        <v>1</v>
      </c>
      <c r="X687" s="154">
        <f>IF(R687="","",R687-B687)</f>
        <v>10</v>
      </c>
    </row>
    <row r="688" spans="2:24" ht="17.25" hidden="1" customHeight="1">
      <c r="B688" s="23">
        <v>45748</v>
      </c>
      <c r="C688" s="7">
        <v>2003625291</v>
      </c>
      <c r="D688" s="20">
        <v>5864810</v>
      </c>
      <c r="E688" s="27" t="s">
        <v>265</v>
      </c>
      <c r="F688" s="7" t="s">
        <v>107</v>
      </c>
      <c r="G688" s="7" t="s">
        <v>10</v>
      </c>
      <c r="H688" s="7" t="s">
        <v>45</v>
      </c>
      <c r="I688" s="20" t="s">
        <v>108</v>
      </c>
      <c r="J688" s="20" t="s">
        <v>1082</v>
      </c>
      <c r="K688" s="7" t="s">
        <v>119</v>
      </c>
      <c r="L688" s="61">
        <v>45755</v>
      </c>
      <c r="M688" s="7" t="s">
        <v>111</v>
      </c>
      <c r="N688" s="61">
        <v>45763</v>
      </c>
      <c r="O688" s="61">
        <v>45763</v>
      </c>
      <c r="P688" s="59"/>
      <c r="Q688" s="124" t="e">
        <f>P688*#REF!</f>
        <v>#REF!</v>
      </c>
      <c r="R688" s="126">
        <v>45765</v>
      </c>
      <c r="S688" s="153">
        <f>IF(L688="","",L688-B688)</f>
        <v>7</v>
      </c>
      <c r="T688" s="153">
        <f>IF(N688="","",N688-L688)</f>
        <v>8</v>
      </c>
      <c r="U688" s="153">
        <f>IF(O688="","",O688-N688)</f>
        <v>0</v>
      </c>
      <c r="V688" s="154">
        <f>IF(O688="","",O688-B688)</f>
        <v>15</v>
      </c>
      <c r="W688" s="154">
        <f>IF(O688="","",O688-L688)</f>
        <v>8</v>
      </c>
      <c r="X688" s="154">
        <f>IF(R688="","",R688-B688)</f>
        <v>17</v>
      </c>
    </row>
    <row r="689" spans="2:24" ht="17.25" hidden="1" customHeight="1">
      <c r="B689" s="23">
        <v>45750</v>
      </c>
      <c r="C689" s="7">
        <v>2003649497</v>
      </c>
      <c r="D689" s="20">
        <v>5865327</v>
      </c>
      <c r="E689" s="27" t="s">
        <v>123</v>
      </c>
      <c r="F689" s="7" t="s">
        <v>107</v>
      </c>
      <c r="G689" s="7" t="s">
        <v>10</v>
      </c>
      <c r="H689" s="7" t="s">
        <v>45</v>
      </c>
      <c r="I689" s="20" t="s">
        <v>419</v>
      </c>
      <c r="J689" s="20" t="s">
        <v>1205</v>
      </c>
      <c r="K689" s="7" t="s">
        <v>119</v>
      </c>
      <c r="L689" s="61">
        <v>45754</v>
      </c>
      <c r="M689" s="7" t="s">
        <v>111</v>
      </c>
      <c r="N689" s="61">
        <v>45754</v>
      </c>
      <c r="O689" s="58">
        <v>45755</v>
      </c>
      <c r="P689" s="59"/>
      <c r="Q689" s="124" t="e">
        <f>P689*#REF!</f>
        <v>#REF!</v>
      </c>
      <c r="R689" s="126">
        <v>45755</v>
      </c>
      <c r="S689" s="153">
        <f>IF(L689="","",L689-B689)</f>
        <v>4</v>
      </c>
      <c r="T689" s="153">
        <f>IF(N689="","",N689-L689)</f>
        <v>0</v>
      </c>
      <c r="U689" s="153">
        <f>IF(O689="","",O689-N689)</f>
        <v>1</v>
      </c>
      <c r="V689" s="154">
        <f>IF(O689="","",O689-B689)</f>
        <v>5</v>
      </c>
      <c r="W689" s="154">
        <f>IF(O689="","",O689-L689)</f>
        <v>1</v>
      </c>
      <c r="X689" s="154">
        <f>IF(R689="","",R689-B689)</f>
        <v>5</v>
      </c>
    </row>
    <row r="690" spans="2:24" ht="17.25" hidden="1" customHeight="1">
      <c r="B690" s="23">
        <v>45750</v>
      </c>
      <c r="C690" s="7">
        <v>2003650210</v>
      </c>
      <c r="D690" s="20">
        <v>5865585</v>
      </c>
      <c r="E690" s="27" t="s">
        <v>622</v>
      </c>
      <c r="F690" s="7" t="s">
        <v>107</v>
      </c>
      <c r="G690" s="7" t="s">
        <v>26</v>
      </c>
      <c r="H690" s="7" t="s">
        <v>45</v>
      </c>
      <c r="I690" s="20" t="s">
        <v>1206</v>
      </c>
      <c r="J690" s="20" t="s">
        <v>1207</v>
      </c>
      <c r="K690" s="7" t="s">
        <v>110</v>
      </c>
      <c r="L690" s="61">
        <v>45783</v>
      </c>
      <c r="M690" s="7" t="s">
        <v>111</v>
      </c>
      <c r="N690" s="24">
        <v>45755</v>
      </c>
      <c r="O690" s="58">
        <v>45755</v>
      </c>
      <c r="P690" s="59"/>
      <c r="Q690" s="124" t="e">
        <f>P690*#REF!</f>
        <v>#REF!</v>
      </c>
      <c r="R690" s="126">
        <v>45755</v>
      </c>
      <c r="S690" s="153">
        <f>IF(L690="","",L690-B690)</f>
        <v>33</v>
      </c>
      <c r="T690" s="153">
        <f>IF(N690="","",N690-L690)</f>
        <v>-28</v>
      </c>
      <c r="U690" s="153">
        <f>IF(O690="","",O690-N690)</f>
        <v>0</v>
      </c>
      <c r="V690" s="154">
        <f>IF(O690="","",O690-B690)</f>
        <v>5</v>
      </c>
      <c r="W690" s="154">
        <f>IF(O690="","",O690-L690)</f>
        <v>-28</v>
      </c>
      <c r="X690" s="154">
        <f>IF(R690="","",R690-B690)</f>
        <v>5</v>
      </c>
    </row>
    <row r="691" spans="2:24" ht="17.25" hidden="1" customHeight="1">
      <c r="B691" s="23">
        <v>45750</v>
      </c>
      <c r="C691" s="7">
        <v>2003635071</v>
      </c>
      <c r="D691" s="20">
        <v>5865801</v>
      </c>
      <c r="E691" s="27" t="s">
        <v>566</v>
      </c>
      <c r="F691" s="7" t="s">
        <v>107</v>
      </c>
      <c r="G691" s="7" t="s">
        <v>10</v>
      </c>
      <c r="H691" s="7" t="s">
        <v>45</v>
      </c>
      <c r="I691" s="20" t="s">
        <v>1208</v>
      </c>
      <c r="J691" s="20" t="s">
        <v>1209</v>
      </c>
      <c r="K691" s="7" t="s">
        <v>119</v>
      </c>
      <c r="L691" s="61">
        <v>45754</v>
      </c>
      <c r="M691" s="7" t="s">
        <v>111</v>
      </c>
      <c r="N691" s="61">
        <v>45754</v>
      </c>
      <c r="O691" s="58">
        <v>45755</v>
      </c>
      <c r="P691" s="59"/>
      <c r="Q691" s="124" t="e">
        <f>P691*#REF!</f>
        <v>#REF!</v>
      </c>
      <c r="R691" s="126">
        <v>45755</v>
      </c>
      <c r="S691" s="153">
        <f>IF(L691="","",L691-B691)</f>
        <v>4</v>
      </c>
      <c r="T691" s="153">
        <f>IF(N691="","",N691-L691)</f>
        <v>0</v>
      </c>
      <c r="U691" s="153">
        <f>IF(O691="","",O691-N691)</f>
        <v>1</v>
      </c>
      <c r="V691" s="154">
        <f>IF(O691="","",O691-B691)</f>
        <v>5</v>
      </c>
      <c r="W691" s="154">
        <f>IF(O691="","",O691-L691)</f>
        <v>1</v>
      </c>
      <c r="X691" s="154">
        <f>IF(R691="","",R691-B691)</f>
        <v>5</v>
      </c>
    </row>
    <row r="692" spans="2:24" ht="17.25" hidden="1" customHeight="1">
      <c r="B692" s="23">
        <v>45750</v>
      </c>
      <c r="C692" s="7">
        <v>2003537171</v>
      </c>
      <c r="D692" s="20">
        <v>5865969</v>
      </c>
      <c r="E692" s="27" t="s">
        <v>106</v>
      </c>
      <c r="F692" s="7" t="s">
        <v>107</v>
      </c>
      <c r="G692" s="7" t="s">
        <v>18</v>
      </c>
      <c r="H692" s="7" t="s">
        <v>45</v>
      </c>
      <c r="I692" s="20" t="s">
        <v>466</v>
      </c>
      <c r="J692" s="20" t="s">
        <v>1210</v>
      </c>
      <c r="K692" s="7" t="s">
        <v>110</v>
      </c>
      <c r="L692" s="61">
        <v>45757</v>
      </c>
      <c r="M692" s="7" t="s">
        <v>111</v>
      </c>
      <c r="N692" s="24">
        <v>45758</v>
      </c>
      <c r="O692" s="58">
        <v>45761</v>
      </c>
      <c r="P692" s="59"/>
      <c r="Q692" s="124" t="e">
        <f>P692*#REF!</f>
        <v>#REF!</v>
      </c>
      <c r="R692" s="126">
        <v>45765</v>
      </c>
      <c r="S692" s="153">
        <f>IF(L692="","",L692-B692)</f>
        <v>7</v>
      </c>
      <c r="T692" s="153">
        <f>IF(N692="","",N692-L692)</f>
        <v>1</v>
      </c>
      <c r="U692" s="153">
        <f>IF(O692="","",O692-N692)</f>
        <v>3</v>
      </c>
      <c r="V692" s="154">
        <f>IF(O692="","",O692-B692)</f>
        <v>11</v>
      </c>
      <c r="W692" s="154">
        <f>IF(O692="","",O692-L692)</f>
        <v>4</v>
      </c>
      <c r="X692" s="154">
        <f>IF(R692="","",R692-B692)</f>
        <v>15</v>
      </c>
    </row>
    <row r="693" spans="2:24" ht="17.25" hidden="1" customHeight="1">
      <c r="B693" s="23">
        <v>45750</v>
      </c>
      <c r="C693" s="7">
        <v>2003642118</v>
      </c>
      <c r="D693" s="20">
        <v>5865995</v>
      </c>
      <c r="E693" s="27" t="s">
        <v>129</v>
      </c>
      <c r="F693" s="7" t="s">
        <v>107</v>
      </c>
      <c r="G693" s="7" t="s">
        <v>18</v>
      </c>
      <c r="H693" s="7" t="s">
        <v>45</v>
      </c>
      <c r="I693" s="20" t="s">
        <v>1119</v>
      </c>
      <c r="J693" s="20" t="s">
        <v>1120</v>
      </c>
      <c r="K693" s="7" t="s">
        <v>110</v>
      </c>
      <c r="L693" s="61">
        <v>45751</v>
      </c>
      <c r="M693" s="7" t="s">
        <v>111</v>
      </c>
      <c r="N693" s="61">
        <v>45751</v>
      </c>
      <c r="O693" s="61">
        <v>45754</v>
      </c>
      <c r="P693" s="59"/>
      <c r="Q693" s="124" t="e">
        <f>P693*#REF!</f>
        <v>#REF!</v>
      </c>
      <c r="R693" s="126">
        <v>45755</v>
      </c>
      <c r="S693" s="153">
        <f>IF(L693="","",L693-B693)</f>
        <v>1</v>
      </c>
      <c r="T693" s="153">
        <f>IF(N693="","",N693-L693)</f>
        <v>0</v>
      </c>
      <c r="U693" s="153">
        <f>IF(O693="","",O693-N693)</f>
        <v>3</v>
      </c>
      <c r="V693" s="154">
        <f>IF(O693="","",O693-B693)</f>
        <v>4</v>
      </c>
      <c r="W693" s="154">
        <f>IF(O693="","",O693-L693)</f>
        <v>3</v>
      </c>
      <c r="X693" s="154">
        <f>IF(R693="","",R693-B693)</f>
        <v>5</v>
      </c>
    </row>
    <row r="694" spans="2:24" ht="17.25" hidden="1" customHeight="1">
      <c r="B694" s="23">
        <v>45750</v>
      </c>
      <c r="C694" s="7">
        <v>2003648505</v>
      </c>
      <c r="D694" s="20">
        <v>5866045</v>
      </c>
      <c r="E694" s="27" t="s">
        <v>201</v>
      </c>
      <c r="F694" s="7" t="s">
        <v>107</v>
      </c>
      <c r="G694" s="7" t="s">
        <v>10</v>
      </c>
      <c r="H694" s="7" t="s">
        <v>45</v>
      </c>
      <c r="I694" s="20" t="s">
        <v>1211</v>
      </c>
      <c r="J694" s="20" t="s">
        <v>1212</v>
      </c>
      <c r="K694" s="7" t="s">
        <v>110</v>
      </c>
      <c r="L694" s="61">
        <v>45755</v>
      </c>
      <c r="M694" s="7" t="s">
        <v>111</v>
      </c>
      <c r="N694" s="61">
        <v>45755</v>
      </c>
      <c r="O694" s="58">
        <v>45757</v>
      </c>
      <c r="P694" s="59"/>
      <c r="Q694" s="124" t="e">
        <f>P694*#REF!</f>
        <v>#REF!</v>
      </c>
      <c r="R694" s="126">
        <v>45758</v>
      </c>
      <c r="S694" s="153">
        <f>IF(L694="","",L694-B694)</f>
        <v>5</v>
      </c>
      <c r="T694" s="153">
        <f>IF(N694="","",N694-L694)</f>
        <v>0</v>
      </c>
      <c r="U694" s="153">
        <f>IF(O694="","",O694-N694)</f>
        <v>2</v>
      </c>
      <c r="V694" s="154">
        <f>IF(O694="","",O694-B694)</f>
        <v>7</v>
      </c>
      <c r="W694" s="154">
        <f>IF(O694="","",O694-L694)</f>
        <v>2</v>
      </c>
      <c r="X694" s="154">
        <f>IF(R694="","",R694-B694)</f>
        <v>8</v>
      </c>
    </row>
    <row r="695" spans="2:24" ht="17.25" hidden="1" customHeight="1">
      <c r="B695" s="23">
        <v>45750</v>
      </c>
      <c r="C695" s="7">
        <v>2003641803</v>
      </c>
      <c r="D695" s="20">
        <v>5866119</v>
      </c>
      <c r="E695" s="27" t="s">
        <v>143</v>
      </c>
      <c r="F695" s="7" t="s">
        <v>107</v>
      </c>
      <c r="G695" s="7" t="s">
        <v>30</v>
      </c>
      <c r="H695" s="7" t="s">
        <v>45</v>
      </c>
      <c r="I695" s="20" t="s">
        <v>1213</v>
      </c>
      <c r="J695" s="20" t="s">
        <v>1214</v>
      </c>
      <c r="K695" s="7" t="s">
        <v>111</v>
      </c>
      <c r="L695" s="61">
        <v>45751</v>
      </c>
      <c r="M695" s="7" t="s">
        <v>111</v>
      </c>
      <c r="N695" s="61">
        <v>45751</v>
      </c>
      <c r="O695" s="58">
        <v>45758</v>
      </c>
      <c r="P695" s="59"/>
      <c r="Q695" s="124" t="e">
        <f>P695*#REF!</f>
        <v>#REF!</v>
      </c>
      <c r="R695" s="126">
        <v>45758</v>
      </c>
      <c r="S695" s="153">
        <f>IF(L695="","",L695-B695)</f>
        <v>1</v>
      </c>
      <c r="T695" s="153">
        <f>IF(N695="","",N695-L695)</f>
        <v>0</v>
      </c>
      <c r="U695" s="153">
        <f>IF(O695="","",O695-N695)</f>
        <v>7</v>
      </c>
      <c r="V695" s="154">
        <f>IF(O695="","",O695-B695)</f>
        <v>8</v>
      </c>
      <c r="W695" s="154">
        <f>IF(O695="","",O695-L695)</f>
        <v>7</v>
      </c>
      <c r="X695" s="154">
        <f>IF(R695="","",R695-B695)</f>
        <v>8</v>
      </c>
    </row>
    <row r="696" spans="2:24" ht="17.25" hidden="1" customHeight="1">
      <c r="B696" s="23">
        <v>45741</v>
      </c>
      <c r="C696" s="7">
        <v>2003640471</v>
      </c>
      <c r="D696" s="20">
        <v>126933</v>
      </c>
      <c r="E696" s="27" t="s">
        <v>116</v>
      </c>
      <c r="F696" s="7" t="s">
        <v>107</v>
      </c>
      <c r="G696" s="7" t="s">
        <v>10</v>
      </c>
      <c r="H696" s="7" t="s">
        <v>45</v>
      </c>
      <c r="I696" s="20" t="s">
        <v>1215</v>
      </c>
      <c r="J696" s="20" t="s">
        <v>1216</v>
      </c>
      <c r="K696" s="7" t="s">
        <v>122</v>
      </c>
      <c r="L696" s="61">
        <v>45756</v>
      </c>
      <c r="M696" s="7" t="s">
        <v>111</v>
      </c>
      <c r="N696" s="61">
        <v>45756</v>
      </c>
      <c r="O696" s="58">
        <v>45761</v>
      </c>
      <c r="P696" s="59"/>
      <c r="Q696" s="124" t="e">
        <f>P696*#REF!</f>
        <v>#REF!</v>
      </c>
      <c r="R696" s="126">
        <v>45765</v>
      </c>
      <c r="S696" s="153">
        <f>IF(L696="","",L696-B696)</f>
        <v>15</v>
      </c>
      <c r="T696" s="153">
        <f>IF(N696="","",N696-L696)</f>
        <v>0</v>
      </c>
      <c r="U696" s="153">
        <f>IF(O696="","",O696-N696)</f>
        <v>5</v>
      </c>
      <c r="V696" s="154">
        <f>IF(O696="","",O696-B696)</f>
        <v>20</v>
      </c>
      <c r="W696" s="154">
        <f>IF(O696="","",O696-L696)</f>
        <v>5</v>
      </c>
      <c r="X696" s="154">
        <f>IF(R696="","",R696-B696)</f>
        <v>24</v>
      </c>
    </row>
    <row r="697" spans="2:24" ht="17.25" hidden="1" customHeight="1">
      <c r="B697" s="23">
        <v>45750</v>
      </c>
      <c r="C697" s="7">
        <v>2003650616</v>
      </c>
      <c r="D697" s="20">
        <v>134375</v>
      </c>
      <c r="E697" s="27" t="s">
        <v>622</v>
      </c>
      <c r="F697" s="7" t="s">
        <v>107</v>
      </c>
      <c r="G697" s="7" t="s">
        <v>10</v>
      </c>
      <c r="H697" s="7" t="s">
        <v>45</v>
      </c>
      <c r="I697" s="20" t="s">
        <v>1217</v>
      </c>
      <c r="J697" s="20" t="s">
        <v>1218</v>
      </c>
      <c r="K697" s="7" t="s">
        <v>119</v>
      </c>
      <c r="L697" s="61">
        <v>45755</v>
      </c>
      <c r="M697" s="7" t="s">
        <v>111</v>
      </c>
      <c r="N697" s="61">
        <v>45755</v>
      </c>
      <c r="O697" s="58">
        <v>45757</v>
      </c>
      <c r="P697" s="59"/>
      <c r="Q697" s="124" t="e">
        <f>P697*#REF!</f>
        <v>#REF!</v>
      </c>
      <c r="R697" s="126">
        <v>45758</v>
      </c>
      <c r="S697" s="153">
        <f>IF(L697="","",L697-B697)</f>
        <v>5</v>
      </c>
      <c r="T697" s="153">
        <f>IF(N697="","",N697-L697)</f>
        <v>0</v>
      </c>
      <c r="U697" s="153">
        <f>IF(O697="","",O697-N697)</f>
        <v>2</v>
      </c>
      <c r="V697" s="154">
        <f>IF(O697="","",O697-B697)</f>
        <v>7</v>
      </c>
      <c r="W697" s="154">
        <f>IF(O697="","",O697-L697)</f>
        <v>2</v>
      </c>
      <c r="X697" s="154">
        <f>IF(R697="","",R697-B697)</f>
        <v>8</v>
      </c>
    </row>
    <row r="698" spans="2:24" ht="17.25" hidden="1" customHeight="1">
      <c r="B698" s="23">
        <v>45756</v>
      </c>
      <c r="C698" s="7">
        <v>2003634219</v>
      </c>
      <c r="D698" s="20">
        <v>5886240</v>
      </c>
      <c r="E698" s="27" t="s">
        <v>143</v>
      </c>
      <c r="F698" s="7" t="s">
        <v>107</v>
      </c>
      <c r="G698" s="7" t="s">
        <v>10</v>
      </c>
      <c r="H698" s="7" t="s">
        <v>45</v>
      </c>
      <c r="I698" s="20" t="s">
        <v>1219</v>
      </c>
      <c r="J698" s="20" t="s">
        <v>1220</v>
      </c>
      <c r="K698" s="7" t="s">
        <v>122</v>
      </c>
      <c r="L698" s="61">
        <v>45757</v>
      </c>
      <c r="M698" s="7" t="s">
        <v>111</v>
      </c>
      <c r="N698" s="61">
        <v>45762</v>
      </c>
      <c r="O698" s="58">
        <v>45768</v>
      </c>
      <c r="P698" s="59"/>
      <c r="Q698" s="124" t="e">
        <f>P698*#REF!</f>
        <v>#REF!</v>
      </c>
      <c r="R698" s="126">
        <v>45770</v>
      </c>
      <c r="S698" s="153">
        <f>IF(L698="","",L698-B698)</f>
        <v>1</v>
      </c>
      <c r="T698" s="153">
        <f>IF(N698="","",N698-L698)</f>
        <v>5</v>
      </c>
      <c r="U698" s="153">
        <f>IF(O698="","",O698-N698)</f>
        <v>6</v>
      </c>
      <c r="V698" s="154">
        <f>IF(O698="","",O698-B698)</f>
        <v>12</v>
      </c>
      <c r="W698" s="154">
        <f>IF(O698="","",O698-L698)</f>
        <v>11</v>
      </c>
      <c r="X698" s="154">
        <f>IF(R698="","",R698-B698)</f>
        <v>14</v>
      </c>
    </row>
    <row r="699" spans="2:24" ht="17.25" hidden="1" customHeight="1">
      <c r="B699" s="23">
        <v>45751</v>
      </c>
      <c r="C699" s="7">
        <v>2003644401</v>
      </c>
      <c r="D699" s="20">
        <v>5866201</v>
      </c>
      <c r="E699" s="27" t="s">
        <v>177</v>
      </c>
      <c r="F699" s="7" t="s">
        <v>107</v>
      </c>
      <c r="G699" s="7" t="s">
        <v>18</v>
      </c>
      <c r="H699" s="7" t="s">
        <v>45</v>
      </c>
      <c r="I699" s="20" t="s">
        <v>1221</v>
      </c>
      <c r="J699" s="20" t="s">
        <v>1222</v>
      </c>
      <c r="K699" s="7" t="s">
        <v>119</v>
      </c>
      <c r="L699" s="61">
        <v>45755</v>
      </c>
      <c r="M699" s="7" t="s">
        <v>111</v>
      </c>
      <c r="N699" s="61">
        <v>45756</v>
      </c>
      <c r="O699" s="58">
        <v>45757</v>
      </c>
      <c r="P699" s="59"/>
      <c r="Q699" s="124" t="e">
        <f>P699*#REF!</f>
        <v>#REF!</v>
      </c>
      <c r="R699" s="126">
        <v>45758</v>
      </c>
      <c r="S699" s="153">
        <f>IF(L699="","",L699-B699)</f>
        <v>4</v>
      </c>
      <c r="T699" s="153">
        <f>IF(N699="","",N699-L699)</f>
        <v>1</v>
      </c>
      <c r="U699" s="153">
        <f>IF(O699="","",O699-N699)</f>
        <v>1</v>
      </c>
      <c r="V699" s="154">
        <f>IF(O699="","",O699-B699)</f>
        <v>6</v>
      </c>
      <c r="W699" s="154">
        <f>IF(O699="","",O699-L699)</f>
        <v>2</v>
      </c>
      <c r="X699" s="154">
        <f>IF(R699="","",R699-B699)</f>
        <v>7</v>
      </c>
    </row>
    <row r="700" spans="2:24" ht="17.25" hidden="1" customHeight="1">
      <c r="B700" s="23">
        <v>45751</v>
      </c>
      <c r="C700" s="7">
        <v>2003637522</v>
      </c>
      <c r="D700" s="20">
        <v>5866488</v>
      </c>
      <c r="E700" s="27" t="s">
        <v>123</v>
      </c>
      <c r="F700" s="7" t="s">
        <v>107</v>
      </c>
      <c r="G700" s="7" t="s">
        <v>10</v>
      </c>
      <c r="H700" s="7" t="s">
        <v>45</v>
      </c>
      <c r="I700" s="20" t="s">
        <v>602</v>
      </c>
      <c r="J700" s="20" t="s">
        <v>1223</v>
      </c>
      <c r="K700" s="7" t="s">
        <v>119</v>
      </c>
      <c r="L700" s="61">
        <v>45754</v>
      </c>
      <c r="M700" s="7" t="s">
        <v>111</v>
      </c>
      <c r="N700" s="61">
        <v>45755</v>
      </c>
      <c r="O700" s="58">
        <v>45757</v>
      </c>
      <c r="P700" s="59"/>
      <c r="Q700" s="124" t="e">
        <f>P700*#REF!</f>
        <v>#REF!</v>
      </c>
      <c r="R700" s="126">
        <v>45758</v>
      </c>
      <c r="S700" s="153">
        <f>IF(L700="","",L700-B700)</f>
        <v>3</v>
      </c>
      <c r="T700" s="153">
        <f>IF(N700="","",N700-L700)</f>
        <v>1</v>
      </c>
      <c r="U700" s="153">
        <f>IF(O700="","",O700-N700)</f>
        <v>2</v>
      </c>
      <c r="V700" s="154">
        <f>IF(O700="","",O700-B700)</f>
        <v>6</v>
      </c>
      <c r="W700" s="154">
        <f>IF(O700="","",O700-L700)</f>
        <v>3</v>
      </c>
      <c r="X700" s="154">
        <f>IF(R700="","",R700-B700)</f>
        <v>7</v>
      </c>
    </row>
    <row r="701" spans="2:24" ht="17.25" hidden="1" customHeight="1">
      <c r="B701" s="23">
        <v>45751</v>
      </c>
      <c r="C701" s="7">
        <v>2003644248</v>
      </c>
      <c r="D701" s="20">
        <v>5866538</v>
      </c>
      <c r="E701" s="27" t="s">
        <v>408</v>
      </c>
      <c r="F701" s="7" t="s">
        <v>107</v>
      </c>
      <c r="G701" s="7" t="s">
        <v>18</v>
      </c>
      <c r="H701" s="7" t="s">
        <v>45</v>
      </c>
      <c r="I701" s="20" t="s">
        <v>1013</v>
      </c>
      <c r="J701" s="20" t="s">
        <v>1224</v>
      </c>
      <c r="K701" s="7" t="s">
        <v>119</v>
      </c>
      <c r="L701" s="61">
        <v>45755</v>
      </c>
      <c r="M701" s="7" t="s">
        <v>111</v>
      </c>
      <c r="N701" s="61">
        <v>45755</v>
      </c>
      <c r="O701" s="58">
        <v>45757</v>
      </c>
      <c r="P701" s="59"/>
      <c r="Q701" s="124" t="e">
        <f>P701*#REF!</f>
        <v>#REF!</v>
      </c>
      <c r="R701" s="126">
        <v>45758</v>
      </c>
      <c r="S701" s="153">
        <f>IF(L701="","",L701-B701)</f>
        <v>4</v>
      </c>
      <c r="T701" s="153">
        <f>IF(N701="","",N701-L701)</f>
        <v>0</v>
      </c>
      <c r="U701" s="153">
        <f>IF(O701="","",O701-N701)</f>
        <v>2</v>
      </c>
      <c r="V701" s="154">
        <f>IF(O701="","",O701-B701)</f>
        <v>6</v>
      </c>
      <c r="W701" s="154">
        <f>IF(O701="","",O701-L701)</f>
        <v>2</v>
      </c>
      <c r="X701" s="154">
        <f>IF(R701="","",R701-B701)</f>
        <v>7</v>
      </c>
    </row>
    <row r="702" spans="2:24" ht="17.25" hidden="1" customHeight="1">
      <c r="B702" s="23">
        <v>45751</v>
      </c>
      <c r="C702" s="7">
        <v>2003652954</v>
      </c>
      <c r="D702" s="20">
        <v>5866804</v>
      </c>
      <c r="E702" s="27" t="s">
        <v>1225</v>
      </c>
      <c r="F702" s="7" t="s">
        <v>107</v>
      </c>
      <c r="G702" s="7" t="s">
        <v>10</v>
      </c>
      <c r="H702" s="7" t="s">
        <v>45</v>
      </c>
      <c r="I702" s="20" t="s">
        <v>243</v>
      </c>
      <c r="J702" s="20" t="s">
        <v>1226</v>
      </c>
      <c r="K702" s="7" t="s">
        <v>119</v>
      </c>
      <c r="L702" s="61">
        <v>45761</v>
      </c>
      <c r="M702" s="7" t="s">
        <v>111</v>
      </c>
      <c r="N702" s="61">
        <v>45761</v>
      </c>
      <c r="O702" s="58">
        <v>45763</v>
      </c>
      <c r="P702" s="59"/>
      <c r="Q702" s="124" t="e">
        <f>P702*#REF!</f>
        <v>#REF!</v>
      </c>
      <c r="R702" s="126">
        <v>45765</v>
      </c>
      <c r="S702" s="153">
        <f>IF(L702="","",L702-B702)</f>
        <v>10</v>
      </c>
      <c r="T702" s="153">
        <f>IF(N702="","",N702-L702)</f>
        <v>0</v>
      </c>
      <c r="U702" s="153">
        <f>IF(O702="","",O702-N702)</f>
        <v>2</v>
      </c>
      <c r="V702" s="154">
        <f>IF(O702="","",O702-B702)</f>
        <v>12</v>
      </c>
      <c r="W702" s="154">
        <f>IF(O702="","",O702-L702)</f>
        <v>2</v>
      </c>
      <c r="X702" s="154">
        <f>IF(R702="","",R702-B702)</f>
        <v>14</v>
      </c>
    </row>
    <row r="703" spans="2:24" ht="17.25" hidden="1" customHeight="1">
      <c r="B703" s="23">
        <v>45762</v>
      </c>
      <c r="C703" s="7">
        <v>2003647787</v>
      </c>
      <c r="D703" s="20">
        <v>142285</v>
      </c>
      <c r="E703" s="27" t="s">
        <v>129</v>
      </c>
      <c r="F703" s="7" t="s">
        <v>107</v>
      </c>
      <c r="G703" s="7" t="s">
        <v>30</v>
      </c>
      <c r="H703" s="7" t="s">
        <v>45</v>
      </c>
      <c r="I703" s="20" t="s">
        <v>1227</v>
      </c>
      <c r="J703" s="20" t="s">
        <v>1228</v>
      </c>
      <c r="K703" s="7" t="s">
        <v>111</v>
      </c>
      <c r="L703" s="61">
        <v>45762</v>
      </c>
      <c r="M703" s="7" t="s">
        <v>111</v>
      </c>
      <c r="N703" s="24">
        <v>45762</v>
      </c>
      <c r="O703" s="58">
        <v>45782</v>
      </c>
      <c r="P703" s="59"/>
      <c r="Q703" s="124" t="e">
        <f>P703*#REF!</f>
        <v>#REF!</v>
      </c>
      <c r="R703" s="126">
        <v>45782</v>
      </c>
      <c r="S703" s="153">
        <f>IF(L703="","",L703-B703)</f>
        <v>0</v>
      </c>
      <c r="T703" s="153">
        <f>IF(N703="","",N703-L703)</f>
        <v>0</v>
      </c>
      <c r="U703" s="153">
        <f>IF(O703="","",O703-N703)</f>
        <v>20</v>
      </c>
      <c r="V703" s="154">
        <f>IF(O703="","",O703-B703)</f>
        <v>20</v>
      </c>
      <c r="W703" s="154">
        <f>IF(O703="","",O703-L703)</f>
        <v>20</v>
      </c>
      <c r="X703" s="154">
        <f>IF(R703="","",R703-B703)</f>
        <v>20</v>
      </c>
    </row>
    <row r="704" spans="2:24" ht="17.25" hidden="1" customHeight="1">
      <c r="B704" s="23">
        <v>45751</v>
      </c>
      <c r="C704" s="7">
        <v>2003635057</v>
      </c>
      <c r="D704" s="20">
        <v>5867089</v>
      </c>
      <c r="E704" s="27" t="s">
        <v>123</v>
      </c>
      <c r="F704" s="7" t="s">
        <v>107</v>
      </c>
      <c r="G704" s="7" t="s">
        <v>10</v>
      </c>
      <c r="H704" s="7" t="s">
        <v>45</v>
      </c>
      <c r="I704" s="20" t="s">
        <v>536</v>
      </c>
      <c r="J704" s="20" t="s">
        <v>1229</v>
      </c>
      <c r="K704" s="7" t="s">
        <v>119</v>
      </c>
      <c r="L704" s="61">
        <v>45758</v>
      </c>
      <c r="M704" s="7" t="s">
        <v>111</v>
      </c>
      <c r="N704" s="61">
        <v>45758</v>
      </c>
      <c r="O704" s="61">
        <v>45758</v>
      </c>
      <c r="P704" s="59">
        <v>45.5</v>
      </c>
      <c r="Q704" s="124" t="e">
        <f>P704*#REF!</f>
        <v>#REF!</v>
      </c>
      <c r="R704" s="126">
        <v>45762</v>
      </c>
      <c r="S704" s="153">
        <f>IF(L704="","",L704-B704)</f>
        <v>7</v>
      </c>
      <c r="T704" s="153">
        <f>IF(N704="","",N704-L704)</f>
        <v>0</v>
      </c>
      <c r="U704" s="153">
        <f>IF(O704="","",O704-N704)</f>
        <v>0</v>
      </c>
      <c r="V704" s="154">
        <f>IF(O704="","",O704-B704)</f>
        <v>7</v>
      </c>
      <c r="W704" s="154">
        <f>IF(O704="","",O704-L704)</f>
        <v>0</v>
      </c>
      <c r="X704" s="154">
        <f>IF(R704="","",R704-B704)</f>
        <v>11</v>
      </c>
    </row>
    <row r="705" spans="2:24" ht="17.25" hidden="1" customHeight="1">
      <c r="B705" s="23">
        <v>45751</v>
      </c>
      <c r="C705" s="7">
        <v>2003635940</v>
      </c>
      <c r="D705" s="20">
        <v>5867093</v>
      </c>
      <c r="E705" s="27" t="s">
        <v>123</v>
      </c>
      <c r="F705" s="7" t="s">
        <v>107</v>
      </c>
      <c r="G705" s="7" t="s">
        <v>10</v>
      </c>
      <c r="H705" s="7" t="s">
        <v>45</v>
      </c>
      <c r="I705" s="20" t="s">
        <v>536</v>
      </c>
      <c r="J705" s="20" t="s">
        <v>1229</v>
      </c>
      <c r="K705" s="7" t="s">
        <v>119</v>
      </c>
      <c r="L705" s="61">
        <v>45758</v>
      </c>
      <c r="M705" s="7" t="s">
        <v>111</v>
      </c>
      <c r="N705" s="61">
        <v>45758</v>
      </c>
      <c r="O705" s="61">
        <v>45758</v>
      </c>
      <c r="P705" s="59"/>
      <c r="Q705" s="124" t="e">
        <f>P705*#REF!</f>
        <v>#REF!</v>
      </c>
      <c r="R705" s="126">
        <v>45758</v>
      </c>
      <c r="S705" s="153">
        <f>IF(L705="","",L705-B705)</f>
        <v>7</v>
      </c>
      <c r="T705" s="153">
        <f>IF(N705="","",N705-L705)</f>
        <v>0</v>
      </c>
      <c r="U705" s="153">
        <f>IF(O705="","",O705-N705)</f>
        <v>0</v>
      </c>
      <c r="V705" s="154">
        <f>IF(O705="","",O705-B705)</f>
        <v>7</v>
      </c>
      <c r="W705" s="154">
        <f>IF(O705="","",O705-L705)</f>
        <v>0</v>
      </c>
      <c r="X705" s="154">
        <f>IF(R705="","",R705-B705)</f>
        <v>7</v>
      </c>
    </row>
    <row r="706" spans="2:24" ht="17.25" hidden="1" customHeight="1">
      <c r="B706" s="23">
        <v>45751</v>
      </c>
      <c r="C706" s="7">
        <v>2003606332</v>
      </c>
      <c r="D706" s="20">
        <v>5867136</v>
      </c>
      <c r="E706" s="27" t="s">
        <v>149</v>
      </c>
      <c r="F706" s="7" t="s">
        <v>107</v>
      </c>
      <c r="G706" s="7" t="s">
        <v>10</v>
      </c>
      <c r="H706" s="7" t="s">
        <v>45</v>
      </c>
      <c r="I706" s="20" t="s">
        <v>1171</v>
      </c>
      <c r="J706" s="20" t="s">
        <v>1230</v>
      </c>
      <c r="K706" s="7" t="s">
        <v>110</v>
      </c>
      <c r="L706" s="61">
        <v>45754</v>
      </c>
      <c r="M706" s="7" t="s">
        <v>111</v>
      </c>
      <c r="N706" s="61">
        <v>45754</v>
      </c>
      <c r="O706" s="58">
        <v>45755</v>
      </c>
      <c r="P706" s="59"/>
      <c r="Q706" s="124" t="e">
        <f>P706*#REF!</f>
        <v>#REF!</v>
      </c>
      <c r="R706" s="126">
        <v>45755</v>
      </c>
      <c r="S706" s="153">
        <f>IF(L706="","",L706-B706)</f>
        <v>3</v>
      </c>
      <c r="T706" s="153">
        <f>IF(N706="","",N706-L706)</f>
        <v>0</v>
      </c>
      <c r="U706" s="153">
        <f>IF(O706="","",O706-N706)</f>
        <v>1</v>
      </c>
      <c r="V706" s="154">
        <f>IF(O706="","",O706-B706)</f>
        <v>4</v>
      </c>
      <c r="W706" s="154">
        <f>IF(O706="","",O706-L706)</f>
        <v>1</v>
      </c>
      <c r="X706" s="154">
        <f>IF(R706="","",R706-B706)</f>
        <v>4</v>
      </c>
    </row>
    <row r="707" spans="2:24" ht="17.25" hidden="1" customHeight="1">
      <c r="B707" s="23">
        <v>45751</v>
      </c>
      <c r="C707" s="7">
        <v>2003374992</v>
      </c>
      <c r="D707" s="20">
        <v>5867174</v>
      </c>
      <c r="E707" s="27" t="s">
        <v>198</v>
      </c>
      <c r="F707" s="7" t="s">
        <v>107</v>
      </c>
      <c r="G707" s="7" t="s">
        <v>18</v>
      </c>
      <c r="H707" s="7" t="s">
        <v>45</v>
      </c>
      <c r="I707" s="20" t="s">
        <v>1231</v>
      </c>
      <c r="J707" s="20" t="s">
        <v>1232</v>
      </c>
      <c r="K707" s="7" t="s">
        <v>110</v>
      </c>
      <c r="L707" s="61">
        <v>45755</v>
      </c>
      <c r="M707" s="7" t="s">
        <v>111</v>
      </c>
      <c r="N707" s="61">
        <v>45756</v>
      </c>
      <c r="O707" s="58">
        <v>45757</v>
      </c>
      <c r="P707" s="59"/>
      <c r="Q707" s="124" t="e">
        <f>P707*#REF!</f>
        <v>#REF!</v>
      </c>
      <c r="R707" s="126">
        <v>45758</v>
      </c>
      <c r="S707" s="153">
        <f>IF(L707="","",L707-B707)</f>
        <v>4</v>
      </c>
      <c r="T707" s="153">
        <f>IF(N707="","",N707-L707)</f>
        <v>1</v>
      </c>
      <c r="U707" s="153">
        <f>IF(O707="","",O707-N707)</f>
        <v>1</v>
      </c>
      <c r="V707" s="154">
        <f>IF(O707="","",O707-B707)</f>
        <v>6</v>
      </c>
      <c r="W707" s="154">
        <f>IF(O707="","",O707-L707)</f>
        <v>2</v>
      </c>
      <c r="X707" s="154">
        <f>IF(R707="","",R707-B707)</f>
        <v>7</v>
      </c>
    </row>
    <row r="708" spans="2:24" ht="17.25" hidden="1" customHeight="1">
      <c r="B708" s="23">
        <v>45751</v>
      </c>
      <c r="C708" s="7">
        <v>2003639639</v>
      </c>
      <c r="D708" s="20">
        <v>135770</v>
      </c>
      <c r="E708" s="27" t="s">
        <v>123</v>
      </c>
      <c r="F708" s="7" t="s">
        <v>107</v>
      </c>
      <c r="G708" s="7" t="s">
        <v>18</v>
      </c>
      <c r="H708" s="7" t="s">
        <v>45</v>
      </c>
      <c r="I708" s="20" t="s">
        <v>1233</v>
      </c>
      <c r="J708" s="20" t="s">
        <v>1234</v>
      </c>
      <c r="K708" s="7" t="s">
        <v>111</v>
      </c>
      <c r="L708" s="61">
        <v>45754</v>
      </c>
      <c r="M708" s="7" t="s">
        <v>111</v>
      </c>
      <c r="N708" s="24">
        <v>45754</v>
      </c>
      <c r="O708" s="58">
        <v>45755</v>
      </c>
      <c r="P708" s="59"/>
      <c r="Q708" s="124" t="e">
        <f>P708*#REF!</f>
        <v>#REF!</v>
      </c>
      <c r="R708" s="126">
        <v>45755</v>
      </c>
      <c r="S708" s="153">
        <f>IF(L708="","",L708-B708)</f>
        <v>3</v>
      </c>
      <c r="T708" s="153">
        <f>IF(N708="","",N708-L708)</f>
        <v>0</v>
      </c>
      <c r="U708" s="153">
        <f>IF(O708="","",O708-N708)</f>
        <v>1</v>
      </c>
      <c r="V708" s="154">
        <f>IF(O708="","",O708-B708)</f>
        <v>4</v>
      </c>
      <c r="W708" s="154">
        <f>IF(O708="","",O708-L708)</f>
        <v>1</v>
      </c>
      <c r="X708" s="154">
        <f>IF(R708="","",R708-B708)</f>
        <v>4</v>
      </c>
    </row>
    <row r="709" spans="2:24" ht="17.25" hidden="1" customHeight="1">
      <c r="B709" s="23">
        <v>45751</v>
      </c>
      <c r="C709" s="7">
        <v>2003642433</v>
      </c>
      <c r="D709" s="20">
        <v>135310</v>
      </c>
      <c r="E709" s="27" t="s">
        <v>185</v>
      </c>
      <c r="F709" s="7" t="s">
        <v>107</v>
      </c>
      <c r="G709" s="7" t="s">
        <v>26</v>
      </c>
      <c r="H709" s="7" t="s">
        <v>45</v>
      </c>
      <c r="I709" s="20" t="s">
        <v>1235</v>
      </c>
      <c r="J709" s="20" t="s">
        <v>1236</v>
      </c>
      <c r="K709" s="7" t="s">
        <v>110</v>
      </c>
      <c r="L709" s="61">
        <v>45754</v>
      </c>
      <c r="M709" s="7" t="s">
        <v>111</v>
      </c>
      <c r="N709" s="24">
        <v>45755</v>
      </c>
      <c r="O709" s="58">
        <v>45755</v>
      </c>
      <c r="P709" s="59"/>
      <c r="Q709" s="124" t="e">
        <f>P709*#REF!</f>
        <v>#REF!</v>
      </c>
      <c r="R709" s="126">
        <v>45755</v>
      </c>
      <c r="S709" s="153">
        <f>IF(L709="","",L709-B709)</f>
        <v>3</v>
      </c>
      <c r="T709" s="153">
        <f>IF(N709="","",N709-L709)</f>
        <v>1</v>
      </c>
      <c r="U709" s="153">
        <f>IF(O709="","",O709-N709)</f>
        <v>0</v>
      </c>
      <c r="V709" s="154">
        <f>IF(O709="","",O709-B709)</f>
        <v>4</v>
      </c>
      <c r="W709" s="154">
        <f>IF(O709="","",O709-L709)</f>
        <v>1</v>
      </c>
      <c r="X709" s="154">
        <f>IF(R709="","",R709-B709)</f>
        <v>4</v>
      </c>
    </row>
    <row r="710" spans="2:24" ht="17.25" hidden="1" customHeight="1">
      <c r="B710" s="23">
        <v>45751</v>
      </c>
      <c r="C710" s="7">
        <v>2003651260</v>
      </c>
      <c r="D710" s="20">
        <v>135037</v>
      </c>
      <c r="E710" s="27" t="s">
        <v>486</v>
      </c>
      <c r="F710" s="7" t="s">
        <v>107</v>
      </c>
      <c r="G710" s="7" t="s">
        <v>10</v>
      </c>
      <c r="H710" s="7" t="s">
        <v>45</v>
      </c>
      <c r="I710" s="20" t="s">
        <v>220</v>
      </c>
      <c r="J710" s="20" t="s">
        <v>1237</v>
      </c>
      <c r="K710" s="7" t="s">
        <v>119</v>
      </c>
      <c r="L710" s="61">
        <v>45755</v>
      </c>
      <c r="M710" s="7" t="s">
        <v>111</v>
      </c>
      <c r="N710" s="61">
        <v>45756</v>
      </c>
      <c r="O710" s="58">
        <v>45757</v>
      </c>
      <c r="P710" s="59"/>
      <c r="Q710" s="124" t="e">
        <f>P710*#REF!</f>
        <v>#REF!</v>
      </c>
      <c r="R710" s="126">
        <v>45758</v>
      </c>
      <c r="S710" s="153">
        <f>IF(L710="","",L710-B710)</f>
        <v>4</v>
      </c>
      <c r="T710" s="153">
        <f>IF(N710="","",N710-L710)</f>
        <v>1</v>
      </c>
      <c r="U710" s="153">
        <f>IF(O710="","",O710-N710)</f>
        <v>1</v>
      </c>
      <c r="V710" s="154">
        <f>IF(O710="","",O710-B710)</f>
        <v>6</v>
      </c>
      <c r="W710" s="154">
        <f>IF(O710="","",O710-L710)</f>
        <v>2</v>
      </c>
      <c r="X710" s="154">
        <f>IF(R710="","",R710-B710)</f>
        <v>7</v>
      </c>
    </row>
    <row r="711" spans="2:24" ht="17.25" hidden="1" customHeight="1">
      <c r="B711" s="23">
        <v>45754</v>
      </c>
      <c r="C711" s="7">
        <v>2003570469</v>
      </c>
      <c r="D711" s="20">
        <v>5867291</v>
      </c>
      <c r="E711" s="27" t="s">
        <v>185</v>
      </c>
      <c r="F711" s="7" t="s">
        <v>107</v>
      </c>
      <c r="G711" s="7" t="s">
        <v>10</v>
      </c>
      <c r="H711" s="7" t="s">
        <v>45</v>
      </c>
      <c r="I711" s="20" t="s">
        <v>1238</v>
      </c>
      <c r="J711" s="20" t="s">
        <v>1101</v>
      </c>
      <c r="K711" s="7" t="s">
        <v>110</v>
      </c>
      <c r="L711" s="61">
        <v>45754</v>
      </c>
      <c r="M711" s="7" t="s">
        <v>111</v>
      </c>
      <c r="N711" s="61">
        <v>45754</v>
      </c>
      <c r="O711" s="58">
        <v>45777</v>
      </c>
      <c r="P711" s="59"/>
      <c r="Q711" s="124" t="e">
        <f>P711*#REF!</f>
        <v>#REF!</v>
      </c>
      <c r="R711" s="126">
        <v>45777</v>
      </c>
      <c r="S711" s="153">
        <f>IF(L711="","",L711-B711)</f>
        <v>0</v>
      </c>
      <c r="T711" s="153">
        <f>IF(N711="","",N711-L711)</f>
        <v>0</v>
      </c>
      <c r="U711" s="153">
        <f>IF(O711="","",O711-N711)</f>
        <v>23</v>
      </c>
      <c r="V711" s="154">
        <f>IF(O711="","",O711-B711)</f>
        <v>23</v>
      </c>
      <c r="W711" s="154">
        <f>IF(O711="","",O711-L711)</f>
        <v>23</v>
      </c>
      <c r="X711" s="154">
        <f>IF(R711="","",R711-B711)</f>
        <v>23</v>
      </c>
    </row>
    <row r="712" spans="2:24" ht="17.25" hidden="1" customHeight="1">
      <c r="B712" s="23">
        <v>45754</v>
      </c>
      <c r="C712" s="7">
        <v>2003578524</v>
      </c>
      <c r="D712" s="20">
        <v>5883236</v>
      </c>
      <c r="E712" s="27" t="s">
        <v>112</v>
      </c>
      <c r="F712" s="7" t="s">
        <v>107</v>
      </c>
      <c r="G712" s="7" t="s">
        <v>18</v>
      </c>
      <c r="H712" s="7" t="s">
        <v>45</v>
      </c>
      <c r="I712" s="20" t="s">
        <v>1239</v>
      </c>
      <c r="J712" s="20" t="s">
        <v>1240</v>
      </c>
      <c r="K712" s="7" t="s">
        <v>110</v>
      </c>
      <c r="L712" s="61">
        <v>45755</v>
      </c>
      <c r="M712" s="7" t="s">
        <v>111</v>
      </c>
      <c r="N712" s="61">
        <v>45755</v>
      </c>
      <c r="O712" s="58">
        <v>45757</v>
      </c>
      <c r="P712" s="59"/>
      <c r="Q712" s="124" t="e">
        <f>P712*#REF!</f>
        <v>#REF!</v>
      </c>
      <c r="R712" s="126">
        <v>45758</v>
      </c>
      <c r="S712" s="153">
        <f>IF(L712="","",L712-B712)</f>
        <v>1</v>
      </c>
      <c r="T712" s="153">
        <f>IF(N712="","",N712-L712)</f>
        <v>0</v>
      </c>
      <c r="U712" s="153">
        <f>IF(O712="","",O712-N712)</f>
        <v>2</v>
      </c>
      <c r="V712" s="154">
        <f>IF(O712="","",O712-B712)</f>
        <v>3</v>
      </c>
      <c r="W712" s="154">
        <f>IF(O712="","",O712-L712)</f>
        <v>2</v>
      </c>
      <c r="X712" s="154">
        <f>IF(R712="","",R712-B712)</f>
        <v>4</v>
      </c>
    </row>
    <row r="713" spans="2:24" ht="17.25" hidden="1" customHeight="1">
      <c r="B713" s="23">
        <v>45754</v>
      </c>
      <c r="C713" s="7">
        <v>2003612904</v>
      </c>
      <c r="D713" s="20">
        <v>5883460</v>
      </c>
      <c r="E713" s="27" t="s">
        <v>198</v>
      </c>
      <c r="F713" s="7" t="s">
        <v>107</v>
      </c>
      <c r="G713" s="7" t="s">
        <v>18</v>
      </c>
      <c r="H713" s="7" t="s">
        <v>45</v>
      </c>
      <c r="I713" s="20" t="s">
        <v>1241</v>
      </c>
      <c r="J713" s="20" t="s">
        <v>1242</v>
      </c>
      <c r="K713" s="7" t="s">
        <v>119</v>
      </c>
      <c r="L713" s="61">
        <v>45756</v>
      </c>
      <c r="M713" s="7" t="s">
        <v>111</v>
      </c>
      <c r="N713" s="61">
        <v>45756</v>
      </c>
      <c r="O713" s="58">
        <v>45757</v>
      </c>
      <c r="P713" s="59"/>
      <c r="Q713" s="124" t="e">
        <f>P713*#REF!</f>
        <v>#REF!</v>
      </c>
      <c r="R713" s="126">
        <v>45758</v>
      </c>
      <c r="S713" s="153">
        <f>IF(L713="","",L713-B713)</f>
        <v>2</v>
      </c>
      <c r="T713" s="153">
        <f>IF(N713="","",N713-L713)</f>
        <v>0</v>
      </c>
      <c r="U713" s="153">
        <f>IF(O713="","",O713-N713)</f>
        <v>1</v>
      </c>
      <c r="V713" s="154">
        <f>IF(O713="","",O713-B713)</f>
        <v>3</v>
      </c>
      <c r="W713" s="154">
        <f>IF(O713="","",O713-L713)</f>
        <v>1</v>
      </c>
      <c r="X713" s="154">
        <f>IF(R713="","",R713-B713)</f>
        <v>4</v>
      </c>
    </row>
    <row r="714" spans="2:24" ht="17.25" hidden="1" customHeight="1">
      <c r="B714" s="23">
        <v>45754</v>
      </c>
      <c r="C714" s="7">
        <v>2003650539</v>
      </c>
      <c r="D714" s="20">
        <v>5883732</v>
      </c>
      <c r="E714" s="27" t="s">
        <v>258</v>
      </c>
      <c r="F714" s="7" t="s">
        <v>107</v>
      </c>
      <c r="G714" s="7" t="s">
        <v>10</v>
      </c>
      <c r="H714" s="7" t="s">
        <v>45</v>
      </c>
      <c r="I714" s="20" t="s">
        <v>1243</v>
      </c>
      <c r="J714" s="20" t="s">
        <v>1244</v>
      </c>
      <c r="K714" s="7" t="s">
        <v>119</v>
      </c>
      <c r="L714" s="61">
        <v>45756</v>
      </c>
      <c r="M714" s="7" t="s">
        <v>111</v>
      </c>
      <c r="N714" s="61">
        <v>45756</v>
      </c>
      <c r="O714" s="61">
        <v>45756</v>
      </c>
      <c r="P714" s="59"/>
      <c r="Q714" s="124" t="e">
        <f>P714*#REF!</f>
        <v>#REF!</v>
      </c>
      <c r="R714" s="126">
        <v>45761</v>
      </c>
      <c r="S714" s="153">
        <f>IF(L714="","",L714-B714)</f>
        <v>2</v>
      </c>
      <c r="T714" s="153">
        <f>IF(N714="","",N714-L714)</f>
        <v>0</v>
      </c>
      <c r="U714" s="153">
        <f>IF(O714="","",O714-N714)</f>
        <v>0</v>
      </c>
      <c r="V714" s="154">
        <f>IF(O714="","",O714-B714)</f>
        <v>2</v>
      </c>
      <c r="W714" s="154">
        <f>IF(O714="","",O714-L714)</f>
        <v>0</v>
      </c>
      <c r="X714" s="154">
        <f>IF(R714="","",R714-B714)</f>
        <v>7</v>
      </c>
    </row>
    <row r="715" spans="2:24" ht="17.25" hidden="1" customHeight="1">
      <c r="B715" s="23">
        <v>45754</v>
      </c>
      <c r="C715" s="7">
        <v>2003642911</v>
      </c>
      <c r="D715" s="20">
        <v>5884043</v>
      </c>
      <c r="E715" s="27" t="s">
        <v>138</v>
      </c>
      <c r="F715" s="7" t="s">
        <v>113</v>
      </c>
      <c r="G715" s="7" t="s">
        <v>18</v>
      </c>
      <c r="H715" s="7" t="s">
        <v>45</v>
      </c>
      <c r="P715" s="59"/>
      <c r="Q715" s="124" t="e">
        <f>P715*#REF!</f>
        <v>#REF!</v>
      </c>
      <c r="R715" s="126">
        <v>45768</v>
      </c>
      <c r="S715" s="153" t="str">
        <f>IF(L715="","",L715-B715)</f>
        <v/>
      </c>
      <c r="T715" s="153" t="str">
        <f>IF(N715="","",N715-L715)</f>
        <v/>
      </c>
      <c r="U715" s="153" t="str">
        <f>IF(O715="","",O715-N715)</f>
        <v/>
      </c>
      <c r="V715" s="154" t="str">
        <f>IF(O715="","",O715-B715)</f>
        <v/>
      </c>
      <c r="W715" s="154" t="str">
        <f>IF(O715="","",O715-L715)</f>
        <v/>
      </c>
      <c r="X715" s="154">
        <f>IF(R715="","",R715-B715)</f>
        <v>14</v>
      </c>
    </row>
    <row r="716" spans="2:24" ht="17.25" hidden="1" customHeight="1">
      <c r="B716" s="23">
        <v>45754</v>
      </c>
      <c r="C716" s="7">
        <v>2003616506</v>
      </c>
      <c r="D716" s="20">
        <v>137218</v>
      </c>
      <c r="E716" s="27" t="s">
        <v>1245</v>
      </c>
      <c r="F716" s="7" t="s">
        <v>107</v>
      </c>
      <c r="G716" s="7" t="s">
        <v>10</v>
      </c>
      <c r="H716" s="7" t="s">
        <v>45</v>
      </c>
      <c r="I716" s="20" t="s">
        <v>1246</v>
      </c>
      <c r="J716" s="20" t="s">
        <v>1247</v>
      </c>
      <c r="K716" s="7" t="s">
        <v>110</v>
      </c>
      <c r="L716" s="61">
        <v>45756</v>
      </c>
      <c r="M716" s="7" t="s">
        <v>111</v>
      </c>
      <c r="N716" s="61">
        <v>45756</v>
      </c>
      <c r="O716" s="61">
        <v>45756</v>
      </c>
      <c r="P716" s="59"/>
      <c r="Q716" s="124" t="e">
        <f>P716*#REF!</f>
        <v>#REF!</v>
      </c>
      <c r="R716" s="126">
        <v>45757</v>
      </c>
      <c r="S716" s="153">
        <f>IF(L716="","",L716-B716)</f>
        <v>2</v>
      </c>
      <c r="T716" s="153">
        <f>IF(N716="","",N716-L716)</f>
        <v>0</v>
      </c>
      <c r="U716" s="153">
        <f>IF(O716="","",O716-N716)</f>
        <v>0</v>
      </c>
      <c r="V716" s="154">
        <f>IF(O716="","",O716-B716)</f>
        <v>2</v>
      </c>
      <c r="W716" s="154">
        <f>IF(O716="","",O716-L716)</f>
        <v>0</v>
      </c>
      <c r="X716" s="154">
        <f>IF(R716="","",R716-B716)</f>
        <v>3</v>
      </c>
    </row>
    <row r="717" spans="2:24" ht="17.25" hidden="1" customHeight="1">
      <c r="B717" s="23">
        <v>45754</v>
      </c>
      <c r="C717" s="7">
        <v>2003652636</v>
      </c>
      <c r="D717" s="20">
        <v>136308</v>
      </c>
      <c r="E717" s="27" t="s">
        <v>622</v>
      </c>
      <c r="F717" s="7" t="s">
        <v>107</v>
      </c>
      <c r="G717" s="7" t="s">
        <v>10</v>
      </c>
      <c r="H717" s="7" t="s">
        <v>45</v>
      </c>
      <c r="I717" s="20" t="s">
        <v>1248</v>
      </c>
      <c r="J717" s="20" t="s">
        <v>1249</v>
      </c>
      <c r="K717" s="7" t="s">
        <v>119</v>
      </c>
      <c r="L717" s="61">
        <v>45756</v>
      </c>
      <c r="M717" s="7" t="s">
        <v>111</v>
      </c>
      <c r="N717" s="61">
        <v>45756</v>
      </c>
      <c r="O717" s="61">
        <v>45756</v>
      </c>
      <c r="P717" s="59"/>
      <c r="Q717" s="124" t="e">
        <f>P717*#REF!</f>
        <v>#REF!</v>
      </c>
      <c r="R717" s="126">
        <v>45758</v>
      </c>
      <c r="S717" s="153">
        <f>IF(L717="","",L717-B717)</f>
        <v>2</v>
      </c>
      <c r="T717" s="153">
        <f>IF(N717="","",N717-L717)</f>
        <v>0</v>
      </c>
      <c r="U717" s="153">
        <f>IF(O717="","",O717-N717)</f>
        <v>0</v>
      </c>
      <c r="V717" s="154">
        <f>IF(O717="","",O717-B717)</f>
        <v>2</v>
      </c>
      <c r="W717" s="154">
        <f>IF(O717="","",O717-L717)</f>
        <v>0</v>
      </c>
      <c r="X717" s="154">
        <f>IF(R717="","",R717-B717)</f>
        <v>4</v>
      </c>
    </row>
    <row r="718" spans="2:24" ht="17.25" hidden="1" customHeight="1">
      <c r="B718" s="23">
        <v>45754</v>
      </c>
      <c r="C718" s="7">
        <v>2003644438</v>
      </c>
      <c r="D718" s="20">
        <v>136333</v>
      </c>
      <c r="E718" s="27" t="s">
        <v>622</v>
      </c>
      <c r="F718" s="7" t="s">
        <v>107</v>
      </c>
      <c r="G718" s="7" t="s">
        <v>18</v>
      </c>
      <c r="H718" s="7" t="s">
        <v>45</v>
      </c>
      <c r="I718" s="20" t="s">
        <v>1250</v>
      </c>
      <c r="J718" s="20" t="s">
        <v>1251</v>
      </c>
      <c r="K718" s="7" t="s">
        <v>119</v>
      </c>
      <c r="L718" s="61">
        <v>45756</v>
      </c>
      <c r="M718" s="7" t="s">
        <v>111</v>
      </c>
      <c r="N718" s="24">
        <v>45768</v>
      </c>
      <c r="O718" s="24">
        <v>45768</v>
      </c>
      <c r="P718" s="59"/>
      <c r="Q718" s="124" t="e">
        <f>P718*#REF!</f>
        <v>#REF!</v>
      </c>
      <c r="R718" s="126">
        <v>45770</v>
      </c>
      <c r="S718" s="153">
        <f>IF(L718="","",L718-B718)</f>
        <v>2</v>
      </c>
      <c r="T718" s="153">
        <f>IF(N718="","",N718-L718)</f>
        <v>12</v>
      </c>
      <c r="U718" s="153">
        <f>IF(O718="","",O718-N718)</f>
        <v>0</v>
      </c>
      <c r="V718" s="154">
        <f>IF(O718="","",O718-B718)</f>
        <v>14</v>
      </c>
      <c r="W718" s="154">
        <f>IF(O718="","",O718-L718)</f>
        <v>12</v>
      </c>
      <c r="X718" s="154">
        <f>IF(R718="","",R718-B718)</f>
        <v>16</v>
      </c>
    </row>
    <row r="719" spans="2:24" ht="17.25" hidden="1" customHeight="1">
      <c r="B719" s="23">
        <v>45754</v>
      </c>
      <c r="C719" s="7">
        <v>2003608824</v>
      </c>
      <c r="D719" s="20">
        <v>247827</v>
      </c>
      <c r="E719" s="27" t="s">
        <v>1252</v>
      </c>
      <c r="F719" s="7" t="s">
        <v>107</v>
      </c>
      <c r="G719" s="7" t="s">
        <v>18</v>
      </c>
      <c r="H719" s="7" t="s">
        <v>45</v>
      </c>
      <c r="I719" s="20" t="s">
        <v>1253</v>
      </c>
      <c r="J719" s="20" t="s">
        <v>1254</v>
      </c>
      <c r="K719" s="7" t="s">
        <v>110</v>
      </c>
      <c r="L719" s="61">
        <v>45769</v>
      </c>
      <c r="M719" s="7" t="s">
        <v>111</v>
      </c>
      <c r="N719" s="24">
        <v>45770</v>
      </c>
      <c r="O719" s="61">
        <v>45771</v>
      </c>
      <c r="P719" s="59"/>
      <c r="Q719" s="124" t="e">
        <f>P719*#REF!</f>
        <v>#REF!</v>
      </c>
      <c r="R719" s="126">
        <v>45772</v>
      </c>
      <c r="S719" s="153">
        <f>IF(L719="","",L719-B719)</f>
        <v>15</v>
      </c>
      <c r="T719" s="153">
        <f>IF(N719="","",N719-L719)</f>
        <v>1</v>
      </c>
      <c r="U719" s="153">
        <f>IF(O719="","",O719-N719)</f>
        <v>1</v>
      </c>
      <c r="V719" s="154">
        <f>IF(O719="","",O719-B719)</f>
        <v>17</v>
      </c>
      <c r="W719" s="154">
        <f>IF(O719="","",O719-L719)</f>
        <v>2</v>
      </c>
      <c r="X719" s="154">
        <f>IF(R719="","",R719-B719)</f>
        <v>18</v>
      </c>
    </row>
    <row r="720" spans="2:24" ht="17.25" hidden="1" customHeight="1">
      <c r="B720" s="23">
        <v>45755</v>
      </c>
      <c r="C720" s="7">
        <v>2003654521</v>
      </c>
      <c r="D720" s="20">
        <v>5884675</v>
      </c>
      <c r="E720" s="27" t="s">
        <v>230</v>
      </c>
      <c r="F720" s="7" t="s">
        <v>107</v>
      </c>
      <c r="G720" s="7" t="s">
        <v>10</v>
      </c>
      <c r="H720" s="7" t="s">
        <v>45</v>
      </c>
      <c r="I720" s="20" t="s">
        <v>1208</v>
      </c>
      <c r="J720" s="20" t="s">
        <v>1209</v>
      </c>
      <c r="K720" s="7" t="s">
        <v>119</v>
      </c>
      <c r="L720" s="61">
        <v>45756</v>
      </c>
      <c r="M720" s="7" t="s">
        <v>111</v>
      </c>
      <c r="N720" s="61">
        <v>45756</v>
      </c>
      <c r="O720" s="58">
        <v>45757</v>
      </c>
      <c r="P720" s="59"/>
      <c r="Q720" s="124" t="e">
        <f>P720*#REF!</f>
        <v>#REF!</v>
      </c>
      <c r="R720" s="126">
        <v>45758</v>
      </c>
      <c r="S720" s="153">
        <f>IF(L720="","",L720-B720)</f>
        <v>1</v>
      </c>
      <c r="T720" s="153">
        <f>IF(N720="","",N720-L720)</f>
        <v>0</v>
      </c>
      <c r="U720" s="153">
        <f>IF(O720="","",O720-N720)</f>
        <v>1</v>
      </c>
      <c r="V720" s="154">
        <f>IF(O720="","",O720-B720)</f>
        <v>2</v>
      </c>
      <c r="W720" s="154">
        <f>IF(O720="","",O720-L720)</f>
        <v>1</v>
      </c>
      <c r="X720" s="154">
        <f>IF(R720="","",R720-B720)</f>
        <v>3</v>
      </c>
    </row>
    <row r="721" spans="2:24" ht="17.25" hidden="1" customHeight="1">
      <c r="B721" s="23">
        <v>45755</v>
      </c>
      <c r="C721" s="7">
        <v>2003624151</v>
      </c>
      <c r="D721" s="20">
        <v>5884925</v>
      </c>
      <c r="E721" s="27" t="s">
        <v>177</v>
      </c>
      <c r="F721" s="7" t="s">
        <v>107</v>
      </c>
      <c r="G721" s="7" t="s">
        <v>15</v>
      </c>
      <c r="H721" s="7" t="s">
        <v>45</v>
      </c>
      <c r="I721" s="20" t="s">
        <v>1255</v>
      </c>
      <c r="J721" s="20" t="s">
        <v>1256</v>
      </c>
      <c r="K721" s="7" t="s">
        <v>119</v>
      </c>
      <c r="L721" s="61">
        <v>45756</v>
      </c>
      <c r="M721" s="7" t="s">
        <v>111</v>
      </c>
      <c r="N721" s="24">
        <v>45756</v>
      </c>
      <c r="O721" s="58">
        <v>45757</v>
      </c>
      <c r="P721" s="59"/>
      <c r="Q721" s="124" t="e">
        <f>P721*#REF!</f>
        <v>#REF!</v>
      </c>
      <c r="R721" s="126">
        <v>45758</v>
      </c>
      <c r="S721" s="153">
        <f>IF(L721="","",L721-B721)</f>
        <v>1</v>
      </c>
      <c r="T721" s="153">
        <f>IF(N721="","",N721-L721)</f>
        <v>0</v>
      </c>
      <c r="U721" s="153">
        <f>IF(O721="","",O721-N721)</f>
        <v>1</v>
      </c>
      <c r="V721" s="154">
        <f>IF(O721="","",O721-B721)</f>
        <v>2</v>
      </c>
      <c r="W721" s="154">
        <f>IF(O721="","",O721-L721)</f>
        <v>1</v>
      </c>
      <c r="X721" s="154">
        <f>IF(R721="","",R721-B721)</f>
        <v>3</v>
      </c>
    </row>
    <row r="722" spans="2:24" ht="17.25" hidden="1" customHeight="1">
      <c r="B722" s="23">
        <v>45755</v>
      </c>
      <c r="C722" s="7">
        <v>2003591742</v>
      </c>
      <c r="D722" s="20">
        <v>5885149</v>
      </c>
      <c r="E722" s="27" t="s">
        <v>126</v>
      </c>
      <c r="F722" s="7" t="s">
        <v>107</v>
      </c>
      <c r="G722" s="7" t="s">
        <v>10</v>
      </c>
      <c r="H722" s="7" t="s">
        <v>45</v>
      </c>
      <c r="I722" s="20" t="s">
        <v>1257</v>
      </c>
      <c r="J722" s="20" t="s">
        <v>678</v>
      </c>
      <c r="K722" s="7" t="s">
        <v>119</v>
      </c>
      <c r="L722" s="61">
        <v>45761</v>
      </c>
      <c r="M722" s="7" t="s">
        <v>111</v>
      </c>
      <c r="N722" s="61">
        <v>45761</v>
      </c>
      <c r="O722" s="58">
        <v>45765</v>
      </c>
      <c r="P722" s="59"/>
      <c r="Q722" s="124" t="e">
        <f>P722*#REF!</f>
        <v>#REF!</v>
      </c>
      <c r="R722" s="126">
        <v>45765</v>
      </c>
      <c r="S722" s="153">
        <f>IF(L722="","",L722-B722)</f>
        <v>6</v>
      </c>
      <c r="T722" s="153">
        <f>IF(N722="","",N722-L722)</f>
        <v>0</v>
      </c>
      <c r="U722" s="153">
        <f>IF(O722="","",O722-N722)</f>
        <v>4</v>
      </c>
      <c r="V722" s="154">
        <f>IF(O722="","",O722-B722)</f>
        <v>10</v>
      </c>
      <c r="W722" s="154">
        <f>IF(O722="","",O722-L722)</f>
        <v>4</v>
      </c>
      <c r="X722" s="154">
        <f>IF(R722="","",R722-B722)</f>
        <v>10</v>
      </c>
    </row>
    <row r="723" spans="2:24" ht="17.25" hidden="1" customHeight="1">
      <c r="B723" s="23">
        <v>45755</v>
      </c>
      <c r="C723" s="7">
        <v>2003635694</v>
      </c>
      <c r="D723" s="20">
        <v>5885306</v>
      </c>
      <c r="E723" s="27" t="s">
        <v>138</v>
      </c>
      <c r="F723" s="7" t="s">
        <v>107</v>
      </c>
      <c r="G723" s="7" t="s">
        <v>18</v>
      </c>
      <c r="H723" s="7" t="s">
        <v>45</v>
      </c>
      <c r="I723" s="20" t="s">
        <v>164</v>
      </c>
      <c r="J723" s="20" t="s">
        <v>1258</v>
      </c>
      <c r="K723" s="7" t="s">
        <v>119</v>
      </c>
      <c r="L723" s="61">
        <v>45757</v>
      </c>
      <c r="M723" s="7" t="s">
        <v>111</v>
      </c>
      <c r="N723" s="24">
        <v>45758</v>
      </c>
      <c r="O723" s="24">
        <v>45758</v>
      </c>
      <c r="P723" s="59">
        <v>129</v>
      </c>
      <c r="Q723" s="124" t="e">
        <f>P723*#REF!</f>
        <v>#REF!</v>
      </c>
      <c r="R723" s="126">
        <v>45758</v>
      </c>
      <c r="S723" s="153">
        <f>IF(L723="","",L723-B723)</f>
        <v>2</v>
      </c>
      <c r="T723" s="153">
        <f>IF(N723="","",N723-L723)</f>
        <v>1</v>
      </c>
      <c r="U723" s="153">
        <f>IF(O723="","",O723-N723)</f>
        <v>0</v>
      </c>
      <c r="V723" s="154">
        <f>IF(O723="","",O723-B723)</f>
        <v>3</v>
      </c>
      <c r="W723" s="154">
        <f>IF(O723="","",O723-L723)</f>
        <v>1</v>
      </c>
      <c r="X723" s="154">
        <f>IF(R723="","",R723-B723)</f>
        <v>3</v>
      </c>
    </row>
    <row r="724" spans="2:24" ht="17.25" hidden="1" customHeight="1">
      <c r="B724" s="23">
        <v>45755</v>
      </c>
      <c r="C724" s="7">
        <v>2003580737</v>
      </c>
      <c r="D724" s="20">
        <v>5885339</v>
      </c>
      <c r="E724" s="27" t="s">
        <v>123</v>
      </c>
      <c r="F724" s="7" t="s">
        <v>107</v>
      </c>
      <c r="G724" s="7" t="s">
        <v>26</v>
      </c>
      <c r="H724" s="7" t="s">
        <v>45</v>
      </c>
      <c r="I724" s="20" t="s">
        <v>1259</v>
      </c>
      <c r="J724" s="20" t="s">
        <v>1260</v>
      </c>
      <c r="K724" s="7" t="s">
        <v>119</v>
      </c>
      <c r="L724" s="61">
        <v>45754</v>
      </c>
      <c r="M724" s="7" t="s">
        <v>111</v>
      </c>
      <c r="N724" s="24">
        <v>45758</v>
      </c>
      <c r="O724" s="58">
        <v>45758</v>
      </c>
      <c r="P724" s="59"/>
      <c r="Q724" s="124" t="e">
        <f>P724*#REF!</f>
        <v>#REF!</v>
      </c>
      <c r="R724" s="126">
        <v>45758</v>
      </c>
      <c r="S724" s="153">
        <f>IF(L724="","",L724-B724)</f>
        <v>-1</v>
      </c>
      <c r="T724" s="153">
        <f>IF(N724="","",N724-L724)</f>
        <v>4</v>
      </c>
      <c r="U724" s="153">
        <f>IF(O724="","",O724-N724)</f>
        <v>0</v>
      </c>
      <c r="V724" s="154">
        <f>IF(O724="","",O724-B724)</f>
        <v>3</v>
      </c>
      <c r="W724" s="154">
        <f>IF(O724="","",O724-L724)</f>
        <v>4</v>
      </c>
      <c r="X724" s="154">
        <f>IF(R724="","",R724-B724)</f>
        <v>3</v>
      </c>
    </row>
    <row r="725" spans="2:24" ht="17.25" hidden="1" customHeight="1">
      <c r="B725" s="23">
        <v>45755</v>
      </c>
      <c r="C725" s="7">
        <v>2003652445</v>
      </c>
      <c r="D725" s="20">
        <v>5885428</v>
      </c>
      <c r="E725" s="27" t="s">
        <v>408</v>
      </c>
      <c r="F725" s="7" t="s">
        <v>107</v>
      </c>
      <c r="G725" s="7" t="s">
        <v>18</v>
      </c>
      <c r="H725" s="7" t="s">
        <v>45</v>
      </c>
      <c r="I725" s="20" t="s">
        <v>1261</v>
      </c>
      <c r="J725" s="20" t="s">
        <v>807</v>
      </c>
      <c r="K725" s="7" t="s">
        <v>119</v>
      </c>
      <c r="L725" s="61">
        <v>45756</v>
      </c>
      <c r="M725" s="7" t="s">
        <v>111</v>
      </c>
      <c r="N725" s="61">
        <v>45756</v>
      </c>
      <c r="O725" s="58">
        <v>45757</v>
      </c>
      <c r="P725" s="59"/>
      <c r="Q725" s="124" t="e">
        <f>P725*#REF!</f>
        <v>#REF!</v>
      </c>
      <c r="R725" s="126">
        <v>45758</v>
      </c>
      <c r="S725" s="153">
        <f>IF(L725="","",L725-B725)</f>
        <v>1</v>
      </c>
      <c r="T725" s="153">
        <f>IF(N725="","",N725-L725)</f>
        <v>0</v>
      </c>
      <c r="U725" s="153">
        <f>IF(O725="","",O725-N725)</f>
        <v>1</v>
      </c>
      <c r="V725" s="154">
        <f>IF(O725="","",O725-B725)</f>
        <v>2</v>
      </c>
      <c r="W725" s="154">
        <f>IF(O725="","",O725-L725)</f>
        <v>1</v>
      </c>
      <c r="X725" s="154">
        <f>IF(R725="","",R725-B725)</f>
        <v>3</v>
      </c>
    </row>
    <row r="726" spans="2:24" ht="17.25" hidden="1" customHeight="1">
      <c r="B726" s="23">
        <v>45755</v>
      </c>
      <c r="C726" s="7">
        <v>2003655430</v>
      </c>
      <c r="D726" s="20">
        <v>5885457</v>
      </c>
      <c r="E726" s="27" t="s">
        <v>191</v>
      </c>
      <c r="F726" s="7" t="s">
        <v>107</v>
      </c>
      <c r="G726" s="7" t="s">
        <v>10</v>
      </c>
      <c r="H726" s="7" t="s">
        <v>45</v>
      </c>
      <c r="I726" s="20" t="s">
        <v>1262</v>
      </c>
      <c r="J726" s="20" t="s">
        <v>1263</v>
      </c>
      <c r="K726" s="7" t="s">
        <v>119</v>
      </c>
      <c r="L726" s="61">
        <v>45757</v>
      </c>
      <c r="M726" s="7" t="s">
        <v>111</v>
      </c>
      <c r="N726" s="24">
        <v>45758</v>
      </c>
      <c r="O726" s="58">
        <v>45761</v>
      </c>
      <c r="P726" s="59"/>
      <c r="Q726" s="124" t="e">
        <f>P726*#REF!</f>
        <v>#REF!</v>
      </c>
      <c r="R726" s="126">
        <v>45765</v>
      </c>
      <c r="S726" s="153">
        <f>IF(L726="","",L726-B726)</f>
        <v>2</v>
      </c>
      <c r="T726" s="153">
        <f>IF(N726="","",N726-L726)</f>
        <v>1</v>
      </c>
      <c r="U726" s="153">
        <f>IF(O726="","",O726-N726)</f>
        <v>3</v>
      </c>
      <c r="V726" s="154">
        <f>IF(O726="","",O726-B726)</f>
        <v>6</v>
      </c>
      <c r="W726" s="154">
        <f>IF(O726="","",O726-L726)</f>
        <v>4</v>
      </c>
      <c r="X726" s="154">
        <f>IF(R726="","",R726-B726)</f>
        <v>10</v>
      </c>
    </row>
    <row r="727" spans="2:24" ht="17.25" hidden="1" customHeight="1">
      <c r="B727" s="23">
        <v>45756</v>
      </c>
      <c r="C727" s="7">
        <v>2003654020</v>
      </c>
      <c r="D727" s="20">
        <v>5885971</v>
      </c>
      <c r="E727" s="27" t="s">
        <v>123</v>
      </c>
      <c r="F727" s="7" t="s">
        <v>107</v>
      </c>
      <c r="G727" s="7" t="s">
        <v>15</v>
      </c>
      <c r="H727" s="7" t="s">
        <v>45</v>
      </c>
      <c r="I727" s="20" t="s">
        <v>164</v>
      </c>
      <c r="J727" s="20" t="s">
        <v>1264</v>
      </c>
      <c r="K727" s="7" t="s">
        <v>119</v>
      </c>
      <c r="L727" s="61">
        <v>45761</v>
      </c>
      <c r="M727" s="7" t="s">
        <v>111</v>
      </c>
      <c r="N727" s="61">
        <v>45761</v>
      </c>
      <c r="O727" s="58">
        <v>45768</v>
      </c>
      <c r="P727" s="59">
        <v>70.5</v>
      </c>
      <c r="Q727" s="124" t="e">
        <f>P727*#REF!</f>
        <v>#REF!</v>
      </c>
      <c r="R727" s="126">
        <v>45770</v>
      </c>
      <c r="S727" s="153">
        <f>IF(L727="","",L727-B727)</f>
        <v>5</v>
      </c>
      <c r="T727" s="153">
        <f>IF(N727="","",N727-L727)</f>
        <v>0</v>
      </c>
      <c r="U727" s="153">
        <f>IF(O727="","",O727-N727)</f>
        <v>7</v>
      </c>
      <c r="V727" s="154">
        <f>IF(O727="","",O727-B727)</f>
        <v>12</v>
      </c>
      <c r="W727" s="154">
        <f>IF(O727="","",O727-L727)</f>
        <v>7</v>
      </c>
      <c r="X727" s="154">
        <f>IF(R727="","",R727-B727)</f>
        <v>14</v>
      </c>
    </row>
    <row r="728" spans="2:24" ht="17.25" hidden="1" customHeight="1">
      <c r="B728" s="23">
        <v>45756</v>
      </c>
      <c r="C728" s="7">
        <v>2003654222</v>
      </c>
      <c r="D728" s="20">
        <v>5886140</v>
      </c>
      <c r="E728" s="27" t="s">
        <v>1225</v>
      </c>
      <c r="F728" s="7" t="s">
        <v>107</v>
      </c>
      <c r="G728" s="7" t="s">
        <v>10</v>
      </c>
      <c r="H728" s="7" t="s">
        <v>45</v>
      </c>
      <c r="I728" s="20" t="s">
        <v>1265</v>
      </c>
      <c r="J728" s="20" t="s">
        <v>1266</v>
      </c>
      <c r="K728" s="7" t="s">
        <v>119</v>
      </c>
      <c r="L728" s="61">
        <v>45758</v>
      </c>
      <c r="M728" s="7" t="s">
        <v>111</v>
      </c>
      <c r="N728" s="61">
        <v>45758</v>
      </c>
      <c r="O728" s="58">
        <v>45761</v>
      </c>
      <c r="P728" s="59"/>
      <c r="Q728" s="124" t="e">
        <f>P728*#REF!</f>
        <v>#REF!</v>
      </c>
      <c r="R728" s="126">
        <v>45762</v>
      </c>
      <c r="S728" s="153">
        <f>IF(L728="","",L728-B728)</f>
        <v>2</v>
      </c>
      <c r="T728" s="153">
        <f>IF(N728="","",N728-L728)</f>
        <v>0</v>
      </c>
      <c r="U728" s="153">
        <f>IF(O728="","",O728-N728)</f>
        <v>3</v>
      </c>
      <c r="V728" s="154">
        <f>IF(O728="","",O728-B728)</f>
        <v>5</v>
      </c>
      <c r="W728" s="154">
        <f>IF(O728="","",O728-L728)</f>
        <v>3</v>
      </c>
      <c r="X728" s="154">
        <f>IF(R728="","",R728-B728)</f>
        <v>6</v>
      </c>
    </row>
    <row r="729" spans="2:24" ht="17.25" hidden="1" customHeight="1">
      <c r="B729" s="23">
        <v>45756</v>
      </c>
      <c r="C729" s="7">
        <v>2003622347</v>
      </c>
      <c r="D729" s="20">
        <v>5886487</v>
      </c>
      <c r="E729" s="27" t="s">
        <v>106</v>
      </c>
      <c r="F729" s="7" t="s">
        <v>107</v>
      </c>
      <c r="G729" s="7" t="s">
        <v>10</v>
      </c>
      <c r="H729" s="7" t="s">
        <v>45</v>
      </c>
      <c r="I729" s="20" t="s">
        <v>164</v>
      </c>
      <c r="J729" s="20" t="s">
        <v>1267</v>
      </c>
      <c r="K729" s="7" t="s">
        <v>122</v>
      </c>
      <c r="L729" s="61">
        <v>45757</v>
      </c>
      <c r="M729" s="7" t="s">
        <v>111</v>
      </c>
      <c r="N729" s="61">
        <v>45761</v>
      </c>
      <c r="O729" s="58">
        <v>45763</v>
      </c>
      <c r="P729" s="59"/>
      <c r="Q729" s="124" t="e">
        <f>P729*#REF!</f>
        <v>#REF!</v>
      </c>
      <c r="R729" s="126">
        <v>45765</v>
      </c>
      <c r="S729" s="153">
        <f>IF(L729="","",L729-B729)</f>
        <v>1</v>
      </c>
      <c r="T729" s="153">
        <f>IF(N729="","",N729-L729)</f>
        <v>4</v>
      </c>
      <c r="U729" s="153">
        <f>IF(O729="","",O729-N729)</f>
        <v>2</v>
      </c>
      <c r="V729" s="154">
        <f>IF(O729="","",O729-B729)</f>
        <v>7</v>
      </c>
      <c r="W729" s="154">
        <f>IF(O729="","",O729-L729)</f>
        <v>6</v>
      </c>
      <c r="X729" s="154">
        <f>IF(R729="","",R729-B729)</f>
        <v>9</v>
      </c>
    </row>
    <row r="730" spans="2:24" ht="17.25" hidden="1" customHeight="1">
      <c r="B730" s="23">
        <v>45757</v>
      </c>
      <c r="C730" s="7">
        <v>2003645840</v>
      </c>
      <c r="D730" s="20">
        <v>5887107</v>
      </c>
      <c r="E730" s="27" t="s">
        <v>123</v>
      </c>
      <c r="F730" s="7" t="s">
        <v>107</v>
      </c>
      <c r="G730" s="7" t="s">
        <v>18</v>
      </c>
      <c r="H730" s="7" t="s">
        <v>45</v>
      </c>
      <c r="I730" s="20" t="s">
        <v>1268</v>
      </c>
      <c r="J730" s="20" t="s">
        <v>1203</v>
      </c>
      <c r="K730" s="7" t="s">
        <v>122</v>
      </c>
      <c r="L730" s="61">
        <v>45757</v>
      </c>
      <c r="M730" s="7" t="s">
        <v>111</v>
      </c>
      <c r="N730" s="24">
        <v>45758</v>
      </c>
      <c r="O730" s="58">
        <v>45761</v>
      </c>
      <c r="P730" s="59"/>
      <c r="Q730" s="124" t="e">
        <f>P730*#REF!</f>
        <v>#REF!</v>
      </c>
      <c r="R730" s="126">
        <v>45765</v>
      </c>
      <c r="S730" s="153">
        <f>IF(L730="","",L730-B730)</f>
        <v>0</v>
      </c>
      <c r="T730" s="153">
        <f>IF(N730="","",N730-L730)</f>
        <v>1</v>
      </c>
      <c r="U730" s="153">
        <f>IF(O730="","",O730-N730)</f>
        <v>3</v>
      </c>
      <c r="V730" s="154">
        <f>IF(O730="","",O730-B730)</f>
        <v>4</v>
      </c>
      <c r="W730" s="154">
        <f>IF(O730="","",O730-L730)</f>
        <v>4</v>
      </c>
      <c r="X730" s="154">
        <f>IF(R730="","",R730-B730)</f>
        <v>8</v>
      </c>
    </row>
    <row r="731" spans="2:24" ht="17.25" hidden="1" customHeight="1">
      <c r="B731" s="23">
        <v>45756</v>
      </c>
      <c r="C731" s="7">
        <v>2003654189</v>
      </c>
      <c r="D731" s="20">
        <v>5886623</v>
      </c>
      <c r="E731" s="27" t="s">
        <v>149</v>
      </c>
      <c r="F731" s="7" t="s">
        <v>107</v>
      </c>
      <c r="G731" s="7" t="s">
        <v>10</v>
      </c>
      <c r="H731" s="7" t="s">
        <v>45</v>
      </c>
      <c r="I731" s="20" t="s">
        <v>1269</v>
      </c>
      <c r="J731" s="20" t="s">
        <v>1270</v>
      </c>
      <c r="K731" s="7" t="s">
        <v>110</v>
      </c>
      <c r="L731" s="61">
        <v>45762</v>
      </c>
      <c r="M731" s="7" t="s">
        <v>111</v>
      </c>
      <c r="N731" s="61">
        <v>45762</v>
      </c>
      <c r="O731" s="61">
        <v>45762</v>
      </c>
      <c r="P731" s="59"/>
      <c r="Q731" s="124" t="e">
        <f>P731*#REF!</f>
        <v>#REF!</v>
      </c>
      <c r="R731" s="126">
        <v>45765</v>
      </c>
      <c r="S731" s="153">
        <f>IF(L731="","",L731-B731)</f>
        <v>6</v>
      </c>
      <c r="T731" s="153">
        <f>IF(N731="","",N731-L731)</f>
        <v>0</v>
      </c>
      <c r="U731" s="153">
        <f>IF(O731="","",O731-N731)</f>
        <v>0</v>
      </c>
      <c r="V731" s="154">
        <f>IF(O731="","",O731-B731)</f>
        <v>6</v>
      </c>
      <c r="W731" s="154">
        <f>IF(O731="","",O731-L731)</f>
        <v>0</v>
      </c>
      <c r="X731" s="154">
        <f>IF(R731="","",R731-B731)</f>
        <v>9</v>
      </c>
    </row>
    <row r="732" spans="2:24" ht="17.25" hidden="1" customHeight="1">
      <c r="B732" s="23">
        <v>45756</v>
      </c>
      <c r="C732" s="7">
        <v>2003559064</v>
      </c>
      <c r="D732" s="20">
        <v>5886627</v>
      </c>
      <c r="E732" s="27" t="s">
        <v>191</v>
      </c>
      <c r="F732" s="7" t="s">
        <v>107</v>
      </c>
      <c r="G732" s="7" t="s">
        <v>21</v>
      </c>
      <c r="H732" s="7" t="s">
        <v>45</v>
      </c>
      <c r="I732" s="20" t="s">
        <v>1271</v>
      </c>
      <c r="J732" s="20" t="s">
        <v>890</v>
      </c>
      <c r="K732" s="7" t="s">
        <v>110</v>
      </c>
      <c r="L732" s="61">
        <v>45757</v>
      </c>
      <c r="M732" s="7" t="s">
        <v>111</v>
      </c>
      <c r="N732" s="24">
        <v>45758</v>
      </c>
      <c r="O732" s="24">
        <v>45758</v>
      </c>
      <c r="P732" s="59"/>
      <c r="Q732" s="124" t="e">
        <f>P732*#REF!</f>
        <v>#REF!</v>
      </c>
      <c r="R732" s="126">
        <v>45758</v>
      </c>
      <c r="S732" s="153">
        <f>IF(L732="","",L732-B732)</f>
        <v>1</v>
      </c>
      <c r="T732" s="153">
        <f>IF(N732="","",N732-L732)</f>
        <v>1</v>
      </c>
      <c r="U732" s="153">
        <f>IF(O732="","",O732-N732)</f>
        <v>0</v>
      </c>
      <c r="V732" s="154">
        <f>IF(O732="","",O732-B732)</f>
        <v>2</v>
      </c>
      <c r="W732" s="154">
        <f>IF(O732="","",O732-L732)</f>
        <v>1</v>
      </c>
      <c r="X732" s="154">
        <f>IF(R732="","",R732-B732)</f>
        <v>2</v>
      </c>
    </row>
    <row r="733" spans="2:24" ht="17.25" hidden="1" customHeight="1">
      <c r="B733" s="23">
        <v>45756</v>
      </c>
      <c r="C733" s="7">
        <v>2003642433</v>
      </c>
      <c r="D733" s="20">
        <v>139095</v>
      </c>
      <c r="E733" s="27" t="s">
        <v>185</v>
      </c>
      <c r="F733" s="7" t="s">
        <v>107</v>
      </c>
      <c r="G733" s="7" t="s">
        <v>10</v>
      </c>
      <c r="H733" s="7" t="s">
        <v>45</v>
      </c>
      <c r="I733" s="20" t="s">
        <v>1235</v>
      </c>
      <c r="J733" s="20" t="s">
        <v>1236</v>
      </c>
      <c r="K733" s="7" t="s">
        <v>110</v>
      </c>
      <c r="L733" s="61">
        <v>45757</v>
      </c>
      <c r="M733" s="7" t="s">
        <v>111</v>
      </c>
      <c r="N733" s="24">
        <v>45758</v>
      </c>
      <c r="O733" s="58">
        <v>45761</v>
      </c>
      <c r="P733" s="59"/>
      <c r="Q733" s="124" t="e">
        <f>P733*#REF!</f>
        <v>#REF!</v>
      </c>
      <c r="R733" s="126">
        <v>45765</v>
      </c>
      <c r="S733" s="153">
        <f>IF(L733="","",L733-B733)</f>
        <v>1</v>
      </c>
      <c r="T733" s="153">
        <f>IF(N733="","",N733-L733)</f>
        <v>1</v>
      </c>
      <c r="U733" s="153">
        <f>IF(O733="","",O733-N733)</f>
        <v>3</v>
      </c>
      <c r="V733" s="154">
        <f>IF(O733="","",O733-B733)</f>
        <v>5</v>
      </c>
      <c r="W733" s="154">
        <f>IF(O733="","",O733-L733)</f>
        <v>4</v>
      </c>
      <c r="X733" s="154">
        <f>IF(R733="","",R733-B733)</f>
        <v>9</v>
      </c>
    </row>
    <row r="734" spans="2:24" ht="17.25" hidden="1" customHeight="1">
      <c r="B734" s="23">
        <v>45756</v>
      </c>
      <c r="C734" s="7">
        <v>2003630111</v>
      </c>
      <c r="D734" s="20">
        <v>138783</v>
      </c>
      <c r="E734" s="27" t="s">
        <v>112</v>
      </c>
      <c r="F734" s="7" t="s">
        <v>107</v>
      </c>
      <c r="G734" s="7" t="s">
        <v>15</v>
      </c>
      <c r="H734" s="7" t="s">
        <v>45</v>
      </c>
      <c r="I734" s="20" t="s">
        <v>1272</v>
      </c>
      <c r="J734" s="20" t="s">
        <v>1273</v>
      </c>
      <c r="K734" s="7" t="s">
        <v>110</v>
      </c>
      <c r="L734" s="61">
        <v>45761</v>
      </c>
      <c r="M734" s="7" t="s">
        <v>111</v>
      </c>
      <c r="N734" s="61">
        <v>45761</v>
      </c>
      <c r="O734" s="61">
        <v>45761</v>
      </c>
      <c r="P734" s="59"/>
      <c r="Q734" s="124" t="e">
        <f>P734*#REF!</f>
        <v>#REF!</v>
      </c>
      <c r="R734" s="126">
        <v>45770</v>
      </c>
      <c r="S734" s="153">
        <f>IF(L734="","",L734-B734)</f>
        <v>5</v>
      </c>
      <c r="T734" s="153">
        <f>IF(N734="","",N734-L734)</f>
        <v>0</v>
      </c>
      <c r="U734" s="153">
        <f>IF(O734="","",O734-N734)</f>
        <v>0</v>
      </c>
      <c r="V734" s="154">
        <f>IF(O734="","",O734-B734)</f>
        <v>5</v>
      </c>
      <c r="W734" s="154">
        <f>IF(O734="","",O734-L734)</f>
        <v>0</v>
      </c>
      <c r="X734" s="154">
        <f>IF(R734="","",R734-B734)</f>
        <v>14</v>
      </c>
    </row>
    <row r="735" spans="2:24" ht="17.25" hidden="1" customHeight="1">
      <c r="B735" s="23">
        <v>45756</v>
      </c>
      <c r="C735" s="7">
        <v>2003650134</v>
      </c>
      <c r="D735" s="20">
        <v>138263</v>
      </c>
      <c r="E735" s="27" t="s">
        <v>408</v>
      </c>
      <c r="F735" s="7" t="s">
        <v>107</v>
      </c>
      <c r="G735" s="7" t="s">
        <v>10</v>
      </c>
      <c r="H735" s="7" t="s">
        <v>45</v>
      </c>
      <c r="I735" s="20" t="s">
        <v>1007</v>
      </c>
      <c r="J735" s="20" t="s">
        <v>1274</v>
      </c>
      <c r="K735" s="7" t="s">
        <v>119</v>
      </c>
      <c r="L735" s="61">
        <v>45757</v>
      </c>
      <c r="M735" s="7" t="s">
        <v>111</v>
      </c>
      <c r="N735" s="24">
        <v>45758</v>
      </c>
      <c r="O735" s="24">
        <v>45758</v>
      </c>
      <c r="P735" s="59"/>
      <c r="Q735" s="124" t="e">
        <f>P735*#REF!</f>
        <v>#REF!</v>
      </c>
      <c r="R735" s="126">
        <v>45758</v>
      </c>
      <c r="S735" s="153">
        <f>IF(L735="","",L735-B735)</f>
        <v>1</v>
      </c>
      <c r="T735" s="153">
        <f>IF(N735="","",N735-L735)</f>
        <v>1</v>
      </c>
      <c r="U735" s="153">
        <f>IF(O735="","",O735-N735)</f>
        <v>0</v>
      </c>
      <c r="V735" s="154">
        <f>IF(O735="","",O735-B735)</f>
        <v>2</v>
      </c>
      <c r="W735" s="154">
        <f>IF(O735="","",O735-L735)</f>
        <v>1</v>
      </c>
      <c r="X735" s="154">
        <f>IF(R735="","",R735-B735)</f>
        <v>2</v>
      </c>
    </row>
    <row r="736" spans="2:24" ht="17.25" hidden="1" customHeight="1">
      <c r="B736" s="23">
        <v>45756</v>
      </c>
      <c r="C736" s="7">
        <v>2003655317</v>
      </c>
      <c r="D736" s="20">
        <v>138716</v>
      </c>
      <c r="E736" s="27" t="s">
        <v>116</v>
      </c>
      <c r="F736" s="7" t="s">
        <v>107</v>
      </c>
      <c r="G736" s="7" t="s">
        <v>10</v>
      </c>
      <c r="H736" s="7" t="s">
        <v>45</v>
      </c>
      <c r="I736" s="20" t="s">
        <v>1275</v>
      </c>
      <c r="J736" s="20" t="s">
        <v>1276</v>
      </c>
      <c r="K736" s="7" t="s">
        <v>119</v>
      </c>
      <c r="L736" s="61">
        <v>45758</v>
      </c>
      <c r="M736" s="7" t="s">
        <v>111</v>
      </c>
      <c r="N736" s="61">
        <v>45758</v>
      </c>
      <c r="O736" s="58">
        <v>45761</v>
      </c>
      <c r="P736" s="59"/>
      <c r="Q736" s="124" t="e">
        <f>P736*#REF!</f>
        <v>#REF!</v>
      </c>
      <c r="R736" s="126">
        <v>45762</v>
      </c>
      <c r="S736" s="153">
        <f>IF(L736="","",L736-B736)</f>
        <v>2</v>
      </c>
      <c r="T736" s="153">
        <f>IF(N736="","",N736-L736)</f>
        <v>0</v>
      </c>
      <c r="U736" s="153">
        <f>IF(O736="","",O736-N736)</f>
        <v>3</v>
      </c>
      <c r="V736" s="154">
        <f>IF(O736="","",O736-B736)</f>
        <v>5</v>
      </c>
      <c r="W736" s="154">
        <f>IF(O736="","",O736-L736)</f>
        <v>3</v>
      </c>
      <c r="X736" s="154">
        <f>IF(R736="","",R736-B736)</f>
        <v>6</v>
      </c>
    </row>
    <row r="737" spans="2:24" ht="17.25" hidden="1" customHeight="1">
      <c r="B737" s="23">
        <v>45756</v>
      </c>
      <c r="C737" s="7">
        <v>2003653443</v>
      </c>
      <c r="D737" s="20">
        <v>137995</v>
      </c>
      <c r="E737" s="27" t="s">
        <v>106</v>
      </c>
      <c r="F737" s="7" t="s">
        <v>107</v>
      </c>
      <c r="G737" s="7" t="s">
        <v>10</v>
      </c>
      <c r="H737" s="7" t="s">
        <v>45</v>
      </c>
      <c r="I737" s="20" t="s">
        <v>778</v>
      </c>
      <c r="J737" s="20" t="s">
        <v>1277</v>
      </c>
      <c r="K737" s="7" t="s">
        <v>110</v>
      </c>
      <c r="L737" s="61">
        <v>45761</v>
      </c>
      <c r="M737" s="7" t="s">
        <v>111</v>
      </c>
      <c r="N737" s="61">
        <v>45761</v>
      </c>
      <c r="O737" s="58">
        <v>45763</v>
      </c>
      <c r="P737" s="59"/>
      <c r="Q737" s="124" t="e">
        <f>P737*#REF!</f>
        <v>#REF!</v>
      </c>
      <c r="R737" s="126">
        <v>45770</v>
      </c>
      <c r="S737" s="153">
        <f>IF(L737="","",L737-B737)</f>
        <v>5</v>
      </c>
      <c r="T737" s="153">
        <f>IF(N737="","",N737-L737)</f>
        <v>0</v>
      </c>
      <c r="U737" s="153">
        <f>IF(O737="","",O737-N737)</f>
        <v>2</v>
      </c>
      <c r="V737" s="154">
        <f>IF(O737="","",O737-B737)</f>
        <v>7</v>
      </c>
      <c r="W737" s="154">
        <f>IF(O737="","",O737-L737)</f>
        <v>2</v>
      </c>
      <c r="X737" s="154">
        <f>IF(R737="","",R737-B737)</f>
        <v>14</v>
      </c>
    </row>
    <row r="738" spans="2:24" ht="17.25" hidden="1" customHeight="1">
      <c r="B738" s="23">
        <v>45757</v>
      </c>
      <c r="C738" s="7">
        <v>2003601509</v>
      </c>
      <c r="D738" s="20">
        <v>5886810</v>
      </c>
      <c r="E738" s="27" t="s">
        <v>568</v>
      </c>
      <c r="F738" s="7" t="s">
        <v>107</v>
      </c>
      <c r="G738" s="7" t="s">
        <v>166</v>
      </c>
      <c r="H738" s="7" t="s">
        <v>45</v>
      </c>
      <c r="I738" s="20" t="s">
        <v>981</v>
      </c>
      <c r="J738" s="20" t="s">
        <v>628</v>
      </c>
      <c r="K738" s="7" t="s">
        <v>119</v>
      </c>
      <c r="L738" s="61">
        <v>45758</v>
      </c>
      <c r="M738" s="7" t="s">
        <v>111</v>
      </c>
      <c r="N738" s="61">
        <v>45758</v>
      </c>
      <c r="O738" s="61">
        <v>45758</v>
      </c>
      <c r="P738" s="59"/>
      <c r="Q738" s="124" t="e">
        <f>P738*#REF!</f>
        <v>#REF!</v>
      </c>
      <c r="R738" s="126">
        <v>45758</v>
      </c>
      <c r="S738" s="153">
        <f>IF(L738="","",L738-B738)</f>
        <v>1</v>
      </c>
      <c r="T738" s="153">
        <f>IF(N738="","",N738-L738)</f>
        <v>0</v>
      </c>
      <c r="U738" s="153">
        <f>IF(O738="","",O738-N738)</f>
        <v>0</v>
      </c>
      <c r="V738" s="154">
        <f>IF(O738="","",O738-B738)</f>
        <v>1</v>
      </c>
      <c r="W738" s="154">
        <f>IF(O738="","",O738-L738)</f>
        <v>0</v>
      </c>
      <c r="X738" s="154">
        <f>IF(R738="","",R738-B738)</f>
        <v>1</v>
      </c>
    </row>
    <row r="739" spans="2:24" ht="17.25" hidden="1" customHeight="1">
      <c r="B739" s="23">
        <v>45757</v>
      </c>
      <c r="C739" s="7">
        <v>2003656330</v>
      </c>
      <c r="D739" s="20">
        <v>5886964</v>
      </c>
      <c r="E739" s="27" t="s">
        <v>135</v>
      </c>
      <c r="F739" s="7" t="s">
        <v>107</v>
      </c>
      <c r="G739" s="7" t="s">
        <v>15</v>
      </c>
      <c r="H739" s="7" t="s">
        <v>45</v>
      </c>
      <c r="I739" s="20" t="s">
        <v>1278</v>
      </c>
      <c r="J739" s="20" t="s">
        <v>1279</v>
      </c>
      <c r="K739" s="7" t="s">
        <v>119</v>
      </c>
      <c r="L739" s="61">
        <v>45762</v>
      </c>
      <c r="M739" s="7" t="s">
        <v>111</v>
      </c>
      <c r="N739" s="61">
        <v>45762</v>
      </c>
      <c r="O739" s="58">
        <v>45765</v>
      </c>
      <c r="P739" s="59"/>
      <c r="Q739" s="124" t="e">
        <f>P739*#REF!</f>
        <v>#REF!</v>
      </c>
      <c r="R739" s="126">
        <v>45765</v>
      </c>
      <c r="S739" s="153">
        <f>IF(L739="","",L739-B739)</f>
        <v>5</v>
      </c>
      <c r="T739" s="153">
        <f>IF(N739="","",N739-L739)</f>
        <v>0</v>
      </c>
      <c r="U739" s="153">
        <f>IF(O739="","",O739-N739)</f>
        <v>3</v>
      </c>
      <c r="V739" s="154">
        <f>IF(O739="","",O739-B739)</f>
        <v>8</v>
      </c>
      <c r="W739" s="154">
        <f>IF(O739="","",O739-L739)</f>
        <v>3</v>
      </c>
      <c r="X739" s="154">
        <f>IF(R739="","",R739-B739)</f>
        <v>8</v>
      </c>
    </row>
    <row r="740" spans="2:24" ht="17.25" hidden="1" customHeight="1">
      <c r="B740" s="23">
        <v>45757</v>
      </c>
      <c r="C740" s="7">
        <v>2003632290</v>
      </c>
      <c r="D740" s="20">
        <v>5887098</v>
      </c>
      <c r="E740" s="27" t="s">
        <v>177</v>
      </c>
      <c r="F740" s="7" t="s">
        <v>107</v>
      </c>
      <c r="G740" s="7" t="s">
        <v>18</v>
      </c>
      <c r="H740" s="7" t="s">
        <v>45</v>
      </c>
      <c r="I740" s="20" t="s">
        <v>1280</v>
      </c>
      <c r="J740" s="20" t="s">
        <v>1281</v>
      </c>
      <c r="K740" s="7" t="s">
        <v>119</v>
      </c>
      <c r="L740" s="61">
        <v>45762</v>
      </c>
      <c r="M740" s="7" t="s">
        <v>111</v>
      </c>
      <c r="N740" s="61">
        <v>45763</v>
      </c>
      <c r="O740" s="58">
        <v>45770</v>
      </c>
      <c r="P740" s="59"/>
      <c r="Q740" s="124" t="e">
        <f>P740*#REF!</f>
        <v>#REF!</v>
      </c>
      <c r="R740" s="126">
        <v>45771</v>
      </c>
      <c r="S740" s="153">
        <f>IF(L740="","",L740-B740)</f>
        <v>5</v>
      </c>
      <c r="T740" s="153">
        <f>IF(N740="","",N740-L740)</f>
        <v>1</v>
      </c>
      <c r="U740" s="153">
        <f>IF(O740="","",O740-N740)</f>
        <v>7</v>
      </c>
      <c r="V740" s="154">
        <f>IF(O740="","",O740-B740)</f>
        <v>13</v>
      </c>
      <c r="W740" s="154">
        <f>IF(O740="","",O740-L740)</f>
        <v>8</v>
      </c>
      <c r="X740" s="154">
        <f>IF(R740="","",R740-B740)</f>
        <v>14</v>
      </c>
    </row>
    <row r="741" spans="2:24" ht="17.25" hidden="1" customHeight="1">
      <c r="B741" s="23">
        <v>45750</v>
      </c>
      <c r="C741" s="7">
        <v>2003640098</v>
      </c>
      <c r="D741" s="20">
        <v>134125</v>
      </c>
      <c r="E741" s="27" t="s">
        <v>849</v>
      </c>
      <c r="F741" s="7" t="s">
        <v>107</v>
      </c>
      <c r="G741" s="7" t="s">
        <v>10</v>
      </c>
      <c r="H741" s="7" t="s">
        <v>45</v>
      </c>
      <c r="I741" s="20" t="s">
        <v>1282</v>
      </c>
      <c r="J741" s="20" t="s">
        <v>1283</v>
      </c>
      <c r="K741" s="7" t="s">
        <v>122</v>
      </c>
      <c r="L741" s="61">
        <v>45761</v>
      </c>
      <c r="M741" s="7" t="s">
        <v>111</v>
      </c>
      <c r="N741" s="61">
        <v>45768</v>
      </c>
      <c r="O741" s="58">
        <v>45770</v>
      </c>
      <c r="P741" s="59">
        <v>234</v>
      </c>
      <c r="Q741" s="124" t="e">
        <f>P741*#REF!</f>
        <v>#REF!</v>
      </c>
      <c r="R741" s="126">
        <v>45770</v>
      </c>
      <c r="S741" s="153">
        <f>IF(L741="","",L741-B741)</f>
        <v>11</v>
      </c>
      <c r="T741" s="153">
        <f>IF(N741="","",N741-L741)</f>
        <v>7</v>
      </c>
      <c r="U741" s="153">
        <f>IF(O741="","",O741-N741)</f>
        <v>2</v>
      </c>
      <c r="V741" s="154">
        <f>IF(O741="","",O741-B741)</f>
        <v>20</v>
      </c>
      <c r="W741" s="154">
        <f>IF(O741="","",O741-L741)</f>
        <v>9</v>
      </c>
      <c r="X741" s="154">
        <f>IF(R741="","",R741-B741)</f>
        <v>20</v>
      </c>
    </row>
    <row r="742" spans="2:24" ht="17.25" hidden="1" customHeight="1">
      <c r="B742" s="23">
        <v>45757</v>
      </c>
      <c r="C742" s="7">
        <v>2003657989</v>
      </c>
      <c r="D742" s="20">
        <v>5887212</v>
      </c>
      <c r="E742" s="27" t="s">
        <v>149</v>
      </c>
      <c r="F742" s="7" t="s">
        <v>107</v>
      </c>
      <c r="G742" s="7" t="s">
        <v>10</v>
      </c>
      <c r="H742" s="7" t="s">
        <v>45</v>
      </c>
      <c r="I742" s="20" t="s">
        <v>1284</v>
      </c>
      <c r="J742" s="20" t="s">
        <v>1285</v>
      </c>
      <c r="K742" s="7" t="s">
        <v>119</v>
      </c>
      <c r="L742" s="61">
        <v>45761</v>
      </c>
      <c r="M742" s="7" t="s">
        <v>111</v>
      </c>
      <c r="N742" s="61">
        <v>45761</v>
      </c>
      <c r="O742" s="61">
        <v>45761</v>
      </c>
      <c r="P742" s="59"/>
      <c r="Q742" s="124" t="e">
        <f>P742*#REF!</f>
        <v>#REF!</v>
      </c>
      <c r="R742" s="126">
        <v>45765</v>
      </c>
      <c r="S742" s="153">
        <f>IF(L742="","",L742-B742)</f>
        <v>4</v>
      </c>
      <c r="T742" s="153">
        <f>IF(N742="","",N742-L742)</f>
        <v>0</v>
      </c>
      <c r="U742" s="153">
        <f>IF(O742="","",O742-N742)</f>
        <v>0</v>
      </c>
      <c r="V742" s="154">
        <f>IF(O742="","",O742-B742)</f>
        <v>4</v>
      </c>
      <c r="W742" s="154">
        <f>IF(O742="","",O742-L742)</f>
        <v>0</v>
      </c>
      <c r="X742" s="154">
        <f>IF(R742="","",R742-B742)</f>
        <v>8</v>
      </c>
    </row>
    <row r="743" spans="2:24" ht="17.25" hidden="1" customHeight="1">
      <c r="B743" s="23">
        <v>45757</v>
      </c>
      <c r="C743" s="7">
        <v>2003656741</v>
      </c>
      <c r="D743" s="20">
        <v>5887329</v>
      </c>
      <c r="E743" s="27" t="s">
        <v>123</v>
      </c>
      <c r="F743" s="7" t="s">
        <v>107</v>
      </c>
      <c r="G743" s="7" t="s">
        <v>10</v>
      </c>
      <c r="H743" s="7" t="s">
        <v>45</v>
      </c>
      <c r="I743" s="20" t="s">
        <v>1286</v>
      </c>
      <c r="J743" s="20" t="s">
        <v>1287</v>
      </c>
      <c r="K743" s="7" t="s">
        <v>119</v>
      </c>
      <c r="L743" s="61">
        <v>45761</v>
      </c>
      <c r="M743" s="7" t="s">
        <v>111</v>
      </c>
      <c r="N743" s="24">
        <v>45770</v>
      </c>
      <c r="O743" s="61">
        <v>45771</v>
      </c>
      <c r="P743" s="59"/>
      <c r="Q743" s="124" t="e">
        <f>P743*#REF!</f>
        <v>#REF!</v>
      </c>
      <c r="R743" s="126">
        <v>45772</v>
      </c>
      <c r="S743" s="153">
        <f>IF(L743="","",L743-B743)</f>
        <v>4</v>
      </c>
      <c r="T743" s="153">
        <f>IF(N743="","",N743-L743)</f>
        <v>9</v>
      </c>
      <c r="U743" s="153">
        <f>IF(O743="","",O743-N743)</f>
        <v>1</v>
      </c>
      <c r="V743" s="154">
        <f>IF(O743="","",O743-B743)</f>
        <v>14</v>
      </c>
      <c r="W743" s="154">
        <f>IF(O743="","",O743-L743)</f>
        <v>10</v>
      </c>
      <c r="X743" s="154">
        <f>IF(R743="","",R743-B743)</f>
        <v>15</v>
      </c>
    </row>
    <row r="744" spans="2:24" ht="17.25" hidden="1" customHeight="1">
      <c r="B744" s="23">
        <v>45757</v>
      </c>
      <c r="C744" s="7">
        <v>2003618546</v>
      </c>
      <c r="D744" s="20">
        <v>5887370</v>
      </c>
      <c r="E744" s="27" t="s">
        <v>185</v>
      </c>
      <c r="F744" s="7" t="s">
        <v>107</v>
      </c>
      <c r="G744" s="7" t="s">
        <v>10</v>
      </c>
      <c r="H744" s="7" t="s">
        <v>45</v>
      </c>
      <c r="I744" s="20" t="s">
        <v>618</v>
      </c>
      <c r="J744" s="20" t="s">
        <v>1288</v>
      </c>
      <c r="K744" s="7" t="s">
        <v>119</v>
      </c>
      <c r="L744" s="61">
        <v>45758</v>
      </c>
      <c r="M744" s="7" t="s">
        <v>111</v>
      </c>
      <c r="N744" s="61">
        <v>45758</v>
      </c>
      <c r="O744" s="61">
        <v>45758</v>
      </c>
      <c r="P744" s="59"/>
      <c r="Q744" s="124" t="e">
        <f>P744*#REF!</f>
        <v>#REF!</v>
      </c>
      <c r="R744" s="126">
        <v>45758</v>
      </c>
      <c r="S744" s="153">
        <f>IF(L744="","",L744-B744)</f>
        <v>1</v>
      </c>
      <c r="T744" s="153">
        <f>IF(N744="","",N744-L744)</f>
        <v>0</v>
      </c>
      <c r="U744" s="153">
        <f>IF(O744="","",O744-N744)</f>
        <v>0</v>
      </c>
      <c r="V744" s="154">
        <f>IF(O744="","",O744-B744)</f>
        <v>1</v>
      </c>
      <c r="W744" s="154">
        <f>IF(O744="","",O744-L744)</f>
        <v>0</v>
      </c>
      <c r="X744" s="154">
        <f>IF(R744="","",R744-B744)</f>
        <v>1</v>
      </c>
    </row>
    <row r="745" spans="2:24" ht="17.25" hidden="1" customHeight="1">
      <c r="B745" s="23">
        <v>45757</v>
      </c>
      <c r="C745" s="7">
        <v>2003656097</v>
      </c>
      <c r="D745" s="20">
        <v>5887485</v>
      </c>
      <c r="E745" s="27" t="s">
        <v>106</v>
      </c>
      <c r="F745" s="7" t="s">
        <v>107</v>
      </c>
      <c r="G745" s="7" t="s">
        <v>10</v>
      </c>
      <c r="H745" s="7" t="s">
        <v>45</v>
      </c>
      <c r="I745" s="20" t="s">
        <v>1289</v>
      </c>
      <c r="J745" s="20" t="s">
        <v>1290</v>
      </c>
      <c r="K745" s="7" t="s">
        <v>110</v>
      </c>
      <c r="L745" s="61">
        <v>45763</v>
      </c>
      <c r="M745" s="7" t="s">
        <v>111</v>
      </c>
      <c r="N745" s="61">
        <v>45763</v>
      </c>
      <c r="O745" s="58">
        <v>45768</v>
      </c>
      <c r="P745" s="59">
        <v>83.4</v>
      </c>
      <c r="Q745" s="124" t="e">
        <f>P745*#REF!</f>
        <v>#REF!</v>
      </c>
      <c r="R745" s="126">
        <v>45770</v>
      </c>
      <c r="S745" s="153">
        <f>IF(L745="","",L745-B745)</f>
        <v>6</v>
      </c>
      <c r="T745" s="153">
        <f>IF(N745="","",N745-L745)</f>
        <v>0</v>
      </c>
      <c r="U745" s="153">
        <f>IF(O745="","",O745-N745)</f>
        <v>5</v>
      </c>
      <c r="V745" s="154">
        <f>IF(O745="","",O745-B745)</f>
        <v>11</v>
      </c>
      <c r="W745" s="154">
        <f>IF(O745="","",O745-L745)</f>
        <v>5</v>
      </c>
      <c r="X745" s="154">
        <f>IF(R745="","",R745-B745)</f>
        <v>13</v>
      </c>
    </row>
    <row r="746" spans="2:24" ht="17.25" hidden="1" customHeight="1">
      <c r="B746" s="23">
        <v>45757</v>
      </c>
      <c r="C746" s="7">
        <v>2003656373</v>
      </c>
      <c r="D746" s="20">
        <v>5887529</v>
      </c>
      <c r="E746" s="27" t="s">
        <v>157</v>
      </c>
      <c r="F746" s="7" t="s">
        <v>107</v>
      </c>
      <c r="G746" s="7" t="s">
        <v>15</v>
      </c>
      <c r="H746" s="7" t="s">
        <v>45</v>
      </c>
      <c r="I746" s="20" t="s">
        <v>1291</v>
      </c>
      <c r="J746" s="20" t="s">
        <v>1292</v>
      </c>
      <c r="K746" s="7" t="s">
        <v>119</v>
      </c>
      <c r="L746" s="61">
        <v>45761</v>
      </c>
      <c r="M746" s="7" t="s">
        <v>111</v>
      </c>
      <c r="N746" s="61">
        <v>45761</v>
      </c>
      <c r="O746" s="58">
        <v>45763</v>
      </c>
      <c r="P746" s="59"/>
      <c r="Q746" s="124" t="e">
        <f>P746*#REF!</f>
        <v>#REF!</v>
      </c>
      <c r="R746" s="126">
        <v>45765</v>
      </c>
      <c r="S746" s="153">
        <f>IF(L746="","",L746-B746)</f>
        <v>4</v>
      </c>
      <c r="T746" s="153">
        <f>IF(N746="","",N746-L746)</f>
        <v>0</v>
      </c>
      <c r="U746" s="153">
        <f>IF(O746="","",O746-N746)</f>
        <v>2</v>
      </c>
      <c r="V746" s="154">
        <f>IF(O746="","",O746-B746)</f>
        <v>6</v>
      </c>
      <c r="W746" s="154">
        <f>IF(O746="","",O746-L746)</f>
        <v>2</v>
      </c>
      <c r="X746" s="154">
        <f>IF(R746="","",R746-B746)</f>
        <v>8</v>
      </c>
    </row>
    <row r="747" spans="2:24" ht="17.25" hidden="1" customHeight="1">
      <c r="B747" s="23">
        <v>45757</v>
      </c>
      <c r="C747" s="7">
        <v>2003522378</v>
      </c>
      <c r="D747" s="20">
        <v>5887531</v>
      </c>
      <c r="E747" s="27" t="s">
        <v>191</v>
      </c>
      <c r="F747" s="7" t="s">
        <v>107</v>
      </c>
      <c r="G747" s="7" t="s">
        <v>26</v>
      </c>
      <c r="H747" s="7" t="s">
        <v>45</v>
      </c>
      <c r="I747" s="20" t="s">
        <v>374</v>
      </c>
      <c r="J747" s="20" t="s">
        <v>1293</v>
      </c>
      <c r="K747" s="7" t="s">
        <v>110</v>
      </c>
      <c r="L747" s="61">
        <v>45761</v>
      </c>
      <c r="M747" s="7" t="s">
        <v>111</v>
      </c>
      <c r="N747" s="24">
        <v>45770</v>
      </c>
      <c r="O747" s="58">
        <v>45770</v>
      </c>
      <c r="P747" s="59"/>
      <c r="Q747" s="124" t="e">
        <f>P747*#REF!</f>
        <v>#REF!</v>
      </c>
      <c r="R747" s="126">
        <v>45770</v>
      </c>
      <c r="S747" s="153">
        <f>IF(L747="","",L747-B747)</f>
        <v>4</v>
      </c>
      <c r="T747" s="153">
        <f>IF(N747="","",N747-L747)</f>
        <v>9</v>
      </c>
      <c r="U747" s="153">
        <f>IF(O747="","",O747-N747)</f>
        <v>0</v>
      </c>
      <c r="V747" s="154">
        <f>IF(O747="","",O747-B747)</f>
        <v>13</v>
      </c>
      <c r="W747" s="154">
        <f>IF(O747="","",O747-L747)</f>
        <v>9</v>
      </c>
      <c r="X747" s="154">
        <f>IF(R747="","",R747-B747)</f>
        <v>13</v>
      </c>
    </row>
    <row r="748" spans="2:24" ht="17.25" hidden="1" customHeight="1">
      <c r="B748" s="23">
        <v>45757</v>
      </c>
      <c r="C748" s="7">
        <v>2003655889</v>
      </c>
      <c r="D748" s="20">
        <v>5887565</v>
      </c>
      <c r="E748" s="27" t="s">
        <v>1225</v>
      </c>
      <c r="F748" s="7" t="s">
        <v>107</v>
      </c>
      <c r="G748" s="7" t="s">
        <v>10</v>
      </c>
      <c r="H748" s="7" t="s">
        <v>45</v>
      </c>
      <c r="I748" s="20" t="s">
        <v>1294</v>
      </c>
      <c r="J748" s="20" t="s">
        <v>1295</v>
      </c>
      <c r="K748" s="7" t="s">
        <v>110</v>
      </c>
      <c r="L748" s="61">
        <v>45761</v>
      </c>
      <c r="M748" s="7" t="s">
        <v>111</v>
      </c>
      <c r="N748" s="61">
        <v>45761</v>
      </c>
      <c r="O748" s="58">
        <v>45763</v>
      </c>
      <c r="P748" s="59"/>
      <c r="Q748" s="124" t="e">
        <f>P748*#REF!</f>
        <v>#REF!</v>
      </c>
      <c r="R748" s="126">
        <v>45765</v>
      </c>
      <c r="S748" s="153">
        <f>IF(L748="","",L748-B748)</f>
        <v>4</v>
      </c>
      <c r="T748" s="153">
        <f>IF(N748="","",N748-L748)</f>
        <v>0</v>
      </c>
      <c r="U748" s="153">
        <f>IF(O748="","",O748-N748)</f>
        <v>2</v>
      </c>
      <c r="V748" s="154">
        <f>IF(O748="","",O748-B748)</f>
        <v>6</v>
      </c>
      <c r="W748" s="154">
        <f>IF(O748="","",O748-L748)</f>
        <v>2</v>
      </c>
      <c r="X748" s="154">
        <f>IF(R748="","",R748-B748)</f>
        <v>8</v>
      </c>
    </row>
    <row r="749" spans="2:24" ht="17.25" hidden="1" customHeight="1">
      <c r="B749" s="23">
        <v>45757</v>
      </c>
      <c r="C749" s="7">
        <v>2003587637</v>
      </c>
      <c r="D749" s="20">
        <v>140193</v>
      </c>
      <c r="E749" s="27" t="s">
        <v>123</v>
      </c>
      <c r="F749" s="7" t="s">
        <v>107</v>
      </c>
      <c r="G749" s="7" t="s">
        <v>26</v>
      </c>
      <c r="H749" s="7" t="s">
        <v>45</v>
      </c>
      <c r="I749" s="20" t="s">
        <v>462</v>
      </c>
      <c r="J749" s="20" t="s">
        <v>463</v>
      </c>
      <c r="K749" s="7" t="s">
        <v>119</v>
      </c>
      <c r="L749" s="61">
        <v>45762</v>
      </c>
      <c r="M749" s="7" t="s">
        <v>111</v>
      </c>
      <c r="N749" s="24">
        <v>45770</v>
      </c>
      <c r="O749" s="58">
        <v>45770</v>
      </c>
      <c r="P749" s="59"/>
      <c r="Q749" s="124" t="e">
        <f>P749*#REF!</f>
        <v>#REF!</v>
      </c>
      <c r="R749" s="126">
        <v>45770</v>
      </c>
      <c r="S749" s="153">
        <f>IF(L749="","",L749-B749)</f>
        <v>5</v>
      </c>
      <c r="T749" s="153">
        <f>IF(N749="","",N749-L749)</f>
        <v>8</v>
      </c>
      <c r="U749" s="153">
        <f>IF(O749="","",O749-N749)</f>
        <v>0</v>
      </c>
      <c r="V749" s="154">
        <f>IF(O749="","",O749-B749)</f>
        <v>13</v>
      </c>
      <c r="W749" s="154">
        <f>IF(O749="","",O749-L749)</f>
        <v>8</v>
      </c>
      <c r="X749" s="154">
        <f>IF(R749="","",R749-B749)</f>
        <v>13</v>
      </c>
    </row>
    <row r="750" spans="2:24" ht="17.25" hidden="1" customHeight="1">
      <c r="B750" s="23">
        <v>45758</v>
      </c>
      <c r="C750" s="7">
        <v>2003642911</v>
      </c>
      <c r="D750" s="20">
        <v>5888054</v>
      </c>
      <c r="E750" s="27" t="s">
        <v>138</v>
      </c>
      <c r="F750" s="7" t="s">
        <v>107</v>
      </c>
      <c r="G750" s="7" t="s">
        <v>26</v>
      </c>
      <c r="H750" s="7" t="s">
        <v>45</v>
      </c>
      <c r="I750" s="20" t="s">
        <v>1296</v>
      </c>
      <c r="J750" s="20" t="s">
        <v>1297</v>
      </c>
      <c r="K750" s="7" t="s">
        <v>119</v>
      </c>
      <c r="L750" s="61">
        <v>45761</v>
      </c>
      <c r="M750" s="7" t="s">
        <v>111</v>
      </c>
      <c r="N750" s="24">
        <v>45765</v>
      </c>
      <c r="O750" s="58">
        <v>45765</v>
      </c>
      <c r="P750" s="59"/>
      <c r="Q750" s="124" t="e">
        <f>P750*#REF!</f>
        <v>#REF!</v>
      </c>
      <c r="R750" s="126">
        <v>45765</v>
      </c>
      <c r="S750" s="153">
        <f>IF(L750="","",L750-B750)</f>
        <v>3</v>
      </c>
      <c r="T750" s="153">
        <f>IF(N750="","",N750-L750)</f>
        <v>4</v>
      </c>
      <c r="U750" s="153">
        <f>IF(O750="","",O750-N750)</f>
        <v>0</v>
      </c>
      <c r="V750" s="154">
        <f>IF(O750="","",O750-B750)</f>
        <v>7</v>
      </c>
      <c r="W750" s="154">
        <f>IF(O750="","",O750-L750)</f>
        <v>4</v>
      </c>
      <c r="X750" s="154">
        <f>IF(R750="","",R750-B750)</f>
        <v>7</v>
      </c>
    </row>
    <row r="751" spans="2:24" ht="17.25" hidden="1" customHeight="1">
      <c r="B751" s="23">
        <v>45758</v>
      </c>
      <c r="C751" s="7">
        <v>2003654473</v>
      </c>
      <c r="D751" s="20">
        <v>141097</v>
      </c>
      <c r="E751" s="27" t="s">
        <v>230</v>
      </c>
      <c r="F751" s="7" t="s">
        <v>107</v>
      </c>
      <c r="G751" s="7" t="s">
        <v>18</v>
      </c>
      <c r="H751" s="7" t="s">
        <v>45</v>
      </c>
      <c r="I751" s="20" t="s">
        <v>1298</v>
      </c>
      <c r="J751" s="20" t="s">
        <v>1299</v>
      </c>
      <c r="K751" s="7" t="s">
        <v>122</v>
      </c>
      <c r="L751" s="61">
        <v>45762</v>
      </c>
      <c r="M751" s="7" t="s">
        <v>111</v>
      </c>
      <c r="N751" s="61">
        <v>45768</v>
      </c>
      <c r="O751" s="58">
        <v>45770</v>
      </c>
      <c r="P751" s="59"/>
      <c r="Q751" s="124" t="e">
        <f>P751*#REF!</f>
        <v>#REF!</v>
      </c>
      <c r="R751" s="126">
        <v>45771</v>
      </c>
      <c r="S751" s="153">
        <f>IF(L751="","",L751-B751)</f>
        <v>4</v>
      </c>
      <c r="T751" s="153">
        <f>IF(N751="","",N751-L751)</f>
        <v>6</v>
      </c>
      <c r="U751" s="153">
        <f>IF(O751="","",O751-N751)</f>
        <v>2</v>
      </c>
      <c r="V751" s="154">
        <f>IF(O751="","",O751-B751)</f>
        <v>12</v>
      </c>
      <c r="W751" s="154">
        <f>IF(O751="","",O751-L751)</f>
        <v>8</v>
      </c>
      <c r="X751" s="154">
        <f>IF(R751="","",R751-B751)</f>
        <v>13</v>
      </c>
    </row>
    <row r="752" spans="2:24" ht="17.25" hidden="1" customHeight="1">
      <c r="B752" s="23">
        <v>45758</v>
      </c>
      <c r="C752" s="7">
        <v>2003639243</v>
      </c>
      <c r="D752" s="20">
        <v>5888372</v>
      </c>
      <c r="E752" s="27" t="s">
        <v>408</v>
      </c>
      <c r="F752" s="7" t="s">
        <v>107</v>
      </c>
      <c r="G752" s="7" t="s">
        <v>26</v>
      </c>
      <c r="H752" s="7" t="s">
        <v>45</v>
      </c>
      <c r="I752" s="20" t="s">
        <v>623</v>
      </c>
      <c r="J752" s="20" t="s">
        <v>1300</v>
      </c>
      <c r="K752" s="7" t="s">
        <v>110</v>
      </c>
      <c r="L752" s="61">
        <v>45768</v>
      </c>
      <c r="M752" s="7" t="s">
        <v>111</v>
      </c>
      <c r="N752" s="24">
        <v>45765</v>
      </c>
      <c r="O752" s="58">
        <v>45765</v>
      </c>
      <c r="P752" s="59"/>
      <c r="Q752" s="124" t="e">
        <f>P752*#REF!</f>
        <v>#REF!</v>
      </c>
      <c r="R752" s="126">
        <v>45765</v>
      </c>
      <c r="S752" s="153">
        <f>IF(L752="","",L752-B752)</f>
        <v>10</v>
      </c>
      <c r="T752" s="153">
        <f>IF(N752="","",N752-L752)</f>
        <v>-3</v>
      </c>
      <c r="U752" s="153">
        <f>IF(O752="","",O752-N752)</f>
        <v>0</v>
      </c>
      <c r="V752" s="154">
        <f>IF(O752="","",O752-B752)</f>
        <v>7</v>
      </c>
      <c r="W752" s="154">
        <f>IF(O752="","",O752-L752)</f>
        <v>-3</v>
      </c>
      <c r="X752" s="154">
        <f>IF(R752="","",R752-B752)</f>
        <v>7</v>
      </c>
    </row>
    <row r="753" spans="2:24" ht="17.25" hidden="1" customHeight="1">
      <c r="B753" s="23">
        <v>45758</v>
      </c>
      <c r="C753" s="7">
        <v>2003586127</v>
      </c>
      <c r="D753" s="20">
        <v>5888457</v>
      </c>
      <c r="E753" s="27" t="s">
        <v>568</v>
      </c>
      <c r="F753" s="7" t="s">
        <v>107</v>
      </c>
      <c r="G753" s="7" t="s">
        <v>26</v>
      </c>
      <c r="H753" s="7" t="s">
        <v>45</v>
      </c>
      <c r="I753" s="20" t="s">
        <v>387</v>
      </c>
      <c r="J753" s="20" t="s">
        <v>1301</v>
      </c>
      <c r="K753" s="7" t="s">
        <v>110</v>
      </c>
      <c r="L753" s="61">
        <v>45762</v>
      </c>
      <c r="M753" s="7" t="s">
        <v>111</v>
      </c>
      <c r="N753" s="24">
        <v>45765</v>
      </c>
      <c r="O753" s="58">
        <v>45765</v>
      </c>
      <c r="P753" s="59"/>
      <c r="Q753" s="124" t="e">
        <f>P753*#REF!</f>
        <v>#REF!</v>
      </c>
      <c r="R753" s="126">
        <v>45765</v>
      </c>
      <c r="S753" s="153">
        <f>IF(L753="","",L753-B753)</f>
        <v>4</v>
      </c>
      <c r="T753" s="153">
        <f>IF(N753="","",N753-L753)</f>
        <v>3</v>
      </c>
      <c r="U753" s="153">
        <f>IF(O753="","",O753-N753)</f>
        <v>0</v>
      </c>
      <c r="V753" s="154">
        <f>IF(O753="","",O753-B753)</f>
        <v>7</v>
      </c>
      <c r="W753" s="154">
        <f>IF(O753="","",O753-L753)</f>
        <v>3</v>
      </c>
      <c r="X753" s="154">
        <f>IF(R753="","",R753-B753)</f>
        <v>7</v>
      </c>
    </row>
    <row r="754" spans="2:24" ht="17.25" hidden="1" customHeight="1">
      <c r="B754" s="23">
        <v>45758</v>
      </c>
      <c r="C754" s="7">
        <v>2003657909</v>
      </c>
      <c r="D754" s="20">
        <v>5888743</v>
      </c>
      <c r="E754" s="27" t="s">
        <v>191</v>
      </c>
      <c r="F754" s="7" t="s">
        <v>107</v>
      </c>
      <c r="G754" s="7" t="s">
        <v>10</v>
      </c>
      <c r="H754" s="7" t="s">
        <v>45</v>
      </c>
      <c r="I754" s="20" t="s">
        <v>1302</v>
      </c>
      <c r="J754" s="20" t="s">
        <v>1303</v>
      </c>
      <c r="K754" s="7" t="s">
        <v>110</v>
      </c>
      <c r="L754" s="61">
        <v>45763</v>
      </c>
      <c r="M754" s="7" t="s">
        <v>111</v>
      </c>
      <c r="N754" s="24">
        <v>45763</v>
      </c>
      <c r="O754" s="58">
        <v>45768</v>
      </c>
      <c r="P754" s="59"/>
      <c r="Q754" s="124" t="e">
        <f>P754*#REF!</f>
        <v>#REF!</v>
      </c>
      <c r="R754" s="126">
        <v>45770</v>
      </c>
      <c r="S754" s="153">
        <f>IF(L754="","",L754-B754)</f>
        <v>5</v>
      </c>
      <c r="T754" s="153">
        <f>IF(N754="","",N754-L754)</f>
        <v>0</v>
      </c>
      <c r="U754" s="153">
        <f>IF(O754="","",O754-N754)</f>
        <v>5</v>
      </c>
      <c r="V754" s="154">
        <f>IF(O754="","",O754-B754)</f>
        <v>10</v>
      </c>
      <c r="W754" s="154">
        <f>IF(O754="","",O754-L754)</f>
        <v>5</v>
      </c>
      <c r="X754" s="154">
        <f>IF(R754="","",R754-B754)</f>
        <v>12</v>
      </c>
    </row>
    <row r="755" spans="2:24" ht="17.25" hidden="1" customHeight="1">
      <c r="B755" s="23">
        <v>45758</v>
      </c>
      <c r="C755" s="7">
        <v>2003647795</v>
      </c>
      <c r="D755" s="20">
        <v>5888810</v>
      </c>
      <c r="E755" s="27" t="s">
        <v>149</v>
      </c>
      <c r="F755" s="7" t="s">
        <v>107</v>
      </c>
      <c r="G755" s="7" t="s">
        <v>10</v>
      </c>
      <c r="H755" s="7" t="s">
        <v>45</v>
      </c>
      <c r="I755" s="20" t="s">
        <v>385</v>
      </c>
      <c r="J755" s="20" t="s">
        <v>1304</v>
      </c>
      <c r="K755" s="7" t="s">
        <v>119</v>
      </c>
      <c r="L755" s="61">
        <v>45763</v>
      </c>
      <c r="M755" s="7" t="s">
        <v>111</v>
      </c>
      <c r="N755" s="61">
        <v>45763</v>
      </c>
      <c r="O755" s="58">
        <v>45768</v>
      </c>
      <c r="P755" s="59"/>
      <c r="Q755" s="124" t="e">
        <f>P755*#REF!</f>
        <v>#REF!</v>
      </c>
      <c r="R755" s="126">
        <v>45770</v>
      </c>
      <c r="S755" s="153">
        <f>IF(L755="","",L755-B755)</f>
        <v>5</v>
      </c>
      <c r="T755" s="153">
        <f>IF(N755="","",N755-L755)</f>
        <v>0</v>
      </c>
      <c r="U755" s="153">
        <f>IF(O755="","",O755-N755)</f>
        <v>5</v>
      </c>
      <c r="V755" s="154">
        <f>IF(O755="","",O755-B755)</f>
        <v>10</v>
      </c>
      <c r="W755" s="154">
        <f>IF(O755="","",O755-L755)</f>
        <v>5</v>
      </c>
      <c r="X755" s="154">
        <f>IF(R755="","",R755-B755)</f>
        <v>12</v>
      </c>
    </row>
    <row r="756" spans="2:24" ht="17.25" hidden="1" customHeight="1">
      <c r="B756" s="23">
        <v>45758</v>
      </c>
      <c r="C756" s="7">
        <v>2003654015</v>
      </c>
      <c r="D756" s="20">
        <v>5888828</v>
      </c>
      <c r="E756" s="27" t="s">
        <v>138</v>
      </c>
      <c r="F756" s="7" t="s">
        <v>107</v>
      </c>
      <c r="G756" s="7" t="s">
        <v>10</v>
      </c>
      <c r="H756" s="7" t="s">
        <v>45</v>
      </c>
      <c r="I756" s="20" t="s">
        <v>239</v>
      </c>
      <c r="J756" s="20" t="s">
        <v>1305</v>
      </c>
      <c r="K756" s="7" t="s">
        <v>119</v>
      </c>
      <c r="L756" s="61">
        <v>45763</v>
      </c>
      <c r="M756" s="7" t="s">
        <v>111</v>
      </c>
      <c r="N756" s="24">
        <v>45768</v>
      </c>
      <c r="O756" s="24">
        <v>45768</v>
      </c>
      <c r="P756" s="59"/>
      <c r="Q756" s="124" t="e">
        <f>P756*#REF!</f>
        <v>#REF!</v>
      </c>
      <c r="R756" s="126">
        <v>45770</v>
      </c>
      <c r="S756" s="153">
        <f>IF(L756="","",L756-B756)</f>
        <v>5</v>
      </c>
      <c r="T756" s="153">
        <f>IF(N756="","",N756-L756)</f>
        <v>5</v>
      </c>
      <c r="U756" s="153">
        <f>IF(O756="","",O756-N756)</f>
        <v>0</v>
      </c>
      <c r="V756" s="154">
        <f>IF(O756="","",O756-B756)</f>
        <v>10</v>
      </c>
      <c r="W756" s="154">
        <f>IF(O756="","",O756-L756)</f>
        <v>5</v>
      </c>
      <c r="X756" s="154">
        <f>IF(R756="","",R756-B756)</f>
        <v>12</v>
      </c>
    </row>
    <row r="757" spans="2:24" ht="17.25" hidden="1" customHeight="1">
      <c r="B757" s="23">
        <v>45758</v>
      </c>
      <c r="C757" s="7">
        <v>2003645832</v>
      </c>
      <c r="D757" s="20">
        <v>5888109</v>
      </c>
      <c r="E757" s="27" t="s">
        <v>201</v>
      </c>
      <c r="F757" s="7" t="s">
        <v>107</v>
      </c>
      <c r="G757" s="7" t="s">
        <v>18</v>
      </c>
      <c r="H757" s="7" t="s">
        <v>45</v>
      </c>
      <c r="I757" s="20" t="s">
        <v>1306</v>
      </c>
      <c r="J757" s="20" t="s">
        <v>1307</v>
      </c>
      <c r="K757" s="7" t="s">
        <v>122</v>
      </c>
      <c r="L757" s="61">
        <v>45768</v>
      </c>
      <c r="M757" s="7" t="s">
        <v>111</v>
      </c>
      <c r="N757" s="61">
        <v>45768</v>
      </c>
      <c r="O757" s="58">
        <v>45770</v>
      </c>
      <c r="P757" s="59"/>
      <c r="Q757" s="124" t="e">
        <f>P757*#REF!</f>
        <v>#REF!</v>
      </c>
      <c r="R757" s="126">
        <v>45771</v>
      </c>
      <c r="S757" s="153">
        <f>IF(L757="","",L757-B757)</f>
        <v>10</v>
      </c>
      <c r="T757" s="153">
        <f>IF(N757="","",N757-L757)</f>
        <v>0</v>
      </c>
      <c r="U757" s="153">
        <f>IF(O757="","",O757-N757)</f>
        <v>2</v>
      </c>
      <c r="V757" s="154">
        <f>IF(O757="","",O757-B757)</f>
        <v>12</v>
      </c>
      <c r="W757" s="154">
        <f>IF(O757="","",O757-L757)</f>
        <v>2</v>
      </c>
      <c r="X757" s="154">
        <f>IF(R757="","",R757-B757)</f>
        <v>13</v>
      </c>
    </row>
    <row r="758" spans="2:24" ht="17.25" hidden="1" customHeight="1">
      <c r="B758" s="23">
        <v>45761</v>
      </c>
      <c r="C758" s="7">
        <v>2003653586</v>
      </c>
      <c r="D758" s="20">
        <v>5889341</v>
      </c>
      <c r="E758" s="27" t="s">
        <v>123</v>
      </c>
      <c r="F758" s="7" t="s">
        <v>107</v>
      </c>
      <c r="G758" s="7" t="s">
        <v>10</v>
      </c>
      <c r="H758" s="7" t="s">
        <v>45</v>
      </c>
      <c r="I758" s="20" t="s">
        <v>1308</v>
      </c>
      <c r="J758" s="20" t="s">
        <v>1309</v>
      </c>
      <c r="K758" s="7" t="s">
        <v>119</v>
      </c>
      <c r="L758" s="61">
        <v>45763</v>
      </c>
      <c r="M758" s="7" t="s">
        <v>111</v>
      </c>
      <c r="N758" s="61">
        <v>45763</v>
      </c>
      <c r="O758" s="58">
        <v>45768</v>
      </c>
      <c r="P758" s="59"/>
      <c r="Q758" s="124" t="e">
        <f>P758*#REF!</f>
        <v>#REF!</v>
      </c>
      <c r="R758" s="126">
        <v>45770</v>
      </c>
      <c r="S758" s="153">
        <f>IF(L758="","",L758-B758)</f>
        <v>2</v>
      </c>
      <c r="T758" s="153">
        <f>IF(N758="","",N758-L758)</f>
        <v>0</v>
      </c>
      <c r="U758" s="153">
        <f>IF(O758="","",O758-N758)</f>
        <v>5</v>
      </c>
      <c r="V758" s="154">
        <f>IF(O758="","",O758-B758)</f>
        <v>7</v>
      </c>
      <c r="W758" s="154">
        <f>IF(O758="","",O758-L758)</f>
        <v>5</v>
      </c>
      <c r="X758" s="154">
        <f>IF(R758="","",R758-B758)</f>
        <v>9</v>
      </c>
    </row>
    <row r="759" spans="2:24" ht="17.25" hidden="1" customHeight="1">
      <c r="B759" s="23">
        <v>45761</v>
      </c>
      <c r="C759" s="7">
        <v>2003636039</v>
      </c>
      <c r="D759" s="20">
        <v>5889521</v>
      </c>
      <c r="E759" s="27" t="s">
        <v>185</v>
      </c>
      <c r="F759" s="7" t="s">
        <v>107</v>
      </c>
      <c r="G759" s="7" t="s">
        <v>10</v>
      </c>
      <c r="H759" s="7" t="s">
        <v>45</v>
      </c>
      <c r="I759" s="20" t="s">
        <v>1310</v>
      </c>
      <c r="J759" s="20" t="s">
        <v>1311</v>
      </c>
      <c r="K759" s="7" t="s">
        <v>110</v>
      </c>
      <c r="L759" s="61">
        <v>45771</v>
      </c>
      <c r="M759" s="7" t="s">
        <v>111</v>
      </c>
      <c r="N759" s="61">
        <v>45771</v>
      </c>
      <c r="O759" s="58">
        <v>45773</v>
      </c>
      <c r="P759" s="59"/>
      <c r="Q759" s="124" t="e">
        <f>P759*#REF!</f>
        <v>#REF!</v>
      </c>
      <c r="R759" s="126">
        <v>45776</v>
      </c>
      <c r="S759" s="153">
        <f>IF(L759="","",L759-B759)</f>
        <v>10</v>
      </c>
      <c r="T759" s="153">
        <f>IF(N759="","",N759-L759)</f>
        <v>0</v>
      </c>
      <c r="U759" s="153">
        <f>IF(O759="","",O759-N759)</f>
        <v>2</v>
      </c>
      <c r="V759" s="154">
        <f>IF(O759="","",O759-B759)</f>
        <v>12</v>
      </c>
      <c r="W759" s="154">
        <f>IF(O759="","",O759-L759)</f>
        <v>2</v>
      </c>
      <c r="X759" s="154">
        <f>IF(R759="","",R759-B759)</f>
        <v>15</v>
      </c>
    </row>
    <row r="760" spans="2:24" ht="17.25" hidden="1" customHeight="1">
      <c r="B760" s="23">
        <v>45763</v>
      </c>
      <c r="C760" s="7">
        <v>2003652330</v>
      </c>
      <c r="D760" s="20">
        <v>144013</v>
      </c>
      <c r="E760" s="27" t="s">
        <v>129</v>
      </c>
      <c r="F760" s="7" t="s">
        <v>107</v>
      </c>
      <c r="G760" s="7" t="s">
        <v>18</v>
      </c>
      <c r="H760" s="7" t="s">
        <v>45</v>
      </c>
      <c r="I760" s="20" t="s">
        <v>1007</v>
      </c>
      <c r="J760" s="20" t="s">
        <v>1312</v>
      </c>
      <c r="K760" s="7" t="s">
        <v>111</v>
      </c>
      <c r="L760" s="61">
        <v>45768</v>
      </c>
      <c r="M760" s="7" t="s">
        <v>111</v>
      </c>
      <c r="N760" s="61">
        <v>45768</v>
      </c>
      <c r="O760" s="23">
        <v>45783</v>
      </c>
      <c r="P760" s="59"/>
      <c r="Q760" s="124" t="e">
        <f>P760*#REF!</f>
        <v>#REF!</v>
      </c>
      <c r="R760" s="126">
        <v>45783</v>
      </c>
      <c r="S760" s="153">
        <f>IF(L760="","",L760-B760)</f>
        <v>5</v>
      </c>
      <c r="T760" s="153">
        <f>IF(N760="","",N760-L760)</f>
        <v>0</v>
      </c>
      <c r="U760" s="153">
        <f>IF(O760="","",O760-N760)</f>
        <v>15</v>
      </c>
      <c r="V760" s="154">
        <f>IF(O760="","",O760-B760)</f>
        <v>20</v>
      </c>
      <c r="W760" s="154">
        <f>IF(O760="","",O760-L760)</f>
        <v>15</v>
      </c>
      <c r="X760" s="154">
        <f>IF(R760="","",R760-B760)</f>
        <v>20</v>
      </c>
    </row>
    <row r="761" spans="2:24" ht="17.25" hidden="1" customHeight="1">
      <c r="B761" s="23">
        <v>45761</v>
      </c>
      <c r="C761" s="7">
        <v>2003638591</v>
      </c>
      <c r="D761" s="20">
        <v>5889532</v>
      </c>
      <c r="E761" s="27" t="s">
        <v>265</v>
      </c>
      <c r="F761" s="7" t="s">
        <v>107</v>
      </c>
      <c r="G761" s="7" t="s">
        <v>10</v>
      </c>
      <c r="H761" s="7" t="s">
        <v>45</v>
      </c>
      <c r="I761" s="20" t="s">
        <v>1313</v>
      </c>
      <c r="J761" s="20" t="s">
        <v>1314</v>
      </c>
      <c r="K761" s="7" t="s">
        <v>110</v>
      </c>
      <c r="L761" s="61">
        <v>45769</v>
      </c>
      <c r="M761" s="7" t="s">
        <v>111</v>
      </c>
      <c r="N761" s="24">
        <v>45770</v>
      </c>
      <c r="O761" s="24">
        <v>45770</v>
      </c>
      <c r="P761" s="59"/>
      <c r="Q761" s="124" t="e">
        <f>P761*#REF!</f>
        <v>#REF!</v>
      </c>
      <c r="R761" s="126">
        <v>45770</v>
      </c>
      <c r="S761" s="153">
        <f>IF(L761="","",L761-B761)</f>
        <v>8</v>
      </c>
      <c r="T761" s="153">
        <f>IF(N761="","",N761-L761)</f>
        <v>1</v>
      </c>
      <c r="U761" s="153">
        <f>IF(O761="","",O761-N761)</f>
        <v>0</v>
      </c>
      <c r="V761" s="154">
        <f>IF(O761="","",O761-B761)</f>
        <v>9</v>
      </c>
      <c r="W761" s="154">
        <f>IF(O761="","",O761-L761)</f>
        <v>1</v>
      </c>
      <c r="X761" s="154">
        <f>IF(R761="","",R761-B761)</f>
        <v>9</v>
      </c>
    </row>
    <row r="762" spans="2:24" ht="17.25" hidden="1" customHeight="1">
      <c r="B762" s="23">
        <v>45761</v>
      </c>
      <c r="C762" s="7">
        <v>2003660007</v>
      </c>
      <c r="D762" s="20">
        <v>5889855</v>
      </c>
      <c r="E762" s="27" t="s">
        <v>123</v>
      </c>
      <c r="F762" s="7" t="s">
        <v>107</v>
      </c>
      <c r="G762" s="7" t="s">
        <v>10</v>
      </c>
      <c r="H762" s="7" t="s">
        <v>45</v>
      </c>
      <c r="I762" s="20" t="s">
        <v>1315</v>
      </c>
      <c r="J762" s="20" t="s">
        <v>1316</v>
      </c>
      <c r="K762" s="7" t="s">
        <v>119</v>
      </c>
      <c r="L762" s="61">
        <v>45770</v>
      </c>
      <c r="M762" s="7" t="s">
        <v>111</v>
      </c>
      <c r="N762" s="61">
        <v>45770</v>
      </c>
      <c r="O762" s="61">
        <v>45770</v>
      </c>
      <c r="P762" s="59"/>
      <c r="Q762" s="124" t="e">
        <f>P762*#REF!</f>
        <v>#REF!</v>
      </c>
      <c r="R762" s="126">
        <v>45771</v>
      </c>
      <c r="S762" s="153">
        <f>IF(L762="","",L762-B762)</f>
        <v>9</v>
      </c>
      <c r="T762" s="153">
        <f>IF(N762="","",N762-L762)</f>
        <v>0</v>
      </c>
      <c r="U762" s="153">
        <f>IF(O762="","",O762-N762)</f>
        <v>0</v>
      </c>
      <c r="V762" s="154">
        <f>IF(O762="","",O762-B762)</f>
        <v>9</v>
      </c>
      <c r="W762" s="154">
        <f>IF(O762="","",O762-L762)</f>
        <v>0</v>
      </c>
      <c r="X762" s="154">
        <f>IF(R762="","",R762-B762)</f>
        <v>10</v>
      </c>
    </row>
    <row r="763" spans="2:24" ht="17.25" hidden="1" customHeight="1">
      <c r="B763" s="23">
        <v>45761</v>
      </c>
      <c r="C763" s="7">
        <v>2003649663</v>
      </c>
      <c r="D763" s="20">
        <v>5889864</v>
      </c>
      <c r="E763" s="27" t="s">
        <v>126</v>
      </c>
      <c r="F763" s="7" t="s">
        <v>107</v>
      </c>
      <c r="G763" s="7" t="s">
        <v>10</v>
      </c>
      <c r="H763" s="7" t="s">
        <v>45</v>
      </c>
      <c r="I763" s="20" t="s">
        <v>1317</v>
      </c>
      <c r="J763" s="20" t="s">
        <v>1318</v>
      </c>
      <c r="K763" s="7" t="s">
        <v>119</v>
      </c>
      <c r="L763" s="61">
        <v>45763</v>
      </c>
      <c r="M763" s="7" t="s">
        <v>111</v>
      </c>
      <c r="N763" s="61">
        <v>45763</v>
      </c>
      <c r="O763" s="58">
        <v>45768</v>
      </c>
      <c r="P763" s="59"/>
      <c r="Q763" s="124" t="e">
        <f>P763*#REF!</f>
        <v>#REF!</v>
      </c>
      <c r="R763" s="126">
        <v>45770</v>
      </c>
      <c r="S763" s="153">
        <f>IF(L763="","",L763-B763)</f>
        <v>2</v>
      </c>
      <c r="T763" s="153">
        <f>IF(N763="","",N763-L763)</f>
        <v>0</v>
      </c>
      <c r="U763" s="153">
        <f>IF(O763="","",O763-N763)</f>
        <v>5</v>
      </c>
      <c r="V763" s="154">
        <f>IF(O763="","",O763-B763)</f>
        <v>7</v>
      </c>
      <c r="W763" s="154">
        <f>IF(O763="","",O763-L763)</f>
        <v>5</v>
      </c>
      <c r="X763" s="154">
        <f>IF(R763="","",R763-B763)</f>
        <v>9</v>
      </c>
    </row>
    <row r="764" spans="2:24" ht="17.25" hidden="1" customHeight="1">
      <c r="B764" s="23">
        <v>45761</v>
      </c>
      <c r="C764" s="7">
        <v>2003607882</v>
      </c>
      <c r="D764" s="20">
        <v>5889984</v>
      </c>
      <c r="E764" s="27" t="s">
        <v>123</v>
      </c>
      <c r="F764" s="7" t="s">
        <v>107</v>
      </c>
      <c r="G764" s="7" t="s">
        <v>21</v>
      </c>
      <c r="H764" s="7" t="s">
        <v>45</v>
      </c>
      <c r="I764" s="20" t="s">
        <v>803</v>
      </c>
      <c r="J764" s="20" t="s">
        <v>804</v>
      </c>
      <c r="K764" s="7" t="s">
        <v>119</v>
      </c>
      <c r="L764" s="61">
        <v>45762</v>
      </c>
      <c r="M764" s="7" t="s">
        <v>111</v>
      </c>
      <c r="N764" s="61">
        <v>45763</v>
      </c>
      <c r="O764" s="61">
        <v>45763</v>
      </c>
      <c r="P764" s="59">
        <v>142</v>
      </c>
      <c r="Q764" s="124" t="e">
        <f>P764*#REF!</f>
        <v>#REF!</v>
      </c>
      <c r="R764" s="126">
        <v>45770</v>
      </c>
      <c r="S764" s="153">
        <f>IF(L764="","",L764-B764)</f>
        <v>1</v>
      </c>
      <c r="T764" s="153">
        <f>IF(N764="","",N764-L764)</f>
        <v>1</v>
      </c>
      <c r="U764" s="153">
        <f>IF(O764="","",O764-N764)</f>
        <v>0</v>
      </c>
      <c r="V764" s="154">
        <f>IF(O764="","",O764-B764)</f>
        <v>2</v>
      </c>
      <c r="W764" s="154">
        <f>IF(O764="","",O764-L764)</f>
        <v>1</v>
      </c>
      <c r="X764" s="154">
        <f>IF(R764="","",R764-B764)</f>
        <v>9</v>
      </c>
    </row>
    <row r="765" spans="2:24" ht="17.25" hidden="1" customHeight="1">
      <c r="B765" s="23">
        <v>45762</v>
      </c>
      <c r="C765" s="7">
        <v>2003653964</v>
      </c>
      <c r="D765" s="20">
        <v>141934</v>
      </c>
      <c r="E765" s="27" t="s">
        <v>116</v>
      </c>
      <c r="F765" s="7" t="s">
        <v>107</v>
      </c>
      <c r="G765" s="7" t="s">
        <v>18</v>
      </c>
      <c r="H765" s="7" t="s">
        <v>45</v>
      </c>
      <c r="I765" s="20" t="s">
        <v>1319</v>
      </c>
      <c r="J765" s="20" t="s">
        <v>1320</v>
      </c>
      <c r="K765" s="7" t="s">
        <v>119</v>
      </c>
      <c r="L765" s="61">
        <v>45763</v>
      </c>
      <c r="M765" s="7" t="s">
        <v>111</v>
      </c>
      <c r="N765" s="24">
        <v>45768</v>
      </c>
      <c r="O765" s="58">
        <v>45768</v>
      </c>
      <c r="P765" s="59"/>
      <c r="Q765" s="124" t="e">
        <f>P765*#REF!</f>
        <v>#REF!</v>
      </c>
      <c r="R765" s="126">
        <v>45770</v>
      </c>
      <c r="S765" s="153">
        <f>IF(L765="","",L765-B765)</f>
        <v>1</v>
      </c>
      <c r="T765" s="153">
        <f>IF(N765="","",N765-L765)</f>
        <v>5</v>
      </c>
      <c r="U765" s="153">
        <f>IF(O765="","",O765-N765)</f>
        <v>0</v>
      </c>
      <c r="V765" s="154">
        <f>IF(O765="","",O765-B765)</f>
        <v>6</v>
      </c>
      <c r="W765" s="154">
        <f>IF(O765="","",O765-L765)</f>
        <v>5</v>
      </c>
      <c r="X765" s="154">
        <f>IF(R765="","",R765-B765)</f>
        <v>8</v>
      </c>
    </row>
    <row r="766" spans="2:24" ht="17.25" hidden="1" customHeight="1">
      <c r="B766" s="23">
        <v>45762</v>
      </c>
      <c r="C766" s="7">
        <v>2003661582</v>
      </c>
      <c r="D766" s="20">
        <v>142375</v>
      </c>
      <c r="E766" s="27" t="s">
        <v>258</v>
      </c>
      <c r="F766" s="7" t="s">
        <v>107</v>
      </c>
      <c r="G766" s="7" t="s">
        <v>18</v>
      </c>
      <c r="H766" s="7" t="s">
        <v>45</v>
      </c>
      <c r="I766" s="20" t="s">
        <v>226</v>
      </c>
      <c r="J766" s="20" t="s">
        <v>1321</v>
      </c>
      <c r="K766" s="7" t="s">
        <v>119</v>
      </c>
      <c r="L766" s="61">
        <v>45763</v>
      </c>
      <c r="M766" s="7" t="s">
        <v>111</v>
      </c>
      <c r="N766" s="61">
        <v>45763</v>
      </c>
      <c r="O766" s="58">
        <v>45768</v>
      </c>
      <c r="P766" s="59"/>
      <c r="Q766" s="124" t="e">
        <f>P766*#REF!</f>
        <v>#REF!</v>
      </c>
      <c r="R766" s="126">
        <v>45770</v>
      </c>
      <c r="S766" s="153">
        <f>IF(L766="","",L766-B766)</f>
        <v>1</v>
      </c>
      <c r="T766" s="153">
        <f>IF(N766="","",N766-L766)</f>
        <v>0</v>
      </c>
      <c r="U766" s="153">
        <f>IF(O766="","",O766-N766)</f>
        <v>5</v>
      </c>
      <c r="V766" s="154">
        <f>IF(O766="","",O766-B766)</f>
        <v>6</v>
      </c>
      <c r="W766" s="154">
        <f>IF(O766="","",O766-L766)</f>
        <v>5</v>
      </c>
      <c r="X766" s="154">
        <f>IF(R766="","",R766-B766)</f>
        <v>8</v>
      </c>
    </row>
    <row r="767" spans="2:24" ht="17.25" hidden="1" customHeight="1">
      <c r="B767" s="23">
        <v>45763</v>
      </c>
      <c r="C767" s="7">
        <v>2003662227</v>
      </c>
      <c r="D767" s="20">
        <v>144227</v>
      </c>
      <c r="E767" s="27" t="s">
        <v>123</v>
      </c>
      <c r="F767" s="7" t="s">
        <v>107</v>
      </c>
      <c r="G767" s="7" t="s">
        <v>10</v>
      </c>
      <c r="H767" s="7" t="s">
        <v>45</v>
      </c>
      <c r="I767" s="20" t="s">
        <v>1322</v>
      </c>
      <c r="J767" s="20" t="s">
        <v>1323</v>
      </c>
      <c r="K767" s="7" t="s">
        <v>122</v>
      </c>
      <c r="L767" s="61">
        <v>45772</v>
      </c>
      <c r="M767" s="7" t="s">
        <v>111</v>
      </c>
      <c r="N767" s="61">
        <v>45777</v>
      </c>
      <c r="O767" s="58">
        <v>45783</v>
      </c>
      <c r="P767" s="59"/>
      <c r="Q767" s="124" t="e">
        <f>P767*#REF!</f>
        <v>#REF!</v>
      </c>
      <c r="R767" s="126">
        <v>45783</v>
      </c>
      <c r="S767" s="153">
        <f>IF(L767="","",L767-B767)</f>
        <v>9</v>
      </c>
      <c r="T767" s="153">
        <f>IF(N767="","",N767-L767)</f>
        <v>5</v>
      </c>
      <c r="U767" s="153">
        <f>IF(O767="","",O767-N767)</f>
        <v>6</v>
      </c>
      <c r="V767" s="154">
        <f>IF(O767="","",O767-B767)</f>
        <v>20</v>
      </c>
      <c r="W767" s="154">
        <f>IF(O767="","",O767-L767)</f>
        <v>11</v>
      </c>
      <c r="X767" s="154">
        <f>IF(R767="","",R767-B767)</f>
        <v>20</v>
      </c>
    </row>
    <row r="768" spans="2:24" ht="17.25" hidden="1" customHeight="1">
      <c r="B768" s="23">
        <v>45762</v>
      </c>
      <c r="C768" s="7">
        <v>2003613897</v>
      </c>
      <c r="D768" s="20">
        <v>142071</v>
      </c>
      <c r="E768" s="27" t="s">
        <v>408</v>
      </c>
      <c r="F768" s="7" t="s">
        <v>107</v>
      </c>
      <c r="G768" s="7" t="s">
        <v>10</v>
      </c>
      <c r="H768" s="7" t="s">
        <v>45</v>
      </c>
      <c r="I768" s="20" t="s">
        <v>1324</v>
      </c>
      <c r="J768" s="20" t="s">
        <v>1325</v>
      </c>
      <c r="K768" s="7" t="s">
        <v>119</v>
      </c>
      <c r="L768" s="61">
        <v>45763</v>
      </c>
      <c r="M768" s="7" t="s">
        <v>111</v>
      </c>
      <c r="N768" s="24">
        <v>45770</v>
      </c>
      <c r="O768" s="24">
        <v>45770</v>
      </c>
      <c r="P768" s="59"/>
      <c r="Q768" s="124" t="e">
        <f>P768*#REF!</f>
        <v>#REF!</v>
      </c>
      <c r="R768" s="126">
        <v>45771</v>
      </c>
      <c r="S768" s="153">
        <f>IF(L768="","",L768-B768)</f>
        <v>1</v>
      </c>
      <c r="T768" s="153">
        <f>IF(N768="","",N768-L768)</f>
        <v>7</v>
      </c>
      <c r="U768" s="153">
        <f>IF(O768="","",O768-N768)</f>
        <v>0</v>
      </c>
      <c r="V768" s="154">
        <f>IF(O768="","",O768-B768)</f>
        <v>8</v>
      </c>
      <c r="W768" s="154">
        <f>IF(O768="","",O768-L768)</f>
        <v>7</v>
      </c>
      <c r="X768" s="154">
        <f>IF(R768="","",R768-B768)</f>
        <v>9</v>
      </c>
    </row>
    <row r="769" spans="2:24" ht="17.25" hidden="1" customHeight="1">
      <c r="B769" s="23">
        <v>45762</v>
      </c>
      <c r="C769" s="7">
        <v>2003555579</v>
      </c>
      <c r="D769" s="20">
        <v>5890392</v>
      </c>
      <c r="E769" s="27" t="s">
        <v>152</v>
      </c>
      <c r="F769" s="7" t="s">
        <v>107</v>
      </c>
      <c r="G769" s="7" t="s">
        <v>21</v>
      </c>
      <c r="H769" s="7" t="s">
        <v>45</v>
      </c>
      <c r="I769" s="20" t="s">
        <v>1326</v>
      </c>
      <c r="J769" s="20" t="s">
        <v>399</v>
      </c>
      <c r="K769" s="7" t="s">
        <v>110</v>
      </c>
      <c r="L769" s="61">
        <v>45763</v>
      </c>
      <c r="M769" s="7" t="s">
        <v>111</v>
      </c>
      <c r="N769" s="61">
        <v>45763</v>
      </c>
      <c r="O769" s="58">
        <v>45768</v>
      </c>
      <c r="P769" s="59"/>
      <c r="Q769" s="124" t="e">
        <f>P769*#REF!</f>
        <v>#REF!</v>
      </c>
      <c r="R769" s="126">
        <v>45770</v>
      </c>
      <c r="S769" s="153">
        <f>IF(L769="","",L769-B769)</f>
        <v>1</v>
      </c>
      <c r="T769" s="153">
        <f>IF(N769="","",N769-L769)</f>
        <v>0</v>
      </c>
      <c r="U769" s="153">
        <f>IF(O769="","",O769-N769)</f>
        <v>5</v>
      </c>
      <c r="V769" s="154">
        <f>IF(O769="","",O769-B769)</f>
        <v>6</v>
      </c>
      <c r="W769" s="154">
        <f>IF(O769="","",O769-L769)</f>
        <v>5</v>
      </c>
      <c r="X769" s="154">
        <f>IF(R769="","",R769-B769)</f>
        <v>8</v>
      </c>
    </row>
    <row r="770" spans="2:24" ht="17.25" hidden="1" customHeight="1">
      <c r="B770" s="23">
        <v>45762</v>
      </c>
      <c r="C770" s="7">
        <v>2003595142</v>
      </c>
      <c r="D770" s="20">
        <v>5890622</v>
      </c>
      <c r="E770" s="27" t="s">
        <v>123</v>
      </c>
      <c r="F770" s="7" t="s">
        <v>113</v>
      </c>
      <c r="G770" s="7" t="s">
        <v>70</v>
      </c>
      <c r="H770" s="7" t="s">
        <v>47</v>
      </c>
      <c r="I770" s="20" t="s">
        <v>1327</v>
      </c>
      <c r="J770" s="20" t="s">
        <v>1328</v>
      </c>
      <c r="K770" s="7" t="s">
        <v>160</v>
      </c>
      <c r="P770" s="59"/>
      <c r="Q770" s="124" t="e">
        <f>P770*#REF!</f>
        <v>#REF!</v>
      </c>
      <c r="R770" s="126">
        <v>45772</v>
      </c>
      <c r="S770" s="153" t="str">
        <f>IF(L770="","",L770-B770)</f>
        <v/>
      </c>
      <c r="T770" s="153" t="str">
        <f>IF(N770="","",N770-L770)</f>
        <v/>
      </c>
      <c r="U770" s="153" t="str">
        <f>IF(O770="","",O770-N770)</f>
        <v/>
      </c>
      <c r="V770" s="154" t="str">
        <f>IF(O770="","",O770-B770)</f>
        <v/>
      </c>
      <c r="W770" s="154" t="str">
        <f>IF(O770="","",O770-L770)</f>
        <v/>
      </c>
      <c r="X770" s="154">
        <f>IF(R770="","",R770-B770)</f>
        <v>10</v>
      </c>
    </row>
    <row r="771" spans="2:24" ht="17.25" hidden="1" customHeight="1">
      <c r="B771" s="23">
        <v>45762</v>
      </c>
      <c r="C771" s="7">
        <v>2003580737</v>
      </c>
      <c r="D771" s="20">
        <v>5890780</v>
      </c>
      <c r="E771" s="27" t="s">
        <v>123</v>
      </c>
      <c r="F771" s="7" t="s">
        <v>107</v>
      </c>
      <c r="G771" s="7" t="s">
        <v>26</v>
      </c>
      <c r="H771" s="7" t="s">
        <v>45</v>
      </c>
      <c r="I771" s="20" t="s">
        <v>1329</v>
      </c>
      <c r="J771" s="20" t="s">
        <v>1260</v>
      </c>
      <c r="K771" s="7" t="s">
        <v>119</v>
      </c>
      <c r="L771" s="61">
        <v>45775</v>
      </c>
      <c r="M771" s="7" t="s">
        <v>111</v>
      </c>
      <c r="N771" s="24">
        <v>45776</v>
      </c>
      <c r="O771" s="58">
        <v>45776</v>
      </c>
      <c r="P771" s="59"/>
      <c r="Q771" s="124" t="e">
        <f>P771*#REF!</f>
        <v>#REF!</v>
      </c>
      <c r="R771" s="126">
        <v>45776</v>
      </c>
      <c r="S771" s="153">
        <f>IF(L771="","",L771-B771)</f>
        <v>13</v>
      </c>
      <c r="T771" s="153">
        <f>IF(N771="","",N771-L771)</f>
        <v>1</v>
      </c>
      <c r="U771" s="153">
        <f>IF(O771="","",O771-N771)</f>
        <v>0</v>
      </c>
      <c r="V771" s="154">
        <f>IF(O771="","",O771-B771)</f>
        <v>14</v>
      </c>
      <c r="W771" s="154">
        <f>IF(O771="","",O771-L771)</f>
        <v>1</v>
      </c>
      <c r="X771" s="154">
        <f>IF(R771="","",R771-B771)</f>
        <v>14</v>
      </c>
    </row>
    <row r="772" spans="2:24" ht="17.25" hidden="1" customHeight="1">
      <c r="B772" s="23">
        <v>45762</v>
      </c>
      <c r="C772" s="7">
        <v>2003655171</v>
      </c>
      <c r="D772" s="20">
        <v>5891230</v>
      </c>
      <c r="E772" s="27" t="s">
        <v>157</v>
      </c>
      <c r="F772" s="7" t="s">
        <v>107</v>
      </c>
      <c r="G772" s="7" t="s">
        <v>10</v>
      </c>
      <c r="H772" s="7" t="s">
        <v>45</v>
      </c>
      <c r="I772" s="20" t="s">
        <v>1330</v>
      </c>
      <c r="J772" s="20" t="s">
        <v>1331</v>
      </c>
      <c r="K772" s="7" t="s">
        <v>119</v>
      </c>
      <c r="L772" s="61">
        <v>45769</v>
      </c>
      <c r="M772" s="7" t="s">
        <v>111</v>
      </c>
      <c r="N772" s="24">
        <v>45770</v>
      </c>
      <c r="O772" s="24">
        <v>45770</v>
      </c>
      <c r="P772" s="59"/>
      <c r="Q772" s="124" t="e">
        <f>P772*#REF!</f>
        <v>#REF!</v>
      </c>
      <c r="R772" s="126">
        <v>45770</v>
      </c>
      <c r="S772" s="153">
        <f>IF(L772="","",L772-B772)</f>
        <v>7</v>
      </c>
      <c r="T772" s="153">
        <f>IF(N772="","",N772-L772)</f>
        <v>1</v>
      </c>
      <c r="U772" s="153">
        <f>IF(O772="","",O772-N772)</f>
        <v>0</v>
      </c>
      <c r="V772" s="154">
        <f>IF(O772="","",O772-B772)</f>
        <v>8</v>
      </c>
      <c r="W772" s="154">
        <f>IF(O772="","",O772-L772)</f>
        <v>1</v>
      </c>
      <c r="X772" s="154">
        <f>IF(R772="","",R772-B772)</f>
        <v>8</v>
      </c>
    </row>
    <row r="773" spans="2:24" ht="17.25" hidden="1" customHeight="1">
      <c r="B773" s="23">
        <v>45762</v>
      </c>
      <c r="C773" s="7">
        <v>2003565226</v>
      </c>
      <c r="D773" s="20">
        <v>5891235</v>
      </c>
      <c r="E773" s="27" t="s">
        <v>123</v>
      </c>
      <c r="F773" s="7" t="s">
        <v>107</v>
      </c>
      <c r="G773" s="7" t="s">
        <v>18</v>
      </c>
      <c r="H773" s="7" t="s">
        <v>45</v>
      </c>
      <c r="I773" s="20" t="s">
        <v>1332</v>
      </c>
      <c r="J773" s="20" t="s">
        <v>1333</v>
      </c>
      <c r="K773" s="7" t="s">
        <v>119</v>
      </c>
      <c r="L773" s="61">
        <v>45763</v>
      </c>
      <c r="M773" s="7" t="s">
        <v>111</v>
      </c>
      <c r="N773" s="24">
        <v>45770</v>
      </c>
      <c r="O773" s="61">
        <v>45771</v>
      </c>
      <c r="P773" s="59"/>
      <c r="Q773" s="124" t="e">
        <f>P773*#REF!</f>
        <v>#REF!</v>
      </c>
      <c r="R773" s="126">
        <v>45772</v>
      </c>
      <c r="S773" s="153">
        <f>IF(L773="","",L773-B773)</f>
        <v>1</v>
      </c>
      <c r="T773" s="153">
        <f>IF(N773="","",N773-L773)</f>
        <v>7</v>
      </c>
      <c r="U773" s="153">
        <f>IF(O773="","",O773-N773)</f>
        <v>1</v>
      </c>
      <c r="V773" s="154">
        <f>IF(O773="","",O773-B773)</f>
        <v>9</v>
      </c>
      <c r="W773" s="154">
        <f>IF(O773="","",O773-L773)</f>
        <v>8</v>
      </c>
      <c r="X773" s="154">
        <f>IF(R773="","",R773-B773)</f>
        <v>10</v>
      </c>
    </row>
    <row r="774" spans="2:24" ht="17.25" hidden="1" customHeight="1">
      <c r="B774" s="23">
        <v>45762</v>
      </c>
      <c r="C774" s="7">
        <v>2003655170</v>
      </c>
      <c r="D774" s="20">
        <v>5891241</v>
      </c>
      <c r="E774" s="27" t="s">
        <v>180</v>
      </c>
      <c r="F774" s="7" t="s">
        <v>113</v>
      </c>
      <c r="G774" s="7" t="s">
        <v>70</v>
      </c>
      <c r="H774" s="7" t="s">
        <v>47</v>
      </c>
      <c r="I774" s="20" t="s">
        <v>1334</v>
      </c>
      <c r="J774" s="20" t="s">
        <v>1335</v>
      </c>
      <c r="K774" s="7" t="s">
        <v>160</v>
      </c>
      <c r="P774" s="59"/>
      <c r="Q774" s="124" t="e">
        <f>P774*#REF!</f>
        <v>#REF!</v>
      </c>
      <c r="R774" s="126">
        <v>45772</v>
      </c>
      <c r="S774" s="153" t="str">
        <f>IF(L774="","",L774-B774)</f>
        <v/>
      </c>
      <c r="T774" s="153" t="str">
        <f>IF(N774="","",N774-L774)</f>
        <v/>
      </c>
      <c r="U774" s="153" t="str">
        <f>IF(O774="","",O774-N774)</f>
        <v/>
      </c>
      <c r="V774" s="154" t="str">
        <f>IF(O774="","",O774-B774)</f>
        <v/>
      </c>
      <c r="W774" s="154" t="str">
        <f>IF(O774="","",O774-L774)</f>
        <v/>
      </c>
      <c r="X774" s="154">
        <f>IF(R774="","",R774-B774)</f>
        <v>10</v>
      </c>
    </row>
    <row r="775" spans="2:24" ht="17.25" hidden="1" customHeight="1">
      <c r="B775" s="23">
        <v>45762</v>
      </c>
      <c r="C775" s="7">
        <v>2003661645</v>
      </c>
      <c r="D775" s="20">
        <v>143515</v>
      </c>
      <c r="E775" s="27" t="s">
        <v>152</v>
      </c>
      <c r="F775" s="7" t="s">
        <v>107</v>
      </c>
      <c r="G775" s="7" t="s">
        <v>26</v>
      </c>
      <c r="H775" s="7" t="s">
        <v>45</v>
      </c>
      <c r="I775" s="20" t="s">
        <v>1336</v>
      </c>
      <c r="J775" s="20" t="s">
        <v>1337</v>
      </c>
      <c r="K775" s="7" t="s">
        <v>110</v>
      </c>
      <c r="L775" s="61">
        <v>45768</v>
      </c>
      <c r="M775" s="7" t="s">
        <v>111</v>
      </c>
      <c r="N775" s="24">
        <v>45770</v>
      </c>
      <c r="O775" s="58">
        <v>45770</v>
      </c>
      <c r="P775" s="59"/>
      <c r="Q775" s="124" t="e">
        <f>P775*#REF!</f>
        <v>#REF!</v>
      </c>
      <c r="R775" s="126">
        <v>45770</v>
      </c>
      <c r="S775" s="153">
        <f>IF(L775="","",L775-B775)</f>
        <v>6</v>
      </c>
      <c r="T775" s="153">
        <f>IF(N775="","",N775-L775)</f>
        <v>2</v>
      </c>
      <c r="U775" s="153">
        <f>IF(O775="","",O775-N775)</f>
        <v>0</v>
      </c>
      <c r="V775" s="154">
        <f>IF(O775="","",O775-B775)</f>
        <v>8</v>
      </c>
      <c r="W775" s="154">
        <f>IF(O775="","",O775-L775)</f>
        <v>2</v>
      </c>
      <c r="X775" s="154">
        <f>IF(R775="","",R775-B775)</f>
        <v>8</v>
      </c>
    </row>
    <row r="776" spans="2:24" ht="17.25" hidden="1" customHeight="1">
      <c r="B776" s="23">
        <v>45762</v>
      </c>
      <c r="C776" s="7">
        <v>2003661866</v>
      </c>
      <c r="D776" s="20">
        <v>143616</v>
      </c>
      <c r="E776" s="27" t="s">
        <v>191</v>
      </c>
      <c r="F776" s="7" t="s">
        <v>107</v>
      </c>
      <c r="G776" s="7" t="s">
        <v>18</v>
      </c>
      <c r="H776" s="7" t="s">
        <v>45</v>
      </c>
      <c r="I776" s="20" t="s">
        <v>670</v>
      </c>
      <c r="J776" s="20" t="s">
        <v>1338</v>
      </c>
      <c r="K776" s="7" t="s">
        <v>110</v>
      </c>
      <c r="L776" s="61">
        <v>45768</v>
      </c>
      <c r="M776" s="7" t="s">
        <v>111</v>
      </c>
      <c r="N776" s="61">
        <v>45768</v>
      </c>
      <c r="O776" s="58">
        <v>45770</v>
      </c>
      <c r="P776" s="59"/>
      <c r="Q776" s="124" t="e">
        <f>P776*#REF!</f>
        <v>#REF!</v>
      </c>
      <c r="R776" s="126">
        <v>45771</v>
      </c>
      <c r="S776" s="153">
        <f>IF(L776="","",L776-B776)</f>
        <v>6</v>
      </c>
      <c r="T776" s="153">
        <f>IF(N776="","",N776-L776)</f>
        <v>0</v>
      </c>
      <c r="U776" s="153">
        <f>IF(O776="","",O776-N776)</f>
        <v>2</v>
      </c>
      <c r="V776" s="154">
        <f>IF(O776="","",O776-B776)</f>
        <v>8</v>
      </c>
      <c r="W776" s="154">
        <f>IF(O776="","",O776-L776)</f>
        <v>2</v>
      </c>
      <c r="X776" s="154">
        <f>IF(R776="","",R776-B776)</f>
        <v>9</v>
      </c>
    </row>
    <row r="777" spans="2:24" ht="17.25" hidden="1" customHeight="1">
      <c r="B777" s="23">
        <v>45763</v>
      </c>
      <c r="C777" s="7">
        <v>2003654787</v>
      </c>
      <c r="D777" s="20">
        <v>143556</v>
      </c>
      <c r="E777" s="27" t="s">
        <v>180</v>
      </c>
      <c r="F777" s="7" t="s">
        <v>107</v>
      </c>
      <c r="G777" s="7" t="s">
        <v>15</v>
      </c>
      <c r="H777" s="7" t="s">
        <v>45</v>
      </c>
      <c r="I777" s="20" t="s">
        <v>1339</v>
      </c>
      <c r="J777" s="20" t="s">
        <v>1340</v>
      </c>
      <c r="K777" s="7" t="s">
        <v>122</v>
      </c>
      <c r="L777" s="61">
        <v>45768</v>
      </c>
      <c r="M777" s="7" t="s">
        <v>111</v>
      </c>
      <c r="N777" s="61">
        <v>45768</v>
      </c>
      <c r="O777" s="130">
        <v>45768</v>
      </c>
      <c r="P777" s="59"/>
      <c r="Q777" s="124" t="e">
        <f>P777*#REF!</f>
        <v>#REF!</v>
      </c>
      <c r="R777" s="126">
        <v>45770</v>
      </c>
      <c r="S777" s="153">
        <f>IF(L777="","",L777-B777)</f>
        <v>5</v>
      </c>
      <c r="T777" s="153">
        <f>IF(N777="","",N777-L777)</f>
        <v>0</v>
      </c>
      <c r="U777" s="153">
        <f>IF(O777="","",O777-N777)</f>
        <v>0</v>
      </c>
      <c r="V777" s="154">
        <f>IF(O777="","",O777-B777)</f>
        <v>5</v>
      </c>
      <c r="W777" s="154">
        <f>IF(O777="","",O777-L777)</f>
        <v>0</v>
      </c>
      <c r="X777" s="154">
        <f>IF(R777="","",R777-B777)</f>
        <v>7</v>
      </c>
    </row>
    <row r="778" spans="2:24" ht="17.25" hidden="1" customHeight="1">
      <c r="B778" s="23">
        <v>45763</v>
      </c>
      <c r="C778" s="7">
        <v>2003651641</v>
      </c>
      <c r="D778" s="20">
        <v>5891813</v>
      </c>
      <c r="E778" s="27" t="s">
        <v>123</v>
      </c>
      <c r="F778" s="7" t="s">
        <v>107</v>
      </c>
      <c r="G778" s="7" t="s">
        <v>10</v>
      </c>
      <c r="H778" s="7" t="s">
        <v>45</v>
      </c>
      <c r="I778" s="20" t="s">
        <v>1341</v>
      </c>
      <c r="J778" s="20" t="s">
        <v>1342</v>
      </c>
      <c r="K778" s="7" t="s">
        <v>119</v>
      </c>
      <c r="L778" s="61">
        <v>45768</v>
      </c>
      <c r="M778" s="7" t="s">
        <v>111</v>
      </c>
      <c r="N778" s="61">
        <v>45768</v>
      </c>
      <c r="O778" s="61">
        <v>45768</v>
      </c>
      <c r="P778" s="59">
        <v>120</v>
      </c>
      <c r="Q778" s="124" t="e">
        <f>P778*#REF!</f>
        <v>#REF!</v>
      </c>
      <c r="R778" s="126">
        <v>45770</v>
      </c>
      <c r="S778" s="153">
        <f>IF(L778="","",L778-B778)</f>
        <v>5</v>
      </c>
      <c r="T778" s="153">
        <f>IF(N778="","",N778-L778)</f>
        <v>0</v>
      </c>
      <c r="U778" s="153">
        <f>IF(O778="","",O778-N778)</f>
        <v>0</v>
      </c>
      <c r="V778" s="154">
        <f>IF(O778="","",O778-B778)</f>
        <v>5</v>
      </c>
      <c r="W778" s="154">
        <f>IF(O778="","",O778-L778)</f>
        <v>0</v>
      </c>
      <c r="X778" s="154">
        <f>IF(R778="","",R778-B778)</f>
        <v>7</v>
      </c>
    </row>
    <row r="779" spans="2:24" ht="17.25" hidden="1" customHeight="1">
      <c r="B779" s="23">
        <v>45763</v>
      </c>
      <c r="C779" s="7">
        <v>2003639958</v>
      </c>
      <c r="D779" s="20">
        <v>5891972</v>
      </c>
      <c r="E779" s="27" t="s">
        <v>265</v>
      </c>
      <c r="F779" s="7" t="s">
        <v>107</v>
      </c>
      <c r="G779" s="7" t="s">
        <v>10</v>
      </c>
      <c r="H779" s="7" t="s">
        <v>45</v>
      </c>
      <c r="I779" s="20" t="s">
        <v>1343</v>
      </c>
      <c r="J779" s="20" t="s">
        <v>1344</v>
      </c>
      <c r="K779" s="7" t="s">
        <v>119</v>
      </c>
      <c r="L779" s="61">
        <v>45770</v>
      </c>
      <c r="M779" s="7" t="s">
        <v>111</v>
      </c>
      <c r="N779" s="61">
        <v>45770</v>
      </c>
      <c r="O779" s="58">
        <v>45773</v>
      </c>
      <c r="P779" s="59"/>
      <c r="Q779" s="124" t="e">
        <f>P779*#REF!</f>
        <v>#REF!</v>
      </c>
      <c r="R779" s="126">
        <v>45776</v>
      </c>
      <c r="S779" s="153">
        <f>IF(L779="","",L779-B779)</f>
        <v>7</v>
      </c>
      <c r="T779" s="153">
        <f>IF(N779="","",N779-L779)</f>
        <v>0</v>
      </c>
      <c r="U779" s="153">
        <f>IF(O779="","",O779-N779)</f>
        <v>3</v>
      </c>
      <c r="V779" s="154">
        <f>IF(O779="","",O779-B779)</f>
        <v>10</v>
      </c>
      <c r="W779" s="154">
        <f>IF(O779="","",O779-L779)</f>
        <v>3</v>
      </c>
      <c r="X779" s="154">
        <f>IF(R779="","",R779-B779)</f>
        <v>13</v>
      </c>
    </row>
    <row r="780" spans="2:24" ht="17.25" hidden="1" customHeight="1">
      <c r="B780" s="23">
        <v>45763</v>
      </c>
      <c r="C780" s="7">
        <v>2003661554</v>
      </c>
      <c r="D780" s="20">
        <v>5891988</v>
      </c>
      <c r="E780" s="27" t="s">
        <v>123</v>
      </c>
      <c r="F780" s="7" t="s">
        <v>107</v>
      </c>
      <c r="G780" s="7" t="s">
        <v>10</v>
      </c>
      <c r="H780" s="7" t="s">
        <v>45</v>
      </c>
      <c r="I780" s="20" t="s">
        <v>1345</v>
      </c>
      <c r="J780" s="20" t="s">
        <v>1346</v>
      </c>
      <c r="K780" s="7" t="s">
        <v>119</v>
      </c>
      <c r="L780" s="61">
        <v>45768</v>
      </c>
      <c r="M780" s="7" t="s">
        <v>111</v>
      </c>
      <c r="N780" s="61">
        <v>45768</v>
      </c>
      <c r="O780" s="58">
        <v>45770</v>
      </c>
      <c r="P780" s="59"/>
      <c r="Q780" s="124" t="e">
        <f>P780*#REF!</f>
        <v>#REF!</v>
      </c>
      <c r="R780" s="126">
        <v>45770</v>
      </c>
      <c r="S780" s="153">
        <f>IF(L780="","",L780-B780)</f>
        <v>5</v>
      </c>
      <c r="T780" s="153">
        <f>IF(N780="","",N780-L780)</f>
        <v>0</v>
      </c>
      <c r="U780" s="153">
        <f>IF(O780="","",O780-N780)</f>
        <v>2</v>
      </c>
      <c r="V780" s="154">
        <f>IF(O780="","",O780-B780)</f>
        <v>7</v>
      </c>
      <c r="W780" s="154">
        <f>IF(O780="","",O780-L780)</f>
        <v>2</v>
      </c>
      <c r="X780" s="154">
        <f>IF(R780="","",R780-B780)</f>
        <v>7</v>
      </c>
    </row>
    <row r="781" spans="2:24" ht="17.25" hidden="1" customHeight="1">
      <c r="B781" s="23">
        <v>45763</v>
      </c>
      <c r="C781" s="7">
        <v>2003374992</v>
      </c>
      <c r="D781" s="20">
        <v>5892117</v>
      </c>
      <c r="E781" s="27" t="s">
        <v>198</v>
      </c>
      <c r="F781" s="7" t="s">
        <v>107</v>
      </c>
      <c r="G781" s="7" t="s">
        <v>18</v>
      </c>
      <c r="H781" s="7" t="s">
        <v>45</v>
      </c>
      <c r="I781" s="20" t="s">
        <v>1347</v>
      </c>
      <c r="J781" s="20" t="s">
        <v>1232</v>
      </c>
      <c r="K781" s="7" t="s">
        <v>110</v>
      </c>
      <c r="L781" s="61">
        <v>45768</v>
      </c>
      <c r="M781" s="7" t="s">
        <v>111</v>
      </c>
      <c r="N781" s="61">
        <v>45768</v>
      </c>
      <c r="O781" s="61">
        <v>45768</v>
      </c>
      <c r="P781" s="59"/>
      <c r="Q781" s="124" t="e">
        <f>P781*#REF!</f>
        <v>#REF!</v>
      </c>
      <c r="R781" s="126">
        <v>45770</v>
      </c>
      <c r="S781" s="153">
        <f>IF(L781="","",L781-B781)</f>
        <v>5</v>
      </c>
      <c r="T781" s="153">
        <f>IF(N781="","",N781-L781)</f>
        <v>0</v>
      </c>
      <c r="U781" s="153">
        <f>IF(O781="","",O781-N781)</f>
        <v>0</v>
      </c>
      <c r="V781" s="154">
        <f>IF(O781="","",O781-B781)</f>
        <v>5</v>
      </c>
      <c r="W781" s="154">
        <f>IF(O781="","",O781-L781)</f>
        <v>0</v>
      </c>
      <c r="X781" s="154">
        <f>IF(R781="","",R781-B781)</f>
        <v>7</v>
      </c>
    </row>
    <row r="782" spans="2:24" ht="17.25" hidden="1" customHeight="1">
      <c r="B782" s="23">
        <v>45763</v>
      </c>
      <c r="C782" s="7">
        <v>2003658622</v>
      </c>
      <c r="D782" s="20">
        <v>5892204</v>
      </c>
      <c r="E782" s="27" t="s">
        <v>126</v>
      </c>
      <c r="F782" s="7" t="s">
        <v>107</v>
      </c>
      <c r="G782" s="7" t="s">
        <v>10</v>
      </c>
      <c r="H782" s="7" t="s">
        <v>45</v>
      </c>
      <c r="I782" s="20" t="s">
        <v>1348</v>
      </c>
      <c r="J782" s="20" t="s">
        <v>1349</v>
      </c>
      <c r="K782" s="7" t="s">
        <v>119</v>
      </c>
      <c r="L782" s="61">
        <v>45768</v>
      </c>
      <c r="M782" s="7" t="s">
        <v>111</v>
      </c>
      <c r="N782" s="24">
        <v>45768</v>
      </c>
      <c r="O782" s="58">
        <v>45770</v>
      </c>
      <c r="P782" s="59"/>
      <c r="Q782" s="124" t="e">
        <f>P782*#REF!</f>
        <v>#REF!</v>
      </c>
      <c r="R782" s="126">
        <v>45771</v>
      </c>
      <c r="S782" s="153">
        <f>IF(L782="","",L782-B782)</f>
        <v>5</v>
      </c>
      <c r="T782" s="153">
        <f>IF(N782="","",N782-L782)</f>
        <v>0</v>
      </c>
      <c r="U782" s="153">
        <f>IF(O782="","",O782-N782)</f>
        <v>2</v>
      </c>
      <c r="V782" s="154">
        <f>IF(O782="","",O782-B782)</f>
        <v>7</v>
      </c>
      <c r="W782" s="154">
        <f>IF(O782="","",O782-L782)</f>
        <v>2</v>
      </c>
      <c r="X782" s="154">
        <f>IF(R782="","",R782-B782)</f>
        <v>8</v>
      </c>
    </row>
    <row r="783" spans="2:24" ht="17.25" hidden="1" customHeight="1">
      <c r="B783" s="23">
        <v>45763</v>
      </c>
      <c r="C783" s="7">
        <v>2003663124</v>
      </c>
      <c r="D783" s="20">
        <v>5892263</v>
      </c>
      <c r="E783" s="27" t="s">
        <v>106</v>
      </c>
      <c r="F783" s="7" t="s">
        <v>107</v>
      </c>
      <c r="G783" s="7" t="s">
        <v>10</v>
      </c>
      <c r="H783" s="7" t="s">
        <v>45</v>
      </c>
      <c r="I783" s="20" t="s">
        <v>1350</v>
      </c>
      <c r="J783" s="20" t="s">
        <v>1351</v>
      </c>
      <c r="K783" s="7" t="s">
        <v>110</v>
      </c>
      <c r="L783" s="61">
        <v>45770</v>
      </c>
      <c r="M783" s="7" t="s">
        <v>111</v>
      </c>
      <c r="N783" s="24">
        <v>45770</v>
      </c>
      <c r="O783" s="58">
        <v>45771</v>
      </c>
      <c r="P783" s="59"/>
      <c r="Q783" s="124" t="e">
        <f>P783*#REF!</f>
        <v>#REF!</v>
      </c>
      <c r="R783" s="126">
        <v>45772</v>
      </c>
      <c r="S783" s="153">
        <f>IF(L783="","",L783-B783)</f>
        <v>7</v>
      </c>
      <c r="T783" s="153">
        <f>IF(N783="","",N783-L783)</f>
        <v>0</v>
      </c>
      <c r="U783" s="153">
        <f>IF(O783="","",O783-N783)</f>
        <v>1</v>
      </c>
      <c r="V783" s="154">
        <f>IF(O783="","",O783-B783)</f>
        <v>8</v>
      </c>
      <c r="W783" s="154">
        <f>IF(O783="","",O783-L783)</f>
        <v>1</v>
      </c>
      <c r="X783" s="154">
        <f>IF(R783="","",R783-B783)</f>
        <v>9</v>
      </c>
    </row>
    <row r="784" spans="2:24" ht="17.25" hidden="1" customHeight="1">
      <c r="B784" s="23">
        <v>45763</v>
      </c>
      <c r="C784" s="7">
        <v>2003489986</v>
      </c>
      <c r="D784" s="20">
        <v>5892273</v>
      </c>
      <c r="E784" s="27" t="s">
        <v>123</v>
      </c>
      <c r="F784" s="7" t="s">
        <v>107</v>
      </c>
      <c r="G784" s="7" t="s">
        <v>21</v>
      </c>
      <c r="H784" s="7" t="s">
        <v>45</v>
      </c>
      <c r="I784" s="20" t="s">
        <v>1352</v>
      </c>
      <c r="J784" s="20" t="s">
        <v>1353</v>
      </c>
      <c r="K784" s="7" t="s">
        <v>119</v>
      </c>
      <c r="L784" s="61">
        <v>45768</v>
      </c>
      <c r="M784" s="7" t="s">
        <v>111</v>
      </c>
      <c r="N784" s="61">
        <v>45768</v>
      </c>
      <c r="O784" s="61">
        <v>45768</v>
      </c>
      <c r="P784" s="59"/>
      <c r="Q784" s="124" t="e">
        <f>P784*#REF!</f>
        <v>#REF!</v>
      </c>
      <c r="R784" s="126">
        <v>45770</v>
      </c>
      <c r="S784" s="153">
        <f>IF(L784="","",L784-B784)</f>
        <v>5</v>
      </c>
      <c r="T784" s="153">
        <f>IF(N784="","",N784-L784)</f>
        <v>0</v>
      </c>
      <c r="U784" s="153">
        <f>IF(O784="","",O784-N784)</f>
        <v>0</v>
      </c>
      <c r="V784" s="154">
        <f>IF(O784="","",O784-B784)</f>
        <v>5</v>
      </c>
      <c r="W784" s="154">
        <f>IF(O784="","",O784-L784)</f>
        <v>0</v>
      </c>
      <c r="X784" s="154">
        <f>IF(R784="","",R784-B784)</f>
        <v>7</v>
      </c>
    </row>
    <row r="785" spans="2:24" ht="17.25" hidden="1" customHeight="1">
      <c r="B785" s="23">
        <v>45763</v>
      </c>
      <c r="C785" s="7">
        <v>2003608736</v>
      </c>
      <c r="D785" s="20">
        <v>5892345</v>
      </c>
      <c r="E785" s="27" t="s">
        <v>185</v>
      </c>
      <c r="F785" s="7" t="s">
        <v>107</v>
      </c>
      <c r="G785" s="7" t="s">
        <v>10</v>
      </c>
      <c r="H785" s="7" t="s">
        <v>45</v>
      </c>
      <c r="I785" s="20" t="s">
        <v>390</v>
      </c>
      <c r="J785" s="20" t="s">
        <v>1354</v>
      </c>
      <c r="K785" s="7" t="s">
        <v>119</v>
      </c>
      <c r="L785" s="61">
        <v>45768</v>
      </c>
      <c r="M785" s="7" t="s">
        <v>111</v>
      </c>
      <c r="N785" s="61">
        <v>45768</v>
      </c>
      <c r="O785" s="58">
        <v>45770</v>
      </c>
      <c r="P785" s="59"/>
      <c r="Q785" s="124" t="e">
        <f>P785*#REF!</f>
        <v>#REF!</v>
      </c>
      <c r="R785" s="126">
        <v>45771</v>
      </c>
      <c r="S785" s="153">
        <f>IF(L785="","",L785-B785)</f>
        <v>5</v>
      </c>
      <c r="T785" s="153">
        <f>IF(N785="","",N785-L785)</f>
        <v>0</v>
      </c>
      <c r="U785" s="153">
        <f>IF(O785="","",O785-N785)</f>
        <v>2</v>
      </c>
      <c r="V785" s="154">
        <f>IF(O785="","",O785-B785)</f>
        <v>7</v>
      </c>
      <c r="W785" s="154">
        <f>IF(O785="","",O785-L785)</f>
        <v>2</v>
      </c>
      <c r="X785" s="154">
        <f>IF(R785="","",R785-B785)</f>
        <v>8</v>
      </c>
    </row>
    <row r="786" spans="2:24" ht="17.25" hidden="1" customHeight="1">
      <c r="B786" s="23">
        <v>45763</v>
      </c>
      <c r="C786" s="7">
        <v>2003663831</v>
      </c>
      <c r="D786" s="20">
        <v>144509</v>
      </c>
      <c r="E786" s="27" t="s">
        <v>149</v>
      </c>
      <c r="F786" s="7" t="s">
        <v>107</v>
      </c>
      <c r="G786" s="7" t="s">
        <v>10</v>
      </c>
      <c r="H786" s="7" t="s">
        <v>45</v>
      </c>
      <c r="I786" s="20" t="s">
        <v>1355</v>
      </c>
      <c r="J786" s="20" t="s">
        <v>1356</v>
      </c>
      <c r="K786" s="7" t="s">
        <v>119</v>
      </c>
      <c r="L786" s="61">
        <v>45772</v>
      </c>
      <c r="M786" s="7" t="s">
        <v>111</v>
      </c>
      <c r="N786" s="61">
        <v>45772</v>
      </c>
      <c r="O786" s="61">
        <v>45772</v>
      </c>
      <c r="P786" s="59"/>
      <c r="Q786" s="124" t="e">
        <f>P786*#REF!</f>
        <v>#REF!</v>
      </c>
      <c r="R786" s="126">
        <v>45772</v>
      </c>
      <c r="S786" s="153">
        <f>IF(L786="","",L786-B786)</f>
        <v>9</v>
      </c>
      <c r="T786" s="153">
        <f>IF(N786="","",N786-L786)</f>
        <v>0</v>
      </c>
      <c r="U786" s="153">
        <f>IF(O786="","",O786-N786)</f>
        <v>0</v>
      </c>
      <c r="V786" s="154">
        <f>IF(O786="","",O786-B786)</f>
        <v>9</v>
      </c>
      <c r="W786" s="154">
        <f>IF(O786="","",O786-L786)</f>
        <v>0</v>
      </c>
      <c r="X786" s="154">
        <f>IF(R786="","",R786-B786)</f>
        <v>9</v>
      </c>
    </row>
    <row r="787" spans="2:24" ht="17.25" hidden="1" customHeight="1">
      <c r="B787" s="23">
        <v>45763</v>
      </c>
      <c r="C787" s="7">
        <v>2003624461</v>
      </c>
      <c r="D787" s="20">
        <v>144438</v>
      </c>
      <c r="E787" s="27" t="s">
        <v>129</v>
      </c>
      <c r="F787" s="7" t="s">
        <v>107</v>
      </c>
      <c r="G787" s="7" t="s">
        <v>18</v>
      </c>
      <c r="H787" s="7" t="s">
        <v>45</v>
      </c>
      <c r="I787" s="20" t="s">
        <v>1357</v>
      </c>
      <c r="J787" s="20" t="s">
        <v>1358</v>
      </c>
      <c r="K787" s="7" t="s">
        <v>111</v>
      </c>
      <c r="L787" s="61">
        <v>45768</v>
      </c>
      <c r="M787" s="7" t="s">
        <v>111</v>
      </c>
      <c r="N787" s="61">
        <v>45768</v>
      </c>
      <c r="O787" s="58">
        <v>45791</v>
      </c>
      <c r="P787" s="59"/>
      <c r="Q787" s="124" t="e">
        <f>P787*#REF!</f>
        <v>#REF!</v>
      </c>
      <c r="R787" s="126">
        <v>45792</v>
      </c>
      <c r="S787" s="153">
        <f>IF(L787="","",L787-B787)</f>
        <v>5</v>
      </c>
      <c r="T787" s="153">
        <f>IF(N787="","",N787-L787)</f>
        <v>0</v>
      </c>
      <c r="U787" s="153">
        <f>IF(O787="","",O787-N787)</f>
        <v>23</v>
      </c>
      <c r="V787" s="154">
        <f>IF(O787="","",O787-B787)</f>
        <v>28</v>
      </c>
      <c r="W787" s="154">
        <f>IF(O787="","",O787-L787)</f>
        <v>23</v>
      </c>
      <c r="X787" s="154">
        <f>IF(R787="","",R787-B787)</f>
        <v>29</v>
      </c>
    </row>
    <row r="788" spans="2:24" ht="17.25" hidden="1" customHeight="1">
      <c r="B788" s="23">
        <v>45762</v>
      </c>
      <c r="C788" s="7">
        <v>2003662372</v>
      </c>
      <c r="D788" s="20">
        <v>143607</v>
      </c>
      <c r="E788" s="27" t="s">
        <v>123</v>
      </c>
      <c r="F788" s="7" t="s">
        <v>107</v>
      </c>
      <c r="G788" s="7" t="s">
        <v>10</v>
      </c>
      <c r="H788" s="7" t="s">
        <v>45</v>
      </c>
      <c r="I788" s="20" t="s">
        <v>1359</v>
      </c>
      <c r="J788" s="20" t="s">
        <v>1360</v>
      </c>
      <c r="K788" s="7" t="s">
        <v>122</v>
      </c>
      <c r="L788" s="61">
        <v>45769</v>
      </c>
      <c r="M788" s="7" t="s">
        <v>111</v>
      </c>
      <c r="N788" s="61">
        <v>45771</v>
      </c>
      <c r="O788" s="58">
        <v>45772</v>
      </c>
      <c r="P788" s="59"/>
      <c r="Q788" s="124" t="e">
        <f>P788*#REF!</f>
        <v>#REF!</v>
      </c>
      <c r="R788" s="126">
        <v>45772</v>
      </c>
      <c r="S788" s="153">
        <f>IF(L788="","",L788-B788)</f>
        <v>7</v>
      </c>
      <c r="T788" s="153">
        <f>IF(N788="","",N788-L788)</f>
        <v>2</v>
      </c>
      <c r="U788" s="153">
        <f>IF(O788="","",O788-N788)</f>
        <v>1</v>
      </c>
      <c r="V788" s="154">
        <f>IF(O788="","",O788-B788)</f>
        <v>10</v>
      </c>
      <c r="W788" s="154">
        <f>IF(O788="","",O788-L788)</f>
        <v>3</v>
      </c>
      <c r="X788" s="154">
        <f>IF(R788="","",R788-B788)</f>
        <v>10</v>
      </c>
    </row>
    <row r="789" spans="2:24" ht="17.25" hidden="1" customHeight="1">
      <c r="B789" s="23">
        <v>45768</v>
      </c>
      <c r="C789" s="7">
        <v>2003655020</v>
      </c>
      <c r="D789" s="20">
        <v>146184</v>
      </c>
      <c r="E789" s="27" t="s">
        <v>568</v>
      </c>
      <c r="F789" s="7" t="s">
        <v>107</v>
      </c>
      <c r="G789" s="7" t="s">
        <v>10</v>
      </c>
      <c r="H789" s="7" t="s">
        <v>45</v>
      </c>
      <c r="I789" s="20" t="s">
        <v>1361</v>
      </c>
      <c r="J789" s="20" t="s">
        <v>1362</v>
      </c>
      <c r="K789" s="7" t="s">
        <v>119</v>
      </c>
      <c r="L789" s="61">
        <v>45771</v>
      </c>
      <c r="M789" s="7" t="s">
        <v>111</v>
      </c>
      <c r="N789" s="24">
        <v>45782</v>
      </c>
      <c r="O789" s="106">
        <v>45782</v>
      </c>
      <c r="P789" s="59"/>
      <c r="Q789" s="124" t="e">
        <f>P789*#REF!</f>
        <v>#REF!</v>
      </c>
      <c r="R789" s="126">
        <v>45782</v>
      </c>
      <c r="S789" s="153">
        <f>IF(L789="","",L789-B789)</f>
        <v>3</v>
      </c>
      <c r="T789" s="153">
        <f>IF(N789="","",N789-L789)</f>
        <v>11</v>
      </c>
      <c r="U789" s="153">
        <f>IF(O789="","",O789-N789)</f>
        <v>0</v>
      </c>
      <c r="V789" s="154">
        <f>IF(O789="","",O789-B789)</f>
        <v>14</v>
      </c>
      <c r="W789" s="154">
        <f>IF(O789="","",O789-L789)</f>
        <v>11</v>
      </c>
      <c r="X789" s="154">
        <f>IF(R789="","",R789-B789)</f>
        <v>14</v>
      </c>
    </row>
    <row r="790" spans="2:24" ht="17.25" hidden="1" customHeight="1">
      <c r="B790" s="23">
        <v>45768</v>
      </c>
      <c r="C790" s="7">
        <v>2003657330</v>
      </c>
      <c r="D790" s="20">
        <v>5893862</v>
      </c>
      <c r="E790" s="27" t="s">
        <v>123</v>
      </c>
      <c r="F790" s="7" t="s">
        <v>107</v>
      </c>
      <c r="G790" s="7" t="s">
        <v>18</v>
      </c>
      <c r="H790" s="7" t="s">
        <v>45</v>
      </c>
      <c r="I790" s="20" t="s">
        <v>1363</v>
      </c>
      <c r="J790" s="20" t="s">
        <v>1364</v>
      </c>
      <c r="K790" s="7" t="s">
        <v>122</v>
      </c>
      <c r="L790" s="61">
        <v>45770</v>
      </c>
      <c r="M790" s="7" t="s">
        <v>111</v>
      </c>
      <c r="N790" s="61">
        <v>45771</v>
      </c>
      <c r="O790" s="23">
        <v>45772</v>
      </c>
      <c r="P790" s="59"/>
      <c r="Q790" s="124" t="e">
        <f>P790*#REF!</f>
        <v>#REF!</v>
      </c>
      <c r="R790" s="126">
        <v>45772</v>
      </c>
      <c r="S790" s="153">
        <f>IF(L790="","",L790-B790)</f>
        <v>2</v>
      </c>
      <c r="T790" s="153">
        <f>IF(N790="","",N790-L790)</f>
        <v>1</v>
      </c>
      <c r="U790" s="153">
        <f>IF(O790="","",O790-N790)</f>
        <v>1</v>
      </c>
      <c r="V790" s="154">
        <f>IF(O790="","",O790-B790)</f>
        <v>4</v>
      </c>
      <c r="W790" s="154">
        <f>IF(O790="","",O790-L790)</f>
        <v>2</v>
      </c>
      <c r="X790" s="154">
        <f>IF(R790="","",R790-B790)</f>
        <v>4</v>
      </c>
    </row>
    <row r="791" spans="2:24" ht="17.25" hidden="1" customHeight="1">
      <c r="B791" s="23">
        <v>45768</v>
      </c>
      <c r="C791" s="7">
        <v>2003638202</v>
      </c>
      <c r="D791" s="20">
        <v>5892554</v>
      </c>
      <c r="E791" s="27" t="s">
        <v>198</v>
      </c>
      <c r="F791" s="7" t="s">
        <v>107</v>
      </c>
      <c r="G791" s="7" t="s">
        <v>26</v>
      </c>
      <c r="H791" s="7" t="s">
        <v>45</v>
      </c>
      <c r="I791" s="20" t="s">
        <v>1365</v>
      </c>
      <c r="J791" s="20" t="s">
        <v>1366</v>
      </c>
      <c r="K791" s="7" t="s">
        <v>119</v>
      </c>
      <c r="L791" s="61">
        <v>45769</v>
      </c>
      <c r="M791" s="7" t="s">
        <v>111</v>
      </c>
      <c r="N791" s="24">
        <v>45770</v>
      </c>
      <c r="O791" s="58">
        <v>45770</v>
      </c>
      <c r="P791" s="59"/>
      <c r="Q791" s="124" t="e">
        <f>P791*#REF!</f>
        <v>#REF!</v>
      </c>
      <c r="R791" s="126">
        <v>45770</v>
      </c>
      <c r="S791" s="153">
        <f>IF(L791="","",L791-B791)</f>
        <v>1</v>
      </c>
      <c r="T791" s="153">
        <f>IF(N791="","",N791-L791)</f>
        <v>1</v>
      </c>
      <c r="U791" s="153">
        <f>IF(O791="","",O791-N791)</f>
        <v>0</v>
      </c>
      <c r="V791" s="154">
        <f>IF(O791="","",O791-B791)</f>
        <v>2</v>
      </c>
      <c r="W791" s="154">
        <f>IF(O791="","",O791-L791)</f>
        <v>1</v>
      </c>
      <c r="X791" s="154">
        <f>IF(R791="","",R791-B791)</f>
        <v>2</v>
      </c>
    </row>
    <row r="792" spans="2:24" ht="17.25" hidden="1" customHeight="1">
      <c r="B792" s="23">
        <v>45768</v>
      </c>
      <c r="C792" s="7">
        <v>2003639243</v>
      </c>
      <c r="D792" s="20">
        <v>5893096</v>
      </c>
      <c r="E792" s="27" t="s">
        <v>408</v>
      </c>
      <c r="F792" s="7" t="s">
        <v>107</v>
      </c>
      <c r="G792" s="7" t="s">
        <v>10</v>
      </c>
      <c r="H792" s="7" t="s">
        <v>45</v>
      </c>
      <c r="I792" s="20" t="s">
        <v>623</v>
      </c>
      <c r="J792" s="20" t="s">
        <v>1300</v>
      </c>
      <c r="K792" s="7" t="s">
        <v>110</v>
      </c>
      <c r="L792" s="61">
        <v>45768</v>
      </c>
      <c r="M792" s="7" t="s">
        <v>111</v>
      </c>
      <c r="N792" s="24">
        <v>45768</v>
      </c>
      <c r="O792" s="58">
        <v>45770</v>
      </c>
      <c r="P792" s="59"/>
      <c r="Q792" s="124" t="e">
        <f>P792*#REF!</f>
        <v>#REF!</v>
      </c>
      <c r="R792" s="126">
        <v>45771</v>
      </c>
      <c r="S792" s="153">
        <f>IF(L792="","",L792-B792)</f>
        <v>0</v>
      </c>
      <c r="T792" s="153">
        <f>IF(N792="","",N792-L792)</f>
        <v>0</v>
      </c>
      <c r="U792" s="153">
        <f>IF(O792="","",O792-N792)</f>
        <v>2</v>
      </c>
      <c r="V792" s="154">
        <f>IF(O792="","",O792-B792)</f>
        <v>2</v>
      </c>
      <c r="W792" s="154">
        <f>IF(O792="","",O792-L792)</f>
        <v>2</v>
      </c>
      <c r="X792" s="154">
        <f>IF(R792="","",R792-B792)</f>
        <v>3</v>
      </c>
    </row>
    <row r="793" spans="2:24" ht="17.25" hidden="1" customHeight="1">
      <c r="B793" s="23">
        <v>45768</v>
      </c>
      <c r="C793" s="7">
        <v>2003658854</v>
      </c>
      <c r="D793" s="20">
        <v>5893108</v>
      </c>
      <c r="E793" s="27" t="s">
        <v>191</v>
      </c>
      <c r="F793" s="7" t="s">
        <v>107</v>
      </c>
      <c r="G793" s="7" t="s">
        <v>18</v>
      </c>
      <c r="H793" s="7" t="s">
        <v>45</v>
      </c>
      <c r="I793" s="20" t="s">
        <v>1367</v>
      </c>
      <c r="J793" s="20" t="s">
        <v>1368</v>
      </c>
      <c r="K793" s="7" t="s">
        <v>110</v>
      </c>
      <c r="L793" s="61">
        <v>45771</v>
      </c>
      <c r="M793" s="7" t="s">
        <v>111</v>
      </c>
      <c r="N793" s="61">
        <v>45771</v>
      </c>
      <c r="O793" s="58">
        <v>45773</v>
      </c>
      <c r="P793" s="59"/>
      <c r="Q793" s="124" t="e">
        <f>P793*#REF!</f>
        <v>#REF!</v>
      </c>
      <c r="R793" s="126">
        <v>45776</v>
      </c>
      <c r="S793" s="153">
        <f>IF(L793="","",L793-B793)</f>
        <v>3</v>
      </c>
      <c r="T793" s="153">
        <f>IF(N793="","",N793-L793)</f>
        <v>0</v>
      </c>
      <c r="U793" s="153">
        <f>IF(O793="","",O793-N793)</f>
        <v>2</v>
      </c>
      <c r="V793" s="154">
        <f>IF(O793="","",O793-B793)</f>
        <v>5</v>
      </c>
      <c r="W793" s="154">
        <f>IF(O793="","",O793-L793)</f>
        <v>2</v>
      </c>
      <c r="X793" s="154">
        <f>IF(R793="","",R793-B793)</f>
        <v>8</v>
      </c>
    </row>
    <row r="794" spans="2:24" ht="17.25" hidden="1" customHeight="1">
      <c r="B794" s="23">
        <v>45768</v>
      </c>
      <c r="C794" s="7">
        <v>2003665388</v>
      </c>
      <c r="D794" s="20">
        <v>5893287</v>
      </c>
      <c r="E794" s="27" t="s">
        <v>230</v>
      </c>
      <c r="F794" s="7" t="s">
        <v>107</v>
      </c>
      <c r="G794" s="7" t="s">
        <v>10</v>
      </c>
      <c r="H794" s="7" t="s">
        <v>45</v>
      </c>
      <c r="I794" s="20" t="s">
        <v>1369</v>
      </c>
      <c r="J794" s="20" t="s">
        <v>1370</v>
      </c>
      <c r="K794" s="7" t="s">
        <v>110</v>
      </c>
      <c r="L794" s="61">
        <v>45771</v>
      </c>
      <c r="M794" s="7" t="s">
        <v>111</v>
      </c>
      <c r="N794" s="61">
        <v>45771</v>
      </c>
      <c r="O794" s="61">
        <v>45771</v>
      </c>
      <c r="P794" s="59">
        <v>152</v>
      </c>
      <c r="Q794" s="124" t="e">
        <f>P794*#REF!</f>
        <v>#REF!</v>
      </c>
      <c r="R794" s="126">
        <v>45771</v>
      </c>
      <c r="S794" s="153">
        <f>IF(L794="","",L794-B794)</f>
        <v>3</v>
      </c>
      <c r="T794" s="153">
        <f>IF(N794="","",N794-L794)</f>
        <v>0</v>
      </c>
      <c r="U794" s="153">
        <f>IF(O794="","",O794-N794)</f>
        <v>0</v>
      </c>
      <c r="V794" s="154">
        <f>IF(O794="","",O794-B794)</f>
        <v>3</v>
      </c>
      <c r="W794" s="154">
        <f>IF(O794="","",O794-L794)</f>
        <v>0</v>
      </c>
      <c r="X794" s="154">
        <f>IF(R794="","",R794-B794)</f>
        <v>3</v>
      </c>
    </row>
    <row r="795" spans="2:24" ht="17.25" hidden="1" customHeight="1">
      <c r="B795" s="23">
        <v>45768</v>
      </c>
      <c r="C795" s="7">
        <v>2003666296</v>
      </c>
      <c r="D795" s="20">
        <v>5893305</v>
      </c>
      <c r="E795" s="27" t="s">
        <v>191</v>
      </c>
      <c r="F795" s="7" t="s">
        <v>107</v>
      </c>
      <c r="G795" s="7" t="s">
        <v>10</v>
      </c>
      <c r="H795" s="7" t="s">
        <v>45</v>
      </c>
      <c r="I795" s="20" t="s">
        <v>1371</v>
      </c>
      <c r="J795" s="20" t="s">
        <v>1372</v>
      </c>
      <c r="K795" s="7" t="s">
        <v>110</v>
      </c>
      <c r="L795" s="61">
        <v>45771</v>
      </c>
      <c r="M795" s="7" t="s">
        <v>111</v>
      </c>
      <c r="N795" s="61">
        <v>45771</v>
      </c>
      <c r="O795" s="61">
        <v>45771</v>
      </c>
      <c r="P795" s="59"/>
      <c r="Q795" s="124" t="e">
        <f>P795*#REF!</f>
        <v>#REF!</v>
      </c>
      <c r="R795" s="126">
        <v>45771</v>
      </c>
      <c r="S795" s="153">
        <f>IF(L795="","",L795-B795)</f>
        <v>3</v>
      </c>
      <c r="T795" s="153">
        <f>IF(N795="","",N795-L795)</f>
        <v>0</v>
      </c>
      <c r="U795" s="153">
        <f>IF(O795="","",O795-N795)</f>
        <v>0</v>
      </c>
      <c r="V795" s="154">
        <f>IF(O795="","",O795-B795)</f>
        <v>3</v>
      </c>
      <c r="W795" s="154">
        <f>IF(O795="","",O795-L795)</f>
        <v>0</v>
      </c>
      <c r="X795" s="154">
        <f>IF(R795="","",R795-B795)</f>
        <v>3</v>
      </c>
    </row>
    <row r="796" spans="2:24" ht="17.25" hidden="1" customHeight="1">
      <c r="B796" s="23">
        <v>45768</v>
      </c>
      <c r="C796" s="7">
        <v>2003666289</v>
      </c>
      <c r="D796" s="20">
        <v>5893317</v>
      </c>
      <c r="E796" s="27" t="s">
        <v>116</v>
      </c>
      <c r="F796" s="7" t="s">
        <v>107</v>
      </c>
      <c r="G796" s="7" t="s">
        <v>10</v>
      </c>
      <c r="H796" s="7" t="s">
        <v>45</v>
      </c>
      <c r="I796" s="20" t="s">
        <v>1373</v>
      </c>
      <c r="J796" s="20" t="s">
        <v>1374</v>
      </c>
      <c r="K796" s="7" t="s">
        <v>119</v>
      </c>
      <c r="L796" s="61">
        <v>45772</v>
      </c>
      <c r="M796" s="7" t="s">
        <v>111</v>
      </c>
      <c r="N796" s="61">
        <v>45772</v>
      </c>
      <c r="O796" s="61">
        <v>45772</v>
      </c>
      <c r="P796" s="59"/>
      <c r="Q796" s="124" t="e">
        <f>P796*#REF!</f>
        <v>#REF!</v>
      </c>
      <c r="R796" s="126">
        <v>45772</v>
      </c>
      <c r="S796" s="153">
        <f>IF(L796="","",L796-B796)</f>
        <v>4</v>
      </c>
      <c r="T796" s="153">
        <f>IF(N796="","",N796-L796)</f>
        <v>0</v>
      </c>
      <c r="U796" s="153">
        <f>IF(O796="","",O796-N796)</f>
        <v>0</v>
      </c>
      <c r="V796" s="154">
        <f>IF(O796="","",O796-B796)</f>
        <v>4</v>
      </c>
      <c r="W796" s="154">
        <f>IF(O796="","",O796-L796)</f>
        <v>0</v>
      </c>
      <c r="X796" s="154">
        <f>IF(R796="","",R796-B796)</f>
        <v>4</v>
      </c>
    </row>
    <row r="797" spans="2:24" ht="17.25" hidden="1" customHeight="1">
      <c r="B797" s="23">
        <v>45768</v>
      </c>
      <c r="C797" s="7">
        <v>2003664873</v>
      </c>
      <c r="D797" s="20">
        <v>5893375</v>
      </c>
      <c r="E797" s="27" t="s">
        <v>191</v>
      </c>
      <c r="F797" s="7" t="s">
        <v>107</v>
      </c>
      <c r="G797" s="7" t="s">
        <v>10</v>
      </c>
      <c r="H797" s="7" t="s">
        <v>45</v>
      </c>
      <c r="I797" s="20" t="s">
        <v>1375</v>
      </c>
      <c r="J797" s="20" t="s">
        <v>1376</v>
      </c>
      <c r="K797" s="7" t="s">
        <v>110</v>
      </c>
      <c r="L797" s="61">
        <v>45770</v>
      </c>
      <c r="M797" s="7" t="s">
        <v>111</v>
      </c>
      <c r="N797" s="61">
        <v>45770</v>
      </c>
      <c r="O797" s="61">
        <v>45770</v>
      </c>
      <c r="P797" s="59"/>
      <c r="Q797" s="124" t="e">
        <f>P797*#REF!</f>
        <v>#REF!</v>
      </c>
      <c r="R797" s="126">
        <v>45771</v>
      </c>
      <c r="S797" s="153">
        <f>IF(L797="","",L797-B797)</f>
        <v>2</v>
      </c>
      <c r="T797" s="153">
        <f>IF(N797="","",N797-L797)</f>
        <v>0</v>
      </c>
      <c r="U797" s="153">
        <f>IF(O797="","",O797-N797)</f>
        <v>0</v>
      </c>
      <c r="V797" s="154">
        <f>IF(O797="","",O797-B797)</f>
        <v>2</v>
      </c>
      <c r="W797" s="154">
        <f>IF(O797="","",O797-L797)</f>
        <v>0</v>
      </c>
      <c r="X797" s="154">
        <f>IF(R797="","",R797-B797)</f>
        <v>3</v>
      </c>
    </row>
    <row r="798" spans="2:24" ht="17.25" hidden="1" customHeight="1">
      <c r="B798" s="23">
        <v>45769</v>
      </c>
      <c r="C798" s="7">
        <v>2003667064</v>
      </c>
      <c r="D798" s="20">
        <v>146944</v>
      </c>
      <c r="E798" s="27" t="s">
        <v>116</v>
      </c>
      <c r="F798" s="7" t="s">
        <v>107</v>
      </c>
      <c r="G798" s="7" t="s">
        <v>10</v>
      </c>
      <c r="H798" s="7" t="s">
        <v>45</v>
      </c>
      <c r="I798" s="20" t="s">
        <v>1377</v>
      </c>
      <c r="J798" s="20" t="s">
        <v>1378</v>
      </c>
      <c r="K798" s="7" t="s">
        <v>119</v>
      </c>
      <c r="L798" s="61">
        <v>45775</v>
      </c>
      <c r="M798" s="7" t="s">
        <v>111</v>
      </c>
      <c r="N798" s="24">
        <v>45778</v>
      </c>
      <c r="O798" s="24">
        <v>45778</v>
      </c>
      <c r="P798" s="59"/>
      <c r="Q798" s="124" t="e">
        <f>P798*#REF!</f>
        <v>#REF!</v>
      </c>
      <c r="R798" s="126">
        <v>45782</v>
      </c>
      <c r="S798" s="153">
        <f>IF(L798="","",L798-B798)</f>
        <v>6</v>
      </c>
      <c r="T798" s="153">
        <f>IF(N798="","",N798-L798)</f>
        <v>3</v>
      </c>
      <c r="U798" s="153">
        <f>IF(O798="","",O798-N798)</f>
        <v>0</v>
      </c>
      <c r="V798" s="154">
        <f>IF(O798="","",O798-B798)</f>
        <v>9</v>
      </c>
      <c r="W798" s="154">
        <f>IF(O798="","",O798-L798)</f>
        <v>3</v>
      </c>
      <c r="X798" s="154">
        <f>IF(R798="","",R798-B798)</f>
        <v>13</v>
      </c>
    </row>
    <row r="799" spans="2:24" ht="17.25" hidden="1" customHeight="1">
      <c r="B799" s="23">
        <v>45769</v>
      </c>
      <c r="C799" s="7">
        <v>2003570707</v>
      </c>
      <c r="D799" s="20">
        <v>5894689</v>
      </c>
      <c r="E799" s="27" t="s">
        <v>116</v>
      </c>
      <c r="F799" s="7" t="s">
        <v>113</v>
      </c>
      <c r="G799" s="7" t="s">
        <v>70</v>
      </c>
      <c r="H799" s="7" t="s">
        <v>47</v>
      </c>
      <c r="I799" s="20" t="s">
        <v>557</v>
      </c>
      <c r="J799" s="20" t="s">
        <v>558</v>
      </c>
      <c r="K799" s="7" t="s">
        <v>122</v>
      </c>
      <c r="L799" s="61">
        <v>45771</v>
      </c>
      <c r="M799" s="7" t="s">
        <v>111</v>
      </c>
      <c r="O799" s="23"/>
      <c r="P799" s="59"/>
      <c r="Q799" s="124" t="e">
        <f>P799*#REF!</f>
        <v>#REF!</v>
      </c>
      <c r="R799" s="126">
        <v>45778</v>
      </c>
      <c r="S799" s="153">
        <f>IF(L799="","",L799-B799)</f>
        <v>2</v>
      </c>
      <c r="T799" s="153" t="str">
        <f>IF(N799="","",N799-L799)</f>
        <v/>
      </c>
      <c r="U799" s="153" t="str">
        <f>IF(O799="","",O799-N799)</f>
        <v/>
      </c>
      <c r="V799" s="154" t="str">
        <f>IF(O799="","",O799-B799)</f>
        <v/>
      </c>
      <c r="W799" s="154" t="str">
        <f>IF(O799="","",O799-L799)</f>
        <v/>
      </c>
      <c r="X799" s="154">
        <f>IF(R799="","",R799-B799)</f>
        <v>9</v>
      </c>
    </row>
    <row r="800" spans="2:24" ht="17.25" hidden="1" customHeight="1">
      <c r="B800" s="23">
        <v>45768</v>
      </c>
      <c r="C800" s="7">
        <v>2003658796</v>
      </c>
      <c r="D800" s="20">
        <v>5893689</v>
      </c>
      <c r="E800" s="27" t="s">
        <v>258</v>
      </c>
      <c r="F800" s="7" t="s">
        <v>107</v>
      </c>
      <c r="G800" s="7" t="s">
        <v>10</v>
      </c>
      <c r="H800" s="7" t="s">
        <v>45</v>
      </c>
      <c r="I800" s="20" t="s">
        <v>919</v>
      </c>
      <c r="J800" s="20" t="s">
        <v>1379</v>
      </c>
      <c r="K800" s="7" t="s">
        <v>119</v>
      </c>
      <c r="L800" s="61">
        <v>45770</v>
      </c>
      <c r="M800" s="7" t="s">
        <v>111</v>
      </c>
      <c r="N800" s="24">
        <v>45770</v>
      </c>
      <c r="O800" s="58">
        <v>45771</v>
      </c>
      <c r="P800" s="59"/>
      <c r="Q800" s="124" t="e">
        <f>P800*#REF!</f>
        <v>#REF!</v>
      </c>
      <c r="R800" s="126">
        <v>45771</v>
      </c>
      <c r="S800" s="153">
        <f>IF(L800="","",L800-B800)</f>
        <v>2</v>
      </c>
      <c r="T800" s="153">
        <f>IF(N800="","",N800-L800)</f>
        <v>0</v>
      </c>
      <c r="U800" s="153">
        <f>IF(O800="","",O800-N800)</f>
        <v>1</v>
      </c>
      <c r="V800" s="154">
        <f>IF(O800="","",O800-B800)</f>
        <v>3</v>
      </c>
      <c r="W800" s="154">
        <f>IF(O800="","",O800-L800)</f>
        <v>1</v>
      </c>
      <c r="X800" s="154">
        <f>IF(R800="","",R800-B800)</f>
        <v>3</v>
      </c>
    </row>
    <row r="801" spans="2:24" ht="17.25" hidden="1" customHeight="1">
      <c r="B801" s="23">
        <v>45768</v>
      </c>
      <c r="C801" s="7">
        <v>2003665307</v>
      </c>
      <c r="D801" s="20">
        <v>5893709</v>
      </c>
      <c r="E801" s="27" t="s">
        <v>129</v>
      </c>
      <c r="F801" s="7" t="s">
        <v>113</v>
      </c>
      <c r="G801" s="7" t="s">
        <v>70</v>
      </c>
      <c r="H801" s="7" t="s">
        <v>47</v>
      </c>
      <c r="I801" s="20" t="s">
        <v>1380</v>
      </c>
      <c r="J801" s="20" t="s">
        <v>1381</v>
      </c>
      <c r="K801" s="7" t="s">
        <v>160</v>
      </c>
      <c r="P801" s="59"/>
      <c r="Q801" s="124" t="e">
        <f>P801*#REF!</f>
        <v>#REF!</v>
      </c>
      <c r="R801" s="126">
        <v>45770</v>
      </c>
      <c r="S801" s="153" t="str">
        <f>IF(L801="","",L801-B801)</f>
        <v/>
      </c>
      <c r="T801" s="153" t="str">
        <f>IF(N801="","",N801-L801)</f>
        <v/>
      </c>
      <c r="U801" s="153" t="str">
        <f>IF(O801="","",O801-N801)</f>
        <v/>
      </c>
      <c r="V801" s="154" t="str">
        <f>IF(O801="","",O801-B801)</f>
        <v/>
      </c>
      <c r="W801" s="154" t="str">
        <f>IF(O801="","",O801-L801)</f>
        <v/>
      </c>
      <c r="X801" s="154">
        <f>IF(R801="","",R801-B801)</f>
        <v>2</v>
      </c>
    </row>
    <row r="802" spans="2:24" ht="17.25" hidden="1" customHeight="1">
      <c r="B802" s="23">
        <v>45769</v>
      </c>
      <c r="C802" s="7">
        <v>2003535572</v>
      </c>
      <c r="D802" s="20">
        <v>5894740</v>
      </c>
      <c r="E802" s="27" t="s">
        <v>106</v>
      </c>
      <c r="F802" s="7" t="s">
        <v>107</v>
      </c>
      <c r="G802" s="7" t="s">
        <v>21</v>
      </c>
      <c r="H802" s="7" t="s">
        <v>45</v>
      </c>
      <c r="I802" s="20" t="s">
        <v>1382</v>
      </c>
      <c r="J802" s="20" t="s">
        <v>661</v>
      </c>
      <c r="K802" s="7" t="s">
        <v>122</v>
      </c>
      <c r="L802" s="61">
        <v>45771</v>
      </c>
      <c r="M802" s="7" t="s">
        <v>111</v>
      </c>
      <c r="N802" s="61">
        <v>45772</v>
      </c>
      <c r="O802" s="58">
        <v>45776</v>
      </c>
      <c r="P802" s="59"/>
      <c r="Q802" s="124" t="e">
        <f>P802*#REF!</f>
        <v>#REF!</v>
      </c>
      <c r="R802" s="126">
        <v>45776</v>
      </c>
      <c r="S802" s="153">
        <f>IF(L802="","",L802-B802)</f>
        <v>2</v>
      </c>
      <c r="T802" s="153">
        <f>IF(N802="","",N802-L802)</f>
        <v>1</v>
      </c>
      <c r="U802" s="153">
        <f>IF(O802="","",O802-N802)</f>
        <v>4</v>
      </c>
      <c r="V802" s="154">
        <f>IF(O802="","",O802-B802)</f>
        <v>7</v>
      </c>
      <c r="W802" s="154">
        <f>IF(O802="","",O802-L802)</f>
        <v>5</v>
      </c>
      <c r="X802" s="154">
        <f>IF(R802="","",R802-B802)</f>
        <v>7</v>
      </c>
    </row>
    <row r="803" spans="2:24" ht="17.25" hidden="1" customHeight="1">
      <c r="B803" s="23">
        <v>45768</v>
      </c>
      <c r="C803" s="7">
        <v>2003666523</v>
      </c>
      <c r="D803" s="20">
        <v>5893934</v>
      </c>
      <c r="E803" s="27" t="s">
        <v>1225</v>
      </c>
      <c r="F803" s="7" t="s">
        <v>107</v>
      </c>
      <c r="G803" s="7" t="s">
        <v>10</v>
      </c>
      <c r="H803" s="7" t="s">
        <v>45</v>
      </c>
      <c r="I803" s="20" t="s">
        <v>1383</v>
      </c>
      <c r="J803" s="20" t="s">
        <v>1384</v>
      </c>
      <c r="K803" s="7" t="s">
        <v>110</v>
      </c>
      <c r="L803" s="61">
        <v>45770</v>
      </c>
      <c r="M803" s="7" t="s">
        <v>111</v>
      </c>
      <c r="N803" s="61">
        <v>45771</v>
      </c>
      <c r="O803" s="61">
        <v>45772</v>
      </c>
      <c r="P803" s="59"/>
      <c r="Q803" s="124" t="e">
        <f>P803*#REF!</f>
        <v>#REF!</v>
      </c>
      <c r="R803" s="126">
        <v>45772</v>
      </c>
      <c r="S803" s="153">
        <f>IF(L803="","",L803-B803)</f>
        <v>2</v>
      </c>
      <c r="T803" s="153">
        <f>IF(N803="","",N803-L803)</f>
        <v>1</v>
      </c>
      <c r="U803" s="153">
        <f>IF(O803="","",O803-N803)</f>
        <v>1</v>
      </c>
      <c r="V803" s="154">
        <f>IF(O803="","",O803-B803)</f>
        <v>4</v>
      </c>
      <c r="W803" s="154">
        <f>IF(O803="","",O803-L803)</f>
        <v>2</v>
      </c>
      <c r="X803" s="154">
        <f>IF(R803="","",R803-B803)</f>
        <v>4</v>
      </c>
    </row>
    <row r="804" spans="2:24" ht="17.25" hidden="1" customHeight="1">
      <c r="B804" s="23">
        <v>45768</v>
      </c>
      <c r="C804" s="7">
        <v>2003663879</v>
      </c>
      <c r="D804" s="20">
        <v>5893935</v>
      </c>
      <c r="E804" s="27" t="s">
        <v>949</v>
      </c>
      <c r="F804" s="7" t="s">
        <v>107</v>
      </c>
      <c r="G804" s="7" t="s">
        <v>10</v>
      </c>
      <c r="H804" s="7" t="s">
        <v>45</v>
      </c>
      <c r="I804" s="20" t="s">
        <v>1385</v>
      </c>
      <c r="J804" s="20" t="s">
        <v>1386</v>
      </c>
      <c r="K804" s="7" t="s">
        <v>119</v>
      </c>
      <c r="L804" s="61">
        <v>45771</v>
      </c>
      <c r="M804" s="7" t="s">
        <v>111</v>
      </c>
      <c r="N804" s="61">
        <v>45771</v>
      </c>
      <c r="O804" s="61">
        <v>45772</v>
      </c>
      <c r="P804" s="59"/>
      <c r="Q804" s="124" t="e">
        <f>P804*#REF!</f>
        <v>#REF!</v>
      </c>
      <c r="R804" s="126">
        <v>45772</v>
      </c>
      <c r="S804" s="153">
        <f>IF(L804="","",L804-B804)</f>
        <v>3</v>
      </c>
      <c r="T804" s="153">
        <f>IF(N804="","",N804-L804)</f>
        <v>0</v>
      </c>
      <c r="U804" s="153">
        <f>IF(O804="","",O804-N804)</f>
        <v>1</v>
      </c>
      <c r="V804" s="154">
        <f>IF(O804="","",O804-B804)</f>
        <v>4</v>
      </c>
      <c r="W804" s="154">
        <f>IF(O804="","",O804-L804)</f>
        <v>1</v>
      </c>
      <c r="X804" s="154">
        <f>IF(R804="","",R804-B804)</f>
        <v>4</v>
      </c>
    </row>
    <row r="805" spans="2:24" ht="17.25" hidden="1" customHeight="1">
      <c r="B805" s="23">
        <v>45769</v>
      </c>
      <c r="C805" s="7">
        <v>2003666505</v>
      </c>
      <c r="D805" s="20">
        <v>146951</v>
      </c>
      <c r="E805" s="27" t="s">
        <v>116</v>
      </c>
      <c r="F805" s="7" t="s">
        <v>107</v>
      </c>
      <c r="G805" s="7" t="s">
        <v>10</v>
      </c>
      <c r="H805" s="7" t="s">
        <v>45</v>
      </c>
      <c r="I805" s="20" t="s">
        <v>1387</v>
      </c>
      <c r="J805" s="20" t="s">
        <v>1388</v>
      </c>
      <c r="K805" s="7" t="s">
        <v>119</v>
      </c>
      <c r="L805" s="61">
        <v>45772</v>
      </c>
      <c r="M805" s="7" t="s">
        <v>111</v>
      </c>
      <c r="N805" s="24">
        <v>45778</v>
      </c>
      <c r="O805" s="24">
        <v>45783</v>
      </c>
      <c r="P805" s="59"/>
      <c r="Q805" s="124" t="e">
        <f>P805*#REF!</f>
        <v>#REF!</v>
      </c>
      <c r="R805" s="126">
        <v>45783</v>
      </c>
      <c r="S805" s="153">
        <f>IF(L805="","",L805-B805)</f>
        <v>3</v>
      </c>
      <c r="T805" s="153">
        <f>IF(N805="","",N805-L805)</f>
        <v>6</v>
      </c>
      <c r="U805" s="153">
        <f>IF(O805="","",O805-N805)</f>
        <v>5</v>
      </c>
      <c r="V805" s="154">
        <f>IF(O805="","",O805-B805)</f>
        <v>14</v>
      </c>
      <c r="W805" s="154">
        <f>IF(O805="","",O805-L805)</f>
        <v>11</v>
      </c>
      <c r="X805" s="154">
        <f>IF(R805="","",R805-B805)</f>
        <v>14</v>
      </c>
    </row>
    <row r="806" spans="2:24" ht="17.25" hidden="1" customHeight="1">
      <c r="B806" s="23">
        <v>45768</v>
      </c>
      <c r="C806" s="7">
        <v>2003665668</v>
      </c>
      <c r="D806" s="20">
        <v>5893969</v>
      </c>
      <c r="E806" s="27" t="s">
        <v>123</v>
      </c>
      <c r="F806" s="7" t="s">
        <v>107</v>
      </c>
      <c r="G806" s="7" t="s">
        <v>10</v>
      </c>
      <c r="H806" s="7" t="s">
        <v>45</v>
      </c>
      <c r="I806" s="20" t="s">
        <v>1389</v>
      </c>
      <c r="J806" s="20" t="s">
        <v>1390</v>
      </c>
      <c r="K806" s="7" t="s">
        <v>119</v>
      </c>
      <c r="L806" s="61">
        <v>45770</v>
      </c>
      <c r="M806" s="7" t="s">
        <v>111</v>
      </c>
      <c r="N806" s="61">
        <v>45770</v>
      </c>
      <c r="O806" s="61">
        <v>45770</v>
      </c>
      <c r="P806" s="59"/>
      <c r="Q806" s="124" t="e">
        <f>P806*#REF!</f>
        <v>#REF!</v>
      </c>
      <c r="R806" s="126">
        <v>45771</v>
      </c>
      <c r="S806" s="153">
        <f>IF(L806="","",L806-B806)</f>
        <v>2</v>
      </c>
      <c r="T806" s="153">
        <f>IF(N806="","",N806-L806)</f>
        <v>0</v>
      </c>
      <c r="U806" s="153">
        <f>IF(O806="","",O806-N806)</f>
        <v>0</v>
      </c>
      <c r="V806" s="154">
        <f>IF(O806="","",O806-B806)</f>
        <v>2</v>
      </c>
      <c r="W806" s="154">
        <f>IF(O806="","",O806-L806)</f>
        <v>0</v>
      </c>
      <c r="X806" s="154">
        <f>IF(R806="","",R806-B806)</f>
        <v>3</v>
      </c>
    </row>
    <row r="807" spans="2:24" ht="17.25" hidden="1" customHeight="1">
      <c r="B807" s="23">
        <v>45768</v>
      </c>
      <c r="C807" s="7">
        <v>2003667415</v>
      </c>
      <c r="D807" s="20">
        <v>5893968</v>
      </c>
      <c r="E807" s="27" t="s">
        <v>116</v>
      </c>
      <c r="F807" s="7" t="s">
        <v>107</v>
      </c>
      <c r="G807" s="7" t="s">
        <v>10</v>
      </c>
      <c r="H807" s="7" t="s">
        <v>45</v>
      </c>
      <c r="I807" s="20" t="s">
        <v>735</v>
      </c>
      <c r="J807" s="20" t="s">
        <v>1391</v>
      </c>
      <c r="K807" s="7" t="s">
        <v>119</v>
      </c>
      <c r="L807" s="61">
        <v>45777</v>
      </c>
      <c r="M807" s="7" t="s">
        <v>111</v>
      </c>
      <c r="N807" s="61">
        <v>45777</v>
      </c>
      <c r="O807" s="61">
        <v>45777</v>
      </c>
      <c r="P807" s="59"/>
      <c r="Q807" s="124" t="e">
        <f>P807*#REF!</f>
        <v>#REF!</v>
      </c>
      <c r="R807" s="126">
        <v>45777</v>
      </c>
      <c r="S807" s="153">
        <f>IF(L807="","",L807-B807)</f>
        <v>9</v>
      </c>
      <c r="T807" s="153">
        <f>IF(N807="","",N807-L807)</f>
        <v>0</v>
      </c>
      <c r="U807" s="153">
        <f>IF(O807="","",O807-N807)</f>
        <v>0</v>
      </c>
      <c r="V807" s="154">
        <f>IF(O807="","",O807-B807)</f>
        <v>9</v>
      </c>
      <c r="W807" s="154">
        <f>IF(O807="","",O807-L807)</f>
        <v>0</v>
      </c>
      <c r="X807" s="154">
        <f>IF(R807="","",R807-B807)</f>
        <v>9</v>
      </c>
    </row>
    <row r="808" spans="2:24" ht="17.25" hidden="1" customHeight="1">
      <c r="B808" s="23">
        <v>45768</v>
      </c>
      <c r="C808" s="7">
        <v>2003665987</v>
      </c>
      <c r="D808" s="20">
        <v>5893976</v>
      </c>
      <c r="E808" s="27" t="s">
        <v>123</v>
      </c>
      <c r="F808" s="7" t="s">
        <v>107</v>
      </c>
      <c r="G808" s="7" t="s">
        <v>10</v>
      </c>
      <c r="H808" s="7" t="s">
        <v>45</v>
      </c>
      <c r="I808" s="20" t="s">
        <v>1215</v>
      </c>
      <c r="J808" s="20" t="s">
        <v>1392</v>
      </c>
      <c r="K808" s="7" t="s">
        <v>119</v>
      </c>
      <c r="L808" s="61">
        <v>45770</v>
      </c>
      <c r="M808" s="7" t="s">
        <v>111</v>
      </c>
      <c r="N808" s="61">
        <v>45770</v>
      </c>
      <c r="O808" s="61">
        <v>45770</v>
      </c>
      <c r="P808" s="59"/>
      <c r="Q808" s="124" t="e">
        <f>P808*#REF!</f>
        <v>#REF!</v>
      </c>
      <c r="R808" s="126">
        <v>45771</v>
      </c>
      <c r="S808" s="153">
        <f>IF(L808="","",L808-B808)</f>
        <v>2</v>
      </c>
      <c r="T808" s="153">
        <f>IF(N808="","",N808-L808)</f>
        <v>0</v>
      </c>
      <c r="U808" s="153">
        <f>IF(O808="","",O808-N808)</f>
        <v>0</v>
      </c>
      <c r="V808" s="154">
        <f>IF(O808="","",O808-B808)</f>
        <v>2</v>
      </c>
      <c r="W808" s="154">
        <f>IF(O808="","",O808-L808)</f>
        <v>0</v>
      </c>
      <c r="X808" s="154">
        <f>IF(R808="","",R808-B808)</f>
        <v>3</v>
      </c>
    </row>
    <row r="809" spans="2:24" ht="17.25" hidden="1" customHeight="1">
      <c r="B809" s="23">
        <v>45768</v>
      </c>
      <c r="C809" s="7">
        <v>2003667436</v>
      </c>
      <c r="D809" s="20">
        <v>5893981</v>
      </c>
      <c r="E809" s="27" t="s">
        <v>123</v>
      </c>
      <c r="F809" s="7" t="s">
        <v>107</v>
      </c>
      <c r="G809" s="7" t="s">
        <v>10</v>
      </c>
      <c r="H809" s="7" t="s">
        <v>45</v>
      </c>
      <c r="I809" s="20" t="s">
        <v>1393</v>
      </c>
      <c r="J809" s="20" t="s">
        <v>1394</v>
      </c>
      <c r="K809" s="7" t="s">
        <v>119</v>
      </c>
      <c r="L809" s="61">
        <v>45771</v>
      </c>
      <c r="M809" s="7" t="s">
        <v>111</v>
      </c>
      <c r="N809" s="61">
        <v>45771</v>
      </c>
      <c r="O809" s="61">
        <v>45771</v>
      </c>
      <c r="P809" s="59"/>
      <c r="Q809" s="124" t="e">
        <f>P809*#REF!</f>
        <v>#REF!</v>
      </c>
      <c r="R809" s="126">
        <v>45771</v>
      </c>
      <c r="S809" s="153">
        <f>IF(L809="","",L809-B809)</f>
        <v>3</v>
      </c>
      <c r="T809" s="153">
        <f>IF(N809="","",N809-L809)</f>
        <v>0</v>
      </c>
      <c r="U809" s="153">
        <f>IF(O809="","",O809-N809)</f>
        <v>0</v>
      </c>
      <c r="V809" s="154">
        <f>IF(O809="","",O809-B809)</f>
        <v>3</v>
      </c>
      <c r="W809" s="154">
        <f>IF(O809="","",O809-L809)</f>
        <v>0</v>
      </c>
      <c r="X809" s="154">
        <f>IF(R809="","",R809-B809)</f>
        <v>3</v>
      </c>
    </row>
    <row r="810" spans="2:24" ht="17.25" hidden="1" customHeight="1">
      <c r="B810" s="23">
        <v>45768</v>
      </c>
      <c r="C810" s="7">
        <v>2003661545</v>
      </c>
      <c r="D810" s="20">
        <v>5893986</v>
      </c>
      <c r="E810" s="27" t="s">
        <v>408</v>
      </c>
      <c r="F810" s="7" t="s">
        <v>107</v>
      </c>
      <c r="G810" s="7" t="s">
        <v>18</v>
      </c>
      <c r="H810" s="7" t="s">
        <v>45</v>
      </c>
      <c r="I810" s="20" t="s">
        <v>1395</v>
      </c>
      <c r="J810" s="20" t="s">
        <v>1396</v>
      </c>
      <c r="K810" s="7" t="s">
        <v>110</v>
      </c>
      <c r="L810" s="61">
        <v>45771</v>
      </c>
      <c r="M810" s="7" t="s">
        <v>111</v>
      </c>
      <c r="N810" s="61">
        <v>45771</v>
      </c>
      <c r="O810" s="58">
        <v>45773</v>
      </c>
      <c r="P810" s="59"/>
      <c r="Q810" s="124" t="e">
        <f>P810*#REF!</f>
        <v>#REF!</v>
      </c>
      <c r="R810" s="126">
        <v>45776</v>
      </c>
      <c r="S810" s="153">
        <f>IF(L810="","",L810-B810)</f>
        <v>3</v>
      </c>
      <c r="T810" s="153">
        <f>IF(N810="","",N810-L810)</f>
        <v>0</v>
      </c>
      <c r="U810" s="153">
        <f>IF(O810="","",O810-N810)</f>
        <v>2</v>
      </c>
      <c r="V810" s="154">
        <f>IF(O810="","",O810-B810)</f>
        <v>5</v>
      </c>
      <c r="W810" s="154">
        <f>IF(O810="","",O810-L810)</f>
        <v>2</v>
      </c>
      <c r="X810" s="154">
        <f>IF(R810="","",R810-B810)</f>
        <v>8</v>
      </c>
    </row>
    <row r="811" spans="2:24" ht="17.25" hidden="1" customHeight="1">
      <c r="B811" s="23">
        <v>45768</v>
      </c>
      <c r="C811" s="7">
        <v>2003664928</v>
      </c>
      <c r="D811" s="20">
        <v>5894013</v>
      </c>
      <c r="E811" s="27" t="s">
        <v>180</v>
      </c>
      <c r="F811" s="7" t="s">
        <v>107</v>
      </c>
      <c r="G811" s="7" t="s">
        <v>10</v>
      </c>
      <c r="H811" s="7" t="s">
        <v>45</v>
      </c>
      <c r="I811" s="20" t="s">
        <v>136</v>
      </c>
      <c r="J811" s="20" t="s">
        <v>1397</v>
      </c>
      <c r="K811" s="7" t="s">
        <v>119</v>
      </c>
      <c r="L811" s="61">
        <v>45770</v>
      </c>
      <c r="M811" s="7" t="s">
        <v>111</v>
      </c>
      <c r="N811" s="61">
        <v>45770</v>
      </c>
      <c r="O811" s="61">
        <v>45770</v>
      </c>
      <c r="P811" s="59"/>
      <c r="Q811" s="124" t="e">
        <f>P811*#REF!</f>
        <v>#REF!</v>
      </c>
      <c r="R811" s="126">
        <v>45771</v>
      </c>
      <c r="S811" s="153">
        <f>IF(L811="","",L811-B811)</f>
        <v>2</v>
      </c>
      <c r="T811" s="153">
        <f>IF(N811="","",N811-L811)</f>
        <v>0</v>
      </c>
      <c r="U811" s="153">
        <f>IF(O811="","",O811-N811)</f>
        <v>0</v>
      </c>
      <c r="V811" s="154">
        <f>IF(O811="","",O811-B811)</f>
        <v>2</v>
      </c>
      <c r="W811" s="154">
        <f>IF(O811="","",O811-L811)</f>
        <v>0</v>
      </c>
      <c r="X811" s="154">
        <f>IF(R811="","",R811-B811)</f>
        <v>3</v>
      </c>
    </row>
    <row r="812" spans="2:24" ht="17.25" hidden="1" customHeight="1">
      <c r="B812" s="23">
        <v>45768</v>
      </c>
      <c r="C812" s="7">
        <v>2003664747</v>
      </c>
      <c r="D812" s="20">
        <v>146244</v>
      </c>
      <c r="E812" s="27" t="s">
        <v>191</v>
      </c>
      <c r="F812" s="7" t="s">
        <v>107</v>
      </c>
      <c r="G812" s="7" t="s">
        <v>10</v>
      </c>
      <c r="H812" s="7" t="s">
        <v>45</v>
      </c>
      <c r="I812" s="20" t="s">
        <v>627</v>
      </c>
      <c r="J812" s="20" t="s">
        <v>1398</v>
      </c>
      <c r="K812" s="7" t="s">
        <v>110</v>
      </c>
      <c r="L812" s="61">
        <v>45770</v>
      </c>
      <c r="M812" s="7" t="s">
        <v>111</v>
      </c>
      <c r="N812" s="61">
        <v>45770</v>
      </c>
      <c r="O812" s="61">
        <v>45770</v>
      </c>
      <c r="P812" s="59">
        <v>97.2</v>
      </c>
      <c r="Q812" s="124" t="e">
        <f>P812*#REF!</f>
        <v>#REF!</v>
      </c>
      <c r="R812" s="126">
        <v>45771</v>
      </c>
      <c r="S812" s="153">
        <f>IF(L812="","",L812-B812)</f>
        <v>2</v>
      </c>
      <c r="T812" s="153">
        <f>IF(N812="","",N812-L812)</f>
        <v>0</v>
      </c>
      <c r="U812" s="153">
        <f>IF(O812="","",O812-N812)</f>
        <v>0</v>
      </c>
      <c r="V812" s="154">
        <f>IF(O812="","",O812-B812)</f>
        <v>2</v>
      </c>
      <c r="W812" s="154">
        <f>IF(O812="","",O812-L812)</f>
        <v>0</v>
      </c>
      <c r="X812" s="154">
        <f>IF(R812="","",R812-B812)</f>
        <v>3</v>
      </c>
    </row>
    <row r="813" spans="2:24" ht="17.25" hidden="1" customHeight="1">
      <c r="B813" s="23">
        <v>45768</v>
      </c>
      <c r="C813" s="7">
        <v>2003666419</v>
      </c>
      <c r="D813" s="20">
        <v>146352</v>
      </c>
      <c r="E813" s="27" t="s">
        <v>123</v>
      </c>
      <c r="F813" s="7" t="s">
        <v>107</v>
      </c>
      <c r="G813" s="7" t="s">
        <v>10</v>
      </c>
      <c r="H813" s="7" t="s">
        <v>45</v>
      </c>
      <c r="I813" s="20" t="s">
        <v>247</v>
      </c>
      <c r="J813" s="20" t="s">
        <v>1399</v>
      </c>
      <c r="K813" s="7" t="s">
        <v>119</v>
      </c>
      <c r="L813" s="61">
        <v>45771</v>
      </c>
      <c r="M813" s="7" t="s">
        <v>111</v>
      </c>
      <c r="N813" s="61">
        <v>45771</v>
      </c>
      <c r="O813" s="61">
        <v>45771</v>
      </c>
      <c r="P813" s="59"/>
      <c r="Q813" s="124" t="e">
        <f>P813*#REF!</f>
        <v>#REF!</v>
      </c>
      <c r="R813" s="126">
        <v>45771</v>
      </c>
      <c r="S813" s="153">
        <f>IF(L813="","",L813-B813)</f>
        <v>3</v>
      </c>
      <c r="T813" s="153">
        <f>IF(N813="","",N813-L813)</f>
        <v>0</v>
      </c>
      <c r="U813" s="153">
        <f>IF(O813="","",O813-N813)</f>
        <v>0</v>
      </c>
      <c r="V813" s="154">
        <f>IF(O813="","",O813-B813)</f>
        <v>3</v>
      </c>
      <c r="W813" s="154">
        <f>IF(O813="","",O813-L813)</f>
        <v>0</v>
      </c>
      <c r="X813" s="154">
        <f>IF(R813="","",R813-B813)</f>
        <v>3</v>
      </c>
    </row>
    <row r="814" spans="2:24" ht="17.25" hidden="1" customHeight="1">
      <c r="B814" s="23">
        <v>45768</v>
      </c>
      <c r="C814" s="7">
        <v>2003666568</v>
      </c>
      <c r="D814" s="20">
        <v>146350</v>
      </c>
      <c r="E814" s="20" t="s">
        <v>123</v>
      </c>
      <c r="F814" s="7" t="s">
        <v>107</v>
      </c>
      <c r="G814" s="7" t="s">
        <v>10</v>
      </c>
      <c r="H814" s="7" t="s">
        <v>45</v>
      </c>
      <c r="I814" s="20" t="s">
        <v>1400</v>
      </c>
      <c r="J814" s="20" t="s">
        <v>1401</v>
      </c>
      <c r="K814" s="7" t="s">
        <v>119</v>
      </c>
      <c r="L814" s="61">
        <v>45771</v>
      </c>
      <c r="M814" s="7" t="s">
        <v>111</v>
      </c>
      <c r="N814" s="61">
        <v>45771</v>
      </c>
      <c r="O814" s="58">
        <v>45773</v>
      </c>
      <c r="P814" s="59"/>
      <c r="Q814" s="124" t="e">
        <f>P814*#REF!</f>
        <v>#REF!</v>
      </c>
      <c r="R814" s="126">
        <v>45776</v>
      </c>
      <c r="S814" s="153">
        <f>IF(L814="","",L814-B814)</f>
        <v>3</v>
      </c>
      <c r="T814" s="153">
        <f>IF(N814="","",N814-L814)</f>
        <v>0</v>
      </c>
      <c r="U814" s="153">
        <f>IF(O814="","",O814-N814)</f>
        <v>2</v>
      </c>
      <c r="V814" s="154">
        <f>IF(O814="","",O814-B814)</f>
        <v>5</v>
      </c>
      <c r="W814" s="154">
        <f>IF(O814="","",O814-L814)</f>
        <v>2</v>
      </c>
      <c r="X814" s="154">
        <f>IF(R814="","",R814-B814)</f>
        <v>8</v>
      </c>
    </row>
    <row r="815" spans="2:24" ht="17.25" hidden="1" customHeight="1">
      <c r="B815" s="23">
        <v>45768</v>
      </c>
      <c r="C815" s="7">
        <v>2003667445</v>
      </c>
      <c r="D815" s="20">
        <v>146345</v>
      </c>
      <c r="E815" s="27" t="s">
        <v>201</v>
      </c>
      <c r="F815" s="7" t="s">
        <v>107</v>
      </c>
      <c r="G815" s="7" t="s">
        <v>10</v>
      </c>
      <c r="H815" s="7" t="s">
        <v>45</v>
      </c>
      <c r="I815" s="20" t="s">
        <v>1402</v>
      </c>
      <c r="J815" s="20" t="s">
        <v>1403</v>
      </c>
      <c r="K815" s="7" t="s">
        <v>110</v>
      </c>
      <c r="L815" s="61">
        <v>45770</v>
      </c>
      <c r="M815" s="7" t="s">
        <v>111</v>
      </c>
      <c r="N815" s="61">
        <v>45770</v>
      </c>
      <c r="O815" s="58">
        <v>45771</v>
      </c>
      <c r="P815" s="59"/>
      <c r="Q815" s="124" t="e">
        <f>P815*#REF!</f>
        <v>#REF!</v>
      </c>
      <c r="R815" s="126">
        <v>45771</v>
      </c>
      <c r="S815" s="153">
        <f>IF(L815="","",L815-B815)</f>
        <v>2</v>
      </c>
      <c r="T815" s="153">
        <f>IF(N815="","",N815-L815)</f>
        <v>0</v>
      </c>
      <c r="U815" s="153">
        <f>IF(O815="","",O815-N815)</f>
        <v>1</v>
      </c>
      <c r="V815" s="154">
        <f>IF(O815="","",O815-B815)</f>
        <v>3</v>
      </c>
      <c r="W815" s="154">
        <f>IF(O815="","",O815-L815)</f>
        <v>1</v>
      </c>
      <c r="X815" s="154">
        <f>IF(R815="","",R815-B815)</f>
        <v>3</v>
      </c>
    </row>
    <row r="816" spans="2:24" ht="17.25" hidden="1" customHeight="1">
      <c r="B816" s="23">
        <v>45768</v>
      </c>
      <c r="C816" s="7">
        <v>2003666662</v>
      </c>
      <c r="D816" s="20">
        <v>146342</v>
      </c>
      <c r="E816" s="27" t="s">
        <v>116</v>
      </c>
      <c r="F816" s="7" t="s">
        <v>107</v>
      </c>
      <c r="G816" s="7" t="s">
        <v>10</v>
      </c>
      <c r="H816" s="7" t="s">
        <v>45</v>
      </c>
      <c r="I816" s="20" t="s">
        <v>824</v>
      </c>
      <c r="J816" s="20" t="s">
        <v>1404</v>
      </c>
      <c r="K816" s="7" t="s">
        <v>119</v>
      </c>
      <c r="L816" s="61">
        <v>45769</v>
      </c>
      <c r="M816" s="7" t="s">
        <v>111</v>
      </c>
      <c r="N816" s="24">
        <v>45770</v>
      </c>
      <c r="O816" s="24">
        <v>45770</v>
      </c>
      <c r="P816" s="59">
        <v>65.5</v>
      </c>
      <c r="Q816" s="124" t="e">
        <f>P816*#REF!</f>
        <v>#REF!</v>
      </c>
      <c r="R816" s="126">
        <v>45770</v>
      </c>
      <c r="S816" s="153">
        <f>IF(L816="","",L816-B816)</f>
        <v>1</v>
      </c>
      <c r="T816" s="153">
        <f>IF(N816="","",N816-L816)</f>
        <v>1</v>
      </c>
      <c r="U816" s="153">
        <f>IF(O816="","",O816-N816)</f>
        <v>0</v>
      </c>
      <c r="V816" s="154">
        <f>IF(O816="","",O816-B816)</f>
        <v>2</v>
      </c>
      <c r="W816" s="154">
        <f>IF(O816="","",O816-L816)</f>
        <v>1</v>
      </c>
      <c r="X816" s="154">
        <f>IF(R816="","",R816-B816)</f>
        <v>2</v>
      </c>
    </row>
    <row r="817" spans="2:24" ht="17.25" hidden="1" customHeight="1">
      <c r="B817" s="23">
        <v>45768</v>
      </c>
      <c r="C817" s="7">
        <v>2003666611</v>
      </c>
      <c r="D817" s="20">
        <v>146234</v>
      </c>
      <c r="E817" s="27" t="s">
        <v>408</v>
      </c>
      <c r="F817" s="7" t="s">
        <v>107</v>
      </c>
      <c r="G817" s="7" t="s">
        <v>10</v>
      </c>
      <c r="H817" s="7" t="s">
        <v>45</v>
      </c>
      <c r="I817" s="20" t="s">
        <v>1405</v>
      </c>
      <c r="J817" s="20" t="s">
        <v>1406</v>
      </c>
      <c r="K817" s="7" t="s">
        <v>119</v>
      </c>
      <c r="L817" s="61">
        <v>45771</v>
      </c>
      <c r="M817" s="7" t="s">
        <v>111</v>
      </c>
      <c r="N817" s="24">
        <v>45771</v>
      </c>
      <c r="O817" s="58">
        <v>45771</v>
      </c>
      <c r="P817" s="59"/>
      <c r="Q817" s="124" t="e">
        <f>P817*#REF!</f>
        <v>#REF!</v>
      </c>
      <c r="R817" s="126">
        <v>45771</v>
      </c>
      <c r="S817" s="153">
        <f>IF(L817="","",L817-B817)</f>
        <v>3</v>
      </c>
      <c r="T817" s="153">
        <f>IF(N817="","",N817-L817)</f>
        <v>0</v>
      </c>
      <c r="U817" s="153">
        <f>IF(O817="","",O817-N817)</f>
        <v>0</v>
      </c>
      <c r="V817" s="154">
        <f>IF(O817="","",O817-B817)</f>
        <v>3</v>
      </c>
      <c r="W817" s="154">
        <f>IF(O817="","",O817-L817)</f>
        <v>0</v>
      </c>
      <c r="X817" s="154">
        <f>IF(R817="","",R817-B817)</f>
        <v>3</v>
      </c>
    </row>
    <row r="818" spans="2:24" ht="17.25" hidden="1" customHeight="1">
      <c r="B818" s="23">
        <v>45768</v>
      </c>
      <c r="C818" s="7">
        <v>2003666618</v>
      </c>
      <c r="D818" s="20">
        <v>146333</v>
      </c>
      <c r="E818" s="27" t="s">
        <v>123</v>
      </c>
      <c r="F818" s="7" t="s">
        <v>107</v>
      </c>
      <c r="G818" s="7" t="s">
        <v>10</v>
      </c>
      <c r="H818" s="7" t="s">
        <v>45</v>
      </c>
      <c r="I818" s="20" t="s">
        <v>247</v>
      </c>
      <c r="J818" s="20" t="s">
        <v>1407</v>
      </c>
      <c r="K818" s="7" t="s">
        <v>119</v>
      </c>
      <c r="L818" s="61">
        <v>45771</v>
      </c>
      <c r="M818" s="7" t="s">
        <v>111</v>
      </c>
      <c r="N818" s="61">
        <v>45771</v>
      </c>
      <c r="O818" s="61">
        <v>45771</v>
      </c>
      <c r="P818" s="59"/>
      <c r="Q818" s="124" t="e">
        <f>P818*#REF!</f>
        <v>#REF!</v>
      </c>
      <c r="R818" s="126">
        <v>45771</v>
      </c>
      <c r="S818" s="153">
        <f>IF(L818="","",L818-B818)</f>
        <v>3</v>
      </c>
      <c r="T818" s="153">
        <f>IF(N818="","",N818-L818)</f>
        <v>0</v>
      </c>
      <c r="U818" s="153">
        <f>IF(O818="","",O818-N818)</f>
        <v>0</v>
      </c>
      <c r="V818" s="154">
        <f>IF(O818="","",O818-B818)</f>
        <v>3</v>
      </c>
      <c r="W818" s="154">
        <f>IF(O818="","",O818-L818)</f>
        <v>0</v>
      </c>
      <c r="X818" s="154">
        <f>IF(R818="","",R818-B818)</f>
        <v>3</v>
      </c>
    </row>
    <row r="819" spans="2:24" ht="17.25" hidden="1" customHeight="1">
      <c r="B819" s="23">
        <v>45768</v>
      </c>
      <c r="C819" s="7">
        <v>2003664722</v>
      </c>
      <c r="D819" s="20">
        <v>146227</v>
      </c>
      <c r="E819" s="27" t="s">
        <v>116</v>
      </c>
      <c r="F819" s="7" t="s">
        <v>107</v>
      </c>
      <c r="G819" s="7" t="s">
        <v>10</v>
      </c>
      <c r="H819" s="7" t="s">
        <v>45</v>
      </c>
      <c r="I819" s="20" t="s">
        <v>1365</v>
      </c>
      <c r="J819" s="20" t="s">
        <v>1408</v>
      </c>
      <c r="K819" s="7" t="s">
        <v>119</v>
      </c>
      <c r="L819" s="61">
        <v>45777</v>
      </c>
      <c r="M819" s="7" t="s">
        <v>111</v>
      </c>
      <c r="N819" s="61">
        <v>45777</v>
      </c>
      <c r="O819" s="61">
        <v>45777</v>
      </c>
      <c r="P819" s="59"/>
      <c r="Q819" s="124" t="e">
        <f>P819*#REF!</f>
        <v>#REF!</v>
      </c>
      <c r="R819" s="126">
        <v>45777</v>
      </c>
      <c r="S819" s="153">
        <f>IF(L819="","",L819-B819)</f>
        <v>9</v>
      </c>
      <c r="T819" s="153">
        <f>IF(N819="","",N819-L819)</f>
        <v>0</v>
      </c>
      <c r="U819" s="153">
        <f>IF(O819="","",O819-N819)</f>
        <v>0</v>
      </c>
      <c r="V819" s="154">
        <f>IF(O819="","",O819-B819)</f>
        <v>9</v>
      </c>
      <c r="W819" s="154">
        <f>IF(O819="","",O819-L819)</f>
        <v>0</v>
      </c>
      <c r="X819" s="154">
        <f>IF(R819="","",R819-B819)</f>
        <v>9</v>
      </c>
    </row>
    <row r="820" spans="2:24" ht="17.25" hidden="1" customHeight="1">
      <c r="B820" s="23">
        <v>45768</v>
      </c>
      <c r="C820" s="7">
        <v>2003666464</v>
      </c>
      <c r="D820" s="20">
        <v>146321</v>
      </c>
      <c r="E820" s="27" t="s">
        <v>152</v>
      </c>
      <c r="F820" s="7" t="s">
        <v>107</v>
      </c>
      <c r="G820" s="7" t="s">
        <v>10</v>
      </c>
      <c r="H820" s="7" t="s">
        <v>45</v>
      </c>
      <c r="I820" s="20" t="s">
        <v>540</v>
      </c>
      <c r="J820" s="20" t="s">
        <v>1409</v>
      </c>
      <c r="K820" s="7" t="s">
        <v>119</v>
      </c>
      <c r="L820" s="61">
        <v>45769</v>
      </c>
      <c r="M820" s="7" t="s">
        <v>111</v>
      </c>
      <c r="N820" s="24">
        <v>45770</v>
      </c>
      <c r="O820" s="58">
        <v>45771</v>
      </c>
      <c r="P820" s="59"/>
      <c r="Q820" s="124" t="e">
        <f>P820*#REF!</f>
        <v>#REF!</v>
      </c>
      <c r="R820" s="126">
        <v>45771</v>
      </c>
      <c r="S820" s="153">
        <f>IF(L820="","",L820-B820)</f>
        <v>1</v>
      </c>
      <c r="T820" s="153">
        <f>IF(N820="","",N820-L820)</f>
        <v>1</v>
      </c>
      <c r="U820" s="153">
        <f>IF(O820="","",O820-N820)</f>
        <v>1</v>
      </c>
      <c r="V820" s="154">
        <f>IF(O820="","",O820-B820)</f>
        <v>3</v>
      </c>
      <c r="W820" s="154">
        <f>IF(O820="","",O820-L820)</f>
        <v>2</v>
      </c>
      <c r="X820" s="154">
        <f>IF(R820="","",R820-B820)</f>
        <v>3</v>
      </c>
    </row>
    <row r="821" spans="2:24" ht="17.25" hidden="1" customHeight="1">
      <c r="B821" s="23">
        <v>45768</v>
      </c>
      <c r="C821" s="7">
        <v>2003654266</v>
      </c>
      <c r="D821" s="20">
        <v>146222</v>
      </c>
      <c r="E821" s="27" t="s">
        <v>116</v>
      </c>
      <c r="F821" s="7" t="s">
        <v>107</v>
      </c>
      <c r="G821" s="7" t="s">
        <v>10</v>
      </c>
      <c r="H821" s="7" t="s">
        <v>45</v>
      </c>
      <c r="I821" s="20" t="s">
        <v>1410</v>
      </c>
      <c r="J821" s="20" t="s">
        <v>1411</v>
      </c>
      <c r="K821" s="7" t="s">
        <v>119</v>
      </c>
      <c r="L821" s="61">
        <v>45770</v>
      </c>
      <c r="M821" s="7" t="s">
        <v>111</v>
      </c>
      <c r="N821" s="61">
        <v>45770</v>
      </c>
      <c r="O821" s="58">
        <v>45771</v>
      </c>
      <c r="P821" s="59"/>
      <c r="Q821" s="124" t="e">
        <f>P821*#REF!</f>
        <v>#REF!</v>
      </c>
      <c r="R821" s="126">
        <v>45771</v>
      </c>
      <c r="S821" s="153">
        <f>IF(L821="","",L821-B821)</f>
        <v>2</v>
      </c>
      <c r="T821" s="153">
        <f>IF(N821="","",N821-L821)</f>
        <v>0</v>
      </c>
      <c r="U821" s="153">
        <f>IF(O821="","",O821-N821)</f>
        <v>1</v>
      </c>
      <c r="V821" s="154">
        <f>IF(O821="","",O821-B821)</f>
        <v>3</v>
      </c>
      <c r="W821" s="154">
        <f>IF(O821="","",O821-L821)</f>
        <v>1</v>
      </c>
      <c r="X821" s="154">
        <f>IF(R821="","",R821-B821)</f>
        <v>3</v>
      </c>
    </row>
    <row r="822" spans="2:24" ht="17.25" hidden="1" customHeight="1">
      <c r="B822" s="23">
        <v>45768</v>
      </c>
      <c r="C822" s="7">
        <v>2003666418</v>
      </c>
      <c r="D822" s="20">
        <v>146218</v>
      </c>
      <c r="E822" s="27" t="s">
        <v>149</v>
      </c>
      <c r="F822" s="7" t="s">
        <v>107</v>
      </c>
      <c r="G822" s="7" t="s">
        <v>10</v>
      </c>
      <c r="H822" s="7" t="s">
        <v>45</v>
      </c>
      <c r="I822" s="20" t="s">
        <v>1412</v>
      </c>
      <c r="J822" s="20" t="s">
        <v>1413</v>
      </c>
      <c r="K822" s="7" t="s">
        <v>110</v>
      </c>
      <c r="L822" s="61">
        <v>45771</v>
      </c>
      <c r="M822" s="7" t="s">
        <v>111</v>
      </c>
      <c r="N822" s="61">
        <v>45771</v>
      </c>
      <c r="O822" s="58">
        <v>45776</v>
      </c>
      <c r="P822" s="59"/>
      <c r="Q822" s="124" t="e">
        <f>P822*#REF!</f>
        <v>#REF!</v>
      </c>
      <c r="R822" s="126">
        <v>45776</v>
      </c>
      <c r="S822" s="153">
        <f>IF(L822="","",L822-B822)</f>
        <v>3</v>
      </c>
      <c r="T822" s="153">
        <f>IF(N822="","",N822-L822)</f>
        <v>0</v>
      </c>
      <c r="U822" s="153">
        <f>IF(O822="","",O822-N822)</f>
        <v>5</v>
      </c>
      <c r="V822" s="154">
        <f>IF(O822="","",O822-B822)</f>
        <v>8</v>
      </c>
      <c r="W822" s="154">
        <f>IF(O822="","",O822-L822)</f>
        <v>5</v>
      </c>
      <c r="X822" s="154">
        <f>IF(R822="","",R822-B822)</f>
        <v>8</v>
      </c>
    </row>
    <row r="823" spans="2:24" ht="17.25" hidden="1" customHeight="1">
      <c r="B823" s="23">
        <v>45769</v>
      </c>
      <c r="C823" s="7">
        <v>2003655355</v>
      </c>
      <c r="D823" s="20">
        <v>147367</v>
      </c>
      <c r="E823" s="27" t="s">
        <v>123</v>
      </c>
      <c r="F823" s="7" t="s">
        <v>107</v>
      </c>
      <c r="G823" s="7" t="s">
        <v>10</v>
      </c>
      <c r="H823" s="7" t="s">
        <v>45</v>
      </c>
      <c r="I823" s="20" t="s">
        <v>226</v>
      </c>
      <c r="J823" s="20" t="s">
        <v>1414</v>
      </c>
      <c r="K823" s="7" t="s">
        <v>110</v>
      </c>
      <c r="L823" s="61">
        <v>45776</v>
      </c>
      <c r="M823" s="7" t="s">
        <v>111</v>
      </c>
      <c r="N823" s="24">
        <v>45782</v>
      </c>
      <c r="O823" s="24">
        <v>45782</v>
      </c>
      <c r="P823" s="59"/>
      <c r="Q823" s="124" t="e">
        <f>P823*#REF!</f>
        <v>#REF!</v>
      </c>
      <c r="R823" s="126">
        <v>45782</v>
      </c>
      <c r="S823" s="153">
        <f>IF(L823="","",L823-B823)</f>
        <v>7</v>
      </c>
      <c r="T823" s="153">
        <f>IF(N823="","",N823-L823)</f>
        <v>6</v>
      </c>
      <c r="U823" s="153">
        <f>IF(O823="","",O823-N823)</f>
        <v>0</v>
      </c>
      <c r="V823" s="154">
        <f>IF(O823="","",O823-B823)</f>
        <v>13</v>
      </c>
      <c r="W823" s="154">
        <f>IF(O823="","",O823-L823)</f>
        <v>6</v>
      </c>
      <c r="X823" s="154">
        <f>IF(R823="","",R823-B823)</f>
        <v>13</v>
      </c>
    </row>
    <row r="824" spans="2:24" ht="17.25" hidden="1" customHeight="1">
      <c r="B824" s="23">
        <v>45768</v>
      </c>
      <c r="C824" s="7">
        <v>2003666489</v>
      </c>
      <c r="D824" s="20">
        <v>146060</v>
      </c>
      <c r="E824" s="27" t="s">
        <v>152</v>
      </c>
      <c r="F824" s="7" t="s">
        <v>107</v>
      </c>
      <c r="G824" s="7" t="s">
        <v>10</v>
      </c>
      <c r="H824" s="7" t="s">
        <v>45</v>
      </c>
      <c r="I824" s="20" t="s">
        <v>540</v>
      </c>
      <c r="J824" s="20" t="s">
        <v>1409</v>
      </c>
      <c r="K824" s="7" t="s">
        <v>119</v>
      </c>
      <c r="L824" s="61">
        <v>45769</v>
      </c>
      <c r="M824" s="7" t="s">
        <v>111</v>
      </c>
      <c r="N824" s="24">
        <v>45770</v>
      </c>
      <c r="O824" s="61">
        <v>45771</v>
      </c>
      <c r="P824" s="59"/>
      <c r="Q824" s="124" t="e">
        <f>P824*#REF!</f>
        <v>#REF!</v>
      </c>
      <c r="R824" s="126">
        <v>45771</v>
      </c>
      <c r="S824" s="153">
        <f>IF(L824="","",L824-B824)</f>
        <v>1</v>
      </c>
      <c r="T824" s="153">
        <f>IF(N824="","",N824-L824)</f>
        <v>1</v>
      </c>
      <c r="U824" s="153">
        <f>IF(O824="","",O824-N824)</f>
        <v>1</v>
      </c>
      <c r="V824" s="154">
        <f>IF(O824="","",O824-B824)</f>
        <v>3</v>
      </c>
      <c r="W824" s="154">
        <f>IF(O824="","",O824-L824)</f>
        <v>2</v>
      </c>
      <c r="X824" s="154">
        <f>IF(R824="","",R824-B824)</f>
        <v>3</v>
      </c>
    </row>
    <row r="825" spans="2:24" ht="17.25" hidden="1" customHeight="1">
      <c r="B825" s="23">
        <v>45768</v>
      </c>
      <c r="C825" s="7">
        <v>2003661089</v>
      </c>
      <c r="D825" s="20">
        <v>146107</v>
      </c>
      <c r="E825" s="27" t="s">
        <v>191</v>
      </c>
      <c r="F825" s="7" t="s">
        <v>107</v>
      </c>
      <c r="G825" s="7" t="s">
        <v>18</v>
      </c>
      <c r="H825" s="7" t="s">
        <v>45</v>
      </c>
      <c r="I825" s="20" t="s">
        <v>1415</v>
      </c>
      <c r="J825" s="20" t="s">
        <v>1416</v>
      </c>
      <c r="K825" s="7" t="s">
        <v>110</v>
      </c>
      <c r="L825" s="61">
        <v>45770</v>
      </c>
      <c r="M825" s="7" t="s">
        <v>111</v>
      </c>
      <c r="N825" s="61">
        <v>45770</v>
      </c>
      <c r="O825" s="58">
        <v>45771</v>
      </c>
      <c r="P825" s="59"/>
      <c r="Q825" s="124" t="e">
        <f>P825*#REF!</f>
        <v>#REF!</v>
      </c>
      <c r="R825" s="126">
        <v>45771</v>
      </c>
      <c r="S825" s="153">
        <f>IF(L825="","",L825-B825)</f>
        <v>2</v>
      </c>
      <c r="T825" s="153">
        <f>IF(N825="","",N825-L825)</f>
        <v>0</v>
      </c>
      <c r="U825" s="153">
        <f>IF(O825="","",O825-N825)</f>
        <v>1</v>
      </c>
      <c r="V825" s="154">
        <f>IF(O825="","",O825-B825)</f>
        <v>3</v>
      </c>
      <c r="W825" s="154">
        <f>IF(O825="","",O825-L825)</f>
        <v>1</v>
      </c>
      <c r="X825" s="154">
        <f>IF(R825="","",R825-B825)</f>
        <v>3</v>
      </c>
    </row>
    <row r="826" spans="2:24" ht="17.25" hidden="1" customHeight="1">
      <c r="B826" s="23">
        <v>45768</v>
      </c>
      <c r="C826" s="7">
        <v>2003665337</v>
      </c>
      <c r="D826" s="20">
        <v>145475</v>
      </c>
      <c r="E826" s="27" t="s">
        <v>230</v>
      </c>
      <c r="F826" s="7" t="s">
        <v>107</v>
      </c>
      <c r="G826" s="7" t="s">
        <v>18</v>
      </c>
      <c r="H826" s="7" t="s">
        <v>45</v>
      </c>
      <c r="I826" s="20" t="s">
        <v>1417</v>
      </c>
      <c r="J826" s="20" t="s">
        <v>1418</v>
      </c>
      <c r="K826" s="7" t="s">
        <v>110</v>
      </c>
      <c r="L826" s="61">
        <v>45772</v>
      </c>
      <c r="M826" s="7" t="s">
        <v>111</v>
      </c>
      <c r="N826" s="61">
        <v>45772</v>
      </c>
      <c r="O826" s="61">
        <v>45772</v>
      </c>
      <c r="P826" s="59"/>
      <c r="Q826" s="124" t="e">
        <f>P826*#REF!</f>
        <v>#REF!</v>
      </c>
      <c r="R826" s="126">
        <v>45772</v>
      </c>
      <c r="S826" s="153">
        <f>IF(L826="","",L826-B826)</f>
        <v>4</v>
      </c>
      <c r="T826" s="153">
        <f>IF(N826="","",N826-L826)</f>
        <v>0</v>
      </c>
      <c r="U826" s="153">
        <f>IF(O826="","",O826-N826)</f>
        <v>0</v>
      </c>
      <c r="V826" s="154">
        <f>IF(O826="","",O826-B826)</f>
        <v>4</v>
      </c>
      <c r="W826" s="154">
        <f>IF(O826="","",O826-L826)</f>
        <v>0</v>
      </c>
      <c r="X826" s="154">
        <f>IF(R826="","",R826-B826)</f>
        <v>4</v>
      </c>
    </row>
    <row r="827" spans="2:24" ht="17.25" hidden="1" customHeight="1">
      <c r="B827" s="23">
        <v>45768</v>
      </c>
      <c r="C827" s="7">
        <v>2003665139</v>
      </c>
      <c r="D827" s="20">
        <v>145435</v>
      </c>
      <c r="E827" s="27" t="s">
        <v>230</v>
      </c>
      <c r="F827" s="7" t="s">
        <v>107</v>
      </c>
      <c r="G827" s="7" t="s">
        <v>10</v>
      </c>
      <c r="H827" s="7" t="s">
        <v>45</v>
      </c>
      <c r="I827" s="20" t="s">
        <v>392</v>
      </c>
      <c r="J827" s="20" t="s">
        <v>1419</v>
      </c>
      <c r="K827" s="7" t="s">
        <v>110</v>
      </c>
      <c r="L827" s="61">
        <v>45772</v>
      </c>
      <c r="M827" s="7" t="s">
        <v>111</v>
      </c>
      <c r="N827" s="61">
        <v>45772</v>
      </c>
      <c r="O827" s="61">
        <v>45772</v>
      </c>
      <c r="P827" s="59"/>
      <c r="Q827" s="124" t="e">
        <f>P827*#REF!</f>
        <v>#REF!</v>
      </c>
      <c r="R827" s="126">
        <v>45772</v>
      </c>
      <c r="S827" s="153">
        <f>IF(L827="","",L827-B827)</f>
        <v>4</v>
      </c>
      <c r="T827" s="153">
        <f>IF(N827="","",N827-L827)</f>
        <v>0</v>
      </c>
      <c r="U827" s="153">
        <f>IF(O827="","",O827-N827)</f>
        <v>0</v>
      </c>
      <c r="V827" s="154">
        <f>IF(O827="","",O827-B827)</f>
        <v>4</v>
      </c>
      <c r="W827" s="154">
        <f>IF(O827="","",O827-L827)</f>
        <v>0</v>
      </c>
      <c r="X827" s="154">
        <f>IF(R827="","",R827-B827)</f>
        <v>4</v>
      </c>
    </row>
    <row r="828" spans="2:24" ht="17.25" hidden="1" customHeight="1">
      <c r="B828" s="23">
        <v>45768</v>
      </c>
      <c r="C828" s="7">
        <v>2003634705</v>
      </c>
      <c r="D828" s="20">
        <v>145359</v>
      </c>
      <c r="E828" s="27" t="s">
        <v>568</v>
      </c>
      <c r="F828" s="7" t="s">
        <v>107</v>
      </c>
      <c r="G828" s="7" t="s">
        <v>10</v>
      </c>
      <c r="H828" s="7" t="s">
        <v>45</v>
      </c>
      <c r="I828" s="20" t="s">
        <v>540</v>
      </c>
      <c r="J828" s="20" t="s">
        <v>1409</v>
      </c>
      <c r="K828" s="7" t="s">
        <v>119</v>
      </c>
      <c r="L828" s="61">
        <v>45769</v>
      </c>
      <c r="M828" s="7" t="s">
        <v>111</v>
      </c>
      <c r="N828" s="24">
        <v>45770</v>
      </c>
      <c r="O828" s="61">
        <v>45771</v>
      </c>
      <c r="P828" s="59"/>
      <c r="Q828" s="124" t="e">
        <f>P828*#REF!</f>
        <v>#REF!</v>
      </c>
      <c r="R828" s="126">
        <v>45771</v>
      </c>
      <c r="S828" s="153">
        <f>IF(L828="","",L828-B828)</f>
        <v>1</v>
      </c>
      <c r="T828" s="153">
        <f>IF(N828="","",N828-L828)</f>
        <v>1</v>
      </c>
      <c r="U828" s="153">
        <f>IF(O828="","",O828-N828)</f>
        <v>1</v>
      </c>
      <c r="V828" s="154">
        <f>IF(O828="","",O828-B828)</f>
        <v>3</v>
      </c>
      <c r="W828" s="154">
        <f>IF(O828="","",O828-L828)</f>
        <v>2</v>
      </c>
      <c r="X828" s="154">
        <f>IF(R828="","",R828-B828)</f>
        <v>3</v>
      </c>
    </row>
    <row r="829" spans="2:24" ht="17.25" hidden="1" customHeight="1">
      <c r="B829" s="23">
        <v>45768</v>
      </c>
      <c r="C829" s="7">
        <v>2003665729</v>
      </c>
      <c r="D829" s="20">
        <v>145341</v>
      </c>
      <c r="E829" s="27" t="s">
        <v>129</v>
      </c>
      <c r="F829" s="7" t="s">
        <v>107</v>
      </c>
      <c r="G829" s="7" t="s">
        <v>10</v>
      </c>
      <c r="H829" s="7" t="s">
        <v>45</v>
      </c>
      <c r="I829" s="20" t="s">
        <v>524</v>
      </c>
      <c r="J829" s="20" t="s">
        <v>170</v>
      </c>
      <c r="K829" s="7" t="s">
        <v>119</v>
      </c>
      <c r="L829" s="61">
        <v>45772</v>
      </c>
      <c r="M829" s="7" t="s">
        <v>111</v>
      </c>
      <c r="N829" s="61">
        <v>45772</v>
      </c>
      <c r="O829" s="61">
        <v>45772</v>
      </c>
      <c r="P829" s="59"/>
      <c r="Q829" s="124" t="e">
        <f>P829*#REF!</f>
        <v>#REF!</v>
      </c>
      <c r="R829" s="126">
        <v>45772</v>
      </c>
      <c r="S829" s="153">
        <f>IF(L829="","",L829-B829)</f>
        <v>4</v>
      </c>
      <c r="T829" s="153">
        <f>IF(N829="","",N829-L829)</f>
        <v>0</v>
      </c>
      <c r="U829" s="153">
        <f>IF(O829="","",O829-N829)</f>
        <v>0</v>
      </c>
      <c r="V829" s="154">
        <f>IF(O829="","",O829-B829)</f>
        <v>4</v>
      </c>
      <c r="W829" s="154">
        <f>IF(O829="","",O829-L829)</f>
        <v>0</v>
      </c>
      <c r="X829" s="154">
        <f>IF(R829="","",R829-B829)</f>
        <v>4</v>
      </c>
    </row>
    <row r="830" spans="2:24" ht="17.25" hidden="1" customHeight="1">
      <c r="B830" s="23">
        <v>45768</v>
      </c>
      <c r="C830" s="7">
        <v>2003658909</v>
      </c>
      <c r="D830" s="20">
        <v>144569</v>
      </c>
      <c r="E830" s="27" t="s">
        <v>198</v>
      </c>
      <c r="F830" s="7" t="s">
        <v>107</v>
      </c>
      <c r="G830" s="7" t="s">
        <v>10</v>
      </c>
      <c r="H830" s="7" t="s">
        <v>45</v>
      </c>
      <c r="I830" s="20" t="s">
        <v>1420</v>
      </c>
      <c r="J830" s="20" t="s">
        <v>1421</v>
      </c>
      <c r="K830" s="7" t="s">
        <v>110</v>
      </c>
      <c r="L830" s="61">
        <v>45769</v>
      </c>
      <c r="M830" s="7" t="s">
        <v>111</v>
      </c>
      <c r="N830" s="24">
        <v>45770</v>
      </c>
      <c r="O830" s="61">
        <v>45771</v>
      </c>
      <c r="P830" s="59"/>
      <c r="Q830" s="124" t="e">
        <f>P830*#REF!</f>
        <v>#REF!</v>
      </c>
      <c r="R830" s="126">
        <v>45771</v>
      </c>
      <c r="S830" s="153">
        <f>IF(L830="","",L830-B830)</f>
        <v>1</v>
      </c>
      <c r="T830" s="153">
        <f>IF(N830="","",N830-L830)</f>
        <v>1</v>
      </c>
      <c r="U830" s="153">
        <f>IF(O830="","",O830-N830)</f>
        <v>1</v>
      </c>
      <c r="V830" s="154">
        <f>IF(O830="","",O830-B830)</f>
        <v>3</v>
      </c>
      <c r="W830" s="154">
        <f>IF(O830="","",O830-L830)</f>
        <v>2</v>
      </c>
      <c r="X830" s="154">
        <f>IF(R830="","",R830-B830)</f>
        <v>3</v>
      </c>
    </row>
    <row r="831" spans="2:24" ht="17.25" hidden="1" customHeight="1">
      <c r="B831" s="23">
        <v>45768</v>
      </c>
      <c r="C831" s="7">
        <v>2003658906</v>
      </c>
      <c r="D831" s="20">
        <v>145148</v>
      </c>
      <c r="E831" s="27" t="s">
        <v>191</v>
      </c>
      <c r="F831" s="7" t="s">
        <v>107</v>
      </c>
      <c r="G831" s="7" t="s">
        <v>18</v>
      </c>
      <c r="H831" s="7" t="s">
        <v>45</v>
      </c>
      <c r="I831" s="20" t="s">
        <v>1422</v>
      </c>
      <c r="J831" s="20" t="s">
        <v>1423</v>
      </c>
      <c r="K831" s="7" t="s">
        <v>110</v>
      </c>
      <c r="L831" s="61">
        <v>45771</v>
      </c>
      <c r="M831" s="7" t="s">
        <v>111</v>
      </c>
      <c r="N831" s="61">
        <v>45771</v>
      </c>
      <c r="O831" s="58">
        <v>45773</v>
      </c>
      <c r="P831" s="59"/>
      <c r="Q831" s="124" t="e">
        <f>P831*#REF!</f>
        <v>#REF!</v>
      </c>
      <c r="R831" s="126">
        <v>45776</v>
      </c>
      <c r="S831" s="153">
        <f>IF(L831="","",L831-B831)</f>
        <v>3</v>
      </c>
      <c r="T831" s="153">
        <f>IF(N831="","",N831-L831)</f>
        <v>0</v>
      </c>
      <c r="U831" s="153">
        <f>IF(O831="","",O831-N831)</f>
        <v>2</v>
      </c>
      <c r="V831" s="154">
        <f>IF(O831="","",O831-B831)</f>
        <v>5</v>
      </c>
      <c r="W831" s="154">
        <f>IF(O831="","",O831-L831)</f>
        <v>2</v>
      </c>
      <c r="X831" s="154">
        <f>IF(R831="","",R831-B831)</f>
        <v>8</v>
      </c>
    </row>
    <row r="832" spans="2:24" ht="17.25" hidden="1" customHeight="1">
      <c r="B832" s="23">
        <v>45768</v>
      </c>
      <c r="C832" s="7">
        <v>2003665031</v>
      </c>
      <c r="D832" s="20">
        <v>145174</v>
      </c>
      <c r="E832" s="27" t="s">
        <v>180</v>
      </c>
      <c r="F832" s="7" t="s">
        <v>113</v>
      </c>
      <c r="G832" s="7" t="s">
        <v>70</v>
      </c>
      <c r="H832" s="7" t="s">
        <v>47</v>
      </c>
      <c r="I832" s="20" t="s">
        <v>1171</v>
      </c>
      <c r="J832" s="20" t="s">
        <v>1424</v>
      </c>
      <c r="K832" s="7" t="s">
        <v>160</v>
      </c>
      <c r="P832" s="59"/>
      <c r="Q832" s="124" t="e">
        <f>P832*#REF!</f>
        <v>#REF!</v>
      </c>
      <c r="R832" s="126">
        <v>45778</v>
      </c>
      <c r="S832" s="153" t="str">
        <f>IF(L832="","",L832-B832)</f>
        <v/>
      </c>
      <c r="T832" s="153" t="str">
        <f>IF(N832="","",N832-L832)</f>
        <v/>
      </c>
      <c r="U832" s="153" t="str">
        <f>IF(O832="","",O832-N832)</f>
        <v/>
      </c>
      <c r="V832" s="154" t="str">
        <f>IF(O832="","",O832-B832)</f>
        <v/>
      </c>
      <c r="W832" s="154" t="str">
        <f>IF(O832="","",O832-L832)</f>
        <v/>
      </c>
      <c r="X832" s="154">
        <f>IF(R832="","",R832-B832)</f>
        <v>10</v>
      </c>
    </row>
    <row r="833" spans="2:24" ht="17.25" hidden="1" customHeight="1">
      <c r="B833" s="23">
        <v>45768</v>
      </c>
      <c r="C833" s="7">
        <v>2003665022</v>
      </c>
      <c r="D833" s="20">
        <v>145197</v>
      </c>
      <c r="E833" s="27" t="s">
        <v>129</v>
      </c>
      <c r="F833" s="7" t="s">
        <v>113</v>
      </c>
      <c r="G833" s="7" t="s">
        <v>70</v>
      </c>
      <c r="H833" s="7" t="s">
        <v>47</v>
      </c>
      <c r="I833" s="20" t="s">
        <v>710</v>
      </c>
      <c r="J833" s="20" t="s">
        <v>1425</v>
      </c>
      <c r="K833" s="7" t="s">
        <v>160</v>
      </c>
      <c r="P833" s="59"/>
      <c r="Q833" s="124" t="e">
        <f>P833*#REF!</f>
        <v>#REF!</v>
      </c>
      <c r="R833" s="126">
        <v>45778</v>
      </c>
      <c r="S833" s="153" t="str">
        <f>IF(L833="","",L833-B833)</f>
        <v/>
      </c>
      <c r="T833" s="153" t="str">
        <f>IF(N833="","",N833-L833)</f>
        <v/>
      </c>
      <c r="U833" s="153" t="str">
        <f>IF(O833="","",O833-N833)</f>
        <v/>
      </c>
      <c r="V833" s="154" t="str">
        <f>IF(O833="","",O833-B833)</f>
        <v/>
      </c>
      <c r="W833" s="154" t="str">
        <f>IF(O833="","",O833-L833)</f>
        <v/>
      </c>
      <c r="X833" s="154">
        <f>IF(R833="","",R833-B833)</f>
        <v>10</v>
      </c>
    </row>
    <row r="834" spans="2:24" ht="17.25" hidden="1" customHeight="1">
      <c r="B834" s="23">
        <v>45769</v>
      </c>
      <c r="C834" s="7">
        <v>2003666706</v>
      </c>
      <c r="D834" s="20">
        <v>5894072</v>
      </c>
      <c r="E834" s="27" t="s">
        <v>149</v>
      </c>
      <c r="F834" s="7" t="s">
        <v>107</v>
      </c>
      <c r="G834" s="7" t="s">
        <v>10</v>
      </c>
      <c r="H834" s="7" t="s">
        <v>45</v>
      </c>
      <c r="I834" s="20" t="s">
        <v>1426</v>
      </c>
      <c r="J834" s="20" t="s">
        <v>1427</v>
      </c>
      <c r="K834" s="7" t="s">
        <v>110</v>
      </c>
      <c r="L834" s="61">
        <v>45771</v>
      </c>
      <c r="M834" s="7" t="s">
        <v>111</v>
      </c>
      <c r="N834" s="61">
        <v>45771</v>
      </c>
      <c r="O834" s="58">
        <v>45773</v>
      </c>
      <c r="P834" s="59"/>
      <c r="Q834" s="124" t="e">
        <f>P834*#REF!</f>
        <v>#REF!</v>
      </c>
      <c r="R834" s="126">
        <v>45776</v>
      </c>
      <c r="S834" s="153">
        <f>IF(L834="","",L834-B834)</f>
        <v>2</v>
      </c>
      <c r="T834" s="153">
        <f>IF(N834="","",N834-L834)</f>
        <v>0</v>
      </c>
      <c r="U834" s="153">
        <f>IF(O834="","",O834-N834)</f>
        <v>2</v>
      </c>
      <c r="V834" s="154">
        <f>IF(O834="","",O834-B834)</f>
        <v>4</v>
      </c>
      <c r="W834" s="154">
        <f>IF(O834="","",O834-L834)</f>
        <v>2</v>
      </c>
      <c r="X834" s="154">
        <f>IF(R834="","",R834-B834)</f>
        <v>7</v>
      </c>
    </row>
    <row r="835" spans="2:24" ht="17.25" hidden="1" customHeight="1">
      <c r="B835" s="23">
        <v>45769</v>
      </c>
      <c r="C835" s="7">
        <v>2003667435</v>
      </c>
      <c r="D835" s="20">
        <v>5894201</v>
      </c>
      <c r="E835" s="27" t="s">
        <v>486</v>
      </c>
      <c r="F835" s="7" t="s">
        <v>107</v>
      </c>
      <c r="G835" s="7" t="s">
        <v>10</v>
      </c>
      <c r="H835" s="7" t="s">
        <v>45</v>
      </c>
      <c r="I835" s="20" t="s">
        <v>1428</v>
      </c>
      <c r="J835" s="20" t="s">
        <v>1429</v>
      </c>
      <c r="K835" s="7" t="s">
        <v>110</v>
      </c>
      <c r="L835" s="61">
        <v>45771</v>
      </c>
      <c r="M835" s="7" t="s">
        <v>111</v>
      </c>
      <c r="N835" s="61">
        <v>45771</v>
      </c>
      <c r="O835" s="61">
        <v>45771</v>
      </c>
      <c r="P835" s="59"/>
      <c r="Q835" s="124" t="e">
        <f>P835*#REF!</f>
        <v>#REF!</v>
      </c>
      <c r="R835" s="126">
        <v>45771</v>
      </c>
      <c r="S835" s="153">
        <f>IF(L835="","",L835-B835)</f>
        <v>2</v>
      </c>
      <c r="T835" s="153">
        <f>IF(N835="","",N835-L835)</f>
        <v>0</v>
      </c>
      <c r="U835" s="153">
        <f>IF(O835="","",O835-N835)</f>
        <v>0</v>
      </c>
      <c r="V835" s="154">
        <f>IF(O835="","",O835-B835)</f>
        <v>2</v>
      </c>
      <c r="W835" s="154">
        <f>IF(O835="","",O835-L835)</f>
        <v>0</v>
      </c>
      <c r="X835" s="154">
        <f>IF(R835="","",R835-B835)</f>
        <v>2</v>
      </c>
    </row>
    <row r="836" spans="2:24" ht="17.25" hidden="1" customHeight="1">
      <c r="B836" s="23">
        <v>45769</v>
      </c>
      <c r="C836" s="7">
        <v>2003665914</v>
      </c>
      <c r="D836" s="20">
        <v>5894297</v>
      </c>
      <c r="E836" s="27" t="s">
        <v>191</v>
      </c>
      <c r="F836" s="7" t="s">
        <v>107</v>
      </c>
      <c r="G836" s="7" t="s">
        <v>10</v>
      </c>
      <c r="H836" s="7" t="s">
        <v>45</v>
      </c>
      <c r="I836" s="20" t="s">
        <v>1430</v>
      </c>
      <c r="J836" s="20" t="s">
        <v>1431</v>
      </c>
      <c r="K836" s="7" t="s">
        <v>119</v>
      </c>
      <c r="L836" s="61">
        <v>45772</v>
      </c>
      <c r="M836" s="7" t="s">
        <v>111</v>
      </c>
      <c r="N836" s="61">
        <v>45772</v>
      </c>
      <c r="O836" s="61">
        <v>45772</v>
      </c>
      <c r="P836" s="59"/>
      <c r="Q836" s="124" t="e">
        <f>P836*#REF!</f>
        <v>#REF!</v>
      </c>
      <c r="R836" s="126">
        <v>45772</v>
      </c>
      <c r="S836" s="153">
        <f>IF(L836="","",L836-B836)</f>
        <v>3</v>
      </c>
      <c r="T836" s="153">
        <f>IF(N836="","",N836-L836)</f>
        <v>0</v>
      </c>
      <c r="U836" s="153">
        <f>IF(O836="","",O836-N836)</f>
        <v>0</v>
      </c>
      <c r="V836" s="154">
        <f>IF(O836="","",O836-B836)</f>
        <v>3</v>
      </c>
      <c r="W836" s="154">
        <f>IF(O836="","",O836-L836)</f>
        <v>0</v>
      </c>
      <c r="X836" s="154">
        <f>IF(R836="","",R836-B836)</f>
        <v>3</v>
      </c>
    </row>
    <row r="837" spans="2:24" ht="17.25" hidden="1" customHeight="1">
      <c r="B837" s="23">
        <v>45769</v>
      </c>
      <c r="C837" s="7">
        <v>2003661732</v>
      </c>
      <c r="D837" s="20">
        <v>5894326</v>
      </c>
      <c r="E837" s="27" t="s">
        <v>180</v>
      </c>
      <c r="F837" s="7" t="s">
        <v>113</v>
      </c>
      <c r="G837" s="7" t="s">
        <v>70</v>
      </c>
      <c r="H837" s="7" t="s">
        <v>47</v>
      </c>
      <c r="I837" s="20" t="s">
        <v>1432</v>
      </c>
      <c r="J837" s="20" t="s">
        <v>1433</v>
      </c>
      <c r="K837" s="7" t="s">
        <v>160</v>
      </c>
      <c r="P837" s="59"/>
      <c r="Q837" s="124" t="e">
        <f>P837*#REF!</f>
        <v>#REF!</v>
      </c>
      <c r="R837" s="126">
        <v>45778</v>
      </c>
      <c r="S837" s="153" t="str">
        <f>IF(L837="","",L837-B837)</f>
        <v/>
      </c>
      <c r="T837" s="153" t="str">
        <f>IF(N837="","",N837-L837)</f>
        <v/>
      </c>
      <c r="U837" s="153" t="str">
        <f>IF(O837="","",O837-N837)</f>
        <v/>
      </c>
      <c r="V837" s="154" t="str">
        <f>IF(O837="","",O837-B837)</f>
        <v/>
      </c>
      <c r="W837" s="154" t="str">
        <f>IF(O837="","",O837-L837)</f>
        <v/>
      </c>
      <c r="X837" s="154">
        <f>IF(R837="","",R837-B837)</f>
        <v>9</v>
      </c>
    </row>
    <row r="838" spans="2:24" ht="17.25" hidden="1" customHeight="1">
      <c r="B838" s="23">
        <v>45769</v>
      </c>
      <c r="C838" s="7">
        <v>2003666357</v>
      </c>
      <c r="D838" s="20">
        <v>5894361</v>
      </c>
      <c r="E838" s="27" t="s">
        <v>230</v>
      </c>
      <c r="F838" s="7" t="s">
        <v>107</v>
      </c>
      <c r="G838" s="7" t="s">
        <v>10</v>
      </c>
      <c r="H838" s="7" t="s">
        <v>45</v>
      </c>
      <c r="I838" s="20" t="s">
        <v>623</v>
      </c>
      <c r="J838" s="20" t="s">
        <v>1434</v>
      </c>
      <c r="K838" s="7" t="s">
        <v>110</v>
      </c>
      <c r="L838" s="61">
        <v>45771</v>
      </c>
      <c r="M838" s="7" t="s">
        <v>111</v>
      </c>
      <c r="N838" s="61">
        <v>45771</v>
      </c>
      <c r="O838" s="61">
        <v>45771</v>
      </c>
      <c r="P838" s="59"/>
      <c r="Q838" s="124" t="e">
        <f>P838*#REF!</f>
        <v>#REF!</v>
      </c>
      <c r="R838" s="126">
        <v>45771</v>
      </c>
      <c r="S838" s="153">
        <f>IF(L838="","",L838-B838)</f>
        <v>2</v>
      </c>
      <c r="T838" s="153">
        <f>IF(N838="","",N838-L838)</f>
        <v>0</v>
      </c>
      <c r="U838" s="153">
        <f>IF(O838="","",O838-N838)</f>
        <v>0</v>
      </c>
      <c r="V838" s="154">
        <f>IF(O838="","",O838-B838)</f>
        <v>2</v>
      </c>
      <c r="W838" s="154">
        <f>IF(O838="","",O838-L838)</f>
        <v>0</v>
      </c>
      <c r="X838" s="154">
        <f>IF(R838="","",R838-B838)</f>
        <v>2</v>
      </c>
    </row>
    <row r="839" spans="2:24" ht="17.25" hidden="1" customHeight="1">
      <c r="B839" s="23">
        <v>45769</v>
      </c>
      <c r="C839" s="7">
        <v>2003665849</v>
      </c>
      <c r="D839" s="20">
        <v>5894384</v>
      </c>
      <c r="E839" s="27" t="s">
        <v>230</v>
      </c>
      <c r="F839" s="7" t="s">
        <v>107</v>
      </c>
      <c r="G839" s="7" t="s">
        <v>18</v>
      </c>
      <c r="H839" s="7" t="s">
        <v>45</v>
      </c>
      <c r="I839" s="20" t="s">
        <v>1435</v>
      </c>
      <c r="J839" s="20" t="s">
        <v>1436</v>
      </c>
      <c r="K839" s="7" t="s">
        <v>110</v>
      </c>
      <c r="L839" s="61">
        <v>45770</v>
      </c>
      <c r="M839" s="7" t="s">
        <v>111</v>
      </c>
      <c r="N839" s="61">
        <v>45770</v>
      </c>
      <c r="O839" s="58">
        <v>45771</v>
      </c>
      <c r="P839" s="59"/>
      <c r="Q839" s="124" t="e">
        <f>P839*#REF!</f>
        <v>#REF!</v>
      </c>
      <c r="R839" s="126">
        <v>45771</v>
      </c>
      <c r="S839" s="153">
        <f>IF(L839="","",L839-B839)</f>
        <v>1</v>
      </c>
      <c r="T839" s="153">
        <f>IF(N839="","",N839-L839)</f>
        <v>0</v>
      </c>
      <c r="U839" s="153">
        <f>IF(O839="","",O839-N839)</f>
        <v>1</v>
      </c>
      <c r="V839" s="154">
        <f>IF(O839="","",O839-B839)</f>
        <v>2</v>
      </c>
      <c r="W839" s="154">
        <f>IF(O839="","",O839-L839)</f>
        <v>1</v>
      </c>
      <c r="X839" s="154">
        <f>IF(R839="","",R839-B839)</f>
        <v>2</v>
      </c>
    </row>
    <row r="840" spans="2:24" ht="17.25" hidden="1" customHeight="1">
      <c r="B840" s="23">
        <v>45769</v>
      </c>
      <c r="C840" s="7">
        <v>2003576663</v>
      </c>
      <c r="D840" s="20">
        <v>5894402</v>
      </c>
      <c r="E840" s="27" t="s">
        <v>106</v>
      </c>
      <c r="F840" s="7" t="s">
        <v>107</v>
      </c>
      <c r="G840" s="7" t="s">
        <v>10</v>
      </c>
      <c r="H840" s="7" t="s">
        <v>45</v>
      </c>
      <c r="I840" s="20" t="s">
        <v>1437</v>
      </c>
      <c r="J840" s="20" t="s">
        <v>1438</v>
      </c>
      <c r="K840" s="7" t="s">
        <v>110</v>
      </c>
      <c r="L840" s="61">
        <v>45776</v>
      </c>
      <c r="M840" s="7" t="s">
        <v>111</v>
      </c>
      <c r="N840" s="24">
        <v>45777</v>
      </c>
      <c r="O840" s="24">
        <v>45777</v>
      </c>
      <c r="P840" s="59"/>
      <c r="Q840" s="124" t="e">
        <f>P840*#REF!</f>
        <v>#REF!</v>
      </c>
      <c r="R840" s="126">
        <v>45777</v>
      </c>
      <c r="S840" s="153">
        <f>IF(L840="","",L840-B840)</f>
        <v>7</v>
      </c>
      <c r="T840" s="153">
        <f>IF(N840="","",N840-L840)</f>
        <v>1</v>
      </c>
      <c r="U840" s="153">
        <f>IF(O840="","",O840-N840)</f>
        <v>0</v>
      </c>
      <c r="V840" s="154">
        <f>IF(O840="","",O840-B840)</f>
        <v>8</v>
      </c>
      <c r="W840" s="154">
        <f>IF(O840="","",O840-L840)</f>
        <v>1</v>
      </c>
      <c r="X840" s="154">
        <f>IF(R840="","",R840-B840)</f>
        <v>8</v>
      </c>
    </row>
    <row r="841" spans="2:24" ht="17.25" hidden="1" customHeight="1">
      <c r="B841" s="23">
        <v>45769</v>
      </c>
      <c r="C841" s="7">
        <v>2003665462</v>
      </c>
      <c r="D841" s="20">
        <v>5894453</v>
      </c>
      <c r="E841" s="27" t="s">
        <v>135</v>
      </c>
      <c r="F841" s="7" t="s">
        <v>113</v>
      </c>
      <c r="G841" s="7" t="s">
        <v>70</v>
      </c>
      <c r="H841" s="7" t="s">
        <v>47</v>
      </c>
      <c r="I841" s="20" t="s">
        <v>1439</v>
      </c>
      <c r="J841" s="20" t="s">
        <v>1440</v>
      </c>
      <c r="K841" s="7" t="s">
        <v>160</v>
      </c>
      <c r="P841" s="59"/>
      <c r="Q841" s="124" t="e">
        <f>P841*#REF!</f>
        <v>#REF!</v>
      </c>
      <c r="R841" s="126">
        <v>45778</v>
      </c>
      <c r="S841" s="153" t="str">
        <f>IF(L841="","",L841-B841)</f>
        <v/>
      </c>
      <c r="T841" s="153" t="str">
        <f>IF(N841="","",N841-L841)</f>
        <v/>
      </c>
      <c r="U841" s="153" t="str">
        <f>IF(O841="","",O841-N841)</f>
        <v/>
      </c>
      <c r="V841" s="154" t="str">
        <f>IF(O841="","",O841-B841)</f>
        <v/>
      </c>
      <c r="W841" s="154" t="str">
        <f>IF(O841="","",O841-L841)</f>
        <v/>
      </c>
      <c r="X841" s="154">
        <f>IF(R841="","",R841-B841)</f>
        <v>9</v>
      </c>
    </row>
    <row r="842" spans="2:24" ht="17.25" hidden="1" customHeight="1">
      <c r="B842" s="23">
        <v>45769</v>
      </c>
      <c r="C842" s="7">
        <v>2003665632</v>
      </c>
      <c r="D842" s="20">
        <v>147689</v>
      </c>
      <c r="E842" s="27" t="s">
        <v>180</v>
      </c>
      <c r="F842" s="7" t="s">
        <v>107</v>
      </c>
      <c r="G842" s="7" t="s">
        <v>10</v>
      </c>
      <c r="H842" s="7" t="s">
        <v>45</v>
      </c>
      <c r="I842" s="20" t="s">
        <v>1441</v>
      </c>
      <c r="J842" s="20" t="s">
        <v>1442</v>
      </c>
      <c r="K842" s="7" t="s">
        <v>110</v>
      </c>
      <c r="L842" s="61">
        <v>45777</v>
      </c>
      <c r="M842" s="7" t="s">
        <v>111</v>
      </c>
      <c r="N842" s="24">
        <v>45783</v>
      </c>
      <c r="O842" s="24">
        <v>45783</v>
      </c>
      <c r="P842" s="59"/>
      <c r="Q842" s="124" t="e">
        <f>P842*#REF!</f>
        <v>#REF!</v>
      </c>
      <c r="R842" s="126">
        <v>45783</v>
      </c>
      <c r="S842" s="153">
        <f>IF(L842="","",L842-B842)</f>
        <v>8</v>
      </c>
      <c r="T842" s="153">
        <f>IF(N842="","",N842-L842)</f>
        <v>6</v>
      </c>
      <c r="U842" s="153">
        <f>IF(O842="","",O842-N842)</f>
        <v>0</v>
      </c>
      <c r="V842" s="154">
        <f>IF(O842="","",O842-B842)</f>
        <v>14</v>
      </c>
      <c r="W842" s="154">
        <f>IF(O842="","",O842-L842)</f>
        <v>6</v>
      </c>
      <c r="X842" s="154">
        <f>IF(R842="","",R842-B842)</f>
        <v>14</v>
      </c>
    </row>
    <row r="843" spans="2:24" ht="17.25" hidden="1" customHeight="1">
      <c r="B843" s="23">
        <v>45769</v>
      </c>
      <c r="C843" s="7">
        <v>2003667418</v>
      </c>
      <c r="D843" s="20">
        <v>5894522</v>
      </c>
      <c r="E843" s="27" t="s">
        <v>198</v>
      </c>
      <c r="F843" s="7" t="s">
        <v>107</v>
      </c>
      <c r="G843" s="7" t="s">
        <v>10</v>
      </c>
      <c r="H843" s="7" t="s">
        <v>45</v>
      </c>
      <c r="I843" s="20" t="s">
        <v>940</v>
      </c>
      <c r="J843" s="20" t="s">
        <v>1443</v>
      </c>
      <c r="K843" s="7" t="s">
        <v>110</v>
      </c>
      <c r="L843" s="61">
        <v>45772</v>
      </c>
      <c r="M843" s="7" t="s">
        <v>111</v>
      </c>
      <c r="N843" s="61">
        <v>45772</v>
      </c>
      <c r="O843" s="61">
        <v>45772</v>
      </c>
      <c r="P843" s="59"/>
      <c r="Q843" s="124" t="e">
        <f>P843*#REF!</f>
        <v>#REF!</v>
      </c>
      <c r="R843" s="126">
        <v>45772</v>
      </c>
      <c r="S843" s="153">
        <f>IF(L843="","",L843-B843)</f>
        <v>3</v>
      </c>
      <c r="T843" s="153">
        <f>IF(N843="","",N843-L843)</f>
        <v>0</v>
      </c>
      <c r="U843" s="153">
        <f>IF(O843="","",O843-N843)</f>
        <v>0</v>
      </c>
      <c r="V843" s="154">
        <f>IF(O843="","",O843-B843)</f>
        <v>3</v>
      </c>
      <c r="W843" s="154">
        <f>IF(O843="","",O843-L843)</f>
        <v>0</v>
      </c>
      <c r="X843" s="154">
        <f>IF(R843="","",R843-B843)</f>
        <v>3</v>
      </c>
    </row>
    <row r="844" spans="2:24" ht="17.25" hidden="1" customHeight="1">
      <c r="B844" s="23">
        <v>45770</v>
      </c>
      <c r="C844" s="7">
        <v>2003608842</v>
      </c>
      <c r="D844" s="20">
        <v>148652</v>
      </c>
      <c r="E844" s="27" t="s">
        <v>143</v>
      </c>
      <c r="F844" s="7" t="s">
        <v>107</v>
      </c>
      <c r="G844" s="7" t="s">
        <v>30</v>
      </c>
      <c r="H844" s="7" t="s">
        <v>45</v>
      </c>
      <c r="I844" s="20" t="s">
        <v>1046</v>
      </c>
      <c r="J844" s="20" t="s">
        <v>1047</v>
      </c>
      <c r="K844" s="7" t="s">
        <v>111</v>
      </c>
      <c r="L844" s="61">
        <v>45771</v>
      </c>
      <c r="M844" s="7" t="s">
        <v>111</v>
      </c>
      <c r="N844" s="61">
        <v>45771</v>
      </c>
      <c r="O844" s="23">
        <v>45783</v>
      </c>
      <c r="P844" s="59"/>
      <c r="Q844" s="124" t="e">
        <f>P844*#REF!</f>
        <v>#REF!</v>
      </c>
      <c r="R844" s="126">
        <v>45783</v>
      </c>
      <c r="S844" s="153">
        <f>IF(L844="","",L844-B844)</f>
        <v>1</v>
      </c>
      <c r="T844" s="153">
        <f>IF(N844="","",N844-L844)</f>
        <v>0</v>
      </c>
      <c r="U844" s="153">
        <f>IF(O844="","",O844-N844)</f>
        <v>12</v>
      </c>
      <c r="V844" s="154">
        <f>IF(O844="","",O844-B844)</f>
        <v>13</v>
      </c>
      <c r="W844" s="154">
        <f>IF(O844="","",O844-L844)</f>
        <v>12</v>
      </c>
      <c r="X844" s="154">
        <f>IF(R844="","",R844-B844)</f>
        <v>13</v>
      </c>
    </row>
    <row r="845" spans="2:24" ht="17.25" hidden="1" customHeight="1">
      <c r="B845" s="23">
        <v>45769</v>
      </c>
      <c r="C845" s="7">
        <v>2003655652</v>
      </c>
      <c r="D845" s="20">
        <v>5894675</v>
      </c>
      <c r="E845" s="27" t="s">
        <v>116</v>
      </c>
      <c r="F845" s="7" t="s">
        <v>107</v>
      </c>
      <c r="G845" s="7" t="s">
        <v>10</v>
      </c>
      <c r="H845" s="7" t="s">
        <v>45</v>
      </c>
      <c r="I845" s="20" t="s">
        <v>1444</v>
      </c>
      <c r="J845" s="20" t="s">
        <v>1445</v>
      </c>
      <c r="K845" s="7" t="s">
        <v>122</v>
      </c>
      <c r="L845" s="61">
        <v>45772</v>
      </c>
      <c r="M845" s="7" t="s">
        <v>111</v>
      </c>
      <c r="N845" s="61">
        <v>45777</v>
      </c>
      <c r="O845" s="130">
        <v>45777</v>
      </c>
      <c r="P845" s="59"/>
      <c r="Q845" s="124" t="e">
        <f>P845*#REF!</f>
        <v>#REF!</v>
      </c>
      <c r="R845" s="126">
        <v>45777</v>
      </c>
      <c r="S845" s="153">
        <f>IF(L845="","",L845-B845)</f>
        <v>3</v>
      </c>
      <c r="T845" s="153">
        <f>IF(N845="","",N845-L845)</f>
        <v>5</v>
      </c>
      <c r="U845" s="153">
        <f>IF(O845="","",O845-N845)</f>
        <v>0</v>
      </c>
      <c r="V845" s="154">
        <f>IF(O845="","",O845-B845)</f>
        <v>8</v>
      </c>
      <c r="W845" s="154">
        <f>IF(O845="","",O845-L845)</f>
        <v>5</v>
      </c>
      <c r="X845" s="154">
        <f>IF(R845="","",R845-B845)</f>
        <v>8</v>
      </c>
    </row>
    <row r="846" spans="2:24" ht="17.25" hidden="1" customHeight="1">
      <c r="B846" s="23">
        <v>45768</v>
      </c>
      <c r="C846" s="7">
        <v>2003666420</v>
      </c>
      <c r="D846" s="20">
        <v>5893568</v>
      </c>
      <c r="E846" s="27" t="s">
        <v>1225</v>
      </c>
      <c r="F846" s="7" t="s">
        <v>107</v>
      </c>
      <c r="G846" s="7" t="s">
        <v>10</v>
      </c>
      <c r="H846" s="7" t="s">
        <v>45</v>
      </c>
      <c r="I846" s="20" t="s">
        <v>1446</v>
      </c>
      <c r="J846" s="20" t="s">
        <v>1447</v>
      </c>
      <c r="K846" s="7" t="s">
        <v>122</v>
      </c>
      <c r="L846" s="61">
        <v>45775</v>
      </c>
      <c r="M846" s="7" t="s">
        <v>111</v>
      </c>
      <c r="N846" s="61">
        <v>45776</v>
      </c>
      <c r="O846" s="130">
        <v>45776</v>
      </c>
      <c r="P846" s="59"/>
      <c r="Q846" s="124" t="e">
        <f>P846*#REF!</f>
        <v>#REF!</v>
      </c>
      <c r="R846" s="126">
        <v>45776</v>
      </c>
      <c r="S846" s="153">
        <f>IF(L846="","",L846-B846)</f>
        <v>7</v>
      </c>
      <c r="T846" s="153">
        <f>IF(N846="","",N846-L846)</f>
        <v>1</v>
      </c>
      <c r="U846" s="153">
        <f>IF(O846="","",O846-N846)</f>
        <v>0</v>
      </c>
      <c r="V846" s="154">
        <f>IF(O846="","",O846-B846)</f>
        <v>8</v>
      </c>
      <c r="W846" s="154">
        <f>IF(O846="","",O846-L846)</f>
        <v>1</v>
      </c>
      <c r="X846" s="154">
        <f>IF(R846="","",R846-B846)</f>
        <v>8</v>
      </c>
    </row>
    <row r="847" spans="2:24" ht="17.25" hidden="1" customHeight="1">
      <c r="B847" s="23">
        <v>45769</v>
      </c>
      <c r="C847" s="7">
        <v>2003666306</v>
      </c>
      <c r="D847" s="20">
        <v>5894742</v>
      </c>
      <c r="E847" s="27" t="s">
        <v>123</v>
      </c>
      <c r="F847" s="7" t="s">
        <v>107</v>
      </c>
      <c r="G847" s="7" t="s">
        <v>10</v>
      </c>
      <c r="H847" s="7" t="s">
        <v>45</v>
      </c>
      <c r="I847" s="20" t="s">
        <v>1448</v>
      </c>
      <c r="J847" s="20" t="s">
        <v>1449</v>
      </c>
      <c r="K847" s="7" t="s">
        <v>119</v>
      </c>
      <c r="L847" s="61">
        <v>45772</v>
      </c>
      <c r="M847" s="7" t="s">
        <v>111</v>
      </c>
      <c r="N847" s="61">
        <v>45772</v>
      </c>
      <c r="O847" s="61">
        <v>45772</v>
      </c>
      <c r="P847" s="59"/>
      <c r="Q847" s="124" t="e">
        <f>P847*#REF!</f>
        <v>#REF!</v>
      </c>
      <c r="R847" s="126">
        <v>45772</v>
      </c>
      <c r="S847" s="153">
        <f>IF(L847="","",L847-B847)</f>
        <v>3</v>
      </c>
      <c r="T847" s="153">
        <f>IF(N847="","",N847-L847)</f>
        <v>0</v>
      </c>
      <c r="U847" s="153">
        <f>IF(O847="","",O847-N847)</f>
        <v>0</v>
      </c>
      <c r="V847" s="154">
        <f>IF(O847="","",O847-B847)</f>
        <v>3</v>
      </c>
      <c r="W847" s="154">
        <f>IF(O847="","",O847-L847)</f>
        <v>0</v>
      </c>
      <c r="X847" s="154">
        <f>IF(R847="","",R847-B847)</f>
        <v>3</v>
      </c>
    </row>
    <row r="848" spans="2:24" ht="17.25" hidden="1" customHeight="1">
      <c r="B848" s="23">
        <v>45769</v>
      </c>
      <c r="C848" s="7">
        <v>2003666361</v>
      </c>
      <c r="D848" s="20">
        <v>5894882</v>
      </c>
      <c r="E848" s="27" t="s">
        <v>123</v>
      </c>
      <c r="F848" s="7" t="s">
        <v>107</v>
      </c>
      <c r="G848" s="7" t="s">
        <v>10</v>
      </c>
      <c r="H848" s="7" t="s">
        <v>45</v>
      </c>
      <c r="I848" s="20" t="s">
        <v>1450</v>
      </c>
      <c r="J848" s="20" t="s">
        <v>1451</v>
      </c>
      <c r="K848" s="7" t="s">
        <v>110</v>
      </c>
      <c r="L848" s="61">
        <v>45772</v>
      </c>
      <c r="M848" s="7" t="s">
        <v>111</v>
      </c>
      <c r="N848" s="61">
        <v>45772</v>
      </c>
      <c r="O848" s="61">
        <v>45772</v>
      </c>
      <c r="P848" s="59"/>
      <c r="Q848" s="124" t="e">
        <f>P848*#REF!</f>
        <v>#REF!</v>
      </c>
      <c r="R848" s="126">
        <v>45772</v>
      </c>
      <c r="S848" s="153">
        <f>IF(L848="","",L848-B848)</f>
        <v>3</v>
      </c>
      <c r="T848" s="153">
        <f>IF(N848="","",N848-L848)</f>
        <v>0</v>
      </c>
      <c r="U848" s="153">
        <f>IF(O848="","",O848-N848)</f>
        <v>0</v>
      </c>
      <c r="V848" s="154">
        <f>IF(O848="","",O848-B848)</f>
        <v>3</v>
      </c>
      <c r="W848" s="154">
        <f>IF(O848="","",O848-L848)</f>
        <v>0</v>
      </c>
      <c r="X848" s="154">
        <f>IF(R848="","",R848-B848)</f>
        <v>3</v>
      </c>
    </row>
    <row r="849" spans="2:24" ht="17.25" hidden="1" customHeight="1">
      <c r="B849" s="23">
        <v>45769</v>
      </c>
      <c r="C849" s="7">
        <v>2003665059</v>
      </c>
      <c r="D849" s="20">
        <v>5894931</v>
      </c>
      <c r="E849" s="27" t="s">
        <v>126</v>
      </c>
      <c r="F849" s="7" t="s">
        <v>107</v>
      </c>
      <c r="G849" s="7" t="s">
        <v>10</v>
      </c>
      <c r="H849" s="7" t="s">
        <v>45</v>
      </c>
      <c r="I849" s="20" t="s">
        <v>1452</v>
      </c>
      <c r="J849" s="20" t="s">
        <v>1453</v>
      </c>
      <c r="K849" s="7" t="s">
        <v>110</v>
      </c>
      <c r="L849" s="61">
        <v>45772</v>
      </c>
      <c r="M849" s="7" t="s">
        <v>111</v>
      </c>
      <c r="N849" s="61">
        <v>45772</v>
      </c>
      <c r="O849" s="61">
        <v>45772</v>
      </c>
      <c r="P849" s="59">
        <v>149.69999999999999</v>
      </c>
      <c r="Q849" s="124" t="e">
        <f>P849*#REF!</f>
        <v>#REF!</v>
      </c>
      <c r="R849" s="126">
        <v>45772</v>
      </c>
      <c r="S849" s="153">
        <f>IF(L849="","",L849-B849)</f>
        <v>3</v>
      </c>
      <c r="T849" s="153">
        <f>IF(N849="","",N849-L849)</f>
        <v>0</v>
      </c>
      <c r="U849" s="153">
        <f>IF(O849="","",O849-N849)</f>
        <v>0</v>
      </c>
      <c r="V849" s="154">
        <f>IF(O849="","",O849-B849)</f>
        <v>3</v>
      </c>
      <c r="W849" s="154">
        <f>IF(O849="","",O849-L849)</f>
        <v>0</v>
      </c>
      <c r="X849" s="154">
        <f>IF(R849="","",R849-B849)</f>
        <v>3</v>
      </c>
    </row>
    <row r="850" spans="2:24" ht="17.25" hidden="1" customHeight="1">
      <c r="B850" s="23">
        <v>45769</v>
      </c>
      <c r="C850" s="7">
        <v>2003667351</v>
      </c>
      <c r="D850" s="20">
        <v>5894957</v>
      </c>
      <c r="E850" s="27" t="s">
        <v>126</v>
      </c>
      <c r="F850" s="7" t="s">
        <v>107</v>
      </c>
      <c r="G850" s="7" t="s">
        <v>10</v>
      </c>
      <c r="H850" s="7" t="s">
        <v>45</v>
      </c>
      <c r="I850" s="20" t="s">
        <v>476</v>
      </c>
      <c r="J850" s="20" t="s">
        <v>1454</v>
      </c>
      <c r="K850" s="7" t="s">
        <v>119</v>
      </c>
      <c r="L850" s="61">
        <v>45771</v>
      </c>
      <c r="M850" s="7" t="s">
        <v>111</v>
      </c>
      <c r="N850" s="61">
        <v>45771</v>
      </c>
      <c r="O850" s="61">
        <v>45771</v>
      </c>
      <c r="P850" s="59"/>
      <c r="Q850" s="124" t="e">
        <f>P850*#REF!</f>
        <v>#REF!</v>
      </c>
      <c r="R850" s="126">
        <v>45771</v>
      </c>
      <c r="S850" s="153">
        <f>IF(L850="","",L850-B850)</f>
        <v>2</v>
      </c>
      <c r="T850" s="153">
        <f>IF(N850="","",N850-L850)</f>
        <v>0</v>
      </c>
      <c r="U850" s="153">
        <f>IF(O850="","",O850-N850)</f>
        <v>0</v>
      </c>
      <c r="V850" s="154">
        <f>IF(O850="","",O850-B850)</f>
        <v>2</v>
      </c>
      <c r="W850" s="154">
        <f>IF(O850="","",O850-L850)</f>
        <v>0</v>
      </c>
      <c r="X850" s="154">
        <f>IF(R850="","",R850-B850)</f>
        <v>2</v>
      </c>
    </row>
    <row r="851" spans="2:24" ht="17.25" hidden="1" customHeight="1">
      <c r="B851" s="23">
        <v>45769</v>
      </c>
      <c r="C851" s="7">
        <v>2003668142</v>
      </c>
      <c r="D851" s="20">
        <v>5894964</v>
      </c>
      <c r="E851" s="27" t="s">
        <v>149</v>
      </c>
      <c r="F851" s="7" t="s">
        <v>107</v>
      </c>
      <c r="G851" s="7" t="s">
        <v>18</v>
      </c>
      <c r="H851" s="7" t="s">
        <v>45</v>
      </c>
      <c r="I851" s="20" t="s">
        <v>1455</v>
      </c>
      <c r="J851" s="20" t="s">
        <v>1456</v>
      </c>
      <c r="K851" s="7" t="s">
        <v>110</v>
      </c>
      <c r="L851" s="61">
        <v>45771</v>
      </c>
      <c r="M851" s="7" t="s">
        <v>111</v>
      </c>
      <c r="N851" s="61">
        <v>45771</v>
      </c>
      <c r="O851" s="58">
        <v>45773</v>
      </c>
      <c r="P851" s="59"/>
      <c r="Q851" s="124" t="e">
        <f>P851*#REF!</f>
        <v>#REF!</v>
      </c>
      <c r="R851" s="126">
        <v>45775</v>
      </c>
      <c r="S851" s="153">
        <f>IF(L851="","",L851-B851)</f>
        <v>2</v>
      </c>
      <c r="T851" s="153">
        <f>IF(N851="","",N851-L851)</f>
        <v>0</v>
      </c>
      <c r="U851" s="153">
        <f>IF(O851="","",O851-N851)</f>
        <v>2</v>
      </c>
      <c r="V851" s="154">
        <f>IF(O851="","",O851-B851)</f>
        <v>4</v>
      </c>
      <c r="W851" s="154">
        <f>IF(O851="","",O851-L851)</f>
        <v>2</v>
      </c>
      <c r="X851" s="154">
        <f>IF(R851="","",R851-B851)</f>
        <v>6</v>
      </c>
    </row>
    <row r="852" spans="2:24" ht="17.25" hidden="1" customHeight="1">
      <c r="B852" s="23">
        <v>45769</v>
      </c>
      <c r="C852" s="7">
        <v>2003665693</v>
      </c>
      <c r="D852" s="20">
        <v>5895029</v>
      </c>
      <c r="E852" s="27" t="s">
        <v>126</v>
      </c>
      <c r="F852" s="7" t="s">
        <v>107</v>
      </c>
      <c r="G852" s="7" t="s">
        <v>10</v>
      </c>
      <c r="H852" s="7" t="s">
        <v>45</v>
      </c>
      <c r="I852" s="20" t="s">
        <v>657</v>
      </c>
      <c r="J852" s="20" t="s">
        <v>1457</v>
      </c>
      <c r="K852" s="7" t="s">
        <v>119</v>
      </c>
      <c r="L852" s="61">
        <v>45771</v>
      </c>
      <c r="M852" s="7" t="s">
        <v>111</v>
      </c>
      <c r="N852" s="61">
        <v>45771</v>
      </c>
      <c r="O852" s="61">
        <v>45771</v>
      </c>
      <c r="P852" s="59"/>
      <c r="Q852" s="124" t="e">
        <f>P852*#REF!</f>
        <v>#REF!</v>
      </c>
      <c r="R852" s="126">
        <v>45771</v>
      </c>
      <c r="S852" s="153">
        <f>IF(L852="","",L852-B852)</f>
        <v>2</v>
      </c>
      <c r="T852" s="153">
        <f>IF(N852="","",N852-L852)</f>
        <v>0</v>
      </c>
      <c r="U852" s="153">
        <f>IF(O852="","",O852-N852)</f>
        <v>0</v>
      </c>
      <c r="V852" s="154">
        <f>IF(O852="","",O852-B852)</f>
        <v>2</v>
      </c>
      <c r="W852" s="154">
        <f>IF(O852="","",O852-L852)</f>
        <v>0</v>
      </c>
      <c r="X852" s="154">
        <f>IF(R852="","",R852-B852)</f>
        <v>2</v>
      </c>
    </row>
    <row r="853" spans="2:24" ht="17.25" hidden="1" customHeight="1">
      <c r="B853" s="23">
        <v>45769</v>
      </c>
      <c r="C853" s="7">
        <v>2003665739</v>
      </c>
      <c r="D853" s="20">
        <v>5895109</v>
      </c>
      <c r="E853" s="27" t="s">
        <v>180</v>
      </c>
      <c r="F853" s="7" t="s">
        <v>113</v>
      </c>
      <c r="G853" s="7" t="s">
        <v>70</v>
      </c>
      <c r="H853" s="7" t="s">
        <v>47</v>
      </c>
      <c r="I853" s="20" t="s">
        <v>1458</v>
      </c>
      <c r="J853" s="20" t="s">
        <v>1459</v>
      </c>
      <c r="K853" s="7" t="s">
        <v>160</v>
      </c>
      <c r="N853" s="24">
        <v>45790</v>
      </c>
      <c r="P853" s="59"/>
      <c r="Q853" s="124" t="e">
        <f>P853*#REF!</f>
        <v>#REF!</v>
      </c>
      <c r="R853" s="126">
        <v>45778</v>
      </c>
      <c r="S853" s="153" t="str">
        <f>IF(L853="","",L853-B853)</f>
        <v/>
      </c>
      <c r="T853" s="153">
        <f>IF(N853="","",N853-L853)</f>
        <v>45790</v>
      </c>
      <c r="U853" s="153" t="str">
        <f>IF(O853="","",O853-N853)</f>
        <v/>
      </c>
      <c r="V853" s="154" t="str">
        <f>IF(O853="","",O853-B853)</f>
        <v/>
      </c>
      <c r="W853" s="154" t="str">
        <f>IF(O853="","",O853-L853)</f>
        <v/>
      </c>
      <c r="X853" s="154">
        <f>IF(R853="","",R853-B853)</f>
        <v>9</v>
      </c>
    </row>
    <row r="854" spans="2:24" ht="17.25" hidden="1" customHeight="1">
      <c r="B854" s="23">
        <v>45769</v>
      </c>
      <c r="C854" s="7">
        <v>2003667762</v>
      </c>
      <c r="D854" s="20">
        <v>5895124</v>
      </c>
      <c r="E854" s="27" t="s">
        <v>185</v>
      </c>
      <c r="F854" s="7" t="s">
        <v>107</v>
      </c>
      <c r="G854" s="7" t="s">
        <v>18</v>
      </c>
      <c r="H854" s="7" t="s">
        <v>45</v>
      </c>
      <c r="I854" s="20" t="s">
        <v>249</v>
      </c>
      <c r="J854" s="20" t="s">
        <v>1460</v>
      </c>
      <c r="K854" s="7" t="s">
        <v>119</v>
      </c>
      <c r="L854" s="61">
        <v>45772</v>
      </c>
      <c r="M854" s="7" t="s">
        <v>111</v>
      </c>
      <c r="N854" s="61">
        <v>45772</v>
      </c>
      <c r="O854" s="61">
        <v>45772</v>
      </c>
      <c r="P854" s="59"/>
      <c r="Q854" s="124" t="e">
        <f>P854*#REF!</f>
        <v>#REF!</v>
      </c>
      <c r="R854" s="126">
        <v>45772</v>
      </c>
      <c r="S854" s="153">
        <f>IF(L854="","",L854-B854)</f>
        <v>3</v>
      </c>
      <c r="T854" s="153">
        <f>IF(N854="","",N854-L854)</f>
        <v>0</v>
      </c>
      <c r="U854" s="153">
        <f>IF(O854="","",O854-N854)</f>
        <v>0</v>
      </c>
      <c r="V854" s="154">
        <f>IF(O854="","",O854-B854)</f>
        <v>3</v>
      </c>
      <c r="W854" s="154">
        <f>IF(O854="","",O854-L854)</f>
        <v>0</v>
      </c>
      <c r="X854" s="154">
        <f>IF(R854="","",R854-B854)</f>
        <v>3</v>
      </c>
    </row>
    <row r="855" spans="2:24" ht="17.25" hidden="1" customHeight="1">
      <c r="B855" s="23">
        <v>45769</v>
      </c>
      <c r="C855" s="7">
        <v>2003532328</v>
      </c>
      <c r="D855" s="20">
        <v>5895144</v>
      </c>
      <c r="E855" s="27" t="s">
        <v>123</v>
      </c>
      <c r="F855" s="7" t="s">
        <v>107</v>
      </c>
      <c r="G855" s="7" t="s">
        <v>26</v>
      </c>
      <c r="H855" s="7" t="s">
        <v>45</v>
      </c>
      <c r="I855" s="20" t="s">
        <v>1461</v>
      </c>
      <c r="J855" s="20" t="s">
        <v>125</v>
      </c>
      <c r="K855" s="7" t="s">
        <v>119</v>
      </c>
      <c r="L855" s="61">
        <v>45772</v>
      </c>
      <c r="M855" s="7" t="s">
        <v>111</v>
      </c>
      <c r="N855" s="24">
        <v>45772</v>
      </c>
      <c r="O855" s="58">
        <v>45772</v>
      </c>
      <c r="P855" s="59"/>
      <c r="Q855" s="124" t="e">
        <f>P855*#REF!</f>
        <v>#REF!</v>
      </c>
      <c r="R855" s="126">
        <v>45772</v>
      </c>
      <c r="S855" s="153">
        <f>IF(L855="","",L855-B855)</f>
        <v>3</v>
      </c>
      <c r="T855" s="153">
        <f>IF(N855="","",N855-L855)</f>
        <v>0</v>
      </c>
      <c r="U855" s="153">
        <f>IF(O855="","",O855-N855)</f>
        <v>0</v>
      </c>
      <c r="V855" s="154">
        <f>IF(O855="","",O855-B855)</f>
        <v>3</v>
      </c>
      <c r="W855" s="154">
        <f>IF(O855="","",O855-L855)</f>
        <v>0</v>
      </c>
      <c r="X855" s="154">
        <f>IF(R855="","",R855-B855)</f>
        <v>3</v>
      </c>
    </row>
    <row r="856" spans="2:24" ht="17.25" hidden="1" customHeight="1">
      <c r="B856" s="23">
        <v>45769</v>
      </c>
      <c r="C856" s="7">
        <v>2003665521</v>
      </c>
      <c r="D856" s="20">
        <v>5895223</v>
      </c>
      <c r="E856" s="27" t="s">
        <v>408</v>
      </c>
      <c r="F856" s="7" t="s">
        <v>107</v>
      </c>
      <c r="G856" s="7" t="s">
        <v>10</v>
      </c>
      <c r="H856" s="7" t="s">
        <v>45</v>
      </c>
      <c r="I856" s="20" t="s">
        <v>1462</v>
      </c>
      <c r="J856" s="20" t="s">
        <v>1463</v>
      </c>
      <c r="K856" s="7" t="s">
        <v>119</v>
      </c>
      <c r="L856" s="61">
        <v>45772</v>
      </c>
      <c r="M856" s="7" t="s">
        <v>111</v>
      </c>
      <c r="N856" s="61">
        <v>45772</v>
      </c>
      <c r="O856" s="61">
        <v>45772</v>
      </c>
      <c r="P856" s="59"/>
      <c r="Q856" s="124" t="e">
        <f>P856*#REF!</f>
        <v>#REF!</v>
      </c>
      <c r="R856" s="126">
        <v>45772</v>
      </c>
      <c r="S856" s="153">
        <f>IF(L856="","",L856-B856)</f>
        <v>3</v>
      </c>
      <c r="T856" s="153">
        <f>IF(N856="","",N856-L856)</f>
        <v>0</v>
      </c>
      <c r="U856" s="153">
        <f>IF(O856="","",O856-N856)</f>
        <v>0</v>
      </c>
      <c r="V856" s="154">
        <f>IF(O856="","",O856-B856)</f>
        <v>3</v>
      </c>
      <c r="W856" s="154">
        <f>IF(O856="","",O856-L856)</f>
        <v>0</v>
      </c>
      <c r="X856" s="154">
        <f>IF(R856="","",R856-B856)</f>
        <v>3</v>
      </c>
    </row>
    <row r="857" spans="2:24" ht="17.25" hidden="1" customHeight="1">
      <c r="B857" s="23">
        <v>45769</v>
      </c>
      <c r="C857" s="7">
        <v>2003664736</v>
      </c>
      <c r="D857" s="20">
        <v>5895225</v>
      </c>
      <c r="E857" s="27" t="s">
        <v>230</v>
      </c>
      <c r="F857" s="7" t="s">
        <v>107</v>
      </c>
      <c r="G857" s="7" t="s">
        <v>26</v>
      </c>
      <c r="H857" s="7" t="s">
        <v>45</v>
      </c>
      <c r="I857" s="20" t="s">
        <v>1464</v>
      </c>
      <c r="J857" s="20" t="s">
        <v>1465</v>
      </c>
      <c r="K857" s="7" t="s">
        <v>110</v>
      </c>
      <c r="L857" s="61">
        <v>45772</v>
      </c>
      <c r="M857" s="7" t="s">
        <v>111</v>
      </c>
      <c r="N857" s="61">
        <v>45772</v>
      </c>
      <c r="O857" s="58">
        <v>45772</v>
      </c>
      <c r="P857" s="59"/>
      <c r="Q857" s="124" t="e">
        <f>P857*#REF!</f>
        <v>#REF!</v>
      </c>
      <c r="R857" s="126">
        <v>45772</v>
      </c>
      <c r="S857" s="153">
        <f>IF(L857="","",L857-B857)</f>
        <v>3</v>
      </c>
      <c r="T857" s="153">
        <f>IF(N857="","",N857-L857)</f>
        <v>0</v>
      </c>
      <c r="U857" s="153">
        <f>IF(O857="","",O857-N857)</f>
        <v>0</v>
      </c>
      <c r="V857" s="154">
        <f>IF(O857="","",O857-B857)</f>
        <v>3</v>
      </c>
      <c r="W857" s="154">
        <f>IF(O857="","",O857-L857)</f>
        <v>0</v>
      </c>
      <c r="X857" s="154">
        <f>IF(R857="","",R857-B857)</f>
        <v>3</v>
      </c>
    </row>
    <row r="858" spans="2:24" ht="17.25" hidden="1" customHeight="1">
      <c r="B858" s="23">
        <v>45769</v>
      </c>
      <c r="C858" s="7">
        <v>2003665822</v>
      </c>
      <c r="D858" s="20">
        <v>5895227</v>
      </c>
      <c r="E858" s="27" t="s">
        <v>126</v>
      </c>
      <c r="F858" s="7" t="s">
        <v>107</v>
      </c>
      <c r="G858" s="7" t="s">
        <v>10</v>
      </c>
      <c r="H858" s="7" t="s">
        <v>45</v>
      </c>
      <c r="I858" s="20" t="s">
        <v>1458</v>
      </c>
      <c r="J858" s="20" t="s">
        <v>1466</v>
      </c>
      <c r="K858" s="7" t="s">
        <v>110</v>
      </c>
      <c r="L858" s="61">
        <v>45772</v>
      </c>
      <c r="M858" s="7" t="s">
        <v>111</v>
      </c>
      <c r="N858" s="61">
        <v>45772</v>
      </c>
      <c r="O858" s="58">
        <v>45773</v>
      </c>
      <c r="P858" s="59"/>
      <c r="Q858" s="124" t="e">
        <f>P858*#REF!</f>
        <v>#REF!</v>
      </c>
      <c r="R858" s="126">
        <v>45776</v>
      </c>
      <c r="S858" s="153">
        <f>IF(L858="","",L858-B858)</f>
        <v>3</v>
      </c>
      <c r="T858" s="153">
        <f>IF(N858="","",N858-L858)</f>
        <v>0</v>
      </c>
      <c r="U858" s="153">
        <f>IF(O858="","",O858-N858)</f>
        <v>1</v>
      </c>
      <c r="V858" s="154">
        <f>IF(O858="","",O858-B858)</f>
        <v>4</v>
      </c>
      <c r="W858" s="154">
        <f>IF(O858="","",O858-L858)</f>
        <v>1</v>
      </c>
      <c r="X858" s="154">
        <f>IF(R858="","",R858-B858)</f>
        <v>7</v>
      </c>
    </row>
    <row r="859" spans="2:24" ht="17.25" hidden="1" customHeight="1">
      <c r="B859" s="23">
        <v>45769</v>
      </c>
      <c r="C859" s="7">
        <v>2003666246</v>
      </c>
      <c r="D859" s="20">
        <v>5895248</v>
      </c>
      <c r="E859" s="27" t="s">
        <v>408</v>
      </c>
      <c r="F859" s="7" t="s">
        <v>107</v>
      </c>
      <c r="G859" s="7" t="s">
        <v>10</v>
      </c>
      <c r="H859" s="7" t="s">
        <v>45</v>
      </c>
      <c r="I859" s="20" t="s">
        <v>1155</v>
      </c>
      <c r="J859" s="20" t="s">
        <v>1467</v>
      </c>
      <c r="K859" s="7" t="s">
        <v>110</v>
      </c>
      <c r="L859" s="61">
        <v>45772</v>
      </c>
      <c r="M859" s="7" t="s">
        <v>111</v>
      </c>
      <c r="N859" s="61">
        <v>45772</v>
      </c>
      <c r="O859" s="61">
        <v>45772</v>
      </c>
      <c r="P859" s="59"/>
      <c r="Q859" s="124" t="e">
        <f>P859*#REF!</f>
        <v>#REF!</v>
      </c>
      <c r="R859" s="126">
        <v>45772</v>
      </c>
      <c r="S859" s="153">
        <f>IF(L859="","",L859-B859)</f>
        <v>3</v>
      </c>
      <c r="T859" s="153">
        <f>IF(N859="","",N859-L859)</f>
        <v>0</v>
      </c>
      <c r="U859" s="153">
        <f>IF(O859="","",O859-N859)</f>
        <v>0</v>
      </c>
      <c r="V859" s="154">
        <f>IF(O859="","",O859-B859)</f>
        <v>3</v>
      </c>
      <c r="W859" s="154">
        <f>IF(O859="","",O859-L859)</f>
        <v>0</v>
      </c>
      <c r="X859" s="154">
        <f>IF(R859="","",R859-B859)</f>
        <v>3</v>
      </c>
    </row>
    <row r="860" spans="2:24" ht="17.25" hidden="1" customHeight="1">
      <c r="B860" s="23">
        <v>45769</v>
      </c>
      <c r="C860" s="7">
        <v>2003667929</v>
      </c>
      <c r="D860" s="20">
        <v>5895290</v>
      </c>
      <c r="E860" s="27" t="s">
        <v>191</v>
      </c>
      <c r="F860" s="7" t="s">
        <v>107</v>
      </c>
      <c r="G860" s="7" t="s">
        <v>10</v>
      </c>
      <c r="H860" s="7" t="s">
        <v>45</v>
      </c>
      <c r="I860" s="20" t="s">
        <v>1468</v>
      </c>
      <c r="J860" s="20" t="s">
        <v>1469</v>
      </c>
      <c r="K860" s="7" t="s">
        <v>119</v>
      </c>
      <c r="L860" s="61">
        <v>45771</v>
      </c>
      <c r="M860" s="7" t="s">
        <v>111</v>
      </c>
      <c r="N860" s="61">
        <v>45771</v>
      </c>
      <c r="O860" s="61">
        <v>45771</v>
      </c>
      <c r="P860" s="59"/>
      <c r="Q860" s="124" t="e">
        <f>P860*#REF!</f>
        <v>#REF!</v>
      </c>
      <c r="R860" s="126">
        <v>45771</v>
      </c>
      <c r="S860" s="153">
        <f>IF(L860="","",L860-B860)</f>
        <v>2</v>
      </c>
      <c r="T860" s="153">
        <f>IF(N860="","",N860-L860)</f>
        <v>0</v>
      </c>
      <c r="U860" s="153">
        <f>IF(O860="","",O860-N860)</f>
        <v>0</v>
      </c>
      <c r="V860" s="154">
        <f>IF(O860="","",O860-B860)</f>
        <v>2</v>
      </c>
      <c r="W860" s="154">
        <f>IF(O860="","",O860-L860)</f>
        <v>0</v>
      </c>
      <c r="X860" s="154">
        <f>IF(R860="","",R860-B860)</f>
        <v>2</v>
      </c>
    </row>
    <row r="861" spans="2:24" ht="17.25" hidden="1" customHeight="1">
      <c r="B861" s="23">
        <v>45769</v>
      </c>
      <c r="C861" s="7">
        <v>2003666755</v>
      </c>
      <c r="D861" s="20">
        <v>5895308</v>
      </c>
      <c r="E861" s="27" t="s">
        <v>201</v>
      </c>
      <c r="F861" s="7" t="s">
        <v>107</v>
      </c>
      <c r="G861" s="7" t="s">
        <v>10</v>
      </c>
      <c r="H861" s="7" t="s">
        <v>45</v>
      </c>
      <c r="I861" s="20" t="s">
        <v>1470</v>
      </c>
      <c r="J861" s="20" t="s">
        <v>1471</v>
      </c>
      <c r="K861" s="7" t="s">
        <v>146</v>
      </c>
      <c r="L861" s="61">
        <v>45771</v>
      </c>
      <c r="M861" s="7" t="s">
        <v>111</v>
      </c>
      <c r="N861" s="24">
        <v>45773</v>
      </c>
      <c r="O861" s="58">
        <v>45773</v>
      </c>
      <c r="P861" s="59"/>
      <c r="Q861" s="124" t="e">
        <f>P861*#REF!</f>
        <v>#REF!</v>
      </c>
      <c r="R861" s="126">
        <v>45776</v>
      </c>
      <c r="S861" s="153">
        <f>IF(L861="","",L861-B861)</f>
        <v>2</v>
      </c>
      <c r="T861" s="153">
        <f>IF(N861="","",N861-L861)</f>
        <v>2</v>
      </c>
      <c r="U861" s="153">
        <f>IF(O861="","",O861-N861)</f>
        <v>0</v>
      </c>
      <c r="V861" s="154">
        <f>IF(O861="","",O861-B861)</f>
        <v>4</v>
      </c>
      <c r="W861" s="154">
        <f>IF(O861="","",O861-L861)</f>
        <v>2</v>
      </c>
      <c r="X861" s="154">
        <f>IF(R861="","",R861-B861)</f>
        <v>7</v>
      </c>
    </row>
    <row r="862" spans="2:24" ht="17.25" hidden="1" customHeight="1">
      <c r="B862" s="23">
        <v>45770</v>
      </c>
      <c r="C862" s="7">
        <v>2003667751</v>
      </c>
      <c r="D862" s="20">
        <v>148700</v>
      </c>
      <c r="E862" s="27" t="s">
        <v>201</v>
      </c>
      <c r="F862" s="7" t="s">
        <v>107</v>
      </c>
      <c r="G862" s="7" t="s">
        <v>18</v>
      </c>
      <c r="H862" s="7" t="s">
        <v>45</v>
      </c>
      <c r="I862" s="20" t="s">
        <v>1472</v>
      </c>
      <c r="J862" s="20" t="s">
        <v>1473</v>
      </c>
      <c r="K862" s="7" t="s">
        <v>110</v>
      </c>
      <c r="L862" s="61">
        <v>45782</v>
      </c>
      <c r="M862" s="7" t="s">
        <v>111</v>
      </c>
      <c r="N862" s="61">
        <v>45782</v>
      </c>
      <c r="O862" s="58">
        <v>45783</v>
      </c>
      <c r="P862" s="59"/>
      <c r="Q862" s="124" t="e">
        <f>P862*#REF!</f>
        <v>#REF!</v>
      </c>
      <c r="R862" s="126">
        <v>45783</v>
      </c>
      <c r="S862" s="153">
        <f>IF(L862="","",L862-B862)</f>
        <v>12</v>
      </c>
      <c r="T862" s="153">
        <f>IF(N862="","",N862-L862)</f>
        <v>0</v>
      </c>
      <c r="U862" s="153">
        <f>IF(O862="","",O862-N862)</f>
        <v>1</v>
      </c>
      <c r="V862" s="154">
        <f>IF(O862="","",O862-B862)</f>
        <v>13</v>
      </c>
      <c r="W862" s="154">
        <f>IF(O862="","",O862-L862)</f>
        <v>1</v>
      </c>
      <c r="X862" s="154">
        <f>IF(R862="","",R862-B862)</f>
        <v>13</v>
      </c>
    </row>
    <row r="863" spans="2:24" ht="17.25" hidden="1" customHeight="1">
      <c r="B863" s="23">
        <v>45770</v>
      </c>
      <c r="C863" s="7">
        <v>2003666008</v>
      </c>
      <c r="D863" s="20">
        <v>148829</v>
      </c>
      <c r="E863" s="27" t="s">
        <v>201</v>
      </c>
      <c r="F863" s="7" t="s">
        <v>107</v>
      </c>
      <c r="G863" s="7" t="s">
        <v>10</v>
      </c>
      <c r="H863" s="7" t="s">
        <v>45</v>
      </c>
      <c r="I863" s="20" t="s">
        <v>1474</v>
      </c>
      <c r="J863" s="20" t="s">
        <v>1475</v>
      </c>
      <c r="K863" s="7" t="s">
        <v>110</v>
      </c>
      <c r="L863" s="61">
        <v>45782</v>
      </c>
      <c r="M863" s="7" t="s">
        <v>111</v>
      </c>
      <c r="N863" s="61">
        <v>45782</v>
      </c>
      <c r="O863" s="130">
        <v>45782</v>
      </c>
      <c r="P863" s="59"/>
      <c r="Q863" s="124" t="e">
        <f>P863*#REF!</f>
        <v>#REF!</v>
      </c>
      <c r="R863" s="126">
        <v>45783</v>
      </c>
      <c r="S863" s="153">
        <f>IF(L863="","",L863-B863)</f>
        <v>12</v>
      </c>
      <c r="T863" s="153">
        <f>IF(N863="","",N863-L863)</f>
        <v>0</v>
      </c>
      <c r="U863" s="153">
        <f>IF(O863="","",O863-N863)</f>
        <v>0</v>
      </c>
      <c r="V863" s="154">
        <f>IF(O863="","",O863-B863)</f>
        <v>12</v>
      </c>
      <c r="W863" s="154">
        <f>IF(O863="","",O863-L863)</f>
        <v>0</v>
      </c>
      <c r="X863" s="154">
        <f>IF(R863="","",R863-B863)</f>
        <v>13</v>
      </c>
    </row>
    <row r="864" spans="2:24" ht="17.25" hidden="1" customHeight="1">
      <c r="B864" s="23">
        <v>45769</v>
      </c>
      <c r="C864" s="7">
        <v>2003665958</v>
      </c>
      <c r="D864" s="20">
        <v>5895337</v>
      </c>
      <c r="E864" s="27" t="s">
        <v>185</v>
      </c>
      <c r="F864" s="7" t="s">
        <v>107</v>
      </c>
      <c r="G864" s="7" t="s">
        <v>10</v>
      </c>
      <c r="H864" s="7" t="s">
        <v>45</v>
      </c>
      <c r="I864" s="20" t="s">
        <v>1476</v>
      </c>
      <c r="J864" s="20" t="s">
        <v>1477</v>
      </c>
      <c r="K864" s="7" t="s">
        <v>110</v>
      </c>
      <c r="L864" s="61">
        <v>45772</v>
      </c>
      <c r="M864" s="7" t="s">
        <v>111</v>
      </c>
      <c r="N864" s="61">
        <v>45772</v>
      </c>
      <c r="O864" s="61">
        <v>45772</v>
      </c>
      <c r="P864" s="59"/>
      <c r="Q864" s="124" t="e">
        <f>P864*#REF!</f>
        <v>#REF!</v>
      </c>
      <c r="R864" s="126">
        <v>45772</v>
      </c>
      <c r="S864" s="153">
        <f>IF(L864="","",L864-B864)</f>
        <v>3</v>
      </c>
      <c r="T864" s="153">
        <f>IF(N864="","",N864-L864)</f>
        <v>0</v>
      </c>
      <c r="U864" s="153">
        <f>IF(O864="","",O864-N864)</f>
        <v>0</v>
      </c>
      <c r="V864" s="154">
        <f>IF(O864="","",O864-B864)</f>
        <v>3</v>
      </c>
      <c r="W864" s="154">
        <f>IF(O864="","",O864-L864)</f>
        <v>0</v>
      </c>
      <c r="X864" s="154">
        <f>IF(R864="","",R864-B864)</f>
        <v>3</v>
      </c>
    </row>
    <row r="865" spans="2:24" ht="17.25" hidden="1" customHeight="1">
      <c r="B865" s="23">
        <v>45769</v>
      </c>
      <c r="C865" s="7">
        <v>2003660851</v>
      </c>
      <c r="D865" s="20">
        <v>5895346</v>
      </c>
      <c r="E865" s="27" t="s">
        <v>185</v>
      </c>
      <c r="F865" s="7" t="s">
        <v>107</v>
      </c>
      <c r="G865" s="7" t="s">
        <v>18</v>
      </c>
      <c r="H865" s="7" t="s">
        <v>45</v>
      </c>
      <c r="I865" s="20" t="s">
        <v>1478</v>
      </c>
      <c r="J865" s="20" t="s">
        <v>1479</v>
      </c>
      <c r="K865" s="7" t="s">
        <v>110</v>
      </c>
      <c r="L865" s="61">
        <v>45771</v>
      </c>
      <c r="M865" s="7" t="s">
        <v>111</v>
      </c>
      <c r="N865" s="61">
        <v>45771</v>
      </c>
      <c r="O865" s="58">
        <v>45776</v>
      </c>
      <c r="P865" s="59"/>
      <c r="Q865" s="124" t="e">
        <f>P865*#REF!</f>
        <v>#REF!</v>
      </c>
      <c r="R865" s="126">
        <v>45776</v>
      </c>
      <c r="S865" s="153">
        <f>IF(L865="","",L865-B865)</f>
        <v>2</v>
      </c>
      <c r="T865" s="153">
        <f>IF(N865="","",N865-L865)</f>
        <v>0</v>
      </c>
      <c r="U865" s="153">
        <f>IF(O865="","",O865-N865)</f>
        <v>5</v>
      </c>
      <c r="V865" s="154">
        <f>IF(O865="","",O865-B865)</f>
        <v>7</v>
      </c>
      <c r="W865" s="154">
        <f>IF(O865="","",O865-L865)</f>
        <v>5</v>
      </c>
      <c r="X865" s="154">
        <f>IF(R865="","",R865-B865)</f>
        <v>7</v>
      </c>
    </row>
    <row r="866" spans="2:24" ht="17.25" hidden="1" customHeight="1">
      <c r="B866" s="23">
        <v>45770</v>
      </c>
      <c r="C866" s="7">
        <v>2003668580</v>
      </c>
      <c r="D866" s="20">
        <v>148834</v>
      </c>
      <c r="E866" s="27" t="s">
        <v>116</v>
      </c>
      <c r="F866" s="7" t="s">
        <v>107</v>
      </c>
      <c r="G866" s="7" t="s">
        <v>26</v>
      </c>
      <c r="H866" s="7" t="s">
        <v>45</v>
      </c>
      <c r="I866" s="20" t="s">
        <v>1480</v>
      </c>
      <c r="J866" s="20" t="s">
        <v>1481</v>
      </c>
      <c r="K866" s="7" t="s">
        <v>119</v>
      </c>
      <c r="L866" s="61">
        <v>45786</v>
      </c>
      <c r="M866" s="7" t="s">
        <v>111</v>
      </c>
      <c r="N866" s="24">
        <v>45783</v>
      </c>
      <c r="O866" s="58">
        <v>45783</v>
      </c>
      <c r="P866" s="59"/>
      <c r="Q866" s="124" t="e">
        <f>P866*#REF!</f>
        <v>#REF!</v>
      </c>
      <c r="R866" s="126">
        <v>45783</v>
      </c>
      <c r="S866" s="153">
        <f>IF(L866="","",L866-B866)</f>
        <v>16</v>
      </c>
      <c r="T866" s="153">
        <f>IF(N866="","",N866-L866)</f>
        <v>-3</v>
      </c>
      <c r="U866" s="153">
        <f>IF(O866="","",O866-N866)</f>
        <v>0</v>
      </c>
      <c r="V866" s="154">
        <f>IF(O866="","",O866-B866)</f>
        <v>13</v>
      </c>
      <c r="W866" s="154">
        <f>IF(O866="","",O866-L866)</f>
        <v>-3</v>
      </c>
      <c r="X866" s="154">
        <f>IF(R866="","",R866-B866)</f>
        <v>13</v>
      </c>
    </row>
    <row r="867" spans="2:24" ht="17.25" hidden="1" customHeight="1">
      <c r="B867" s="23">
        <v>45770</v>
      </c>
      <c r="C867" s="7">
        <v>2003646916</v>
      </c>
      <c r="D867" s="20">
        <v>148838</v>
      </c>
      <c r="E867" s="27" t="s">
        <v>116</v>
      </c>
      <c r="F867" s="7" t="s">
        <v>107</v>
      </c>
      <c r="G867" s="7" t="s">
        <v>18</v>
      </c>
      <c r="H867" s="7" t="s">
        <v>45</v>
      </c>
      <c r="I867" s="20" t="s">
        <v>183</v>
      </c>
      <c r="J867" s="20" t="s">
        <v>1192</v>
      </c>
      <c r="K867" s="7" t="s">
        <v>122</v>
      </c>
      <c r="L867" s="61">
        <v>45775</v>
      </c>
      <c r="M867" s="7" t="s">
        <v>111</v>
      </c>
      <c r="N867" s="24">
        <v>45777</v>
      </c>
      <c r="O867" s="58">
        <v>45783</v>
      </c>
      <c r="P867" s="59"/>
      <c r="Q867" s="124" t="e">
        <f>P867*#REF!</f>
        <v>#REF!</v>
      </c>
      <c r="R867" s="126">
        <v>45783</v>
      </c>
      <c r="S867" s="153">
        <f>IF(L867="","",L867-B867)</f>
        <v>5</v>
      </c>
      <c r="T867" s="153">
        <f>IF(N867="","",N867-L867)</f>
        <v>2</v>
      </c>
      <c r="U867" s="153">
        <f>IF(O867="","",O867-N867)</f>
        <v>6</v>
      </c>
      <c r="V867" s="154">
        <f>IF(O867="","",O867-B867)</f>
        <v>13</v>
      </c>
      <c r="W867" s="154">
        <f>IF(O867="","",O867-L867)</f>
        <v>8</v>
      </c>
      <c r="X867" s="154">
        <f>IF(R867="","",R867-B867)</f>
        <v>13</v>
      </c>
    </row>
    <row r="868" spans="2:24" ht="17.25" hidden="1" customHeight="1">
      <c r="B868" s="23">
        <v>45769</v>
      </c>
      <c r="C868" s="7">
        <v>2003666145</v>
      </c>
      <c r="D868" s="20">
        <v>5895382</v>
      </c>
      <c r="E868" s="27" t="s">
        <v>408</v>
      </c>
      <c r="F868" s="7" t="s">
        <v>107</v>
      </c>
      <c r="G868" s="7" t="s">
        <v>10</v>
      </c>
      <c r="H868" s="7" t="s">
        <v>45</v>
      </c>
      <c r="I868" s="20" t="s">
        <v>1482</v>
      </c>
      <c r="J868" s="20" t="s">
        <v>1483</v>
      </c>
      <c r="K868" s="7" t="s">
        <v>110</v>
      </c>
      <c r="L868" s="61">
        <v>45775</v>
      </c>
      <c r="M868" s="7" t="s">
        <v>111</v>
      </c>
      <c r="N868" s="61">
        <v>45775</v>
      </c>
      <c r="O868" s="61">
        <v>45775</v>
      </c>
      <c r="P868" s="59"/>
      <c r="Q868" s="124" t="e">
        <f>P868*#REF!</f>
        <v>#REF!</v>
      </c>
      <c r="R868" s="126">
        <v>45776</v>
      </c>
      <c r="S868" s="153">
        <f>IF(L868="","",L868-B868)</f>
        <v>6</v>
      </c>
      <c r="T868" s="153">
        <f>IF(N868="","",N868-L868)</f>
        <v>0</v>
      </c>
      <c r="U868" s="153">
        <f>IF(O868="","",O868-N868)</f>
        <v>0</v>
      </c>
      <c r="V868" s="154">
        <f>IF(O868="","",O868-B868)</f>
        <v>6</v>
      </c>
      <c r="W868" s="154">
        <f>IF(O868="","",O868-L868)</f>
        <v>0</v>
      </c>
      <c r="X868" s="154">
        <f>IF(R868="","",R868-B868)</f>
        <v>7</v>
      </c>
    </row>
    <row r="869" spans="2:24" ht="17.25" hidden="1" customHeight="1">
      <c r="B869" s="23">
        <v>45769</v>
      </c>
      <c r="C869" s="7">
        <v>2003669081</v>
      </c>
      <c r="D869" s="20">
        <v>5895398</v>
      </c>
      <c r="E869" s="27" t="s">
        <v>198</v>
      </c>
      <c r="F869" s="7" t="s">
        <v>107</v>
      </c>
      <c r="G869" s="7" t="s">
        <v>10</v>
      </c>
      <c r="H869" s="7" t="s">
        <v>45</v>
      </c>
      <c r="I869" s="20" t="s">
        <v>878</v>
      </c>
      <c r="J869" s="20" t="s">
        <v>1484</v>
      </c>
      <c r="K869" s="7" t="s">
        <v>110</v>
      </c>
      <c r="L869" s="61">
        <v>45776</v>
      </c>
      <c r="M869" s="7" t="s">
        <v>111</v>
      </c>
      <c r="N869" s="61">
        <v>45776</v>
      </c>
      <c r="O869" s="61">
        <v>45776</v>
      </c>
      <c r="P869" s="59"/>
      <c r="Q869" s="124" t="e">
        <f>P869*#REF!</f>
        <v>#REF!</v>
      </c>
      <c r="R869" s="126">
        <v>45777</v>
      </c>
      <c r="S869" s="153">
        <f>IF(L869="","",L869-B869)</f>
        <v>7</v>
      </c>
      <c r="T869" s="153">
        <f>IF(N869="","",N869-L869)</f>
        <v>0</v>
      </c>
      <c r="U869" s="153">
        <f>IF(O869="","",O869-N869)</f>
        <v>0</v>
      </c>
      <c r="V869" s="154">
        <f>IF(O869="","",O869-B869)</f>
        <v>7</v>
      </c>
      <c r="W869" s="154">
        <f>IF(O869="","",O869-L869)</f>
        <v>0</v>
      </c>
      <c r="X869" s="154">
        <f>IF(R869="","",R869-B869)</f>
        <v>8</v>
      </c>
    </row>
    <row r="870" spans="2:24" ht="17.25" hidden="1" customHeight="1">
      <c r="B870" s="23">
        <v>45769</v>
      </c>
      <c r="C870" s="7">
        <v>2003516421</v>
      </c>
      <c r="D870" s="20">
        <v>5895416</v>
      </c>
      <c r="E870" s="27" t="s">
        <v>1485</v>
      </c>
      <c r="F870" s="7" t="s">
        <v>107</v>
      </c>
      <c r="G870" s="7" t="s">
        <v>21</v>
      </c>
      <c r="H870" s="7" t="s">
        <v>45</v>
      </c>
      <c r="I870" s="20" t="s">
        <v>618</v>
      </c>
      <c r="J870" s="20" t="s">
        <v>1179</v>
      </c>
      <c r="K870" s="7" t="s">
        <v>111</v>
      </c>
      <c r="L870" s="61">
        <v>45770</v>
      </c>
      <c r="M870" s="7" t="s">
        <v>111</v>
      </c>
      <c r="N870" s="61">
        <v>45770</v>
      </c>
      <c r="O870" s="61">
        <v>45770</v>
      </c>
      <c r="P870" s="59"/>
      <c r="Q870" s="124" t="e">
        <f>P870*#REF!</f>
        <v>#REF!</v>
      </c>
      <c r="R870" s="126">
        <v>45771</v>
      </c>
      <c r="S870" s="153">
        <f>IF(L870="","",L870-B870)</f>
        <v>1</v>
      </c>
      <c r="T870" s="153">
        <f>IF(N870="","",N870-L870)</f>
        <v>0</v>
      </c>
      <c r="U870" s="153">
        <f>IF(O870="","",O870-N870)</f>
        <v>0</v>
      </c>
      <c r="V870" s="154">
        <f>IF(O870="","",O870-B870)</f>
        <v>1</v>
      </c>
      <c r="W870" s="154">
        <f>IF(O870="","",O870-L870)</f>
        <v>0</v>
      </c>
      <c r="X870" s="154">
        <f>IF(R870="","",R870-B870)</f>
        <v>2</v>
      </c>
    </row>
    <row r="871" spans="2:24" ht="17.25" hidden="1" customHeight="1">
      <c r="B871" s="23">
        <v>45769</v>
      </c>
      <c r="C871" s="7">
        <v>2003656946</v>
      </c>
      <c r="D871" s="20">
        <v>5895417</v>
      </c>
      <c r="E871" s="27" t="s">
        <v>1225</v>
      </c>
      <c r="F871" s="7" t="s">
        <v>107</v>
      </c>
      <c r="G871" s="7" t="s">
        <v>18</v>
      </c>
      <c r="H871" s="7" t="s">
        <v>45</v>
      </c>
      <c r="I871" s="20" t="s">
        <v>1486</v>
      </c>
      <c r="J871" s="20" t="s">
        <v>1487</v>
      </c>
      <c r="K871" s="7" t="s">
        <v>110</v>
      </c>
      <c r="L871" s="61">
        <v>45771</v>
      </c>
      <c r="M871" s="7" t="s">
        <v>111</v>
      </c>
      <c r="N871" s="61">
        <v>45771</v>
      </c>
      <c r="O871" s="58">
        <v>45773</v>
      </c>
      <c r="P871" s="59"/>
      <c r="Q871" s="124" t="e">
        <f>P871*#REF!</f>
        <v>#REF!</v>
      </c>
      <c r="R871" s="126">
        <v>45776</v>
      </c>
      <c r="S871" s="153">
        <f>IF(L871="","",L871-B871)</f>
        <v>2</v>
      </c>
      <c r="T871" s="153">
        <f>IF(N871="","",N871-L871)</f>
        <v>0</v>
      </c>
      <c r="U871" s="153">
        <f>IF(O871="","",O871-N871)</f>
        <v>2</v>
      </c>
      <c r="V871" s="154">
        <f>IF(O871="","",O871-B871)</f>
        <v>4</v>
      </c>
      <c r="W871" s="154">
        <f>IF(O871="","",O871-L871)</f>
        <v>2</v>
      </c>
      <c r="X871" s="154">
        <f>IF(R871="","",R871-B871)</f>
        <v>7</v>
      </c>
    </row>
    <row r="872" spans="2:24" ht="17.25" hidden="1" customHeight="1">
      <c r="B872" s="23">
        <v>45769</v>
      </c>
      <c r="C872" s="7">
        <v>2003667037</v>
      </c>
      <c r="D872" s="20">
        <v>5895433</v>
      </c>
      <c r="E872" s="27" t="s">
        <v>126</v>
      </c>
      <c r="F872" s="7" t="s">
        <v>107</v>
      </c>
      <c r="G872" s="7" t="s">
        <v>10</v>
      </c>
      <c r="H872" s="7" t="s">
        <v>45</v>
      </c>
      <c r="I872" s="20" t="s">
        <v>1488</v>
      </c>
      <c r="J872" s="20" t="s">
        <v>1489</v>
      </c>
      <c r="K872" s="7" t="s">
        <v>110</v>
      </c>
      <c r="L872" s="61">
        <v>45771</v>
      </c>
      <c r="M872" s="7" t="s">
        <v>111</v>
      </c>
      <c r="N872" s="61">
        <v>45771</v>
      </c>
      <c r="O872" s="61">
        <v>45771</v>
      </c>
      <c r="P872" s="59"/>
      <c r="Q872" s="124" t="e">
        <f>P872*#REF!</f>
        <v>#REF!</v>
      </c>
      <c r="R872" s="126">
        <v>45771</v>
      </c>
      <c r="S872" s="153">
        <f>IF(L872="","",L872-B872)</f>
        <v>2</v>
      </c>
      <c r="T872" s="153">
        <f>IF(N872="","",N872-L872)</f>
        <v>0</v>
      </c>
      <c r="U872" s="153">
        <f>IF(O872="","",O872-N872)</f>
        <v>0</v>
      </c>
      <c r="V872" s="154">
        <f>IF(O872="","",O872-B872)</f>
        <v>2</v>
      </c>
      <c r="W872" s="154">
        <f>IF(O872="","",O872-L872)</f>
        <v>0</v>
      </c>
      <c r="X872" s="154">
        <f>IF(R872="","",R872-B872)</f>
        <v>2</v>
      </c>
    </row>
    <row r="873" spans="2:24" ht="17.25" hidden="1" customHeight="1">
      <c r="B873" s="23">
        <v>45769</v>
      </c>
      <c r="C873" s="7">
        <v>2003665163</v>
      </c>
      <c r="D873" s="20">
        <v>5895442</v>
      </c>
      <c r="E873" s="27" t="s">
        <v>408</v>
      </c>
      <c r="F873" s="7" t="s">
        <v>107</v>
      </c>
      <c r="G873" s="7" t="s">
        <v>26</v>
      </c>
      <c r="H873" s="7" t="s">
        <v>45</v>
      </c>
      <c r="I873" s="20" t="s">
        <v>1171</v>
      </c>
      <c r="J873" s="20" t="s">
        <v>1490</v>
      </c>
      <c r="K873" s="7" t="s">
        <v>110</v>
      </c>
      <c r="L873" s="61">
        <v>45772</v>
      </c>
      <c r="M873" s="7" t="s">
        <v>111</v>
      </c>
      <c r="N873" s="24">
        <v>45772</v>
      </c>
      <c r="O873" s="58">
        <v>45772</v>
      </c>
      <c r="P873" s="59"/>
      <c r="Q873" s="124" t="e">
        <f>P873*#REF!</f>
        <v>#REF!</v>
      </c>
      <c r="R873" s="126">
        <v>45772</v>
      </c>
      <c r="S873" s="153">
        <f>IF(L873="","",L873-B873)</f>
        <v>3</v>
      </c>
      <c r="T873" s="153">
        <f>IF(N873="","",N873-L873)</f>
        <v>0</v>
      </c>
      <c r="U873" s="153">
        <f>IF(O873="","",O873-N873)</f>
        <v>0</v>
      </c>
      <c r="V873" s="154">
        <f>IF(O873="","",O873-B873)</f>
        <v>3</v>
      </c>
      <c r="W873" s="154">
        <f>IF(O873="","",O873-L873)</f>
        <v>0</v>
      </c>
      <c r="X873" s="154">
        <f>IF(R873="","",R873-B873)</f>
        <v>3</v>
      </c>
    </row>
    <row r="874" spans="2:24" ht="17.25" hidden="1" customHeight="1">
      <c r="B874" s="23">
        <v>45769</v>
      </c>
      <c r="C874" s="7">
        <v>2003652621</v>
      </c>
      <c r="D874" s="20">
        <v>5895458</v>
      </c>
      <c r="E874" s="27" t="s">
        <v>106</v>
      </c>
      <c r="F874" s="7" t="s">
        <v>107</v>
      </c>
      <c r="G874" s="7" t="s">
        <v>10</v>
      </c>
      <c r="H874" s="7" t="s">
        <v>45</v>
      </c>
      <c r="I874" s="20" t="s">
        <v>1326</v>
      </c>
      <c r="J874" s="20" t="s">
        <v>1491</v>
      </c>
      <c r="K874" s="7" t="s">
        <v>110</v>
      </c>
      <c r="L874" s="61">
        <v>45772</v>
      </c>
      <c r="M874" s="7" t="s">
        <v>111</v>
      </c>
      <c r="N874" s="61">
        <v>45772</v>
      </c>
      <c r="O874" s="61">
        <v>45772</v>
      </c>
      <c r="P874" s="59"/>
      <c r="Q874" s="124" t="e">
        <f>P874*#REF!</f>
        <v>#REF!</v>
      </c>
      <c r="R874" s="126">
        <v>45772</v>
      </c>
      <c r="S874" s="153">
        <f>IF(L874="","",L874-B874)</f>
        <v>3</v>
      </c>
      <c r="T874" s="153">
        <f>IF(N874="","",N874-L874)</f>
        <v>0</v>
      </c>
      <c r="U874" s="153">
        <f>IF(O874="","",O874-N874)</f>
        <v>0</v>
      </c>
      <c r="V874" s="154">
        <f>IF(O874="","",O874-B874)</f>
        <v>3</v>
      </c>
      <c r="W874" s="154">
        <f>IF(O874="","",O874-L874)</f>
        <v>0</v>
      </c>
      <c r="X874" s="154">
        <f>IF(R874="","",R874-B874)</f>
        <v>3</v>
      </c>
    </row>
    <row r="875" spans="2:24" ht="17.25" hidden="1" customHeight="1">
      <c r="B875" s="23">
        <v>45770</v>
      </c>
      <c r="C875" s="7">
        <v>2003669931</v>
      </c>
      <c r="D875" s="20">
        <v>148859</v>
      </c>
      <c r="E875" s="27" t="s">
        <v>180</v>
      </c>
      <c r="F875" s="7" t="s">
        <v>107</v>
      </c>
      <c r="G875" s="7" t="s">
        <v>10</v>
      </c>
      <c r="H875" s="7" t="s">
        <v>45</v>
      </c>
      <c r="I875" s="20" t="s">
        <v>1492</v>
      </c>
      <c r="J875" s="20" t="s">
        <v>1493</v>
      </c>
      <c r="K875" s="7" t="s">
        <v>110</v>
      </c>
      <c r="L875" s="61">
        <v>45786</v>
      </c>
      <c r="M875" s="7" t="s">
        <v>111</v>
      </c>
      <c r="N875" s="61">
        <v>45786</v>
      </c>
      <c r="O875" s="61">
        <v>45786</v>
      </c>
      <c r="P875" s="59"/>
      <c r="Q875" s="124" t="e">
        <f>P875*#REF!</f>
        <v>#REF!</v>
      </c>
      <c r="R875" s="126">
        <v>45789</v>
      </c>
      <c r="S875" s="153">
        <f>IF(L875="","",L875-B875)</f>
        <v>16</v>
      </c>
      <c r="T875" s="153">
        <f>IF(N875="","",N875-L875)</f>
        <v>0</v>
      </c>
      <c r="U875" s="153">
        <f>IF(O875="","",O875-N875)</f>
        <v>0</v>
      </c>
      <c r="V875" s="154">
        <f>IF(O875="","",O875-B875)</f>
        <v>16</v>
      </c>
      <c r="W875" s="154">
        <f>IF(O875="","",O875-L875)</f>
        <v>0</v>
      </c>
      <c r="X875" s="154">
        <f>IF(R875="","",R875-B875)</f>
        <v>19</v>
      </c>
    </row>
    <row r="876" spans="2:24" ht="17.25" hidden="1" customHeight="1">
      <c r="B876" s="23">
        <v>45769</v>
      </c>
      <c r="C876" s="7">
        <v>2003665165</v>
      </c>
      <c r="D876" s="20">
        <v>5895465</v>
      </c>
      <c r="E876" s="27" t="s">
        <v>201</v>
      </c>
      <c r="F876" s="7" t="s">
        <v>107</v>
      </c>
      <c r="G876" s="7" t="s">
        <v>10</v>
      </c>
      <c r="H876" s="7" t="s">
        <v>45</v>
      </c>
      <c r="I876" s="20" t="s">
        <v>1494</v>
      </c>
      <c r="J876" s="20" t="s">
        <v>1495</v>
      </c>
      <c r="K876" s="7" t="s">
        <v>119</v>
      </c>
      <c r="L876" s="61">
        <v>45771</v>
      </c>
      <c r="M876" s="7" t="s">
        <v>111</v>
      </c>
      <c r="N876" s="61">
        <v>45772</v>
      </c>
      <c r="O876" s="61">
        <v>45772</v>
      </c>
      <c r="P876" s="59"/>
      <c r="Q876" s="124" t="e">
        <f>P876*#REF!</f>
        <v>#REF!</v>
      </c>
      <c r="R876" s="126">
        <v>45772</v>
      </c>
      <c r="S876" s="153">
        <f>IF(L876="","",L876-B876)</f>
        <v>2</v>
      </c>
      <c r="T876" s="153">
        <f>IF(N876="","",N876-L876)</f>
        <v>1</v>
      </c>
      <c r="U876" s="153">
        <f>IF(O876="","",O876-N876)</f>
        <v>0</v>
      </c>
      <c r="V876" s="154">
        <f>IF(O876="","",O876-B876)</f>
        <v>3</v>
      </c>
      <c r="W876" s="154">
        <f>IF(O876="","",O876-L876)</f>
        <v>1</v>
      </c>
      <c r="X876" s="154">
        <f>IF(R876="","",R876-B876)</f>
        <v>3</v>
      </c>
    </row>
    <row r="877" spans="2:24" ht="17.25" hidden="1" customHeight="1">
      <c r="B877" s="23">
        <v>45769</v>
      </c>
      <c r="C877" s="7">
        <v>2003518438</v>
      </c>
      <c r="D877" s="20">
        <v>5895469</v>
      </c>
      <c r="E877" s="27" t="s">
        <v>138</v>
      </c>
      <c r="F877" s="7" t="s">
        <v>107</v>
      </c>
      <c r="G877" s="7" t="s">
        <v>26</v>
      </c>
      <c r="H877" s="7" t="s">
        <v>45</v>
      </c>
      <c r="I877" s="20" t="s">
        <v>1496</v>
      </c>
      <c r="J877" s="20" t="s">
        <v>1497</v>
      </c>
      <c r="K877" s="7" t="s">
        <v>110</v>
      </c>
      <c r="L877" s="61">
        <v>45776</v>
      </c>
      <c r="M877" s="7" t="s">
        <v>111</v>
      </c>
      <c r="N877" s="24">
        <v>45777</v>
      </c>
      <c r="O877" s="58">
        <v>45777</v>
      </c>
      <c r="P877" s="59"/>
      <c r="Q877" s="124" t="e">
        <f>P877*#REF!</f>
        <v>#REF!</v>
      </c>
      <c r="R877" s="126">
        <v>45777</v>
      </c>
      <c r="S877" s="153">
        <f>IF(L877="","",L877-B877)</f>
        <v>7</v>
      </c>
      <c r="T877" s="153">
        <f>IF(N877="","",N877-L877)</f>
        <v>1</v>
      </c>
      <c r="U877" s="153">
        <f>IF(O877="","",O877-N877)</f>
        <v>0</v>
      </c>
      <c r="V877" s="154">
        <f>IF(O877="","",O877-B877)</f>
        <v>8</v>
      </c>
      <c r="W877" s="154">
        <f>IF(O877="","",O877-L877)</f>
        <v>1</v>
      </c>
      <c r="X877" s="154">
        <f>IF(R877="","",R877-B877)</f>
        <v>8</v>
      </c>
    </row>
    <row r="878" spans="2:24" ht="17.25" hidden="1" customHeight="1">
      <c r="B878" s="23">
        <v>45769</v>
      </c>
      <c r="C878" s="7">
        <v>2003665101</v>
      </c>
      <c r="D878" s="20">
        <v>5895490</v>
      </c>
      <c r="E878" s="27" t="s">
        <v>106</v>
      </c>
      <c r="F878" s="7" t="s">
        <v>107</v>
      </c>
      <c r="G878" s="7" t="s">
        <v>18</v>
      </c>
      <c r="H878" s="7" t="s">
        <v>45</v>
      </c>
      <c r="I878" s="20" t="s">
        <v>466</v>
      </c>
      <c r="J878" s="20" t="s">
        <v>1498</v>
      </c>
      <c r="K878" s="7" t="s">
        <v>119</v>
      </c>
      <c r="L878" s="61">
        <v>45772</v>
      </c>
      <c r="M878" s="7" t="s">
        <v>111</v>
      </c>
      <c r="N878" s="61">
        <v>45772</v>
      </c>
      <c r="O878" s="61">
        <v>45772</v>
      </c>
      <c r="P878" s="59"/>
      <c r="Q878" s="124" t="e">
        <f>P878*#REF!</f>
        <v>#REF!</v>
      </c>
      <c r="R878" s="126">
        <v>45772</v>
      </c>
      <c r="S878" s="153">
        <f>IF(L878="","",L878-B878)</f>
        <v>3</v>
      </c>
      <c r="T878" s="153">
        <f>IF(N878="","",N878-L878)</f>
        <v>0</v>
      </c>
      <c r="U878" s="153">
        <f>IF(O878="","",O878-N878)</f>
        <v>0</v>
      </c>
      <c r="V878" s="154">
        <f>IF(O878="","",O878-B878)</f>
        <v>3</v>
      </c>
      <c r="W878" s="154">
        <f>IF(O878="","",O878-L878)</f>
        <v>0</v>
      </c>
      <c r="X878" s="154">
        <f>IF(R878="","",R878-B878)</f>
        <v>3</v>
      </c>
    </row>
    <row r="879" spans="2:24" ht="17.25" hidden="1" customHeight="1">
      <c r="B879" s="23">
        <v>45769</v>
      </c>
      <c r="C879" s="7">
        <v>2003666922</v>
      </c>
      <c r="D879" s="20">
        <v>5895491</v>
      </c>
      <c r="E879" s="27" t="s">
        <v>132</v>
      </c>
      <c r="F879" s="7" t="s">
        <v>107</v>
      </c>
      <c r="G879" s="7" t="s">
        <v>26</v>
      </c>
      <c r="H879" s="7" t="s">
        <v>45</v>
      </c>
      <c r="I879" s="20" t="s">
        <v>1499</v>
      </c>
      <c r="J879" s="20" t="s">
        <v>1500</v>
      </c>
      <c r="K879" s="7" t="s">
        <v>119</v>
      </c>
      <c r="L879" s="61">
        <v>45772</v>
      </c>
      <c r="M879" s="7" t="s">
        <v>111</v>
      </c>
      <c r="N879" s="24">
        <v>45772</v>
      </c>
      <c r="O879" s="58">
        <v>45772</v>
      </c>
      <c r="P879" s="59"/>
      <c r="Q879" s="124" t="e">
        <f>P879*#REF!</f>
        <v>#REF!</v>
      </c>
      <c r="R879" s="126">
        <v>45772</v>
      </c>
      <c r="S879" s="153">
        <f>IF(L879="","",L879-B879)</f>
        <v>3</v>
      </c>
      <c r="T879" s="153">
        <f>IF(N879="","",N879-L879)</f>
        <v>0</v>
      </c>
      <c r="U879" s="153">
        <f>IF(O879="","",O879-N879)</f>
        <v>0</v>
      </c>
      <c r="V879" s="154">
        <f>IF(O879="","",O879-B879)</f>
        <v>3</v>
      </c>
      <c r="W879" s="154">
        <f>IF(O879="","",O879-L879)</f>
        <v>0</v>
      </c>
      <c r="X879" s="154">
        <f>IF(R879="","",R879-B879)</f>
        <v>3</v>
      </c>
    </row>
    <row r="880" spans="2:24" ht="17.25" hidden="1" customHeight="1">
      <c r="B880" s="23">
        <v>45770</v>
      </c>
      <c r="C880" s="7">
        <v>2003665768</v>
      </c>
      <c r="D880" s="20">
        <v>148886</v>
      </c>
      <c r="E880" s="27" t="s">
        <v>198</v>
      </c>
      <c r="F880" s="7" t="s">
        <v>107</v>
      </c>
      <c r="G880" s="7" t="s">
        <v>26</v>
      </c>
      <c r="H880" s="7" t="s">
        <v>45</v>
      </c>
      <c r="I880" s="20" t="s">
        <v>1501</v>
      </c>
      <c r="J880" s="20" t="s">
        <v>1502</v>
      </c>
      <c r="K880" s="7" t="s">
        <v>119</v>
      </c>
      <c r="L880" s="61">
        <v>45777</v>
      </c>
      <c r="M880" s="7" t="s">
        <v>111</v>
      </c>
      <c r="N880" s="24">
        <v>45782</v>
      </c>
      <c r="O880" s="23">
        <v>45782</v>
      </c>
      <c r="P880" s="59"/>
      <c r="Q880" s="124" t="e">
        <f>P880*#REF!</f>
        <v>#REF!</v>
      </c>
      <c r="R880" s="126">
        <v>45782</v>
      </c>
      <c r="S880" s="153">
        <f>IF(L880="","",L880-B880)</f>
        <v>7</v>
      </c>
      <c r="T880" s="153">
        <f>IF(N880="","",N880-L880)</f>
        <v>5</v>
      </c>
      <c r="U880" s="153">
        <f>IF(O880="","",O880-N880)</f>
        <v>0</v>
      </c>
      <c r="V880" s="154">
        <f>IF(O880="","",O880-B880)</f>
        <v>12</v>
      </c>
      <c r="W880" s="154">
        <f>IF(O880="","",O880-L880)</f>
        <v>5</v>
      </c>
      <c r="X880" s="154">
        <f>IF(R880="","",R880-B880)</f>
        <v>12</v>
      </c>
    </row>
    <row r="881" spans="2:24" ht="17.25" hidden="1" customHeight="1">
      <c r="B881" s="23">
        <v>45771</v>
      </c>
      <c r="C881" s="7">
        <v>2003668911</v>
      </c>
      <c r="D881" s="20">
        <v>149644</v>
      </c>
      <c r="E881" s="27" t="s">
        <v>566</v>
      </c>
      <c r="F881" s="7" t="s">
        <v>107</v>
      </c>
      <c r="G881" s="7" t="s">
        <v>10</v>
      </c>
      <c r="H881" s="7" t="s">
        <v>45</v>
      </c>
      <c r="I881" s="20" t="s">
        <v>1503</v>
      </c>
      <c r="J881" s="20" t="s">
        <v>1139</v>
      </c>
      <c r="K881" s="7" t="s">
        <v>110</v>
      </c>
      <c r="L881" s="61">
        <v>45772</v>
      </c>
      <c r="M881" s="7" t="s">
        <v>111</v>
      </c>
      <c r="N881" s="23">
        <v>45783</v>
      </c>
      <c r="O881" s="23">
        <v>45783</v>
      </c>
      <c r="P881" s="59"/>
      <c r="Q881" s="124" t="e">
        <f>P881*#REF!</f>
        <v>#REF!</v>
      </c>
      <c r="R881" s="126">
        <v>45783</v>
      </c>
      <c r="S881" s="153">
        <f>IF(L881="","",L881-B881)</f>
        <v>1</v>
      </c>
      <c r="T881" s="153">
        <f>IF(N881="","",N881-L881)</f>
        <v>11</v>
      </c>
      <c r="U881" s="153">
        <f>IF(O881="","",O881-N881)</f>
        <v>0</v>
      </c>
      <c r="V881" s="154">
        <f>IF(O881="","",O881-B881)</f>
        <v>12</v>
      </c>
      <c r="W881" s="154">
        <f>IF(O881="","",O881-L881)</f>
        <v>11</v>
      </c>
      <c r="X881" s="154">
        <f>IF(R881="","",R881-B881)</f>
        <v>12</v>
      </c>
    </row>
    <row r="882" spans="2:24" ht="17.25" hidden="1" customHeight="1">
      <c r="B882" s="23">
        <v>45769</v>
      </c>
      <c r="C882" s="7">
        <v>2003664769</v>
      </c>
      <c r="D882" s="20">
        <v>5895519</v>
      </c>
      <c r="E882" s="27" t="s">
        <v>198</v>
      </c>
      <c r="F882" s="7" t="s">
        <v>107</v>
      </c>
      <c r="G882" s="7" t="s">
        <v>10</v>
      </c>
      <c r="H882" s="7" t="s">
        <v>45</v>
      </c>
      <c r="I882" s="20" t="s">
        <v>1504</v>
      </c>
      <c r="J882" s="20" t="s">
        <v>1505</v>
      </c>
      <c r="K882" s="7" t="s">
        <v>110</v>
      </c>
      <c r="L882" s="61">
        <v>45771</v>
      </c>
      <c r="M882" s="7" t="s">
        <v>111</v>
      </c>
      <c r="N882" s="61">
        <v>45771</v>
      </c>
      <c r="O882" s="61">
        <v>45772</v>
      </c>
      <c r="P882" s="59"/>
      <c r="Q882" s="124" t="e">
        <f>P882*#REF!</f>
        <v>#REF!</v>
      </c>
      <c r="R882" s="126">
        <v>45772</v>
      </c>
      <c r="S882" s="153">
        <f>IF(L882="","",L882-B882)</f>
        <v>2</v>
      </c>
      <c r="T882" s="153">
        <f>IF(N882="","",N882-L882)</f>
        <v>0</v>
      </c>
      <c r="U882" s="153">
        <f>IF(O882="","",O882-N882)</f>
        <v>1</v>
      </c>
      <c r="V882" s="154">
        <f>IF(O882="","",O882-B882)</f>
        <v>3</v>
      </c>
      <c r="W882" s="154">
        <f>IF(O882="","",O882-L882)</f>
        <v>1</v>
      </c>
      <c r="X882" s="154">
        <f>IF(R882="","",R882-B882)</f>
        <v>3</v>
      </c>
    </row>
    <row r="883" spans="2:24" ht="17.25" hidden="1" customHeight="1">
      <c r="B883" s="23">
        <v>45769</v>
      </c>
      <c r="C883" s="7">
        <v>2003664960</v>
      </c>
      <c r="D883" s="20">
        <v>5895542</v>
      </c>
      <c r="E883" s="27" t="s">
        <v>149</v>
      </c>
      <c r="F883" s="7" t="s">
        <v>107</v>
      </c>
      <c r="G883" s="7" t="s">
        <v>10</v>
      </c>
      <c r="H883" s="7" t="s">
        <v>45</v>
      </c>
      <c r="I883" s="20" t="s">
        <v>1506</v>
      </c>
      <c r="J883" s="20" t="s">
        <v>1507</v>
      </c>
      <c r="K883" s="7" t="s">
        <v>110</v>
      </c>
      <c r="L883" s="61">
        <v>45772</v>
      </c>
      <c r="M883" s="7" t="s">
        <v>111</v>
      </c>
      <c r="N883" s="61">
        <v>45772</v>
      </c>
      <c r="O883" s="61">
        <v>45772</v>
      </c>
      <c r="P883" s="59"/>
      <c r="Q883" s="124" t="e">
        <f>P883*#REF!</f>
        <v>#REF!</v>
      </c>
      <c r="R883" s="126">
        <v>45772</v>
      </c>
      <c r="S883" s="153">
        <f>IF(L883="","",L883-B883)</f>
        <v>3</v>
      </c>
      <c r="T883" s="153">
        <f>IF(N883="","",N883-L883)</f>
        <v>0</v>
      </c>
      <c r="U883" s="153">
        <f>IF(O883="","",O883-N883)</f>
        <v>0</v>
      </c>
      <c r="V883" s="154">
        <f>IF(O883="","",O883-B883)</f>
        <v>3</v>
      </c>
      <c r="W883" s="154">
        <f>IF(O883="","",O883-L883)</f>
        <v>0</v>
      </c>
      <c r="X883" s="154">
        <f>IF(R883="","",R883-B883)</f>
        <v>3</v>
      </c>
    </row>
    <row r="884" spans="2:24" ht="17.25" hidden="1" customHeight="1">
      <c r="B884" s="23">
        <v>45769</v>
      </c>
      <c r="C884" s="7">
        <v>2003668313</v>
      </c>
      <c r="D884" s="20">
        <v>5895563</v>
      </c>
      <c r="E884" s="27" t="s">
        <v>1225</v>
      </c>
      <c r="F884" s="7" t="s">
        <v>107</v>
      </c>
      <c r="G884" s="7" t="s">
        <v>10</v>
      </c>
      <c r="H884" s="7" t="s">
        <v>45</v>
      </c>
      <c r="I884" s="20" t="s">
        <v>1508</v>
      </c>
      <c r="J884" s="20" t="s">
        <v>1509</v>
      </c>
      <c r="K884" s="7" t="s">
        <v>119</v>
      </c>
      <c r="L884" s="61">
        <v>45776</v>
      </c>
      <c r="M884" s="7" t="s">
        <v>111</v>
      </c>
      <c r="N884" s="61">
        <v>45776</v>
      </c>
      <c r="O884" s="61">
        <v>45776</v>
      </c>
      <c r="P884" s="59"/>
      <c r="Q884" s="124" t="e">
        <f>P884*#REF!</f>
        <v>#REF!</v>
      </c>
      <c r="R884" s="126">
        <v>45777</v>
      </c>
      <c r="S884" s="153">
        <f>IF(L884="","",L884-B884)</f>
        <v>7</v>
      </c>
      <c r="T884" s="153">
        <f>IF(N884="","",N884-L884)</f>
        <v>0</v>
      </c>
      <c r="U884" s="153">
        <f>IF(O884="","",O884-N884)</f>
        <v>0</v>
      </c>
      <c r="V884" s="154">
        <f>IF(O884="","",O884-B884)</f>
        <v>7</v>
      </c>
      <c r="W884" s="154">
        <f>IF(O884="","",O884-L884)</f>
        <v>0</v>
      </c>
      <c r="X884" s="154">
        <f>IF(R884="","",R884-B884)</f>
        <v>8</v>
      </c>
    </row>
    <row r="885" spans="2:24" ht="17.25" hidden="1" customHeight="1">
      <c r="B885" s="23">
        <v>45769</v>
      </c>
      <c r="C885" s="7">
        <v>2003664987</v>
      </c>
      <c r="D885" s="20">
        <v>5895603</v>
      </c>
      <c r="E885" s="27" t="s">
        <v>149</v>
      </c>
      <c r="F885" s="7" t="s">
        <v>107</v>
      </c>
      <c r="G885" s="7" t="s">
        <v>10</v>
      </c>
      <c r="H885" s="7" t="s">
        <v>45</v>
      </c>
      <c r="I885" s="20" t="s">
        <v>1510</v>
      </c>
      <c r="J885" s="20" t="s">
        <v>1511</v>
      </c>
      <c r="K885" s="7" t="s">
        <v>119</v>
      </c>
      <c r="L885" s="61">
        <v>45777</v>
      </c>
      <c r="M885" s="7" t="s">
        <v>111</v>
      </c>
      <c r="N885" s="61">
        <v>45777</v>
      </c>
      <c r="O885" s="61">
        <v>45777</v>
      </c>
      <c r="P885" s="59"/>
      <c r="Q885" s="124" t="e">
        <f>P885*#REF!</f>
        <v>#REF!</v>
      </c>
      <c r="R885" s="126">
        <v>45777</v>
      </c>
      <c r="S885" s="153">
        <f>IF(L885="","",L885-B885)</f>
        <v>8</v>
      </c>
      <c r="T885" s="153">
        <f>IF(N885="","",N885-L885)</f>
        <v>0</v>
      </c>
      <c r="U885" s="153">
        <f>IF(O885="","",O885-N885)</f>
        <v>0</v>
      </c>
      <c r="V885" s="154">
        <f>IF(O885="","",O885-B885)</f>
        <v>8</v>
      </c>
      <c r="W885" s="154">
        <f>IF(O885="","",O885-L885)</f>
        <v>0</v>
      </c>
      <c r="X885" s="154">
        <f>IF(R885="","",R885-B885)</f>
        <v>8</v>
      </c>
    </row>
    <row r="886" spans="2:24" ht="17.25" hidden="1" customHeight="1">
      <c r="B886" s="23">
        <v>45769</v>
      </c>
      <c r="C886" s="7">
        <v>2003666695</v>
      </c>
      <c r="D886" s="20">
        <v>147812</v>
      </c>
      <c r="E886" s="27" t="s">
        <v>149</v>
      </c>
      <c r="F886" s="7" t="s">
        <v>107</v>
      </c>
      <c r="G886" s="7" t="s">
        <v>10</v>
      </c>
      <c r="H886" s="7" t="s">
        <v>45</v>
      </c>
      <c r="I886" s="20" t="s">
        <v>1512</v>
      </c>
      <c r="J886" s="20" t="s">
        <v>1513</v>
      </c>
      <c r="K886" s="7" t="s">
        <v>110</v>
      </c>
      <c r="L886" s="61">
        <v>45777</v>
      </c>
      <c r="M886" s="7" t="s">
        <v>111</v>
      </c>
      <c r="N886" s="61">
        <v>45777</v>
      </c>
      <c r="O886" s="61">
        <v>45777</v>
      </c>
      <c r="P886" s="59"/>
      <c r="Q886" s="124" t="e">
        <f>P886*#REF!</f>
        <v>#REF!</v>
      </c>
      <c r="R886" s="126">
        <v>45777</v>
      </c>
      <c r="S886" s="153">
        <f>IF(L886="","",L886-B886)</f>
        <v>8</v>
      </c>
      <c r="T886" s="153">
        <f>IF(N886="","",N886-L886)</f>
        <v>0</v>
      </c>
      <c r="U886" s="153">
        <f>IF(O886="","",O886-N886)</f>
        <v>0</v>
      </c>
      <c r="V886" s="154">
        <f>IF(O886="","",O886-B886)</f>
        <v>8</v>
      </c>
      <c r="W886" s="154">
        <f>IF(O886="","",O886-L886)</f>
        <v>0</v>
      </c>
      <c r="X886" s="154">
        <f>IF(R886="","",R886-B886)</f>
        <v>8</v>
      </c>
    </row>
    <row r="887" spans="2:24" ht="17.25" hidden="1" customHeight="1">
      <c r="B887" s="23">
        <v>45769</v>
      </c>
      <c r="C887" s="7">
        <v>2003667424</v>
      </c>
      <c r="D887" s="20">
        <v>147741</v>
      </c>
      <c r="E887" s="27" t="s">
        <v>408</v>
      </c>
      <c r="F887" s="7" t="s">
        <v>107</v>
      </c>
      <c r="G887" s="7" t="s">
        <v>26</v>
      </c>
      <c r="H887" s="7" t="s">
        <v>45</v>
      </c>
      <c r="I887" s="20" t="s">
        <v>453</v>
      </c>
      <c r="J887" s="20" t="s">
        <v>1514</v>
      </c>
      <c r="K887" s="7" t="s">
        <v>110</v>
      </c>
      <c r="L887" s="61">
        <v>45771</v>
      </c>
      <c r="M887" s="7" t="s">
        <v>111</v>
      </c>
      <c r="N887" s="24">
        <v>45771</v>
      </c>
      <c r="O887" s="58">
        <v>45771</v>
      </c>
      <c r="P887" s="59"/>
      <c r="Q887" s="124" t="e">
        <f>P887*#REF!</f>
        <v>#REF!</v>
      </c>
      <c r="R887" s="126">
        <v>45771</v>
      </c>
      <c r="S887" s="153">
        <f>IF(L887="","",L887-B887)</f>
        <v>2</v>
      </c>
      <c r="T887" s="153">
        <f>IF(N887="","",N887-L887)</f>
        <v>0</v>
      </c>
      <c r="U887" s="153">
        <f>IF(O887="","",O887-N887)</f>
        <v>0</v>
      </c>
      <c r="V887" s="154">
        <f>IF(O887="","",O887-B887)</f>
        <v>2</v>
      </c>
      <c r="W887" s="154">
        <f>IF(O887="","",O887-L887)</f>
        <v>0</v>
      </c>
      <c r="X887" s="154">
        <f>IF(R887="","",R887-B887)</f>
        <v>2</v>
      </c>
    </row>
    <row r="888" spans="2:24" ht="17.25" hidden="1" customHeight="1">
      <c r="B888" s="23">
        <v>45771</v>
      </c>
      <c r="C888" s="7">
        <v>2003669469</v>
      </c>
      <c r="D888" s="20">
        <v>150002</v>
      </c>
      <c r="E888" s="27" t="s">
        <v>129</v>
      </c>
      <c r="F888" s="7" t="s">
        <v>107</v>
      </c>
      <c r="G888" s="7" t="s">
        <v>10</v>
      </c>
      <c r="H888" s="7" t="s">
        <v>45</v>
      </c>
      <c r="I888" s="20" t="s">
        <v>1515</v>
      </c>
      <c r="J888" s="20" t="s">
        <v>1516</v>
      </c>
      <c r="K888" s="7" t="s">
        <v>110</v>
      </c>
      <c r="L888" s="61">
        <v>45782</v>
      </c>
      <c r="M888" s="7" t="s">
        <v>111</v>
      </c>
      <c r="N888" s="61">
        <v>45782</v>
      </c>
      <c r="O888" s="61">
        <v>45782</v>
      </c>
      <c r="P888" s="59"/>
      <c r="Q888" s="124" t="e">
        <f>P888*#REF!</f>
        <v>#REF!</v>
      </c>
      <c r="R888" s="126">
        <v>45783</v>
      </c>
      <c r="S888" s="153">
        <f>IF(L888="","",L888-B888)</f>
        <v>11</v>
      </c>
      <c r="T888" s="153">
        <f>IF(N888="","",N888-L888)</f>
        <v>0</v>
      </c>
      <c r="U888" s="153">
        <f>IF(O888="","",O888-N888)</f>
        <v>0</v>
      </c>
      <c r="V888" s="154">
        <f>IF(O888="","",O888-B888)</f>
        <v>11</v>
      </c>
      <c r="W888" s="154">
        <f>IF(O888="","",O888-L888)</f>
        <v>0</v>
      </c>
      <c r="X888" s="154">
        <f>IF(R888="","",R888-B888)</f>
        <v>12</v>
      </c>
    </row>
    <row r="889" spans="2:24" ht="17.25" hidden="1" customHeight="1">
      <c r="B889" s="23">
        <v>45769</v>
      </c>
      <c r="C889" s="7">
        <v>2003666674</v>
      </c>
      <c r="D889" s="20">
        <v>147731</v>
      </c>
      <c r="E889" s="27" t="s">
        <v>198</v>
      </c>
      <c r="F889" s="7" t="s">
        <v>107</v>
      </c>
      <c r="G889" s="7" t="s">
        <v>10</v>
      </c>
      <c r="H889" s="7" t="s">
        <v>45</v>
      </c>
      <c r="I889" s="20" t="s">
        <v>1517</v>
      </c>
      <c r="J889" s="20" t="s">
        <v>1518</v>
      </c>
      <c r="K889" s="7" t="s">
        <v>119</v>
      </c>
      <c r="L889" s="61">
        <v>45770</v>
      </c>
      <c r="M889" s="7" t="s">
        <v>111</v>
      </c>
      <c r="N889" s="61">
        <v>45770</v>
      </c>
      <c r="O889" s="61">
        <v>45770</v>
      </c>
      <c r="P889" s="59"/>
      <c r="Q889" s="124" t="e">
        <f>P889*#REF!</f>
        <v>#REF!</v>
      </c>
      <c r="R889" s="126">
        <v>45771</v>
      </c>
      <c r="S889" s="153">
        <f>IF(L889="","",L889-B889)</f>
        <v>1</v>
      </c>
      <c r="T889" s="153">
        <f>IF(N889="","",N889-L889)</f>
        <v>0</v>
      </c>
      <c r="U889" s="153">
        <f>IF(O889="","",O889-N889)</f>
        <v>0</v>
      </c>
      <c r="V889" s="154">
        <f>IF(O889="","",O889-B889)</f>
        <v>1</v>
      </c>
      <c r="W889" s="154">
        <f>IF(O889="","",O889-L889)</f>
        <v>0</v>
      </c>
      <c r="X889" s="154">
        <f>IF(R889="","",R889-B889)</f>
        <v>2</v>
      </c>
    </row>
    <row r="890" spans="2:24" ht="17.25" hidden="1" customHeight="1">
      <c r="B890" s="23">
        <v>45769</v>
      </c>
      <c r="C890" s="7">
        <v>2003668662</v>
      </c>
      <c r="D890" s="20">
        <v>147679</v>
      </c>
      <c r="E890" s="27" t="s">
        <v>1225</v>
      </c>
      <c r="F890" s="7" t="s">
        <v>107</v>
      </c>
      <c r="G890" s="7" t="s">
        <v>10</v>
      </c>
      <c r="H890" s="7" t="s">
        <v>45</v>
      </c>
      <c r="I890" s="20" t="s">
        <v>1519</v>
      </c>
      <c r="J890" s="20" t="s">
        <v>1520</v>
      </c>
      <c r="K890" s="7" t="s">
        <v>119</v>
      </c>
      <c r="L890" s="61">
        <v>45771</v>
      </c>
      <c r="M890" s="7" t="s">
        <v>111</v>
      </c>
      <c r="N890" s="61">
        <v>45771</v>
      </c>
      <c r="O890" s="58">
        <v>45773</v>
      </c>
      <c r="P890" s="59"/>
      <c r="Q890" s="124" t="e">
        <f>P890*#REF!</f>
        <v>#REF!</v>
      </c>
      <c r="R890" s="126">
        <v>45776</v>
      </c>
      <c r="S890" s="153">
        <f>IF(L890="","",L890-B890)</f>
        <v>2</v>
      </c>
      <c r="T890" s="153">
        <f>IF(N890="","",N890-L890)</f>
        <v>0</v>
      </c>
      <c r="U890" s="153">
        <f>IF(O890="","",O890-N890)</f>
        <v>2</v>
      </c>
      <c r="V890" s="154">
        <f>IF(O890="","",O890-B890)</f>
        <v>4</v>
      </c>
      <c r="W890" s="154">
        <f>IF(O890="","",O890-L890)</f>
        <v>2</v>
      </c>
      <c r="X890" s="154">
        <f>IF(R890="","",R890-B890)</f>
        <v>7</v>
      </c>
    </row>
    <row r="891" spans="2:24" ht="17.25" hidden="1" customHeight="1">
      <c r="B891" s="23">
        <v>45769</v>
      </c>
      <c r="C891" s="7">
        <v>2003665170</v>
      </c>
      <c r="D891" s="20">
        <v>147712</v>
      </c>
      <c r="E891" s="27" t="s">
        <v>138</v>
      </c>
      <c r="F891" s="7" t="s">
        <v>107</v>
      </c>
      <c r="G891" s="7" t="s">
        <v>10</v>
      </c>
      <c r="H891" s="7" t="s">
        <v>45</v>
      </c>
      <c r="I891" s="20" t="s">
        <v>1282</v>
      </c>
      <c r="J891" s="20" t="s">
        <v>1521</v>
      </c>
      <c r="K891" s="7" t="s">
        <v>119</v>
      </c>
      <c r="L891" s="61">
        <v>45771</v>
      </c>
      <c r="M891" s="7" t="s">
        <v>111</v>
      </c>
      <c r="N891" s="61">
        <v>45771</v>
      </c>
      <c r="O891" s="61">
        <v>45771</v>
      </c>
      <c r="P891" s="59"/>
      <c r="Q891" s="124" t="e">
        <f>P891*#REF!</f>
        <v>#REF!</v>
      </c>
      <c r="R891" s="126">
        <v>45771</v>
      </c>
      <c r="S891" s="153">
        <f>IF(L891="","",L891-B891)</f>
        <v>2</v>
      </c>
      <c r="T891" s="153">
        <f>IF(N891="","",N891-L891)</f>
        <v>0</v>
      </c>
      <c r="U891" s="153">
        <f>IF(O891="","",O891-N891)</f>
        <v>0</v>
      </c>
      <c r="V891" s="154">
        <f>IF(O891="","",O891-B891)</f>
        <v>2</v>
      </c>
      <c r="W891" s="154">
        <f>IF(O891="","",O891-L891)</f>
        <v>0</v>
      </c>
      <c r="X891" s="154">
        <f>IF(R891="","",R891-B891)</f>
        <v>2</v>
      </c>
    </row>
    <row r="892" spans="2:24" ht="17.25" hidden="1" customHeight="1">
      <c r="B892" s="23">
        <v>45769</v>
      </c>
      <c r="C892" s="7">
        <v>2003665675</v>
      </c>
      <c r="D892" s="20">
        <v>147652</v>
      </c>
      <c r="E892" s="27" t="s">
        <v>180</v>
      </c>
      <c r="F892" s="7" t="s">
        <v>107</v>
      </c>
      <c r="G892" s="7" t="s">
        <v>10</v>
      </c>
      <c r="H892" s="7" t="s">
        <v>45</v>
      </c>
      <c r="I892" s="20" t="s">
        <v>263</v>
      </c>
      <c r="J892" s="20" t="s">
        <v>1522</v>
      </c>
      <c r="K892" s="7" t="s">
        <v>110</v>
      </c>
      <c r="L892" s="61">
        <v>45771</v>
      </c>
      <c r="M892" s="7" t="s">
        <v>111</v>
      </c>
      <c r="N892" s="61">
        <v>45771</v>
      </c>
      <c r="O892" s="58">
        <v>45773</v>
      </c>
      <c r="P892" s="59"/>
      <c r="Q892" s="124" t="e">
        <f>P892*#REF!</f>
        <v>#REF!</v>
      </c>
      <c r="R892" s="126">
        <v>45776</v>
      </c>
      <c r="S892" s="153">
        <f>IF(L892="","",L892-B892)</f>
        <v>2</v>
      </c>
      <c r="T892" s="153">
        <f>IF(N892="","",N892-L892)</f>
        <v>0</v>
      </c>
      <c r="U892" s="153">
        <f>IF(O892="","",O892-N892)</f>
        <v>2</v>
      </c>
      <c r="V892" s="154">
        <f>IF(O892="","",O892-B892)</f>
        <v>4</v>
      </c>
      <c r="W892" s="154">
        <f>IF(O892="","",O892-L892)</f>
        <v>2</v>
      </c>
      <c r="X892" s="154">
        <f>IF(R892="","",R892-B892)</f>
        <v>7</v>
      </c>
    </row>
    <row r="893" spans="2:24" ht="17.25" hidden="1" customHeight="1">
      <c r="B893" s="23">
        <v>45769</v>
      </c>
      <c r="C893" s="7">
        <v>2003665465</v>
      </c>
      <c r="D893" s="20">
        <v>147587</v>
      </c>
      <c r="E893" s="27" t="s">
        <v>126</v>
      </c>
      <c r="F893" s="7" t="s">
        <v>107</v>
      </c>
      <c r="G893" s="7" t="s">
        <v>10</v>
      </c>
      <c r="H893" s="7" t="s">
        <v>45</v>
      </c>
      <c r="I893" s="20" t="s">
        <v>1523</v>
      </c>
      <c r="J893" s="20" t="s">
        <v>1524</v>
      </c>
      <c r="K893" s="7" t="s">
        <v>110</v>
      </c>
      <c r="L893" s="61">
        <v>45772</v>
      </c>
      <c r="M893" s="7" t="s">
        <v>111</v>
      </c>
      <c r="N893" s="61">
        <v>45772</v>
      </c>
      <c r="O893" s="61">
        <v>45772</v>
      </c>
      <c r="P893" s="59"/>
      <c r="Q893" s="124" t="e">
        <f>P893*#REF!</f>
        <v>#REF!</v>
      </c>
      <c r="R893" s="126">
        <v>45772</v>
      </c>
      <c r="S893" s="153">
        <f>IF(L893="","",L893-B893)</f>
        <v>3</v>
      </c>
      <c r="T893" s="153">
        <f>IF(N893="","",N893-L893)</f>
        <v>0</v>
      </c>
      <c r="U893" s="153">
        <f>IF(O893="","",O893-N893)</f>
        <v>0</v>
      </c>
      <c r="V893" s="154">
        <f>IF(O893="","",O893-B893)</f>
        <v>3</v>
      </c>
      <c r="W893" s="154">
        <f>IF(O893="","",O893-L893)</f>
        <v>0</v>
      </c>
      <c r="X893" s="154">
        <f>IF(R893="","",R893-B893)</f>
        <v>3</v>
      </c>
    </row>
    <row r="894" spans="2:24" ht="17.25" hidden="1" customHeight="1">
      <c r="B894" s="23">
        <v>45769</v>
      </c>
      <c r="C894" s="7">
        <v>2003665090</v>
      </c>
      <c r="D894" s="20">
        <v>147614</v>
      </c>
      <c r="E894" s="27" t="s">
        <v>201</v>
      </c>
      <c r="F894" s="7" t="s">
        <v>107</v>
      </c>
      <c r="G894" s="7" t="s">
        <v>10</v>
      </c>
      <c r="H894" s="7" t="s">
        <v>45</v>
      </c>
      <c r="I894" s="20" t="s">
        <v>1525</v>
      </c>
      <c r="J894" s="20" t="s">
        <v>1526</v>
      </c>
      <c r="K894" s="7" t="s">
        <v>110</v>
      </c>
      <c r="L894" s="61">
        <v>45771</v>
      </c>
      <c r="M894" s="7" t="s">
        <v>111</v>
      </c>
      <c r="N894" s="61">
        <v>45771</v>
      </c>
      <c r="O894" s="61">
        <v>45771</v>
      </c>
      <c r="P894" s="59"/>
      <c r="Q894" s="124" t="e">
        <f>P894*#REF!</f>
        <v>#REF!</v>
      </c>
      <c r="R894" s="126">
        <v>45771</v>
      </c>
      <c r="S894" s="153">
        <f>IF(L894="","",L894-B894)</f>
        <v>2</v>
      </c>
      <c r="T894" s="153">
        <f>IF(N894="","",N894-L894)</f>
        <v>0</v>
      </c>
      <c r="U894" s="153">
        <f>IF(O894="","",O894-N894)</f>
        <v>0</v>
      </c>
      <c r="V894" s="154">
        <f>IF(O894="","",O894-B894)</f>
        <v>2</v>
      </c>
      <c r="W894" s="154">
        <f>IF(O894="","",O894-L894)</f>
        <v>0</v>
      </c>
      <c r="X894" s="154">
        <f>IF(R894="","",R894-B894)</f>
        <v>2</v>
      </c>
    </row>
    <row r="895" spans="2:24" ht="17.25" hidden="1" customHeight="1">
      <c r="B895" s="23">
        <v>45769</v>
      </c>
      <c r="C895" s="7">
        <v>2003666108</v>
      </c>
      <c r="D895" s="20">
        <v>147500</v>
      </c>
      <c r="E895" s="27" t="s">
        <v>408</v>
      </c>
      <c r="F895" s="7" t="s">
        <v>107</v>
      </c>
      <c r="G895" s="7" t="s">
        <v>10</v>
      </c>
      <c r="H895" s="7" t="s">
        <v>45</v>
      </c>
      <c r="I895" s="20" t="s">
        <v>735</v>
      </c>
      <c r="J895" s="20" t="s">
        <v>1527</v>
      </c>
      <c r="K895" s="7" t="s">
        <v>110</v>
      </c>
      <c r="L895" s="61">
        <v>45776</v>
      </c>
      <c r="M895" s="7" t="s">
        <v>111</v>
      </c>
      <c r="N895" s="61">
        <v>45776</v>
      </c>
      <c r="O895" s="61">
        <v>45776</v>
      </c>
      <c r="P895" s="59"/>
      <c r="Q895" s="124" t="e">
        <f>P895*#REF!</f>
        <v>#REF!</v>
      </c>
      <c r="R895" s="126">
        <v>45777</v>
      </c>
      <c r="S895" s="153">
        <f>IF(L895="","",L895-B895)</f>
        <v>7</v>
      </c>
      <c r="T895" s="153">
        <f>IF(N895="","",N895-L895)</f>
        <v>0</v>
      </c>
      <c r="U895" s="153">
        <f>IF(O895="","",O895-N895)</f>
        <v>0</v>
      </c>
      <c r="V895" s="154">
        <f>IF(O895="","",O895-B895)</f>
        <v>7</v>
      </c>
      <c r="W895" s="154">
        <f>IF(O895="","",O895-L895)</f>
        <v>0</v>
      </c>
      <c r="X895" s="154">
        <f>IF(R895="","",R895-B895)</f>
        <v>8</v>
      </c>
    </row>
    <row r="896" spans="2:24" ht="17.25" hidden="1" customHeight="1">
      <c r="B896" s="23">
        <v>45769</v>
      </c>
      <c r="C896" s="7">
        <v>2003660634</v>
      </c>
      <c r="D896" s="20">
        <v>147489</v>
      </c>
      <c r="E896" s="27" t="s">
        <v>552</v>
      </c>
      <c r="F896" s="7" t="s">
        <v>107</v>
      </c>
      <c r="G896" s="7" t="s">
        <v>26</v>
      </c>
      <c r="H896" s="7" t="s">
        <v>45</v>
      </c>
      <c r="I896" s="20" t="s">
        <v>1075</v>
      </c>
      <c r="J896" s="20" t="s">
        <v>1528</v>
      </c>
      <c r="K896" s="7" t="s">
        <v>110</v>
      </c>
      <c r="L896" s="61">
        <v>45771</v>
      </c>
      <c r="M896" s="7" t="s">
        <v>111</v>
      </c>
      <c r="N896" s="61">
        <v>45771</v>
      </c>
      <c r="O896" s="61">
        <v>45771</v>
      </c>
      <c r="P896" s="59"/>
      <c r="Q896" s="124" t="e">
        <f>P896*#REF!</f>
        <v>#REF!</v>
      </c>
      <c r="R896" s="126">
        <v>45771</v>
      </c>
      <c r="S896" s="153">
        <f>IF(L896="","",L896-B896)</f>
        <v>2</v>
      </c>
      <c r="T896" s="153">
        <f>IF(N896="","",N896-L896)</f>
        <v>0</v>
      </c>
      <c r="U896" s="153">
        <f>IF(O896="","",O896-N896)</f>
        <v>0</v>
      </c>
      <c r="V896" s="154">
        <f>IF(O896="","",O896-B896)</f>
        <v>2</v>
      </c>
      <c r="W896" s="154">
        <f>IF(O896="","",O896-L896)</f>
        <v>0</v>
      </c>
      <c r="X896" s="154">
        <f>IF(R896="","",R896-B896)</f>
        <v>2</v>
      </c>
    </row>
    <row r="897" spans="2:24" ht="17.25" hidden="1" customHeight="1">
      <c r="B897" s="23">
        <v>45769</v>
      </c>
      <c r="C897" s="7">
        <v>2003665686</v>
      </c>
      <c r="D897" s="20">
        <v>147381</v>
      </c>
      <c r="E897" s="27" t="s">
        <v>123</v>
      </c>
      <c r="F897" s="7" t="s">
        <v>107</v>
      </c>
      <c r="G897" s="7" t="s">
        <v>26</v>
      </c>
      <c r="H897" s="7" t="s">
        <v>45</v>
      </c>
      <c r="I897" s="20" t="s">
        <v>398</v>
      </c>
      <c r="J897" s="20" t="s">
        <v>1529</v>
      </c>
      <c r="K897" s="7" t="s">
        <v>119</v>
      </c>
      <c r="L897" s="61">
        <v>45772</v>
      </c>
      <c r="M897" s="7" t="s">
        <v>111</v>
      </c>
      <c r="N897" s="24">
        <v>45772</v>
      </c>
      <c r="O897" s="58">
        <v>45772</v>
      </c>
      <c r="P897" s="59"/>
      <c r="Q897" s="124" t="e">
        <f>P897*#REF!</f>
        <v>#REF!</v>
      </c>
      <c r="R897" s="126">
        <v>45772</v>
      </c>
      <c r="S897" s="153">
        <f>IF(L897="","",L897-B897)</f>
        <v>3</v>
      </c>
      <c r="T897" s="153">
        <f>IF(N897="","",N897-L897)</f>
        <v>0</v>
      </c>
      <c r="U897" s="153">
        <f>IF(O897="","",O897-N897)</f>
        <v>0</v>
      </c>
      <c r="V897" s="154">
        <f>IF(O897="","",O897-B897)</f>
        <v>3</v>
      </c>
      <c r="W897" s="154">
        <f>IF(O897="","",O897-L897)</f>
        <v>0</v>
      </c>
      <c r="X897" s="154">
        <f>IF(R897="","",R897-B897)</f>
        <v>3</v>
      </c>
    </row>
    <row r="898" spans="2:24" ht="17.25" hidden="1" customHeight="1">
      <c r="B898" s="23">
        <v>45769</v>
      </c>
      <c r="C898" s="7">
        <v>2003665564</v>
      </c>
      <c r="D898" s="20">
        <v>147475</v>
      </c>
      <c r="E898" s="27" t="s">
        <v>408</v>
      </c>
      <c r="F898" s="7" t="s">
        <v>107</v>
      </c>
      <c r="G898" s="7" t="s">
        <v>10</v>
      </c>
      <c r="H898" s="7" t="s">
        <v>45</v>
      </c>
      <c r="I898" s="20" t="s">
        <v>1530</v>
      </c>
      <c r="J898" s="20" t="s">
        <v>1531</v>
      </c>
      <c r="K898" s="7" t="s">
        <v>110</v>
      </c>
      <c r="L898" s="61">
        <v>45772</v>
      </c>
      <c r="M898" s="7" t="s">
        <v>111</v>
      </c>
      <c r="N898" s="61">
        <v>45772</v>
      </c>
      <c r="O898" s="61">
        <v>45772</v>
      </c>
      <c r="P898" s="59"/>
      <c r="Q898" s="124" t="e">
        <f>P898*#REF!</f>
        <v>#REF!</v>
      </c>
      <c r="R898" s="126">
        <v>45772</v>
      </c>
      <c r="S898" s="153">
        <f>IF(L898="","",L898-B898)</f>
        <v>3</v>
      </c>
      <c r="T898" s="153">
        <f>IF(N898="","",N898-L898)</f>
        <v>0</v>
      </c>
      <c r="U898" s="153">
        <f>IF(O898="","",O898-N898)</f>
        <v>0</v>
      </c>
      <c r="V898" s="154">
        <f>IF(O898="","",O898-B898)</f>
        <v>3</v>
      </c>
      <c r="W898" s="154">
        <f>IF(O898="","",O898-L898)</f>
        <v>0</v>
      </c>
      <c r="X898" s="154">
        <f>IF(R898="","",R898-B898)</f>
        <v>3</v>
      </c>
    </row>
    <row r="899" spans="2:24" ht="17.25" hidden="1" customHeight="1">
      <c r="B899" s="23">
        <v>45771</v>
      </c>
      <c r="C899" s="7">
        <v>2003644142</v>
      </c>
      <c r="D899" s="20">
        <v>150069</v>
      </c>
      <c r="E899" s="27" t="s">
        <v>126</v>
      </c>
      <c r="F899" s="7" t="s">
        <v>107</v>
      </c>
      <c r="G899" s="7" t="s">
        <v>10</v>
      </c>
      <c r="H899" s="7" t="s">
        <v>45</v>
      </c>
      <c r="I899" s="20" t="s">
        <v>1532</v>
      </c>
      <c r="J899" s="20" t="s">
        <v>1533</v>
      </c>
      <c r="K899" s="7" t="s">
        <v>122</v>
      </c>
      <c r="L899" s="61">
        <v>45776</v>
      </c>
      <c r="M899" s="7" t="s">
        <v>111</v>
      </c>
      <c r="N899" s="61">
        <v>45777</v>
      </c>
      <c r="O899" s="58">
        <v>45783</v>
      </c>
      <c r="P899" s="59"/>
      <c r="Q899" s="124" t="e">
        <f>P899*#REF!</f>
        <v>#REF!</v>
      </c>
      <c r="R899" s="126">
        <v>45783</v>
      </c>
      <c r="S899" s="153">
        <f>IF(L899="","",L899-B899)</f>
        <v>5</v>
      </c>
      <c r="T899" s="153">
        <f>IF(N899="","",N899-L899)</f>
        <v>1</v>
      </c>
      <c r="U899" s="153">
        <f>IF(O899="","",O899-N899)</f>
        <v>6</v>
      </c>
      <c r="V899" s="154">
        <f>IF(O899="","",O899-B899)</f>
        <v>12</v>
      </c>
      <c r="W899" s="154">
        <f>IF(O899="","",O899-L899)</f>
        <v>7</v>
      </c>
      <c r="X899" s="154">
        <f>IF(R899="","",R899-B899)</f>
        <v>12</v>
      </c>
    </row>
    <row r="900" spans="2:24" ht="17.25" hidden="1" customHeight="1">
      <c r="B900" s="23">
        <v>45769</v>
      </c>
      <c r="C900" s="7">
        <v>2003666848</v>
      </c>
      <c r="D900" s="20">
        <v>147357</v>
      </c>
      <c r="E900" s="27" t="s">
        <v>123</v>
      </c>
      <c r="F900" s="7" t="s">
        <v>107</v>
      </c>
      <c r="G900" s="7" t="s">
        <v>10</v>
      </c>
      <c r="H900" s="7" t="s">
        <v>45</v>
      </c>
      <c r="I900" s="20" t="s">
        <v>714</v>
      </c>
      <c r="J900" s="20" t="s">
        <v>1534</v>
      </c>
      <c r="K900" s="7" t="s">
        <v>110</v>
      </c>
      <c r="L900" s="61">
        <v>45771</v>
      </c>
      <c r="M900" s="7" t="s">
        <v>111</v>
      </c>
      <c r="N900" s="61">
        <v>45771</v>
      </c>
      <c r="O900" s="61">
        <v>45771</v>
      </c>
      <c r="P900" s="59"/>
      <c r="Q900" s="124" t="e">
        <f>P900*#REF!</f>
        <v>#REF!</v>
      </c>
      <c r="R900" s="126">
        <v>45771</v>
      </c>
      <c r="S900" s="153">
        <f>IF(L900="","",L900-B900)</f>
        <v>2</v>
      </c>
      <c r="T900" s="153">
        <f>IF(N900="","",N900-L900)</f>
        <v>0</v>
      </c>
      <c r="U900" s="153">
        <f>IF(O900="","",O900-N900)</f>
        <v>0</v>
      </c>
      <c r="V900" s="154">
        <f>IF(O900="","",O900-B900)</f>
        <v>2</v>
      </c>
      <c r="W900" s="154">
        <f>IF(O900="","",O900-L900)</f>
        <v>0</v>
      </c>
      <c r="X900" s="154">
        <f>IF(R900="","",R900-B900)</f>
        <v>2</v>
      </c>
    </row>
    <row r="901" spans="2:24" ht="17.25" hidden="1" customHeight="1">
      <c r="B901" s="23">
        <v>45769</v>
      </c>
      <c r="C901" s="7">
        <v>2003664944</v>
      </c>
      <c r="D901" s="20">
        <v>147337</v>
      </c>
      <c r="E901" s="27" t="s">
        <v>123</v>
      </c>
      <c r="F901" s="7" t="s">
        <v>107</v>
      </c>
      <c r="G901" s="7" t="s">
        <v>10</v>
      </c>
      <c r="H901" s="7" t="s">
        <v>45</v>
      </c>
      <c r="I901" s="20" t="s">
        <v>1535</v>
      </c>
      <c r="J901" s="20" t="s">
        <v>1130</v>
      </c>
      <c r="K901" s="7" t="s">
        <v>110</v>
      </c>
      <c r="L901" s="61">
        <v>45775</v>
      </c>
      <c r="M901" s="7" t="s">
        <v>111</v>
      </c>
      <c r="N901" s="61">
        <v>45775</v>
      </c>
      <c r="O901" s="61">
        <v>45775</v>
      </c>
      <c r="P901" s="59"/>
      <c r="Q901" s="124" t="e">
        <f>P901*#REF!</f>
        <v>#REF!</v>
      </c>
      <c r="R901" s="126">
        <v>45776</v>
      </c>
      <c r="S901" s="153">
        <f>IF(L901="","",L901-B901)</f>
        <v>6</v>
      </c>
      <c r="T901" s="153">
        <f>IF(N901="","",N901-L901)</f>
        <v>0</v>
      </c>
      <c r="U901" s="153">
        <f>IF(O901="","",O901-N901)</f>
        <v>0</v>
      </c>
      <c r="V901" s="154">
        <f>IF(O901="","",O901-B901)</f>
        <v>6</v>
      </c>
      <c r="W901" s="154">
        <f>IF(O901="","",O901-L901)</f>
        <v>0</v>
      </c>
      <c r="X901" s="154">
        <f>IF(R901="","",R901-B901)</f>
        <v>7</v>
      </c>
    </row>
    <row r="902" spans="2:24" ht="17.25" hidden="1" customHeight="1">
      <c r="B902" s="23">
        <v>45769</v>
      </c>
      <c r="C902" s="7">
        <v>2003548743</v>
      </c>
      <c r="D902" s="20">
        <v>147331</v>
      </c>
      <c r="E902" s="27" t="s">
        <v>123</v>
      </c>
      <c r="F902" s="7" t="s">
        <v>107</v>
      </c>
      <c r="G902" s="7" t="s">
        <v>10</v>
      </c>
      <c r="H902" s="7" t="s">
        <v>45</v>
      </c>
      <c r="I902" s="20" t="s">
        <v>1536</v>
      </c>
      <c r="J902" s="20" t="s">
        <v>1537</v>
      </c>
      <c r="K902" s="7" t="s">
        <v>119</v>
      </c>
      <c r="L902" s="61">
        <v>45775</v>
      </c>
      <c r="M902" s="7" t="s">
        <v>111</v>
      </c>
      <c r="N902" s="61">
        <v>45776</v>
      </c>
      <c r="O902" s="61">
        <v>45776</v>
      </c>
      <c r="P902" s="59"/>
      <c r="Q902" s="124" t="e">
        <f>P902*#REF!</f>
        <v>#REF!</v>
      </c>
      <c r="R902" s="126">
        <v>45777</v>
      </c>
      <c r="S902" s="153">
        <f>IF(L902="","",L902-B902)</f>
        <v>6</v>
      </c>
      <c r="T902" s="153">
        <f>IF(N902="","",N902-L902)</f>
        <v>1</v>
      </c>
      <c r="U902" s="153">
        <f>IF(O902="","",O902-N902)</f>
        <v>0</v>
      </c>
      <c r="V902" s="154">
        <f>IF(O902="","",O902-B902)</f>
        <v>7</v>
      </c>
      <c r="W902" s="154">
        <f>IF(O902="","",O902-L902)</f>
        <v>1</v>
      </c>
      <c r="X902" s="154">
        <f>IF(R902="","",R902-B902)</f>
        <v>8</v>
      </c>
    </row>
    <row r="903" spans="2:24" ht="17.25" hidden="1" customHeight="1">
      <c r="B903" s="23">
        <v>45769</v>
      </c>
      <c r="C903" s="7">
        <v>2003662616</v>
      </c>
      <c r="D903" s="20">
        <v>147248</v>
      </c>
      <c r="E903" s="27" t="s">
        <v>135</v>
      </c>
      <c r="F903" s="7" t="s">
        <v>107</v>
      </c>
      <c r="G903" s="7" t="s">
        <v>18</v>
      </c>
      <c r="H903" s="7" t="s">
        <v>45</v>
      </c>
      <c r="I903" s="20" t="s">
        <v>1538</v>
      </c>
      <c r="J903" s="20" t="s">
        <v>1539</v>
      </c>
      <c r="K903" s="7" t="s">
        <v>110</v>
      </c>
      <c r="L903" s="61">
        <v>45775</v>
      </c>
      <c r="M903" s="7" t="s">
        <v>111</v>
      </c>
      <c r="N903" s="61">
        <v>45775</v>
      </c>
      <c r="O903" s="58">
        <v>45776</v>
      </c>
      <c r="P903" s="59"/>
      <c r="Q903" s="124" t="e">
        <f>P903*#REF!</f>
        <v>#REF!</v>
      </c>
      <c r="R903" s="126">
        <v>45777</v>
      </c>
      <c r="S903" s="153">
        <f>IF(L903="","",L903-B903)</f>
        <v>6</v>
      </c>
      <c r="T903" s="153">
        <f>IF(N903="","",N903-L903)</f>
        <v>0</v>
      </c>
      <c r="U903" s="153">
        <f>IF(O903="","",O903-N903)</f>
        <v>1</v>
      </c>
      <c r="V903" s="154">
        <f>IF(O903="","",O903-B903)</f>
        <v>7</v>
      </c>
      <c r="W903" s="154">
        <f>IF(O903="","",O903-L903)</f>
        <v>1</v>
      </c>
      <c r="X903" s="154">
        <f>IF(R903="","",R903-B903)</f>
        <v>8</v>
      </c>
    </row>
    <row r="904" spans="2:24" ht="17.25" hidden="1" customHeight="1">
      <c r="B904" s="23">
        <v>45769</v>
      </c>
      <c r="C904" s="7">
        <v>2003665005</v>
      </c>
      <c r="D904" s="20">
        <v>147163</v>
      </c>
      <c r="E904" s="27" t="s">
        <v>949</v>
      </c>
      <c r="F904" s="7" t="s">
        <v>107</v>
      </c>
      <c r="G904" s="7" t="s">
        <v>10</v>
      </c>
      <c r="H904" s="7" t="s">
        <v>45</v>
      </c>
      <c r="I904" s="20" t="s">
        <v>1173</v>
      </c>
      <c r="J904" s="20" t="s">
        <v>1540</v>
      </c>
      <c r="K904" s="7" t="s">
        <v>110</v>
      </c>
      <c r="L904" s="61">
        <v>45771</v>
      </c>
      <c r="M904" s="7" t="s">
        <v>111</v>
      </c>
      <c r="N904" s="61">
        <v>45771</v>
      </c>
      <c r="O904" s="58">
        <v>45772</v>
      </c>
      <c r="P904" s="59"/>
      <c r="Q904" s="124" t="e">
        <f>P904*#REF!</f>
        <v>#REF!</v>
      </c>
      <c r="R904" s="126">
        <v>45772</v>
      </c>
      <c r="S904" s="153">
        <f>IF(L904="","",L904-B904)</f>
        <v>2</v>
      </c>
      <c r="T904" s="153">
        <f>IF(N904="","",N904-L904)</f>
        <v>0</v>
      </c>
      <c r="U904" s="153">
        <f>IF(O904="","",O904-N904)</f>
        <v>1</v>
      </c>
      <c r="V904" s="154">
        <f>IF(O904="","",O904-B904)</f>
        <v>3</v>
      </c>
      <c r="W904" s="154">
        <f>IF(O904="","",O904-L904)</f>
        <v>1</v>
      </c>
      <c r="X904" s="154">
        <f>IF(R904="","",R904-B904)</f>
        <v>3</v>
      </c>
    </row>
    <row r="905" spans="2:24" ht="17.25" hidden="1" customHeight="1">
      <c r="B905" s="23">
        <v>45769</v>
      </c>
      <c r="C905" s="7">
        <v>2003667578</v>
      </c>
      <c r="D905" s="20">
        <v>147242</v>
      </c>
      <c r="E905" s="27" t="s">
        <v>566</v>
      </c>
      <c r="F905" s="7" t="s">
        <v>107</v>
      </c>
      <c r="G905" s="7" t="s">
        <v>26</v>
      </c>
      <c r="H905" s="7" t="s">
        <v>45</v>
      </c>
      <c r="I905" s="20" t="s">
        <v>1541</v>
      </c>
      <c r="J905" s="20" t="s">
        <v>1542</v>
      </c>
      <c r="K905" s="7" t="s">
        <v>119</v>
      </c>
      <c r="L905" s="61">
        <v>45776</v>
      </c>
      <c r="M905" s="7" t="s">
        <v>111</v>
      </c>
      <c r="N905" s="24">
        <v>45777</v>
      </c>
      <c r="O905" s="58">
        <v>45777</v>
      </c>
      <c r="P905" s="59"/>
      <c r="Q905" s="124" t="e">
        <f>P905*#REF!</f>
        <v>#REF!</v>
      </c>
      <c r="R905" s="126">
        <v>45777</v>
      </c>
      <c r="S905" s="153">
        <f>IF(L905="","",L905-B905)</f>
        <v>7</v>
      </c>
      <c r="T905" s="153">
        <f>IF(N905="","",N905-L905)</f>
        <v>1</v>
      </c>
      <c r="U905" s="153">
        <f>IF(O905="","",O905-N905)</f>
        <v>0</v>
      </c>
      <c r="V905" s="154">
        <f>IF(O905="","",O905-B905)</f>
        <v>8</v>
      </c>
      <c r="W905" s="154">
        <f>IF(O905="","",O905-L905)</f>
        <v>1</v>
      </c>
      <c r="X905" s="154">
        <f>IF(R905="","",R905-B905)</f>
        <v>8</v>
      </c>
    </row>
    <row r="906" spans="2:24" ht="17.25" hidden="1" customHeight="1">
      <c r="B906" s="23">
        <v>45769</v>
      </c>
      <c r="C906" s="7">
        <v>2003667422</v>
      </c>
      <c r="D906" s="20">
        <v>147159</v>
      </c>
      <c r="E906" s="27" t="s">
        <v>949</v>
      </c>
      <c r="F906" s="7" t="s">
        <v>107</v>
      </c>
      <c r="G906" s="7" t="s">
        <v>10</v>
      </c>
      <c r="H906" s="7" t="s">
        <v>45</v>
      </c>
      <c r="I906" s="20" t="s">
        <v>1543</v>
      </c>
      <c r="J906" s="20" t="s">
        <v>1544</v>
      </c>
      <c r="K906" s="7" t="s">
        <v>119</v>
      </c>
      <c r="L906" s="61">
        <v>45771</v>
      </c>
      <c r="M906" s="7" t="s">
        <v>111</v>
      </c>
      <c r="N906" s="61">
        <v>45771</v>
      </c>
      <c r="O906" s="61">
        <v>45771</v>
      </c>
      <c r="P906" s="59"/>
      <c r="Q906" s="124" t="e">
        <f>P906*#REF!</f>
        <v>#REF!</v>
      </c>
      <c r="R906" s="126">
        <v>45771</v>
      </c>
      <c r="S906" s="153">
        <f>IF(L906="","",L906-B906)</f>
        <v>2</v>
      </c>
      <c r="T906" s="153">
        <f>IF(N906="","",N906-L906)</f>
        <v>0</v>
      </c>
      <c r="U906" s="153">
        <f>IF(O906="","",O906-N906)</f>
        <v>0</v>
      </c>
      <c r="V906" s="154">
        <f>IF(O906="","",O906-B906)</f>
        <v>2</v>
      </c>
      <c r="W906" s="154">
        <f>IF(O906="","",O906-L906)</f>
        <v>0</v>
      </c>
      <c r="X906" s="154">
        <f>IF(R906="","",R906-B906)</f>
        <v>2</v>
      </c>
    </row>
    <row r="907" spans="2:24" ht="17.25" hidden="1" customHeight="1">
      <c r="B907" s="23">
        <v>45769</v>
      </c>
      <c r="C907" s="7">
        <v>2003667485</v>
      </c>
      <c r="D907" s="20">
        <v>147125</v>
      </c>
      <c r="E907" s="27" t="s">
        <v>126</v>
      </c>
      <c r="F907" s="7" t="s">
        <v>107</v>
      </c>
      <c r="G907" s="7" t="s">
        <v>26</v>
      </c>
      <c r="H907" s="7" t="s">
        <v>45</v>
      </c>
      <c r="I907" s="20" t="s">
        <v>1545</v>
      </c>
      <c r="J907" s="20" t="s">
        <v>1546</v>
      </c>
      <c r="K907" s="7" t="s">
        <v>119</v>
      </c>
      <c r="L907" s="61">
        <v>45772</v>
      </c>
      <c r="M907" s="7" t="s">
        <v>111</v>
      </c>
      <c r="N907" s="24">
        <v>45772</v>
      </c>
      <c r="O907" s="58">
        <v>45772</v>
      </c>
      <c r="P907" s="59"/>
      <c r="Q907" s="124" t="e">
        <f>P907*#REF!</f>
        <v>#REF!</v>
      </c>
      <c r="R907" s="126">
        <v>45772</v>
      </c>
      <c r="S907" s="153">
        <f>IF(L907="","",L907-B907)</f>
        <v>3</v>
      </c>
      <c r="T907" s="153">
        <f>IF(N907="","",N907-L907)</f>
        <v>0</v>
      </c>
      <c r="U907" s="153">
        <f>IF(O907="","",O907-N907)</f>
        <v>0</v>
      </c>
      <c r="V907" s="154">
        <f>IF(O907="","",O907-B907)</f>
        <v>3</v>
      </c>
      <c r="W907" s="154">
        <f>IF(O907="","",O907-L907)</f>
        <v>0</v>
      </c>
      <c r="X907" s="154">
        <f>IF(R907="","",R907-B907)</f>
        <v>3</v>
      </c>
    </row>
    <row r="908" spans="2:24" ht="17.25" hidden="1" customHeight="1">
      <c r="B908" s="23">
        <v>45769</v>
      </c>
      <c r="C908" s="7">
        <v>2003665241</v>
      </c>
      <c r="D908" s="20">
        <v>147205</v>
      </c>
      <c r="E908" s="27" t="s">
        <v>408</v>
      </c>
      <c r="F908" s="7" t="s">
        <v>107</v>
      </c>
      <c r="G908" s="7" t="s">
        <v>10</v>
      </c>
      <c r="H908" s="7" t="s">
        <v>45</v>
      </c>
      <c r="I908" s="20" t="s">
        <v>631</v>
      </c>
      <c r="J908" s="20" t="s">
        <v>1547</v>
      </c>
      <c r="K908" s="7" t="s">
        <v>110</v>
      </c>
      <c r="L908" s="61">
        <v>45772</v>
      </c>
      <c r="M908" s="7" t="s">
        <v>111</v>
      </c>
      <c r="N908" s="61">
        <v>45772</v>
      </c>
      <c r="O908" s="61">
        <v>45772</v>
      </c>
      <c r="P908" s="59"/>
      <c r="Q908" s="124" t="e">
        <f>P908*#REF!</f>
        <v>#REF!</v>
      </c>
      <c r="R908" s="126">
        <v>45772</v>
      </c>
      <c r="S908" s="153">
        <f>IF(L908="","",L908-B908)</f>
        <v>3</v>
      </c>
      <c r="T908" s="153">
        <f>IF(N908="","",N908-L908)</f>
        <v>0</v>
      </c>
      <c r="U908" s="153">
        <f>IF(O908="","",O908-N908)</f>
        <v>0</v>
      </c>
      <c r="V908" s="154">
        <f>IF(O908="","",O908-B908)</f>
        <v>3</v>
      </c>
      <c r="W908" s="154">
        <f>IF(O908="","",O908-L908)</f>
        <v>0</v>
      </c>
      <c r="X908" s="154">
        <f>IF(R908="","",R908-B908)</f>
        <v>3</v>
      </c>
    </row>
    <row r="909" spans="2:24" ht="17.25" hidden="1" customHeight="1">
      <c r="B909" s="23">
        <v>45771</v>
      </c>
      <c r="C909" s="7">
        <v>2003670319</v>
      </c>
      <c r="D909" s="20">
        <v>150207</v>
      </c>
      <c r="E909" s="27" t="s">
        <v>191</v>
      </c>
      <c r="F909" s="7" t="s">
        <v>107</v>
      </c>
      <c r="G909" s="7" t="s">
        <v>10</v>
      </c>
      <c r="H909" s="7" t="s">
        <v>45</v>
      </c>
      <c r="I909" s="20" t="s">
        <v>998</v>
      </c>
      <c r="J909" s="20" t="s">
        <v>1548</v>
      </c>
      <c r="K909" s="7" t="s">
        <v>110</v>
      </c>
      <c r="L909" s="61">
        <v>45777</v>
      </c>
      <c r="M909" s="7" t="s">
        <v>111</v>
      </c>
      <c r="N909" s="61">
        <v>45777</v>
      </c>
      <c r="O909" s="23">
        <v>45783</v>
      </c>
      <c r="P909" s="59"/>
      <c r="Q909" s="124" t="e">
        <f>P909*#REF!</f>
        <v>#REF!</v>
      </c>
      <c r="R909" s="126">
        <v>45783</v>
      </c>
      <c r="S909" s="153">
        <f>IF(L909="","",L909-B909)</f>
        <v>6</v>
      </c>
      <c r="T909" s="153">
        <f>IF(N909="","",N909-L909)</f>
        <v>0</v>
      </c>
      <c r="U909" s="153">
        <f>IF(O909="","",O909-N909)</f>
        <v>6</v>
      </c>
      <c r="V909" s="154">
        <f>IF(O909="","",O909-B909)</f>
        <v>12</v>
      </c>
      <c r="W909" s="154">
        <f>IF(O909="","",O909-L909)</f>
        <v>6</v>
      </c>
      <c r="X909" s="154">
        <f>IF(R909="","",R909-B909)</f>
        <v>12</v>
      </c>
    </row>
    <row r="910" spans="2:24" ht="17.25" hidden="1" customHeight="1">
      <c r="B910" s="23">
        <v>45772</v>
      </c>
      <c r="C910" s="7">
        <v>2003666699</v>
      </c>
      <c r="D910" s="20">
        <v>150781</v>
      </c>
      <c r="E910" s="27" t="s">
        <v>191</v>
      </c>
      <c r="F910" s="7" t="s">
        <v>107</v>
      </c>
      <c r="G910" s="7" t="s">
        <v>10</v>
      </c>
      <c r="H910" s="7" t="s">
        <v>45</v>
      </c>
      <c r="I910" s="20" t="s">
        <v>1549</v>
      </c>
      <c r="J910" s="20" t="s">
        <v>1550</v>
      </c>
      <c r="K910" s="7" t="s">
        <v>110</v>
      </c>
      <c r="L910" s="61">
        <v>45777</v>
      </c>
      <c r="M910" s="7" t="s">
        <v>111</v>
      </c>
      <c r="N910" s="61">
        <v>45777</v>
      </c>
      <c r="O910" s="24">
        <v>45782</v>
      </c>
      <c r="P910" s="59"/>
      <c r="Q910" s="124" t="e">
        <f>P910*#REF!</f>
        <v>#REF!</v>
      </c>
      <c r="R910" s="126">
        <v>45783</v>
      </c>
      <c r="S910" s="153">
        <f>IF(L910="","",L910-B910)</f>
        <v>5</v>
      </c>
      <c r="T910" s="153">
        <f>IF(N910="","",N910-L910)</f>
        <v>0</v>
      </c>
      <c r="U910" s="153">
        <f>IF(O910="","",O910-N910)</f>
        <v>5</v>
      </c>
      <c r="V910" s="154">
        <f>IF(O910="","",O910-B910)</f>
        <v>10</v>
      </c>
      <c r="W910" s="154">
        <f>IF(O910="","",O910-L910)</f>
        <v>5</v>
      </c>
      <c r="X910" s="154">
        <f>IF(R910="","",R910-B910)</f>
        <v>11</v>
      </c>
    </row>
    <row r="911" spans="2:24" ht="17.25" hidden="1" customHeight="1">
      <c r="B911" s="23">
        <v>45769</v>
      </c>
      <c r="C911" s="7">
        <v>2003667374</v>
      </c>
      <c r="D911" s="20">
        <v>146931</v>
      </c>
      <c r="E911" s="27" t="s">
        <v>116</v>
      </c>
      <c r="F911" s="7" t="s">
        <v>107</v>
      </c>
      <c r="G911" s="7" t="s">
        <v>10</v>
      </c>
      <c r="H911" s="7" t="s">
        <v>45</v>
      </c>
      <c r="I911" s="20" t="s">
        <v>1551</v>
      </c>
      <c r="J911" s="20" t="s">
        <v>1552</v>
      </c>
      <c r="K911" s="7" t="s">
        <v>110</v>
      </c>
      <c r="L911" s="61">
        <v>45771</v>
      </c>
      <c r="M911" s="7" t="s">
        <v>111</v>
      </c>
      <c r="N911" s="61">
        <v>45771</v>
      </c>
      <c r="O911" s="61">
        <v>45772</v>
      </c>
      <c r="P911" s="59"/>
      <c r="Q911" s="124" t="e">
        <f>P911*#REF!</f>
        <v>#REF!</v>
      </c>
      <c r="R911" s="126">
        <v>45772</v>
      </c>
      <c r="S911" s="153">
        <f>IF(L911="","",L911-B911)</f>
        <v>2</v>
      </c>
      <c r="T911" s="153">
        <f>IF(N911="","",N911-L911)</f>
        <v>0</v>
      </c>
      <c r="U911" s="153">
        <f>IF(O911="","",O911-N911)</f>
        <v>1</v>
      </c>
      <c r="V911" s="154">
        <f>IF(O911="","",O911-B911)</f>
        <v>3</v>
      </c>
      <c r="W911" s="154">
        <f>IF(O911="","",O911-L911)</f>
        <v>1</v>
      </c>
      <c r="X911" s="154">
        <f>IF(R911="","",R911-B911)</f>
        <v>3</v>
      </c>
    </row>
    <row r="912" spans="2:24" ht="17.25" hidden="1" customHeight="1">
      <c r="B912" s="23">
        <v>45769</v>
      </c>
      <c r="C912" s="7">
        <v>2003662459</v>
      </c>
      <c r="D912" s="20">
        <v>147014</v>
      </c>
      <c r="E912" s="27" t="s">
        <v>566</v>
      </c>
      <c r="F912" s="7" t="s">
        <v>107</v>
      </c>
      <c r="G912" s="7" t="s">
        <v>18</v>
      </c>
      <c r="H912" s="7" t="s">
        <v>45</v>
      </c>
      <c r="I912" s="20" t="s">
        <v>280</v>
      </c>
      <c r="J912" s="20" t="s">
        <v>1553</v>
      </c>
      <c r="K912" s="7" t="s">
        <v>110</v>
      </c>
      <c r="L912" s="61">
        <v>45771</v>
      </c>
      <c r="M912" s="7" t="s">
        <v>111</v>
      </c>
      <c r="N912" s="61">
        <v>45771</v>
      </c>
      <c r="O912" s="58">
        <v>45773</v>
      </c>
      <c r="P912" s="59"/>
      <c r="Q912" s="124" t="e">
        <f>P912*#REF!</f>
        <v>#REF!</v>
      </c>
      <c r="R912" s="126">
        <v>45776</v>
      </c>
      <c r="S912" s="153">
        <f>IF(L912="","",L912-B912)</f>
        <v>2</v>
      </c>
      <c r="T912" s="153">
        <f>IF(N912="","",N912-L912)</f>
        <v>0</v>
      </c>
      <c r="U912" s="153">
        <f>IF(O912="","",O912-N912)</f>
        <v>2</v>
      </c>
      <c r="V912" s="154">
        <f>IF(O912="","",O912-B912)</f>
        <v>4</v>
      </c>
      <c r="W912" s="154">
        <f>IF(O912="","",O912-L912)</f>
        <v>2</v>
      </c>
      <c r="X912" s="154">
        <f>IF(R912="","",R912-B912)</f>
        <v>7</v>
      </c>
    </row>
    <row r="913" spans="2:24" ht="17.25" hidden="1" customHeight="1">
      <c r="B913" s="23">
        <v>45769</v>
      </c>
      <c r="C913" s="7">
        <v>2003666001</v>
      </c>
      <c r="D913" s="20">
        <v>147002</v>
      </c>
      <c r="E913" s="27" t="s">
        <v>180</v>
      </c>
      <c r="F913" s="7" t="s">
        <v>107</v>
      </c>
      <c r="G913" s="7" t="s">
        <v>10</v>
      </c>
      <c r="H913" s="7" t="s">
        <v>45</v>
      </c>
      <c r="I913" s="20" t="s">
        <v>249</v>
      </c>
      <c r="J913" s="20" t="s">
        <v>1554</v>
      </c>
      <c r="K913" s="7" t="s">
        <v>110</v>
      </c>
      <c r="L913" s="61">
        <v>45775</v>
      </c>
      <c r="M913" s="7" t="s">
        <v>111</v>
      </c>
      <c r="N913" s="61">
        <v>45775</v>
      </c>
      <c r="O913" s="61">
        <v>45775</v>
      </c>
      <c r="P913" s="59"/>
      <c r="Q913" s="124" t="e">
        <f>P913*#REF!</f>
        <v>#REF!</v>
      </c>
      <c r="R913" s="126">
        <v>45776</v>
      </c>
      <c r="S913" s="153">
        <f>IF(L913="","",L913-B913)</f>
        <v>6</v>
      </c>
      <c r="T913" s="153">
        <f>IF(N913="","",N913-L913)</f>
        <v>0</v>
      </c>
      <c r="U913" s="153">
        <f>IF(O913="","",O913-N913)</f>
        <v>0</v>
      </c>
      <c r="V913" s="154">
        <f>IF(O913="","",O913-B913)</f>
        <v>6</v>
      </c>
      <c r="W913" s="154">
        <f>IF(O913="","",O913-L913)</f>
        <v>0</v>
      </c>
      <c r="X913" s="154">
        <f>IF(R913="","",R913-B913)</f>
        <v>7</v>
      </c>
    </row>
    <row r="914" spans="2:24" ht="17.25" hidden="1" customHeight="1">
      <c r="B914" s="23">
        <v>45769</v>
      </c>
      <c r="C914" s="7">
        <v>2003656035</v>
      </c>
      <c r="D914" s="20">
        <v>146787</v>
      </c>
      <c r="E914" s="27" t="s">
        <v>106</v>
      </c>
      <c r="F914" s="7" t="s">
        <v>107</v>
      </c>
      <c r="G914" s="7" t="s">
        <v>10</v>
      </c>
      <c r="H914" s="7" t="s">
        <v>45</v>
      </c>
      <c r="I914" s="20" t="s">
        <v>1555</v>
      </c>
      <c r="J914" s="20" t="s">
        <v>1556</v>
      </c>
      <c r="K914" s="7" t="s">
        <v>119</v>
      </c>
      <c r="L914" s="61">
        <v>45770</v>
      </c>
      <c r="M914" s="7" t="s">
        <v>111</v>
      </c>
      <c r="N914" s="61">
        <v>45770</v>
      </c>
      <c r="O914" s="61">
        <v>45770</v>
      </c>
      <c r="P914" s="59"/>
      <c r="Q914" s="124" t="e">
        <f>P914*#REF!</f>
        <v>#REF!</v>
      </c>
      <c r="R914" s="126">
        <v>45771</v>
      </c>
      <c r="S914" s="153">
        <f>IF(L914="","",L914-B914)</f>
        <v>1</v>
      </c>
      <c r="T914" s="153">
        <f>IF(N914="","",N914-L914)</f>
        <v>0</v>
      </c>
      <c r="U914" s="153">
        <f>IF(O914="","",O914-N914)</f>
        <v>0</v>
      </c>
      <c r="V914" s="154">
        <f>IF(O914="","",O914-B914)</f>
        <v>1</v>
      </c>
      <c r="W914" s="154">
        <f>IF(O914="","",O914-L914)</f>
        <v>0</v>
      </c>
      <c r="X914" s="154">
        <f>IF(R914="","",R914-B914)</f>
        <v>2</v>
      </c>
    </row>
    <row r="915" spans="2:24" ht="17.25" hidden="1" customHeight="1">
      <c r="B915" s="23">
        <v>45769</v>
      </c>
      <c r="C915" s="7">
        <v>2003664894</v>
      </c>
      <c r="D915" s="20">
        <v>146849</v>
      </c>
      <c r="E915" s="27" t="s">
        <v>116</v>
      </c>
      <c r="F915" s="7" t="s">
        <v>113</v>
      </c>
      <c r="G915" s="7" t="s">
        <v>70</v>
      </c>
      <c r="H915" s="7" t="s">
        <v>47</v>
      </c>
      <c r="I915" s="20" t="s">
        <v>1557</v>
      </c>
      <c r="J915" s="20" t="s">
        <v>1558</v>
      </c>
      <c r="K915" s="7" t="s">
        <v>160</v>
      </c>
      <c r="P915" s="59"/>
      <c r="Q915" s="124" t="e">
        <f>P915*#REF!</f>
        <v>#REF!</v>
      </c>
      <c r="R915" s="126">
        <v>45770</v>
      </c>
      <c r="S915" s="153" t="str">
        <f>IF(L915="","",L915-B915)</f>
        <v/>
      </c>
      <c r="T915" s="153" t="str">
        <f>IF(N915="","",N915-L915)</f>
        <v/>
      </c>
      <c r="U915" s="153" t="str">
        <f>IF(O915="","",O915-N915)</f>
        <v/>
      </c>
      <c r="V915" s="154" t="str">
        <f>IF(O915="","",O915-B915)</f>
        <v/>
      </c>
      <c r="W915" s="154" t="str">
        <f>IF(O915="","",O915-L915)</f>
        <v/>
      </c>
      <c r="X915" s="154">
        <f>IF(R915="","",R915-B915)</f>
        <v>1</v>
      </c>
    </row>
    <row r="916" spans="2:24" ht="17.25" hidden="1" customHeight="1">
      <c r="B916" s="23">
        <v>45769</v>
      </c>
      <c r="C916" s="7">
        <v>2003665435</v>
      </c>
      <c r="D916" s="20">
        <v>146749</v>
      </c>
      <c r="E916" s="27" t="s">
        <v>201</v>
      </c>
      <c r="F916" s="7" t="s">
        <v>107</v>
      </c>
      <c r="G916" s="7" t="s">
        <v>10</v>
      </c>
      <c r="H916" s="7" t="s">
        <v>45</v>
      </c>
      <c r="I916" s="20" t="s">
        <v>1559</v>
      </c>
      <c r="J916" s="20" t="s">
        <v>1560</v>
      </c>
      <c r="K916" s="7" t="s">
        <v>119</v>
      </c>
      <c r="L916" s="61">
        <v>45771</v>
      </c>
      <c r="M916" s="7" t="s">
        <v>111</v>
      </c>
      <c r="N916" s="61">
        <v>45772</v>
      </c>
      <c r="O916" s="61">
        <v>45772</v>
      </c>
      <c r="P916" s="59"/>
      <c r="Q916" s="124" t="e">
        <f>P916*#REF!</f>
        <v>#REF!</v>
      </c>
      <c r="R916" s="126">
        <v>45772</v>
      </c>
      <c r="S916" s="153">
        <f>IF(L916="","",L916-B916)</f>
        <v>2</v>
      </c>
      <c r="T916" s="153">
        <f>IF(N916="","",N916-L916)</f>
        <v>1</v>
      </c>
      <c r="U916" s="153">
        <f>IF(O916="","",O916-N916)</f>
        <v>0</v>
      </c>
      <c r="V916" s="154">
        <f>IF(O916="","",O916-B916)</f>
        <v>3</v>
      </c>
      <c r="W916" s="154">
        <f>IF(O916="","",O916-L916)</f>
        <v>1</v>
      </c>
      <c r="X916" s="154">
        <f>IF(R916="","",R916-B916)</f>
        <v>3</v>
      </c>
    </row>
    <row r="917" spans="2:24" ht="17.25" hidden="1" customHeight="1">
      <c r="B917" s="23">
        <v>45769</v>
      </c>
      <c r="C917" s="7">
        <v>2003666423</v>
      </c>
      <c r="D917" s="20">
        <v>146726</v>
      </c>
      <c r="E917" s="27" t="s">
        <v>180</v>
      </c>
      <c r="F917" s="7" t="s">
        <v>107</v>
      </c>
      <c r="G917" s="7" t="s">
        <v>10</v>
      </c>
      <c r="H917" s="7" t="s">
        <v>45</v>
      </c>
      <c r="I917" s="20" t="s">
        <v>398</v>
      </c>
      <c r="J917" s="20" t="s">
        <v>1561</v>
      </c>
      <c r="K917" s="7" t="s">
        <v>119</v>
      </c>
      <c r="L917" s="61">
        <v>45770</v>
      </c>
      <c r="M917" s="7" t="s">
        <v>111</v>
      </c>
      <c r="N917" s="61">
        <v>45770</v>
      </c>
      <c r="O917" s="61">
        <v>45770</v>
      </c>
      <c r="P917" s="59"/>
      <c r="Q917" s="124" t="e">
        <f>P917*#REF!</f>
        <v>#REF!</v>
      </c>
      <c r="R917" s="126">
        <v>45771</v>
      </c>
      <c r="S917" s="153">
        <f>IF(L917="","",L917-B917)</f>
        <v>1</v>
      </c>
      <c r="T917" s="153">
        <f>IF(N917="","",N917-L917)</f>
        <v>0</v>
      </c>
      <c r="U917" s="153">
        <f>IF(O917="","",O917-N917)</f>
        <v>0</v>
      </c>
      <c r="V917" s="154">
        <f>IF(O917="","",O917-B917)</f>
        <v>1</v>
      </c>
      <c r="W917" s="154">
        <f>IF(O917="","",O917-L917)</f>
        <v>0</v>
      </c>
      <c r="X917" s="154">
        <f>IF(R917="","",R917-B917)</f>
        <v>2</v>
      </c>
    </row>
    <row r="918" spans="2:24" ht="17.25" hidden="1" customHeight="1">
      <c r="B918" s="23">
        <v>45769</v>
      </c>
      <c r="C918" s="7">
        <v>2003666668</v>
      </c>
      <c r="D918" s="20">
        <v>146589</v>
      </c>
      <c r="E918" s="27" t="s">
        <v>1225</v>
      </c>
      <c r="F918" s="7" t="s">
        <v>107</v>
      </c>
      <c r="G918" s="7" t="s">
        <v>10</v>
      </c>
      <c r="H918" s="7" t="s">
        <v>45</v>
      </c>
      <c r="I918" s="20" t="s">
        <v>1562</v>
      </c>
      <c r="J918" s="20" t="s">
        <v>1563</v>
      </c>
      <c r="K918" s="7" t="s">
        <v>110</v>
      </c>
      <c r="L918" s="61">
        <v>45772</v>
      </c>
      <c r="M918" s="7" t="s">
        <v>111</v>
      </c>
      <c r="N918" s="61">
        <v>45772</v>
      </c>
      <c r="O918" s="61">
        <v>45772</v>
      </c>
      <c r="P918" s="59"/>
      <c r="Q918" s="124" t="e">
        <f>P918*#REF!</f>
        <v>#REF!</v>
      </c>
      <c r="R918" s="126">
        <v>45772</v>
      </c>
      <c r="S918" s="153">
        <f>IF(L918="","",L918-B918)</f>
        <v>3</v>
      </c>
      <c r="T918" s="153">
        <f>IF(N918="","",N918-L918)</f>
        <v>0</v>
      </c>
      <c r="U918" s="153">
        <f>IF(O918="","",O918-N918)</f>
        <v>0</v>
      </c>
      <c r="V918" s="154">
        <f>IF(O918="","",O918-B918)</f>
        <v>3</v>
      </c>
      <c r="W918" s="154">
        <f>IF(O918="","",O918-L918)</f>
        <v>0</v>
      </c>
      <c r="X918" s="154">
        <f>IF(R918="","",R918-B918)</f>
        <v>3</v>
      </c>
    </row>
    <row r="919" spans="2:24" ht="17.25" hidden="1" customHeight="1">
      <c r="B919" s="23">
        <v>45769</v>
      </c>
      <c r="C919" s="7">
        <v>2003665828</v>
      </c>
      <c r="D919" s="20">
        <v>146394</v>
      </c>
      <c r="E919" s="27" t="s">
        <v>149</v>
      </c>
      <c r="F919" s="7" t="s">
        <v>107</v>
      </c>
      <c r="G919" s="7" t="s">
        <v>10</v>
      </c>
      <c r="H919" s="7" t="s">
        <v>45</v>
      </c>
      <c r="I919" s="20" t="s">
        <v>623</v>
      </c>
      <c r="J919" s="20" t="s">
        <v>1564</v>
      </c>
      <c r="K919" s="7" t="s">
        <v>110</v>
      </c>
      <c r="L919" s="61">
        <v>45772</v>
      </c>
      <c r="M919" s="7" t="s">
        <v>111</v>
      </c>
      <c r="N919" s="61">
        <v>45772</v>
      </c>
      <c r="O919" s="61">
        <v>45772</v>
      </c>
      <c r="P919" s="59"/>
      <c r="Q919" s="124" t="e">
        <f>P919*#REF!</f>
        <v>#REF!</v>
      </c>
      <c r="R919" s="126">
        <v>45772</v>
      </c>
      <c r="S919" s="153">
        <f>IF(L919="","",L919-B919)</f>
        <v>3</v>
      </c>
      <c r="T919" s="153">
        <f>IF(N919="","",N919-L919)</f>
        <v>0</v>
      </c>
      <c r="U919" s="153">
        <f>IF(O919="","",O919-N919)</f>
        <v>0</v>
      </c>
      <c r="V919" s="154">
        <f>IF(O919="","",O919-B919)</f>
        <v>3</v>
      </c>
      <c r="W919" s="154">
        <f>IF(O919="","",O919-L919)</f>
        <v>0</v>
      </c>
      <c r="X919" s="154">
        <f>IF(R919="","",R919-B919)</f>
        <v>3</v>
      </c>
    </row>
    <row r="920" spans="2:24" ht="17.25" hidden="1" customHeight="1">
      <c r="B920" s="23">
        <v>45770</v>
      </c>
      <c r="C920" s="7">
        <v>2003628314</v>
      </c>
      <c r="D920" s="20">
        <v>5896188</v>
      </c>
      <c r="E920" s="27" t="s">
        <v>1225</v>
      </c>
      <c r="F920" s="7" t="s">
        <v>107</v>
      </c>
      <c r="G920" s="7" t="s">
        <v>15</v>
      </c>
      <c r="H920" s="7" t="s">
        <v>45</v>
      </c>
      <c r="I920" s="20" t="s">
        <v>1523</v>
      </c>
      <c r="J920" s="20" t="s">
        <v>1565</v>
      </c>
      <c r="K920" s="7" t="s">
        <v>119</v>
      </c>
      <c r="L920" s="61">
        <v>45770</v>
      </c>
      <c r="M920" s="7" t="s">
        <v>111</v>
      </c>
      <c r="N920" s="61">
        <v>45770</v>
      </c>
      <c r="O920" s="61">
        <v>45770</v>
      </c>
      <c r="P920" s="59"/>
      <c r="Q920" s="124" t="e">
        <f>P920*#REF!</f>
        <v>#REF!</v>
      </c>
      <c r="R920" s="126">
        <v>45771</v>
      </c>
      <c r="S920" s="153">
        <f>IF(L920="","",L920-B920)</f>
        <v>0</v>
      </c>
      <c r="T920" s="153">
        <f>IF(N920="","",N920-L920)</f>
        <v>0</v>
      </c>
      <c r="U920" s="153">
        <f>IF(O920="","",O920-N920)</f>
        <v>0</v>
      </c>
      <c r="V920" s="154">
        <f>IF(O920="","",O920-B920)</f>
        <v>0</v>
      </c>
      <c r="W920" s="154">
        <f>IF(O920="","",O920-L920)</f>
        <v>0</v>
      </c>
      <c r="X920" s="154">
        <f>IF(R920="","",R920-B920)</f>
        <v>1</v>
      </c>
    </row>
    <row r="921" spans="2:24" ht="17.25" hidden="1" customHeight="1">
      <c r="B921" s="23">
        <v>45770</v>
      </c>
      <c r="C921" s="7">
        <v>2003665971</v>
      </c>
      <c r="D921" s="20">
        <v>5895687</v>
      </c>
      <c r="E921" s="27" t="s">
        <v>198</v>
      </c>
      <c r="F921" s="7" t="s">
        <v>107</v>
      </c>
      <c r="G921" s="7" t="s">
        <v>10</v>
      </c>
      <c r="H921" s="7" t="s">
        <v>45</v>
      </c>
      <c r="I921" s="20" t="s">
        <v>1566</v>
      </c>
      <c r="J921" s="20" t="s">
        <v>1567</v>
      </c>
      <c r="K921" s="7" t="s">
        <v>119</v>
      </c>
      <c r="L921" s="61">
        <v>45775</v>
      </c>
      <c r="M921" s="7" t="s">
        <v>111</v>
      </c>
      <c r="N921" s="24">
        <v>45775</v>
      </c>
      <c r="O921" s="58">
        <v>45777</v>
      </c>
      <c r="P921" s="59"/>
      <c r="Q921" s="124" t="e">
        <f>P921*#REF!</f>
        <v>#REF!</v>
      </c>
      <c r="R921" s="126">
        <v>45777</v>
      </c>
      <c r="S921" s="153">
        <f>IF(L921="","",L921-B921)</f>
        <v>5</v>
      </c>
      <c r="T921" s="153">
        <f>IF(N921="","",N921-L921)</f>
        <v>0</v>
      </c>
      <c r="U921" s="153">
        <f>IF(O921="","",O921-N921)</f>
        <v>2</v>
      </c>
      <c r="V921" s="154">
        <f>IF(O921="","",O921-B921)</f>
        <v>7</v>
      </c>
      <c r="W921" s="154">
        <f>IF(O921="","",O921-L921)</f>
        <v>2</v>
      </c>
      <c r="X921" s="154">
        <f>IF(R921="","",R921-B921)</f>
        <v>7</v>
      </c>
    </row>
    <row r="922" spans="2:24" ht="17.25" hidden="1" customHeight="1">
      <c r="B922" s="23">
        <v>45770</v>
      </c>
      <c r="C922" s="7">
        <v>2003664984</v>
      </c>
      <c r="D922" s="20">
        <v>5895783</v>
      </c>
      <c r="E922" s="27" t="s">
        <v>1225</v>
      </c>
      <c r="F922" s="7" t="s">
        <v>107</v>
      </c>
      <c r="G922" s="7" t="s">
        <v>10</v>
      </c>
      <c r="H922" s="7" t="s">
        <v>45</v>
      </c>
      <c r="I922" s="20" t="s">
        <v>1568</v>
      </c>
      <c r="J922" s="20" t="s">
        <v>1569</v>
      </c>
      <c r="K922" s="7" t="s">
        <v>110</v>
      </c>
      <c r="L922" s="61">
        <v>45772</v>
      </c>
      <c r="M922" s="7" t="s">
        <v>111</v>
      </c>
      <c r="N922" s="61">
        <v>45772</v>
      </c>
      <c r="O922" s="61">
        <v>45772</v>
      </c>
      <c r="P922" s="59"/>
      <c r="Q922" s="124" t="e">
        <f>P922*#REF!</f>
        <v>#REF!</v>
      </c>
      <c r="R922" s="126">
        <v>45772</v>
      </c>
      <c r="S922" s="153">
        <f>IF(L922="","",L922-B922)</f>
        <v>2</v>
      </c>
      <c r="T922" s="153">
        <f>IF(N922="","",N922-L922)</f>
        <v>0</v>
      </c>
      <c r="U922" s="153">
        <f>IF(O922="","",O922-N922)</f>
        <v>0</v>
      </c>
      <c r="V922" s="154">
        <f>IF(O922="","",O922-B922)</f>
        <v>2</v>
      </c>
      <c r="W922" s="154">
        <f>IF(O922="","",O922-L922)</f>
        <v>0</v>
      </c>
      <c r="X922" s="154">
        <f>IF(R922="","",R922-B922)</f>
        <v>2</v>
      </c>
    </row>
    <row r="923" spans="2:24" ht="17.25" hidden="1" customHeight="1">
      <c r="B923" s="23">
        <v>45770</v>
      </c>
      <c r="C923" s="7">
        <v>2003666948</v>
      </c>
      <c r="D923" s="20">
        <v>5895809</v>
      </c>
      <c r="E923" s="27" t="s">
        <v>123</v>
      </c>
      <c r="F923" s="7" t="s">
        <v>107</v>
      </c>
      <c r="G923" s="7" t="s">
        <v>10</v>
      </c>
      <c r="H923" s="7" t="s">
        <v>45</v>
      </c>
      <c r="I923" s="20" t="s">
        <v>1570</v>
      </c>
      <c r="J923" s="20" t="s">
        <v>1571</v>
      </c>
      <c r="K923" s="7" t="s">
        <v>110</v>
      </c>
      <c r="L923" s="61">
        <v>45772</v>
      </c>
      <c r="M923" s="7" t="s">
        <v>111</v>
      </c>
      <c r="N923" s="61">
        <v>45772</v>
      </c>
      <c r="O923" s="61">
        <v>45772</v>
      </c>
      <c r="P923" s="59"/>
      <c r="Q923" s="124" t="e">
        <f>P923*#REF!</f>
        <v>#REF!</v>
      </c>
      <c r="R923" s="126">
        <v>45772</v>
      </c>
      <c r="S923" s="153">
        <f>IF(L923="","",L923-B923)</f>
        <v>2</v>
      </c>
      <c r="T923" s="153">
        <f>IF(N923="","",N923-L923)</f>
        <v>0</v>
      </c>
      <c r="U923" s="153">
        <f>IF(O923="","",O923-N923)</f>
        <v>0</v>
      </c>
      <c r="V923" s="154">
        <f>IF(O923="","",O923-B923)</f>
        <v>2</v>
      </c>
      <c r="W923" s="154">
        <f>IF(O923="","",O923-L923)</f>
        <v>0</v>
      </c>
      <c r="X923" s="154">
        <f>IF(R923="","",R923-B923)</f>
        <v>2</v>
      </c>
    </row>
    <row r="924" spans="2:24" ht="17.25" hidden="1" customHeight="1">
      <c r="B924" s="23">
        <v>45770</v>
      </c>
      <c r="C924" s="7">
        <v>2003667300</v>
      </c>
      <c r="D924" s="20">
        <v>5895813</v>
      </c>
      <c r="E924" s="27" t="s">
        <v>123</v>
      </c>
      <c r="F924" s="7" t="s">
        <v>107</v>
      </c>
      <c r="G924" s="7" t="s">
        <v>10</v>
      </c>
      <c r="H924" s="7" t="s">
        <v>45</v>
      </c>
      <c r="I924" s="20" t="s">
        <v>1572</v>
      </c>
      <c r="J924" s="20" t="s">
        <v>1573</v>
      </c>
      <c r="K924" s="7" t="s">
        <v>119</v>
      </c>
      <c r="L924" s="61">
        <v>45777</v>
      </c>
      <c r="M924" s="7" t="s">
        <v>111</v>
      </c>
      <c r="N924" s="61">
        <v>45777</v>
      </c>
      <c r="O924" s="61">
        <v>45777</v>
      </c>
      <c r="P924" s="59"/>
      <c r="Q924" s="124" t="e">
        <f>P924*#REF!</f>
        <v>#REF!</v>
      </c>
      <c r="R924" s="126">
        <v>45777</v>
      </c>
      <c r="S924" s="153">
        <f>IF(L924="","",L924-B924)</f>
        <v>7</v>
      </c>
      <c r="T924" s="153">
        <f>IF(N924="","",N924-L924)</f>
        <v>0</v>
      </c>
      <c r="U924" s="153">
        <f>IF(O924="","",O924-N924)</f>
        <v>0</v>
      </c>
      <c r="V924" s="154">
        <f>IF(O924="","",O924-B924)</f>
        <v>7</v>
      </c>
      <c r="W924" s="154">
        <f>IF(O924="","",O924-L924)</f>
        <v>0</v>
      </c>
      <c r="X924" s="154">
        <f>IF(R924="","",R924-B924)</f>
        <v>7</v>
      </c>
    </row>
    <row r="925" spans="2:24" ht="17.25" hidden="1" customHeight="1">
      <c r="B925" s="23">
        <v>45770</v>
      </c>
      <c r="C925" s="7">
        <v>2003667353</v>
      </c>
      <c r="D925" s="20">
        <v>5895816</v>
      </c>
      <c r="E925" s="27" t="s">
        <v>949</v>
      </c>
      <c r="F925" s="7" t="s">
        <v>107</v>
      </c>
      <c r="G925" s="7" t="s">
        <v>10</v>
      </c>
      <c r="H925" s="7" t="s">
        <v>45</v>
      </c>
      <c r="I925" s="20" t="s">
        <v>1348</v>
      </c>
      <c r="J925" s="20" t="s">
        <v>1574</v>
      </c>
      <c r="K925" s="7" t="s">
        <v>110</v>
      </c>
      <c r="L925" s="61">
        <v>45772</v>
      </c>
      <c r="M925" s="7" t="s">
        <v>111</v>
      </c>
      <c r="N925" s="61">
        <v>45772</v>
      </c>
      <c r="O925" s="61">
        <v>45772</v>
      </c>
      <c r="P925" s="59"/>
      <c r="Q925" s="124" t="e">
        <f>P925*#REF!</f>
        <v>#REF!</v>
      </c>
      <c r="R925" s="126">
        <v>45772</v>
      </c>
      <c r="S925" s="153">
        <f>IF(L925="","",L925-B925)</f>
        <v>2</v>
      </c>
      <c r="T925" s="153">
        <f>IF(N925="","",N925-L925)</f>
        <v>0</v>
      </c>
      <c r="U925" s="153">
        <f>IF(O925="","",O925-N925)</f>
        <v>0</v>
      </c>
      <c r="V925" s="154">
        <f>IF(O925="","",O925-B925)</f>
        <v>2</v>
      </c>
      <c r="W925" s="154">
        <f>IF(O925="","",O925-L925)</f>
        <v>0</v>
      </c>
      <c r="X925" s="154">
        <f>IF(R925="","",R925-B925)</f>
        <v>2</v>
      </c>
    </row>
    <row r="926" spans="2:24" ht="17.25" hidden="1" customHeight="1">
      <c r="B926" s="23">
        <v>45772</v>
      </c>
      <c r="C926" s="7">
        <v>2003636452</v>
      </c>
      <c r="D926" s="20">
        <v>150955</v>
      </c>
      <c r="E926" s="27" t="s">
        <v>180</v>
      </c>
      <c r="F926" s="7" t="s">
        <v>107</v>
      </c>
      <c r="G926" s="7" t="s">
        <v>30</v>
      </c>
      <c r="H926" s="7" t="s">
        <v>45</v>
      </c>
      <c r="I926" s="20" t="s">
        <v>1575</v>
      </c>
      <c r="J926" s="20" t="s">
        <v>1576</v>
      </c>
      <c r="K926" s="7" t="s">
        <v>111</v>
      </c>
      <c r="L926" s="61">
        <v>45776</v>
      </c>
      <c r="M926" s="7" t="s">
        <v>111</v>
      </c>
      <c r="N926" s="61">
        <v>45776</v>
      </c>
      <c r="O926" s="23">
        <v>45791</v>
      </c>
      <c r="P926" s="59"/>
      <c r="Q926" s="124" t="e">
        <f>P926*#REF!</f>
        <v>#REF!</v>
      </c>
      <c r="R926" s="126">
        <v>45792</v>
      </c>
      <c r="S926" s="153">
        <f>IF(L926="","",L926-B926)</f>
        <v>4</v>
      </c>
      <c r="T926" s="153">
        <f>IF(N926="","",N926-L926)</f>
        <v>0</v>
      </c>
      <c r="U926" s="153">
        <f>IF(O926="","",O926-N926)</f>
        <v>15</v>
      </c>
      <c r="V926" s="154">
        <f>IF(O926="","",O926-B926)</f>
        <v>19</v>
      </c>
      <c r="W926" s="154">
        <f>IF(O926="","",O926-L926)</f>
        <v>15</v>
      </c>
      <c r="X926" s="154">
        <f>IF(R926="","",R926-B926)</f>
        <v>20</v>
      </c>
    </row>
    <row r="927" spans="2:24" ht="17.25" hidden="1" customHeight="1">
      <c r="B927" s="23">
        <v>45770</v>
      </c>
      <c r="C927" s="7">
        <v>2003668418</v>
      </c>
      <c r="D927" s="20">
        <v>5895842</v>
      </c>
      <c r="E927" s="27" t="s">
        <v>230</v>
      </c>
      <c r="F927" s="7" t="s">
        <v>107</v>
      </c>
      <c r="G927" s="7" t="s">
        <v>10</v>
      </c>
      <c r="H927" s="7" t="s">
        <v>45</v>
      </c>
      <c r="I927" s="20" t="s">
        <v>1577</v>
      </c>
      <c r="J927" s="20" t="s">
        <v>1578</v>
      </c>
      <c r="K927" s="7" t="s">
        <v>119</v>
      </c>
      <c r="L927" s="61">
        <v>45772</v>
      </c>
      <c r="M927" s="7" t="s">
        <v>111</v>
      </c>
      <c r="N927" s="61">
        <v>45772</v>
      </c>
      <c r="O927" s="58">
        <v>45776</v>
      </c>
      <c r="P927" s="59"/>
      <c r="Q927" s="124" t="e">
        <f>P927*#REF!</f>
        <v>#REF!</v>
      </c>
      <c r="R927" s="126">
        <v>45776</v>
      </c>
      <c r="S927" s="153">
        <f>IF(L927="","",L927-B927)</f>
        <v>2</v>
      </c>
      <c r="T927" s="153">
        <f>IF(N927="","",N927-L927)</f>
        <v>0</v>
      </c>
      <c r="U927" s="153">
        <f>IF(O927="","",O927-N927)</f>
        <v>4</v>
      </c>
      <c r="V927" s="154">
        <f>IF(O927="","",O927-B927)</f>
        <v>6</v>
      </c>
      <c r="W927" s="154">
        <f>IF(O927="","",O927-L927)</f>
        <v>4</v>
      </c>
      <c r="X927" s="154">
        <f>IF(R927="","",R927-B927)</f>
        <v>6</v>
      </c>
    </row>
    <row r="928" spans="2:24" ht="17.25" hidden="1" customHeight="1">
      <c r="B928" s="23">
        <v>45770</v>
      </c>
      <c r="C928" s="7">
        <v>2003652368</v>
      </c>
      <c r="D928" s="20">
        <v>5895847</v>
      </c>
      <c r="E928" s="27" t="s">
        <v>230</v>
      </c>
      <c r="F928" s="7" t="s">
        <v>107</v>
      </c>
      <c r="G928" s="7" t="s">
        <v>10</v>
      </c>
      <c r="H928" s="7" t="s">
        <v>45</v>
      </c>
      <c r="I928" s="20" t="s">
        <v>1577</v>
      </c>
      <c r="J928" s="20" t="s">
        <v>1578</v>
      </c>
      <c r="K928" s="7" t="s">
        <v>119</v>
      </c>
      <c r="L928" s="61">
        <v>45772</v>
      </c>
      <c r="M928" s="7" t="s">
        <v>111</v>
      </c>
      <c r="N928" s="61">
        <v>45772</v>
      </c>
      <c r="O928" s="58">
        <v>45776</v>
      </c>
      <c r="P928" s="59"/>
      <c r="Q928" s="124" t="e">
        <f>P928*#REF!</f>
        <v>#REF!</v>
      </c>
      <c r="R928" s="126">
        <v>45776</v>
      </c>
      <c r="S928" s="153">
        <f>IF(L928="","",L928-B928)</f>
        <v>2</v>
      </c>
      <c r="T928" s="153">
        <f>IF(N928="","",N928-L928)</f>
        <v>0</v>
      </c>
      <c r="U928" s="153">
        <f>IF(O928="","",O928-N928)</f>
        <v>4</v>
      </c>
      <c r="V928" s="154">
        <f>IF(O928="","",O928-B928)</f>
        <v>6</v>
      </c>
      <c r="W928" s="154">
        <f>IF(O928="","",O928-L928)</f>
        <v>4</v>
      </c>
      <c r="X928" s="154">
        <f>IF(R928="","",R928-B928)</f>
        <v>6</v>
      </c>
    </row>
    <row r="929" spans="2:24" ht="17.25" hidden="1" customHeight="1">
      <c r="B929" s="23">
        <v>45770</v>
      </c>
      <c r="C929" s="7">
        <v>2003665318</v>
      </c>
      <c r="D929" s="20">
        <v>5896178</v>
      </c>
      <c r="E929" s="27" t="s">
        <v>230</v>
      </c>
      <c r="F929" s="7" t="s">
        <v>107</v>
      </c>
      <c r="G929" s="7" t="s">
        <v>10</v>
      </c>
      <c r="H929" s="7" t="s">
        <v>45</v>
      </c>
      <c r="I929" s="20" t="s">
        <v>1519</v>
      </c>
      <c r="J929" s="20" t="s">
        <v>1579</v>
      </c>
      <c r="K929" s="7" t="s">
        <v>110</v>
      </c>
      <c r="L929" s="61">
        <v>45775</v>
      </c>
      <c r="M929" s="7" t="s">
        <v>111</v>
      </c>
      <c r="N929" s="61">
        <v>45775</v>
      </c>
      <c r="O929" s="61">
        <v>45775</v>
      </c>
      <c r="P929" s="59"/>
      <c r="Q929" s="124" t="e">
        <f>P929*#REF!</f>
        <v>#REF!</v>
      </c>
      <c r="R929" s="126">
        <v>45776</v>
      </c>
      <c r="S929" s="153">
        <f>IF(L929="","",L929-B929)</f>
        <v>5</v>
      </c>
      <c r="T929" s="153">
        <f>IF(N929="","",N929-L929)</f>
        <v>0</v>
      </c>
      <c r="U929" s="153">
        <f>IF(O929="","",O929-N929)</f>
        <v>0</v>
      </c>
      <c r="V929" s="154">
        <f>IF(O929="","",O929-B929)</f>
        <v>5</v>
      </c>
      <c r="W929" s="154">
        <f>IF(O929="","",O929-L929)</f>
        <v>0</v>
      </c>
      <c r="X929" s="154">
        <f>IF(R929="","",R929-B929)</f>
        <v>6</v>
      </c>
    </row>
    <row r="930" spans="2:24" ht="17.25" hidden="1" customHeight="1">
      <c r="B930" s="23">
        <v>45770</v>
      </c>
      <c r="C930" s="7">
        <v>2003665621</v>
      </c>
      <c r="D930" s="20">
        <v>5896272</v>
      </c>
      <c r="E930" s="27" t="s">
        <v>230</v>
      </c>
      <c r="F930" s="7" t="s">
        <v>107</v>
      </c>
      <c r="G930" s="7" t="s">
        <v>10</v>
      </c>
      <c r="H930" s="7" t="s">
        <v>45</v>
      </c>
      <c r="I930" s="20" t="s">
        <v>354</v>
      </c>
      <c r="J930" s="20" t="s">
        <v>1580</v>
      </c>
      <c r="K930" s="7" t="s">
        <v>119</v>
      </c>
      <c r="L930" s="61">
        <v>45772</v>
      </c>
      <c r="M930" s="7" t="s">
        <v>111</v>
      </c>
      <c r="N930" s="61">
        <v>45772</v>
      </c>
      <c r="O930" s="61">
        <v>45772</v>
      </c>
      <c r="P930" s="59"/>
      <c r="Q930" s="124" t="e">
        <f>P930*#REF!</f>
        <v>#REF!</v>
      </c>
      <c r="R930" s="126">
        <v>45772</v>
      </c>
      <c r="S930" s="153">
        <f>IF(L930="","",L930-B930)</f>
        <v>2</v>
      </c>
      <c r="T930" s="153">
        <f>IF(N930="","",N930-L930)</f>
        <v>0</v>
      </c>
      <c r="U930" s="153">
        <f>IF(O930="","",O930-N930)</f>
        <v>0</v>
      </c>
      <c r="V930" s="154">
        <f>IF(O930="","",O930-B930)</f>
        <v>2</v>
      </c>
      <c r="W930" s="154">
        <f>IF(O930="","",O930-L930)</f>
        <v>0</v>
      </c>
      <c r="X930" s="154">
        <f>IF(R930="","",R930-B930)</f>
        <v>2</v>
      </c>
    </row>
    <row r="931" spans="2:24" ht="17.25" hidden="1" customHeight="1">
      <c r="B931" s="23">
        <v>45770</v>
      </c>
      <c r="C931" s="7">
        <v>2003666172</v>
      </c>
      <c r="D931" s="20">
        <v>5896292</v>
      </c>
      <c r="E931" s="27" t="s">
        <v>138</v>
      </c>
      <c r="F931" s="7" t="s">
        <v>107</v>
      </c>
      <c r="G931" s="7" t="s">
        <v>10</v>
      </c>
      <c r="H931" s="7" t="s">
        <v>45</v>
      </c>
      <c r="I931" s="20" t="s">
        <v>1581</v>
      </c>
      <c r="J931" s="20" t="s">
        <v>1582</v>
      </c>
      <c r="K931" s="7" t="s">
        <v>119</v>
      </c>
      <c r="L931" s="61">
        <v>45777</v>
      </c>
      <c r="M931" s="7" t="s">
        <v>111</v>
      </c>
      <c r="N931" s="61">
        <v>45777</v>
      </c>
      <c r="O931" s="61">
        <v>45777</v>
      </c>
      <c r="P931" s="59"/>
      <c r="Q931" s="124" t="e">
        <f>P931*#REF!</f>
        <v>#REF!</v>
      </c>
      <c r="R931" s="126">
        <v>45777</v>
      </c>
      <c r="S931" s="153">
        <f>IF(L931="","",L931-B931)</f>
        <v>7</v>
      </c>
      <c r="T931" s="153">
        <f>IF(N931="","",N931-L931)</f>
        <v>0</v>
      </c>
      <c r="U931" s="153">
        <f>IF(O931="","",O931-N931)</f>
        <v>0</v>
      </c>
      <c r="V931" s="154">
        <f>IF(O931="","",O931-B931)</f>
        <v>7</v>
      </c>
      <c r="W931" s="154">
        <f>IF(O931="","",O931-L931)</f>
        <v>0</v>
      </c>
      <c r="X931" s="154">
        <f>IF(R931="","",R931-B931)</f>
        <v>7</v>
      </c>
    </row>
    <row r="932" spans="2:24" ht="17.25" hidden="1" customHeight="1">
      <c r="B932" s="23">
        <v>45772</v>
      </c>
      <c r="C932" s="7">
        <v>2003669098</v>
      </c>
      <c r="D932" s="20">
        <v>151021</v>
      </c>
      <c r="E932" s="27" t="s">
        <v>198</v>
      </c>
      <c r="F932" s="7" t="s">
        <v>107</v>
      </c>
      <c r="G932" s="7" t="s">
        <v>10</v>
      </c>
      <c r="H932" s="7" t="s">
        <v>45</v>
      </c>
      <c r="I932" s="20" t="s">
        <v>789</v>
      </c>
      <c r="J932" s="20" t="s">
        <v>1583</v>
      </c>
      <c r="K932" s="7" t="s">
        <v>119</v>
      </c>
      <c r="L932" s="61">
        <v>45785</v>
      </c>
      <c r="M932" s="7" t="s">
        <v>111</v>
      </c>
      <c r="N932" s="61">
        <v>45785</v>
      </c>
      <c r="O932" s="61">
        <v>45785</v>
      </c>
      <c r="P932" s="59"/>
      <c r="Q932" s="124" t="e">
        <f>P932*#REF!</f>
        <v>#REF!</v>
      </c>
      <c r="R932" s="126">
        <v>45786</v>
      </c>
      <c r="S932" s="153">
        <f>IF(L932="","",L932-B932)</f>
        <v>13</v>
      </c>
      <c r="T932" s="153">
        <f>IF(N932="","",N932-L932)</f>
        <v>0</v>
      </c>
      <c r="U932" s="153">
        <f>IF(O932="","",O932-N932)</f>
        <v>0</v>
      </c>
      <c r="V932" s="154">
        <f>IF(O932="","",O932-B932)</f>
        <v>13</v>
      </c>
      <c r="W932" s="154">
        <f>IF(O932="","",O932-L932)</f>
        <v>0</v>
      </c>
      <c r="X932" s="154">
        <f>IF(R932="","",R932-B932)</f>
        <v>14</v>
      </c>
    </row>
    <row r="933" spans="2:24" ht="17.25" hidden="1" customHeight="1">
      <c r="B933" s="23">
        <v>45770</v>
      </c>
      <c r="C933" s="7">
        <v>2003666621</v>
      </c>
      <c r="D933" s="20">
        <v>5896436</v>
      </c>
      <c r="E933" s="27" t="s">
        <v>116</v>
      </c>
      <c r="F933" s="7" t="s">
        <v>107</v>
      </c>
      <c r="G933" s="7" t="s">
        <v>10</v>
      </c>
      <c r="H933" s="7" t="s">
        <v>45</v>
      </c>
      <c r="I933" s="20" t="s">
        <v>735</v>
      </c>
      <c r="J933" s="20" t="s">
        <v>1584</v>
      </c>
      <c r="K933" s="7" t="s">
        <v>119</v>
      </c>
      <c r="L933" s="61">
        <v>45772</v>
      </c>
      <c r="M933" s="7" t="s">
        <v>111</v>
      </c>
      <c r="N933" s="61">
        <v>45772</v>
      </c>
      <c r="O933" s="61">
        <v>45772</v>
      </c>
      <c r="P933" s="59"/>
      <c r="Q933" s="124" t="e">
        <f>P933*#REF!</f>
        <v>#REF!</v>
      </c>
      <c r="R933" s="126">
        <v>45772</v>
      </c>
      <c r="S933" s="153">
        <f>IF(L933="","",L933-B933)</f>
        <v>2</v>
      </c>
      <c r="T933" s="153">
        <f>IF(N933="","",N933-L933)</f>
        <v>0</v>
      </c>
      <c r="U933" s="153">
        <f>IF(O933="","",O933-N933)</f>
        <v>0</v>
      </c>
      <c r="V933" s="154">
        <f>IF(O933="","",O933-B933)</f>
        <v>2</v>
      </c>
      <c r="W933" s="154">
        <f>IF(O933="","",O933-L933)</f>
        <v>0</v>
      </c>
      <c r="X933" s="154">
        <f>IF(R933="","",R933-B933)</f>
        <v>2</v>
      </c>
    </row>
    <row r="934" spans="2:24" ht="17.25" hidden="1" customHeight="1">
      <c r="B934" s="23">
        <v>45770</v>
      </c>
      <c r="C934" s="7">
        <v>2003669255</v>
      </c>
      <c r="D934" s="20">
        <v>5896445</v>
      </c>
      <c r="E934" s="27" t="s">
        <v>116</v>
      </c>
      <c r="F934" s="7" t="s">
        <v>107</v>
      </c>
      <c r="G934" s="7" t="s">
        <v>18</v>
      </c>
      <c r="H934" s="7" t="s">
        <v>45</v>
      </c>
      <c r="I934" s="20" t="s">
        <v>270</v>
      </c>
      <c r="J934" s="20" t="s">
        <v>436</v>
      </c>
      <c r="K934" s="7" t="s">
        <v>119</v>
      </c>
      <c r="L934" s="61">
        <v>45772</v>
      </c>
      <c r="M934" s="7" t="s">
        <v>111</v>
      </c>
      <c r="N934" s="61">
        <v>45772</v>
      </c>
      <c r="O934" s="58">
        <v>45776</v>
      </c>
      <c r="P934" s="59"/>
      <c r="Q934" s="124" t="e">
        <f>P934*#REF!</f>
        <v>#REF!</v>
      </c>
      <c r="R934" s="126">
        <v>45776</v>
      </c>
      <c r="S934" s="153">
        <f>IF(L934="","",L934-B934)</f>
        <v>2</v>
      </c>
      <c r="T934" s="153">
        <f>IF(N934="","",N934-L934)</f>
        <v>0</v>
      </c>
      <c r="U934" s="153">
        <f>IF(O934="","",O934-N934)</f>
        <v>4</v>
      </c>
      <c r="V934" s="154">
        <f>IF(O934="","",O934-B934)</f>
        <v>6</v>
      </c>
      <c r="W934" s="154">
        <f>IF(O934="","",O934-L934)</f>
        <v>4</v>
      </c>
      <c r="X934" s="154">
        <f>IF(R934="","",R934-B934)</f>
        <v>6</v>
      </c>
    </row>
    <row r="935" spans="2:24" ht="17.25" hidden="1" customHeight="1">
      <c r="B935" s="23">
        <v>45770</v>
      </c>
      <c r="C935" s="7">
        <v>2003666264</v>
      </c>
      <c r="D935" s="20">
        <v>5896499</v>
      </c>
      <c r="E935" s="27" t="s">
        <v>230</v>
      </c>
      <c r="F935" s="7" t="s">
        <v>107</v>
      </c>
      <c r="G935" s="7" t="s">
        <v>26</v>
      </c>
      <c r="H935" s="7" t="s">
        <v>45</v>
      </c>
      <c r="I935" s="20" t="s">
        <v>965</v>
      </c>
      <c r="J935" s="20" t="s">
        <v>1585</v>
      </c>
      <c r="K935" s="7" t="s">
        <v>110</v>
      </c>
      <c r="L935" s="61">
        <v>45772</v>
      </c>
      <c r="M935" s="7" t="s">
        <v>111</v>
      </c>
      <c r="N935" s="24">
        <v>45772</v>
      </c>
      <c r="O935" s="58">
        <v>45772</v>
      </c>
      <c r="P935" s="59"/>
      <c r="Q935" s="124" t="e">
        <f>P935*#REF!</f>
        <v>#REF!</v>
      </c>
      <c r="R935" s="126">
        <v>45772</v>
      </c>
      <c r="S935" s="153">
        <f>IF(L935="","",L935-B935)</f>
        <v>2</v>
      </c>
      <c r="T935" s="153">
        <f>IF(N935="","",N935-L935)</f>
        <v>0</v>
      </c>
      <c r="U935" s="153">
        <f>IF(O935="","",O935-N935)</f>
        <v>0</v>
      </c>
      <c r="V935" s="154">
        <f>IF(O935="","",O935-B935)</f>
        <v>2</v>
      </c>
      <c r="W935" s="154">
        <f>IF(O935="","",O935-L935)</f>
        <v>0</v>
      </c>
      <c r="X935" s="154">
        <f>IF(R935="","",R935-B935)</f>
        <v>2</v>
      </c>
    </row>
    <row r="936" spans="2:24" ht="17.25" hidden="1" customHeight="1">
      <c r="B936" s="23">
        <v>45834</v>
      </c>
      <c r="C936" s="7">
        <v>2003665201</v>
      </c>
      <c r="D936" s="20">
        <v>5896586</v>
      </c>
      <c r="E936" s="27" t="s">
        <v>185</v>
      </c>
      <c r="F936" s="7" t="s">
        <v>107</v>
      </c>
      <c r="G936" s="7" t="s">
        <v>10</v>
      </c>
      <c r="H936" s="7" t="s">
        <v>45</v>
      </c>
      <c r="I936" s="20" t="s">
        <v>1586</v>
      </c>
      <c r="J936" s="20" t="s">
        <v>1587</v>
      </c>
      <c r="K936" s="7" t="s">
        <v>110</v>
      </c>
      <c r="L936" s="61">
        <v>45782</v>
      </c>
      <c r="M936" s="7" t="s">
        <v>111</v>
      </c>
      <c r="N936" s="61">
        <v>45782</v>
      </c>
      <c r="O936" s="61">
        <v>45834</v>
      </c>
      <c r="P936" s="59"/>
      <c r="Q936" s="124" t="e">
        <f>P936*#REF!</f>
        <v>#REF!</v>
      </c>
      <c r="S936" s="153">
        <f>IF(L936="","",L936-B936)</f>
        <v>-52</v>
      </c>
      <c r="T936" s="153">
        <f>IF(N936="","",N936-L936)</f>
        <v>0</v>
      </c>
      <c r="U936" s="153">
        <f>IF(O936="","",O936-N936)</f>
        <v>52</v>
      </c>
      <c r="V936" s="154">
        <f>IF(O936="","",O936-B936)</f>
        <v>0</v>
      </c>
      <c r="W936" s="154">
        <f>IF(O936="","",O936-L936)</f>
        <v>52</v>
      </c>
      <c r="X936" s="154" t="str">
        <f>IF(R936="","",R936-B936)</f>
        <v/>
      </c>
    </row>
    <row r="937" spans="2:24" ht="17.25" hidden="1" customHeight="1">
      <c r="B937" s="23">
        <v>45770</v>
      </c>
      <c r="C937" s="7">
        <v>2003668350</v>
      </c>
      <c r="D937" s="20">
        <v>5896589</v>
      </c>
      <c r="E937" s="27" t="s">
        <v>185</v>
      </c>
      <c r="F937" s="7" t="s">
        <v>107</v>
      </c>
      <c r="G937" s="7" t="s">
        <v>10</v>
      </c>
      <c r="H937" s="7" t="s">
        <v>45</v>
      </c>
      <c r="I937" s="20" t="s">
        <v>1588</v>
      </c>
      <c r="J937" s="20" t="s">
        <v>1589</v>
      </c>
      <c r="K937" s="7" t="s">
        <v>110</v>
      </c>
      <c r="L937" s="61">
        <v>45772</v>
      </c>
      <c r="M937" s="7" t="s">
        <v>111</v>
      </c>
      <c r="N937" s="61">
        <v>45772</v>
      </c>
      <c r="O937" s="61">
        <v>45772</v>
      </c>
      <c r="P937" s="59"/>
      <c r="Q937" s="124" t="e">
        <f>P937*#REF!</f>
        <v>#REF!</v>
      </c>
      <c r="R937" s="126">
        <v>45772</v>
      </c>
      <c r="S937" s="153">
        <f>IF(L937="","",L937-B937)</f>
        <v>2</v>
      </c>
      <c r="T937" s="153">
        <f>IF(N937="","",N937-L937)</f>
        <v>0</v>
      </c>
      <c r="U937" s="153">
        <f>IF(O937="","",O937-N937)</f>
        <v>0</v>
      </c>
      <c r="V937" s="154">
        <f>IF(O937="","",O937-B937)</f>
        <v>2</v>
      </c>
      <c r="W937" s="154">
        <f>IF(O937="","",O937-L937)</f>
        <v>0</v>
      </c>
      <c r="X937" s="154">
        <f>IF(R937="","",R937-B937)</f>
        <v>2</v>
      </c>
    </row>
    <row r="938" spans="2:24" ht="17.25" hidden="1" customHeight="1">
      <c r="B938" s="23">
        <v>45770</v>
      </c>
      <c r="C938" s="7">
        <v>2003670231</v>
      </c>
      <c r="D938" s="20">
        <v>5896596</v>
      </c>
      <c r="E938" s="27" t="s">
        <v>201</v>
      </c>
      <c r="F938" s="7" t="s">
        <v>107</v>
      </c>
      <c r="G938" s="7" t="s">
        <v>10</v>
      </c>
      <c r="H938" s="7" t="s">
        <v>45</v>
      </c>
      <c r="I938" s="20" t="s">
        <v>1590</v>
      </c>
      <c r="J938" s="20" t="s">
        <v>1591</v>
      </c>
      <c r="K938" s="7" t="s">
        <v>119</v>
      </c>
      <c r="L938" s="61">
        <v>45776</v>
      </c>
      <c r="M938" s="7" t="s">
        <v>111</v>
      </c>
      <c r="N938" s="61">
        <v>45776</v>
      </c>
      <c r="O938" s="61">
        <v>45776</v>
      </c>
      <c r="P938" s="59"/>
      <c r="Q938" s="124" t="e">
        <f>P938*#REF!</f>
        <v>#REF!</v>
      </c>
      <c r="R938" s="126">
        <v>45777</v>
      </c>
      <c r="S938" s="153">
        <f>IF(L938="","",L938-B938)</f>
        <v>6</v>
      </c>
      <c r="T938" s="153">
        <f>IF(N938="","",N938-L938)</f>
        <v>0</v>
      </c>
      <c r="U938" s="153">
        <f>IF(O938="","",O938-N938)</f>
        <v>0</v>
      </c>
      <c r="V938" s="154">
        <f>IF(O938="","",O938-B938)</f>
        <v>6</v>
      </c>
      <c r="W938" s="154">
        <f>IF(O938="","",O938-L938)</f>
        <v>0</v>
      </c>
      <c r="X938" s="154">
        <f>IF(R938="","",R938-B938)</f>
        <v>7</v>
      </c>
    </row>
    <row r="939" spans="2:24" ht="17.25" hidden="1" customHeight="1">
      <c r="B939" s="23">
        <v>45772</v>
      </c>
      <c r="C939" s="7">
        <v>2003655782</v>
      </c>
      <c r="D939" s="20">
        <v>151048</v>
      </c>
      <c r="E939" s="27" t="s">
        <v>112</v>
      </c>
      <c r="F939" s="7" t="s">
        <v>107</v>
      </c>
      <c r="G939" s="7" t="s">
        <v>10</v>
      </c>
      <c r="H939" s="7" t="s">
        <v>45</v>
      </c>
      <c r="I939" s="20" t="s">
        <v>1592</v>
      </c>
      <c r="J939" s="20" t="s">
        <v>1593</v>
      </c>
      <c r="K939" s="7" t="s">
        <v>122</v>
      </c>
      <c r="L939" s="61">
        <v>45782</v>
      </c>
      <c r="M939" s="7" t="s">
        <v>111</v>
      </c>
      <c r="N939" s="24">
        <v>45783</v>
      </c>
      <c r="O939" s="24">
        <v>45783</v>
      </c>
      <c r="P939" s="59"/>
      <c r="Q939" s="124" t="e">
        <f>P939*#REF!</f>
        <v>#REF!</v>
      </c>
      <c r="R939" s="126">
        <v>45783</v>
      </c>
      <c r="S939" s="153">
        <f>IF(L939="","",L939-B939)</f>
        <v>10</v>
      </c>
      <c r="T939" s="153">
        <f>IF(N939="","",N939-L939)</f>
        <v>1</v>
      </c>
      <c r="U939" s="153">
        <f>IF(O939="","",O939-N939)</f>
        <v>0</v>
      </c>
      <c r="V939" s="154">
        <f>IF(O939="","",O939-B939)</f>
        <v>11</v>
      </c>
      <c r="W939" s="154">
        <f>IF(O939="","",O939-L939)</f>
        <v>1</v>
      </c>
      <c r="X939" s="154">
        <f>IF(R939="","",R939-B939)</f>
        <v>11</v>
      </c>
    </row>
    <row r="940" spans="2:24" ht="17.25" hidden="1" customHeight="1">
      <c r="B940" s="23">
        <v>45770</v>
      </c>
      <c r="C940" s="7">
        <v>2003642911</v>
      </c>
      <c r="D940" s="20">
        <v>5896675</v>
      </c>
      <c r="E940" s="27" t="s">
        <v>106</v>
      </c>
      <c r="F940" s="7" t="s">
        <v>107</v>
      </c>
      <c r="G940" s="7" t="s">
        <v>10</v>
      </c>
      <c r="H940" s="7" t="s">
        <v>45</v>
      </c>
      <c r="I940" s="20" t="s">
        <v>1594</v>
      </c>
      <c r="J940" s="20" t="s">
        <v>1297</v>
      </c>
      <c r="K940" s="7" t="s">
        <v>119</v>
      </c>
      <c r="L940" s="61">
        <v>45770</v>
      </c>
      <c r="M940" s="7" t="s">
        <v>111</v>
      </c>
      <c r="N940" s="61">
        <v>45772</v>
      </c>
      <c r="O940" s="58">
        <v>45776</v>
      </c>
      <c r="P940" s="59"/>
      <c r="Q940" s="124" t="e">
        <f>P940*#REF!</f>
        <v>#REF!</v>
      </c>
      <c r="R940" s="126">
        <v>45776</v>
      </c>
      <c r="S940" s="153">
        <f>IF(L940="","",L940-B940)</f>
        <v>0</v>
      </c>
      <c r="T940" s="153">
        <f>IF(N940="","",N940-L940)</f>
        <v>2</v>
      </c>
      <c r="U940" s="153">
        <f>IF(O940="","",O940-N940)</f>
        <v>4</v>
      </c>
      <c r="V940" s="154">
        <f>IF(O940="","",O940-B940)</f>
        <v>6</v>
      </c>
      <c r="W940" s="154">
        <f>IF(O940="","",O940-L940)</f>
        <v>6</v>
      </c>
      <c r="X940" s="154">
        <f>IF(R940="","",R940-B940)</f>
        <v>6</v>
      </c>
    </row>
    <row r="941" spans="2:24" ht="17.25" hidden="1" customHeight="1">
      <c r="B941" s="23">
        <v>45772</v>
      </c>
      <c r="C941" s="7">
        <v>2003672357</v>
      </c>
      <c r="D941" s="20">
        <v>151170</v>
      </c>
      <c r="E941" s="27" t="s">
        <v>201</v>
      </c>
      <c r="F941" s="7" t="s">
        <v>107</v>
      </c>
      <c r="G941" s="7" t="s">
        <v>10</v>
      </c>
      <c r="H941" s="7" t="s">
        <v>45</v>
      </c>
      <c r="I941" s="20" t="s">
        <v>1595</v>
      </c>
      <c r="J941" s="20" t="s">
        <v>1596</v>
      </c>
      <c r="K941" s="7" t="s">
        <v>119</v>
      </c>
      <c r="L941" s="61">
        <v>45776</v>
      </c>
      <c r="M941" s="7" t="s">
        <v>111</v>
      </c>
      <c r="N941" s="61">
        <v>45776</v>
      </c>
      <c r="O941" s="58">
        <v>45783</v>
      </c>
      <c r="P941" s="59"/>
      <c r="Q941" s="124" t="e">
        <f>P941*#REF!</f>
        <v>#REF!</v>
      </c>
      <c r="R941" s="126">
        <v>45783</v>
      </c>
      <c r="S941" s="153">
        <f>IF(L941="","",L941-B941)</f>
        <v>4</v>
      </c>
      <c r="T941" s="153">
        <f>IF(N941="","",N941-L941)</f>
        <v>0</v>
      </c>
      <c r="U941" s="153">
        <f>IF(O941="","",O941-N941)</f>
        <v>7</v>
      </c>
      <c r="V941" s="154">
        <f>IF(O941="","",O941-B941)</f>
        <v>11</v>
      </c>
      <c r="W941" s="154">
        <f>IF(O941="","",O941-L941)</f>
        <v>7</v>
      </c>
      <c r="X941" s="154">
        <f>IF(R941="","",R941-B941)</f>
        <v>11</v>
      </c>
    </row>
    <row r="942" spans="2:24" ht="17.25" hidden="1" customHeight="1">
      <c r="B942" s="23">
        <v>45770</v>
      </c>
      <c r="C942" s="7">
        <v>2003667429</v>
      </c>
      <c r="D942" s="20">
        <v>5896729</v>
      </c>
      <c r="E942" s="27" t="s">
        <v>949</v>
      </c>
      <c r="F942" s="7" t="s">
        <v>107</v>
      </c>
      <c r="G942" s="7" t="s">
        <v>10</v>
      </c>
      <c r="H942" s="7" t="s">
        <v>45</v>
      </c>
      <c r="I942" s="20" t="s">
        <v>1310</v>
      </c>
      <c r="J942" s="20" t="s">
        <v>1311</v>
      </c>
      <c r="K942" s="7" t="s">
        <v>110</v>
      </c>
      <c r="L942" s="61">
        <v>45771</v>
      </c>
      <c r="M942" s="7" t="s">
        <v>111</v>
      </c>
      <c r="N942" s="24">
        <v>45771</v>
      </c>
      <c r="O942" s="58">
        <v>45771</v>
      </c>
      <c r="P942" s="59"/>
      <c r="Q942" s="124" t="e">
        <f>P942*#REF!</f>
        <v>#REF!</v>
      </c>
      <c r="R942" s="126">
        <v>45771</v>
      </c>
      <c r="S942" s="153">
        <f>IF(L942="","",L942-B942)</f>
        <v>1</v>
      </c>
      <c r="T942" s="153">
        <f>IF(N942="","",N942-L942)</f>
        <v>0</v>
      </c>
      <c r="U942" s="153">
        <f>IF(O942="","",O942-N942)</f>
        <v>0</v>
      </c>
      <c r="V942" s="154">
        <f>IF(O942="","",O942-B942)</f>
        <v>1</v>
      </c>
      <c r="W942" s="154">
        <f>IF(O942="","",O942-L942)</f>
        <v>0</v>
      </c>
      <c r="X942" s="154">
        <f>IF(R942="","",R942-B942)</f>
        <v>1</v>
      </c>
    </row>
    <row r="943" spans="2:24" ht="17.25" hidden="1" customHeight="1">
      <c r="B943" s="23">
        <v>45770</v>
      </c>
      <c r="C943" s="7">
        <v>2003669624</v>
      </c>
      <c r="D943" s="20">
        <v>5896730</v>
      </c>
      <c r="E943" s="27" t="s">
        <v>201</v>
      </c>
      <c r="F943" s="7" t="s">
        <v>107</v>
      </c>
      <c r="G943" s="7" t="s">
        <v>10</v>
      </c>
      <c r="H943" s="7" t="s">
        <v>45</v>
      </c>
      <c r="I943" s="20" t="s">
        <v>453</v>
      </c>
      <c r="J943" s="20" t="s">
        <v>1597</v>
      </c>
      <c r="K943" s="7" t="s">
        <v>119</v>
      </c>
      <c r="L943" s="61">
        <v>45777</v>
      </c>
      <c r="M943" s="7" t="s">
        <v>111</v>
      </c>
      <c r="N943" s="61">
        <v>45777</v>
      </c>
      <c r="O943" s="61">
        <v>45777</v>
      </c>
      <c r="P943" s="59"/>
      <c r="Q943" s="124" t="e">
        <f>P943*#REF!</f>
        <v>#REF!</v>
      </c>
      <c r="R943" s="126">
        <v>45777</v>
      </c>
      <c r="S943" s="153">
        <f>IF(L943="","",L943-B943)</f>
        <v>7</v>
      </c>
      <c r="T943" s="153">
        <f>IF(N943="","",N943-L943)</f>
        <v>0</v>
      </c>
      <c r="U943" s="153">
        <f>IF(O943="","",O943-N943)</f>
        <v>0</v>
      </c>
      <c r="V943" s="154">
        <f>IF(O943="","",O943-B943)</f>
        <v>7</v>
      </c>
      <c r="W943" s="154">
        <f>IF(O943="","",O943-L943)</f>
        <v>0</v>
      </c>
      <c r="X943" s="154">
        <f>IF(R943="","",R943-B943)</f>
        <v>7</v>
      </c>
    </row>
    <row r="944" spans="2:24" ht="17.25" hidden="1" customHeight="1">
      <c r="B944" s="23">
        <v>45770</v>
      </c>
      <c r="C944" s="7">
        <v>2003668704</v>
      </c>
      <c r="D944" s="20">
        <v>5896754</v>
      </c>
      <c r="E944" s="27" t="s">
        <v>149</v>
      </c>
      <c r="F944" s="7" t="s">
        <v>107</v>
      </c>
      <c r="G944" s="7" t="s">
        <v>10</v>
      </c>
      <c r="H944" s="7" t="s">
        <v>45</v>
      </c>
      <c r="I944" s="20" t="s">
        <v>466</v>
      </c>
      <c r="J944" s="20" t="s">
        <v>1598</v>
      </c>
      <c r="K944" s="7" t="s">
        <v>119</v>
      </c>
      <c r="L944" s="61">
        <v>45775</v>
      </c>
      <c r="M944" s="7" t="s">
        <v>111</v>
      </c>
      <c r="N944" s="61">
        <v>45775</v>
      </c>
      <c r="O944" s="61">
        <v>45775</v>
      </c>
      <c r="P944" s="59"/>
      <c r="Q944" s="124" t="e">
        <f>P944*#REF!</f>
        <v>#REF!</v>
      </c>
      <c r="R944" s="126">
        <v>45776</v>
      </c>
      <c r="S944" s="153">
        <f>IF(L944="","",L944-B944)</f>
        <v>5</v>
      </c>
      <c r="T944" s="153">
        <f>IF(N944="","",N944-L944)</f>
        <v>0</v>
      </c>
      <c r="U944" s="153">
        <f>IF(O944="","",O944-N944)</f>
        <v>0</v>
      </c>
      <c r="V944" s="154">
        <f>IF(O944="","",O944-B944)</f>
        <v>5</v>
      </c>
      <c r="W944" s="154">
        <f>IF(O944="","",O944-L944)</f>
        <v>0</v>
      </c>
      <c r="X944" s="154">
        <f>IF(R944="","",R944-B944)</f>
        <v>6</v>
      </c>
    </row>
    <row r="945" spans="2:24" ht="17.25" hidden="1" customHeight="1">
      <c r="B945" s="23">
        <v>45770</v>
      </c>
      <c r="C945" s="7">
        <v>2003665542</v>
      </c>
      <c r="D945" s="20">
        <v>5896769</v>
      </c>
      <c r="E945" s="27" t="s">
        <v>201</v>
      </c>
      <c r="F945" s="7" t="s">
        <v>107</v>
      </c>
      <c r="G945" s="7" t="s">
        <v>10</v>
      </c>
      <c r="H945" s="7" t="s">
        <v>45</v>
      </c>
      <c r="I945" s="20" t="s">
        <v>466</v>
      </c>
      <c r="J945" s="20" t="s">
        <v>1599</v>
      </c>
      <c r="K945" s="7" t="s">
        <v>110</v>
      </c>
      <c r="L945" s="61">
        <v>45772</v>
      </c>
      <c r="M945" s="7" t="s">
        <v>111</v>
      </c>
      <c r="N945" s="61">
        <v>45772</v>
      </c>
      <c r="O945" s="61">
        <v>45772</v>
      </c>
      <c r="P945" s="59"/>
      <c r="Q945" s="124" t="e">
        <f>P945*#REF!</f>
        <v>#REF!</v>
      </c>
      <c r="R945" s="126">
        <v>45772</v>
      </c>
      <c r="S945" s="153">
        <f>IF(L945="","",L945-B945)</f>
        <v>2</v>
      </c>
      <c r="T945" s="153">
        <f>IF(N945="","",N945-L945)</f>
        <v>0</v>
      </c>
      <c r="U945" s="153">
        <f>IF(O945="","",O945-N945)</f>
        <v>0</v>
      </c>
      <c r="V945" s="154">
        <f>IF(O945="","",O945-B945)</f>
        <v>2</v>
      </c>
      <c r="W945" s="154">
        <f>IF(O945="","",O945-L945)</f>
        <v>0</v>
      </c>
      <c r="X945" s="154">
        <f>IF(R945="","",R945-B945)</f>
        <v>2</v>
      </c>
    </row>
    <row r="946" spans="2:24" ht="17.25" hidden="1" customHeight="1">
      <c r="B946" s="23">
        <v>45770</v>
      </c>
      <c r="C946" s="7">
        <v>2003668716</v>
      </c>
      <c r="D946" s="20">
        <v>5896776</v>
      </c>
      <c r="E946" s="27" t="s">
        <v>191</v>
      </c>
      <c r="F946" s="7" t="s">
        <v>107</v>
      </c>
      <c r="G946" s="7" t="s">
        <v>10</v>
      </c>
      <c r="H946" s="7" t="s">
        <v>45</v>
      </c>
      <c r="I946" s="20" t="s">
        <v>1194</v>
      </c>
      <c r="J946" s="20" t="s">
        <v>1600</v>
      </c>
      <c r="K946" s="7" t="s">
        <v>110</v>
      </c>
      <c r="L946" s="61">
        <v>45775</v>
      </c>
      <c r="M946" s="7" t="s">
        <v>111</v>
      </c>
      <c r="N946" s="61">
        <v>45775</v>
      </c>
      <c r="O946" s="61">
        <v>45775</v>
      </c>
      <c r="P946" s="59"/>
      <c r="Q946" s="124" t="e">
        <f>P946*#REF!</f>
        <v>#REF!</v>
      </c>
      <c r="R946" s="126">
        <v>45776</v>
      </c>
      <c r="S946" s="153">
        <f>IF(L946="","",L946-B946)</f>
        <v>5</v>
      </c>
      <c r="T946" s="153">
        <f>IF(N946="","",N946-L946)</f>
        <v>0</v>
      </c>
      <c r="U946" s="153">
        <f>IF(O946="","",O946-N946)</f>
        <v>0</v>
      </c>
      <c r="V946" s="154">
        <f>IF(O946="","",O946-B946)</f>
        <v>5</v>
      </c>
      <c r="W946" s="154">
        <f>IF(O946="","",O946-L946)</f>
        <v>0</v>
      </c>
      <c r="X946" s="154">
        <f>IF(R946="","",R946-B946)</f>
        <v>6</v>
      </c>
    </row>
    <row r="947" spans="2:24" ht="17.25" hidden="1" customHeight="1">
      <c r="B947" s="23">
        <v>45770</v>
      </c>
      <c r="C947" s="7">
        <v>2003667978</v>
      </c>
      <c r="D947" s="20">
        <v>5896793</v>
      </c>
      <c r="E947" s="27" t="s">
        <v>1225</v>
      </c>
      <c r="F947" s="7" t="s">
        <v>107</v>
      </c>
      <c r="G947" s="7" t="s">
        <v>10</v>
      </c>
      <c r="H947" s="7" t="s">
        <v>45</v>
      </c>
      <c r="I947" s="20" t="s">
        <v>1308</v>
      </c>
      <c r="J947" s="20" t="s">
        <v>1601</v>
      </c>
      <c r="K947" s="7" t="s">
        <v>110</v>
      </c>
      <c r="L947" s="61">
        <v>45777</v>
      </c>
      <c r="M947" s="7" t="s">
        <v>111</v>
      </c>
      <c r="N947" s="61">
        <v>45777</v>
      </c>
      <c r="O947" s="61">
        <v>45777</v>
      </c>
      <c r="P947" s="59"/>
      <c r="Q947" s="124" t="e">
        <f>P947*#REF!</f>
        <v>#REF!</v>
      </c>
      <c r="R947" s="126">
        <v>45777</v>
      </c>
      <c r="S947" s="153">
        <f>IF(L947="","",L947-B947)</f>
        <v>7</v>
      </c>
      <c r="T947" s="153">
        <f>IF(N947="","",N947-L947)</f>
        <v>0</v>
      </c>
      <c r="U947" s="153">
        <f>IF(O947="","",O947-N947)</f>
        <v>0</v>
      </c>
      <c r="V947" s="154">
        <f>IF(O947="","",O947-B947)</f>
        <v>7</v>
      </c>
      <c r="W947" s="154">
        <f>IF(O947="","",O947-L947)</f>
        <v>0</v>
      </c>
      <c r="X947" s="154">
        <f>IF(R947="","",R947-B947)</f>
        <v>7</v>
      </c>
    </row>
    <row r="948" spans="2:24" ht="17.25" hidden="1" customHeight="1">
      <c r="B948" s="23">
        <v>45772</v>
      </c>
      <c r="C948" s="7">
        <v>2003665284</v>
      </c>
      <c r="D948" s="20">
        <v>151191</v>
      </c>
      <c r="E948" s="27" t="s">
        <v>1245</v>
      </c>
      <c r="F948" s="7" t="s">
        <v>107</v>
      </c>
      <c r="G948" s="7" t="s">
        <v>10</v>
      </c>
      <c r="H948" s="7" t="s">
        <v>45</v>
      </c>
      <c r="I948" s="20" t="s">
        <v>1602</v>
      </c>
      <c r="J948" s="20" t="s">
        <v>1603</v>
      </c>
      <c r="K948" s="7" t="s">
        <v>122</v>
      </c>
      <c r="L948" s="61">
        <v>45777</v>
      </c>
      <c r="M948" s="7" t="s">
        <v>111</v>
      </c>
      <c r="N948" s="24">
        <v>45778</v>
      </c>
      <c r="O948" s="24">
        <v>45778</v>
      </c>
      <c r="P948" s="59"/>
      <c r="Q948" s="124" t="e">
        <f>P948*#REF!</f>
        <v>#REF!</v>
      </c>
      <c r="R948" s="126">
        <v>45783</v>
      </c>
      <c r="S948" s="153">
        <f>IF(L948="","",L948-B948)</f>
        <v>5</v>
      </c>
      <c r="T948" s="153">
        <f>IF(N948="","",N948-L948)</f>
        <v>1</v>
      </c>
      <c r="U948" s="153">
        <f>IF(O948="","",O948-N948)</f>
        <v>0</v>
      </c>
      <c r="V948" s="154">
        <f>IF(O948="","",O948-B948)</f>
        <v>6</v>
      </c>
      <c r="W948" s="154">
        <f>IF(O948="","",O948-L948)</f>
        <v>1</v>
      </c>
      <c r="X948" s="154">
        <f>IF(R948="","",R948-B948)</f>
        <v>11</v>
      </c>
    </row>
    <row r="949" spans="2:24" ht="17.25" hidden="1" customHeight="1">
      <c r="B949" s="23">
        <v>45770</v>
      </c>
      <c r="C949" s="7">
        <v>2003665577</v>
      </c>
      <c r="D949" s="20">
        <v>5896798</v>
      </c>
      <c r="E949" s="27" t="s">
        <v>116</v>
      </c>
      <c r="F949" s="7" t="s">
        <v>107</v>
      </c>
      <c r="G949" s="7" t="s">
        <v>10</v>
      </c>
      <c r="H949" s="7" t="s">
        <v>45</v>
      </c>
      <c r="I949" s="20" t="s">
        <v>1310</v>
      </c>
      <c r="J949" s="20" t="s">
        <v>1604</v>
      </c>
      <c r="K949" s="7" t="s">
        <v>119</v>
      </c>
      <c r="L949" s="61">
        <v>45772</v>
      </c>
      <c r="M949" s="7" t="s">
        <v>111</v>
      </c>
      <c r="N949" s="61">
        <v>45772</v>
      </c>
      <c r="O949" s="58">
        <v>45776</v>
      </c>
      <c r="P949" s="59"/>
      <c r="Q949" s="124" t="e">
        <f>P949*#REF!</f>
        <v>#REF!</v>
      </c>
      <c r="R949" s="126">
        <v>45776</v>
      </c>
      <c r="S949" s="153">
        <f>IF(L949="","",L949-B949)</f>
        <v>2</v>
      </c>
      <c r="T949" s="153">
        <f>IF(N949="","",N949-L949)</f>
        <v>0</v>
      </c>
      <c r="U949" s="153">
        <f>IF(O949="","",O949-N949)</f>
        <v>4</v>
      </c>
      <c r="V949" s="154">
        <f>IF(O949="","",O949-B949)</f>
        <v>6</v>
      </c>
      <c r="W949" s="154">
        <f>IF(O949="","",O949-L949)</f>
        <v>4</v>
      </c>
      <c r="X949" s="154">
        <f>IF(R949="","",R949-B949)</f>
        <v>6</v>
      </c>
    </row>
    <row r="950" spans="2:24" ht="17.25" hidden="1" customHeight="1">
      <c r="B950" s="23">
        <v>45770</v>
      </c>
      <c r="C950" s="7">
        <v>2003665178</v>
      </c>
      <c r="D950" s="20">
        <v>5896801</v>
      </c>
      <c r="E950" s="27" t="s">
        <v>408</v>
      </c>
      <c r="F950" s="7" t="s">
        <v>107</v>
      </c>
      <c r="G950" s="7" t="s">
        <v>18</v>
      </c>
      <c r="H950" s="7" t="s">
        <v>45</v>
      </c>
      <c r="I950" s="20" t="s">
        <v>1605</v>
      </c>
      <c r="J950" s="20" t="s">
        <v>1606</v>
      </c>
      <c r="K950" s="7" t="s">
        <v>110</v>
      </c>
      <c r="L950" s="61">
        <v>45776</v>
      </c>
      <c r="M950" s="7" t="s">
        <v>111</v>
      </c>
      <c r="N950" s="24">
        <v>45777</v>
      </c>
      <c r="O950" s="24">
        <v>45777</v>
      </c>
      <c r="P950" s="59"/>
      <c r="Q950" s="124" t="e">
        <f>P950*#REF!</f>
        <v>#REF!</v>
      </c>
      <c r="R950" s="126">
        <v>45777</v>
      </c>
      <c r="S950" s="153">
        <f>IF(L950="","",L950-B950)</f>
        <v>6</v>
      </c>
      <c r="T950" s="153">
        <f>IF(N950="","",N950-L950)</f>
        <v>1</v>
      </c>
      <c r="U950" s="153">
        <f>IF(O950="","",O950-N950)</f>
        <v>0</v>
      </c>
      <c r="V950" s="154">
        <f>IF(O950="","",O950-B950)</f>
        <v>7</v>
      </c>
      <c r="W950" s="154">
        <f>IF(O950="","",O950-L950)</f>
        <v>1</v>
      </c>
      <c r="X950" s="154">
        <f>IF(R950="","",R950-B950)</f>
        <v>7</v>
      </c>
    </row>
    <row r="951" spans="2:24" ht="17.25" hidden="1" customHeight="1">
      <c r="B951" s="23">
        <v>45770</v>
      </c>
      <c r="C951" s="7">
        <v>2003668856</v>
      </c>
      <c r="D951" s="20">
        <v>5896812</v>
      </c>
      <c r="E951" s="27" t="s">
        <v>408</v>
      </c>
      <c r="F951" s="7" t="s">
        <v>107</v>
      </c>
      <c r="G951" s="7" t="s">
        <v>10</v>
      </c>
      <c r="H951" s="7" t="s">
        <v>45</v>
      </c>
      <c r="I951" s="20" t="s">
        <v>1607</v>
      </c>
      <c r="J951" s="20" t="s">
        <v>1608</v>
      </c>
      <c r="K951" s="7" t="s">
        <v>110</v>
      </c>
      <c r="L951" s="61">
        <v>45775</v>
      </c>
      <c r="M951" s="7" t="s">
        <v>111</v>
      </c>
      <c r="N951" s="61">
        <v>45775</v>
      </c>
      <c r="O951" s="61">
        <v>45775</v>
      </c>
      <c r="P951" s="59"/>
      <c r="Q951" s="124" t="e">
        <f>P951*#REF!</f>
        <v>#REF!</v>
      </c>
      <c r="R951" s="126">
        <v>45776</v>
      </c>
      <c r="S951" s="153">
        <f>IF(L951="","",L951-B951)</f>
        <v>5</v>
      </c>
      <c r="T951" s="153">
        <f>IF(N951="","",N951-L951)</f>
        <v>0</v>
      </c>
      <c r="U951" s="153">
        <f>IF(O951="","",O951-N951)</f>
        <v>0</v>
      </c>
      <c r="V951" s="154">
        <f>IF(O951="","",O951-B951)</f>
        <v>5</v>
      </c>
      <c r="W951" s="154">
        <f>IF(O951="","",O951-L951)</f>
        <v>0</v>
      </c>
      <c r="X951" s="154">
        <f>IF(R951="","",R951-B951)</f>
        <v>6</v>
      </c>
    </row>
    <row r="952" spans="2:24" ht="17.25" hidden="1" customHeight="1">
      <c r="B952" s="23">
        <v>45770</v>
      </c>
      <c r="C952" s="7">
        <v>2003665660</v>
      </c>
      <c r="D952" s="20">
        <v>5896819</v>
      </c>
      <c r="E952" s="27" t="s">
        <v>408</v>
      </c>
      <c r="F952" s="7" t="s">
        <v>107</v>
      </c>
      <c r="G952" s="7" t="s">
        <v>10</v>
      </c>
      <c r="H952" s="7" t="s">
        <v>45</v>
      </c>
      <c r="I952" s="20" t="s">
        <v>1609</v>
      </c>
      <c r="J952" s="20" t="s">
        <v>1610</v>
      </c>
      <c r="K952" s="7" t="s">
        <v>110</v>
      </c>
      <c r="L952" s="61">
        <v>45775</v>
      </c>
      <c r="M952" s="7" t="s">
        <v>111</v>
      </c>
      <c r="N952" s="61">
        <v>45775</v>
      </c>
      <c r="O952" s="61">
        <v>45775</v>
      </c>
      <c r="P952" s="59"/>
      <c r="Q952" s="124" t="e">
        <f>P952*#REF!</f>
        <v>#REF!</v>
      </c>
      <c r="R952" s="126">
        <v>45776</v>
      </c>
      <c r="S952" s="153">
        <f>IF(L952="","",L952-B952)</f>
        <v>5</v>
      </c>
      <c r="T952" s="153">
        <f>IF(N952="","",N952-L952)</f>
        <v>0</v>
      </c>
      <c r="U952" s="153">
        <f>IF(O952="","",O952-N952)</f>
        <v>0</v>
      </c>
      <c r="V952" s="154">
        <f>IF(O952="","",O952-B952)</f>
        <v>5</v>
      </c>
      <c r="W952" s="154">
        <f>IF(O952="","",O952-L952)</f>
        <v>0</v>
      </c>
      <c r="X952" s="154">
        <f>IF(R952="","",R952-B952)</f>
        <v>6</v>
      </c>
    </row>
    <row r="953" spans="2:24" ht="17.25" hidden="1" customHeight="1">
      <c r="B953" s="23">
        <v>45772</v>
      </c>
      <c r="C953" s="7">
        <v>2003668877</v>
      </c>
      <c r="D953" s="20">
        <v>151296</v>
      </c>
      <c r="E953" s="27" t="s">
        <v>566</v>
      </c>
      <c r="F953" s="7" t="s">
        <v>107</v>
      </c>
      <c r="G953" s="7" t="s">
        <v>10</v>
      </c>
      <c r="H953" s="7" t="s">
        <v>45</v>
      </c>
      <c r="I953" s="20" t="s">
        <v>1136</v>
      </c>
      <c r="J953" s="20" t="s">
        <v>1611</v>
      </c>
      <c r="K953" s="7" t="s">
        <v>119</v>
      </c>
      <c r="L953" s="61">
        <v>45784</v>
      </c>
      <c r="M953" s="7" t="s">
        <v>111</v>
      </c>
      <c r="N953" s="61">
        <v>45784</v>
      </c>
      <c r="O953" s="24">
        <v>45783</v>
      </c>
      <c r="P953" s="59"/>
      <c r="Q953" s="124" t="e">
        <f>P953*#REF!</f>
        <v>#REF!</v>
      </c>
      <c r="R953" s="126">
        <v>45786</v>
      </c>
      <c r="S953" s="153">
        <f>IF(L953="","",L953-B953)</f>
        <v>12</v>
      </c>
      <c r="T953" s="153">
        <f>IF(N953="","",N953-L953)</f>
        <v>0</v>
      </c>
      <c r="U953" s="153">
        <f>IF(O953="","",O953-N953)</f>
        <v>-1</v>
      </c>
      <c r="V953" s="154">
        <f>IF(O953="","",O953-B953)</f>
        <v>11</v>
      </c>
      <c r="W953" s="154">
        <f>IF(O953="","",O953-L953)</f>
        <v>-1</v>
      </c>
      <c r="X953" s="154">
        <f>IF(R953="","",R953-B953)</f>
        <v>14</v>
      </c>
    </row>
    <row r="954" spans="2:24" ht="17.25" hidden="1" customHeight="1">
      <c r="B954" s="23">
        <v>45770</v>
      </c>
      <c r="C954" s="7">
        <v>2003664929</v>
      </c>
      <c r="D954" s="20">
        <v>5896828</v>
      </c>
      <c r="E954" s="27" t="s">
        <v>1225</v>
      </c>
      <c r="F954" s="7" t="s">
        <v>107</v>
      </c>
      <c r="G954" s="7" t="s">
        <v>10</v>
      </c>
      <c r="H954" s="7" t="s">
        <v>45</v>
      </c>
      <c r="I954" s="20" t="s">
        <v>1612</v>
      </c>
      <c r="J954" s="20" t="s">
        <v>1613</v>
      </c>
      <c r="K954" s="7" t="s">
        <v>110</v>
      </c>
      <c r="L954" s="61">
        <v>45776</v>
      </c>
      <c r="M954" s="7" t="s">
        <v>111</v>
      </c>
      <c r="N954" s="61">
        <v>45776</v>
      </c>
      <c r="O954" s="58">
        <v>45777</v>
      </c>
      <c r="P954" s="59"/>
      <c r="Q954" s="124" t="e">
        <f>P954*#REF!</f>
        <v>#REF!</v>
      </c>
      <c r="R954" s="126">
        <v>45777</v>
      </c>
      <c r="S954" s="153">
        <f>IF(L954="","",L954-B954)</f>
        <v>6</v>
      </c>
      <c r="T954" s="153">
        <f>IF(N954="","",N954-L954)</f>
        <v>0</v>
      </c>
      <c r="U954" s="153">
        <f>IF(O954="","",O954-N954)</f>
        <v>1</v>
      </c>
      <c r="V954" s="154">
        <f>IF(O954="","",O954-B954)</f>
        <v>7</v>
      </c>
      <c r="W954" s="154">
        <f>IF(O954="","",O954-L954)</f>
        <v>1</v>
      </c>
      <c r="X954" s="154">
        <f>IF(R954="","",R954-B954)</f>
        <v>7</v>
      </c>
    </row>
    <row r="955" spans="2:24" ht="17.25" hidden="1" customHeight="1">
      <c r="B955" s="23">
        <v>45770</v>
      </c>
      <c r="C955" s="7">
        <v>2003608317</v>
      </c>
      <c r="D955" s="20">
        <v>5896831</v>
      </c>
      <c r="E955" s="27" t="s">
        <v>949</v>
      </c>
      <c r="F955" s="7" t="s">
        <v>107</v>
      </c>
      <c r="G955" s="7" t="s">
        <v>10</v>
      </c>
      <c r="H955" s="7" t="s">
        <v>45</v>
      </c>
      <c r="I955" s="20" t="s">
        <v>1614</v>
      </c>
      <c r="J955" s="20" t="s">
        <v>1615</v>
      </c>
      <c r="K955" s="7" t="s">
        <v>111</v>
      </c>
      <c r="L955" s="61">
        <v>45772</v>
      </c>
      <c r="M955" s="7" t="s">
        <v>111</v>
      </c>
      <c r="N955" s="61">
        <v>45772</v>
      </c>
      <c r="O955" s="58">
        <v>45776</v>
      </c>
      <c r="P955" s="59"/>
      <c r="Q955" s="124" t="e">
        <f>P955*#REF!</f>
        <v>#REF!</v>
      </c>
      <c r="R955" s="126">
        <v>45776</v>
      </c>
      <c r="S955" s="153">
        <f>IF(L955="","",L955-B955)</f>
        <v>2</v>
      </c>
      <c r="T955" s="153">
        <f>IF(N955="","",N955-L955)</f>
        <v>0</v>
      </c>
      <c r="U955" s="153">
        <f>IF(O955="","",O955-N955)</f>
        <v>4</v>
      </c>
      <c r="V955" s="154">
        <f>IF(O955="","",O955-B955)</f>
        <v>6</v>
      </c>
      <c r="W955" s="154">
        <f>IF(O955="","",O955-L955)</f>
        <v>4</v>
      </c>
      <c r="X955" s="154">
        <f>IF(R955="","",R955-B955)</f>
        <v>6</v>
      </c>
    </row>
    <row r="956" spans="2:24" ht="17.25" hidden="1" customHeight="1">
      <c r="B956" s="23">
        <v>45770</v>
      </c>
      <c r="C956" s="7">
        <v>2003669053</v>
      </c>
      <c r="D956" s="20">
        <v>5896852</v>
      </c>
      <c r="E956" s="27" t="s">
        <v>408</v>
      </c>
      <c r="F956" s="7" t="s">
        <v>107</v>
      </c>
      <c r="G956" s="7" t="s">
        <v>10</v>
      </c>
      <c r="H956" s="7" t="s">
        <v>45</v>
      </c>
      <c r="I956" s="20" t="s">
        <v>1616</v>
      </c>
      <c r="J956" s="20" t="s">
        <v>1617</v>
      </c>
      <c r="K956" s="7" t="s">
        <v>119</v>
      </c>
      <c r="L956" s="61">
        <v>45772</v>
      </c>
      <c r="M956" s="7" t="s">
        <v>111</v>
      </c>
      <c r="N956" s="61">
        <v>45772</v>
      </c>
      <c r="O956" s="61">
        <v>45772</v>
      </c>
      <c r="P956" s="59"/>
      <c r="Q956" s="124" t="e">
        <f>P956*#REF!</f>
        <v>#REF!</v>
      </c>
      <c r="R956" s="126">
        <v>45772</v>
      </c>
      <c r="S956" s="153">
        <f>IF(L956="","",L956-B956)</f>
        <v>2</v>
      </c>
      <c r="T956" s="153">
        <f>IF(N956="","",N956-L956)</f>
        <v>0</v>
      </c>
      <c r="U956" s="153">
        <f>IF(O956="","",O956-N956)</f>
        <v>0</v>
      </c>
      <c r="V956" s="154">
        <f>IF(O956="","",O956-B956)</f>
        <v>2</v>
      </c>
      <c r="W956" s="154">
        <f>IF(O956="","",O956-L956)</f>
        <v>0</v>
      </c>
      <c r="X956" s="154">
        <f>IF(R956="","",R956-B956)</f>
        <v>2</v>
      </c>
    </row>
    <row r="957" spans="2:24" ht="17.25" hidden="1" customHeight="1">
      <c r="B957" s="23">
        <v>45770</v>
      </c>
      <c r="C957" s="7">
        <v>2003668542</v>
      </c>
      <c r="D957" s="20">
        <v>5896856</v>
      </c>
      <c r="E957" s="27" t="s">
        <v>230</v>
      </c>
      <c r="F957" s="7" t="s">
        <v>107</v>
      </c>
      <c r="G957" s="7" t="s">
        <v>10</v>
      </c>
      <c r="H957" s="7" t="s">
        <v>45</v>
      </c>
      <c r="I957" s="20" t="s">
        <v>837</v>
      </c>
      <c r="J957" s="20" t="s">
        <v>1618</v>
      </c>
      <c r="K957" s="7" t="s">
        <v>110</v>
      </c>
      <c r="L957" s="61">
        <v>45772</v>
      </c>
      <c r="M957" s="7" t="s">
        <v>111</v>
      </c>
      <c r="N957" s="61">
        <v>45772</v>
      </c>
      <c r="O957" s="61">
        <v>45772</v>
      </c>
      <c r="P957" s="59"/>
      <c r="Q957" s="124" t="e">
        <f>P957*#REF!</f>
        <v>#REF!</v>
      </c>
      <c r="R957" s="126">
        <v>45772</v>
      </c>
      <c r="S957" s="153">
        <f>IF(L957="","",L957-B957)</f>
        <v>2</v>
      </c>
      <c r="T957" s="153">
        <f>IF(N957="","",N957-L957)</f>
        <v>0</v>
      </c>
      <c r="U957" s="153">
        <f>IF(O957="","",O957-N957)</f>
        <v>0</v>
      </c>
      <c r="V957" s="154">
        <f>IF(O957="","",O957-B957)</f>
        <v>2</v>
      </c>
      <c r="W957" s="154">
        <f>IF(O957="","",O957-L957)</f>
        <v>0</v>
      </c>
      <c r="X957" s="154">
        <f>IF(R957="","",R957-B957)</f>
        <v>2</v>
      </c>
    </row>
    <row r="958" spans="2:24" ht="17.25" hidden="1" customHeight="1">
      <c r="B958" s="23">
        <v>45772</v>
      </c>
      <c r="C958" s="7">
        <v>2003669990</v>
      </c>
      <c r="D958" s="20">
        <v>151410</v>
      </c>
      <c r="E958" s="27" t="s">
        <v>126</v>
      </c>
      <c r="F958" s="7" t="s">
        <v>107</v>
      </c>
      <c r="G958" s="7" t="s">
        <v>10</v>
      </c>
      <c r="H958" s="7" t="s">
        <v>45</v>
      </c>
      <c r="I958" s="20" t="s">
        <v>1619</v>
      </c>
      <c r="J958" s="20" t="s">
        <v>1620</v>
      </c>
      <c r="K958" s="7" t="s">
        <v>110</v>
      </c>
      <c r="L958" s="61">
        <v>45790</v>
      </c>
      <c r="M958" s="7" t="s">
        <v>111</v>
      </c>
      <c r="N958" s="61">
        <v>45790</v>
      </c>
      <c r="O958" s="61">
        <v>45790</v>
      </c>
      <c r="P958" s="59"/>
      <c r="Q958" s="124" t="e">
        <f>P958*#REF!</f>
        <v>#REF!</v>
      </c>
      <c r="R958" s="126">
        <v>45790</v>
      </c>
      <c r="S958" s="153">
        <f>IF(L958="","",L958-B958)</f>
        <v>18</v>
      </c>
      <c r="T958" s="153">
        <f>IF(N958="","",N958-L958)</f>
        <v>0</v>
      </c>
      <c r="U958" s="153">
        <f>IF(O958="","",O958-N958)</f>
        <v>0</v>
      </c>
      <c r="V958" s="154">
        <f>IF(O958="","",O958-B958)</f>
        <v>18</v>
      </c>
      <c r="W958" s="154">
        <f>IF(O958="","",O958-L958)</f>
        <v>0</v>
      </c>
      <c r="X958" s="154">
        <f>IF(R958="","",R958-B958)</f>
        <v>18</v>
      </c>
    </row>
    <row r="959" spans="2:24" ht="17.25" hidden="1" customHeight="1">
      <c r="B959" s="23">
        <v>45770</v>
      </c>
      <c r="C959" s="7">
        <v>2003669541</v>
      </c>
      <c r="D959" s="20">
        <v>5896886</v>
      </c>
      <c r="E959" s="27" t="s">
        <v>408</v>
      </c>
      <c r="F959" s="7" t="s">
        <v>107</v>
      </c>
      <c r="G959" s="7" t="s">
        <v>18</v>
      </c>
      <c r="H959" s="7" t="s">
        <v>45</v>
      </c>
      <c r="I959" s="20" t="s">
        <v>1621</v>
      </c>
      <c r="J959" s="20" t="s">
        <v>1622</v>
      </c>
      <c r="K959" s="7" t="s">
        <v>110</v>
      </c>
      <c r="L959" s="61">
        <v>45775</v>
      </c>
      <c r="M959" s="7" t="s">
        <v>111</v>
      </c>
      <c r="N959" s="61">
        <v>45775</v>
      </c>
      <c r="O959" s="61">
        <v>45775</v>
      </c>
      <c r="P959" s="59"/>
      <c r="Q959" s="124" t="e">
        <f>P959*#REF!</f>
        <v>#REF!</v>
      </c>
      <c r="R959" s="126">
        <v>45776</v>
      </c>
      <c r="S959" s="153">
        <f>IF(L959="","",L959-B959)</f>
        <v>5</v>
      </c>
      <c r="T959" s="153">
        <f>IF(N959="","",N959-L959)</f>
        <v>0</v>
      </c>
      <c r="U959" s="153">
        <f>IF(O959="","",O959-N959)</f>
        <v>0</v>
      </c>
      <c r="V959" s="154">
        <f>IF(O959="","",O959-B959)</f>
        <v>5</v>
      </c>
      <c r="W959" s="154">
        <f>IF(O959="","",O959-L959)</f>
        <v>0</v>
      </c>
      <c r="X959" s="154">
        <f>IF(R959="","",R959-B959)</f>
        <v>6</v>
      </c>
    </row>
    <row r="960" spans="2:24" ht="17.25" hidden="1" customHeight="1">
      <c r="B960" s="23">
        <v>45770</v>
      </c>
      <c r="C960" s="7">
        <v>2003668540</v>
      </c>
      <c r="D960" s="20">
        <v>5896899</v>
      </c>
      <c r="E960" s="27" t="s">
        <v>149</v>
      </c>
      <c r="F960" s="7" t="s">
        <v>107</v>
      </c>
      <c r="G960" s="7" t="s">
        <v>10</v>
      </c>
      <c r="H960" s="7" t="s">
        <v>45</v>
      </c>
      <c r="I960" s="20" t="s">
        <v>1623</v>
      </c>
      <c r="J960" s="20" t="s">
        <v>1624</v>
      </c>
      <c r="K960" s="7" t="s">
        <v>110</v>
      </c>
      <c r="L960" s="61">
        <v>45772</v>
      </c>
      <c r="M960" s="7" t="s">
        <v>111</v>
      </c>
      <c r="N960" s="61">
        <v>45772</v>
      </c>
      <c r="O960" s="61">
        <v>45772</v>
      </c>
      <c r="P960" s="59"/>
      <c r="Q960" s="124" t="e">
        <f>P960*#REF!</f>
        <v>#REF!</v>
      </c>
      <c r="R960" s="126">
        <v>45772</v>
      </c>
      <c r="S960" s="153">
        <f>IF(L960="","",L960-B960)</f>
        <v>2</v>
      </c>
      <c r="T960" s="153">
        <f>IF(N960="","",N960-L960)</f>
        <v>0</v>
      </c>
      <c r="U960" s="153">
        <f>IF(O960="","",O960-N960)</f>
        <v>0</v>
      </c>
      <c r="V960" s="154">
        <f>IF(O960="","",O960-B960)</f>
        <v>2</v>
      </c>
      <c r="W960" s="154">
        <f>IF(O960="","",O960-L960)</f>
        <v>0</v>
      </c>
      <c r="X960" s="154">
        <f>IF(R960="","",R960-B960)</f>
        <v>2</v>
      </c>
    </row>
    <row r="961" spans="2:24" ht="17.25" hidden="1" customHeight="1">
      <c r="B961" s="23">
        <v>45770</v>
      </c>
      <c r="C961" s="7">
        <v>2003666665</v>
      </c>
      <c r="D961" s="20">
        <v>5896904</v>
      </c>
      <c r="E961" s="27" t="s">
        <v>149</v>
      </c>
      <c r="F961" s="7" t="s">
        <v>107</v>
      </c>
      <c r="G961" s="7" t="s">
        <v>10</v>
      </c>
      <c r="H961" s="7" t="s">
        <v>45</v>
      </c>
      <c r="I961" s="20" t="s">
        <v>1005</v>
      </c>
      <c r="J961" s="20" t="s">
        <v>1625</v>
      </c>
      <c r="K961" s="7" t="s">
        <v>110</v>
      </c>
      <c r="L961" s="61">
        <v>45772</v>
      </c>
      <c r="M961" s="7" t="s">
        <v>111</v>
      </c>
      <c r="N961" s="61">
        <v>45772</v>
      </c>
      <c r="O961" s="61">
        <v>45772</v>
      </c>
      <c r="P961" s="59"/>
      <c r="Q961" s="124" t="e">
        <f>P961*#REF!</f>
        <v>#REF!</v>
      </c>
      <c r="R961" s="126">
        <v>45772</v>
      </c>
      <c r="S961" s="153">
        <f>IF(L961="","",L961-B961)</f>
        <v>2</v>
      </c>
      <c r="T961" s="153">
        <f>IF(N961="","",N961-L961)</f>
        <v>0</v>
      </c>
      <c r="U961" s="153">
        <f>IF(O961="","",O961-N961)</f>
        <v>0</v>
      </c>
      <c r="V961" s="154">
        <f>IF(O961="","",O961-B961)</f>
        <v>2</v>
      </c>
      <c r="W961" s="154">
        <f>IF(O961="","",O961-L961)</f>
        <v>0</v>
      </c>
      <c r="X961" s="154">
        <f>IF(R961="","",R961-B961)</f>
        <v>2</v>
      </c>
    </row>
    <row r="962" spans="2:24" ht="17.25" hidden="1" customHeight="1">
      <c r="B962" s="23">
        <v>45770</v>
      </c>
      <c r="C962" s="7">
        <v>2003666335</v>
      </c>
      <c r="D962" s="20">
        <v>5896918</v>
      </c>
      <c r="E962" s="27" t="s">
        <v>149</v>
      </c>
      <c r="F962" s="7" t="s">
        <v>107</v>
      </c>
      <c r="G962" s="7" t="s">
        <v>10</v>
      </c>
      <c r="H962" s="7" t="s">
        <v>45</v>
      </c>
      <c r="I962" s="20" t="s">
        <v>1626</v>
      </c>
      <c r="J962" s="20" t="s">
        <v>1627</v>
      </c>
      <c r="K962" s="7" t="s">
        <v>110</v>
      </c>
      <c r="L962" s="61">
        <v>45777</v>
      </c>
      <c r="M962" s="7" t="s">
        <v>111</v>
      </c>
      <c r="N962" s="61">
        <v>45777</v>
      </c>
      <c r="O962" s="61">
        <v>45777</v>
      </c>
      <c r="P962" s="59"/>
      <c r="Q962" s="124" t="e">
        <f>P962*#REF!</f>
        <v>#REF!</v>
      </c>
      <c r="R962" s="126">
        <v>45777</v>
      </c>
      <c r="S962" s="153">
        <f>IF(L962="","",L962-B962)</f>
        <v>7</v>
      </c>
      <c r="T962" s="153">
        <f>IF(N962="","",N962-L962)</f>
        <v>0</v>
      </c>
      <c r="U962" s="153">
        <f>IF(O962="","",O962-N962)</f>
        <v>0</v>
      </c>
      <c r="V962" s="154">
        <f>IF(O962="","",O962-B962)</f>
        <v>7</v>
      </c>
      <c r="W962" s="154">
        <f>IF(O962="","",O962-L962)</f>
        <v>0</v>
      </c>
      <c r="X962" s="154">
        <f>IF(R962="","",R962-B962)</f>
        <v>7</v>
      </c>
    </row>
    <row r="963" spans="2:24" ht="17.25" hidden="1" customHeight="1">
      <c r="B963" s="23">
        <v>45770</v>
      </c>
      <c r="C963" s="7">
        <v>2003667481</v>
      </c>
      <c r="D963" s="20">
        <v>5896923</v>
      </c>
      <c r="E963" s="27" t="s">
        <v>149</v>
      </c>
      <c r="F963" s="7" t="s">
        <v>107</v>
      </c>
      <c r="G963" s="7" t="s">
        <v>10</v>
      </c>
      <c r="H963" s="7" t="s">
        <v>45</v>
      </c>
      <c r="I963" s="20" t="s">
        <v>1628</v>
      </c>
      <c r="J963" s="20" t="s">
        <v>1629</v>
      </c>
      <c r="K963" s="7" t="s">
        <v>119</v>
      </c>
      <c r="L963" s="61">
        <v>45776</v>
      </c>
      <c r="M963" s="7" t="s">
        <v>111</v>
      </c>
      <c r="N963" s="61">
        <v>45776</v>
      </c>
      <c r="O963" s="61">
        <v>45776</v>
      </c>
      <c r="P963" s="59"/>
      <c r="Q963" s="124" t="e">
        <f>P963*#REF!</f>
        <v>#REF!</v>
      </c>
      <c r="R963" s="126">
        <v>45777</v>
      </c>
      <c r="S963" s="153">
        <f>IF(L963="","",L963-B963)</f>
        <v>6</v>
      </c>
      <c r="T963" s="153">
        <f>IF(N963="","",N963-L963)</f>
        <v>0</v>
      </c>
      <c r="U963" s="153">
        <f>IF(O963="","",O963-N963)</f>
        <v>0</v>
      </c>
      <c r="V963" s="154">
        <f>IF(O963="","",O963-B963)</f>
        <v>6</v>
      </c>
      <c r="W963" s="154">
        <f>IF(O963="","",O963-L963)</f>
        <v>0</v>
      </c>
      <c r="X963" s="154">
        <f>IF(R963="","",R963-B963)</f>
        <v>7</v>
      </c>
    </row>
    <row r="964" spans="2:24" ht="17.25" hidden="1" customHeight="1">
      <c r="B964" s="23">
        <v>45772</v>
      </c>
      <c r="C964" s="7">
        <v>2003665497</v>
      </c>
      <c r="D964" s="20">
        <v>151444</v>
      </c>
      <c r="E964" s="27" t="s">
        <v>138</v>
      </c>
      <c r="F964" s="7" t="s">
        <v>107</v>
      </c>
      <c r="G964" s="7" t="s">
        <v>26</v>
      </c>
      <c r="H964" s="7" t="s">
        <v>45</v>
      </c>
      <c r="I964" s="20" t="s">
        <v>186</v>
      </c>
      <c r="J964" s="20" t="s">
        <v>1630</v>
      </c>
      <c r="K964" s="7" t="s">
        <v>119</v>
      </c>
      <c r="L964" s="61">
        <v>45776</v>
      </c>
      <c r="M964" s="7" t="s">
        <v>111</v>
      </c>
      <c r="N964" s="24">
        <v>45782</v>
      </c>
      <c r="O964" s="58">
        <v>45782</v>
      </c>
      <c r="P964" s="59"/>
      <c r="Q964" s="124" t="e">
        <f>P964*#REF!</f>
        <v>#REF!</v>
      </c>
      <c r="R964" s="126">
        <v>45782</v>
      </c>
      <c r="S964" s="153">
        <f>IF(L964="","",L964-B964)</f>
        <v>4</v>
      </c>
      <c r="T964" s="153">
        <f>IF(N964="","",N964-L964)</f>
        <v>6</v>
      </c>
      <c r="U964" s="153">
        <f>IF(O964="","",O964-N964)</f>
        <v>0</v>
      </c>
      <c r="V964" s="154">
        <f>IF(O964="","",O964-B964)</f>
        <v>10</v>
      </c>
      <c r="W964" s="154">
        <f>IF(O964="","",O964-L964)</f>
        <v>6</v>
      </c>
      <c r="X964" s="154">
        <f>IF(R964="","",R964-B964)</f>
        <v>10</v>
      </c>
    </row>
    <row r="965" spans="2:24" ht="17.25" hidden="1" customHeight="1">
      <c r="B965" s="23">
        <v>45770</v>
      </c>
      <c r="C965" s="7">
        <v>2003666767</v>
      </c>
      <c r="D965" s="20">
        <v>148875</v>
      </c>
      <c r="E965" s="27" t="s">
        <v>123</v>
      </c>
      <c r="F965" s="7" t="s">
        <v>107</v>
      </c>
      <c r="G965" s="7" t="s">
        <v>10</v>
      </c>
      <c r="H965" s="7" t="s">
        <v>45</v>
      </c>
      <c r="I965" s="20" t="s">
        <v>1631</v>
      </c>
      <c r="J965" s="20" t="s">
        <v>1632</v>
      </c>
      <c r="K965" s="7" t="s">
        <v>119</v>
      </c>
      <c r="L965" s="61">
        <v>45772</v>
      </c>
      <c r="M965" s="7" t="s">
        <v>111</v>
      </c>
      <c r="N965" s="61">
        <v>45772</v>
      </c>
      <c r="O965" s="61">
        <v>45772</v>
      </c>
      <c r="P965" s="59"/>
      <c r="Q965" s="124" t="e">
        <f>P965*#REF!</f>
        <v>#REF!</v>
      </c>
      <c r="R965" s="126">
        <v>45772</v>
      </c>
      <c r="S965" s="153">
        <f>IF(L965="","",L965-B965)</f>
        <v>2</v>
      </c>
      <c r="T965" s="153">
        <f>IF(N965="","",N965-L965)</f>
        <v>0</v>
      </c>
      <c r="U965" s="153">
        <f>IF(O965="","",O965-N965)</f>
        <v>0</v>
      </c>
      <c r="V965" s="154">
        <f>IF(O965="","",O965-B965)</f>
        <v>2</v>
      </c>
      <c r="W965" s="154">
        <f>IF(O965="","",O965-L965)</f>
        <v>0</v>
      </c>
      <c r="X965" s="154">
        <f>IF(R965="","",R965-B965)</f>
        <v>2</v>
      </c>
    </row>
    <row r="966" spans="2:24" ht="17.25" hidden="1" customHeight="1">
      <c r="B966" s="23">
        <v>45770</v>
      </c>
      <c r="C966" s="7">
        <v>2003665559</v>
      </c>
      <c r="D966" s="20">
        <v>148873</v>
      </c>
      <c r="E966" s="27" t="s">
        <v>116</v>
      </c>
      <c r="F966" s="7" t="s">
        <v>107</v>
      </c>
      <c r="G966" s="7" t="s">
        <v>10</v>
      </c>
      <c r="H966" s="7" t="s">
        <v>45</v>
      </c>
      <c r="I966" s="20" t="s">
        <v>559</v>
      </c>
      <c r="J966" s="20" t="s">
        <v>1633</v>
      </c>
      <c r="K966" s="7" t="s">
        <v>119</v>
      </c>
      <c r="L966" s="61">
        <v>45777</v>
      </c>
      <c r="M966" s="7" t="s">
        <v>111</v>
      </c>
      <c r="N966" s="61">
        <v>45777</v>
      </c>
      <c r="O966" s="61">
        <v>45777</v>
      </c>
      <c r="P966" s="59"/>
      <c r="Q966" s="124" t="e">
        <f>P966*#REF!</f>
        <v>#REF!</v>
      </c>
      <c r="R966" s="126">
        <v>45777</v>
      </c>
      <c r="S966" s="153">
        <f>IF(L966="","",L966-B966)</f>
        <v>7</v>
      </c>
      <c r="T966" s="153">
        <f>IF(N966="","",N966-L966)</f>
        <v>0</v>
      </c>
      <c r="U966" s="153">
        <f>IF(O966="","",O966-N966)</f>
        <v>0</v>
      </c>
      <c r="V966" s="154">
        <f>IF(O966="","",O966-B966)</f>
        <v>7</v>
      </c>
      <c r="W966" s="154">
        <f>IF(O966="","",O966-L966)</f>
        <v>0</v>
      </c>
      <c r="X966" s="154">
        <f>IF(R966="","",R966-B966)</f>
        <v>7</v>
      </c>
    </row>
    <row r="967" spans="2:24" ht="17.25" hidden="1" customHeight="1">
      <c r="B967" s="23">
        <v>45775</v>
      </c>
      <c r="C967" s="7">
        <v>2003660634</v>
      </c>
      <c r="D967" s="20">
        <v>151526</v>
      </c>
      <c r="E967" s="27" t="s">
        <v>180</v>
      </c>
      <c r="F967" s="7" t="s">
        <v>107</v>
      </c>
      <c r="G967" s="7" t="s">
        <v>18</v>
      </c>
      <c r="H967" s="7" t="s">
        <v>45</v>
      </c>
      <c r="I967" s="20" t="s">
        <v>1075</v>
      </c>
      <c r="J967" s="20" t="s">
        <v>1528</v>
      </c>
      <c r="K967" s="7" t="s">
        <v>110</v>
      </c>
      <c r="L967" s="61">
        <v>45782</v>
      </c>
      <c r="M967" s="7" t="s">
        <v>111</v>
      </c>
      <c r="N967" s="61">
        <v>45782</v>
      </c>
      <c r="O967" s="23">
        <v>45783</v>
      </c>
      <c r="P967" s="59"/>
      <c r="Q967" s="124" t="e">
        <f>P967*#REF!</f>
        <v>#REF!</v>
      </c>
      <c r="R967" s="126">
        <v>45783</v>
      </c>
      <c r="S967" s="153">
        <f>IF(L967="","",L967-B967)</f>
        <v>7</v>
      </c>
      <c r="T967" s="153">
        <f>IF(N967="","",N967-L967)</f>
        <v>0</v>
      </c>
      <c r="U967" s="153">
        <f>IF(O967="","",O967-N967)</f>
        <v>1</v>
      </c>
      <c r="V967" s="154">
        <f>IF(O967="","",O967-B967)</f>
        <v>8</v>
      </c>
      <c r="W967" s="154">
        <f>IF(O967="","",O967-L967)</f>
        <v>1</v>
      </c>
      <c r="X967" s="154">
        <f>IF(R967="","",R967-B967)</f>
        <v>8</v>
      </c>
    </row>
    <row r="968" spans="2:24" ht="17.25" hidden="1" customHeight="1">
      <c r="B968" s="23">
        <v>45770</v>
      </c>
      <c r="C968" s="7">
        <v>2003667002</v>
      </c>
      <c r="D968" s="20">
        <v>148787</v>
      </c>
      <c r="E968" s="27" t="s">
        <v>152</v>
      </c>
      <c r="F968" s="7" t="s">
        <v>107</v>
      </c>
      <c r="G968" s="7" t="s">
        <v>10</v>
      </c>
      <c r="H968" s="7" t="s">
        <v>45</v>
      </c>
      <c r="I968" s="20" t="s">
        <v>1634</v>
      </c>
      <c r="J968" s="20" t="s">
        <v>1635</v>
      </c>
      <c r="K968" s="7" t="s">
        <v>110</v>
      </c>
      <c r="L968" s="61">
        <v>45775</v>
      </c>
      <c r="M968" s="7" t="s">
        <v>111</v>
      </c>
      <c r="N968" s="61">
        <v>45775</v>
      </c>
      <c r="O968" s="61">
        <v>45775</v>
      </c>
      <c r="P968" s="59"/>
      <c r="Q968" s="124" t="e">
        <f>P968*#REF!</f>
        <v>#REF!</v>
      </c>
      <c r="R968" s="126">
        <v>45776</v>
      </c>
      <c r="S968" s="153">
        <f>IF(L968="","",L968-B968)</f>
        <v>5</v>
      </c>
      <c r="T968" s="153">
        <f>IF(N968="","",N968-L968)</f>
        <v>0</v>
      </c>
      <c r="U968" s="153">
        <f>IF(O968="","",O968-N968)</f>
        <v>0</v>
      </c>
      <c r="V968" s="154">
        <f>IF(O968="","",O968-B968)</f>
        <v>5</v>
      </c>
      <c r="W968" s="154">
        <f>IF(O968="","",O968-L968)</f>
        <v>0</v>
      </c>
      <c r="X968" s="154">
        <f>IF(R968="","",R968-B968)</f>
        <v>6</v>
      </c>
    </row>
    <row r="969" spans="2:24" ht="17.25" hidden="1" customHeight="1">
      <c r="B969" s="23">
        <v>45770</v>
      </c>
      <c r="C969" s="7">
        <v>2003665141</v>
      </c>
      <c r="D969" s="20">
        <v>148855</v>
      </c>
      <c r="E969" s="27" t="s">
        <v>185</v>
      </c>
      <c r="F969" s="7" t="s">
        <v>107</v>
      </c>
      <c r="G969" s="7" t="s">
        <v>10</v>
      </c>
      <c r="H969" s="7" t="s">
        <v>45</v>
      </c>
      <c r="I969" s="20" t="s">
        <v>1151</v>
      </c>
      <c r="J969" s="20" t="s">
        <v>1636</v>
      </c>
      <c r="K969" s="7" t="s">
        <v>110</v>
      </c>
      <c r="L969" s="61">
        <v>45772</v>
      </c>
      <c r="M969" s="7" t="s">
        <v>111</v>
      </c>
      <c r="N969" s="61">
        <v>45772</v>
      </c>
      <c r="O969" s="61">
        <v>45772</v>
      </c>
      <c r="P969" s="59"/>
      <c r="Q969" s="124" t="e">
        <f>P969*#REF!</f>
        <v>#REF!</v>
      </c>
      <c r="R969" s="126">
        <v>45772</v>
      </c>
      <c r="S969" s="153">
        <f>IF(L969="","",L969-B969)</f>
        <v>2</v>
      </c>
      <c r="T969" s="153">
        <f>IF(N969="","",N969-L969)</f>
        <v>0</v>
      </c>
      <c r="U969" s="153">
        <f>IF(O969="","",O969-N969)</f>
        <v>0</v>
      </c>
      <c r="V969" s="154">
        <f>IF(O969="","",O969-B969)</f>
        <v>2</v>
      </c>
      <c r="W969" s="154">
        <f>IF(O969="","",O969-L969)</f>
        <v>0</v>
      </c>
      <c r="X969" s="154">
        <f>IF(R969="","",R969-B969)</f>
        <v>2</v>
      </c>
    </row>
    <row r="970" spans="2:24" ht="17.25" hidden="1" customHeight="1">
      <c r="B970" s="23">
        <v>45775</v>
      </c>
      <c r="C970" s="7">
        <v>2003671967</v>
      </c>
      <c r="D970" s="20">
        <v>152003</v>
      </c>
      <c r="E970" s="27" t="s">
        <v>129</v>
      </c>
      <c r="F970" s="7" t="s">
        <v>107</v>
      </c>
      <c r="G970" s="7" t="s">
        <v>10</v>
      </c>
      <c r="H970" s="7" t="s">
        <v>45</v>
      </c>
      <c r="I970" s="20" t="s">
        <v>1275</v>
      </c>
      <c r="J970" s="20" t="s">
        <v>1637</v>
      </c>
      <c r="K970" s="7" t="s">
        <v>122</v>
      </c>
      <c r="L970" s="61">
        <v>45782</v>
      </c>
      <c r="M970" s="7" t="s">
        <v>111</v>
      </c>
      <c r="N970" s="24">
        <v>45783</v>
      </c>
      <c r="O970" s="58">
        <v>45784</v>
      </c>
      <c r="P970" s="59"/>
      <c r="Q970" s="124" t="e">
        <f>P970*#REF!</f>
        <v>#REF!</v>
      </c>
      <c r="R970" s="126">
        <v>45784</v>
      </c>
      <c r="S970" s="153">
        <f>IF(L970="","",L970-B970)</f>
        <v>7</v>
      </c>
      <c r="T970" s="153">
        <f>IF(N970="","",N970-L970)</f>
        <v>1</v>
      </c>
      <c r="U970" s="153">
        <f>IF(O970="","",O970-N970)</f>
        <v>1</v>
      </c>
      <c r="V970" s="154">
        <f>IF(O970="","",O970-B970)</f>
        <v>9</v>
      </c>
      <c r="W970" s="154">
        <f>IF(O970="","",O970-L970)</f>
        <v>2</v>
      </c>
      <c r="X970" s="154">
        <f>IF(R970="","",R970-B970)</f>
        <v>9</v>
      </c>
    </row>
    <row r="971" spans="2:24" ht="17.25" hidden="1" customHeight="1">
      <c r="B971" s="23">
        <v>45775</v>
      </c>
      <c r="C971" s="7">
        <v>2003670305</v>
      </c>
      <c r="D971" s="20">
        <v>152298</v>
      </c>
      <c r="E971" s="27" t="s">
        <v>566</v>
      </c>
      <c r="F971" s="7" t="s">
        <v>107</v>
      </c>
      <c r="G971" s="7" t="s">
        <v>10</v>
      </c>
      <c r="H971" s="7" t="s">
        <v>45</v>
      </c>
      <c r="I971" s="20" t="s">
        <v>421</v>
      </c>
      <c r="J971" s="20" t="s">
        <v>1638</v>
      </c>
      <c r="K971" s="7" t="s">
        <v>110</v>
      </c>
      <c r="L971" s="61">
        <v>45784</v>
      </c>
      <c r="M971" s="7" t="s">
        <v>111</v>
      </c>
      <c r="N971" s="61">
        <v>45784</v>
      </c>
      <c r="O971" s="130">
        <v>45784</v>
      </c>
      <c r="P971" s="59"/>
      <c r="Q971" s="124" t="e">
        <f>P971*#REF!</f>
        <v>#REF!</v>
      </c>
      <c r="R971" s="126">
        <v>45784</v>
      </c>
      <c r="S971" s="153">
        <f>IF(L971="","",L971-B971)</f>
        <v>9</v>
      </c>
      <c r="T971" s="153">
        <f>IF(N971="","",N971-L971)</f>
        <v>0</v>
      </c>
      <c r="U971" s="153">
        <f>IF(O971="","",O971-N971)</f>
        <v>0</v>
      </c>
      <c r="V971" s="154">
        <f>IF(O971="","",O971-B971)</f>
        <v>9</v>
      </c>
      <c r="W971" s="154">
        <f>IF(O971="","",O971-L971)</f>
        <v>0</v>
      </c>
      <c r="X971" s="154">
        <f>IF(R971="","",R971-B971)</f>
        <v>9</v>
      </c>
    </row>
    <row r="972" spans="2:24" ht="17.25" hidden="1" customHeight="1">
      <c r="B972" s="23">
        <v>45775</v>
      </c>
      <c r="C972" s="7">
        <v>2003667485</v>
      </c>
      <c r="D972" s="20">
        <v>152716</v>
      </c>
      <c r="E972" s="27" t="s">
        <v>126</v>
      </c>
      <c r="F972" s="7" t="s">
        <v>107</v>
      </c>
      <c r="G972" s="7" t="s">
        <v>26</v>
      </c>
      <c r="H972" s="7" t="s">
        <v>45</v>
      </c>
      <c r="I972" s="20" t="s">
        <v>1545</v>
      </c>
      <c r="J972" s="20" t="s">
        <v>1546</v>
      </c>
      <c r="K972" s="7" t="s">
        <v>119</v>
      </c>
      <c r="L972" s="61">
        <v>45777</v>
      </c>
      <c r="M972" s="7" t="s">
        <v>111</v>
      </c>
      <c r="N972" s="24">
        <v>45778</v>
      </c>
      <c r="O972" s="23">
        <v>45782</v>
      </c>
      <c r="P972" s="59"/>
      <c r="Q972" s="124" t="e">
        <f>P972*#REF!</f>
        <v>#REF!</v>
      </c>
      <c r="R972" s="126">
        <v>45782</v>
      </c>
      <c r="S972" s="153">
        <f>IF(L972="","",L972-B972)</f>
        <v>2</v>
      </c>
      <c r="T972" s="153">
        <f>IF(N972="","",N972-L972)</f>
        <v>1</v>
      </c>
      <c r="U972" s="153">
        <f>IF(O972="","",O972-N972)</f>
        <v>4</v>
      </c>
      <c r="V972" s="154">
        <f>IF(O972="","",O972-B972)</f>
        <v>7</v>
      </c>
      <c r="W972" s="154">
        <f>IF(O972="","",O972-L972)</f>
        <v>5</v>
      </c>
      <c r="X972" s="154">
        <f>IF(R972="","",R972-B972)</f>
        <v>7</v>
      </c>
    </row>
    <row r="973" spans="2:24" ht="17.25" hidden="1" customHeight="1">
      <c r="B973" s="23">
        <v>45770</v>
      </c>
      <c r="C973" s="7">
        <v>2003668946</v>
      </c>
      <c r="D973" s="20">
        <v>148817</v>
      </c>
      <c r="E973" s="27" t="s">
        <v>201</v>
      </c>
      <c r="F973" s="7" t="s">
        <v>107</v>
      </c>
      <c r="G973" s="7" t="s">
        <v>10</v>
      </c>
      <c r="H973" s="7" t="s">
        <v>45</v>
      </c>
      <c r="I973" s="20" t="s">
        <v>1639</v>
      </c>
      <c r="J973" s="20" t="s">
        <v>1640</v>
      </c>
      <c r="K973" s="7" t="s">
        <v>110</v>
      </c>
      <c r="L973" s="61">
        <v>45772</v>
      </c>
      <c r="M973" s="7" t="s">
        <v>111</v>
      </c>
      <c r="N973" s="61">
        <v>45772</v>
      </c>
      <c r="O973" s="61">
        <v>45772</v>
      </c>
      <c r="P973" s="59"/>
      <c r="Q973" s="124" t="e">
        <f>P973*#REF!</f>
        <v>#REF!</v>
      </c>
      <c r="R973" s="126">
        <v>45772</v>
      </c>
      <c r="S973" s="153">
        <f>IF(L973="","",L973-B973)</f>
        <v>2</v>
      </c>
      <c r="T973" s="153">
        <f>IF(N973="","",N973-L973)</f>
        <v>0</v>
      </c>
      <c r="U973" s="153">
        <f>IF(O973="","",O973-N973)</f>
        <v>0</v>
      </c>
      <c r="V973" s="154">
        <f>IF(O973="","",O973-B973)</f>
        <v>2</v>
      </c>
      <c r="W973" s="154">
        <f>IF(O973="","",O973-L973)</f>
        <v>0</v>
      </c>
      <c r="X973" s="154">
        <f>IF(R973="","",R973-B973)</f>
        <v>2</v>
      </c>
    </row>
    <row r="974" spans="2:24" ht="17.25" hidden="1" customHeight="1">
      <c r="B974" s="23">
        <v>45775</v>
      </c>
      <c r="C974" s="7">
        <v>2003667503</v>
      </c>
      <c r="D974" s="20">
        <v>152738</v>
      </c>
      <c r="E974" s="27" t="s">
        <v>126</v>
      </c>
      <c r="F974" s="7" t="s">
        <v>107</v>
      </c>
      <c r="G974" s="7" t="s">
        <v>26</v>
      </c>
      <c r="H974" s="7" t="s">
        <v>45</v>
      </c>
      <c r="I974" s="20" t="s">
        <v>1641</v>
      </c>
      <c r="J974" s="20" t="s">
        <v>1642</v>
      </c>
      <c r="K974" s="7" t="s">
        <v>110</v>
      </c>
      <c r="L974" s="61">
        <v>45789</v>
      </c>
      <c r="M974" s="7" t="s">
        <v>111</v>
      </c>
      <c r="N974" s="24">
        <v>45790</v>
      </c>
      <c r="O974" s="58">
        <v>45790</v>
      </c>
      <c r="P974" s="59"/>
      <c r="Q974" s="124" t="e">
        <f>P974*#REF!</f>
        <v>#REF!</v>
      </c>
      <c r="R974" s="126">
        <v>45790</v>
      </c>
      <c r="S974" s="153">
        <f>IF(L974="","",L974-B974)</f>
        <v>14</v>
      </c>
      <c r="T974" s="153">
        <f>IF(N974="","",N974-L974)</f>
        <v>1</v>
      </c>
      <c r="U974" s="153">
        <f>IF(O974="","",O974-N974)</f>
        <v>0</v>
      </c>
      <c r="V974" s="154">
        <f>IF(O974="","",O974-B974)</f>
        <v>15</v>
      </c>
      <c r="W974" s="154">
        <f>IF(O974="","",O974-L974)</f>
        <v>1</v>
      </c>
      <c r="X974" s="154">
        <f>IF(R974="","",R974-B974)</f>
        <v>15</v>
      </c>
    </row>
    <row r="975" spans="2:24" ht="17.25" hidden="1" customHeight="1">
      <c r="B975" s="23">
        <v>45770</v>
      </c>
      <c r="C975" s="7">
        <v>2003666824</v>
      </c>
      <c r="D975" s="20">
        <v>148654</v>
      </c>
      <c r="E975" s="27" t="s">
        <v>116</v>
      </c>
      <c r="F975" s="7" t="s">
        <v>107</v>
      </c>
      <c r="G975" s="7" t="s">
        <v>10</v>
      </c>
      <c r="H975" s="7" t="s">
        <v>45</v>
      </c>
      <c r="I975" s="20" t="s">
        <v>1007</v>
      </c>
      <c r="J975" s="20" t="s">
        <v>1643</v>
      </c>
      <c r="K975" s="7" t="s">
        <v>110</v>
      </c>
      <c r="L975" s="61">
        <v>45776</v>
      </c>
      <c r="M975" s="7" t="s">
        <v>111</v>
      </c>
      <c r="N975" s="61">
        <v>45777</v>
      </c>
      <c r="O975" s="61">
        <v>45777</v>
      </c>
      <c r="P975" s="59"/>
      <c r="Q975" s="124" t="e">
        <f>P975*#REF!</f>
        <v>#REF!</v>
      </c>
      <c r="R975" s="126">
        <v>45777</v>
      </c>
      <c r="S975" s="153">
        <f>IF(L975="","",L975-B975)</f>
        <v>6</v>
      </c>
      <c r="T975" s="153">
        <f>IF(N975="","",N975-L975)</f>
        <v>1</v>
      </c>
      <c r="U975" s="153">
        <f>IF(O975="","",O975-N975)</f>
        <v>0</v>
      </c>
      <c r="V975" s="154">
        <f>IF(O975="","",O975-B975)</f>
        <v>7</v>
      </c>
      <c r="W975" s="154">
        <f>IF(O975="","",O975-L975)</f>
        <v>1</v>
      </c>
      <c r="X975" s="154">
        <f>IF(R975="","",R975-B975)</f>
        <v>7</v>
      </c>
    </row>
    <row r="976" spans="2:24" ht="17.25" hidden="1" customHeight="1">
      <c r="B976" s="23">
        <v>45775</v>
      </c>
      <c r="C976" s="7">
        <v>2003671721</v>
      </c>
      <c r="D976" s="20">
        <v>152749</v>
      </c>
      <c r="E976" s="27" t="s">
        <v>126</v>
      </c>
      <c r="F976" s="7" t="s">
        <v>107</v>
      </c>
      <c r="G976" s="7" t="s">
        <v>10</v>
      </c>
      <c r="H976" s="7" t="s">
        <v>45</v>
      </c>
      <c r="I976" s="20" t="s">
        <v>1644</v>
      </c>
      <c r="J976" s="20" t="s">
        <v>1645</v>
      </c>
      <c r="K976" s="7" t="s">
        <v>122</v>
      </c>
      <c r="L976" s="61">
        <v>45783</v>
      </c>
      <c r="M976" s="7" t="s">
        <v>111</v>
      </c>
      <c r="N976" s="24">
        <v>45785</v>
      </c>
      <c r="O976" s="106">
        <v>45785</v>
      </c>
      <c r="P976" s="59"/>
      <c r="Q976" s="124" t="e">
        <f>P976*#REF!</f>
        <v>#REF!</v>
      </c>
      <c r="R976" s="126">
        <v>45786</v>
      </c>
      <c r="S976" s="153">
        <f>IF(L976="","",L976-B976)</f>
        <v>8</v>
      </c>
      <c r="T976" s="153">
        <f>IF(N976="","",N976-L976)</f>
        <v>2</v>
      </c>
      <c r="U976" s="153">
        <f>IF(O976="","",O976-N976)</f>
        <v>0</v>
      </c>
      <c r="V976" s="154">
        <f>IF(O976="","",O976-B976)</f>
        <v>10</v>
      </c>
      <c r="W976" s="154">
        <f>IF(O976="","",O976-L976)</f>
        <v>2</v>
      </c>
      <c r="X976" s="154">
        <f>IF(R976="","",R976-B976)</f>
        <v>11</v>
      </c>
    </row>
    <row r="977" spans="2:24" ht="17.25" hidden="1" customHeight="1">
      <c r="B977" s="23">
        <v>45770</v>
      </c>
      <c r="C977" s="7">
        <v>2003670176</v>
      </c>
      <c r="D977" s="20">
        <v>148514</v>
      </c>
      <c r="E977" s="27" t="s">
        <v>191</v>
      </c>
      <c r="F977" s="7" t="s">
        <v>107</v>
      </c>
      <c r="G977" s="7" t="s">
        <v>10</v>
      </c>
      <c r="H977" s="7" t="s">
        <v>45</v>
      </c>
      <c r="I977" s="20" t="s">
        <v>1646</v>
      </c>
      <c r="J977" s="20" t="s">
        <v>1647</v>
      </c>
      <c r="K977" s="7" t="s">
        <v>110</v>
      </c>
      <c r="L977" s="61">
        <v>45772</v>
      </c>
      <c r="M977" s="7" t="s">
        <v>111</v>
      </c>
      <c r="N977" s="61">
        <v>45772</v>
      </c>
      <c r="O977" s="61">
        <v>45772</v>
      </c>
      <c r="P977" s="59"/>
      <c r="Q977" s="124" t="e">
        <f>P977*#REF!</f>
        <v>#REF!</v>
      </c>
      <c r="R977" s="126">
        <v>45772</v>
      </c>
      <c r="S977" s="153">
        <f>IF(L977="","",L977-B977)</f>
        <v>2</v>
      </c>
      <c r="T977" s="153">
        <f>IF(N977="","",N977-L977)</f>
        <v>0</v>
      </c>
      <c r="U977" s="153">
        <f>IF(O977="","",O977-N977)</f>
        <v>0</v>
      </c>
      <c r="V977" s="154">
        <f>IF(O977="","",O977-B977)</f>
        <v>2</v>
      </c>
      <c r="W977" s="154">
        <f>IF(O977="","",O977-L977)</f>
        <v>0</v>
      </c>
      <c r="X977" s="154">
        <f>IF(R977="","",R977-B977)</f>
        <v>2</v>
      </c>
    </row>
    <row r="978" spans="2:24" ht="17.25" hidden="1" customHeight="1">
      <c r="B978" s="23">
        <v>45770</v>
      </c>
      <c r="C978" s="7">
        <v>2003667493</v>
      </c>
      <c r="D978" s="20">
        <v>148481</v>
      </c>
      <c r="E978" s="27" t="s">
        <v>185</v>
      </c>
      <c r="F978" s="7" t="s">
        <v>107</v>
      </c>
      <c r="G978" s="7" t="s">
        <v>18</v>
      </c>
      <c r="H978" s="7" t="s">
        <v>45</v>
      </c>
      <c r="I978" s="20" t="s">
        <v>861</v>
      </c>
      <c r="J978" s="20" t="s">
        <v>1648</v>
      </c>
      <c r="K978" s="7" t="s">
        <v>119</v>
      </c>
      <c r="L978" s="61">
        <v>45771</v>
      </c>
      <c r="M978" s="7" t="s">
        <v>111</v>
      </c>
      <c r="N978" s="61">
        <v>45771</v>
      </c>
      <c r="O978" s="61">
        <v>45771</v>
      </c>
      <c r="P978" s="59"/>
      <c r="Q978" s="124" t="e">
        <f>P978*#REF!</f>
        <v>#REF!</v>
      </c>
      <c r="R978" s="126">
        <v>45771</v>
      </c>
      <c r="S978" s="153">
        <f>IF(L978="","",L978-B978)</f>
        <v>1</v>
      </c>
      <c r="T978" s="153">
        <f>IF(N978="","",N978-L978)</f>
        <v>0</v>
      </c>
      <c r="U978" s="153">
        <f>IF(O978="","",O978-N978)</f>
        <v>0</v>
      </c>
      <c r="V978" s="154">
        <f>IF(O978="","",O978-B978)</f>
        <v>1</v>
      </c>
      <c r="W978" s="154">
        <f>IF(O978="","",O978-L978)</f>
        <v>0</v>
      </c>
      <c r="X978" s="154">
        <f>IF(R978="","",R978-B978)</f>
        <v>1</v>
      </c>
    </row>
    <row r="979" spans="2:24" ht="17.25" hidden="1" customHeight="1">
      <c r="B979" s="23">
        <v>45770</v>
      </c>
      <c r="C979" s="7">
        <v>2003592466</v>
      </c>
      <c r="D979" s="20">
        <v>148473</v>
      </c>
      <c r="E979" s="27" t="s">
        <v>185</v>
      </c>
      <c r="F979" s="7" t="s">
        <v>107</v>
      </c>
      <c r="G979" s="7" t="s">
        <v>21</v>
      </c>
      <c r="H979" s="7" t="s">
        <v>45</v>
      </c>
      <c r="I979" s="20" t="s">
        <v>608</v>
      </c>
      <c r="J979" s="20" t="s">
        <v>609</v>
      </c>
      <c r="K979" s="7" t="s">
        <v>111</v>
      </c>
      <c r="L979" s="61">
        <v>45771</v>
      </c>
      <c r="M979" s="7" t="s">
        <v>111</v>
      </c>
      <c r="N979" s="61">
        <v>45771</v>
      </c>
      <c r="O979" s="58">
        <v>45773</v>
      </c>
      <c r="P979" s="59"/>
      <c r="Q979" s="124" t="e">
        <f>P979*#REF!</f>
        <v>#REF!</v>
      </c>
      <c r="R979" s="126">
        <v>45776</v>
      </c>
      <c r="S979" s="153">
        <f>IF(L979="","",L979-B979)</f>
        <v>1</v>
      </c>
      <c r="T979" s="153">
        <f>IF(N979="","",N979-L979)</f>
        <v>0</v>
      </c>
      <c r="U979" s="153">
        <f>IF(O979="","",O979-N979)</f>
        <v>2</v>
      </c>
      <c r="V979" s="154">
        <f>IF(O979="","",O979-B979)</f>
        <v>3</v>
      </c>
      <c r="W979" s="154">
        <f>IF(O979="","",O979-L979)</f>
        <v>2</v>
      </c>
      <c r="X979" s="154">
        <f>IF(R979="","",R979-B979)</f>
        <v>6</v>
      </c>
    </row>
    <row r="980" spans="2:24" ht="17.25" hidden="1" customHeight="1">
      <c r="B980" s="23">
        <v>45770</v>
      </c>
      <c r="C980" s="7">
        <v>2003668666</v>
      </c>
      <c r="D980" s="20">
        <v>148459</v>
      </c>
      <c r="E980" s="27" t="s">
        <v>198</v>
      </c>
      <c r="F980" s="7" t="s">
        <v>107</v>
      </c>
      <c r="G980" s="7" t="s">
        <v>26</v>
      </c>
      <c r="H980" s="7" t="s">
        <v>45</v>
      </c>
      <c r="I980" s="20" t="s">
        <v>585</v>
      </c>
      <c r="J980" s="20" t="s">
        <v>1649</v>
      </c>
      <c r="K980" s="7" t="s">
        <v>110</v>
      </c>
      <c r="L980" s="61">
        <v>45777</v>
      </c>
      <c r="M980" s="7" t="s">
        <v>111</v>
      </c>
      <c r="N980" s="24">
        <v>45777</v>
      </c>
      <c r="O980" s="58">
        <v>45777</v>
      </c>
      <c r="P980" s="59"/>
      <c r="Q980" s="124" t="e">
        <f>P980*#REF!</f>
        <v>#REF!</v>
      </c>
      <c r="R980" s="126">
        <v>45777</v>
      </c>
      <c r="S980" s="153">
        <f>IF(L980="","",L980-B980)</f>
        <v>7</v>
      </c>
      <c r="T980" s="153">
        <f>IF(N980="","",N980-L980)</f>
        <v>0</v>
      </c>
      <c r="U980" s="153">
        <f>IF(O980="","",O980-N980)</f>
        <v>0</v>
      </c>
      <c r="V980" s="154">
        <f>IF(O980="","",O980-B980)</f>
        <v>7</v>
      </c>
      <c r="W980" s="154">
        <f>IF(O980="","",O980-L980)</f>
        <v>0</v>
      </c>
      <c r="X980" s="154">
        <f>IF(R980="","",R980-B980)</f>
        <v>7</v>
      </c>
    </row>
    <row r="981" spans="2:24" ht="17.25" hidden="1" customHeight="1">
      <c r="B981" s="23">
        <v>45770</v>
      </c>
      <c r="C981" s="7">
        <v>2003588305</v>
      </c>
      <c r="D981" s="20">
        <v>148241</v>
      </c>
      <c r="E981" s="27" t="s">
        <v>123</v>
      </c>
      <c r="F981" s="7" t="s">
        <v>107</v>
      </c>
      <c r="G981" s="7" t="s">
        <v>21</v>
      </c>
      <c r="H981" s="7" t="s">
        <v>45</v>
      </c>
      <c r="I981" s="20" t="s">
        <v>608</v>
      </c>
      <c r="J981" s="20" t="s">
        <v>860</v>
      </c>
      <c r="K981" s="7" t="s">
        <v>119</v>
      </c>
      <c r="L981" s="61">
        <v>45771</v>
      </c>
      <c r="M981" s="7" t="s">
        <v>111</v>
      </c>
      <c r="N981" s="61">
        <v>45771</v>
      </c>
      <c r="O981" s="58">
        <v>45773</v>
      </c>
      <c r="P981" s="59"/>
      <c r="Q981" s="124" t="e">
        <f>P981*#REF!</f>
        <v>#REF!</v>
      </c>
      <c r="R981" s="126">
        <v>45776</v>
      </c>
      <c r="S981" s="153">
        <f>IF(L981="","",L981-B981)</f>
        <v>1</v>
      </c>
      <c r="T981" s="153">
        <f>IF(N981="","",N981-L981)</f>
        <v>0</v>
      </c>
      <c r="U981" s="153">
        <f>IF(O981="","",O981-N981)</f>
        <v>2</v>
      </c>
      <c r="V981" s="154">
        <f>IF(O981="","",O981-B981)</f>
        <v>3</v>
      </c>
      <c r="W981" s="154">
        <f>IF(O981="","",O981-L981)</f>
        <v>2</v>
      </c>
      <c r="X981" s="154">
        <f>IF(R981="","",R981-B981)</f>
        <v>6</v>
      </c>
    </row>
    <row r="982" spans="2:24" ht="17.25" hidden="1" customHeight="1">
      <c r="B982" s="23">
        <v>45770</v>
      </c>
      <c r="C982" s="7">
        <v>2003669392</v>
      </c>
      <c r="D982" s="20">
        <v>148224</v>
      </c>
      <c r="E982" s="27" t="s">
        <v>116</v>
      </c>
      <c r="F982" s="7" t="s">
        <v>107</v>
      </c>
      <c r="G982" s="7" t="s">
        <v>10</v>
      </c>
      <c r="H982" s="7" t="s">
        <v>45</v>
      </c>
      <c r="I982" s="20" t="s">
        <v>1650</v>
      </c>
      <c r="J982" s="20" t="s">
        <v>1651</v>
      </c>
      <c r="K982" s="7" t="s">
        <v>119</v>
      </c>
      <c r="L982" s="61">
        <v>45772</v>
      </c>
      <c r="M982" s="7" t="s">
        <v>111</v>
      </c>
      <c r="N982" s="61">
        <v>45772</v>
      </c>
      <c r="O982" s="61">
        <v>45772</v>
      </c>
      <c r="P982" s="59"/>
      <c r="Q982" s="124" t="e">
        <f>P982*#REF!</f>
        <v>#REF!</v>
      </c>
      <c r="R982" s="126">
        <v>45772</v>
      </c>
      <c r="S982" s="153">
        <f>IF(L982="","",L982-B982)</f>
        <v>2</v>
      </c>
      <c r="T982" s="153">
        <f>IF(N982="","",N982-L982)</f>
        <v>0</v>
      </c>
      <c r="U982" s="153">
        <f>IF(O982="","",O982-N982)</f>
        <v>0</v>
      </c>
      <c r="V982" s="154">
        <f>IF(O982="","",O982-B982)</f>
        <v>2</v>
      </c>
      <c r="W982" s="154">
        <f>IF(O982="","",O982-L982)</f>
        <v>0</v>
      </c>
      <c r="X982" s="154">
        <f>IF(R982="","",R982-B982)</f>
        <v>2</v>
      </c>
    </row>
    <row r="983" spans="2:24" ht="17.25" hidden="1" customHeight="1">
      <c r="B983" s="23">
        <v>45770</v>
      </c>
      <c r="C983" s="7">
        <v>2003664856</v>
      </c>
      <c r="D983" s="20">
        <v>148074</v>
      </c>
      <c r="E983" s="27" t="s">
        <v>123</v>
      </c>
      <c r="F983" s="7" t="s">
        <v>107</v>
      </c>
      <c r="G983" s="7" t="s">
        <v>26</v>
      </c>
      <c r="H983" s="7" t="s">
        <v>45</v>
      </c>
      <c r="I983" s="20" t="s">
        <v>394</v>
      </c>
      <c r="J983" s="20" t="s">
        <v>1652</v>
      </c>
      <c r="K983" s="7" t="s">
        <v>119</v>
      </c>
      <c r="L983" s="61">
        <v>45775</v>
      </c>
      <c r="M983" s="7" t="s">
        <v>111</v>
      </c>
      <c r="N983" s="24">
        <v>45777</v>
      </c>
      <c r="O983" s="58">
        <v>45777</v>
      </c>
      <c r="P983" s="59"/>
      <c r="Q983" s="124" t="e">
        <f>P983*#REF!</f>
        <v>#REF!</v>
      </c>
      <c r="R983" s="126">
        <v>45777</v>
      </c>
      <c r="S983" s="153">
        <f>IF(L983="","",L983-B983)</f>
        <v>5</v>
      </c>
      <c r="T983" s="153">
        <f>IF(N983="","",N983-L983)</f>
        <v>2</v>
      </c>
      <c r="U983" s="153">
        <f>IF(O983="","",O983-N983)</f>
        <v>0</v>
      </c>
      <c r="V983" s="154">
        <f>IF(O983="","",O983-B983)</f>
        <v>7</v>
      </c>
      <c r="W983" s="154">
        <f>IF(O983="","",O983-L983)</f>
        <v>2</v>
      </c>
      <c r="X983" s="154">
        <f>IF(R983="","",R983-B983)</f>
        <v>7</v>
      </c>
    </row>
    <row r="984" spans="2:24" ht="17.25" hidden="1" customHeight="1">
      <c r="B984" s="23">
        <v>45770</v>
      </c>
      <c r="C984" s="7">
        <v>2003668855</v>
      </c>
      <c r="D984" s="20">
        <v>148062</v>
      </c>
      <c r="E984" s="27" t="s">
        <v>123</v>
      </c>
      <c r="F984" s="7" t="s">
        <v>107</v>
      </c>
      <c r="G984" s="7" t="s">
        <v>26</v>
      </c>
      <c r="H984" s="7" t="s">
        <v>45</v>
      </c>
      <c r="I984" s="20" t="s">
        <v>909</v>
      </c>
      <c r="J984" s="20" t="s">
        <v>1653</v>
      </c>
      <c r="K984" s="7" t="s">
        <v>119</v>
      </c>
      <c r="L984" s="61">
        <v>45772</v>
      </c>
      <c r="M984" s="7" t="s">
        <v>111</v>
      </c>
      <c r="N984" s="24">
        <v>45776</v>
      </c>
      <c r="O984" s="58">
        <v>45776</v>
      </c>
      <c r="P984" s="59"/>
      <c r="Q984" s="124" t="e">
        <f>P984*#REF!</f>
        <v>#REF!</v>
      </c>
      <c r="R984" s="126">
        <v>45776</v>
      </c>
      <c r="S984" s="153">
        <f>IF(L984="","",L984-B984)</f>
        <v>2</v>
      </c>
      <c r="T984" s="153">
        <f>IF(N984="","",N984-L984)</f>
        <v>4</v>
      </c>
      <c r="U984" s="153">
        <f>IF(O984="","",O984-N984)</f>
        <v>0</v>
      </c>
      <c r="V984" s="154">
        <f>IF(O984="","",O984-B984)</f>
        <v>6</v>
      </c>
      <c r="W984" s="154">
        <f>IF(O984="","",O984-L984)</f>
        <v>4</v>
      </c>
      <c r="X984" s="154">
        <f>IF(R984="","",R984-B984)</f>
        <v>6</v>
      </c>
    </row>
    <row r="985" spans="2:24" ht="17.25" hidden="1" customHeight="1">
      <c r="B985" s="23">
        <v>45770</v>
      </c>
      <c r="C985" s="7">
        <v>2003668719</v>
      </c>
      <c r="D985" s="20">
        <v>147961</v>
      </c>
      <c r="E985" s="27" t="s">
        <v>191</v>
      </c>
      <c r="F985" s="7" t="s">
        <v>107</v>
      </c>
      <c r="G985" s="7" t="s">
        <v>10</v>
      </c>
      <c r="H985" s="7" t="s">
        <v>45</v>
      </c>
      <c r="I985" s="20" t="s">
        <v>1654</v>
      </c>
      <c r="J985" s="20" t="s">
        <v>1655</v>
      </c>
      <c r="K985" s="7" t="s">
        <v>110</v>
      </c>
      <c r="L985" s="61">
        <v>45772</v>
      </c>
      <c r="M985" s="7" t="s">
        <v>111</v>
      </c>
      <c r="N985" s="61">
        <v>45772</v>
      </c>
      <c r="O985" s="61">
        <v>45772</v>
      </c>
      <c r="P985" s="59"/>
      <c r="Q985" s="124" t="e">
        <f>P985*#REF!</f>
        <v>#REF!</v>
      </c>
      <c r="R985" s="126">
        <v>45772</v>
      </c>
      <c r="S985" s="153">
        <f>IF(L985="","",L985-B985)</f>
        <v>2</v>
      </c>
      <c r="T985" s="153">
        <f>IF(N985="","",N985-L985)</f>
        <v>0</v>
      </c>
      <c r="U985" s="153">
        <f>IF(O985="","",O985-N985)</f>
        <v>0</v>
      </c>
      <c r="V985" s="154">
        <f>IF(O985="","",O985-B985)</f>
        <v>2</v>
      </c>
      <c r="W985" s="154">
        <f>IF(O985="","",O985-L985)</f>
        <v>0</v>
      </c>
      <c r="X985" s="154">
        <f>IF(R985="","",R985-B985)</f>
        <v>2</v>
      </c>
    </row>
    <row r="986" spans="2:24" ht="17.25" hidden="1" customHeight="1">
      <c r="B986" s="23">
        <v>45770</v>
      </c>
      <c r="C986" s="7">
        <v>2003665215</v>
      </c>
      <c r="D986" s="20">
        <v>147956</v>
      </c>
      <c r="E986" s="27" t="s">
        <v>191</v>
      </c>
      <c r="F986" s="7" t="s">
        <v>107</v>
      </c>
      <c r="G986" s="7" t="s">
        <v>10</v>
      </c>
      <c r="H986" s="7" t="s">
        <v>45</v>
      </c>
      <c r="I986" s="20" t="s">
        <v>1656</v>
      </c>
      <c r="J986" s="20" t="s">
        <v>1657</v>
      </c>
      <c r="K986" s="7" t="s">
        <v>110</v>
      </c>
      <c r="L986" s="61">
        <v>45775</v>
      </c>
      <c r="M986" s="7" t="s">
        <v>111</v>
      </c>
      <c r="N986" s="61">
        <v>45775</v>
      </c>
      <c r="O986" s="61">
        <v>45775</v>
      </c>
      <c r="P986" s="59"/>
      <c r="Q986" s="124" t="e">
        <f>P986*#REF!</f>
        <v>#REF!</v>
      </c>
      <c r="R986" s="126">
        <v>45776</v>
      </c>
      <c r="S986" s="153">
        <f>IF(L986="","",L986-B986)</f>
        <v>5</v>
      </c>
      <c r="T986" s="153">
        <f>IF(N986="","",N986-L986)</f>
        <v>0</v>
      </c>
      <c r="U986" s="153">
        <f>IF(O986="","",O986-N986)</f>
        <v>0</v>
      </c>
      <c r="V986" s="154">
        <f>IF(O986="","",O986-B986)</f>
        <v>5</v>
      </c>
      <c r="W986" s="154">
        <f>IF(O986="","",O986-L986)</f>
        <v>0</v>
      </c>
      <c r="X986" s="154">
        <f>IF(R986="","",R986-B986)</f>
        <v>6</v>
      </c>
    </row>
    <row r="987" spans="2:24" ht="17.25" hidden="1" customHeight="1">
      <c r="B987" s="23">
        <v>45771</v>
      </c>
      <c r="C987" s="7">
        <v>2003668500</v>
      </c>
      <c r="D987" s="20">
        <v>5897190</v>
      </c>
      <c r="E987" s="27" t="s">
        <v>566</v>
      </c>
      <c r="F987" s="7" t="s">
        <v>107</v>
      </c>
      <c r="G987" s="7" t="s">
        <v>10</v>
      </c>
      <c r="H987" s="7" t="s">
        <v>45</v>
      </c>
      <c r="I987" s="20" t="s">
        <v>965</v>
      </c>
      <c r="J987" s="20" t="s">
        <v>1658</v>
      </c>
      <c r="K987" s="7" t="s">
        <v>110</v>
      </c>
      <c r="L987" s="61">
        <v>45775</v>
      </c>
      <c r="M987" s="7" t="s">
        <v>111</v>
      </c>
      <c r="N987" s="61">
        <v>45775</v>
      </c>
      <c r="O987" s="61">
        <v>45775</v>
      </c>
      <c r="P987" s="59"/>
      <c r="Q987" s="124" t="e">
        <f>P987*#REF!</f>
        <v>#REF!</v>
      </c>
      <c r="R987" s="126">
        <v>45776</v>
      </c>
      <c r="S987" s="153">
        <f>IF(L987="","",L987-B987)</f>
        <v>4</v>
      </c>
      <c r="T987" s="153">
        <f>IF(N987="","",N987-L987)</f>
        <v>0</v>
      </c>
      <c r="U987" s="153">
        <f>IF(O987="","",O987-N987)</f>
        <v>0</v>
      </c>
      <c r="V987" s="154">
        <f>IF(O987="","",O987-B987)</f>
        <v>4</v>
      </c>
      <c r="W987" s="154">
        <f>IF(O987="","",O987-L987)</f>
        <v>0</v>
      </c>
      <c r="X987" s="154">
        <f>IF(R987="","",R987-B987)</f>
        <v>5</v>
      </c>
    </row>
    <row r="988" spans="2:24" ht="17.25" hidden="1" customHeight="1">
      <c r="B988" s="23">
        <v>45771</v>
      </c>
      <c r="C988" s="7">
        <v>2003665498</v>
      </c>
      <c r="D988" s="20">
        <v>5897221</v>
      </c>
      <c r="E988" s="27" t="s">
        <v>230</v>
      </c>
      <c r="F988" s="7" t="s">
        <v>107</v>
      </c>
      <c r="G988" s="7" t="s">
        <v>10</v>
      </c>
      <c r="H988" s="7" t="s">
        <v>45</v>
      </c>
      <c r="I988" s="20" t="s">
        <v>1659</v>
      </c>
      <c r="J988" s="20" t="s">
        <v>1660</v>
      </c>
      <c r="K988" s="7" t="s">
        <v>110</v>
      </c>
      <c r="L988" s="61">
        <v>45777</v>
      </c>
      <c r="M988" s="7" t="s">
        <v>111</v>
      </c>
      <c r="N988" s="61">
        <v>45777</v>
      </c>
      <c r="O988" s="61">
        <v>45777</v>
      </c>
      <c r="P988" s="59"/>
      <c r="Q988" s="124" t="e">
        <f>P988*#REF!</f>
        <v>#REF!</v>
      </c>
      <c r="R988" s="126">
        <v>45777</v>
      </c>
      <c r="S988" s="153">
        <f>IF(L988="","",L988-B988)</f>
        <v>6</v>
      </c>
      <c r="T988" s="153">
        <f>IF(N988="","",N988-L988)</f>
        <v>0</v>
      </c>
      <c r="U988" s="153">
        <f>IF(O988="","",O988-N988)</f>
        <v>0</v>
      </c>
      <c r="V988" s="154">
        <f>IF(O988="","",O988-B988)</f>
        <v>6</v>
      </c>
      <c r="W988" s="154">
        <f>IF(O988="","",O988-L988)</f>
        <v>0</v>
      </c>
      <c r="X988" s="154">
        <f>IF(R988="","",R988-B988)</f>
        <v>6</v>
      </c>
    </row>
    <row r="989" spans="2:24" ht="17.25" hidden="1" customHeight="1">
      <c r="B989" s="23">
        <v>45771</v>
      </c>
      <c r="C989" s="7">
        <v>2003665125</v>
      </c>
      <c r="D989" s="20">
        <v>5897280</v>
      </c>
      <c r="E989" s="27" t="s">
        <v>191</v>
      </c>
      <c r="F989" s="7" t="s">
        <v>107</v>
      </c>
      <c r="G989" s="7" t="s">
        <v>10</v>
      </c>
      <c r="H989" s="7" t="s">
        <v>45</v>
      </c>
      <c r="I989" s="20" t="s">
        <v>1661</v>
      </c>
      <c r="J989" s="20" t="s">
        <v>1662</v>
      </c>
      <c r="K989" s="7" t="s">
        <v>110</v>
      </c>
      <c r="L989" s="61">
        <v>45775</v>
      </c>
      <c r="M989" s="7" t="s">
        <v>111</v>
      </c>
      <c r="N989" s="61">
        <v>45775</v>
      </c>
      <c r="O989" s="61">
        <v>45775</v>
      </c>
      <c r="P989" s="59"/>
      <c r="Q989" s="124" t="e">
        <f>P989*#REF!</f>
        <v>#REF!</v>
      </c>
      <c r="R989" s="126">
        <v>45776</v>
      </c>
      <c r="S989" s="153">
        <f>IF(L989="","",L989-B989)</f>
        <v>4</v>
      </c>
      <c r="T989" s="153">
        <f>IF(N989="","",N989-L989)</f>
        <v>0</v>
      </c>
      <c r="U989" s="153">
        <f>IF(O989="","",O989-N989)</f>
        <v>0</v>
      </c>
      <c r="V989" s="154">
        <f>IF(O989="","",O989-B989)</f>
        <v>4</v>
      </c>
      <c r="W989" s="154">
        <f>IF(O989="","",O989-L989)</f>
        <v>0</v>
      </c>
      <c r="X989" s="154">
        <f>IF(R989="","",R989-B989)</f>
        <v>5</v>
      </c>
    </row>
    <row r="990" spans="2:24" ht="17.25" hidden="1" customHeight="1">
      <c r="B990" s="23">
        <v>45771</v>
      </c>
      <c r="C990" s="7">
        <v>2003667704</v>
      </c>
      <c r="D990" s="20">
        <v>5897375</v>
      </c>
      <c r="E990" s="27" t="s">
        <v>568</v>
      </c>
      <c r="F990" s="7" t="s">
        <v>107</v>
      </c>
      <c r="G990" s="7" t="s">
        <v>10</v>
      </c>
      <c r="H990" s="7" t="s">
        <v>45</v>
      </c>
      <c r="I990" s="20" t="s">
        <v>1663</v>
      </c>
      <c r="J990" s="20" t="s">
        <v>1664</v>
      </c>
      <c r="K990" s="7" t="s">
        <v>119</v>
      </c>
      <c r="L990" s="61">
        <v>45776</v>
      </c>
      <c r="M990" s="7" t="s">
        <v>111</v>
      </c>
      <c r="N990" s="61">
        <v>45776</v>
      </c>
      <c r="O990" s="61">
        <v>45776</v>
      </c>
      <c r="P990" s="59"/>
      <c r="Q990" s="124" t="e">
        <f>P990*#REF!</f>
        <v>#REF!</v>
      </c>
      <c r="R990" s="126">
        <v>45777</v>
      </c>
      <c r="S990" s="153">
        <f>IF(L990="","",L990-B990)</f>
        <v>5</v>
      </c>
      <c r="T990" s="153">
        <f>IF(N990="","",N990-L990)</f>
        <v>0</v>
      </c>
      <c r="U990" s="153">
        <f>IF(O990="","",O990-N990)</f>
        <v>0</v>
      </c>
      <c r="V990" s="154">
        <f>IF(O990="","",O990-B990)</f>
        <v>5</v>
      </c>
      <c r="W990" s="154">
        <f>IF(O990="","",O990-L990)</f>
        <v>0</v>
      </c>
      <c r="X990" s="154">
        <f>IF(R990="","",R990-B990)</f>
        <v>6</v>
      </c>
    </row>
    <row r="991" spans="2:24" ht="17.25" hidden="1" customHeight="1">
      <c r="B991" s="23">
        <v>45771</v>
      </c>
      <c r="C991" s="7">
        <v>2003669723</v>
      </c>
      <c r="D991" s="20">
        <v>5897395</v>
      </c>
      <c r="E991" s="27" t="s">
        <v>949</v>
      </c>
      <c r="F991" s="7" t="s">
        <v>107</v>
      </c>
      <c r="G991" s="7" t="s">
        <v>10</v>
      </c>
      <c r="H991" s="7" t="s">
        <v>45</v>
      </c>
      <c r="I991" s="20" t="s">
        <v>1665</v>
      </c>
      <c r="J991" s="20" t="s">
        <v>1666</v>
      </c>
      <c r="K991" s="7" t="s">
        <v>110</v>
      </c>
      <c r="L991" s="61">
        <v>45775</v>
      </c>
      <c r="M991" s="7" t="s">
        <v>111</v>
      </c>
      <c r="N991" s="61">
        <v>45775</v>
      </c>
      <c r="O991" s="58">
        <v>45777</v>
      </c>
      <c r="P991" s="59"/>
      <c r="Q991" s="124" t="e">
        <f>P991*#REF!</f>
        <v>#REF!</v>
      </c>
      <c r="R991" s="126">
        <v>45777</v>
      </c>
      <c r="S991" s="153">
        <f>IF(L991="","",L991-B991)</f>
        <v>4</v>
      </c>
      <c r="T991" s="153">
        <f>IF(N991="","",N991-L991)</f>
        <v>0</v>
      </c>
      <c r="U991" s="153">
        <f>IF(O991="","",O991-N991)</f>
        <v>2</v>
      </c>
      <c r="V991" s="154">
        <f>IF(O991="","",O991-B991)</f>
        <v>6</v>
      </c>
      <c r="W991" s="154">
        <f>IF(O991="","",O991-L991)</f>
        <v>2</v>
      </c>
      <c r="X991" s="154">
        <f>IF(R991="","",R991-B991)</f>
        <v>6</v>
      </c>
    </row>
    <row r="992" spans="2:24" ht="17.25" hidden="1" customHeight="1">
      <c r="B992" s="23">
        <v>45771</v>
      </c>
      <c r="C992" s="7">
        <v>2003670649</v>
      </c>
      <c r="D992" s="20">
        <v>5897409</v>
      </c>
      <c r="E992" s="27" t="s">
        <v>191</v>
      </c>
      <c r="F992" s="7" t="s">
        <v>107</v>
      </c>
      <c r="G992" s="7" t="s">
        <v>10</v>
      </c>
      <c r="H992" s="7" t="s">
        <v>45</v>
      </c>
      <c r="I992" s="20" t="s">
        <v>1667</v>
      </c>
      <c r="J992" s="20" t="s">
        <v>1668</v>
      </c>
      <c r="K992" s="7" t="s">
        <v>110</v>
      </c>
      <c r="L992" s="61">
        <v>45776</v>
      </c>
      <c r="M992" s="7" t="s">
        <v>111</v>
      </c>
      <c r="N992" s="24">
        <v>45777</v>
      </c>
      <c r="O992" s="24">
        <v>45777</v>
      </c>
      <c r="P992" s="59"/>
      <c r="Q992" s="124" t="e">
        <f>P992*#REF!</f>
        <v>#REF!</v>
      </c>
      <c r="R992" s="126">
        <v>45777</v>
      </c>
      <c r="S992" s="153">
        <f>IF(L992="","",L992-B992)</f>
        <v>5</v>
      </c>
      <c r="T992" s="153">
        <f>IF(N992="","",N992-L992)</f>
        <v>1</v>
      </c>
      <c r="U992" s="153">
        <f>IF(O992="","",O992-N992)</f>
        <v>0</v>
      </c>
      <c r="V992" s="154">
        <f>IF(O992="","",O992-B992)</f>
        <v>6</v>
      </c>
      <c r="W992" s="154">
        <f>IF(O992="","",O992-L992)</f>
        <v>1</v>
      </c>
      <c r="X992" s="154">
        <f>IF(R992="","",R992-B992)</f>
        <v>6</v>
      </c>
    </row>
    <row r="993" spans="2:24" ht="17.25" hidden="1" customHeight="1">
      <c r="B993" s="23">
        <v>45771</v>
      </c>
      <c r="C993" s="7">
        <v>2003665315</v>
      </c>
      <c r="D993" s="20">
        <v>5897499</v>
      </c>
      <c r="E993" s="27" t="s">
        <v>1225</v>
      </c>
      <c r="F993" s="7" t="s">
        <v>107</v>
      </c>
      <c r="G993" s="7" t="s">
        <v>10</v>
      </c>
      <c r="H993" s="7" t="s">
        <v>45</v>
      </c>
      <c r="I993" s="20" t="s">
        <v>1506</v>
      </c>
      <c r="J993" s="20" t="s">
        <v>1669</v>
      </c>
      <c r="K993" s="7" t="s">
        <v>119</v>
      </c>
      <c r="L993" s="61">
        <v>45776</v>
      </c>
      <c r="M993" s="7" t="s">
        <v>111</v>
      </c>
      <c r="N993" s="61">
        <v>45776</v>
      </c>
      <c r="O993" s="61">
        <v>45776</v>
      </c>
      <c r="P993" s="59"/>
      <c r="Q993" s="124" t="e">
        <f>P993*#REF!</f>
        <v>#REF!</v>
      </c>
      <c r="R993" s="126">
        <v>45777</v>
      </c>
      <c r="S993" s="153">
        <f>IF(L993="","",L993-B993)</f>
        <v>5</v>
      </c>
      <c r="T993" s="153">
        <f>IF(N993="","",N993-L993)</f>
        <v>0</v>
      </c>
      <c r="U993" s="153">
        <f>IF(O993="","",O993-N993)</f>
        <v>0</v>
      </c>
      <c r="V993" s="154">
        <f>IF(O993="","",O993-B993)</f>
        <v>5</v>
      </c>
      <c r="W993" s="154">
        <f>IF(O993="","",O993-L993)</f>
        <v>0</v>
      </c>
      <c r="X993" s="154">
        <f>IF(R993="","",R993-B993)</f>
        <v>6</v>
      </c>
    </row>
    <row r="994" spans="2:24" ht="17.25" hidden="1" customHeight="1">
      <c r="B994" s="23">
        <v>45771</v>
      </c>
      <c r="C994" s="7">
        <v>2003608214</v>
      </c>
      <c r="D994" s="20">
        <v>5897518</v>
      </c>
      <c r="E994" s="27" t="s">
        <v>126</v>
      </c>
      <c r="F994" s="7" t="s">
        <v>107</v>
      </c>
      <c r="G994" s="7" t="s">
        <v>21</v>
      </c>
      <c r="H994" s="7" t="s">
        <v>45</v>
      </c>
      <c r="I994" s="20" t="s">
        <v>1670</v>
      </c>
      <c r="J994" s="20" t="s">
        <v>717</v>
      </c>
      <c r="K994" s="7" t="s">
        <v>111</v>
      </c>
      <c r="L994" s="61">
        <v>45772</v>
      </c>
      <c r="M994" s="7" t="s">
        <v>111</v>
      </c>
      <c r="N994" s="61">
        <v>45772</v>
      </c>
      <c r="O994" s="61">
        <v>45772</v>
      </c>
      <c r="P994" s="59"/>
      <c r="Q994" s="124" t="e">
        <f>P994*#REF!</f>
        <v>#REF!</v>
      </c>
      <c r="R994" s="126">
        <v>45772</v>
      </c>
      <c r="S994" s="153">
        <f>IF(L994="","",L994-B994)</f>
        <v>1</v>
      </c>
      <c r="T994" s="153">
        <f>IF(N994="","",N994-L994)</f>
        <v>0</v>
      </c>
      <c r="U994" s="153">
        <f>IF(O994="","",O994-N994)</f>
        <v>0</v>
      </c>
      <c r="V994" s="154">
        <f>IF(O994="","",O994-B994)</f>
        <v>1</v>
      </c>
      <c r="W994" s="154">
        <f>IF(O994="","",O994-L994)</f>
        <v>0</v>
      </c>
      <c r="X994" s="154">
        <f>IF(R994="","",R994-B994)</f>
        <v>1</v>
      </c>
    </row>
    <row r="995" spans="2:24" ht="17.25" hidden="1" customHeight="1">
      <c r="B995" s="23">
        <v>45771</v>
      </c>
      <c r="C995" s="7">
        <v>2003669479</v>
      </c>
      <c r="D995" s="20">
        <v>5897526</v>
      </c>
      <c r="E995" s="27" t="s">
        <v>198</v>
      </c>
      <c r="F995" s="7" t="s">
        <v>107</v>
      </c>
      <c r="G995" s="7" t="s">
        <v>10</v>
      </c>
      <c r="H995" s="7" t="s">
        <v>45</v>
      </c>
      <c r="I995" s="20" t="s">
        <v>1671</v>
      </c>
      <c r="J995" s="20" t="s">
        <v>1672</v>
      </c>
      <c r="K995" s="7" t="s">
        <v>119</v>
      </c>
      <c r="L995" s="61">
        <v>45772</v>
      </c>
      <c r="M995" s="7" t="s">
        <v>111</v>
      </c>
      <c r="N995" s="61">
        <v>45772</v>
      </c>
      <c r="O995" s="61">
        <v>45772</v>
      </c>
      <c r="P995" s="59"/>
      <c r="Q995" s="124" t="e">
        <f>P995*#REF!</f>
        <v>#REF!</v>
      </c>
      <c r="R995" s="126">
        <v>45772</v>
      </c>
      <c r="S995" s="153">
        <f>IF(L995="","",L995-B995)</f>
        <v>1</v>
      </c>
      <c r="T995" s="153">
        <f>IF(N995="","",N995-L995)</f>
        <v>0</v>
      </c>
      <c r="U995" s="153">
        <f>IF(O995="","",O995-N995)</f>
        <v>0</v>
      </c>
      <c r="V995" s="154">
        <f>IF(O995="","",O995-B995)</f>
        <v>1</v>
      </c>
      <c r="W995" s="154">
        <f>IF(O995="","",O995-L995)</f>
        <v>0</v>
      </c>
      <c r="X995" s="154">
        <f>IF(R995="","",R995-B995)</f>
        <v>1</v>
      </c>
    </row>
    <row r="996" spans="2:24" ht="17.25" hidden="1" customHeight="1">
      <c r="B996" s="23">
        <v>45771</v>
      </c>
      <c r="C996" s="7">
        <v>2003664968</v>
      </c>
      <c r="D996" s="20">
        <v>5897530</v>
      </c>
      <c r="E996" s="27" t="s">
        <v>116</v>
      </c>
      <c r="F996" s="7" t="s">
        <v>107</v>
      </c>
      <c r="G996" s="7" t="s">
        <v>26</v>
      </c>
      <c r="H996" s="7" t="s">
        <v>45</v>
      </c>
      <c r="I996" s="20" t="s">
        <v>1673</v>
      </c>
      <c r="J996" s="20" t="s">
        <v>1674</v>
      </c>
      <c r="K996" s="7" t="s">
        <v>119</v>
      </c>
      <c r="L996" s="61">
        <v>45775</v>
      </c>
      <c r="M996" s="7" t="s">
        <v>111</v>
      </c>
      <c r="N996" s="24">
        <v>45776</v>
      </c>
      <c r="O996" s="58">
        <v>45776</v>
      </c>
      <c r="P996" s="59"/>
      <c r="Q996" s="124" t="e">
        <f>P996*#REF!</f>
        <v>#REF!</v>
      </c>
      <c r="R996" s="126">
        <v>45776</v>
      </c>
      <c r="S996" s="153">
        <f>IF(L996="","",L996-B996)</f>
        <v>4</v>
      </c>
      <c r="T996" s="153">
        <f>IF(N996="","",N996-L996)</f>
        <v>1</v>
      </c>
      <c r="U996" s="153">
        <f>IF(O996="","",O996-N996)</f>
        <v>0</v>
      </c>
      <c r="V996" s="154">
        <f>IF(O996="","",O996-B996)</f>
        <v>5</v>
      </c>
      <c r="W996" s="154">
        <f>IF(O996="","",O996-L996)</f>
        <v>1</v>
      </c>
      <c r="X996" s="154">
        <f>IF(R996="","",R996-B996)</f>
        <v>5</v>
      </c>
    </row>
    <row r="997" spans="2:24" ht="17.25" hidden="1" customHeight="1">
      <c r="B997" s="23">
        <v>45771</v>
      </c>
      <c r="C997" s="7">
        <v>2003665089</v>
      </c>
      <c r="D997" s="20">
        <v>5897535</v>
      </c>
      <c r="E997" s="27" t="s">
        <v>116</v>
      </c>
      <c r="F997" s="7" t="s">
        <v>107</v>
      </c>
      <c r="G997" s="7" t="s">
        <v>26</v>
      </c>
      <c r="H997" s="7" t="s">
        <v>45</v>
      </c>
      <c r="I997" s="20" t="s">
        <v>1675</v>
      </c>
      <c r="J997" s="20" t="s">
        <v>1676</v>
      </c>
      <c r="K997" s="7" t="s">
        <v>119</v>
      </c>
      <c r="L997" s="61">
        <v>45775</v>
      </c>
      <c r="M997" s="7" t="s">
        <v>111</v>
      </c>
      <c r="N997" s="24">
        <v>45776</v>
      </c>
      <c r="O997" s="58">
        <v>45776</v>
      </c>
      <c r="P997" s="59"/>
      <c r="Q997" s="124" t="e">
        <f>P997*#REF!</f>
        <v>#REF!</v>
      </c>
      <c r="R997" s="126">
        <v>45776</v>
      </c>
      <c r="S997" s="153">
        <f>IF(L997="","",L997-B997)</f>
        <v>4</v>
      </c>
      <c r="T997" s="153">
        <f>IF(N997="","",N997-L997)</f>
        <v>1</v>
      </c>
      <c r="U997" s="153">
        <f>IF(O997="","",O997-N997)</f>
        <v>0</v>
      </c>
      <c r="V997" s="154">
        <f>IF(O997="","",O997-B997)</f>
        <v>5</v>
      </c>
      <c r="W997" s="154">
        <f>IF(O997="","",O997-L997)</f>
        <v>1</v>
      </c>
      <c r="X997" s="154">
        <f>IF(R997="","",R997-B997)</f>
        <v>5</v>
      </c>
    </row>
    <row r="998" spans="2:24" ht="17.25" hidden="1" customHeight="1">
      <c r="B998" s="23">
        <v>45771</v>
      </c>
      <c r="C998" s="7">
        <v>2003665499</v>
      </c>
      <c r="D998" s="20">
        <v>5897553</v>
      </c>
      <c r="E998" s="27" t="s">
        <v>230</v>
      </c>
      <c r="F998" s="7" t="s">
        <v>107</v>
      </c>
      <c r="G998" s="7" t="s">
        <v>10</v>
      </c>
      <c r="H998" s="7" t="s">
        <v>45</v>
      </c>
      <c r="I998" s="20" t="s">
        <v>1677</v>
      </c>
      <c r="J998" s="20" t="s">
        <v>1678</v>
      </c>
      <c r="K998" s="7" t="s">
        <v>110</v>
      </c>
      <c r="L998" s="61">
        <v>45776</v>
      </c>
      <c r="M998" s="7" t="s">
        <v>111</v>
      </c>
      <c r="N998" s="61">
        <v>45776</v>
      </c>
      <c r="O998" s="58">
        <v>45777</v>
      </c>
      <c r="P998" s="59"/>
      <c r="Q998" s="124" t="e">
        <f>P998*#REF!</f>
        <v>#REF!</v>
      </c>
      <c r="R998" s="126">
        <v>45777</v>
      </c>
      <c r="S998" s="153">
        <f>IF(L998="","",L998-B998)</f>
        <v>5</v>
      </c>
      <c r="T998" s="153">
        <f>IF(N998="","",N998-L998)</f>
        <v>0</v>
      </c>
      <c r="U998" s="153">
        <f>IF(O998="","",O998-N998)</f>
        <v>1</v>
      </c>
      <c r="V998" s="154">
        <f>IF(O998="","",O998-B998)</f>
        <v>6</v>
      </c>
      <c r="W998" s="154">
        <f>IF(O998="","",O998-L998)</f>
        <v>1</v>
      </c>
      <c r="X998" s="154">
        <f>IF(R998="","",R998-B998)</f>
        <v>6</v>
      </c>
    </row>
    <row r="999" spans="2:24" ht="17.25" hidden="1" customHeight="1">
      <c r="B999" s="23">
        <v>45771</v>
      </c>
      <c r="C999" s="7">
        <v>2003667610</v>
      </c>
      <c r="D999" s="20">
        <v>5897554</v>
      </c>
      <c r="E999" s="27" t="s">
        <v>198</v>
      </c>
      <c r="F999" s="7" t="s">
        <v>107</v>
      </c>
      <c r="G999" s="7" t="s">
        <v>18</v>
      </c>
      <c r="H999" s="7" t="s">
        <v>45</v>
      </c>
      <c r="I999" s="20" t="s">
        <v>631</v>
      </c>
      <c r="J999" s="20" t="s">
        <v>1679</v>
      </c>
      <c r="K999" s="7" t="s">
        <v>119</v>
      </c>
      <c r="L999" s="61">
        <v>45775</v>
      </c>
      <c r="M999" s="7" t="s">
        <v>111</v>
      </c>
      <c r="N999" s="61">
        <v>45776</v>
      </c>
      <c r="O999" s="61">
        <v>45776</v>
      </c>
      <c r="P999" s="59"/>
      <c r="Q999" s="124" t="e">
        <f>P999*#REF!</f>
        <v>#REF!</v>
      </c>
      <c r="R999" s="126">
        <v>45776</v>
      </c>
      <c r="S999" s="153">
        <f>IF(L999="","",L999-B999)</f>
        <v>4</v>
      </c>
      <c r="T999" s="153">
        <f>IF(N999="","",N999-L999)</f>
        <v>1</v>
      </c>
      <c r="U999" s="153">
        <f>IF(O999="","",O999-N999)</f>
        <v>0</v>
      </c>
      <c r="V999" s="154">
        <f>IF(O999="","",O999-B999)</f>
        <v>5</v>
      </c>
      <c r="W999" s="154">
        <f>IF(O999="","",O999-L999)</f>
        <v>1</v>
      </c>
      <c r="X999" s="154">
        <f>IF(R999="","",R999-B999)</f>
        <v>5</v>
      </c>
    </row>
    <row r="1000" spans="2:24" ht="17.25" hidden="1" customHeight="1">
      <c r="B1000" s="23">
        <v>45775</v>
      </c>
      <c r="C1000" s="7">
        <v>2003665491</v>
      </c>
      <c r="D1000" s="20">
        <v>152784</v>
      </c>
      <c r="E1000" s="27" t="s">
        <v>185</v>
      </c>
      <c r="F1000" s="7" t="s">
        <v>107</v>
      </c>
      <c r="G1000" s="7" t="s">
        <v>10</v>
      </c>
      <c r="H1000" s="7" t="s">
        <v>45</v>
      </c>
      <c r="I1000" s="20" t="s">
        <v>247</v>
      </c>
      <c r="J1000" s="20" t="s">
        <v>1680</v>
      </c>
      <c r="K1000" s="7" t="s">
        <v>119</v>
      </c>
      <c r="L1000" s="61">
        <v>45782</v>
      </c>
      <c r="M1000" s="7" t="s">
        <v>111</v>
      </c>
      <c r="N1000" s="61">
        <v>45782</v>
      </c>
      <c r="O1000" s="61">
        <v>45782</v>
      </c>
      <c r="P1000" s="59"/>
      <c r="Q1000" s="124" t="e">
        <f>P1000*#REF!</f>
        <v>#REF!</v>
      </c>
      <c r="R1000" s="126">
        <v>45783</v>
      </c>
      <c r="S1000" s="153">
        <f>IF(L1000="","",L1000-B1000)</f>
        <v>7</v>
      </c>
      <c r="T1000" s="153">
        <f>IF(N1000="","",N1000-L1000)</f>
        <v>0</v>
      </c>
      <c r="U1000" s="153">
        <f>IF(O1000="","",O1000-N1000)</f>
        <v>0</v>
      </c>
      <c r="V1000" s="154">
        <f>IF(O1000="","",O1000-B1000)</f>
        <v>7</v>
      </c>
      <c r="W1000" s="154">
        <f>IF(O1000="","",O1000-L1000)</f>
        <v>0</v>
      </c>
      <c r="X1000" s="154">
        <f>IF(R1000="","",R1000-B1000)</f>
        <v>8</v>
      </c>
    </row>
    <row r="1001" spans="2:24" ht="17.25" hidden="1" customHeight="1">
      <c r="B1001" s="23">
        <v>45771</v>
      </c>
      <c r="C1001" s="7">
        <v>2003664710</v>
      </c>
      <c r="D1001" s="20">
        <v>5897569</v>
      </c>
      <c r="E1001" s="27" t="s">
        <v>230</v>
      </c>
      <c r="F1001" s="7" t="s">
        <v>107</v>
      </c>
      <c r="G1001" s="7" t="s">
        <v>26</v>
      </c>
      <c r="H1001" s="7" t="s">
        <v>45</v>
      </c>
      <c r="I1001" s="20" t="s">
        <v>1681</v>
      </c>
      <c r="J1001" s="20" t="s">
        <v>1682</v>
      </c>
      <c r="K1001" s="7" t="s">
        <v>110</v>
      </c>
      <c r="L1001" s="61">
        <v>45775</v>
      </c>
      <c r="M1001" s="7" t="s">
        <v>111</v>
      </c>
      <c r="N1001" s="24">
        <v>45776</v>
      </c>
      <c r="O1001" s="58">
        <v>45776</v>
      </c>
      <c r="P1001" s="59"/>
      <c r="Q1001" s="124" t="e">
        <f>P1001*#REF!</f>
        <v>#REF!</v>
      </c>
      <c r="R1001" s="126">
        <v>45776</v>
      </c>
      <c r="S1001" s="153">
        <f>IF(L1001="","",L1001-B1001)</f>
        <v>4</v>
      </c>
      <c r="T1001" s="153">
        <f>IF(N1001="","",N1001-L1001)</f>
        <v>1</v>
      </c>
      <c r="U1001" s="153">
        <f>IF(O1001="","",O1001-N1001)</f>
        <v>0</v>
      </c>
      <c r="V1001" s="154">
        <f>IF(O1001="","",O1001-B1001)</f>
        <v>5</v>
      </c>
      <c r="W1001" s="154">
        <f>IF(O1001="","",O1001-L1001)</f>
        <v>1</v>
      </c>
      <c r="X1001" s="154">
        <f>IF(R1001="","",R1001-B1001)</f>
        <v>5</v>
      </c>
    </row>
    <row r="1002" spans="2:24" ht="17.25" hidden="1" customHeight="1">
      <c r="B1002" s="23">
        <v>45775</v>
      </c>
      <c r="C1002" s="7">
        <v>2003651766</v>
      </c>
      <c r="D1002" s="20">
        <v>152824</v>
      </c>
      <c r="E1002" s="27" t="s">
        <v>201</v>
      </c>
      <c r="F1002" s="7" t="s">
        <v>107</v>
      </c>
      <c r="G1002" s="7" t="s">
        <v>26</v>
      </c>
      <c r="H1002" s="7" t="s">
        <v>45</v>
      </c>
      <c r="I1002" s="20" t="s">
        <v>1683</v>
      </c>
      <c r="J1002" s="20" t="s">
        <v>1684</v>
      </c>
      <c r="K1002" s="7" t="s">
        <v>122</v>
      </c>
      <c r="L1002" s="61">
        <v>45777</v>
      </c>
      <c r="M1002" s="7" t="s">
        <v>111</v>
      </c>
      <c r="N1002" s="24">
        <v>45782</v>
      </c>
      <c r="O1002" s="23">
        <v>45782</v>
      </c>
      <c r="P1002" s="59"/>
      <c r="Q1002" s="124" t="e">
        <f>P1002*#REF!</f>
        <v>#REF!</v>
      </c>
      <c r="R1002" s="126">
        <v>45782</v>
      </c>
      <c r="S1002" s="153">
        <f>IF(L1002="","",L1002-B1002)</f>
        <v>2</v>
      </c>
      <c r="T1002" s="153">
        <f>IF(N1002="","",N1002-L1002)</f>
        <v>5</v>
      </c>
      <c r="U1002" s="153">
        <f>IF(O1002="","",O1002-N1002)</f>
        <v>0</v>
      </c>
      <c r="V1002" s="154">
        <f>IF(O1002="","",O1002-B1002)</f>
        <v>7</v>
      </c>
      <c r="W1002" s="154">
        <f>IF(O1002="","",O1002-L1002)</f>
        <v>5</v>
      </c>
      <c r="X1002" s="154">
        <f>IF(R1002="","",R1002-B1002)</f>
        <v>7</v>
      </c>
    </row>
    <row r="1003" spans="2:24" ht="17.25" hidden="1" customHeight="1">
      <c r="B1003" s="23">
        <v>45771</v>
      </c>
      <c r="C1003" s="7">
        <v>2003581089</v>
      </c>
      <c r="D1003" s="20">
        <v>5897602</v>
      </c>
      <c r="E1003" s="27" t="s">
        <v>149</v>
      </c>
      <c r="F1003" s="7" t="s">
        <v>107</v>
      </c>
      <c r="G1003" s="7" t="s">
        <v>10</v>
      </c>
      <c r="H1003" s="7" t="s">
        <v>45</v>
      </c>
      <c r="I1003" s="20" t="s">
        <v>322</v>
      </c>
      <c r="J1003" s="20" t="s">
        <v>323</v>
      </c>
      <c r="K1003" s="7" t="s">
        <v>111</v>
      </c>
      <c r="L1003" s="61">
        <v>45772</v>
      </c>
      <c r="M1003" s="7" t="s">
        <v>111</v>
      </c>
      <c r="N1003" s="61">
        <v>45772</v>
      </c>
      <c r="O1003" s="61">
        <v>45772</v>
      </c>
      <c r="P1003" s="59"/>
      <c r="Q1003" s="124" t="e">
        <f>P1003*#REF!</f>
        <v>#REF!</v>
      </c>
      <c r="R1003" s="126">
        <v>45772</v>
      </c>
      <c r="S1003" s="153">
        <f>IF(L1003="","",L1003-B1003)</f>
        <v>1</v>
      </c>
      <c r="T1003" s="153">
        <f>IF(N1003="","",N1003-L1003)</f>
        <v>0</v>
      </c>
      <c r="U1003" s="153">
        <f>IF(O1003="","",O1003-N1003)</f>
        <v>0</v>
      </c>
      <c r="V1003" s="154">
        <f>IF(O1003="","",O1003-B1003)</f>
        <v>1</v>
      </c>
      <c r="W1003" s="154">
        <f>IF(O1003="","",O1003-L1003)</f>
        <v>0</v>
      </c>
      <c r="X1003" s="154">
        <f>IF(R1003="","",R1003-B1003)</f>
        <v>1</v>
      </c>
    </row>
    <row r="1004" spans="2:24" ht="17.25" hidden="1" customHeight="1">
      <c r="B1004" s="23">
        <v>45775</v>
      </c>
      <c r="C1004" s="7">
        <v>2003669729</v>
      </c>
      <c r="D1004" s="20">
        <v>152849</v>
      </c>
      <c r="E1004" s="27" t="s">
        <v>106</v>
      </c>
      <c r="F1004" s="7" t="s">
        <v>107</v>
      </c>
      <c r="G1004" s="7" t="s">
        <v>10</v>
      </c>
      <c r="H1004" s="7" t="s">
        <v>45</v>
      </c>
      <c r="I1004" s="20" t="s">
        <v>1607</v>
      </c>
      <c r="J1004" s="20" t="s">
        <v>1685</v>
      </c>
      <c r="K1004" s="7" t="s">
        <v>110</v>
      </c>
      <c r="L1004" s="61">
        <v>45783</v>
      </c>
      <c r="M1004" s="7" t="s">
        <v>111</v>
      </c>
      <c r="N1004" s="61">
        <v>45783</v>
      </c>
      <c r="O1004" s="130">
        <v>45784</v>
      </c>
      <c r="P1004" s="59"/>
      <c r="Q1004" s="124" t="e">
        <f>P1004*#REF!</f>
        <v>#REF!</v>
      </c>
      <c r="R1004" s="126">
        <v>45784</v>
      </c>
      <c r="S1004" s="153">
        <f>IF(L1004="","",L1004-B1004)</f>
        <v>8</v>
      </c>
      <c r="T1004" s="153">
        <f>IF(N1004="","",N1004-L1004)</f>
        <v>0</v>
      </c>
      <c r="U1004" s="153">
        <f>IF(O1004="","",O1004-N1004)</f>
        <v>1</v>
      </c>
      <c r="V1004" s="154">
        <f>IF(O1004="","",O1004-B1004)</f>
        <v>9</v>
      </c>
      <c r="W1004" s="154">
        <f>IF(O1004="","",O1004-L1004)</f>
        <v>1</v>
      </c>
      <c r="X1004" s="154">
        <f>IF(R1004="","",R1004-B1004)</f>
        <v>9</v>
      </c>
    </row>
    <row r="1005" spans="2:24" ht="17.25" hidden="1" customHeight="1">
      <c r="B1005" s="23">
        <v>45771</v>
      </c>
      <c r="C1005" s="7">
        <v>2003671388</v>
      </c>
      <c r="D1005" s="20">
        <v>5897713</v>
      </c>
      <c r="E1005" s="27" t="s">
        <v>230</v>
      </c>
      <c r="F1005" s="7" t="s">
        <v>107</v>
      </c>
      <c r="G1005" s="7" t="s">
        <v>18</v>
      </c>
      <c r="H1005" s="7" t="s">
        <v>45</v>
      </c>
      <c r="I1005" s="20" t="s">
        <v>247</v>
      </c>
      <c r="J1005" s="20" t="s">
        <v>1686</v>
      </c>
      <c r="K1005" s="7" t="s">
        <v>110</v>
      </c>
      <c r="L1005" s="61">
        <v>45775</v>
      </c>
      <c r="M1005" s="7" t="s">
        <v>111</v>
      </c>
      <c r="N1005" s="61">
        <v>45775</v>
      </c>
      <c r="O1005" s="58">
        <v>45776</v>
      </c>
      <c r="P1005" s="59"/>
      <c r="Q1005" s="124" t="e">
        <f>P1005*#REF!</f>
        <v>#REF!</v>
      </c>
      <c r="R1005" s="126">
        <v>45776</v>
      </c>
      <c r="S1005" s="153">
        <f>IF(L1005="","",L1005-B1005)</f>
        <v>4</v>
      </c>
      <c r="T1005" s="153">
        <f>IF(N1005="","",N1005-L1005)</f>
        <v>0</v>
      </c>
      <c r="U1005" s="153">
        <f>IF(O1005="","",O1005-N1005)</f>
        <v>1</v>
      </c>
      <c r="V1005" s="154">
        <f>IF(O1005="","",O1005-B1005)</f>
        <v>5</v>
      </c>
      <c r="W1005" s="154">
        <f>IF(O1005="","",O1005-L1005)</f>
        <v>1</v>
      </c>
      <c r="X1005" s="154">
        <f>IF(R1005="","",R1005-B1005)</f>
        <v>5</v>
      </c>
    </row>
    <row r="1006" spans="2:24" ht="17.25" hidden="1" customHeight="1">
      <c r="B1006" s="23">
        <v>45776</v>
      </c>
      <c r="C1006" s="7">
        <v>2003667069</v>
      </c>
      <c r="D1006" s="20">
        <v>153449</v>
      </c>
      <c r="E1006" s="27" t="s">
        <v>408</v>
      </c>
      <c r="F1006" s="7" t="s">
        <v>107</v>
      </c>
      <c r="G1006" s="7" t="s">
        <v>10</v>
      </c>
      <c r="H1006" s="7" t="s">
        <v>45</v>
      </c>
      <c r="I1006" s="20" t="s">
        <v>1687</v>
      </c>
      <c r="J1006" s="20" t="s">
        <v>1688</v>
      </c>
      <c r="K1006" s="7" t="s">
        <v>110</v>
      </c>
      <c r="L1006" s="61">
        <v>45782</v>
      </c>
      <c r="M1006" s="7" t="s">
        <v>111</v>
      </c>
      <c r="N1006" s="24">
        <v>45786</v>
      </c>
      <c r="O1006" s="106">
        <v>45786</v>
      </c>
      <c r="P1006" s="59"/>
      <c r="Q1006" s="124" t="e">
        <f>P1006*#REF!</f>
        <v>#REF!</v>
      </c>
      <c r="R1006" s="126">
        <v>45789</v>
      </c>
      <c r="S1006" s="153">
        <f>IF(L1006="","",L1006-B1006)</f>
        <v>6</v>
      </c>
      <c r="T1006" s="153">
        <f>IF(N1006="","",N1006-L1006)</f>
        <v>4</v>
      </c>
      <c r="U1006" s="153">
        <f>IF(O1006="","",O1006-N1006)</f>
        <v>0</v>
      </c>
      <c r="V1006" s="154">
        <f>IF(O1006="","",O1006-B1006)</f>
        <v>10</v>
      </c>
      <c r="W1006" s="154">
        <f>IF(O1006="","",O1006-L1006)</f>
        <v>4</v>
      </c>
      <c r="X1006" s="154">
        <f>IF(R1006="","",R1006-B1006)</f>
        <v>13</v>
      </c>
    </row>
    <row r="1007" spans="2:24" ht="17.25" hidden="1" customHeight="1">
      <c r="B1007" s="23">
        <v>45771</v>
      </c>
      <c r="C1007" s="7">
        <v>2003668801</v>
      </c>
      <c r="D1007" s="20">
        <v>5897767</v>
      </c>
      <c r="E1007" s="27" t="s">
        <v>198</v>
      </c>
      <c r="F1007" s="7" t="s">
        <v>107</v>
      </c>
      <c r="G1007" s="7" t="s">
        <v>10</v>
      </c>
      <c r="H1007" s="7" t="s">
        <v>45</v>
      </c>
      <c r="I1007" s="20" t="s">
        <v>1689</v>
      </c>
      <c r="J1007" s="20" t="s">
        <v>1690</v>
      </c>
      <c r="K1007" s="7" t="s">
        <v>119</v>
      </c>
      <c r="L1007" s="61">
        <v>45777</v>
      </c>
      <c r="M1007" s="7" t="s">
        <v>111</v>
      </c>
      <c r="N1007" s="61">
        <v>45777</v>
      </c>
      <c r="O1007" s="61">
        <v>45777</v>
      </c>
      <c r="P1007" s="59"/>
      <c r="Q1007" s="124" t="e">
        <f>P1007*#REF!</f>
        <v>#REF!</v>
      </c>
      <c r="R1007" s="126">
        <v>45777</v>
      </c>
      <c r="S1007" s="153">
        <f>IF(L1007="","",L1007-B1007)</f>
        <v>6</v>
      </c>
      <c r="T1007" s="153">
        <f>IF(N1007="","",N1007-L1007)</f>
        <v>0</v>
      </c>
      <c r="U1007" s="153">
        <f>IF(O1007="","",O1007-N1007)</f>
        <v>0</v>
      </c>
      <c r="V1007" s="154">
        <f>IF(O1007="","",O1007-B1007)</f>
        <v>6</v>
      </c>
      <c r="W1007" s="154">
        <f>IF(O1007="","",O1007-L1007)</f>
        <v>0</v>
      </c>
      <c r="X1007" s="154">
        <f>IF(R1007="","",R1007-B1007)</f>
        <v>6</v>
      </c>
    </row>
    <row r="1008" spans="2:24" ht="17.25" hidden="1" customHeight="1">
      <c r="B1008" s="23">
        <v>45771</v>
      </c>
      <c r="C1008" s="7">
        <v>2003667712</v>
      </c>
      <c r="D1008" s="20">
        <v>5897775</v>
      </c>
      <c r="E1008" s="27" t="s">
        <v>191</v>
      </c>
      <c r="F1008" s="7" t="s">
        <v>107</v>
      </c>
      <c r="G1008" s="7" t="s">
        <v>10</v>
      </c>
      <c r="H1008" s="7" t="s">
        <v>45</v>
      </c>
      <c r="I1008" s="20" t="s">
        <v>1691</v>
      </c>
      <c r="J1008" s="20" t="s">
        <v>1692</v>
      </c>
      <c r="K1008" s="7" t="s">
        <v>110</v>
      </c>
      <c r="L1008" s="61">
        <v>45776</v>
      </c>
      <c r="M1008" s="7" t="s">
        <v>111</v>
      </c>
      <c r="N1008" s="24">
        <v>45777</v>
      </c>
      <c r="O1008" s="24">
        <v>45777</v>
      </c>
      <c r="P1008" s="59"/>
      <c r="Q1008" s="124" t="e">
        <f>P1008*#REF!</f>
        <v>#REF!</v>
      </c>
      <c r="R1008" s="126">
        <v>45777</v>
      </c>
      <c r="S1008" s="153">
        <f>IF(L1008="","",L1008-B1008)</f>
        <v>5</v>
      </c>
      <c r="T1008" s="153">
        <f>IF(N1008="","",N1008-L1008)</f>
        <v>1</v>
      </c>
      <c r="U1008" s="153">
        <f>IF(O1008="","",O1008-N1008)</f>
        <v>0</v>
      </c>
      <c r="V1008" s="154">
        <f>IF(O1008="","",O1008-B1008)</f>
        <v>6</v>
      </c>
      <c r="W1008" s="154">
        <f>IF(O1008="","",O1008-L1008)</f>
        <v>1</v>
      </c>
      <c r="X1008" s="154">
        <f>IF(R1008="","",R1008-B1008)</f>
        <v>6</v>
      </c>
    </row>
    <row r="1009" spans="2:24" ht="17.25" hidden="1" customHeight="1">
      <c r="B1009" s="23">
        <v>45771</v>
      </c>
      <c r="C1009" s="7">
        <v>2003669097</v>
      </c>
      <c r="D1009" s="20">
        <v>5897783</v>
      </c>
      <c r="E1009" s="27" t="s">
        <v>201</v>
      </c>
      <c r="F1009" s="7" t="s">
        <v>107</v>
      </c>
      <c r="G1009" s="7" t="s">
        <v>10</v>
      </c>
      <c r="H1009" s="7" t="s">
        <v>45</v>
      </c>
      <c r="I1009" s="20" t="s">
        <v>959</v>
      </c>
      <c r="J1009" s="20" t="s">
        <v>1693</v>
      </c>
      <c r="K1009" s="7" t="s">
        <v>119</v>
      </c>
      <c r="L1009" s="61">
        <v>45776</v>
      </c>
      <c r="M1009" s="7" t="s">
        <v>111</v>
      </c>
      <c r="N1009" s="61">
        <v>45776</v>
      </c>
      <c r="O1009" s="61">
        <v>45776</v>
      </c>
      <c r="P1009" s="59"/>
      <c r="Q1009" s="124" t="e">
        <f>P1009*#REF!</f>
        <v>#REF!</v>
      </c>
      <c r="R1009" s="126">
        <v>45777</v>
      </c>
      <c r="S1009" s="153">
        <f>IF(L1009="","",L1009-B1009)</f>
        <v>5</v>
      </c>
      <c r="T1009" s="153">
        <f>IF(N1009="","",N1009-L1009)</f>
        <v>0</v>
      </c>
      <c r="U1009" s="153">
        <f>IF(O1009="","",O1009-N1009)</f>
        <v>0</v>
      </c>
      <c r="V1009" s="154">
        <f>IF(O1009="","",O1009-B1009)</f>
        <v>5</v>
      </c>
      <c r="W1009" s="154">
        <f>IF(O1009="","",O1009-L1009)</f>
        <v>0</v>
      </c>
      <c r="X1009" s="154">
        <f>IF(R1009="","",R1009-B1009)</f>
        <v>6</v>
      </c>
    </row>
    <row r="1010" spans="2:24" ht="17.25" hidden="1" customHeight="1">
      <c r="B1010" s="23">
        <v>45771</v>
      </c>
      <c r="C1010" s="7">
        <v>2003670709</v>
      </c>
      <c r="D1010" s="20">
        <v>5897790</v>
      </c>
      <c r="E1010" s="27" t="s">
        <v>201</v>
      </c>
      <c r="F1010" s="7" t="s">
        <v>107</v>
      </c>
      <c r="G1010" s="7" t="s">
        <v>10</v>
      </c>
      <c r="H1010" s="7" t="s">
        <v>45</v>
      </c>
      <c r="I1010" s="20" t="s">
        <v>1127</v>
      </c>
      <c r="J1010" s="20" t="s">
        <v>1694</v>
      </c>
      <c r="K1010" s="7" t="s">
        <v>110</v>
      </c>
      <c r="L1010" s="61">
        <v>45775</v>
      </c>
      <c r="M1010" s="7" t="s">
        <v>111</v>
      </c>
      <c r="N1010" s="61">
        <v>45775</v>
      </c>
      <c r="O1010" s="61">
        <v>45775</v>
      </c>
      <c r="P1010" s="59"/>
      <c r="Q1010" s="124" t="e">
        <f>P1010*#REF!</f>
        <v>#REF!</v>
      </c>
      <c r="R1010" s="126">
        <v>45776</v>
      </c>
      <c r="S1010" s="153">
        <f>IF(L1010="","",L1010-B1010)</f>
        <v>4</v>
      </c>
      <c r="T1010" s="153">
        <f>IF(N1010="","",N1010-L1010)</f>
        <v>0</v>
      </c>
      <c r="U1010" s="153">
        <f>IF(O1010="","",O1010-N1010)</f>
        <v>0</v>
      </c>
      <c r="V1010" s="154">
        <f>IF(O1010="","",O1010-B1010)</f>
        <v>4</v>
      </c>
      <c r="W1010" s="154">
        <f>IF(O1010="","",O1010-L1010)</f>
        <v>0</v>
      </c>
      <c r="X1010" s="154">
        <f>IF(R1010="","",R1010-B1010)</f>
        <v>5</v>
      </c>
    </row>
    <row r="1011" spans="2:24" ht="17.25" hidden="1" customHeight="1">
      <c r="B1011" s="23">
        <v>45776</v>
      </c>
      <c r="C1011" s="7">
        <v>2003666163</v>
      </c>
      <c r="D1011" s="20">
        <v>153608</v>
      </c>
      <c r="E1011" s="27" t="s">
        <v>106</v>
      </c>
      <c r="F1011" s="7" t="s">
        <v>107</v>
      </c>
      <c r="G1011" s="7" t="s">
        <v>10</v>
      </c>
      <c r="H1011" s="7" t="s">
        <v>45</v>
      </c>
      <c r="I1011" s="20" t="s">
        <v>1695</v>
      </c>
      <c r="J1011" s="20" t="s">
        <v>1696</v>
      </c>
      <c r="K1011" s="7" t="s">
        <v>110</v>
      </c>
      <c r="L1011" s="61">
        <v>45782</v>
      </c>
      <c r="M1011" s="7" t="s">
        <v>111</v>
      </c>
      <c r="N1011" s="61">
        <v>45782</v>
      </c>
      <c r="O1011" s="130">
        <v>45782</v>
      </c>
      <c r="P1011" s="59"/>
      <c r="Q1011" s="124" t="e">
        <f>P1011*#REF!</f>
        <v>#REF!</v>
      </c>
      <c r="R1011" s="126">
        <v>45786</v>
      </c>
      <c r="S1011" s="153">
        <f>IF(L1011="","",L1011-B1011)</f>
        <v>6</v>
      </c>
      <c r="T1011" s="153">
        <f>IF(N1011="","",N1011-L1011)</f>
        <v>0</v>
      </c>
      <c r="U1011" s="153">
        <f>IF(O1011="","",O1011-N1011)</f>
        <v>0</v>
      </c>
      <c r="V1011" s="154">
        <f>IF(O1011="","",O1011-B1011)</f>
        <v>6</v>
      </c>
      <c r="W1011" s="154">
        <f>IF(O1011="","",O1011-L1011)</f>
        <v>0</v>
      </c>
      <c r="X1011" s="154">
        <f>IF(R1011="","",R1011-B1011)</f>
        <v>10</v>
      </c>
    </row>
    <row r="1012" spans="2:24" ht="17.25" hidden="1" customHeight="1">
      <c r="B1012" s="23">
        <v>45771</v>
      </c>
      <c r="C1012" s="7">
        <v>2003666348</v>
      </c>
      <c r="D1012" s="20">
        <v>5897797</v>
      </c>
      <c r="E1012" s="27" t="s">
        <v>568</v>
      </c>
      <c r="F1012" s="7" t="s">
        <v>107</v>
      </c>
      <c r="G1012" s="7" t="s">
        <v>26</v>
      </c>
      <c r="H1012" s="7" t="s">
        <v>45</v>
      </c>
      <c r="I1012" s="20" t="s">
        <v>1002</v>
      </c>
      <c r="J1012" s="20" t="s">
        <v>1697</v>
      </c>
      <c r="K1012" s="7" t="s">
        <v>119</v>
      </c>
      <c r="L1012" s="61">
        <v>45775</v>
      </c>
      <c r="M1012" s="7" t="s">
        <v>111</v>
      </c>
      <c r="N1012" s="24">
        <v>45776</v>
      </c>
      <c r="O1012" s="58">
        <v>45776</v>
      </c>
      <c r="P1012" s="59"/>
      <c r="Q1012" s="124" t="e">
        <f>P1012*#REF!</f>
        <v>#REF!</v>
      </c>
      <c r="R1012" s="126">
        <v>45776</v>
      </c>
      <c r="S1012" s="153">
        <f>IF(L1012="","",L1012-B1012)</f>
        <v>4</v>
      </c>
      <c r="T1012" s="153">
        <f>IF(N1012="","",N1012-L1012)</f>
        <v>1</v>
      </c>
      <c r="U1012" s="153">
        <f>IF(O1012="","",O1012-N1012)</f>
        <v>0</v>
      </c>
      <c r="V1012" s="154">
        <f>IF(O1012="","",O1012-B1012)</f>
        <v>5</v>
      </c>
      <c r="W1012" s="154">
        <f>IF(O1012="","",O1012-L1012)</f>
        <v>1</v>
      </c>
      <c r="X1012" s="154">
        <f>IF(R1012="","",R1012-B1012)</f>
        <v>5</v>
      </c>
    </row>
    <row r="1013" spans="2:24" ht="17.25" hidden="1" customHeight="1">
      <c r="B1013" s="23">
        <v>45771</v>
      </c>
      <c r="C1013" s="7">
        <v>2003666265</v>
      </c>
      <c r="D1013" s="20">
        <v>5897800</v>
      </c>
      <c r="E1013" s="27" t="s">
        <v>201</v>
      </c>
      <c r="F1013" s="7" t="s">
        <v>107</v>
      </c>
      <c r="G1013" s="7" t="s">
        <v>10</v>
      </c>
      <c r="H1013" s="7" t="s">
        <v>45</v>
      </c>
      <c r="I1013" s="20" t="s">
        <v>1698</v>
      </c>
      <c r="J1013" s="20" t="s">
        <v>1699</v>
      </c>
      <c r="K1013" s="7" t="s">
        <v>110</v>
      </c>
      <c r="L1013" s="61">
        <v>45776</v>
      </c>
      <c r="M1013" s="7" t="s">
        <v>111</v>
      </c>
      <c r="N1013" s="61">
        <v>45776</v>
      </c>
      <c r="O1013" s="61">
        <v>45776</v>
      </c>
      <c r="P1013" s="59"/>
      <c r="Q1013" s="124" t="e">
        <f>P1013*#REF!</f>
        <v>#REF!</v>
      </c>
      <c r="R1013" s="126">
        <v>45777</v>
      </c>
      <c r="S1013" s="153">
        <f>IF(L1013="","",L1013-B1013)</f>
        <v>5</v>
      </c>
      <c r="T1013" s="153">
        <f>IF(N1013="","",N1013-L1013)</f>
        <v>0</v>
      </c>
      <c r="U1013" s="153">
        <f>IF(O1013="","",O1013-N1013)</f>
        <v>0</v>
      </c>
      <c r="V1013" s="154">
        <f>IF(O1013="","",O1013-B1013)</f>
        <v>5</v>
      </c>
      <c r="W1013" s="154">
        <f>IF(O1013="","",O1013-L1013)</f>
        <v>0</v>
      </c>
      <c r="X1013" s="154">
        <f>IF(R1013="","",R1013-B1013)</f>
        <v>6</v>
      </c>
    </row>
    <row r="1014" spans="2:24" ht="17.25" hidden="1" customHeight="1">
      <c r="B1014" s="23">
        <v>45771</v>
      </c>
      <c r="C1014" s="7">
        <v>2003668670</v>
      </c>
      <c r="D1014" s="20">
        <v>5897810</v>
      </c>
      <c r="E1014" s="27" t="s">
        <v>201</v>
      </c>
      <c r="F1014" s="7" t="s">
        <v>107</v>
      </c>
      <c r="G1014" s="7" t="s">
        <v>10</v>
      </c>
      <c r="H1014" s="7" t="s">
        <v>45</v>
      </c>
      <c r="I1014" s="20" t="s">
        <v>1695</v>
      </c>
      <c r="J1014" s="20" t="s">
        <v>1700</v>
      </c>
      <c r="K1014" s="7" t="s">
        <v>110</v>
      </c>
      <c r="L1014" s="61">
        <v>45776</v>
      </c>
      <c r="M1014" s="7" t="s">
        <v>111</v>
      </c>
      <c r="N1014" s="24">
        <v>45777</v>
      </c>
      <c r="O1014" s="24">
        <v>45777</v>
      </c>
      <c r="P1014" s="59"/>
      <c r="Q1014" s="124" t="e">
        <f>P1014*#REF!</f>
        <v>#REF!</v>
      </c>
      <c r="R1014" s="126">
        <v>45777</v>
      </c>
      <c r="S1014" s="153">
        <f>IF(L1014="","",L1014-B1014)</f>
        <v>5</v>
      </c>
      <c r="T1014" s="153">
        <f>IF(N1014="","",N1014-L1014)</f>
        <v>1</v>
      </c>
      <c r="U1014" s="153">
        <f>IF(O1014="","",O1014-N1014)</f>
        <v>0</v>
      </c>
      <c r="V1014" s="154">
        <f>IF(O1014="","",O1014-B1014)</f>
        <v>6</v>
      </c>
      <c r="W1014" s="154">
        <f>IF(O1014="","",O1014-L1014)</f>
        <v>1</v>
      </c>
      <c r="X1014" s="154">
        <f>IF(R1014="","",R1014-B1014)</f>
        <v>6</v>
      </c>
    </row>
    <row r="1015" spans="2:24" ht="17.25" hidden="1" customHeight="1">
      <c r="B1015" s="23">
        <v>45771</v>
      </c>
      <c r="C1015" s="7">
        <v>2003664737</v>
      </c>
      <c r="D1015" s="20">
        <v>5897854</v>
      </c>
      <c r="E1015" s="27" t="s">
        <v>201</v>
      </c>
      <c r="F1015" s="7" t="s">
        <v>107</v>
      </c>
      <c r="G1015" s="7" t="s">
        <v>10</v>
      </c>
      <c r="H1015" s="7" t="s">
        <v>45</v>
      </c>
      <c r="I1015" s="20" t="s">
        <v>1701</v>
      </c>
      <c r="J1015" s="20" t="s">
        <v>1702</v>
      </c>
      <c r="K1015" s="7" t="s">
        <v>110</v>
      </c>
      <c r="L1015" s="61">
        <v>45775</v>
      </c>
      <c r="M1015" s="7" t="s">
        <v>111</v>
      </c>
      <c r="N1015" s="61">
        <v>45775</v>
      </c>
      <c r="O1015" s="58">
        <v>45776</v>
      </c>
      <c r="P1015" s="59"/>
      <c r="Q1015" s="124" t="e">
        <f>P1015*#REF!</f>
        <v>#REF!</v>
      </c>
      <c r="R1015" s="126">
        <v>45776</v>
      </c>
      <c r="S1015" s="153">
        <f>IF(L1015="","",L1015-B1015)</f>
        <v>4</v>
      </c>
      <c r="T1015" s="153">
        <f>IF(N1015="","",N1015-L1015)</f>
        <v>0</v>
      </c>
      <c r="U1015" s="153">
        <f>IF(O1015="","",O1015-N1015)</f>
        <v>1</v>
      </c>
      <c r="V1015" s="154">
        <f>IF(O1015="","",O1015-B1015)</f>
        <v>5</v>
      </c>
      <c r="W1015" s="154">
        <f>IF(O1015="","",O1015-L1015)</f>
        <v>1</v>
      </c>
      <c r="X1015" s="154">
        <f>IF(R1015="","",R1015-B1015)</f>
        <v>5</v>
      </c>
    </row>
    <row r="1016" spans="2:24" ht="17.25" hidden="1" customHeight="1">
      <c r="B1016" s="23">
        <v>45771</v>
      </c>
      <c r="C1016" s="7">
        <v>2003667588</v>
      </c>
      <c r="D1016" s="20">
        <v>5897867</v>
      </c>
      <c r="E1016" s="27" t="s">
        <v>123</v>
      </c>
      <c r="F1016" s="7" t="s">
        <v>107</v>
      </c>
      <c r="G1016" s="7" t="s">
        <v>18</v>
      </c>
      <c r="H1016" s="7" t="s">
        <v>45</v>
      </c>
      <c r="I1016" s="20" t="s">
        <v>1703</v>
      </c>
      <c r="J1016" s="20" t="s">
        <v>1704</v>
      </c>
      <c r="K1016" s="7" t="s">
        <v>119</v>
      </c>
      <c r="L1016" s="61">
        <v>45775</v>
      </c>
      <c r="M1016" s="7" t="s">
        <v>111</v>
      </c>
      <c r="N1016" s="61">
        <v>45776</v>
      </c>
      <c r="O1016" s="61">
        <v>45776</v>
      </c>
      <c r="P1016" s="59"/>
      <c r="Q1016" s="124" t="e">
        <f>P1016*#REF!</f>
        <v>#REF!</v>
      </c>
      <c r="R1016" s="126">
        <v>45776</v>
      </c>
      <c r="S1016" s="153">
        <f>IF(L1016="","",L1016-B1016)</f>
        <v>4</v>
      </c>
      <c r="T1016" s="153">
        <f>IF(N1016="","",N1016-L1016)</f>
        <v>1</v>
      </c>
      <c r="U1016" s="153">
        <f>IF(O1016="","",O1016-N1016)</f>
        <v>0</v>
      </c>
      <c r="V1016" s="154">
        <f>IF(O1016="","",O1016-B1016)</f>
        <v>5</v>
      </c>
      <c r="W1016" s="154">
        <f>IF(O1016="","",O1016-L1016)</f>
        <v>1</v>
      </c>
      <c r="X1016" s="154">
        <f>IF(R1016="","",R1016-B1016)</f>
        <v>5</v>
      </c>
    </row>
    <row r="1017" spans="2:24" ht="17.25" hidden="1" customHeight="1">
      <c r="B1017" s="23">
        <v>45771</v>
      </c>
      <c r="C1017" s="7">
        <v>2003671824</v>
      </c>
      <c r="D1017" s="20">
        <v>5897950</v>
      </c>
      <c r="E1017" s="27" t="s">
        <v>191</v>
      </c>
      <c r="F1017" s="7" t="s">
        <v>107</v>
      </c>
      <c r="G1017" s="7" t="s">
        <v>10</v>
      </c>
      <c r="H1017" s="7" t="s">
        <v>45</v>
      </c>
      <c r="I1017" s="20" t="s">
        <v>1705</v>
      </c>
      <c r="J1017" s="20" t="s">
        <v>379</v>
      </c>
      <c r="K1017" s="7" t="s">
        <v>110</v>
      </c>
      <c r="L1017" s="61">
        <v>45777</v>
      </c>
      <c r="M1017" s="7" t="s">
        <v>111</v>
      </c>
      <c r="N1017" s="61">
        <v>45777</v>
      </c>
      <c r="O1017" s="58">
        <v>45777</v>
      </c>
      <c r="P1017" s="59"/>
      <c r="Q1017" s="124" t="e">
        <f>P1017*#REF!</f>
        <v>#REF!</v>
      </c>
      <c r="R1017" s="126">
        <v>45777</v>
      </c>
      <c r="S1017" s="153">
        <f>IF(L1017="","",L1017-B1017)</f>
        <v>6</v>
      </c>
      <c r="T1017" s="153">
        <f>IF(N1017="","",N1017-L1017)</f>
        <v>0</v>
      </c>
      <c r="U1017" s="153">
        <f>IF(O1017="","",O1017-N1017)</f>
        <v>0</v>
      </c>
      <c r="V1017" s="154">
        <f>IF(O1017="","",O1017-B1017)</f>
        <v>6</v>
      </c>
      <c r="W1017" s="154">
        <f>IF(O1017="","",O1017-L1017)</f>
        <v>0</v>
      </c>
      <c r="X1017" s="154">
        <f>IF(R1017="","",R1017-B1017)</f>
        <v>6</v>
      </c>
    </row>
    <row r="1018" spans="2:24" ht="17.25" hidden="1" customHeight="1">
      <c r="B1018" s="23">
        <v>45771</v>
      </c>
      <c r="C1018" s="7">
        <v>2003668979</v>
      </c>
      <c r="D1018" s="20">
        <v>5897956</v>
      </c>
      <c r="E1018" s="27" t="s">
        <v>408</v>
      </c>
      <c r="F1018" s="7" t="s">
        <v>107</v>
      </c>
      <c r="G1018" s="7" t="s">
        <v>10</v>
      </c>
      <c r="H1018" s="7" t="s">
        <v>45</v>
      </c>
      <c r="I1018" s="20" t="s">
        <v>1706</v>
      </c>
      <c r="J1018" s="20" t="s">
        <v>1707</v>
      </c>
      <c r="K1018" s="7" t="s">
        <v>119</v>
      </c>
      <c r="L1018" s="61">
        <v>45775</v>
      </c>
      <c r="M1018" s="7" t="s">
        <v>111</v>
      </c>
      <c r="N1018" s="61">
        <v>45776</v>
      </c>
      <c r="O1018" s="61">
        <v>45776</v>
      </c>
      <c r="P1018" s="59"/>
      <c r="Q1018" s="124" t="e">
        <f>P1018*#REF!</f>
        <v>#REF!</v>
      </c>
      <c r="R1018" s="126">
        <v>45776</v>
      </c>
      <c r="S1018" s="153">
        <f>IF(L1018="","",L1018-B1018)</f>
        <v>4</v>
      </c>
      <c r="T1018" s="153">
        <f>IF(N1018="","",N1018-L1018)</f>
        <v>1</v>
      </c>
      <c r="U1018" s="153">
        <f>IF(O1018="","",O1018-N1018)</f>
        <v>0</v>
      </c>
      <c r="V1018" s="154">
        <f>IF(O1018="","",O1018-B1018)</f>
        <v>5</v>
      </c>
      <c r="W1018" s="154">
        <f>IF(O1018="","",O1018-L1018)</f>
        <v>1</v>
      </c>
      <c r="X1018" s="154">
        <f>IF(R1018="","",R1018-B1018)</f>
        <v>5</v>
      </c>
    </row>
    <row r="1019" spans="2:24" ht="17.25" hidden="1" customHeight="1">
      <c r="B1019" s="23">
        <v>45771</v>
      </c>
      <c r="C1019" s="7">
        <v>2003665450</v>
      </c>
      <c r="D1019" s="20">
        <v>5897966</v>
      </c>
      <c r="E1019" s="27" t="s">
        <v>149</v>
      </c>
      <c r="F1019" s="7" t="s">
        <v>107</v>
      </c>
      <c r="G1019" s="7" t="s">
        <v>18</v>
      </c>
      <c r="H1019" s="7" t="s">
        <v>45</v>
      </c>
      <c r="I1019" s="20" t="s">
        <v>1708</v>
      </c>
      <c r="J1019" s="20" t="s">
        <v>1709</v>
      </c>
      <c r="K1019" s="7" t="s">
        <v>110</v>
      </c>
      <c r="L1019" s="61">
        <v>45777</v>
      </c>
      <c r="M1019" s="7" t="s">
        <v>111</v>
      </c>
      <c r="N1019" s="61">
        <v>45777</v>
      </c>
      <c r="O1019" s="61">
        <v>45777</v>
      </c>
      <c r="P1019" s="59"/>
      <c r="Q1019" s="124" t="e">
        <f>P1019*#REF!</f>
        <v>#REF!</v>
      </c>
      <c r="R1019" s="126">
        <v>45777</v>
      </c>
      <c r="S1019" s="153">
        <f>IF(L1019="","",L1019-B1019)</f>
        <v>6</v>
      </c>
      <c r="T1019" s="153">
        <f>IF(N1019="","",N1019-L1019)</f>
        <v>0</v>
      </c>
      <c r="U1019" s="153">
        <f>IF(O1019="","",O1019-N1019)</f>
        <v>0</v>
      </c>
      <c r="V1019" s="154">
        <f>IF(O1019="","",O1019-B1019)</f>
        <v>6</v>
      </c>
      <c r="W1019" s="154">
        <f>IF(O1019="","",O1019-L1019)</f>
        <v>0</v>
      </c>
      <c r="X1019" s="154">
        <f>IF(R1019="","",R1019-B1019)</f>
        <v>6</v>
      </c>
    </row>
    <row r="1020" spans="2:24" ht="17.25" hidden="1" customHeight="1">
      <c r="B1020" s="23">
        <v>45771</v>
      </c>
      <c r="C1020" s="7">
        <v>2003669675</v>
      </c>
      <c r="D1020" s="20">
        <v>5897983</v>
      </c>
      <c r="E1020" s="27" t="s">
        <v>149</v>
      </c>
      <c r="F1020" s="7" t="s">
        <v>107</v>
      </c>
      <c r="G1020" s="7" t="s">
        <v>10</v>
      </c>
      <c r="H1020" s="7" t="s">
        <v>45</v>
      </c>
      <c r="I1020" s="20" t="s">
        <v>1710</v>
      </c>
      <c r="J1020" s="20" t="s">
        <v>1711</v>
      </c>
      <c r="K1020" s="7" t="s">
        <v>110</v>
      </c>
      <c r="L1020" s="61">
        <v>45775</v>
      </c>
      <c r="M1020" s="7" t="s">
        <v>111</v>
      </c>
      <c r="N1020" s="61">
        <v>45775</v>
      </c>
      <c r="O1020" s="61">
        <v>45775</v>
      </c>
      <c r="P1020" s="59"/>
      <c r="Q1020" s="124" t="e">
        <f>P1020*#REF!</f>
        <v>#REF!</v>
      </c>
      <c r="R1020" s="126">
        <v>45776</v>
      </c>
      <c r="S1020" s="153">
        <f>IF(L1020="","",L1020-B1020)</f>
        <v>4</v>
      </c>
      <c r="T1020" s="153">
        <f>IF(N1020="","",N1020-L1020)</f>
        <v>0</v>
      </c>
      <c r="U1020" s="153">
        <f>IF(O1020="","",O1020-N1020)</f>
        <v>0</v>
      </c>
      <c r="V1020" s="154">
        <f>IF(O1020="","",O1020-B1020)</f>
        <v>4</v>
      </c>
      <c r="W1020" s="154">
        <f>IF(O1020="","",O1020-L1020)</f>
        <v>0</v>
      </c>
      <c r="X1020" s="154">
        <f>IF(R1020="","",R1020-B1020)</f>
        <v>5</v>
      </c>
    </row>
    <row r="1021" spans="2:24" ht="17.25" hidden="1" customHeight="1">
      <c r="B1021" s="23">
        <v>45771</v>
      </c>
      <c r="C1021" s="7">
        <v>2003665014</v>
      </c>
      <c r="D1021" s="20">
        <v>5898001</v>
      </c>
      <c r="E1021" s="27" t="s">
        <v>949</v>
      </c>
      <c r="F1021" s="7" t="s">
        <v>107</v>
      </c>
      <c r="G1021" s="7" t="s">
        <v>10</v>
      </c>
      <c r="H1021" s="7" t="s">
        <v>45</v>
      </c>
      <c r="I1021" s="20" t="s">
        <v>623</v>
      </c>
      <c r="J1021" s="20" t="s">
        <v>1712</v>
      </c>
      <c r="K1021" s="7" t="s">
        <v>110</v>
      </c>
      <c r="L1021" s="61">
        <v>45775</v>
      </c>
      <c r="M1021" s="7" t="s">
        <v>111</v>
      </c>
      <c r="N1021" s="61">
        <v>45775</v>
      </c>
      <c r="O1021" s="61">
        <v>45775</v>
      </c>
      <c r="P1021" s="59"/>
      <c r="Q1021" s="124" t="e">
        <f>P1021*#REF!</f>
        <v>#REF!</v>
      </c>
      <c r="R1021" s="126">
        <v>45776</v>
      </c>
      <c r="S1021" s="153">
        <f>IF(L1021="","",L1021-B1021)</f>
        <v>4</v>
      </c>
      <c r="T1021" s="153">
        <f>IF(N1021="","",N1021-L1021)</f>
        <v>0</v>
      </c>
      <c r="U1021" s="153">
        <f>IF(O1021="","",O1021-N1021)</f>
        <v>0</v>
      </c>
      <c r="V1021" s="154">
        <f>IF(O1021="","",O1021-B1021)</f>
        <v>4</v>
      </c>
      <c r="W1021" s="154">
        <f>IF(O1021="","",O1021-L1021)</f>
        <v>0</v>
      </c>
      <c r="X1021" s="154">
        <f>IF(R1021="","",R1021-B1021)</f>
        <v>5</v>
      </c>
    </row>
    <row r="1022" spans="2:24" ht="17.25" hidden="1" customHeight="1">
      <c r="B1022" s="23">
        <v>45776</v>
      </c>
      <c r="C1022" s="7">
        <v>2003664799</v>
      </c>
      <c r="D1022" s="20">
        <v>153628</v>
      </c>
      <c r="E1022" s="27" t="s">
        <v>106</v>
      </c>
      <c r="F1022" s="7" t="s">
        <v>107</v>
      </c>
      <c r="G1022" s="7" t="s">
        <v>26</v>
      </c>
      <c r="H1022" s="7" t="s">
        <v>45</v>
      </c>
      <c r="I1022" s="20" t="s">
        <v>1713</v>
      </c>
      <c r="J1022" s="20" t="s">
        <v>1714</v>
      </c>
      <c r="K1022" s="7" t="s">
        <v>110</v>
      </c>
      <c r="L1022" s="61">
        <v>45783</v>
      </c>
      <c r="M1022" s="7" t="s">
        <v>111</v>
      </c>
      <c r="N1022" s="24">
        <v>45784</v>
      </c>
      <c r="O1022" s="23">
        <v>45784</v>
      </c>
      <c r="P1022" s="59"/>
      <c r="Q1022" s="124" t="e">
        <f>P1022*#REF!</f>
        <v>#REF!</v>
      </c>
      <c r="R1022" s="126">
        <v>45784</v>
      </c>
      <c r="S1022" s="153">
        <f>IF(L1022="","",L1022-B1022)</f>
        <v>7</v>
      </c>
      <c r="T1022" s="153">
        <f>IF(N1022="","",N1022-L1022)</f>
        <v>1</v>
      </c>
      <c r="U1022" s="153">
        <f>IF(O1022="","",O1022-N1022)</f>
        <v>0</v>
      </c>
      <c r="V1022" s="154">
        <f>IF(O1022="","",O1022-B1022)</f>
        <v>8</v>
      </c>
      <c r="W1022" s="154">
        <f>IF(O1022="","",O1022-L1022)</f>
        <v>1</v>
      </c>
      <c r="X1022" s="154">
        <f>IF(R1022="","",R1022-B1022)</f>
        <v>8</v>
      </c>
    </row>
    <row r="1023" spans="2:24" ht="17.25" hidden="1" customHeight="1">
      <c r="B1023" s="23">
        <v>45776</v>
      </c>
      <c r="C1023" s="7">
        <v>2003665652</v>
      </c>
      <c r="D1023" s="20">
        <v>153647</v>
      </c>
      <c r="E1023" s="27" t="s">
        <v>566</v>
      </c>
      <c r="F1023" s="7" t="s">
        <v>107</v>
      </c>
      <c r="G1023" s="7" t="s">
        <v>10</v>
      </c>
      <c r="H1023" s="7" t="s">
        <v>45</v>
      </c>
      <c r="I1023" s="20" t="s">
        <v>1715</v>
      </c>
      <c r="J1023" s="20" t="s">
        <v>1716</v>
      </c>
      <c r="K1023" s="7" t="s">
        <v>110</v>
      </c>
      <c r="L1023" s="61">
        <v>45783</v>
      </c>
      <c r="M1023" s="7" t="s">
        <v>111</v>
      </c>
      <c r="N1023" s="24">
        <v>45784</v>
      </c>
      <c r="O1023" s="24">
        <v>45784</v>
      </c>
      <c r="P1023" s="59"/>
      <c r="Q1023" s="124" t="e">
        <f>P1023*#REF!</f>
        <v>#REF!</v>
      </c>
      <c r="R1023" s="126">
        <v>45784</v>
      </c>
      <c r="S1023" s="153">
        <f>IF(L1023="","",L1023-B1023)</f>
        <v>7</v>
      </c>
      <c r="T1023" s="153">
        <f>IF(N1023="","",N1023-L1023)</f>
        <v>1</v>
      </c>
      <c r="U1023" s="153">
        <f>IF(O1023="","",O1023-N1023)</f>
        <v>0</v>
      </c>
      <c r="V1023" s="154">
        <f>IF(O1023="","",O1023-B1023)</f>
        <v>8</v>
      </c>
      <c r="W1023" s="154">
        <f>IF(O1023="","",O1023-L1023)</f>
        <v>1</v>
      </c>
      <c r="X1023" s="154">
        <f>IF(R1023="","",R1023-B1023)</f>
        <v>8</v>
      </c>
    </row>
    <row r="1024" spans="2:24" ht="17.25" hidden="1" customHeight="1">
      <c r="B1024" s="23">
        <v>45771</v>
      </c>
      <c r="C1024" s="7">
        <v>2003671747</v>
      </c>
      <c r="D1024" s="20">
        <v>5898034</v>
      </c>
      <c r="E1024" s="27" t="s">
        <v>201</v>
      </c>
      <c r="F1024" s="7" t="s">
        <v>107</v>
      </c>
      <c r="G1024" s="7" t="s">
        <v>10</v>
      </c>
      <c r="H1024" s="7" t="s">
        <v>45</v>
      </c>
      <c r="I1024" s="20" t="s">
        <v>1717</v>
      </c>
      <c r="J1024" s="20" t="s">
        <v>1718</v>
      </c>
      <c r="K1024" s="7" t="s">
        <v>119</v>
      </c>
      <c r="L1024" s="61">
        <v>45777</v>
      </c>
      <c r="M1024" s="7" t="s">
        <v>111</v>
      </c>
      <c r="N1024" s="61">
        <v>45777</v>
      </c>
      <c r="O1024" s="61">
        <v>45777</v>
      </c>
      <c r="P1024" s="59"/>
      <c r="Q1024" s="124" t="e">
        <f>P1024*#REF!</f>
        <v>#REF!</v>
      </c>
      <c r="R1024" s="126">
        <v>45777</v>
      </c>
      <c r="S1024" s="153">
        <f>IF(L1024="","",L1024-B1024)</f>
        <v>6</v>
      </c>
      <c r="T1024" s="153">
        <f>IF(N1024="","",N1024-L1024)</f>
        <v>0</v>
      </c>
      <c r="U1024" s="153">
        <f>IF(O1024="","",O1024-N1024)</f>
        <v>0</v>
      </c>
      <c r="V1024" s="154">
        <f>IF(O1024="","",O1024-B1024)</f>
        <v>6</v>
      </c>
      <c r="W1024" s="154">
        <f>IF(O1024="","",O1024-L1024)</f>
        <v>0</v>
      </c>
      <c r="X1024" s="154">
        <f>IF(R1024="","",R1024-B1024)</f>
        <v>6</v>
      </c>
    </row>
    <row r="1025" spans="2:24" ht="17.25" hidden="1" customHeight="1">
      <c r="B1025" s="23">
        <v>45771</v>
      </c>
      <c r="C1025" s="7">
        <v>2003668039</v>
      </c>
      <c r="D1025" s="20">
        <v>5898036</v>
      </c>
      <c r="E1025" s="27" t="s">
        <v>1225</v>
      </c>
      <c r="F1025" s="7" t="s">
        <v>113</v>
      </c>
      <c r="G1025" s="7" t="s">
        <v>70</v>
      </c>
      <c r="H1025" s="7" t="s">
        <v>47</v>
      </c>
      <c r="I1025" s="20" t="s">
        <v>1719</v>
      </c>
      <c r="J1025" s="20" t="s">
        <v>1720</v>
      </c>
      <c r="K1025" s="7" t="s">
        <v>160</v>
      </c>
      <c r="M1025" s="7" t="s">
        <v>111</v>
      </c>
      <c r="P1025" s="59"/>
      <c r="Q1025" s="124" t="e">
        <f>P1025*#REF!</f>
        <v>#REF!</v>
      </c>
      <c r="R1025" s="126">
        <v>45784</v>
      </c>
      <c r="S1025" s="153" t="str">
        <f>IF(L1025="","",L1025-B1025)</f>
        <v/>
      </c>
      <c r="T1025" s="153" t="str">
        <f>IF(N1025="","",N1025-L1025)</f>
        <v/>
      </c>
      <c r="U1025" s="153" t="str">
        <f>IF(O1025="","",O1025-N1025)</f>
        <v/>
      </c>
      <c r="V1025" s="154" t="str">
        <f>IF(O1025="","",O1025-B1025)</f>
        <v/>
      </c>
      <c r="W1025" s="154" t="str">
        <f>IF(O1025="","",O1025-L1025)</f>
        <v/>
      </c>
      <c r="X1025" s="154">
        <f>IF(R1025="","",R1025-B1025)</f>
        <v>13</v>
      </c>
    </row>
    <row r="1026" spans="2:24" ht="17.25" hidden="1" customHeight="1">
      <c r="B1026" s="23">
        <v>45771</v>
      </c>
      <c r="C1026" s="7">
        <v>2003669468</v>
      </c>
      <c r="D1026" s="20">
        <v>150323</v>
      </c>
      <c r="E1026" s="27" t="s">
        <v>138</v>
      </c>
      <c r="F1026" s="7" t="s">
        <v>107</v>
      </c>
      <c r="G1026" s="7" t="s">
        <v>10</v>
      </c>
      <c r="H1026" s="7" t="s">
        <v>45</v>
      </c>
      <c r="I1026" s="20" t="s">
        <v>1721</v>
      </c>
      <c r="J1026" s="20" t="s">
        <v>1722</v>
      </c>
      <c r="K1026" s="7" t="s">
        <v>119</v>
      </c>
      <c r="L1026" s="61">
        <v>45777</v>
      </c>
      <c r="M1026" s="7" t="s">
        <v>111</v>
      </c>
      <c r="N1026" s="61">
        <v>45777</v>
      </c>
      <c r="O1026" s="61">
        <v>45777</v>
      </c>
      <c r="P1026" s="59"/>
      <c r="Q1026" s="124" t="e">
        <f>P1026*#REF!</f>
        <v>#REF!</v>
      </c>
      <c r="R1026" s="126">
        <v>45777</v>
      </c>
      <c r="S1026" s="153">
        <f>IF(L1026="","",L1026-B1026)</f>
        <v>6</v>
      </c>
      <c r="T1026" s="153">
        <f>IF(N1026="","",N1026-L1026)</f>
        <v>0</v>
      </c>
      <c r="U1026" s="153">
        <f>IF(O1026="","",O1026-N1026)</f>
        <v>0</v>
      </c>
      <c r="V1026" s="154">
        <f>IF(O1026="","",O1026-B1026)</f>
        <v>6</v>
      </c>
      <c r="W1026" s="154">
        <f>IF(O1026="","",O1026-L1026)</f>
        <v>0</v>
      </c>
      <c r="X1026" s="154">
        <f>IF(R1026="","",R1026-B1026)</f>
        <v>6</v>
      </c>
    </row>
    <row r="1027" spans="2:24" ht="17.25" hidden="1" customHeight="1">
      <c r="B1027" s="23">
        <v>45771</v>
      </c>
      <c r="C1027" s="7">
        <v>2003671714</v>
      </c>
      <c r="D1027" s="20">
        <v>150321</v>
      </c>
      <c r="E1027" s="27" t="s">
        <v>201</v>
      </c>
      <c r="F1027" s="7" t="s">
        <v>107</v>
      </c>
      <c r="G1027" s="7" t="s">
        <v>26</v>
      </c>
      <c r="H1027" s="7" t="s">
        <v>45</v>
      </c>
      <c r="I1027" s="20" t="s">
        <v>1302</v>
      </c>
      <c r="J1027" s="20" t="s">
        <v>1723</v>
      </c>
      <c r="K1027" s="7" t="s">
        <v>119</v>
      </c>
      <c r="L1027" s="61">
        <v>45776</v>
      </c>
      <c r="M1027" s="7" t="s">
        <v>111</v>
      </c>
      <c r="N1027" s="24">
        <v>45777</v>
      </c>
      <c r="O1027" s="58">
        <v>45777</v>
      </c>
      <c r="P1027" s="59"/>
      <c r="Q1027" s="124" t="e">
        <f>P1027*#REF!</f>
        <v>#REF!</v>
      </c>
      <c r="R1027" s="126">
        <v>45777</v>
      </c>
      <c r="S1027" s="153">
        <f>IF(L1027="","",L1027-B1027)</f>
        <v>5</v>
      </c>
      <c r="T1027" s="153">
        <f>IF(N1027="","",N1027-L1027)</f>
        <v>1</v>
      </c>
      <c r="U1027" s="153">
        <f>IF(O1027="","",O1027-N1027)</f>
        <v>0</v>
      </c>
      <c r="V1027" s="154">
        <f>IF(O1027="","",O1027-B1027)</f>
        <v>6</v>
      </c>
      <c r="W1027" s="154">
        <f>IF(O1027="","",O1027-L1027)</f>
        <v>1</v>
      </c>
      <c r="X1027" s="154">
        <f>IF(R1027="","",R1027-B1027)</f>
        <v>6</v>
      </c>
    </row>
    <row r="1028" spans="2:24" ht="17.25" hidden="1" customHeight="1">
      <c r="B1028" s="23">
        <v>45771</v>
      </c>
      <c r="C1028" s="7">
        <v>2003671392</v>
      </c>
      <c r="D1028" s="20">
        <v>150319</v>
      </c>
      <c r="E1028" s="27" t="s">
        <v>138</v>
      </c>
      <c r="F1028" s="7" t="s">
        <v>107</v>
      </c>
      <c r="G1028" s="7" t="s">
        <v>10</v>
      </c>
      <c r="H1028" s="7" t="s">
        <v>45</v>
      </c>
      <c r="I1028" s="20" t="s">
        <v>1724</v>
      </c>
      <c r="J1028" s="20" t="s">
        <v>1725</v>
      </c>
      <c r="K1028" s="7" t="s">
        <v>110</v>
      </c>
      <c r="L1028" s="61">
        <v>45775</v>
      </c>
      <c r="M1028" s="7" t="s">
        <v>111</v>
      </c>
      <c r="N1028" s="61">
        <v>45775</v>
      </c>
      <c r="O1028" s="61">
        <v>45775</v>
      </c>
      <c r="P1028" s="59"/>
      <c r="Q1028" s="124" t="e">
        <f>P1028*#REF!</f>
        <v>#REF!</v>
      </c>
      <c r="R1028" s="126">
        <v>45776</v>
      </c>
      <c r="S1028" s="153">
        <f>IF(L1028="","",L1028-B1028)</f>
        <v>4</v>
      </c>
      <c r="T1028" s="153">
        <f>IF(N1028="","",N1028-L1028)</f>
        <v>0</v>
      </c>
      <c r="U1028" s="153">
        <f>IF(O1028="","",O1028-N1028)</f>
        <v>0</v>
      </c>
      <c r="V1028" s="154">
        <f>IF(O1028="","",O1028-B1028)</f>
        <v>4</v>
      </c>
      <c r="W1028" s="154">
        <f>IF(O1028="","",O1028-L1028)</f>
        <v>0</v>
      </c>
      <c r="X1028" s="154">
        <f>IF(R1028="","",R1028-B1028)</f>
        <v>5</v>
      </c>
    </row>
    <row r="1029" spans="2:24" ht="17.25" hidden="1" customHeight="1">
      <c r="B1029" s="23">
        <v>45771</v>
      </c>
      <c r="C1029" s="7">
        <v>2003669508</v>
      </c>
      <c r="D1029" s="20">
        <v>150293</v>
      </c>
      <c r="E1029" s="27" t="s">
        <v>1225</v>
      </c>
      <c r="F1029" s="7" t="s">
        <v>107</v>
      </c>
      <c r="G1029" s="7" t="s">
        <v>26</v>
      </c>
      <c r="H1029" s="7" t="s">
        <v>45</v>
      </c>
      <c r="I1029" s="20" t="s">
        <v>1726</v>
      </c>
      <c r="J1029" s="20" t="s">
        <v>1727</v>
      </c>
      <c r="K1029" s="7" t="s">
        <v>119</v>
      </c>
      <c r="L1029" s="61">
        <v>45775</v>
      </c>
      <c r="M1029" s="7" t="s">
        <v>111</v>
      </c>
      <c r="N1029" s="24">
        <v>45776</v>
      </c>
      <c r="O1029" s="58">
        <v>45776</v>
      </c>
      <c r="P1029" s="59"/>
      <c r="Q1029" s="124" t="e">
        <f>P1029*#REF!</f>
        <v>#REF!</v>
      </c>
      <c r="R1029" s="126">
        <v>45776</v>
      </c>
      <c r="S1029" s="153">
        <f>IF(L1029="","",L1029-B1029)</f>
        <v>4</v>
      </c>
      <c r="T1029" s="153">
        <f>IF(N1029="","",N1029-L1029)</f>
        <v>1</v>
      </c>
      <c r="U1029" s="153">
        <f>IF(O1029="","",O1029-N1029)</f>
        <v>0</v>
      </c>
      <c r="V1029" s="154">
        <f>IF(O1029="","",O1029-B1029)</f>
        <v>5</v>
      </c>
      <c r="W1029" s="154">
        <f>IF(O1029="","",O1029-L1029)</f>
        <v>1</v>
      </c>
      <c r="X1029" s="154">
        <f>IF(R1029="","",R1029-B1029)</f>
        <v>5</v>
      </c>
    </row>
    <row r="1030" spans="2:24" ht="17.25" hidden="1" customHeight="1">
      <c r="B1030" s="23">
        <v>45771</v>
      </c>
      <c r="C1030" s="7">
        <v>2003670740</v>
      </c>
      <c r="D1030" s="20">
        <v>150310</v>
      </c>
      <c r="E1030" s="27" t="s">
        <v>149</v>
      </c>
      <c r="F1030" s="7" t="s">
        <v>107</v>
      </c>
      <c r="G1030" s="7" t="s">
        <v>10</v>
      </c>
      <c r="H1030" s="7" t="s">
        <v>45</v>
      </c>
      <c r="I1030" s="20" t="s">
        <v>1728</v>
      </c>
      <c r="J1030" s="20" t="s">
        <v>1729</v>
      </c>
      <c r="K1030" s="7" t="s">
        <v>119</v>
      </c>
      <c r="L1030" s="61">
        <v>45776</v>
      </c>
      <c r="M1030" s="7" t="s">
        <v>111</v>
      </c>
      <c r="N1030" s="61">
        <v>45776</v>
      </c>
      <c r="O1030" s="61">
        <v>45776</v>
      </c>
      <c r="P1030" s="59"/>
      <c r="Q1030" s="124" t="e">
        <f>P1030*#REF!</f>
        <v>#REF!</v>
      </c>
      <c r="R1030" s="126">
        <v>45777</v>
      </c>
      <c r="S1030" s="153">
        <f>IF(L1030="","",L1030-B1030)</f>
        <v>5</v>
      </c>
      <c r="T1030" s="153">
        <f>IF(N1030="","",N1030-L1030)</f>
        <v>0</v>
      </c>
      <c r="U1030" s="153">
        <f>IF(O1030="","",O1030-N1030)</f>
        <v>0</v>
      </c>
      <c r="V1030" s="154">
        <f>IF(O1030="","",O1030-B1030)</f>
        <v>5</v>
      </c>
      <c r="W1030" s="154">
        <f>IF(O1030="","",O1030-L1030)</f>
        <v>0</v>
      </c>
      <c r="X1030" s="154">
        <f>IF(R1030="","",R1030-B1030)</f>
        <v>6</v>
      </c>
    </row>
    <row r="1031" spans="2:24" ht="17.25" hidden="1" customHeight="1">
      <c r="B1031" s="23">
        <v>45771</v>
      </c>
      <c r="C1031" s="7">
        <v>2003667069</v>
      </c>
      <c r="D1031" s="20">
        <v>150178</v>
      </c>
      <c r="E1031" s="27" t="s">
        <v>408</v>
      </c>
      <c r="F1031" s="7" t="s">
        <v>107</v>
      </c>
      <c r="G1031" s="7" t="s">
        <v>26</v>
      </c>
      <c r="H1031" s="7" t="s">
        <v>45</v>
      </c>
      <c r="I1031" s="20" t="s">
        <v>1730</v>
      </c>
      <c r="J1031" s="20" t="s">
        <v>1688</v>
      </c>
      <c r="K1031" s="7" t="s">
        <v>110</v>
      </c>
      <c r="L1031" s="61">
        <v>45775</v>
      </c>
      <c r="M1031" s="7" t="s">
        <v>111</v>
      </c>
      <c r="N1031" s="24">
        <v>45776</v>
      </c>
      <c r="O1031" s="58">
        <v>45776</v>
      </c>
      <c r="P1031" s="59"/>
      <c r="Q1031" s="124" t="e">
        <f>P1031*#REF!</f>
        <v>#REF!</v>
      </c>
      <c r="R1031" s="126">
        <v>45776</v>
      </c>
      <c r="S1031" s="153">
        <f>IF(L1031="","",L1031-B1031)</f>
        <v>4</v>
      </c>
      <c r="T1031" s="153">
        <f>IF(N1031="","",N1031-L1031)</f>
        <v>1</v>
      </c>
      <c r="U1031" s="153">
        <f>IF(O1031="","",O1031-N1031)</f>
        <v>0</v>
      </c>
      <c r="V1031" s="154">
        <f>IF(O1031="","",O1031-B1031)</f>
        <v>5</v>
      </c>
      <c r="W1031" s="154">
        <f>IF(O1031="","",O1031-L1031)</f>
        <v>1</v>
      </c>
      <c r="X1031" s="154">
        <f>IF(R1031="","",R1031-B1031)</f>
        <v>5</v>
      </c>
    </row>
    <row r="1032" spans="2:24" ht="17.25" hidden="1" customHeight="1">
      <c r="B1032" s="23">
        <v>45771</v>
      </c>
      <c r="C1032" s="7">
        <v>2003668854</v>
      </c>
      <c r="D1032" s="20">
        <v>150233</v>
      </c>
      <c r="E1032" s="27" t="s">
        <v>568</v>
      </c>
      <c r="F1032" s="7" t="s">
        <v>107</v>
      </c>
      <c r="G1032" s="7" t="s">
        <v>10</v>
      </c>
      <c r="H1032" s="7" t="s">
        <v>45</v>
      </c>
      <c r="I1032" s="20" t="s">
        <v>1731</v>
      </c>
      <c r="J1032" s="20" t="s">
        <v>1732</v>
      </c>
      <c r="K1032" s="7" t="s">
        <v>119</v>
      </c>
      <c r="L1032" s="61">
        <v>45772</v>
      </c>
      <c r="M1032" s="7" t="s">
        <v>111</v>
      </c>
      <c r="N1032" s="61">
        <v>45772</v>
      </c>
      <c r="O1032" s="61">
        <v>45772</v>
      </c>
      <c r="P1032" s="59"/>
      <c r="Q1032" s="124" t="e">
        <f>P1032*#REF!</f>
        <v>#REF!</v>
      </c>
      <c r="R1032" s="126">
        <v>45772</v>
      </c>
      <c r="S1032" s="153">
        <f>IF(L1032="","",L1032-B1032)</f>
        <v>1</v>
      </c>
      <c r="T1032" s="153">
        <f>IF(N1032="","",N1032-L1032)</f>
        <v>0</v>
      </c>
      <c r="U1032" s="153">
        <f>IF(O1032="","",O1032-N1032)</f>
        <v>0</v>
      </c>
      <c r="V1032" s="154">
        <f>IF(O1032="","",O1032-B1032)</f>
        <v>1</v>
      </c>
      <c r="W1032" s="154">
        <f>IF(O1032="","",O1032-L1032)</f>
        <v>0</v>
      </c>
      <c r="X1032" s="154">
        <f>IF(R1032="","",R1032-B1032)</f>
        <v>1</v>
      </c>
    </row>
    <row r="1033" spans="2:24" ht="17.25" hidden="1" customHeight="1">
      <c r="B1033" s="23">
        <v>45776</v>
      </c>
      <c r="C1033" s="7">
        <v>2003674343</v>
      </c>
      <c r="D1033" s="20">
        <v>153716</v>
      </c>
      <c r="E1033" s="27" t="s">
        <v>138</v>
      </c>
      <c r="F1033" s="7" t="s">
        <v>107</v>
      </c>
      <c r="G1033" s="7" t="s">
        <v>10</v>
      </c>
      <c r="H1033" s="7" t="s">
        <v>45</v>
      </c>
      <c r="I1033" s="20" t="s">
        <v>1733</v>
      </c>
      <c r="J1033" s="20" t="s">
        <v>1734</v>
      </c>
      <c r="K1033" s="7" t="s">
        <v>119</v>
      </c>
      <c r="L1033" s="61">
        <v>45777</v>
      </c>
      <c r="M1033" s="7" t="s">
        <v>111</v>
      </c>
      <c r="N1033" s="24">
        <v>45783</v>
      </c>
      <c r="O1033" s="58">
        <v>45785</v>
      </c>
      <c r="P1033" s="59"/>
      <c r="Q1033" s="124" t="e">
        <f>P1033*#REF!</f>
        <v>#REF!</v>
      </c>
      <c r="R1033" s="126">
        <v>45786</v>
      </c>
      <c r="S1033" s="153">
        <f>IF(L1033="","",L1033-B1033)</f>
        <v>1</v>
      </c>
      <c r="T1033" s="153">
        <f>IF(N1033="","",N1033-L1033)</f>
        <v>6</v>
      </c>
      <c r="U1033" s="153">
        <f>IF(O1033="","",O1033-N1033)</f>
        <v>2</v>
      </c>
      <c r="V1033" s="154">
        <f>IF(O1033="","",O1033-B1033)</f>
        <v>9</v>
      </c>
      <c r="W1033" s="154">
        <f>IF(O1033="","",O1033-L1033)</f>
        <v>8</v>
      </c>
      <c r="X1033" s="154">
        <f>IF(R1033="","",R1033-B1033)</f>
        <v>10</v>
      </c>
    </row>
    <row r="1034" spans="2:24" ht="17.25" hidden="1" customHeight="1">
      <c r="B1034" s="23">
        <v>45771</v>
      </c>
      <c r="C1034" s="7">
        <v>2003667116</v>
      </c>
      <c r="D1034" s="20">
        <v>150092</v>
      </c>
      <c r="E1034" s="27" t="s">
        <v>949</v>
      </c>
      <c r="F1034" s="7" t="s">
        <v>107</v>
      </c>
      <c r="G1034" s="7" t="s">
        <v>10</v>
      </c>
      <c r="H1034" s="7" t="s">
        <v>45</v>
      </c>
      <c r="I1034" s="20" t="s">
        <v>1735</v>
      </c>
      <c r="J1034" s="20" t="s">
        <v>1736</v>
      </c>
      <c r="K1034" s="7" t="s">
        <v>110</v>
      </c>
      <c r="L1034" s="61">
        <v>45772</v>
      </c>
      <c r="M1034" s="7" t="s">
        <v>111</v>
      </c>
      <c r="N1034" s="61">
        <v>45772</v>
      </c>
      <c r="O1034" s="61">
        <v>45772</v>
      </c>
      <c r="P1034" s="59"/>
      <c r="Q1034" s="124" t="e">
        <f>P1034*#REF!</f>
        <v>#REF!</v>
      </c>
      <c r="R1034" s="126">
        <v>45772</v>
      </c>
      <c r="S1034" s="153">
        <f>IF(L1034="","",L1034-B1034)</f>
        <v>1</v>
      </c>
      <c r="T1034" s="153">
        <f>IF(N1034="","",N1034-L1034)</f>
        <v>0</v>
      </c>
      <c r="U1034" s="153">
        <f>IF(O1034="","",O1034-N1034)</f>
        <v>0</v>
      </c>
      <c r="V1034" s="154">
        <f>IF(O1034="","",O1034-B1034)</f>
        <v>1</v>
      </c>
      <c r="W1034" s="154">
        <f>IF(O1034="","",O1034-L1034)</f>
        <v>0</v>
      </c>
      <c r="X1034" s="154">
        <f>IF(R1034="","",R1034-B1034)</f>
        <v>1</v>
      </c>
    </row>
    <row r="1035" spans="2:24" ht="17.25" hidden="1" customHeight="1">
      <c r="B1035" s="207">
        <v>45776</v>
      </c>
      <c r="C1035" s="112">
        <v>2003674008</v>
      </c>
      <c r="D1035" s="128">
        <v>153768</v>
      </c>
      <c r="E1035" s="208" t="s">
        <v>126</v>
      </c>
      <c r="F1035" s="112" t="s">
        <v>107</v>
      </c>
      <c r="G1035" s="112" t="s">
        <v>18</v>
      </c>
      <c r="H1035" s="112" t="s">
        <v>45</v>
      </c>
      <c r="I1035" s="128" t="s">
        <v>1737</v>
      </c>
      <c r="J1035" s="128" t="s">
        <v>1738</v>
      </c>
      <c r="K1035" s="112" t="s">
        <v>110</v>
      </c>
      <c r="L1035" s="209">
        <v>45777</v>
      </c>
      <c r="M1035" s="112" t="s">
        <v>111</v>
      </c>
      <c r="N1035" s="209">
        <v>45777</v>
      </c>
      <c r="O1035" s="58">
        <v>45783</v>
      </c>
      <c r="P1035" s="211"/>
      <c r="Q1035" s="212" t="e">
        <f>P1035*#REF!</f>
        <v>#REF!</v>
      </c>
      <c r="R1035" s="126">
        <v>45783</v>
      </c>
      <c r="S1035" s="153">
        <f>IF(L1035="","",L1035-B1035)</f>
        <v>1</v>
      </c>
      <c r="T1035" s="153">
        <f>IF(N1035="","",N1035-L1035)</f>
        <v>0</v>
      </c>
      <c r="U1035" s="153">
        <f>IF(O1035="","",O1035-N1035)</f>
        <v>6</v>
      </c>
      <c r="V1035" s="154">
        <f>IF(O1035="","",O1035-B1035)</f>
        <v>7</v>
      </c>
      <c r="W1035" s="154">
        <f>IF(O1035="","",O1035-L1035)</f>
        <v>6</v>
      </c>
      <c r="X1035" s="154">
        <f>IF(R1035="","",R1035-B1035)</f>
        <v>7</v>
      </c>
    </row>
    <row r="1036" spans="2:24" ht="17.25" hidden="1" customHeight="1">
      <c r="B1036" s="23">
        <v>45776</v>
      </c>
      <c r="C1036" s="7">
        <v>2003667447</v>
      </c>
      <c r="D1036" s="20">
        <v>153985</v>
      </c>
      <c r="E1036" s="27" t="s">
        <v>408</v>
      </c>
      <c r="F1036" s="7" t="s">
        <v>107</v>
      </c>
      <c r="G1036" s="7" t="s">
        <v>10</v>
      </c>
      <c r="H1036" s="7" t="s">
        <v>45</v>
      </c>
      <c r="I1036" s="20" t="s">
        <v>1739</v>
      </c>
      <c r="J1036" s="20" t="s">
        <v>1740</v>
      </c>
      <c r="K1036" s="7" t="s">
        <v>110</v>
      </c>
      <c r="L1036" s="61">
        <v>45783</v>
      </c>
      <c r="M1036" s="7" t="s">
        <v>111</v>
      </c>
      <c r="N1036" s="24">
        <v>45784</v>
      </c>
      <c r="O1036" s="24">
        <v>45784</v>
      </c>
      <c r="P1036" s="59"/>
      <c r="Q1036" s="124" t="e">
        <f>P1036*#REF!</f>
        <v>#REF!</v>
      </c>
      <c r="R1036" s="126">
        <v>45784</v>
      </c>
      <c r="S1036" s="153">
        <f>IF(L1036="","",L1036-B1036)</f>
        <v>7</v>
      </c>
      <c r="T1036" s="153">
        <f>IF(N1036="","",N1036-L1036)</f>
        <v>1</v>
      </c>
      <c r="U1036" s="153">
        <f>IF(O1036="","",O1036-N1036)</f>
        <v>0</v>
      </c>
      <c r="V1036" s="154">
        <f>IF(O1036="","",O1036-B1036)</f>
        <v>8</v>
      </c>
      <c r="W1036" s="154">
        <f>IF(O1036="","",O1036-L1036)</f>
        <v>1</v>
      </c>
      <c r="X1036" s="154">
        <f>IF(R1036="","",R1036-B1036)</f>
        <v>8</v>
      </c>
    </row>
    <row r="1037" spans="2:24" ht="17.25" hidden="1" customHeight="1">
      <c r="B1037" s="23">
        <v>45771</v>
      </c>
      <c r="C1037" s="7">
        <v>2003668053</v>
      </c>
      <c r="D1037" s="20">
        <v>149982</v>
      </c>
      <c r="E1037" s="27" t="s">
        <v>129</v>
      </c>
      <c r="F1037" s="7" t="s">
        <v>113</v>
      </c>
      <c r="G1037" s="7" t="s">
        <v>70</v>
      </c>
      <c r="H1037" s="7" t="s">
        <v>47</v>
      </c>
      <c r="I1037" s="20" t="s">
        <v>524</v>
      </c>
      <c r="J1037" s="20" t="s">
        <v>1741</v>
      </c>
      <c r="K1037" s="7" t="s">
        <v>160</v>
      </c>
      <c r="M1037" s="7" t="s">
        <v>111</v>
      </c>
      <c r="P1037" s="59"/>
      <c r="Q1037" s="124" t="e">
        <f>P1037*#REF!</f>
        <v>#REF!</v>
      </c>
      <c r="R1037" s="126">
        <v>45784</v>
      </c>
      <c r="S1037" s="153" t="str">
        <f>IF(L1037="","",L1037-B1037)</f>
        <v/>
      </c>
      <c r="T1037" s="153" t="str">
        <f>IF(N1037="","",N1037-L1037)</f>
        <v/>
      </c>
      <c r="U1037" s="153" t="str">
        <f>IF(O1037="","",O1037-N1037)</f>
        <v/>
      </c>
      <c r="V1037" s="154" t="str">
        <f>IF(O1037="","",O1037-B1037)</f>
        <v/>
      </c>
      <c r="W1037" s="154" t="str">
        <f>IF(O1037="","",O1037-L1037)</f>
        <v/>
      </c>
      <c r="X1037" s="154">
        <f>IF(R1037="","",R1037-B1037)</f>
        <v>13</v>
      </c>
    </row>
    <row r="1038" spans="2:24" ht="17.25" hidden="1" customHeight="1">
      <c r="B1038" s="23">
        <v>45771</v>
      </c>
      <c r="C1038" s="7">
        <v>2003661645</v>
      </c>
      <c r="D1038" s="20">
        <v>149965</v>
      </c>
      <c r="E1038" s="27" t="s">
        <v>152</v>
      </c>
      <c r="F1038" s="7" t="s">
        <v>107</v>
      </c>
      <c r="G1038" s="7" t="s">
        <v>10</v>
      </c>
      <c r="H1038" s="7" t="s">
        <v>45</v>
      </c>
      <c r="I1038" s="20" t="s">
        <v>1336</v>
      </c>
      <c r="J1038" s="20" t="s">
        <v>1337</v>
      </c>
      <c r="K1038" s="7" t="s">
        <v>110</v>
      </c>
      <c r="L1038" s="61">
        <v>45775</v>
      </c>
      <c r="M1038" s="7" t="s">
        <v>111</v>
      </c>
      <c r="N1038" s="24">
        <v>45775</v>
      </c>
      <c r="O1038" s="58">
        <v>45776</v>
      </c>
      <c r="P1038" s="59"/>
      <c r="Q1038" s="124" t="e">
        <f>P1038*#REF!</f>
        <v>#REF!</v>
      </c>
      <c r="R1038" s="126">
        <v>45777</v>
      </c>
      <c r="S1038" s="153">
        <f>IF(L1038="","",L1038-B1038)</f>
        <v>4</v>
      </c>
      <c r="T1038" s="153">
        <f>IF(N1038="","",N1038-L1038)</f>
        <v>0</v>
      </c>
      <c r="U1038" s="153">
        <f>IF(O1038="","",O1038-N1038)</f>
        <v>1</v>
      </c>
      <c r="V1038" s="154">
        <f>IF(O1038="","",O1038-B1038)</f>
        <v>5</v>
      </c>
      <c r="W1038" s="154">
        <f>IF(O1038="","",O1038-L1038)</f>
        <v>1</v>
      </c>
      <c r="X1038" s="154">
        <f>IF(R1038="","",R1038-B1038)</f>
        <v>6</v>
      </c>
    </row>
    <row r="1039" spans="2:24" ht="17.25" hidden="1" customHeight="1">
      <c r="B1039" s="23">
        <v>45771</v>
      </c>
      <c r="C1039" s="7">
        <v>2003667905</v>
      </c>
      <c r="D1039" s="20">
        <v>149912</v>
      </c>
      <c r="E1039" s="27" t="s">
        <v>152</v>
      </c>
      <c r="F1039" s="7" t="s">
        <v>107</v>
      </c>
      <c r="G1039" s="7" t="s">
        <v>10</v>
      </c>
      <c r="H1039" s="7" t="s">
        <v>45</v>
      </c>
      <c r="I1039" s="20" t="s">
        <v>520</v>
      </c>
      <c r="J1039" s="20" t="s">
        <v>1742</v>
      </c>
      <c r="K1039" s="7" t="s">
        <v>119</v>
      </c>
      <c r="L1039" s="61">
        <v>45775</v>
      </c>
      <c r="M1039" s="7" t="s">
        <v>111</v>
      </c>
      <c r="N1039" s="61">
        <v>45775</v>
      </c>
      <c r="O1039" s="61">
        <v>45775</v>
      </c>
      <c r="P1039" s="59"/>
      <c r="Q1039" s="124" t="e">
        <f>P1039*#REF!</f>
        <v>#REF!</v>
      </c>
      <c r="R1039" s="126">
        <v>45776</v>
      </c>
      <c r="S1039" s="153">
        <f>IF(L1039="","",L1039-B1039)</f>
        <v>4</v>
      </c>
      <c r="T1039" s="153">
        <f>IF(N1039="","",N1039-L1039)</f>
        <v>0</v>
      </c>
      <c r="U1039" s="153">
        <f>IF(O1039="","",O1039-N1039)</f>
        <v>0</v>
      </c>
      <c r="V1039" s="154">
        <f>IF(O1039="","",O1039-B1039)</f>
        <v>4</v>
      </c>
      <c r="W1039" s="154">
        <f>IF(O1039="","",O1039-L1039)</f>
        <v>0</v>
      </c>
      <c r="X1039" s="154">
        <f>IF(R1039="","",R1039-B1039)</f>
        <v>5</v>
      </c>
    </row>
    <row r="1040" spans="2:24" ht="17.25" hidden="1" customHeight="1">
      <c r="B1040" s="23">
        <v>45771</v>
      </c>
      <c r="C1040" s="7">
        <v>2003666582</v>
      </c>
      <c r="D1040" s="20">
        <v>149834</v>
      </c>
      <c r="E1040" s="27" t="s">
        <v>201</v>
      </c>
      <c r="F1040" s="7" t="s">
        <v>107</v>
      </c>
      <c r="G1040" s="7" t="s">
        <v>10</v>
      </c>
      <c r="H1040" s="7" t="s">
        <v>45</v>
      </c>
      <c r="I1040" s="20" t="s">
        <v>550</v>
      </c>
      <c r="J1040" s="20" t="s">
        <v>1743</v>
      </c>
      <c r="K1040" s="7" t="s">
        <v>110</v>
      </c>
      <c r="L1040" s="61">
        <v>45777</v>
      </c>
      <c r="M1040" s="7" t="s">
        <v>111</v>
      </c>
      <c r="N1040" s="61">
        <v>45777</v>
      </c>
      <c r="O1040" s="61">
        <v>45777</v>
      </c>
      <c r="P1040" s="59"/>
      <c r="Q1040" s="124" t="e">
        <f>P1040*#REF!</f>
        <v>#REF!</v>
      </c>
      <c r="R1040" s="126">
        <v>45777</v>
      </c>
      <c r="S1040" s="153">
        <f>IF(L1040="","",L1040-B1040)</f>
        <v>6</v>
      </c>
      <c r="T1040" s="153">
        <f>IF(N1040="","",N1040-L1040)</f>
        <v>0</v>
      </c>
      <c r="U1040" s="153">
        <f>IF(O1040="","",O1040-N1040)</f>
        <v>0</v>
      </c>
      <c r="V1040" s="154">
        <f>IF(O1040="","",O1040-B1040)</f>
        <v>6</v>
      </c>
      <c r="W1040" s="154">
        <f>IF(O1040="","",O1040-L1040)</f>
        <v>0</v>
      </c>
      <c r="X1040" s="154">
        <f>IF(R1040="","",R1040-B1040)</f>
        <v>6</v>
      </c>
    </row>
    <row r="1041" spans="2:24" ht="17.25" hidden="1" customHeight="1">
      <c r="B1041" s="23">
        <v>45771</v>
      </c>
      <c r="C1041" s="7">
        <v>2003669374</v>
      </c>
      <c r="D1041" s="20">
        <v>149702</v>
      </c>
      <c r="E1041" s="27" t="s">
        <v>198</v>
      </c>
      <c r="F1041" s="7" t="s">
        <v>107</v>
      </c>
      <c r="G1041" s="7" t="s">
        <v>10</v>
      </c>
      <c r="H1041" s="7" t="s">
        <v>45</v>
      </c>
      <c r="I1041" s="20" t="s">
        <v>1744</v>
      </c>
      <c r="J1041" s="20" t="s">
        <v>1745</v>
      </c>
      <c r="K1041" s="7" t="s">
        <v>119</v>
      </c>
      <c r="L1041" s="61">
        <v>45772</v>
      </c>
      <c r="M1041" s="7" t="s">
        <v>111</v>
      </c>
      <c r="N1041" s="61">
        <v>45772</v>
      </c>
      <c r="O1041" s="61">
        <v>45772</v>
      </c>
      <c r="P1041" s="59"/>
      <c r="Q1041" s="124" t="e">
        <f>P1041*#REF!</f>
        <v>#REF!</v>
      </c>
      <c r="R1041" s="126">
        <v>45772</v>
      </c>
      <c r="S1041" s="153">
        <f>IF(L1041="","",L1041-B1041)</f>
        <v>1</v>
      </c>
      <c r="T1041" s="153">
        <f>IF(N1041="","",N1041-L1041)</f>
        <v>0</v>
      </c>
      <c r="U1041" s="153">
        <f>IF(O1041="","",O1041-N1041)</f>
        <v>0</v>
      </c>
      <c r="V1041" s="154">
        <f>IF(O1041="","",O1041-B1041)</f>
        <v>1</v>
      </c>
      <c r="W1041" s="154">
        <f>IF(O1041="","",O1041-L1041)</f>
        <v>0</v>
      </c>
      <c r="X1041" s="154">
        <f>IF(R1041="","",R1041-B1041)</f>
        <v>1</v>
      </c>
    </row>
    <row r="1042" spans="2:24" ht="17.25" hidden="1" customHeight="1">
      <c r="B1042" s="23">
        <v>45776</v>
      </c>
      <c r="C1042" s="7">
        <v>2003665845</v>
      </c>
      <c r="D1042" s="20">
        <v>154057</v>
      </c>
      <c r="E1042" s="27" t="s">
        <v>230</v>
      </c>
      <c r="F1042" s="7" t="s">
        <v>107</v>
      </c>
      <c r="G1042" s="7" t="s">
        <v>26</v>
      </c>
      <c r="H1042" s="7" t="s">
        <v>45</v>
      </c>
      <c r="I1042" s="20" t="s">
        <v>1746</v>
      </c>
      <c r="J1042" s="20" t="s">
        <v>1747</v>
      </c>
      <c r="K1042" s="7" t="s">
        <v>110</v>
      </c>
      <c r="L1042" s="61">
        <v>45783</v>
      </c>
      <c r="M1042" s="7" t="s">
        <v>111</v>
      </c>
      <c r="N1042" s="24">
        <v>45784</v>
      </c>
      <c r="O1042" s="23">
        <v>45784</v>
      </c>
      <c r="P1042" s="59"/>
      <c r="Q1042" s="124" t="e">
        <f>P1042*#REF!</f>
        <v>#REF!</v>
      </c>
      <c r="R1042" s="126">
        <v>45784</v>
      </c>
      <c r="S1042" s="153">
        <f>IF(L1042="","",L1042-B1042)</f>
        <v>7</v>
      </c>
      <c r="T1042" s="153">
        <f>IF(N1042="","",N1042-L1042)</f>
        <v>1</v>
      </c>
      <c r="U1042" s="153">
        <f>IF(O1042="","",O1042-N1042)</f>
        <v>0</v>
      </c>
      <c r="V1042" s="154">
        <f>IF(O1042="","",O1042-B1042)</f>
        <v>8</v>
      </c>
      <c r="W1042" s="154">
        <f>IF(O1042="","",O1042-L1042)</f>
        <v>1</v>
      </c>
      <c r="X1042" s="154">
        <f>IF(R1042="","",R1042-B1042)</f>
        <v>8</v>
      </c>
    </row>
    <row r="1043" spans="2:24" ht="17.25" hidden="1" customHeight="1">
      <c r="B1043" s="23">
        <v>45771</v>
      </c>
      <c r="C1043" s="7">
        <v>2003666520</v>
      </c>
      <c r="D1043" s="20">
        <v>149515</v>
      </c>
      <c r="E1043" s="27" t="s">
        <v>138</v>
      </c>
      <c r="F1043" s="7" t="s">
        <v>107</v>
      </c>
      <c r="G1043" s="7" t="s">
        <v>10</v>
      </c>
      <c r="H1043" s="7" t="s">
        <v>45</v>
      </c>
      <c r="I1043" s="20" t="s">
        <v>1748</v>
      </c>
      <c r="J1043" s="20" t="s">
        <v>1749</v>
      </c>
      <c r="K1043" s="7" t="s">
        <v>110</v>
      </c>
      <c r="L1043" s="61">
        <v>45772</v>
      </c>
      <c r="M1043" s="7" t="s">
        <v>111</v>
      </c>
      <c r="N1043" s="61">
        <v>45772</v>
      </c>
      <c r="O1043" s="61">
        <v>45772</v>
      </c>
      <c r="P1043" s="59"/>
      <c r="Q1043" s="124" t="e">
        <f>P1043*#REF!</f>
        <v>#REF!</v>
      </c>
      <c r="R1043" s="126">
        <v>45772</v>
      </c>
      <c r="S1043" s="153">
        <f>IF(L1043="","",L1043-B1043)</f>
        <v>1</v>
      </c>
      <c r="T1043" s="153">
        <f>IF(N1043="","",N1043-L1043)</f>
        <v>0</v>
      </c>
      <c r="U1043" s="153">
        <f>IF(O1043="","",O1043-N1043)</f>
        <v>0</v>
      </c>
      <c r="V1043" s="154">
        <f>IF(O1043="","",O1043-B1043)</f>
        <v>1</v>
      </c>
      <c r="W1043" s="154">
        <f>IF(O1043="","",O1043-L1043)</f>
        <v>0</v>
      </c>
      <c r="X1043" s="154">
        <f>IF(R1043="","",R1043-B1043)</f>
        <v>1</v>
      </c>
    </row>
    <row r="1044" spans="2:24" ht="17.25" hidden="1" customHeight="1">
      <c r="B1044" s="23">
        <v>45771</v>
      </c>
      <c r="C1044" s="7">
        <v>2003665423</v>
      </c>
      <c r="D1044" s="20">
        <v>149447</v>
      </c>
      <c r="E1044" s="27" t="s">
        <v>123</v>
      </c>
      <c r="F1044" s="7" t="s">
        <v>107</v>
      </c>
      <c r="G1044" s="7" t="s">
        <v>10</v>
      </c>
      <c r="H1044" s="7" t="s">
        <v>45</v>
      </c>
      <c r="I1044" s="20" t="s">
        <v>453</v>
      </c>
      <c r="J1044" s="20" t="s">
        <v>1750</v>
      </c>
      <c r="K1044" s="7" t="s">
        <v>119</v>
      </c>
      <c r="L1044" s="61">
        <v>45777</v>
      </c>
      <c r="M1044" s="7" t="s">
        <v>111</v>
      </c>
      <c r="N1044" s="61">
        <v>45777</v>
      </c>
      <c r="O1044" s="61">
        <v>45777</v>
      </c>
      <c r="P1044" s="59"/>
      <c r="Q1044" s="124" t="e">
        <f>P1044*#REF!</f>
        <v>#REF!</v>
      </c>
      <c r="R1044" s="126">
        <v>45777</v>
      </c>
      <c r="S1044" s="153">
        <f>IF(L1044="","",L1044-B1044)</f>
        <v>6</v>
      </c>
      <c r="T1044" s="153">
        <f>IF(N1044="","",N1044-L1044)</f>
        <v>0</v>
      </c>
      <c r="U1044" s="153">
        <f>IF(O1044="","",O1044-N1044)</f>
        <v>0</v>
      </c>
      <c r="V1044" s="154">
        <f>IF(O1044="","",O1044-B1044)</f>
        <v>6</v>
      </c>
      <c r="W1044" s="154">
        <f>IF(O1044="","",O1044-L1044)</f>
        <v>0</v>
      </c>
      <c r="X1044" s="154">
        <f>IF(R1044="","",R1044-B1044)</f>
        <v>6</v>
      </c>
    </row>
    <row r="1045" spans="2:24" ht="17.25" hidden="1" customHeight="1">
      <c r="B1045" s="23">
        <v>45771</v>
      </c>
      <c r="C1045" s="7">
        <v>2003667623</v>
      </c>
      <c r="D1045" s="20">
        <v>149443</v>
      </c>
      <c r="E1045" s="27" t="s">
        <v>949</v>
      </c>
      <c r="F1045" s="7" t="s">
        <v>107</v>
      </c>
      <c r="G1045" s="7" t="s">
        <v>10</v>
      </c>
      <c r="H1045" s="7" t="s">
        <v>45</v>
      </c>
      <c r="I1045" s="20" t="s">
        <v>1751</v>
      </c>
      <c r="J1045" s="20" t="s">
        <v>1752</v>
      </c>
      <c r="K1045" s="7" t="s">
        <v>110</v>
      </c>
      <c r="L1045" s="61">
        <v>45775</v>
      </c>
      <c r="M1045" s="7" t="s">
        <v>111</v>
      </c>
      <c r="N1045" s="61">
        <v>45775</v>
      </c>
      <c r="O1045" s="61">
        <v>45775</v>
      </c>
      <c r="P1045" s="59"/>
      <c r="Q1045" s="124" t="e">
        <f>P1045*#REF!</f>
        <v>#REF!</v>
      </c>
      <c r="R1045" s="126">
        <v>45776</v>
      </c>
      <c r="S1045" s="153">
        <f>IF(L1045="","",L1045-B1045)</f>
        <v>4</v>
      </c>
      <c r="T1045" s="153">
        <f>IF(N1045="","",N1045-L1045)</f>
        <v>0</v>
      </c>
      <c r="U1045" s="153">
        <f>IF(O1045="","",O1045-N1045)</f>
        <v>0</v>
      </c>
      <c r="V1045" s="154">
        <f>IF(O1045="","",O1045-B1045)</f>
        <v>4</v>
      </c>
      <c r="W1045" s="154">
        <f>IF(O1045="","",O1045-L1045)</f>
        <v>0</v>
      </c>
      <c r="X1045" s="154">
        <f>IF(R1045="","",R1045-B1045)</f>
        <v>5</v>
      </c>
    </row>
    <row r="1046" spans="2:24" ht="17.25" hidden="1" customHeight="1">
      <c r="B1046" s="23">
        <v>45771</v>
      </c>
      <c r="C1046" s="7">
        <v>2003668780</v>
      </c>
      <c r="D1046" s="20">
        <v>149342</v>
      </c>
      <c r="E1046" s="27" t="s">
        <v>116</v>
      </c>
      <c r="F1046" s="7" t="s">
        <v>107</v>
      </c>
      <c r="G1046" s="7" t="s">
        <v>18</v>
      </c>
      <c r="H1046" s="7" t="s">
        <v>45</v>
      </c>
      <c r="I1046" s="20" t="s">
        <v>1753</v>
      </c>
      <c r="J1046" s="20" t="s">
        <v>1754</v>
      </c>
      <c r="K1046" s="7" t="s">
        <v>119</v>
      </c>
      <c r="L1046" s="61">
        <v>45776</v>
      </c>
      <c r="M1046" s="7" t="s">
        <v>111</v>
      </c>
      <c r="N1046" s="61">
        <v>45776</v>
      </c>
      <c r="O1046" s="61">
        <v>45776</v>
      </c>
      <c r="P1046" s="59"/>
      <c r="Q1046" s="124" t="e">
        <f>P1046*#REF!</f>
        <v>#REF!</v>
      </c>
      <c r="R1046" s="126">
        <v>45777</v>
      </c>
      <c r="S1046" s="153">
        <f>IF(L1046="","",L1046-B1046)</f>
        <v>5</v>
      </c>
      <c r="T1046" s="153">
        <f>IF(N1046="","",N1046-L1046)</f>
        <v>0</v>
      </c>
      <c r="U1046" s="153">
        <f>IF(O1046="","",O1046-N1046)</f>
        <v>0</v>
      </c>
      <c r="V1046" s="154">
        <f>IF(O1046="","",O1046-B1046)</f>
        <v>5</v>
      </c>
      <c r="W1046" s="154">
        <f>IF(O1046="","",O1046-L1046)</f>
        <v>0</v>
      </c>
      <c r="X1046" s="154">
        <f>IF(R1046="","",R1046-B1046)</f>
        <v>6</v>
      </c>
    </row>
    <row r="1047" spans="2:24" ht="17.25" hidden="1" customHeight="1">
      <c r="B1047" s="23">
        <v>45771</v>
      </c>
      <c r="C1047" s="7">
        <v>2003666695</v>
      </c>
      <c r="D1047" s="20">
        <v>149407</v>
      </c>
      <c r="E1047" s="27" t="s">
        <v>149</v>
      </c>
      <c r="F1047" s="7" t="s">
        <v>107</v>
      </c>
      <c r="G1047" s="7" t="s">
        <v>10</v>
      </c>
      <c r="H1047" s="7" t="s">
        <v>45</v>
      </c>
      <c r="I1047" s="20" t="s">
        <v>1512</v>
      </c>
      <c r="J1047" s="20" t="s">
        <v>1513</v>
      </c>
      <c r="K1047" s="7" t="s">
        <v>110</v>
      </c>
      <c r="L1047" s="61">
        <v>45777</v>
      </c>
      <c r="M1047" s="7" t="s">
        <v>111</v>
      </c>
      <c r="N1047" s="61">
        <v>45777</v>
      </c>
      <c r="O1047" s="61">
        <v>45777</v>
      </c>
      <c r="P1047" s="59"/>
      <c r="Q1047" s="124" t="e">
        <f>P1047*#REF!</f>
        <v>#REF!</v>
      </c>
      <c r="R1047" s="126">
        <v>45777</v>
      </c>
      <c r="S1047" s="153">
        <f>IF(L1047="","",L1047-B1047)</f>
        <v>6</v>
      </c>
      <c r="T1047" s="153">
        <f>IF(N1047="","",N1047-L1047)</f>
        <v>0</v>
      </c>
      <c r="U1047" s="153">
        <f>IF(O1047="","",O1047-N1047)</f>
        <v>0</v>
      </c>
      <c r="V1047" s="154">
        <f>IF(O1047="","",O1047-B1047)</f>
        <v>6</v>
      </c>
      <c r="W1047" s="154">
        <f>IF(O1047="","",O1047-L1047)</f>
        <v>0</v>
      </c>
      <c r="X1047" s="154">
        <f>IF(R1047="","",R1047-B1047)</f>
        <v>6</v>
      </c>
    </row>
    <row r="1048" spans="2:24" ht="17.25" hidden="1" customHeight="1">
      <c r="B1048" s="23">
        <v>45776</v>
      </c>
      <c r="C1048" s="7">
        <v>2003674918</v>
      </c>
      <c r="D1048" s="20">
        <v>154150</v>
      </c>
      <c r="E1048" s="27" t="s">
        <v>116</v>
      </c>
      <c r="F1048" s="7" t="s">
        <v>107</v>
      </c>
      <c r="G1048" s="7" t="s">
        <v>26</v>
      </c>
      <c r="H1048" s="7" t="s">
        <v>45</v>
      </c>
      <c r="I1048" s="20" t="s">
        <v>1755</v>
      </c>
      <c r="J1048" s="20" t="s">
        <v>1756</v>
      </c>
      <c r="K1048" s="7" t="s">
        <v>119</v>
      </c>
      <c r="L1048" s="61">
        <v>45783</v>
      </c>
      <c r="M1048" s="7" t="s">
        <v>111</v>
      </c>
      <c r="N1048" s="24">
        <v>45783</v>
      </c>
      <c r="O1048" s="23">
        <v>45783</v>
      </c>
      <c r="P1048" s="59"/>
      <c r="Q1048" s="124" t="e">
        <f>P1048*#REF!</f>
        <v>#REF!</v>
      </c>
      <c r="R1048" s="126">
        <v>45783</v>
      </c>
      <c r="S1048" s="153">
        <f>IF(L1048="","",L1048-B1048)</f>
        <v>7</v>
      </c>
      <c r="T1048" s="153">
        <f>IF(N1048="","",N1048-L1048)</f>
        <v>0</v>
      </c>
      <c r="U1048" s="153">
        <f>IF(O1048="","",O1048-N1048)</f>
        <v>0</v>
      </c>
      <c r="V1048" s="154">
        <f>IF(O1048="","",O1048-B1048)</f>
        <v>7</v>
      </c>
      <c r="W1048" s="154">
        <f>IF(O1048="","",O1048-L1048)</f>
        <v>0</v>
      </c>
      <c r="X1048" s="154">
        <f>IF(R1048="","",R1048-B1048)</f>
        <v>7</v>
      </c>
    </row>
    <row r="1049" spans="2:24" ht="17.25" hidden="1" customHeight="1">
      <c r="B1049" s="23">
        <v>45772</v>
      </c>
      <c r="C1049" s="7">
        <v>2003671116</v>
      </c>
      <c r="D1049" s="20">
        <v>5898640</v>
      </c>
      <c r="E1049" s="27" t="s">
        <v>191</v>
      </c>
      <c r="F1049" s="7" t="s">
        <v>113</v>
      </c>
      <c r="G1049" s="7" t="s">
        <v>70</v>
      </c>
      <c r="H1049" s="7" t="s">
        <v>47</v>
      </c>
      <c r="I1049" s="20" t="s">
        <v>1757</v>
      </c>
      <c r="J1049" s="20" t="s">
        <v>1758</v>
      </c>
      <c r="K1049" s="7" t="s">
        <v>119</v>
      </c>
      <c r="L1049" s="61">
        <v>45775</v>
      </c>
      <c r="M1049" s="7" t="s">
        <v>111</v>
      </c>
      <c r="P1049" s="59"/>
      <c r="Q1049" s="124" t="e">
        <f>P1049*#REF!</f>
        <v>#REF!</v>
      </c>
      <c r="R1049" s="126">
        <v>45775</v>
      </c>
      <c r="S1049" s="153">
        <f>IF(L1049="","",L1049-B1049)</f>
        <v>3</v>
      </c>
      <c r="T1049" s="153" t="str">
        <f>IF(N1049="","",N1049-L1049)</f>
        <v/>
      </c>
      <c r="U1049" s="153" t="str">
        <f>IF(O1049="","",O1049-N1049)</f>
        <v/>
      </c>
      <c r="V1049" s="154" t="str">
        <f>IF(O1049="","",O1049-B1049)</f>
        <v/>
      </c>
      <c r="W1049" s="154" t="str">
        <f>IF(O1049="","",O1049-L1049)</f>
        <v/>
      </c>
      <c r="X1049" s="154">
        <f>IF(R1049="","",R1049-B1049)</f>
        <v>3</v>
      </c>
    </row>
    <row r="1050" spans="2:24" ht="17.25" hidden="1" customHeight="1">
      <c r="B1050" s="23">
        <v>45776</v>
      </c>
      <c r="C1050" s="7">
        <v>2003665436</v>
      </c>
      <c r="D1050" s="20">
        <v>154156</v>
      </c>
      <c r="E1050" s="27" t="s">
        <v>138</v>
      </c>
      <c r="F1050" s="7" t="s">
        <v>107</v>
      </c>
      <c r="G1050" s="7" t="s">
        <v>10</v>
      </c>
      <c r="H1050" s="7" t="s">
        <v>45</v>
      </c>
      <c r="I1050" s="20" t="s">
        <v>501</v>
      </c>
      <c r="J1050" s="20" t="s">
        <v>1759</v>
      </c>
      <c r="K1050" s="7" t="s">
        <v>119</v>
      </c>
      <c r="L1050" s="61">
        <v>45785</v>
      </c>
      <c r="M1050" s="7" t="s">
        <v>111</v>
      </c>
      <c r="N1050" s="61">
        <v>45785</v>
      </c>
      <c r="O1050" s="61">
        <v>45785</v>
      </c>
      <c r="P1050" s="59"/>
      <c r="Q1050" s="124" t="e">
        <f>P1050*#REF!</f>
        <v>#REF!</v>
      </c>
      <c r="R1050" s="126">
        <v>45786</v>
      </c>
      <c r="S1050" s="153">
        <f>IF(L1050="","",L1050-B1050)</f>
        <v>9</v>
      </c>
      <c r="T1050" s="153">
        <f>IF(N1050="","",N1050-L1050)</f>
        <v>0</v>
      </c>
      <c r="U1050" s="153">
        <f>IF(O1050="","",O1050-N1050)</f>
        <v>0</v>
      </c>
      <c r="V1050" s="154">
        <f>IF(O1050="","",O1050-B1050)</f>
        <v>9</v>
      </c>
      <c r="W1050" s="154">
        <f>IF(O1050="","",O1050-L1050)</f>
        <v>0</v>
      </c>
      <c r="X1050" s="154">
        <f>IF(R1050="","",R1050-B1050)</f>
        <v>10</v>
      </c>
    </row>
    <row r="1051" spans="2:24" ht="17.25" hidden="1" customHeight="1">
      <c r="B1051" s="23">
        <v>45772</v>
      </c>
      <c r="C1051" s="7">
        <v>2003672550</v>
      </c>
      <c r="D1051" s="20">
        <v>5898693</v>
      </c>
      <c r="E1051" s="27" t="s">
        <v>1225</v>
      </c>
      <c r="F1051" s="7" t="s">
        <v>107</v>
      </c>
      <c r="G1051" s="7" t="s">
        <v>10</v>
      </c>
      <c r="H1051" s="7" t="s">
        <v>45</v>
      </c>
      <c r="I1051" s="20" t="s">
        <v>612</v>
      </c>
      <c r="J1051" s="20" t="s">
        <v>1760</v>
      </c>
      <c r="K1051" s="7" t="s">
        <v>110</v>
      </c>
      <c r="L1051" s="61">
        <v>45777</v>
      </c>
      <c r="M1051" s="7" t="s">
        <v>111</v>
      </c>
      <c r="N1051" s="61">
        <v>45777</v>
      </c>
      <c r="O1051" s="61">
        <v>45777</v>
      </c>
      <c r="P1051" s="59"/>
      <c r="Q1051" s="124" t="e">
        <f>P1051*#REF!</f>
        <v>#REF!</v>
      </c>
      <c r="R1051" s="126">
        <v>45777</v>
      </c>
      <c r="S1051" s="153">
        <f>IF(L1051="","",L1051-B1051)</f>
        <v>5</v>
      </c>
      <c r="T1051" s="153">
        <f>IF(N1051="","",N1051-L1051)</f>
        <v>0</v>
      </c>
      <c r="U1051" s="153">
        <f>IF(O1051="","",O1051-N1051)</f>
        <v>0</v>
      </c>
      <c r="V1051" s="154">
        <f>IF(O1051="","",O1051-B1051)</f>
        <v>5</v>
      </c>
      <c r="W1051" s="154">
        <f>IF(O1051="","",O1051-L1051)</f>
        <v>0</v>
      </c>
      <c r="X1051" s="154">
        <f>IF(R1051="","",R1051-B1051)</f>
        <v>5</v>
      </c>
    </row>
    <row r="1052" spans="2:24" ht="17.25" hidden="1" customHeight="1">
      <c r="B1052" s="23">
        <v>45777</v>
      </c>
      <c r="C1052" s="7">
        <v>2003669571</v>
      </c>
      <c r="D1052" s="20">
        <v>154516</v>
      </c>
      <c r="E1052" s="27" t="s">
        <v>149</v>
      </c>
      <c r="F1052" s="7" t="s">
        <v>107</v>
      </c>
      <c r="G1052" s="7" t="s">
        <v>10</v>
      </c>
      <c r="H1052" s="7" t="s">
        <v>45</v>
      </c>
      <c r="I1052" s="20" t="s">
        <v>385</v>
      </c>
      <c r="J1052" s="20" t="s">
        <v>1761</v>
      </c>
      <c r="K1052" s="7" t="s">
        <v>110</v>
      </c>
      <c r="L1052" s="61">
        <v>45783</v>
      </c>
      <c r="M1052" s="7" t="s">
        <v>111</v>
      </c>
      <c r="N1052" s="61">
        <v>45783</v>
      </c>
      <c r="O1052" s="130">
        <v>45783</v>
      </c>
      <c r="P1052" s="59"/>
      <c r="Q1052" s="124" t="e">
        <f>P1052*#REF!</f>
        <v>#REF!</v>
      </c>
      <c r="R1052" s="126">
        <v>45786</v>
      </c>
      <c r="S1052" s="153">
        <f>IF(L1052="","",L1052-B1052)</f>
        <v>6</v>
      </c>
      <c r="T1052" s="153">
        <f>IF(N1052="","",N1052-L1052)</f>
        <v>0</v>
      </c>
      <c r="U1052" s="153">
        <f>IF(O1052="","",O1052-N1052)</f>
        <v>0</v>
      </c>
      <c r="V1052" s="154">
        <f>IF(O1052="","",O1052-B1052)</f>
        <v>6</v>
      </c>
      <c r="W1052" s="154">
        <f>IF(O1052="","",O1052-L1052)</f>
        <v>0</v>
      </c>
      <c r="X1052" s="154">
        <f>IF(R1052="","",R1052-B1052)</f>
        <v>9</v>
      </c>
    </row>
    <row r="1053" spans="2:24" ht="17.25" hidden="1" customHeight="1">
      <c r="B1053" s="23">
        <v>45772</v>
      </c>
      <c r="C1053" s="7">
        <v>2003666942</v>
      </c>
      <c r="D1053" s="20">
        <v>5898844</v>
      </c>
      <c r="E1053" s="27" t="s">
        <v>126</v>
      </c>
      <c r="F1053" s="7" t="s">
        <v>107</v>
      </c>
      <c r="G1053" s="7" t="s">
        <v>10</v>
      </c>
      <c r="H1053" s="7" t="s">
        <v>45</v>
      </c>
      <c r="I1053" s="20" t="s">
        <v>1762</v>
      </c>
      <c r="J1053" s="20" t="s">
        <v>1763</v>
      </c>
      <c r="K1053" s="7" t="s">
        <v>110</v>
      </c>
      <c r="L1053" s="61">
        <v>45777</v>
      </c>
      <c r="M1053" s="7" t="s">
        <v>111</v>
      </c>
      <c r="N1053" s="61">
        <v>45777</v>
      </c>
      <c r="O1053" s="61">
        <v>45777</v>
      </c>
      <c r="P1053" s="59"/>
      <c r="Q1053" s="124" t="e">
        <f>P1053*#REF!</f>
        <v>#REF!</v>
      </c>
      <c r="R1053" s="126">
        <v>45777</v>
      </c>
      <c r="S1053" s="153">
        <f>IF(L1053="","",L1053-B1053)</f>
        <v>5</v>
      </c>
      <c r="T1053" s="153">
        <f>IF(N1053="","",N1053-L1053)</f>
        <v>0</v>
      </c>
      <c r="U1053" s="153">
        <f>IF(O1053="","",O1053-N1053)</f>
        <v>0</v>
      </c>
      <c r="V1053" s="154">
        <f>IF(O1053="","",O1053-B1053)</f>
        <v>5</v>
      </c>
      <c r="W1053" s="154">
        <f>IF(O1053="","",O1053-L1053)</f>
        <v>0</v>
      </c>
      <c r="X1053" s="154">
        <f>IF(R1053="","",R1053-B1053)</f>
        <v>5</v>
      </c>
    </row>
    <row r="1054" spans="2:24" ht="17.25" hidden="1" customHeight="1">
      <c r="B1054" s="23">
        <v>45777</v>
      </c>
      <c r="C1054" s="7">
        <v>2003673552</v>
      </c>
      <c r="D1054" s="20">
        <v>154599</v>
      </c>
      <c r="E1054" s="27" t="s">
        <v>566</v>
      </c>
      <c r="F1054" s="7" t="s">
        <v>107</v>
      </c>
      <c r="G1054" s="7" t="s">
        <v>10</v>
      </c>
      <c r="H1054" s="7" t="s">
        <v>45</v>
      </c>
      <c r="I1054" s="20" t="s">
        <v>670</v>
      </c>
      <c r="J1054" s="20" t="s">
        <v>1764</v>
      </c>
      <c r="K1054" s="7" t="s">
        <v>110</v>
      </c>
      <c r="L1054" s="61">
        <v>45783</v>
      </c>
      <c r="M1054" s="7" t="s">
        <v>111</v>
      </c>
      <c r="N1054" s="61">
        <v>45783</v>
      </c>
      <c r="O1054" s="130">
        <v>45786</v>
      </c>
      <c r="P1054" s="59"/>
      <c r="Q1054" s="124" t="e">
        <f>P1054*#REF!</f>
        <v>#REF!</v>
      </c>
      <c r="R1054" s="126">
        <v>45786</v>
      </c>
      <c r="S1054" s="153">
        <f>IF(L1054="","",L1054-B1054)</f>
        <v>6</v>
      </c>
      <c r="T1054" s="153">
        <f>IF(N1054="","",N1054-L1054)</f>
        <v>0</v>
      </c>
      <c r="U1054" s="153">
        <f>IF(O1054="","",O1054-N1054)</f>
        <v>3</v>
      </c>
      <c r="V1054" s="154">
        <f>IF(O1054="","",O1054-B1054)</f>
        <v>9</v>
      </c>
      <c r="W1054" s="154">
        <f>IF(O1054="","",O1054-L1054)</f>
        <v>3</v>
      </c>
      <c r="X1054" s="154">
        <f>IF(R1054="","",R1054-B1054)</f>
        <v>9</v>
      </c>
    </row>
    <row r="1055" spans="2:24" ht="17.25" hidden="1" customHeight="1">
      <c r="B1055" s="23">
        <v>45772</v>
      </c>
      <c r="C1055" s="7">
        <v>2003665644</v>
      </c>
      <c r="D1055" s="20">
        <v>5898924</v>
      </c>
      <c r="E1055" s="27" t="s">
        <v>106</v>
      </c>
      <c r="F1055" s="7" t="s">
        <v>107</v>
      </c>
      <c r="G1055" s="7" t="s">
        <v>10</v>
      </c>
      <c r="H1055" s="7" t="s">
        <v>45</v>
      </c>
      <c r="I1055" s="20" t="s">
        <v>231</v>
      </c>
      <c r="J1055" s="20" t="s">
        <v>1765</v>
      </c>
      <c r="K1055" s="7" t="s">
        <v>119</v>
      </c>
      <c r="L1055" s="61">
        <v>45775</v>
      </c>
      <c r="M1055" s="7" t="s">
        <v>111</v>
      </c>
      <c r="N1055" s="24">
        <v>45775</v>
      </c>
      <c r="O1055" s="58">
        <v>45776</v>
      </c>
      <c r="P1055" s="59"/>
      <c r="Q1055" s="124" t="e">
        <f>P1055*#REF!</f>
        <v>#REF!</v>
      </c>
      <c r="R1055" s="126">
        <v>45776</v>
      </c>
      <c r="S1055" s="153">
        <f>IF(L1055="","",L1055-B1055)</f>
        <v>3</v>
      </c>
      <c r="T1055" s="153">
        <f>IF(N1055="","",N1055-L1055)</f>
        <v>0</v>
      </c>
      <c r="U1055" s="153">
        <f>IF(O1055="","",O1055-N1055)</f>
        <v>1</v>
      </c>
      <c r="V1055" s="154">
        <f>IF(O1055="","",O1055-B1055)</f>
        <v>4</v>
      </c>
      <c r="W1055" s="154">
        <f>IF(O1055="","",O1055-L1055)</f>
        <v>1</v>
      </c>
      <c r="X1055" s="154">
        <f>IF(R1055="","",R1055-B1055)</f>
        <v>4</v>
      </c>
    </row>
    <row r="1056" spans="2:24" ht="17.25" hidden="1" customHeight="1">
      <c r="B1056" s="23">
        <v>45772</v>
      </c>
      <c r="C1056" s="7">
        <v>2003670847</v>
      </c>
      <c r="D1056" s="20">
        <v>5898949</v>
      </c>
      <c r="E1056" s="27" t="s">
        <v>949</v>
      </c>
      <c r="F1056" s="7" t="s">
        <v>113</v>
      </c>
      <c r="G1056" s="7" t="s">
        <v>70</v>
      </c>
      <c r="H1056" s="7" t="s">
        <v>47</v>
      </c>
      <c r="I1056" s="20" t="s">
        <v>1096</v>
      </c>
      <c r="J1056" s="20" t="s">
        <v>1766</v>
      </c>
      <c r="K1056" s="7" t="s">
        <v>160</v>
      </c>
      <c r="P1056" s="59"/>
      <c r="Q1056" s="124" t="e">
        <f>P1056*#REF!</f>
        <v>#REF!</v>
      </c>
      <c r="R1056" s="126">
        <v>45775</v>
      </c>
      <c r="S1056" s="153" t="str">
        <f>IF(L1056="","",L1056-B1056)</f>
        <v/>
      </c>
      <c r="T1056" s="153" t="str">
        <f>IF(N1056="","",N1056-L1056)</f>
        <v/>
      </c>
      <c r="U1056" s="153" t="str">
        <f>IF(O1056="","",O1056-N1056)</f>
        <v/>
      </c>
      <c r="V1056" s="154" t="str">
        <f>IF(O1056="","",O1056-B1056)</f>
        <v/>
      </c>
      <c r="W1056" s="154" t="str">
        <f>IF(O1056="","",O1056-L1056)</f>
        <v/>
      </c>
      <c r="X1056" s="154">
        <f>IF(R1056="","",R1056-B1056)</f>
        <v>3</v>
      </c>
    </row>
    <row r="1057" spans="2:24" ht="17.25" hidden="1" customHeight="1">
      <c r="B1057" s="23">
        <v>45772</v>
      </c>
      <c r="C1057" s="7">
        <v>2003664990</v>
      </c>
      <c r="D1057" s="20">
        <v>5898953</v>
      </c>
      <c r="E1057" s="27" t="s">
        <v>201</v>
      </c>
      <c r="F1057" s="7" t="s">
        <v>107</v>
      </c>
      <c r="G1057" s="7" t="s">
        <v>10</v>
      </c>
      <c r="H1057" s="7" t="s">
        <v>45</v>
      </c>
      <c r="I1057" s="20" t="s">
        <v>1706</v>
      </c>
      <c r="J1057" s="20" t="s">
        <v>1767</v>
      </c>
      <c r="K1057" s="7" t="s">
        <v>110</v>
      </c>
      <c r="L1057" s="61">
        <v>45776</v>
      </c>
      <c r="M1057" s="7" t="s">
        <v>111</v>
      </c>
      <c r="N1057" s="24">
        <v>45777</v>
      </c>
      <c r="O1057" s="24">
        <v>45777</v>
      </c>
      <c r="P1057" s="59"/>
      <c r="Q1057" s="124" t="e">
        <f>P1057*#REF!</f>
        <v>#REF!</v>
      </c>
      <c r="R1057" s="126">
        <v>45777</v>
      </c>
      <c r="S1057" s="153">
        <f>IF(L1057="","",L1057-B1057)</f>
        <v>4</v>
      </c>
      <c r="T1057" s="153">
        <f>IF(N1057="","",N1057-L1057)</f>
        <v>1</v>
      </c>
      <c r="U1057" s="153">
        <f>IF(O1057="","",O1057-N1057)</f>
        <v>0</v>
      </c>
      <c r="V1057" s="154">
        <f>IF(O1057="","",O1057-B1057)</f>
        <v>5</v>
      </c>
      <c r="W1057" s="154">
        <f>IF(O1057="","",O1057-L1057)</f>
        <v>1</v>
      </c>
      <c r="X1057" s="154">
        <f>IF(R1057="","",R1057-B1057)</f>
        <v>5</v>
      </c>
    </row>
    <row r="1058" spans="2:24" ht="17.25" hidden="1" customHeight="1">
      <c r="B1058" s="23">
        <v>45777</v>
      </c>
      <c r="C1058" s="7">
        <v>2003665337</v>
      </c>
      <c r="D1058" s="20">
        <v>154715</v>
      </c>
      <c r="E1058" s="27" t="s">
        <v>230</v>
      </c>
      <c r="F1058" s="7" t="s">
        <v>107</v>
      </c>
      <c r="G1058" s="7" t="s">
        <v>10</v>
      </c>
      <c r="H1058" s="7" t="s">
        <v>45</v>
      </c>
      <c r="I1058" s="20" t="s">
        <v>1417</v>
      </c>
      <c r="J1058" s="20" t="s">
        <v>1418</v>
      </c>
      <c r="K1058" s="7" t="s">
        <v>110</v>
      </c>
      <c r="L1058" s="61">
        <v>45786</v>
      </c>
      <c r="M1058" s="7" t="s">
        <v>111</v>
      </c>
      <c r="N1058" s="24">
        <v>45787</v>
      </c>
      <c r="O1058" s="24">
        <v>45787</v>
      </c>
      <c r="P1058" s="59"/>
      <c r="Q1058" s="124" t="e">
        <f>P1058*#REF!</f>
        <v>#REF!</v>
      </c>
      <c r="R1058" s="126">
        <v>45789</v>
      </c>
      <c r="S1058" s="153">
        <f>IF(L1058="","",L1058-B1058)</f>
        <v>9</v>
      </c>
      <c r="T1058" s="153">
        <f>IF(N1058="","",N1058-L1058)</f>
        <v>1</v>
      </c>
      <c r="U1058" s="153">
        <f>IF(O1058="","",O1058-N1058)</f>
        <v>0</v>
      </c>
      <c r="V1058" s="154">
        <f>IF(O1058="","",O1058-B1058)</f>
        <v>10</v>
      </c>
      <c r="W1058" s="154">
        <f>IF(O1058="","",O1058-L1058)</f>
        <v>1</v>
      </c>
      <c r="X1058" s="154">
        <f>IF(R1058="","",R1058-B1058)</f>
        <v>12</v>
      </c>
    </row>
    <row r="1059" spans="2:24" ht="17.25" hidden="1" customHeight="1">
      <c r="B1059" s="23">
        <v>45772</v>
      </c>
      <c r="C1059" s="7">
        <v>2003665757</v>
      </c>
      <c r="D1059" s="20">
        <v>5899067</v>
      </c>
      <c r="E1059" s="27" t="s">
        <v>201</v>
      </c>
      <c r="F1059" s="7" t="s">
        <v>107</v>
      </c>
      <c r="G1059" s="7" t="s">
        <v>10</v>
      </c>
      <c r="H1059" s="7" t="s">
        <v>45</v>
      </c>
      <c r="I1059" s="20" t="s">
        <v>1768</v>
      </c>
      <c r="J1059" s="20" t="s">
        <v>1769</v>
      </c>
      <c r="K1059" s="7" t="s">
        <v>119</v>
      </c>
      <c r="L1059" s="61">
        <v>45776</v>
      </c>
      <c r="M1059" s="7" t="s">
        <v>111</v>
      </c>
      <c r="N1059" s="61">
        <v>45776</v>
      </c>
      <c r="O1059" s="61">
        <v>45776</v>
      </c>
      <c r="P1059" s="59"/>
      <c r="Q1059" s="124" t="e">
        <f>P1059*#REF!</f>
        <v>#REF!</v>
      </c>
      <c r="R1059" s="126">
        <v>45777</v>
      </c>
      <c r="S1059" s="153">
        <f>IF(L1059="","",L1059-B1059)</f>
        <v>4</v>
      </c>
      <c r="T1059" s="153">
        <f>IF(N1059="","",N1059-L1059)</f>
        <v>0</v>
      </c>
      <c r="U1059" s="153">
        <f>IF(O1059="","",O1059-N1059)</f>
        <v>0</v>
      </c>
      <c r="V1059" s="154">
        <f>IF(O1059="","",O1059-B1059)</f>
        <v>4</v>
      </c>
      <c r="W1059" s="154">
        <f>IF(O1059="","",O1059-L1059)</f>
        <v>0</v>
      </c>
      <c r="X1059" s="154">
        <f>IF(R1059="","",R1059-B1059)</f>
        <v>5</v>
      </c>
    </row>
    <row r="1060" spans="2:24" ht="17.25" hidden="1" customHeight="1">
      <c r="B1060" s="23">
        <v>45777</v>
      </c>
      <c r="C1060" s="7">
        <v>2003654266</v>
      </c>
      <c r="D1060" s="20">
        <v>154925</v>
      </c>
      <c r="E1060" s="27" t="s">
        <v>116</v>
      </c>
      <c r="F1060" s="7" t="s">
        <v>107</v>
      </c>
      <c r="G1060" s="7" t="s">
        <v>21</v>
      </c>
      <c r="H1060" s="7" t="s">
        <v>45</v>
      </c>
      <c r="I1060" s="20" t="s">
        <v>1410</v>
      </c>
      <c r="J1060" s="20" t="s">
        <v>1411</v>
      </c>
      <c r="K1060" s="7" t="s">
        <v>111</v>
      </c>
      <c r="L1060" s="61">
        <v>45782</v>
      </c>
      <c r="M1060" s="7" t="s">
        <v>111</v>
      </c>
      <c r="N1060" s="61">
        <v>45782</v>
      </c>
      <c r="O1060" s="23">
        <v>45786</v>
      </c>
      <c r="P1060" s="59"/>
      <c r="Q1060" s="124" t="e">
        <f>P1060*#REF!</f>
        <v>#REF!</v>
      </c>
      <c r="R1060" s="126">
        <v>45786</v>
      </c>
      <c r="S1060" s="153">
        <f>IF(L1060="","",L1060-B1060)</f>
        <v>5</v>
      </c>
      <c r="T1060" s="153">
        <f>IF(N1060="","",N1060-L1060)</f>
        <v>0</v>
      </c>
      <c r="U1060" s="153">
        <f>IF(O1060="","",O1060-N1060)</f>
        <v>4</v>
      </c>
      <c r="V1060" s="154">
        <f>IF(O1060="","",O1060-B1060)</f>
        <v>9</v>
      </c>
      <c r="W1060" s="154">
        <f>IF(O1060="","",O1060-L1060)</f>
        <v>4</v>
      </c>
      <c r="X1060" s="154">
        <f>IF(R1060="","",R1060-B1060)</f>
        <v>9</v>
      </c>
    </row>
    <row r="1061" spans="2:24" ht="17.25" hidden="1" customHeight="1">
      <c r="B1061" s="23">
        <v>45772</v>
      </c>
      <c r="C1061" s="7">
        <v>2003669396</v>
      </c>
      <c r="D1061" s="20">
        <v>5899077</v>
      </c>
      <c r="E1061" s="27" t="s">
        <v>185</v>
      </c>
      <c r="F1061" s="7" t="s">
        <v>107</v>
      </c>
      <c r="G1061" s="7" t="s">
        <v>10</v>
      </c>
      <c r="H1061" s="7" t="s">
        <v>45</v>
      </c>
      <c r="I1061" s="20" t="s">
        <v>1770</v>
      </c>
      <c r="J1061" s="20" t="s">
        <v>1771</v>
      </c>
      <c r="K1061" s="7" t="s">
        <v>110</v>
      </c>
      <c r="L1061" s="61">
        <v>45776</v>
      </c>
      <c r="M1061" s="7" t="s">
        <v>111</v>
      </c>
      <c r="N1061" s="61">
        <v>45776</v>
      </c>
      <c r="O1061" s="58">
        <v>45777</v>
      </c>
      <c r="P1061" s="59"/>
      <c r="Q1061" s="124" t="e">
        <f>P1061*#REF!</f>
        <v>#REF!</v>
      </c>
      <c r="R1061" s="126">
        <v>45777</v>
      </c>
      <c r="S1061" s="153">
        <f>IF(L1061="","",L1061-B1061)</f>
        <v>4</v>
      </c>
      <c r="T1061" s="153">
        <f>IF(N1061="","",N1061-L1061)</f>
        <v>0</v>
      </c>
      <c r="U1061" s="153">
        <f>IF(O1061="","",O1061-N1061)</f>
        <v>1</v>
      </c>
      <c r="V1061" s="154">
        <f>IF(O1061="","",O1061-B1061)</f>
        <v>5</v>
      </c>
      <c r="W1061" s="154">
        <f>IF(O1061="","",O1061-L1061)</f>
        <v>1</v>
      </c>
      <c r="X1061" s="154">
        <f>IF(R1061="","",R1061-B1061)</f>
        <v>5</v>
      </c>
    </row>
    <row r="1062" spans="2:24" ht="17.25" hidden="1" customHeight="1">
      <c r="B1062" s="23">
        <v>45777</v>
      </c>
      <c r="C1062" s="7">
        <v>2003651884</v>
      </c>
      <c r="D1062" s="20">
        <v>155164</v>
      </c>
      <c r="E1062" s="27" t="s">
        <v>135</v>
      </c>
      <c r="F1062" s="7" t="s">
        <v>107</v>
      </c>
      <c r="G1062" s="7" t="s">
        <v>10</v>
      </c>
      <c r="H1062" s="7" t="s">
        <v>45</v>
      </c>
      <c r="I1062" s="20" t="s">
        <v>425</v>
      </c>
      <c r="J1062" s="20" t="s">
        <v>1772</v>
      </c>
      <c r="K1062" s="7" t="s">
        <v>119</v>
      </c>
      <c r="L1062" s="61">
        <v>45783</v>
      </c>
      <c r="M1062" s="7" t="s">
        <v>111</v>
      </c>
      <c r="N1062" s="61">
        <v>45783</v>
      </c>
      <c r="O1062" s="130">
        <v>45783</v>
      </c>
      <c r="P1062" s="59"/>
      <c r="Q1062" s="124" t="e">
        <f>P1062*#REF!</f>
        <v>#REF!</v>
      </c>
      <c r="R1062" s="126">
        <v>45783</v>
      </c>
      <c r="S1062" s="153">
        <f>IF(L1062="","",L1062-B1062)</f>
        <v>6</v>
      </c>
      <c r="T1062" s="153">
        <f>IF(N1062="","",N1062-L1062)</f>
        <v>0</v>
      </c>
      <c r="U1062" s="153">
        <f>IF(O1062="","",O1062-N1062)</f>
        <v>0</v>
      </c>
      <c r="V1062" s="154">
        <f>IF(O1062="","",O1062-B1062)</f>
        <v>6</v>
      </c>
      <c r="W1062" s="154">
        <f>IF(O1062="","",O1062-L1062)</f>
        <v>0</v>
      </c>
      <c r="X1062" s="154">
        <f>IF(R1062="","",R1062-B1062)</f>
        <v>6</v>
      </c>
    </row>
    <row r="1063" spans="2:24" ht="17.25" hidden="1" customHeight="1">
      <c r="B1063" s="23">
        <v>45777</v>
      </c>
      <c r="C1063" s="7">
        <v>2003665139</v>
      </c>
      <c r="D1063" s="20">
        <v>155186</v>
      </c>
      <c r="E1063" s="27" t="s">
        <v>230</v>
      </c>
      <c r="F1063" s="7" t="s">
        <v>107</v>
      </c>
      <c r="G1063" s="7" t="s">
        <v>10</v>
      </c>
      <c r="H1063" s="7" t="s">
        <v>45</v>
      </c>
      <c r="I1063" s="20" t="s">
        <v>392</v>
      </c>
      <c r="J1063" s="20" t="s">
        <v>1419</v>
      </c>
      <c r="K1063" s="7" t="s">
        <v>110</v>
      </c>
      <c r="L1063" s="61">
        <v>45784</v>
      </c>
      <c r="M1063" s="7" t="s">
        <v>111</v>
      </c>
      <c r="N1063" s="61">
        <v>45784</v>
      </c>
      <c r="O1063" s="61">
        <v>45784</v>
      </c>
      <c r="P1063" s="59"/>
      <c r="Q1063" s="124" t="e">
        <f>P1063*#REF!</f>
        <v>#REF!</v>
      </c>
      <c r="R1063" s="126">
        <v>45784</v>
      </c>
      <c r="S1063" s="153">
        <f>IF(L1063="","",L1063-B1063)</f>
        <v>7</v>
      </c>
      <c r="T1063" s="153">
        <f>IF(N1063="","",N1063-L1063)</f>
        <v>0</v>
      </c>
      <c r="U1063" s="153">
        <f>IF(O1063="","",O1063-N1063)</f>
        <v>0</v>
      </c>
      <c r="V1063" s="154">
        <f>IF(O1063="","",O1063-B1063)</f>
        <v>7</v>
      </c>
      <c r="W1063" s="154">
        <f>IF(O1063="","",O1063-L1063)</f>
        <v>0</v>
      </c>
      <c r="X1063" s="154">
        <f>IF(R1063="","",R1063-B1063)</f>
        <v>7</v>
      </c>
    </row>
    <row r="1064" spans="2:24" ht="17.25" hidden="1" customHeight="1">
      <c r="B1064" s="23">
        <v>45772</v>
      </c>
      <c r="C1064" s="7">
        <v>2003654966</v>
      </c>
      <c r="D1064" s="20">
        <v>151236</v>
      </c>
      <c r="E1064" s="27" t="s">
        <v>123</v>
      </c>
      <c r="F1064" s="7" t="s">
        <v>107</v>
      </c>
      <c r="G1064" s="7" t="s">
        <v>26</v>
      </c>
      <c r="H1064" s="7" t="s">
        <v>42</v>
      </c>
      <c r="I1064" s="20" t="s">
        <v>1136</v>
      </c>
      <c r="J1064" s="20" t="s">
        <v>1773</v>
      </c>
      <c r="K1064" s="7" t="s">
        <v>122</v>
      </c>
      <c r="L1064" s="61">
        <v>45776</v>
      </c>
      <c r="M1064" s="7" t="s">
        <v>111</v>
      </c>
      <c r="N1064" s="24">
        <v>45776</v>
      </c>
      <c r="O1064" s="23">
        <v>45776</v>
      </c>
      <c r="P1064" s="59"/>
      <c r="Q1064" s="124" t="e">
        <f>P1064*#REF!</f>
        <v>#REF!</v>
      </c>
      <c r="R1064" s="126">
        <v>45776</v>
      </c>
      <c r="S1064" s="153">
        <f>IF(L1064="","",L1064-B1064)</f>
        <v>4</v>
      </c>
      <c r="T1064" s="153">
        <f>IF(N1064="","",N1064-L1064)</f>
        <v>0</v>
      </c>
      <c r="U1064" s="153">
        <f>IF(O1064="","",O1064-N1064)</f>
        <v>0</v>
      </c>
      <c r="V1064" s="154">
        <f>IF(O1064="","",O1064-B1064)</f>
        <v>4</v>
      </c>
      <c r="W1064" s="154">
        <f>IF(O1064="","",O1064-L1064)</f>
        <v>0</v>
      </c>
      <c r="X1064" s="154">
        <f>IF(R1064="","",R1064-B1064)</f>
        <v>4</v>
      </c>
    </row>
    <row r="1065" spans="2:24" ht="17.25" hidden="1" customHeight="1">
      <c r="B1065" s="23">
        <v>45772</v>
      </c>
      <c r="C1065" s="7">
        <v>2003670131</v>
      </c>
      <c r="D1065" s="20">
        <v>5899191</v>
      </c>
      <c r="E1065" s="27" t="s">
        <v>185</v>
      </c>
      <c r="F1065" s="7" t="s">
        <v>107</v>
      </c>
      <c r="G1065" s="7" t="s">
        <v>10</v>
      </c>
      <c r="H1065" s="7" t="s">
        <v>45</v>
      </c>
      <c r="I1065" s="20" t="s">
        <v>1774</v>
      </c>
      <c r="J1065" s="20" t="s">
        <v>1775</v>
      </c>
      <c r="K1065" s="7" t="s">
        <v>110</v>
      </c>
      <c r="L1065" s="61">
        <v>45776</v>
      </c>
      <c r="M1065" s="7" t="s">
        <v>111</v>
      </c>
      <c r="N1065" s="61">
        <v>45777</v>
      </c>
      <c r="O1065" s="61">
        <v>45777</v>
      </c>
      <c r="P1065" s="59"/>
      <c r="Q1065" s="124" t="e">
        <f>P1065*#REF!</f>
        <v>#REF!</v>
      </c>
      <c r="R1065" s="126">
        <v>45777</v>
      </c>
      <c r="S1065" s="153">
        <f>IF(L1065="","",L1065-B1065)</f>
        <v>4</v>
      </c>
      <c r="T1065" s="153">
        <f>IF(N1065="","",N1065-L1065)</f>
        <v>1</v>
      </c>
      <c r="U1065" s="153">
        <f>IF(O1065="","",O1065-N1065)</f>
        <v>0</v>
      </c>
      <c r="V1065" s="154">
        <f>IF(O1065="","",O1065-B1065)</f>
        <v>5</v>
      </c>
      <c r="W1065" s="154">
        <f>IF(O1065="","",O1065-L1065)</f>
        <v>1</v>
      </c>
      <c r="X1065" s="154">
        <f>IF(R1065="","",R1065-B1065)</f>
        <v>5</v>
      </c>
    </row>
    <row r="1066" spans="2:24" ht="17.25" hidden="1" customHeight="1">
      <c r="B1066" s="23">
        <v>45777</v>
      </c>
      <c r="C1066" s="7">
        <v>2003666781</v>
      </c>
      <c r="D1066" s="20">
        <v>155244</v>
      </c>
      <c r="E1066" s="27" t="s">
        <v>123</v>
      </c>
      <c r="F1066" s="7" t="s">
        <v>107</v>
      </c>
      <c r="G1066" s="7" t="s">
        <v>10</v>
      </c>
      <c r="H1066" s="7" t="s">
        <v>45</v>
      </c>
      <c r="I1066" s="20" t="s">
        <v>1776</v>
      </c>
      <c r="J1066" s="20" t="s">
        <v>1777</v>
      </c>
      <c r="K1066" s="7" t="s">
        <v>119</v>
      </c>
      <c r="L1066" s="61">
        <v>45783</v>
      </c>
      <c r="M1066" s="7" t="s">
        <v>111</v>
      </c>
      <c r="N1066" s="61">
        <v>45783</v>
      </c>
      <c r="O1066" s="130">
        <v>45783</v>
      </c>
      <c r="P1066" s="59"/>
      <c r="Q1066" s="124" t="e">
        <f>P1066*#REF!</f>
        <v>#REF!</v>
      </c>
      <c r="R1066" s="126">
        <v>45783</v>
      </c>
      <c r="S1066" s="153">
        <f>IF(L1066="","",L1066-B1066)</f>
        <v>6</v>
      </c>
      <c r="T1066" s="153">
        <f>IF(N1066="","",N1066-L1066)</f>
        <v>0</v>
      </c>
      <c r="U1066" s="153">
        <f>IF(O1066="","",O1066-N1066)</f>
        <v>0</v>
      </c>
      <c r="V1066" s="154">
        <f>IF(O1066="","",O1066-B1066)</f>
        <v>6</v>
      </c>
      <c r="W1066" s="154">
        <f>IF(O1066="","",O1066-L1066)</f>
        <v>0</v>
      </c>
      <c r="X1066" s="154">
        <f>IF(R1066="","",R1066-B1066)</f>
        <v>6</v>
      </c>
    </row>
    <row r="1067" spans="2:24" ht="17.25" hidden="1" customHeight="1">
      <c r="B1067" s="23">
        <v>45772</v>
      </c>
      <c r="C1067" s="7">
        <v>2003669602</v>
      </c>
      <c r="D1067" s="20">
        <v>5899208</v>
      </c>
      <c r="E1067" s="27" t="s">
        <v>185</v>
      </c>
      <c r="F1067" s="7" t="s">
        <v>107</v>
      </c>
      <c r="G1067" s="7" t="s">
        <v>26</v>
      </c>
      <c r="H1067" s="7" t="s">
        <v>45</v>
      </c>
      <c r="I1067" s="20" t="s">
        <v>347</v>
      </c>
      <c r="J1067" s="20" t="s">
        <v>1778</v>
      </c>
      <c r="K1067" s="7" t="s">
        <v>119</v>
      </c>
      <c r="L1067" s="61">
        <v>45776</v>
      </c>
      <c r="M1067" s="7" t="s">
        <v>111</v>
      </c>
      <c r="N1067" s="24">
        <v>45777</v>
      </c>
      <c r="O1067" s="58">
        <v>45777</v>
      </c>
      <c r="P1067" s="59"/>
      <c r="Q1067" s="124" t="e">
        <f>P1067*#REF!</f>
        <v>#REF!</v>
      </c>
      <c r="R1067" s="126">
        <v>45777</v>
      </c>
      <c r="S1067" s="153">
        <f>IF(L1067="","",L1067-B1067)</f>
        <v>4</v>
      </c>
      <c r="T1067" s="153">
        <f>IF(N1067="","",N1067-L1067)</f>
        <v>1</v>
      </c>
      <c r="U1067" s="153">
        <f>IF(O1067="","",O1067-N1067)</f>
        <v>0</v>
      </c>
      <c r="V1067" s="154">
        <f>IF(O1067="","",O1067-B1067)</f>
        <v>5</v>
      </c>
      <c r="W1067" s="154">
        <f>IF(O1067="","",O1067-L1067)</f>
        <v>1</v>
      </c>
      <c r="X1067" s="154">
        <f>IF(R1067="","",R1067-B1067)</f>
        <v>5</v>
      </c>
    </row>
    <row r="1068" spans="2:24" ht="17.25" hidden="1" customHeight="1">
      <c r="B1068" s="23">
        <v>45772</v>
      </c>
      <c r="C1068" s="7">
        <v>2003668285</v>
      </c>
      <c r="D1068" s="20">
        <v>5899225</v>
      </c>
      <c r="E1068" s="27" t="s">
        <v>408</v>
      </c>
      <c r="F1068" s="7" t="s">
        <v>107</v>
      </c>
      <c r="G1068" s="7" t="s">
        <v>10</v>
      </c>
      <c r="H1068" s="7" t="s">
        <v>45</v>
      </c>
      <c r="I1068" s="20" t="s">
        <v>1779</v>
      </c>
      <c r="J1068" s="20" t="s">
        <v>1780</v>
      </c>
      <c r="K1068" s="7" t="s">
        <v>119</v>
      </c>
      <c r="L1068" s="61">
        <v>45776</v>
      </c>
      <c r="M1068" s="7" t="s">
        <v>111</v>
      </c>
      <c r="N1068" s="61">
        <v>45776</v>
      </c>
      <c r="O1068" s="61">
        <v>45776</v>
      </c>
      <c r="P1068" s="59"/>
      <c r="Q1068" s="124" t="e">
        <f>P1068*#REF!</f>
        <v>#REF!</v>
      </c>
      <c r="R1068" s="126">
        <v>45777</v>
      </c>
      <c r="S1068" s="153">
        <f>IF(L1068="","",L1068-B1068)</f>
        <v>4</v>
      </c>
      <c r="T1068" s="153">
        <f>IF(N1068="","",N1068-L1068)</f>
        <v>0</v>
      </c>
      <c r="U1068" s="153">
        <f>IF(O1068="","",O1068-N1068)</f>
        <v>0</v>
      </c>
      <c r="V1068" s="154">
        <f>IF(O1068="","",O1068-B1068)</f>
        <v>4</v>
      </c>
      <c r="W1068" s="154">
        <f>IF(O1068="","",O1068-L1068)</f>
        <v>0</v>
      </c>
      <c r="X1068" s="154">
        <f>IF(R1068="","",R1068-B1068)</f>
        <v>5</v>
      </c>
    </row>
    <row r="1069" spans="2:24" ht="17.25" hidden="1" customHeight="1">
      <c r="B1069" s="23">
        <v>45777</v>
      </c>
      <c r="C1069" s="7">
        <v>2003676937</v>
      </c>
      <c r="D1069" s="20">
        <v>155252</v>
      </c>
      <c r="E1069" s="27" t="s">
        <v>1225</v>
      </c>
      <c r="F1069" s="7" t="s">
        <v>107</v>
      </c>
      <c r="G1069" s="7" t="s">
        <v>26</v>
      </c>
      <c r="H1069" s="7" t="s">
        <v>45</v>
      </c>
      <c r="I1069" s="20" t="s">
        <v>1781</v>
      </c>
      <c r="J1069" s="20" t="s">
        <v>1782</v>
      </c>
      <c r="K1069" s="7" t="s">
        <v>119</v>
      </c>
      <c r="L1069" s="61">
        <v>45785</v>
      </c>
      <c r="M1069" s="7" t="s">
        <v>111</v>
      </c>
      <c r="N1069" s="24">
        <v>45786</v>
      </c>
      <c r="O1069" s="23">
        <v>45786</v>
      </c>
      <c r="P1069" s="59"/>
      <c r="Q1069" s="124" t="e">
        <f>P1069*#REF!</f>
        <v>#REF!</v>
      </c>
      <c r="R1069" s="126">
        <v>45786</v>
      </c>
      <c r="S1069" s="153">
        <f>IF(L1069="","",L1069-B1069)</f>
        <v>8</v>
      </c>
      <c r="T1069" s="153">
        <f>IF(N1069="","",N1069-L1069)</f>
        <v>1</v>
      </c>
      <c r="U1069" s="153">
        <f>IF(O1069="","",O1069-N1069)</f>
        <v>0</v>
      </c>
      <c r="V1069" s="154">
        <f>IF(O1069="","",O1069-B1069)</f>
        <v>9</v>
      </c>
      <c r="W1069" s="154">
        <f>IF(O1069="","",O1069-L1069)</f>
        <v>1</v>
      </c>
      <c r="X1069" s="154">
        <f>IF(R1069="","",R1069-B1069)</f>
        <v>9</v>
      </c>
    </row>
    <row r="1070" spans="2:24" ht="17.25" hidden="1" customHeight="1">
      <c r="B1070" s="23">
        <v>45782</v>
      </c>
      <c r="C1070" s="7">
        <v>2003667023</v>
      </c>
      <c r="D1070" s="20">
        <v>155902</v>
      </c>
      <c r="E1070" s="27" t="s">
        <v>123</v>
      </c>
      <c r="F1070" s="7" t="s">
        <v>107</v>
      </c>
      <c r="G1070" s="7" t="s">
        <v>10</v>
      </c>
      <c r="H1070" s="7" t="s">
        <v>45</v>
      </c>
      <c r="I1070" s="20" t="s">
        <v>437</v>
      </c>
      <c r="J1070" s="20" t="s">
        <v>1091</v>
      </c>
      <c r="K1070" s="7" t="s">
        <v>119</v>
      </c>
      <c r="L1070" s="61">
        <v>45783</v>
      </c>
      <c r="M1070" s="7" t="s">
        <v>111</v>
      </c>
      <c r="N1070" s="61">
        <v>45783</v>
      </c>
      <c r="O1070" s="61">
        <v>45783</v>
      </c>
      <c r="P1070" s="59"/>
      <c r="Q1070" s="124" t="e">
        <f>P1070*#REF!</f>
        <v>#REF!</v>
      </c>
      <c r="R1070" s="126">
        <v>45783</v>
      </c>
      <c r="S1070" s="153">
        <f>IF(L1070="","",L1070-B1070)</f>
        <v>1</v>
      </c>
      <c r="T1070" s="153">
        <f>IF(N1070="","",N1070-L1070)</f>
        <v>0</v>
      </c>
      <c r="U1070" s="153">
        <f>IF(O1070="","",O1070-N1070)</f>
        <v>0</v>
      </c>
      <c r="V1070" s="154">
        <f>IF(O1070="","",O1070-B1070)</f>
        <v>1</v>
      </c>
      <c r="W1070" s="154">
        <f>IF(O1070="","",O1070-L1070)</f>
        <v>0</v>
      </c>
      <c r="X1070" s="154">
        <f>IF(R1070="","",R1070-B1070)</f>
        <v>1</v>
      </c>
    </row>
    <row r="1071" spans="2:24" ht="17.25" hidden="1" customHeight="1">
      <c r="B1071" s="23">
        <v>45772</v>
      </c>
      <c r="C1071" s="7">
        <v>2003667470</v>
      </c>
      <c r="D1071" s="20">
        <v>5899240</v>
      </c>
      <c r="E1071" s="27" t="s">
        <v>126</v>
      </c>
      <c r="F1071" s="7" t="s">
        <v>107</v>
      </c>
      <c r="G1071" s="7" t="s">
        <v>26</v>
      </c>
      <c r="H1071" s="7" t="s">
        <v>45</v>
      </c>
      <c r="I1071" s="20" t="s">
        <v>466</v>
      </c>
      <c r="J1071" s="20" t="s">
        <v>1783</v>
      </c>
      <c r="K1071" s="7" t="s">
        <v>110</v>
      </c>
      <c r="L1071" s="61">
        <v>45777</v>
      </c>
      <c r="M1071" s="7" t="s">
        <v>111</v>
      </c>
      <c r="N1071" s="24">
        <v>45777</v>
      </c>
      <c r="O1071" s="58">
        <v>45777</v>
      </c>
      <c r="P1071" s="59"/>
      <c r="Q1071" s="124" t="e">
        <f>P1071*#REF!</f>
        <v>#REF!</v>
      </c>
      <c r="R1071" s="126">
        <v>45777</v>
      </c>
      <c r="S1071" s="153">
        <f>IF(L1071="","",L1071-B1071)</f>
        <v>5</v>
      </c>
      <c r="T1071" s="153">
        <f>IF(N1071="","",N1071-L1071)</f>
        <v>0</v>
      </c>
      <c r="U1071" s="153">
        <f>IF(O1071="","",O1071-N1071)</f>
        <v>0</v>
      </c>
      <c r="V1071" s="154">
        <f>IF(O1071="","",O1071-B1071)</f>
        <v>5</v>
      </c>
      <c r="W1071" s="154">
        <f>IF(O1071="","",O1071-L1071)</f>
        <v>0</v>
      </c>
      <c r="X1071" s="154">
        <f>IF(R1071="","",R1071-B1071)</f>
        <v>5</v>
      </c>
    </row>
    <row r="1072" spans="2:24" ht="17.25" hidden="1" customHeight="1">
      <c r="B1072" s="23">
        <v>45772</v>
      </c>
      <c r="C1072" s="7">
        <v>2003670191</v>
      </c>
      <c r="D1072" s="20">
        <v>5899245</v>
      </c>
      <c r="E1072" s="27" t="s">
        <v>126</v>
      </c>
      <c r="F1072" s="7" t="s">
        <v>107</v>
      </c>
      <c r="G1072" s="7" t="s">
        <v>10</v>
      </c>
      <c r="H1072" s="7" t="s">
        <v>45</v>
      </c>
      <c r="I1072" s="20" t="s">
        <v>1784</v>
      </c>
      <c r="J1072" s="20" t="s">
        <v>1785</v>
      </c>
      <c r="K1072" s="7" t="s">
        <v>110</v>
      </c>
      <c r="L1072" s="61">
        <v>45777</v>
      </c>
      <c r="M1072" s="7" t="s">
        <v>111</v>
      </c>
      <c r="N1072" s="61">
        <v>45777</v>
      </c>
      <c r="O1072" s="61">
        <v>45777</v>
      </c>
      <c r="P1072" s="59"/>
      <c r="Q1072" s="124" t="e">
        <f>P1072*#REF!</f>
        <v>#REF!</v>
      </c>
      <c r="R1072" s="126">
        <v>45777</v>
      </c>
      <c r="S1072" s="153">
        <f>IF(L1072="","",L1072-B1072)</f>
        <v>5</v>
      </c>
      <c r="T1072" s="153">
        <f>IF(N1072="","",N1072-L1072)</f>
        <v>0</v>
      </c>
      <c r="U1072" s="153">
        <f>IF(O1072="","",O1072-N1072)</f>
        <v>0</v>
      </c>
      <c r="V1072" s="154">
        <f>IF(O1072="","",O1072-B1072)</f>
        <v>5</v>
      </c>
      <c r="W1072" s="154">
        <f>IF(O1072="","",O1072-L1072)</f>
        <v>0</v>
      </c>
      <c r="X1072" s="154">
        <f>IF(R1072="","",R1072-B1072)</f>
        <v>5</v>
      </c>
    </row>
    <row r="1073" spans="2:24" ht="17.25" hidden="1" customHeight="1">
      <c r="B1073" s="23">
        <v>45772</v>
      </c>
      <c r="C1073" s="7">
        <v>2003671289</v>
      </c>
      <c r="D1073" s="20">
        <v>5899248</v>
      </c>
      <c r="E1073" s="27" t="s">
        <v>149</v>
      </c>
      <c r="F1073" s="7" t="s">
        <v>107</v>
      </c>
      <c r="G1073" s="7" t="s">
        <v>26</v>
      </c>
      <c r="H1073" s="7" t="s">
        <v>45</v>
      </c>
      <c r="I1073" s="20" t="s">
        <v>1786</v>
      </c>
      <c r="J1073" s="20" t="s">
        <v>1787</v>
      </c>
      <c r="K1073" s="7" t="s">
        <v>119</v>
      </c>
      <c r="L1073" s="61">
        <v>45776</v>
      </c>
      <c r="M1073" s="7" t="s">
        <v>111</v>
      </c>
      <c r="N1073" s="24">
        <v>45776</v>
      </c>
      <c r="O1073" s="58">
        <v>45776</v>
      </c>
      <c r="P1073" s="59"/>
      <c r="Q1073" s="124" t="e">
        <f>P1073*#REF!</f>
        <v>#REF!</v>
      </c>
      <c r="R1073" s="126">
        <v>45776</v>
      </c>
      <c r="S1073" s="153">
        <f>IF(L1073="","",L1073-B1073)</f>
        <v>4</v>
      </c>
      <c r="T1073" s="153">
        <f>IF(N1073="","",N1073-L1073)</f>
        <v>0</v>
      </c>
      <c r="U1073" s="153">
        <f>IF(O1073="","",O1073-N1073)</f>
        <v>0</v>
      </c>
      <c r="V1073" s="154">
        <f>IF(O1073="","",O1073-B1073)</f>
        <v>4</v>
      </c>
      <c r="W1073" s="154">
        <f>IF(O1073="","",O1073-L1073)</f>
        <v>0</v>
      </c>
      <c r="X1073" s="154">
        <f>IF(R1073="","",R1073-B1073)</f>
        <v>4</v>
      </c>
    </row>
    <row r="1074" spans="2:24" ht="17.25" hidden="1" customHeight="1">
      <c r="B1074" s="23">
        <v>45782</v>
      </c>
      <c r="C1074" s="7">
        <v>2003667161</v>
      </c>
      <c r="D1074" s="20">
        <v>155924</v>
      </c>
      <c r="E1074" s="27" t="s">
        <v>566</v>
      </c>
      <c r="F1074" s="7" t="s">
        <v>107</v>
      </c>
      <c r="G1074" s="7" t="s">
        <v>10</v>
      </c>
      <c r="H1074" s="7" t="s">
        <v>45</v>
      </c>
      <c r="I1074" s="20" t="s">
        <v>1788</v>
      </c>
      <c r="J1074" s="20" t="s">
        <v>1789</v>
      </c>
      <c r="K1074" s="7" t="s">
        <v>110</v>
      </c>
      <c r="L1074" s="61">
        <v>45784</v>
      </c>
      <c r="M1074" s="7" t="s">
        <v>111</v>
      </c>
      <c r="N1074" s="61">
        <v>45784</v>
      </c>
      <c r="O1074" s="61">
        <v>45784</v>
      </c>
      <c r="P1074" s="59"/>
      <c r="Q1074" s="124" t="e">
        <f>P1074*#REF!</f>
        <v>#REF!</v>
      </c>
      <c r="R1074" s="126">
        <v>45784</v>
      </c>
      <c r="S1074" s="153">
        <f>IF(L1074="","",L1074-B1074)</f>
        <v>2</v>
      </c>
      <c r="T1074" s="153">
        <f>IF(N1074="","",N1074-L1074)</f>
        <v>0</v>
      </c>
      <c r="U1074" s="153">
        <f>IF(O1074="","",O1074-N1074)</f>
        <v>0</v>
      </c>
      <c r="V1074" s="154">
        <f>IF(O1074="","",O1074-B1074)</f>
        <v>2</v>
      </c>
      <c r="W1074" s="154">
        <f>IF(O1074="","",O1074-L1074)</f>
        <v>0</v>
      </c>
      <c r="X1074" s="154">
        <f>IF(R1074="","",R1074-B1074)</f>
        <v>2</v>
      </c>
    </row>
    <row r="1075" spans="2:24" ht="17.25" hidden="1" customHeight="1">
      <c r="B1075" s="23">
        <v>45782</v>
      </c>
      <c r="C1075" s="7">
        <v>2003669228</v>
      </c>
      <c r="D1075" s="20">
        <v>155949</v>
      </c>
      <c r="E1075" s="27" t="s">
        <v>1225</v>
      </c>
      <c r="F1075" s="7" t="s">
        <v>107</v>
      </c>
      <c r="G1075" s="7" t="s">
        <v>10</v>
      </c>
      <c r="H1075" s="7" t="s">
        <v>45</v>
      </c>
      <c r="I1075" s="20" t="s">
        <v>1790</v>
      </c>
      <c r="J1075" s="20" t="s">
        <v>1791</v>
      </c>
      <c r="K1075" s="7" t="s">
        <v>119</v>
      </c>
      <c r="L1075" s="61">
        <v>45784</v>
      </c>
      <c r="M1075" s="7" t="s">
        <v>111</v>
      </c>
      <c r="N1075" s="61">
        <v>45784</v>
      </c>
      <c r="O1075" s="130">
        <v>45784</v>
      </c>
      <c r="P1075" s="59"/>
      <c r="Q1075" s="124" t="e">
        <f>P1075*#REF!</f>
        <v>#REF!</v>
      </c>
      <c r="R1075" s="126">
        <v>45784</v>
      </c>
      <c r="S1075" s="153">
        <f>IF(L1075="","",L1075-B1075)</f>
        <v>2</v>
      </c>
      <c r="T1075" s="153">
        <f>IF(N1075="","",N1075-L1075)</f>
        <v>0</v>
      </c>
      <c r="U1075" s="153">
        <f>IF(O1075="","",O1075-N1075)</f>
        <v>0</v>
      </c>
      <c r="V1075" s="154">
        <f>IF(O1075="","",O1075-B1075)</f>
        <v>2</v>
      </c>
      <c r="W1075" s="154">
        <f>IF(O1075="","",O1075-L1075)</f>
        <v>0</v>
      </c>
      <c r="X1075" s="154">
        <f>IF(R1075="","",R1075-B1075)</f>
        <v>2</v>
      </c>
    </row>
    <row r="1076" spans="2:24" ht="17.25" hidden="1" customHeight="1">
      <c r="B1076" s="23">
        <v>45782</v>
      </c>
      <c r="C1076" s="7">
        <v>2003665281</v>
      </c>
      <c r="D1076" s="20">
        <v>155985</v>
      </c>
      <c r="E1076" s="27" t="s">
        <v>123</v>
      </c>
      <c r="F1076" s="7" t="s">
        <v>107</v>
      </c>
      <c r="G1076" s="7" t="s">
        <v>10</v>
      </c>
      <c r="H1076" s="7" t="s">
        <v>45</v>
      </c>
      <c r="I1076" s="20" t="s">
        <v>1792</v>
      </c>
      <c r="J1076" s="20" t="s">
        <v>1793</v>
      </c>
      <c r="K1076" s="7" t="s">
        <v>110</v>
      </c>
      <c r="L1076" s="61">
        <v>45790</v>
      </c>
      <c r="M1076" s="7" t="s">
        <v>111</v>
      </c>
      <c r="N1076" s="61">
        <v>45790</v>
      </c>
      <c r="O1076" s="58">
        <v>45791</v>
      </c>
      <c r="P1076" s="59"/>
      <c r="Q1076" s="124" t="e">
        <f>P1076*#REF!</f>
        <v>#REF!</v>
      </c>
      <c r="R1076" s="126">
        <v>45792</v>
      </c>
      <c r="S1076" s="153">
        <f>IF(L1076="","",L1076-B1076)</f>
        <v>8</v>
      </c>
      <c r="T1076" s="153">
        <f>IF(N1076="","",N1076-L1076)</f>
        <v>0</v>
      </c>
      <c r="U1076" s="153">
        <f>IF(O1076="","",O1076-N1076)</f>
        <v>1</v>
      </c>
      <c r="V1076" s="154">
        <f>IF(O1076="","",O1076-B1076)</f>
        <v>9</v>
      </c>
      <c r="W1076" s="154">
        <f>IF(O1076="","",O1076-L1076)</f>
        <v>1</v>
      </c>
      <c r="X1076" s="154">
        <f>IF(R1076="","",R1076-B1076)</f>
        <v>10</v>
      </c>
    </row>
    <row r="1077" spans="2:24" ht="17.25" hidden="1" customHeight="1">
      <c r="B1077" s="23">
        <v>45782</v>
      </c>
      <c r="C1077" s="7">
        <v>2003675431</v>
      </c>
      <c r="D1077" s="20">
        <v>155990</v>
      </c>
      <c r="E1077" s="27" t="s">
        <v>123</v>
      </c>
      <c r="F1077" s="7" t="s">
        <v>107</v>
      </c>
      <c r="G1077" s="7" t="s">
        <v>10</v>
      </c>
      <c r="H1077" s="7" t="s">
        <v>45</v>
      </c>
      <c r="I1077" s="20" t="s">
        <v>1282</v>
      </c>
      <c r="J1077" s="20" t="s">
        <v>1794</v>
      </c>
      <c r="K1077" s="7" t="s">
        <v>110</v>
      </c>
      <c r="L1077" s="61">
        <v>45790</v>
      </c>
      <c r="M1077" s="7" t="s">
        <v>111</v>
      </c>
      <c r="N1077" s="61">
        <v>45790</v>
      </c>
      <c r="O1077" s="130">
        <v>45790</v>
      </c>
      <c r="P1077" s="59"/>
      <c r="Q1077" s="124" t="e">
        <f>P1077*#REF!</f>
        <v>#REF!</v>
      </c>
      <c r="R1077" s="126">
        <v>45790</v>
      </c>
      <c r="S1077" s="153">
        <f>IF(L1077="","",L1077-B1077)</f>
        <v>8</v>
      </c>
      <c r="T1077" s="153">
        <f>IF(N1077="","",N1077-L1077)</f>
        <v>0</v>
      </c>
      <c r="U1077" s="153">
        <f>IF(O1077="","",O1077-N1077)</f>
        <v>0</v>
      </c>
      <c r="V1077" s="154">
        <f>IF(O1077="","",O1077-B1077)</f>
        <v>8</v>
      </c>
      <c r="W1077" s="154">
        <f>IF(O1077="","",O1077-L1077)</f>
        <v>0</v>
      </c>
      <c r="X1077" s="154">
        <f>IF(R1077="","",R1077-B1077)</f>
        <v>8</v>
      </c>
    </row>
    <row r="1078" spans="2:24" ht="17.25" hidden="1" customHeight="1">
      <c r="B1078" s="23">
        <v>45782</v>
      </c>
      <c r="C1078" s="7">
        <v>2003668855</v>
      </c>
      <c r="D1078" s="20">
        <v>156131</v>
      </c>
      <c r="E1078" s="27" t="s">
        <v>123</v>
      </c>
      <c r="F1078" s="7" t="s">
        <v>107</v>
      </c>
      <c r="G1078" s="7" t="s">
        <v>10</v>
      </c>
      <c r="H1078" s="7" t="s">
        <v>45</v>
      </c>
      <c r="I1078" s="20" t="s">
        <v>909</v>
      </c>
      <c r="J1078" s="20" t="s">
        <v>1653</v>
      </c>
      <c r="K1078" s="7" t="s">
        <v>119</v>
      </c>
      <c r="L1078" s="61">
        <v>45789</v>
      </c>
      <c r="M1078" s="7" t="s">
        <v>111</v>
      </c>
      <c r="N1078" s="61">
        <v>45790</v>
      </c>
      <c r="O1078" s="61">
        <v>45790</v>
      </c>
      <c r="P1078" s="59"/>
      <c r="Q1078" s="124" t="e">
        <f>P1078*#REF!</f>
        <v>#REF!</v>
      </c>
      <c r="R1078" s="126">
        <v>45790</v>
      </c>
      <c r="S1078" s="153">
        <f>IF(L1078="","",L1078-B1078)</f>
        <v>7</v>
      </c>
      <c r="T1078" s="153">
        <f>IF(N1078="","",N1078-L1078)</f>
        <v>1</v>
      </c>
      <c r="U1078" s="153">
        <f>IF(O1078="","",O1078-N1078)</f>
        <v>0</v>
      </c>
      <c r="V1078" s="154">
        <f>IF(O1078="","",O1078-B1078)</f>
        <v>8</v>
      </c>
      <c r="W1078" s="154">
        <f>IF(O1078="","",O1078-L1078)</f>
        <v>1</v>
      </c>
      <c r="X1078" s="154">
        <f>IF(R1078="","",R1078-B1078)</f>
        <v>8</v>
      </c>
    </row>
    <row r="1079" spans="2:24" ht="17.25" hidden="1" customHeight="1">
      <c r="B1079" s="23">
        <v>45782</v>
      </c>
      <c r="C1079" s="7">
        <v>2003567022</v>
      </c>
      <c r="D1079" s="20">
        <v>156370</v>
      </c>
      <c r="E1079" s="27" t="s">
        <v>265</v>
      </c>
      <c r="F1079" s="7" t="s">
        <v>107</v>
      </c>
      <c r="G1079" s="7" t="s">
        <v>15</v>
      </c>
      <c r="H1079" s="7" t="s">
        <v>45</v>
      </c>
      <c r="I1079" s="20" t="s">
        <v>1795</v>
      </c>
      <c r="J1079" s="20" t="s">
        <v>1014</v>
      </c>
      <c r="K1079" s="7" t="s">
        <v>110</v>
      </c>
      <c r="L1079" s="61">
        <v>45792</v>
      </c>
      <c r="M1079" s="7" t="s">
        <v>111</v>
      </c>
      <c r="N1079" s="61">
        <v>45792</v>
      </c>
      <c r="O1079" s="61">
        <v>45792</v>
      </c>
      <c r="P1079" s="59"/>
      <c r="Q1079" s="124" t="e">
        <f>P1079*#REF!</f>
        <v>#REF!</v>
      </c>
      <c r="R1079" s="126">
        <v>45796</v>
      </c>
      <c r="S1079" s="153">
        <f>IF(L1079="","",L1079-B1079)</f>
        <v>10</v>
      </c>
      <c r="T1079" s="153">
        <f>IF(N1079="","",N1079-L1079)</f>
        <v>0</v>
      </c>
      <c r="U1079" s="153">
        <f>IF(O1079="","",O1079-N1079)</f>
        <v>0</v>
      </c>
      <c r="V1079" s="154">
        <f>IF(O1079="","",O1079-B1079)</f>
        <v>10</v>
      </c>
      <c r="W1079" s="154">
        <f>IF(O1079="","",O1079-L1079)</f>
        <v>0</v>
      </c>
      <c r="X1079" s="154">
        <f>IF(R1079="","",R1079-B1079)</f>
        <v>14</v>
      </c>
    </row>
    <row r="1080" spans="2:24" ht="17.25" hidden="1" customHeight="1">
      <c r="B1080" s="23">
        <v>45772</v>
      </c>
      <c r="C1080" s="7">
        <v>2003667553</v>
      </c>
      <c r="D1080" s="20">
        <v>151283</v>
      </c>
      <c r="E1080" s="27" t="s">
        <v>230</v>
      </c>
      <c r="F1080" s="7" t="s">
        <v>107</v>
      </c>
      <c r="G1080" s="7" t="s">
        <v>10</v>
      </c>
      <c r="H1080" s="7" t="s">
        <v>45</v>
      </c>
      <c r="I1080" s="20" t="s">
        <v>164</v>
      </c>
      <c r="J1080" s="20" t="s">
        <v>1796</v>
      </c>
      <c r="K1080" s="7" t="s">
        <v>110</v>
      </c>
      <c r="L1080" s="61">
        <v>45777</v>
      </c>
      <c r="M1080" s="7" t="s">
        <v>111</v>
      </c>
      <c r="N1080" s="61">
        <v>45777</v>
      </c>
      <c r="O1080" s="61">
        <v>45777</v>
      </c>
      <c r="P1080" s="59"/>
      <c r="Q1080" s="124" t="e">
        <f>P1080*#REF!</f>
        <v>#REF!</v>
      </c>
      <c r="R1080" s="126">
        <v>45777</v>
      </c>
      <c r="S1080" s="153">
        <f>IF(L1080="","",L1080-B1080)</f>
        <v>5</v>
      </c>
      <c r="T1080" s="153">
        <f>IF(N1080="","",N1080-L1080)</f>
        <v>0</v>
      </c>
      <c r="U1080" s="153">
        <f>IF(O1080="","",O1080-N1080)</f>
        <v>0</v>
      </c>
      <c r="V1080" s="154">
        <f>IF(O1080="","",O1080-B1080)</f>
        <v>5</v>
      </c>
      <c r="W1080" s="154">
        <f>IF(O1080="","",O1080-L1080)</f>
        <v>0</v>
      </c>
      <c r="X1080" s="154">
        <f>IF(R1080="","",R1080-B1080)</f>
        <v>5</v>
      </c>
    </row>
    <row r="1081" spans="2:24" ht="17.25" hidden="1" customHeight="1">
      <c r="B1081" s="23">
        <v>45772</v>
      </c>
      <c r="C1081" s="7">
        <v>2003672592</v>
      </c>
      <c r="D1081" s="20">
        <v>151332</v>
      </c>
      <c r="E1081" s="27" t="s">
        <v>408</v>
      </c>
      <c r="F1081" s="7" t="s">
        <v>107</v>
      </c>
      <c r="G1081" s="7" t="s">
        <v>10</v>
      </c>
      <c r="H1081" s="7" t="s">
        <v>45</v>
      </c>
      <c r="I1081" s="20" t="s">
        <v>1797</v>
      </c>
      <c r="J1081" s="20" t="s">
        <v>1798</v>
      </c>
      <c r="K1081" s="7" t="s">
        <v>119</v>
      </c>
      <c r="L1081" s="61">
        <v>45777</v>
      </c>
      <c r="M1081" s="7" t="s">
        <v>111</v>
      </c>
      <c r="N1081" s="61">
        <v>45777</v>
      </c>
      <c r="O1081" s="61">
        <v>45777</v>
      </c>
      <c r="P1081" s="59"/>
      <c r="Q1081" s="124" t="e">
        <f>P1081*#REF!</f>
        <v>#REF!</v>
      </c>
      <c r="R1081" s="126">
        <v>45777</v>
      </c>
      <c r="S1081" s="153">
        <f>IF(L1081="","",L1081-B1081)</f>
        <v>5</v>
      </c>
      <c r="T1081" s="153">
        <f>IF(N1081="","",N1081-L1081)</f>
        <v>0</v>
      </c>
      <c r="U1081" s="153">
        <f>IF(O1081="","",O1081-N1081)</f>
        <v>0</v>
      </c>
      <c r="V1081" s="154">
        <f>IF(O1081="","",O1081-B1081)</f>
        <v>5</v>
      </c>
      <c r="W1081" s="154">
        <f>IF(O1081="","",O1081-L1081)</f>
        <v>0</v>
      </c>
      <c r="X1081" s="154">
        <f>IF(R1081="","",R1081-B1081)</f>
        <v>5</v>
      </c>
    </row>
    <row r="1082" spans="2:24" ht="17.25" hidden="1" customHeight="1">
      <c r="B1082" s="23">
        <v>45772</v>
      </c>
      <c r="C1082" s="7">
        <v>2003672876</v>
      </c>
      <c r="D1082" s="20">
        <v>151320</v>
      </c>
      <c r="E1082" s="27" t="s">
        <v>191</v>
      </c>
      <c r="F1082" s="7" t="s">
        <v>107</v>
      </c>
      <c r="G1082" s="7" t="s">
        <v>10</v>
      </c>
      <c r="H1082" s="7" t="s">
        <v>45</v>
      </c>
      <c r="I1082" s="20" t="s">
        <v>136</v>
      </c>
      <c r="J1082" s="20" t="s">
        <v>1799</v>
      </c>
      <c r="K1082" s="7" t="s">
        <v>110</v>
      </c>
      <c r="L1082" s="61">
        <v>45777</v>
      </c>
      <c r="M1082" s="7" t="s">
        <v>111</v>
      </c>
      <c r="N1082" s="61">
        <v>45777</v>
      </c>
      <c r="O1082" s="61">
        <v>45777</v>
      </c>
      <c r="P1082" s="59"/>
      <c r="Q1082" s="124" t="e">
        <f>P1082*#REF!</f>
        <v>#REF!</v>
      </c>
      <c r="R1082" s="126">
        <v>45777</v>
      </c>
      <c r="S1082" s="153">
        <f>IF(L1082="","",L1082-B1082)</f>
        <v>5</v>
      </c>
      <c r="T1082" s="153">
        <f>IF(N1082="","",N1082-L1082)</f>
        <v>0</v>
      </c>
      <c r="U1082" s="153">
        <f>IF(O1082="","",O1082-N1082)</f>
        <v>0</v>
      </c>
      <c r="V1082" s="154">
        <f>IF(O1082="","",O1082-B1082)</f>
        <v>5</v>
      </c>
      <c r="W1082" s="154">
        <f>IF(O1082="","",O1082-L1082)</f>
        <v>0</v>
      </c>
      <c r="X1082" s="154">
        <f>IF(R1082="","",R1082-B1082)</f>
        <v>5</v>
      </c>
    </row>
    <row r="1083" spans="2:24" ht="17.25" hidden="1" customHeight="1">
      <c r="B1083" s="23">
        <v>45782</v>
      </c>
      <c r="C1083" s="7">
        <v>2003633863</v>
      </c>
      <c r="D1083" s="20">
        <v>156524</v>
      </c>
      <c r="E1083" s="27" t="s">
        <v>486</v>
      </c>
      <c r="F1083" s="7" t="s">
        <v>107</v>
      </c>
      <c r="G1083" s="7" t="s">
        <v>10</v>
      </c>
      <c r="H1083" s="7" t="s">
        <v>45</v>
      </c>
      <c r="I1083" s="20" t="s">
        <v>1800</v>
      </c>
      <c r="J1083" s="20" t="s">
        <v>1801</v>
      </c>
      <c r="K1083" s="7" t="s">
        <v>122</v>
      </c>
      <c r="L1083" s="61">
        <v>45786</v>
      </c>
      <c r="M1083" s="7" t="s">
        <v>111</v>
      </c>
      <c r="N1083" s="24">
        <v>45789</v>
      </c>
      <c r="O1083" s="106">
        <v>45791</v>
      </c>
      <c r="P1083" s="59"/>
      <c r="Q1083" s="124" t="e">
        <f>P1083*#REF!</f>
        <v>#REF!</v>
      </c>
      <c r="R1083" s="126">
        <v>45792</v>
      </c>
      <c r="S1083" s="153">
        <f>IF(L1083="","",L1083-B1083)</f>
        <v>4</v>
      </c>
      <c r="T1083" s="153">
        <f>IF(N1083="","",N1083-L1083)</f>
        <v>3</v>
      </c>
      <c r="U1083" s="153">
        <f>IF(O1083="","",O1083-N1083)</f>
        <v>2</v>
      </c>
      <c r="V1083" s="154">
        <f>IF(O1083="","",O1083-B1083)</f>
        <v>9</v>
      </c>
      <c r="W1083" s="154">
        <f>IF(O1083="","",O1083-L1083)</f>
        <v>5</v>
      </c>
      <c r="X1083" s="154">
        <f>IF(R1083="","",R1083-B1083)</f>
        <v>10</v>
      </c>
    </row>
    <row r="1084" spans="2:24" ht="17.25" hidden="1" customHeight="1">
      <c r="B1084" s="23">
        <v>45782</v>
      </c>
      <c r="C1084" s="7">
        <v>2003663612</v>
      </c>
      <c r="D1084" s="20">
        <v>156555</v>
      </c>
      <c r="E1084" s="27" t="s">
        <v>123</v>
      </c>
      <c r="F1084" s="7" t="s">
        <v>107</v>
      </c>
      <c r="G1084" s="7" t="s">
        <v>18</v>
      </c>
      <c r="H1084" s="7" t="s">
        <v>45</v>
      </c>
      <c r="I1084" s="20" t="s">
        <v>1802</v>
      </c>
      <c r="J1084" s="20" t="s">
        <v>1803</v>
      </c>
      <c r="K1084" s="7" t="s">
        <v>119</v>
      </c>
      <c r="L1084" s="61">
        <v>45784</v>
      </c>
      <c r="M1084" s="7" t="s">
        <v>111</v>
      </c>
      <c r="N1084" s="61">
        <v>45784</v>
      </c>
      <c r="O1084" s="23">
        <v>45786</v>
      </c>
      <c r="P1084" s="59"/>
      <c r="Q1084" s="124" t="e">
        <f>P1084*#REF!</f>
        <v>#REF!</v>
      </c>
      <c r="R1084" s="126">
        <v>45786</v>
      </c>
      <c r="S1084" s="153">
        <f>IF(L1084="","",L1084-B1084)</f>
        <v>2</v>
      </c>
      <c r="T1084" s="153">
        <f>IF(N1084="","",N1084-L1084)</f>
        <v>0</v>
      </c>
      <c r="U1084" s="153">
        <f>IF(O1084="","",O1084-N1084)</f>
        <v>2</v>
      </c>
      <c r="V1084" s="154">
        <f>IF(O1084="","",O1084-B1084)</f>
        <v>4</v>
      </c>
      <c r="W1084" s="154">
        <f>IF(O1084="","",O1084-L1084)</f>
        <v>2</v>
      </c>
      <c r="X1084" s="154">
        <f>IF(R1084="","",R1084-B1084)</f>
        <v>4</v>
      </c>
    </row>
    <row r="1085" spans="2:24" ht="17.25" hidden="1" customHeight="1">
      <c r="B1085" s="23">
        <v>45782</v>
      </c>
      <c r="C1085" s="7">
        <v>2003672170</v>
      </c>
      <c r="D1085" s="20">
        <v>156578</v>
      </c>
      <c r="E1085" s="27" t="s">
        <v>123</v>
      </c>
      <c r="F1085" s="7" t="s">
        <v>107</v>
      </c>
      <c r="G1085" s="7" t="s">
        <v>10</v>
      </c>
      <c r="H1085" s="7" t="s">
        <v>45</v>
      </c>
      <c r="I1085" s="20" t="s">
        <v>1804</v>
      </c>
      <c r="J1085" s="20" t="s">
        <v>1805</v>
      </c>
      <c r="K1085" s="7" t="s">
        <v>119</v>
      </c>
      <c r="L1085" s="61">
        <v>45783</v>
      </c>
      <c r="M1085" s="7" t="s">
        <v>111</v>
      </c>
      <c r="N1085" s="61">
        <v>45783</v>
      </c>
      <c r="O1085" s="58">
        <v>45786</v>
      </c>
      <c r="P1085" s="59"/>
      <c r="Q1085" s="124" t="e">
        <f>P1085*#REF!</f>
        <v>#REF!</v>
      </c>
      <c r="R1085" s="126">
        <v>45786</v>
      </c>
      <c r="S1085" s="153">
        <f>IF(L1085="","",L1085-B1085)</f>
        <v>1</v>
      </c>
      <c r="T1085" s="153">
        <f>IF(N1085="","",N1085-L1085)</f>
        <v>0</v>
      </c>
      <c r="U1085" s="153">
        <f>IF(O1085="","",O1085-N1085)</f>
        <v>3</v>
      </c>
      <c r="V1085" s="154">
        <f>IF(O1085="","",O1085-B1085)</f>
        <v>4</v>
      </c>
      <c r="W1085" s="154">
        <f>IF(O1085="","",O1085-L1085)</f>
        <v>3</v>
      </c>
      <c r="X1085" s="154">
        <f>IF(R1085="","",R1085-B1085)</f>
        <v>4</v>
      </c>
    </row>
    <row r="1086" spans="2:24" ht="17.25" hidden="1" customHeight="1">
      <c r="B1086" s="23">
        <v>45772</v>
      </c>
      <c r="C1086" s="7">
        <v>2003672058</v>
      </c>
      <c r="D1086" s="20">
        <v>151097</v>
      </c>
      <c r="E1086" s="27" t="s">
        <v>106</v>
      </c>
      <c r="F1086" s="7" t="s">
        <v>107</v>
      </c>
      <c r="G1086" s="7" t="s">
        <v>26</v>
      </c>
      <c r="H1086" s="7" t="s">
        <v>45</v>
      </c>
      <c r="I1086" s="20" t="s">
        <v>1806</v>
      </c>
      <c r="J1086" s="20" t="s">
        <v>1807</v>
      </c>
      <c r="K1086" s="7" t="s">
        <v>110</v>
      </c>
      <c r="L1086" s="61">
        <v>45776</v>
      </c>
      <c r="M1086" s="7" t="s">
        <v>111</v>
      </c>
      <c r="N1086" s="24">
        <v>45777</v>
      </c>
      <c r="O1086" s="58">
        <v>45777</v>
      </c>
      <c r="P1086" s="59"/>
      <c r="Q1086" s="124" t="e">
        <f>P1086*#REF!</f>
        <v>#REF!</v>
      </c>
      <c r="R1086" s="126">
        <v>45777</v>
      </c>
      <c r="S1086" s="153">
        <f>IF(L1086="","",L1086-B1086)</f>
        <v>4</v>
      </c>
      <c r="T1086" s="153">
        <f>IF(N1086="","",N1086-L1086)</f>
        <v>1</v>
      </c>
      <c r="U1086" s="153">
        <f>IF(O1086="","",O1086-N1086)</f>
        <v>0</v>
      </c>
      <c r="V1086" s="154">
        <f>IF(O1086="","",O1086-B1086)</f>
        <v>5</v>
      </c>
      <c r="W1086" s="154">
        <f>IF(O1086="","",O1086-L1086)</f>
        <v>1</v>
      </c>
      <c r="X1086" s="154">
        <f>IF(R1086="","",R1086-B1086)</f>
        <v>5</v>
      </c>
    </row>
    <row r="1087" spans="2:24" ht="17.25" hidden="1" customHeight="1">
      <c r="B1087" s="23">
        <v>45772</v>
      </c>
      <c r="C1087" s="7">
        <v>2003651884</v>
      </c>
      <c r="D1087" s="20">
        <v>150981</v>
      </c>
      <c r="E1087" s="27" t="s">
        <v>135</v>
      </c>
      <c r="F1087" s="7" t="s">
        <v>107</v>
      </c>
      <c r="G1087" s="7" t="s">
        <v>26</v>
      </c>
      <c r="H1087" s="7" t="s">
        <v>45</v>
      </c>
      <c r="I1087" s="20" t="s">
        <v>425</v>
      </c>
      <c r="J1087" s="20" t="s">
        <v>1772</v>
      </c>
      <c r="K1087" s="7" t="s">
        <v>119</v>
      </c>
      <c r="L1087" s="61">
        <v>45776</v>
      </c>
      <c r="M1087" s="7" t="s">
        <v>111</v>
      </c>
      <c r="N1087" s="24">
        <v>45777</v>
      </c>
      <c r="O1087" s="58">
        <v>45777</v>
      </c>
      <c r="P1087" s="59"/>
      <c r="Q1087" s="124" t="e">
        <f>P1087*#REF!</f>
        <v>#REF!</v>
      </c>
      <c r="R1087" s="126">
        <v>45777</v>
      </c>
      <c r="S1087" s="153">
        <f>IF(L1087="","",L1087-B1087)</f>
        <v>4</v>
      </c>
      <c r="T1087" s="153">
        <f>IF(N1087="","",N1087-L1087)</f>
        <v>1</v>
      </c>
      <c r="U1087" s="153">
        <f>IF(O1087="","",O1087-N1087)</f>
        <v>0</v>
      </c>
      <c r="V1087" s="154">
        <f>IF(O1087="","",O1087-B1087)</f>
        <v>5</v>
      </c>
      <c r="W1087" s="154">
        <f>IF(O1087="","",O1087-L1087)</f>
        <v>1</v>
      </c>
      <c r="X1087" s="154">
        <f>IF(R1087="","",R1087-B1087)</f>
        <v>5</v>
      </c>
    </row>
    <row r="1088" spans="2:24" ht="17.25" hidden="1" customHeight="1">
      <c r="B1088" s="23">
        <v>45772</v>
      </c>
      <c r="C1088" s="7">
        <v>2003665250</v>
      </c>
      <c r="D1088" s="20">
        <v>150979</v>
      </c>
      <c r="E1088" s="27" t="s">
        <v>185</v>
      </c>
      <c r="F1088" s="7" t="s">
        <v>107</v>
      </c>
      <c r="G1088" s="7" t="s">
        <v>10</v>
      </c>
      <c r="H1088" s="7" t="s">
        <v>45</v>
      </c>
      <c r="I1088" s="20" t="s">
        <v>553</v>
      </c>
      <c r="J1088" s="20" t="s">
        <v>1808</v>
      </c>
      <c r="K1088" s="7" t="s">
        <v>119</v>
      </c>
      <c r="L1088" s="61">
        <v>45776</v>
      </c>
      <c r="M1088" s="7" t="s">
        <v>111</v>
      </c>
      <c r="N1088" s="61">
        <v>45776</v>
      </c>
      <c r="O1088" s="61">
        <v>45776</v>
      </c>
      <c r="P1088" s="59"/>
      <c r="Q1088" s="124" t="e">
        <f>P1088*#REF!</f>
        <v>#REF!</v>
      </c>
      <c r="R1088" s="126">
        <v>45777</v>
      </c>
      <c r="S1088" s="153">
        <f>IF(L1088="","",L1088-B1088)</f>
        <v>4</v>
      </c>
      <c r="T1088" s="153">
        <f>IF(N1088="","",N1088-L1088)</f>
        <v>0</v>
      </c>
      <c r="U1088" s="153">
        <f>IF(O1088="","",O1088-N1088)</f>
        <v>0</v>
      </c>
      <c r="V1088" s="154">
        <f>IF(O1088="","",O1088-B1088)</f>
        <v>4</v>
      </c>
      <c r="W1088" s="154">
        <f>IF(O1088="","",O1088-L1088)</f>
        <v>0</v>
      </c>
      <c r="X1088" s="154">
        <f>IF(R1088="","",R1088-B1088)</f>
        <v>5</v>
      </c>
    </row>
    <row r="1089" spans="2:24" ht="17.25" hidden="1" customHeight="1">
      <c r="B1089" s="23">
        <v>45782</v>
      </c>
      <c r="C1089" s="7">
        <v>2003671343</v>
      </c>
      <c r="D1089" s="20">
        <v>156619</v>
      </c>
      <c r="E1089" s="27" t="s">
        <v>230</v>
      </c>
      <c r="F1089" s="7" t="s">
        <v>107</v>
      </c>
      <c r="G1089" s="7" t="s">
        <v>18</v>
      </c>
      <c r="H1089" s="7" t="s">
        <v>45</v>
      </c>
      <c r="I1089" s="20" t="s">
        <v>1809</v>
      </c>
      <c r="J1089" s="20" t="s">
        <v>1810</v>
      </c>
      <c r="K1089" s="7" t="s">
        <v>110</v>
      </c>
      <c r="L1089" s="61">
        <v>45784</v>
      </c>
      <c r="M1089" s="7" t="s">
        <v>111</v>
      </c>
      <c r="N1089" s="24">
        <v>45785</v>
      </c>
      <c r="O1089" s="106">
        <v>45785</v>
      </c>
      <c r="P1089" s="59"/>
      <c r="Q1089" s="124" t="e">
        <f>P1089*#REF!</f>
        <v>#REF!</v>
      </c>
      <c r="R1089" s="126">
        <v>45786</v>
      </c>
      <c r="S1089" s="153">
        <f>IF(L1089="","",L1089-B1089)</f>
        <v>2</v>
      </c>
      <c r="T1089" s="153">
        <f>IF(N1089="","",N1089-L1089)</f>
        <v>1</v>
      </c>
      <c r="U1089" s="153">
        <f>IF(O1089="","",O1089-N1089)</f>
        <v>0</v>
      </c>
      <c r="V1089" s="154">
        <f>IF(O1089="","",O1089-B1089)</f>
        <v>3</v>
      </c>
      <c r="W1089" s="154">
        <f>IF(O1089="","",O1089-L1089)</f>
        <v>1</v>
      </c>
      <c r="X1089" s="154">
        <f>IF(R1089="","",R1089-B1089)</f>
        <v>4</v>
      </c>
    </row>
    <row r="1090" spans="2:24" ht="17.25" hidden="1" customHeight="1">
      <c r="B1090" s="23">
        <v>45782</v>
      </c>
      <c r="C1090" s="7">
        <v>2003667408</v>
      </c>
      <c r="D1090" s="20">
        <v>156650</v>
      </c>
      <c r="E1090" s="27" t="s">
        <v>138</v>
      </c>
      <c r="F1090" s="7" t="s">
        <v>107</v>
      </c>
      <c r="G1090" s="7" t="s">
        <v>18</v>
      </c>
      <c r="H1090" s="7" t="s">
        <v>45</v>
      </c>
      <c r="I1090" s="20" t="s">
        <v>1811</v>
      </c>
      <c r="J1090" s="20" t="s">
        <v>1812</v>
      </c>
      <c r="K1090" s="7" t="s">
        <v>110</v>
      </c>
      <c r="L1090" s="61">
        <v>45784</v>
      </c>
      <c r="M1090" s="7" t="s">
        <v>111</v>
      </c>
      <c r="N1090" s="61">
        <v>45784</v>
      </c>
      <c r="O1090" s="23">
        <v>45786</v>
      </c>
      <c r="P1090" s="59"/>
      <c r="Q1090" s="124" t="e">
        <f>P1090*#REF!</f>
        <v>#REF!</v>
      </c>
      <c r="R1090" s="126">
        <v>45786</v>
      </c>
      <c r="S1090" s="153">
        <f>IF(L1090="","",L1090-B1090)</f>
        <v>2</v>
      </c>
      <c r="T1090" s="153">
        <f>IF(N1090="","",N1090-L1090)</f>
        <v>0</v>
      </c>
      <c r="U1090" s="153">
        <f>IF(O1090="","",O1090-N1090)</f>
        <v>2</v>
      </c>
      <c r="V1090" s="154">
        <f>IF(O1090="","",O1090-B1090)</f>
        <v>4</v>
      </c>
      <c r="W1090" s="154">
        <f>IF(O1090="","",O1090-L1090)</f>
        <v>2</v>
      </c>
      <c r="X1090" s="154">
        <f>IF(R1090="","",R1090-B1090)</f>
        <v>4</v>
      </c>
    </row>
    <row r="1091" spans="2:24" ht="17.25" hidden="1" customHeight="1">
      <c r="B1091" s="23">
        <v>45782</v>
      </c>
      <c r="C1091" s="7">
        <v>2003643323</v>
      </c>
      <c r="D1091" s="20">
        <v>156654</v>
      </c>
      <c r="E1091" s="27" t="s">
        <v>106</v>
      </c>
      <c r="F1091" s="7" t="s">
        <v>107</v>
      </c>
      <c r="G1091" s="7" t="s">
        <v>10</v>
      </c>
      <c r="H1091" s="7" t="s">
        <v>45</v>
      </c>
      <c r="I1091" s="20" t="s">
        <v>1813</v>
      </c>
      <c r="J1091" s="20" t="s">
        <v>1814</v>
      </c>
      <c r="K1091" s="7" t="s">
        <v>119</v>
      </c>
      <c r="L1091" s="61">
        <v>45785</v>
      </c>
      <c r="M1091" s="7" t="s">
        <v>111</v>
      </c>
      <c r="N1091" s="61">
        <v>45786</v>
      </c>
      <c r="O1091" s="61">
        <v>45786</v>
      </c>
      <c r="P1091" s="59"/>
      <c r="Q1091" s="124" t="e">
        <f>P1091*#REF!</f>
        <v>#REF!</v>
      </c>
      <c r="R1091" s="126">
        <v>45795</v>
      </c>
      <c r="S1091" s="153">
        <f>IF(L1091="","",L1091-B1091)</f>
        <v>3</v>
      </c>
      <c r="T1091" s="153">
        <f>IF(N1091="","",N1091-L1091)</f>
        <v>1</v>
      </c>
      <c r="U1091" s="153">
        <f>IF(O1091="","",O1091-N1091)</f>
        <v>0</v>
      </c>
      <c r="V1091" s="154">
        <f>IF(O1091="","",O1091-B1091)</f>
        <v>4</v>
      </c>
      <c r="W1091" s="154">
        <f>IF(O1091="","",O1091-L1091)</f>
        <v>1</v>
      </c>
      <c r="X1091" s="154">
        <f>IF(R1091="","",R1091-B1091)</f>
        <v>13</v>
      </c>
    </row>
    <row r="1092" spans="2:24" ht="17.25" hidden="1" customHeight="1">
      <c r="B1092" s="23">
        <v>45772</v>
      </c>
      <c r="C1092" s="7">
        <v>2003671708</v>
      </c>
      <c r="D1092" s="20">
        <v>150884</v>
      </c>
      <c r="E1092" s="27" t="s">
        <v>949</v>
      </c>
      <c r="F1092" s="7" t="s">
        <v>107</v>
      </c>
      <c r="G1092" s="7" t="s">
        <v>10</v>
      </c>
      <c r="H1092" s="7" t="s">
        <v>45</v>
      </c>
      <c r="I1092" s="20" t="s">
        <v>1079</v>
      </c>
      <c r="J1092" s="20" t="s">
        <v>1815</v>
      </c>
      <c r="K1092" s="7" t="s">
        <v>110</v>
      </c>
      <c r="L1092" s="61">
        <v>45777</v>
      </c>
      <c r="M1092" s="7" t="s">
        <v>111</v>
      </c>
      <c r="N1092" s="61">
        <v>45777</v>
      </c>
      <c r="O1092" s="61">
        <v>45777</v>
      </c>
      <c r="P1092" s="59"/>
      <c r="Q1092" s="124" t="e">
        <f>P1092*#REF!</f>
        <v>#REF!</v>
      </c>
      <c r="R1092" s="126">
        <v>45777</v>
      </c>
      <c r="S1092" s="153">
        <f>IF(L1092="","",L1092-B1092)</f>
        <v>5</v>
      </c>
      <c r="T1092" s="153">
        <f>IF(N1092="","",N1092-L1092)</f>
        <v>0</v>
      </c>
      <c r="U1092" s="153">
        <f>IF(O1092="","",O1092-N1092)</f>
        <v>0</v>
      </c>
      <c r="V1092" s="154">
        <f>IF(O1092="","",O1092-B1092)</f>
        <v>5</v>
      </c>
      <c r="W1092" s="154">
        <f>IF(O1092="","",O1092-L1092)</f>
        <v>0</v>
      </c>
      <c r="X1092" s="154">
        <f>IF(R1092="","",R1092-B1092)</f>
        <v>5</v>
      </c>
    </row>
    <row r="1093" spans="2:24" ht="17.25" hidden="1" customHeight="1">
      <c r="B1093" s="23">
        <v>45782</v>
      </c>
      <c r="C1093" s="7">
        <v>2003673213</v>
      </c>
      <c r="D1093" s="20">
        <v>156719</v>
      </c>
      <c r="E1093" s="27" t="s">
        <v>180</v>
      </c>
      <c r="F1093" s="7" t="s">
        <v>107</v>
      </c>
      <c r="G1093" s="7" t="s">
        <v>10</v>
      </c>
      <c r="H1093" s="7" t="s">
        <v>45</v>
      </c>
      <c r="I1093" s="20" t="s">
        <v>868</v>
      </c>
      <c r="J1093" s="20" t="s">
        <v>1816</v>
      </c>
      <c r="K1093" s="7" t="s">
        <v>110</v>
      </c>
      <c r="L1093" s="61">
        <v>45791</v>
      </c>
      <c r="M1093" s="7" t="s">
        <v>111</v>
      </c>
      <c r="N1093" s="61">
        <v>45791</v>
      </c>
      <c r="O1093" s="61">
        <v>45791</v>
      </c>
      <c r="P1093" s="59"/>
      <c r="Q1093" s="124" t="e">
        <f>P1093*#REF!</f>
        <v>#REF!</v>
      </c>
      <c r="R1093" s="126">
        <v>45792</v>
      </c>
      <c r="S1093" s="153">
        <f>IF(L1093="","",L1093-B1093)</f>
        <v>9</v>
      </c>
      <c r="T1093" s="153">
        <f>IF(N1093="","",N1093-L1093)</f>
        <v>0</v>
      </c>
      <c r="U1093" s="153">
        <f>IF(O1093="","",O1093-N1093)</f>
        <v>0</v>
      </c>
      <c r="V1093" s="154">
        <f>IF(O1093="","",O1093-B1093)</f>
        <v>9</v>
      </c>
      <c r="W1093" s="154">
        <f>IF(O1093="","",O1093-L1093)</f>
        <v>0</v>
      </c>
      <c r="X1093" s="154">
        <f>IF(R1093="","",R1093-B1093)</f>
        <v>10</v>
      </c>
    </row>
    <row r="1094" spans="2:24" ht="17.25" hidden="1" customHeight="1">
      <c r="B1094" s="23">
        <v>45772</v>
      </c>
      <c r="C1094" s="7">
        <v>2003669889</v>
      </c>
      <c r="D1094" s="20">
        <v>150647</v>
      </c>
      <c r="E1094" s="27" t="s">
        <v>123</v>
      </c>
      <c r="F1094" s="7" t="s">
        <v>107</v>
      </c>
      <c r="G1094" s="7" t="s">
        <v>10</v>
      </c>
      <c r="H1094" s="7" t="s">
        <v>45</v>
      </c>
      <c r="I1094" s="20" t="s">
        <v>1817</v>
      </c>
      <c r="J1094" s="20" t="s">
        <v>1818</v>
      </c>
      <c r="K1094" s="7" t="s">
        <v>110</v>
      </c>
      <c r="L1094" s="61">
        <v>45775</v>
      </c>
      <c r="M1094" s="7" t="s">
        <v>111</v>
      </c>
      <c r="N1094" s="61">
        <v>45775</v>
      </c>
      <c r="O1094" s="61">
        <v>45775</v>
      </c>
      <c r="P1094" s="59"/>
      <c r="Q1094" s="124" t="e">
        <f>P1094*#REF!</f>
        <v>#REF!</v>
      </c>
      <c r="R1094" s="126">
        <v>45776</v>
      </c>
      <c r="S1094" s="153">
        <f>IF(L1094="","",L1094-B1094)</f>
        <v>3</v>
      </c>
      <c r="T1094" s="153">
        <f>IF(N1094="","",N1094-L1094)</f>
        <v>0</v>
      </c>
      <c r="U1094" s="153">
        <f>IF(O1094="","",O1094-N1094)</f>
        <v>0</v>
      </c>
      <c r="V1094" s="154">
        <f>IF(O1094="","",O1094-B1094)</f>
        <v>3</v>
      </c>
      <c r="W1094" s="154">
        <f>IF(O1094="","",O1094-L1094)</f>
        <v>0</v>
      </c>
      <c r="X1094" s="154">
        <f>IF(R1094="","",R1094-B1094)</f>
        <v>4</v>
      </c>
    </row>
    <row r="1095" spans="2:24" ht="17.25" hidden="1" customHeight="1">
      <c r="B1095" s="23">
        <v>45772</v>
      </c>
      <c r="C1095" s="7">
        <v>2003670377</v>
      </c>
      <c r="D1095" s="20">
        <v>150482</v>
      </c>
      <c r="E1095" s="27" t="s">
        <v>180</v>
      </c>
      <c r="F1095" s="7" t="s">
        <v>113</v>
      </c>
      <c r="G1095" s="7" t="s">
        <v>70</v>
      </c>
      <c r="H1095" s="7" t="s">
        <v>47</v>
      </c>
      <c r="I1095" s="20" t="s">
        <v>1819</v>
      </c>
      <c r="J1095" s="20" t="s">
        <v>1820</v>
      </c>
      <c r="K1095" s="7" t="s">
        <v>160</v>
      </c>
      <c r="P1095" s="59"/>
      <c r="Q1095" s="124" t="e">
        <f>P1095*#REF!</f>
        <v>#REF!</v>
      </c>
      <c r="R1095" s="126">
        <v>45783</v>
      </c>
      <c r="S1095" s="153" t="str">
        <f>IF(L1095="","",L1095-B1095)</f>
        <v/>
      </c>
      <c r="T1095" s="153" t="str">
        <f>IF(N1095="","",N1095-L1095)</f>
        <v/>
      </c>
      <c r="U1095" s="153" t="str">
        <f>IF(O1095="","",O1095-N1095)</f>
        <v/>
      </c>
      <c r="V1095" s="154" t="str">
        <f>IF(O1095="","",O1095-B1095)</f>
        <v/>
      </c>
      <c r="W1095" s="154" t="str">
        <f>IF(O1095="","",O1095-L1095)</f>
        <v/>
      </c>
      <c r="X1095" s="154">
        <f>IF(R1095="","",R1095-B1095)</f>
        <v>11</v>
      </c>
    </row>
    <row r="1096" spans="2:24" ht="17.25" hidden="1" customHeight="1">
      <c r="B1096" s="23">
        <v>45783</v>
      </c>
      <c r="C1096" s="7">
        <v>2003671714</v>
      </c>
      <c r="D1096" s="20">
        <v>157164</v>
      </c>
      <c r="E1096" s="27" t="s">
        <v>201</v>
      </c>
      <c r="F1096" s="7" t="s">
        <v>107</v>
      </c>
      <c r="G1096" s="7" t="s">
        <v>10</v>
      </c>
      <c r="H1096" s="7" t="s">
        <v>45</v>
      </c>
      <c r="I1096" s="20" t="s">
        <v>1302</v>
      </c>
      <c r="J1096" s="20" t="s">
        <v>1723</v>
      </c>
      <c r="K1096" s="7" t="s">
        <v>119</v>
      </c>
      <c r="L1096" s="61">
        <v>45784</v>
      </c>
      <c r="M1096" s="7" t="s">
        <v>111</v>
      </c>
      <c r="N1096" s="24">
        <v>45785</v>
      </c>
      <c r="O1096" s="24">
        <v>45785</v>
      </c>
      <c r="P1096" s="59"/>
      <c r="Q1096" s="124" t="e">
        <f>P1096*#REF!</f>
        <v>#REF!</v>
      </c>
      <c r="R1096" s="126">
        <v>45786</v>
      </c>
      <c r="S1096" s="153">
        <f>IF(L1096="","",L1096-B1096)</f>
        <v>1</v>
      </c>
      <c r="T1096" s="153">
        <f>IF(N1096="","",N1096-L1096)</f>
        <v>1</v>
      </c>
      <c r="U1096" s="153">
        <f>IF(O1096="","",O1096-N1096)</f>
        <v>0</v>
      </c>
      <c r="V1096" s="154">
        <f>IF(O1096="","",O1096-B1096)</f>
        <v>2</v>
      </c>
      <c r="W1096" s="154">
        <f>IF(O1096="","",O1096-L1096)</f>
        <v>1</v>
      </c>
      <c r="X1096" s="154">
        <f>IF(R1096="","",R1096-B1096)</f>
        <v>3</v>
      </c>
    </row>
    <row r="1097" spans="2:24" ht="17.25" hidden="1" customHeight="1">
      <c r="B1097" s="23">
        <v>45775</v>
      </c>
      <c r="C1097" s="7">
        <v>2003664902</v>
      </c>
      <c r="D1097" s="20">
        <v>5899323</v>
      </c>
      <c r="E1097" s="27" t="s">
        <v>198</v>
      </c>
      <c r="F1097" s="7" t="s">
        <v>113</v>
      </c>
      <c r="G1097" s="7" t="s">
        <v>70</v>
      </c>
      <c r="H1097" s="7" t="s">
        <v>47</v>
      </c>
      <c r="I1097" s="20" t="s">
        <v>959</v>
      </c>
      <c r="J1097" s="20" t="s">
        <v>1821</v>
      </c>
      <c r="K1097" s="7" t="s">
        <v>160</v>
      </c>
      <c r="P1097" s="59"/>
      <c r="Q1097" s="124" t="e">
        <f>P1097*#REF!</f>
        <v>#REF!</v>
      </c>
      <c r="R1097" s="126">
        <v>45792</v>
      </c>
      <c r="S1097" s="153" t="str">
        <f>IF(L1097="","",L1097-B1097)</f>
        <v/>
      </c>
      <c r="T1097" s="153" t="str">
        <f>IF(N1097="","",N1097-L1097)</f>
        <v/>
      </c>
      <c r="U1097" s="153" t="str">
        <f>IF(O1097="","",O1097-N1097)</f>
        <v/>
      </c>
      <c r="V1097" s="154" t="str">
        <f>IF(O1097="","",O1097-B1097)</f>
        <v/>
      </c>
      <c r="W1097" s="154" t="str">
        <f>IF(O1097="","",O1097-L1097)</f>
        <v/>
      </c>
      <c r="X1097" s="154">
        <f>IF(R1097="","",R1097-B1097)</f>
        <v>17</v>
      </c>
    </row>
    <row r="1098" spans="2:24" ht="17.25" hidden="1" customHeight="1">
      <c r="B1098" s="23">
        <v>45775</v>
      </c>
      <c r="C1098" s="7">
        <v>2003665677</v>
      </c>
      <c r="D1098" s="20">
        <v>5899327</v>
      </c>
      <c r="E1098" s="27" t="s">
        <v>198</v>
      </c>
      <c r="F1098" s="7" t="s">
        <v>107</v>
      </c>
      <c r="G1098" s="7" t="s">
        <v>10</v>
      </c>
      <c r="H1098" s="7" t="s">
        <v>45</v>
      </c>
      <c r="I1098" s="20" t="s">
        <v>938</v>
      </c>
      <c r="J1098" s="20" t="s">
        <v>1822</v>
      </c>
      <c r="K1098" s="7" t="s">
        <v>119</v>
      </c>
      <c r="L1098" s="61">
        <v>45777</v>
      </c>
      <c r="M1098" s="7" t="s">
        <v>111</v>
      </c>
      <c r="N1098" s="61">
        <v>45777</v>
      </c>
      <c r="O1098" s="61">
        <v>45777</v>
      </c>
      <c r="P1098" s="59"/>
      <c r="Q1098" s="124" t="e">
        <f>P1098*#REF!</f>
        <v>#REF!</v>
      </c>
      <c r="R1098" s="126">
        <v>45777</v>
      </c>
      <c r="S1098" s="153">
        <f>IF(L1098="","",L1098-B1098)</f>
        <v>2</v>
      </c>
      <c r="T1098" s="153">
        <f>IF(N1098="","",N1098-L1098)</f>
        <v>0</v>
      </c>
      <c r="U1098" s="153">
        <f>IF(O1098="","",O1098-N1098)</f>
        <v>0</v>
      </c>
      <c r="V1098" s="154">
        <f>IF(O1098="","",O1098-B1098)</f>
        <v>2</v>
      </c>
      <c r="W1098" s="154">
        <f>IF(O1098="","",O1098-L1098)</f>
        <v>0</v>
      </c>
      <c r="X1098" s="154">
        <f>IF(R1098="","",R1098-B1098)</f>
        <v>2</v>
      </c>
    </row>
    <row r="1099" spans="2:24" ht="17.25" hidden="1" customHeight="1">
      <c r="B1099" s="23">
        <v>45783</v>
      </c>
      <c r="C1099" s="7">
        <v>2003674793</v>
      </c>
      <c r="D1099" s="20">
        <v>157244</v>
      </c>
      <c r="E1099" s="27" t="s">
        <v>106</v>
      </c>
      <c r="F1099" s="7" t="s">
        <v>107</v>
      </c>
      <c r="G1099" s="7" t="s">
        <v>10</v>
      </c>
      <c r="H1099" s="7" t="s">
        <v>45</v>
      </c>
      <c r="I1099" s="20" t="s">
        <v>206</v>
      </c>
      <c r="J1099" s="20" t="s">
        <v>1823</v>
      </c>
      <c r="K1099" s="7" t="s">
        <v>119</v>
      </c>
      <c r="L1099" s="61">
        <v>45786</v>
      </c>
      <c r="M1099" s="7" t="s">
        <v>111</v>
      </c>
      <c r="N1099" s="61">
        <v>45786</v>
      </c>
      <c r="O1099" s="61">
        <v>45786</v>
      </c>
      <c r="P1099" s="59"/>
      <c r="Q1099" s="124" t="e">
        <f>P1099*#REF!</f>
        <v>#REF!</v>
      </c>
      <c r="R1099" s="126">
        <v>45789</v>
      </c>
      <c r="S1099" s="153">
        <f>IF(L1099="","",L1099-B1099)</f>
        <v>3</v>
      </c>
      <c r="T1099" s="153">
        <f>IF(N1099="","",N1099-L1099)</f>
        <v>0</v>
      </c>
      <c r="U1099" s="153">
        <f>IF(O1099="","",O1099-N1099)</f>
        <v>0</v>
      </c>
      <c r="V1099" s="154">
        <f>IF(O1099="","",O1099-B1099)</f>
        <v>3</v>
      </c>
      <c r="W1099" s="154">
        <f>IF(O1099="","",O1099-L1099)</f>
        <v>0</v>
      </c>
      <c r="X1099" s="154">
        <f>IF(R1099="","",R1099-B1099)</f>
        <v>6</v>
      </c>
    </row>
    <row r="1100" spans="2:24" ht="17.25" hidden="1" customHeight="1">
      <c r="B1100" s="23">
        <v>45783</v>
      </c>
      <c r="C1100" s="7">
        <v>2003664922</v>
      </c>
      <c r="D1100" s="20">
        <v>157447</v>
      </c>
      <c r="E1100" s="27" t="s">
        <v>198</v>
      </c>
      <c r="F1100" s="7" t="s">
        <v>107</v>
      </c>
      <c r="G1100" s="7" t="s">
        <v>10</v>
      </c>
      <c r="H1100" s="7" t="s">
        <v>45</v>
      </c>
      <c r="I1100" s="20" t="s">
        <v>1824</v>
      </c>
      <c r="J1100" s="20" t="s">
        <v>1825</v>
      </c>
      <c r="K1100" s="7" t="s">
        <v>119</v>
      </c>
      <c r="L1100" s="61">
        <v>45784</v>
      </c>
      <c r="M1100" s="7" t="s">
        <v>111</v>
      </c>
      <c r="N1100" s="61">
        <v>45786</v>
      </c>
      <c r="O1100" s="61">
        <v>45786</v>
      </c>
      <c r="P1100" s="59"/>
      <c r="Q1100" s="124" t="e">
        <f>P1100*#REF!</f>
        <v>#REF!</v>
      </c>
      <c r="R1100" s="126">
        <v>45789</v>
      </c>
      <c r="S1100" s="153">
        <f>IF(L1100="","",L1100-B1100)</f>
        <v>1</v>
      </c>
      <c r="T1100" s="153">
        <f>IF(N1100="","",N1100-L1100)</f>
        <v>2</v>
      </c>
      <c r="U1100" s="153">
        <f>IF(O1100="","",O1100-N1100)</f>
        <v>0</v>
      </c>
      <c r="V1100" s="154">
        <f>IF(O1100="","",O1100-B1100)</f>
        <v>3</v>
      </c>
      <c r="W1100" s="154">
        <f>IF(O1100="","",O1100-L1100)</f>
        <v>2</v>
      </c>
      <c r="X1100" s="154">
        <f>IF(R1100="","",R1100-B1100)</f>
        <v>6</v>
      </c>
    </row>
    <row r="1101" spans="2:24" ht="17.25" hidden="1" customHeight="1">
      <c r="B1101" s="23">
        <v>45783</v>
      </c>
      <c r="C1101" s="7">
        <v>2003668775</v>
      </c>
      <c r="D1101" s="20">
        <v>157514</v>
      </c>
      <c r="E1101" s="27" t="s">
        <v>106</v>
      </c>
      <c r="F1101" s="7" t="s">
        <v>107</v>
      </c>
      <c r="G1101" s="7" t="s">
        <v>10</v>
      </c>
      <c r="H1101" s="7" t="s">
        <v>45</v>
      </c>
      <c r="I1101" s="20" t="s">
        <v>1826</v>
      </c>
      <c r="J1101" s="20" t="s">
        <v>1827</v>
      </c>
      <c r="K1101" s="7" t="s">
        <v>110</v>
      </c>
      <c r="L1101" s="61">
        <v>45786</v>
      </c>
      <c r="M1101" s="7" t="s">
        <v>111</v>
      </c>
      <c r="N1101" s="24">
        <v>45787</v>
      </c>
      <c r="O1101" s="24">
        <v>45787</v>
      </c>
      <c r="P1101" s="59"/>
      <c r="Q1101" s="124" t="e">
        <f>P1101*#REF!</f>
        <v>#REF!</v>
      </c>
      <c r="R1101" s="126">
        <v>45789</v>
      </c>
      <c r="S1101" s="153">
        <f>IF(L1101="","",L1101-B1101)</f>
        <v>3</v>
      </c>
      <c r="T1101" s="153">
        <f>IF(N1101="","",N1101-L1101)</f>
        <v>1</v>
      </c>
      <c r="U1101" s="153">
        <f>IF(O1101="","",O1101-N1101)</f>
        <v>0</v>
      </c>
      <c r="V1101" s="154">
        <f>IF(O1101="","",O1101-B1101)</f>
        <v>4</v>
      </c>
      <c r="W1101" s="154">
        <f>IF(O1101="","",O1101-L1101)</f>
        <v>1</v>
      </c>
      <c r="X1101" s="154">
        <f>IF(R1101="","",R1101-B1101)</f>
        <v>6</v>
      </c>
    </row>
    <row r="1102" spans="2:24" ht="17.25" hidden="1" customHeight="1">
      <c r="B1102" s="23">
        <v>45783</v>
      </c>
      <c r="C1102" s="7">
        <v>2003648953</v>
      </c>
      <c r="D1102" s="20">
        <v>157543</v>
      </c>
      <c r="E1102" s="27" t="s">
        <v>129</v>
      </c>
      <c r="F1102" s="7" t="s">
        <v>107</v>
      </c>
      <c r="G1102" s="7" t="s">
        <v>18</v>
      </c>
      <c r="H1102" s="7" t="s">
        <v>45</v>
      </c>
      <c r="I1102" s="20" t="s">
        <v>1719</v>
      </c>
      <c r="J1102" s="20" t="s">
        <v>1828</v>
      </c>
      <c r="K1102" s="7" t="s">
        <v>110</v>
      </c>
      <c r="L1102" s="61">
        <v>45790</v>
      </c>
      <c r="M1102" s="7" t="s">
        <v>111</v>
      </c>
      <c r="N1102" s="61">
        <v>45790</v>
      </c>
      <c r="O1102" s="106">
        <v>45791</v>
      </c>
      <c r="P1102" s="59"/>
      <c r="Q1102" s="124" t="e">
        <f>P1102*#REF!</f>
        <v>#REF!</v>
      </c>
      <c r="R1102" s="126">
        <v>45792</v>
      </c>
      <c r="S1102" s="153">
        <f>IF(L1102="","",L1102-B1102)</f>
        <v>7</v>
      </c>
      <c r="T1102" s="153">
        <f>IF(N1102="","",N1102-L1102)</f>
        <v>0</v>
      </c>
      <c r="U1102" s="153">
        <f>IF(O1102="","",O1102-N1102)</f>
        <v>1</v>
      </c>
      <c r="V1102" s="154">
        <f>IF(O1102="","",O1102-B1102)</f>
        <v>8</v>
      </c>
      <c r="W1102" s="154">
        <f>IF(O1102="","",O1102-L1102)</f>
        <v>1</v>
      </c>
      <c r="X1102" s="154">
        <f>IF(R1102="","",R1102-B1102)</f>
        <v>9</v>
      </c>
    </row>
    <row r="1103" spans="2:24" ht="17.25" hidden="1" customHeight="1">
      <c r="B1103" s="23">
        <v>45775</v>
      </c>
      <c r="C1103" s="7">
        <v>2003668415</v>
      </c>
      <c r="D1103" s="20">
        <v>5899734</v>
      </c>
      <c r="E1103" s="27" t="s">
        <v>1225</v>
      </c>
      <c r="F1103" s="7" t="s">
        <v>107</v>
      </c>
      <c r="G1103" s="7" t="s">
        <v>18</v>
      </c>
      <c r="H1103" s="7" t="s">
        <v>45</v>
      </c>
      <c r="I1103" s="20" t="s">
        <v>466</v>
      </c>
      <c r="J1103" s="20" t="s">
        <v>1829</v>
      </c>
      <c r="K1103" s="7" t="s">
        <v>110</v>
      </c>
      <c r="L1103" s="61">
        <v>45777</v>
      </c>
      <c r="M1103" s="7" t="s">
        <v>111</v>
      </c>
      <c r="N1103" s="61">
        <v>45777</v>
      </c>
      <c r="O1103" s="61">
        <v>45777</v>
      </c>
      <c r="P1103" s="59"/>
      <c r="Q1103" s="124" t="e">
        <f>P1103*#REF!</f>
        <v>#REF!</v>
      </c>
      <c r="R1103" s="126">
        <v>45777</v>
      </c>
      <c r="S1103" s="153">
        <f>IF(L1103="","",L1103-B1103)</f>
        <v>2</v>
      </c>
      <c r="T1103" s="153">
        <f>IF(N1103="","",N1103-L1103)</f>
        <v>0</v>
      </c>
      <c r="U1103" s="153">
        <f>IF(O1103="","",O1103-N1103)</f>
        <v>0</v>
      </c>
      <c r="V1103" s="154">
        <f>IF(O1103="","",O1103-B1103)</f>
        <v>2</v>
      </c>
      <c r="W1103" s="154">
        <f>IF(O1103="","",O1103-L1103)</f>
        <v>0</v>
      </c>
      <c r="X1103" s="154">
        <f>IF(R1103="","",R1103-B1103)</f>
        <v>2</v>
      </c>
    </row>
    <row r="1104" spans="2:24" ht="17.25" hidden="1" customHeight="1">
      <c r="B1104" s="23">
        <v>45783</v>
      </c>
      <c r="C1104" s="7">
        <v>2003670884</v>
      </c>
      <c r="D1104" s="20">
        <v>157562</v>
      </c>
      <c r="E1104" s="27" t="s">
        <v>116</v>
      </c>
      <c r="F1104" s="7" t="s">
        <v>107</v>
      </c>
      <c r="G1104" s="7" t="s">
        <v>10</v>
      </c>
      <c r="H1104" s="7" t="s">
        <v>45</v>
      </c>
      <c r="I1104" s="20" t="s">
        <v>1138</v>
      </c>
      <c r="J1104" s="20" t="s">
        <v>1830</v>
      </c>
      <c r="K1104" s="7" t="s">
        <v>119</v>
      </c>
      <c r="L1104" s="61">
        <v>45786</v>
      </c>
      <c r="M1104" s="7" t="s">
        <v>111</v>
      </c>
      <c r="N1104" s="61">
        <v>45786</v>
      </c>
      <c r="O1104" s="23">
        <v>45789</v>
      </c>
      <c r="P1104" s="59"/>
      <c r="Q1104" s="124" t="e">
        <f>P1104*#REF!</f>
        <v>#REF!</v>
      </c>
      <c r="R1104" s="126">
        <v>45790</v>
      </c>
      <c r="S1104" s="153">
        <f>IF(L1104="","",L1104-B1104)</f>
        <v>3</v>
      </c>
      <c r="T1104" s="153">
        <f>IF(N1104="","",N1104-L1104)</f>
        <v>0</v>
      </c>
      <c r="U1104" s="153">
        <f>IF(O1104="","",O1104-N1104)</f>
        <v>3</v>
      </c>
      <c r="V1104" s="154">
        <f>IF(O1104="","",O1104-B1104)</f>
        <v>6</v>
      </c>
      <c r="W1104" s="154">
        <f>IF(O1104="","",O1104-L1104)</f>
        <v>3</v>
      </c>
      <c r="X1104" s="154">
        <f>IF(R1104="","",R1104-B1104)</f>
        <v>7</v>
      </c>
    </row>
    <row r="1105" spans="2:24" ht="17.25" hidden="1" customHeight="1">
      <c r="B1105" s="23">
        <v>45783</v>
      </c>
      <c r="C1105" s="7">
        <v>2003672358</v>
      </c>
      <c r="D1105" s="20">
        <v>157608</v>
      </c>
      <c r="E1105" s="27" t="s">
        <v>185</v>
      </c>
      <c r="F1105" s="7" t="s">
        <v>107</v>
      </c>
      <c r="G1105" s="7" t="s">
        <v>10</v>
      </c>
      <c r="H1105" s="7" t="s">
        <v>45</v>
      </c>
      <c r="I1105" s="20" t="s">
        <v>1831</v>
      </c>
      <c r="J1105" s="20" t="s">
        <v>1832</v>
      </c>
      <c r="K1105" s="7" t="s">
        <v>110</v>
      </c>
      <c r="L1105" s="61">
        <v>45790</v>
      </c>
      <c r="M1105" s="7" t="s">
        <v>111</v>
      </c>
      <c r="N1105" s="61">
        <v>45790</v>
      </c>
      <c r="O1105" s="24">
        <v>45791</v>
      </c>
      <c r="P1105" s="59"/>
      <c r="Q1105" s="124" t="e">
        <f>P1105*#REF!</f>
        <v>#REF!</v>
      </c>
      <c r="R1105" s="126">
        <v>45792</v>
      </c>
      <c r="S1105" s="153">
        <f>IF(L1105="","",L1105-B1105)</f>
        <v>7</v>
      </c>
      <c r="T1105" s="153">
        <f>IF(N1105="","",N1105-L1105)</f>
        <v>0</v>
      </c>
      <c r="U1105" s="153">
        <f>IF(O1105="","",O1105-N1105)</f>
        <v>1</v>
      </c>
      <c r="V1105" s="154">
        <f>IF(O1105="","",O1105-B1105)</f>
        <v>8</v>
      </c>
      <c r="W1105" s="154">
        <f>IF(O1105="","",O1105-L1105)</f>
        <v>1</v>
      </c>
      <c r="X1105" s="154">
        <f>IF(R1105="","",R1105-B1105)</f>
        <v>9</v>
      </c>
    </row>
    <row r="1106" spans="2:24" ht="17.25" hidden="1" customHeight="1">
      <c r="B1106" s="23">
        <v>45783</v>
      </c>
      <c r="C1106" s="7">
        <v>2003663041</v>
      </c>
      <c r="D1106" s="20">
        <v>157620</v>
      </c>
      <c r="E1106" s="27" t="s">
        <v>408</v>
      </c>
      <c r="F1106" s="7" t="s">
        <v>107</v>
      </c>
      <c r="G1106" s="7" t="s">
        <v>18</v>
      </c>
      <c r="H1106" s="7" t="s">
        <v>45</v>
      </c>
      <c r="I1106" s="20" t="s">
        <v>1792</v>
      </c>
      <c r="J1106" s="20" t="s">
        <v>1833</v>
      </c>
      <c r="K1106" s="7" t="s">
        <v>110</v>
      </c>
      <c r="L1106" s="61">
        <v>45786</v>
      </c>
      <c r="M1106" s="7" t="s">
        <v>111</v>
      </c>
      <c r="N1106" s="24">
        <v>45787</v>
      </c>
      <c r="O1106" s="58">
        <v>45789</v>
      </c>
      <c r="P1106" s="59"/>
      <c r="Q1106" s="124" t="e">
        <f>P1106*#REF!</f>
        <v>#REF!</v>
      </c>
      <c r="R1106" s="126">
        <v>45790</v>
      </c>
      <c r="S1106" s="153">
        <f>IF(L1106="","",L1106-B1106)</f>
        <v>3</v>
      </c>
      <c r="T1106" s="153">
        <f>IF(N1106="","",N1106-L1106)</f>
        <v>1</v>
      </c>
      <c r="U1106" s="153">
        <f>IF(O1106="","",O1106-N1106)</f>
        <v>2</v>
      </c>
      <c r="V1106" s="154">
        <f>IF(O1106="","",O1106-B1106)</f>
        <v>6</v>
      </c>
      <c r="W1106" s="154">
        <f>IF(O1106="","",O1106-L1106)</f>
        <v>3</v>
      </c>
      <c r="X1106" s="154">
        <f>IF(R1106="","",R1106-B1106)</f>
        <v>7</v>
      </c>
    </row>
    <row r="1107" spans="2:24" ht="17.25" hidden="1" customHeight="1">
      <c r="B1107" s="23">
        <v>45775</v>
      </c>
      <c r="C1107" s="7">
        <v>2003638202</v>
      </c>
      <c r="D1107" s="20">
        <v>5899781</v>
      </c>
      <c r="E1107" s="27" t="s">
        <v>198</v>
      </c>
      <c r="F1107" s="7" t="s">
        <v>107</v>
      </c>
      <c r="G1107" s="7" t="s">
        <v>10</v>
      </c>
      <c r="H1107" s="7" t="s">
        <v>45</v>
      </c>
      <c r="I1107" s="20" t="s">
        <v>1365</v>
      </c>
      <c r="J1107" s="20" t="s">
        <v>1366</v>
      </c>
      <c r="K1107" s="7" t="s">
        <v>119</v>
      </c>
      <c r="L1107" s="61">
        <v>45775</v>
      </c>
      <c r="M1107" s="7" t="s">
        <v>111</v>
      </c>
      <c r="N1107" s="61">
        <v>45776</v>
      </c>
      <c r="O1107" s="61">
        <v>45776</v>
      </c>
      <c r="P1107" s="59"/>
      <c r="Q1107" s="124" t="e">
        <f>P1107*#REF!</f>
        <v>#REF!</v>
      </c>
      <c r="R1107" s="126">
        <v>45776</v>
      </c>
      <c r="S1107" s="153">
        <f>IF(L1107="","",L1107-B1107)</f>
        <v>0</v>
      </c>
      <c r="T1107" s="153">
        <f>IF(N1107="","",N1107-L1107)</f>
        <v>1</v>
      </c>
      <c r="U1107" s="153">
        <f>IF(O1107="","",O1107-N1107)</f>
        <v>0</v>
      </c>
      <c r="V1107" s="154">
        <f>IF(O1107="","",O1107-B1107)</f>
        <v>1</v>
      </c>
      <c r="W1107" s="154">
        <f>IF(O1107="","",O1107-L1107)</f>
        <v>1</v>
      </c>
      <c r="X1107" s="154">
        <f>IF(R1107="","",R1107-B1107)</f>
        <v>1</v>
      </c>
    </row>
    <row r="1108" spans="2:24" ht="17.25" hidden="1" customHeight="1">
      <c r="B1108" s="23">
        <v>45775</v>
      </c>
      <c r="C1108" s="7">
        <v>2003670980</v>
      </c>
      <c r="D1108" s="20">
        <v>5899791</v>
      </c>
      <c r="E1108" s="27" t="s">
        <v>191</v>
      </c>
      <c r="F1108" s="7" t="s">
        <v>107</v>
      </c>
      <c r="G1108" s="7" t="s">
        <v>18</v>
      </c>
      <c r="H1108" s="7" t="s">
        <v>45</v>
      </c>
      <c r="I1108" s="20" t="s">
        <v>1834</v>
      </c>
      <c r="J1108" s="20" t="s">
        <v>1835</v>
      </c>
      <c r="K1108" s="7" t="s">
        <v>119</v>
      </c>
      <c r="L1108" s="61">
        <v>45777</v>
      </c>
      <c r="M1108" s="7" t="s">
        <v>111</v>
      </c>
      <c r="N1108" s="61">
        <v>45777</v>
      </c>
      <c r="O1108" s="61">
        <v>45777</v>
      </c>
      <c r="P1108" s="59"/>
      <c r="Q1108" s="124" t="e">
        <f>P1108*#REF!</f>
        <v>#REF!</v>
      </c>
      <c r="R1108" s="126">
        <v>45777</v>
      </c>
      <c r="S1108" s="153">
        <f>IF(L1108="","",L1108-B1108)</f>
        <v>2</v>
      </c>
      <c r="T1108" s="153">
        <f>IF(N1108="","",N1108-L1108)</f>
        <v>0</v>
      </c>
      <c r="U1108" s="153">
        <f>IF(O1108="","",O1108-N1108)</f>
        <v>0</v>
      </c>
      <c r="V1108" s="154">
        <f>IF(O1108="","",O1108-B1108)</f>
        <v>2</v>
      </c>
      <c r="W1108" s="154">
        <f>IF(O1108="","",O1108-L1108)</f>
        <v>0</v>
      </c>
      <c r="X1108" s="154">
        <f>IF(R1108="","",R1108-B1108)</f>
        <v>2</v>
      </c>
    </row>
    <row r="1109" spans="2:24" ht="17.25" hidden="1" customHeight="1">
      <c r="B1109" s="23">
        <v>45775</v>
      </c>
      <c r="C1109" s="7">
        <v>2003664749</v>
      </c>
      <c r="D1109" s="20">
        <v>5899794</v>
      </c>
      <c r="E1109" s="27" t="s">
        <v>1225</v>
      </c>
      <c r="F1109" s="7" t="s">
        <v>107</v>
      </c>
      <c r="G1109" s="7" t="s">
        <v>18</v>
      </c>
      <c r="H1109" s="7" t="s">
        <v>45</v>
      </c>
      <c r="I1109" s="20" t="s">
        <v>1836</v>
      </c>
      <c r="J1109" s="20" t="s">
        <v>1837</v>
      </c>
      <c r="K1109" s="7" t="s">
        <v>119</v>
      </c>
      <c r="L1109" s="61">
        <v>45777</v>
      </c>
      <c r="M1109" s="7" t="s">
        <v>111</v>
      </c>
      <c r="N1109" s="61">
        <v>45777</v>
      </c>
      <c r="O1109" s="61">
        <v>45777</v>
      </c>
      <c r="P1109" s="59"/>
      <c r="Q1109" s="124" t="e">
        <f>P1109*#REF!</f>
        <v>#REF!</v>
      </c>
      <c r="R1109" s="126">
        <v>45777</v>
      </c>
      <c r="S1109" s="153">
        <f>IF(L1109="","",L1109-B1109)</f>
        <v>2</v>
      </c>
      <c r="T1109" s="153">
        <f>IF(N1109="","",N1109-L1109)</f>
        <v>0</v>
      </c>
      <c r="U1109" s="153">
        <f>IF(O1109="","",O1109-N1109)</f>
        <v>0</v>
      </c>
      <c r="V1109" s="154">
        <f>IF(O1109="","",O1109-B1109)</f>
        <v>2</v>
      </c>
      <c r="W1109" s="154">
        <f>IF(O1109="","",O1109-L1109)</f>
        <v>0</v>
      </c>
      <c r="X1109" s="154">
        <f>IF(R1109="","",R1109-B1109)</f>
        <v>2</v>
      </c>
    </row>
    <row r="1110" spans="2:24" ht="17.25" hidden="1" customHeight="1">
      <c r="B1110" s="23">
        <v>45783</v>
      </c>
      <c r="C1110" s="7">
        <v>2003667493</v>
      </c>
      <c r="D1110" s="20">
        <v>157737</v>
      </c>
      <c r="E1110" s="27" t="s">
        <v>185</v>
      </c>
      <c r="F1110" s="7" t="s">
        <v>107</v>
      </c>
      <c r="G1110" s="7" t="s">
        <v>10</v>
      </c>
      <c r="H1110" s="7" t="s">
        <v>45</v>
      </c>
      <c r="I1110" s="20" t="s">
        <v>861</v>
      </c>
      <c r="J1110" s="20" t="s">
        <v>1648</v>
      </c>
      <c r="K1110" s="7" t="s">
        <v>119</v>
      </c>
      <c r="L1110" s="61">
        <v>45784</v>
      </c>
      <c r="M1110" s="7" t="s">
        <v>111</v>
      </c>
      <c r="N1110" s="61">
        <v>45784</v>
      </c>
      <c r="O1110" s="61">
        <v>45784</v>
      </c>
      <c r="P1110" s="59"/>
      <c r="Q1110" s="124" t="e">
        <f>P1110*#REF!</f>
        <v>#REF!</v>
      </c>
      <c r="R1110" s="126">
        <v>45784</v>
      </c>
      <c r="S1110" s="153">
        <f>IF(L1110="","",L1110-B1110)</f>
        <v>1</v>
      </c>
      <c r="T1110" s="153">
        <f>IF(N1110="","",N1110-L1110)</f>
        <v>0</v>
      </c>
      <c r="U1110" s="153">
        <f>IF(O1110="","",O1110-N1110)</f>
        <v>0</v>
      </c>
      <c r="V1110" s="154">
        <f>IF(O1110="","",O1110-B1110)</f>
        <v>1</v>
      </c>
      <c r="W1110" s="154">
        <f>IF(O1110="","",O1110-L1110)</f>
        <v>0</v>
      </c>
      <c r="X1110" s="154">
        <f>IF(R1110="","",R1110-B1110)</f>
        <v>1</v>
      </c>
    </row>
    <row r="1111" spans="2:24" ht="17.25" hidden="1" customHeight="1">
      <c r="B1111" s="23">
        <v>45783</v>
      </c>
      <c r="C1111" s="7">
        <v>2003668666</v>
      </c>
      <c r="D1111" s="20">
        <v>157805</v>
      </c>
      <c r="E1111" s="27" t="s">
        <v>198</v>
      </c>
      <c r="F1111" s="7" t="s">
        <v>107</v>
      </c>
      <c r="G1111" s="7" t="s">
        <v>10</v>
      </c>
      <c r="H1111" s="7" t="s">
        <v>45</v>
      </c>
      <c r="I1111" s="20" t="s">
        <v>585</v>
      </c>
      <c r="J1111" s="20" t="s">
        <v>1649</v>
      </c>
      <c r="K1111" s="7" t="s">
        <v>110</v>
      </c>
      <c r="L1111" s="61">
        <v>45785</v>
      </c>
      <c r="M1111" s="7" t="s">
        <v>111</v>
      </c>
      <c r="N1111" s="61">
        <v>45785</v>
      </c>
      <c r="O1111" s="130">
        <v>45785</v>
      </c>
      <c r="P1111" s="59"/>
      <c r="Q1111" s="124" t="e">
        <f>P1111*#REF!</f>
        <v>#REF!</v>
      </c>
      <c r="R1111" s="126">
        <v>45786</v>
      </c>
      <c r="S1111" s="153">
        <f>IF(L1111="","",L1111-B1111)</f>
        <v>2</v>
      </c>
      <c r="T1111" s="153">
        <f>IF(N1111="","",N1111-L1111)</f>
        <v>0</v>
      </c>
      <c r="U1111" s="153">
        <f>IF(O1111="","",O1111-N1111)</f>
        <v>0</v>
      </c>
      <c r="V1111" s="154">
        <f>IF(O1111="","",O1111-B1111)</f>
        <v>2</v>
      </c>
      <c r="W1111" s="154">
        <f>IF(O1111="","",O1111-L1111)</f>
        <v>0</v>
      </c>
      <c r="X1111" s="154">
        <f>IF(R1111="","",R1111-B1111)</f>
        <v>3</v>
      </c>
    </row>
    <row r="1112" spans="2:24" ht="17.25" hidden="1" customHeight="1">
      <c r="B1112" s="23">
        <v>45783</v>
      </c>
      <c r="C1112" s="7">
        <v>2003665768</v>
      </c>
      <c r="D1112" s="20">
        <v>157870</v>
      </c>
      <c r="E1112" s="27" t="s">
        <v>198</v>
      </c>
      <c r="F1112" s="7" t="s">
        <v>107</v>
      </c>
      <c r="G1112" s="7" t="s">
        <v>10</v>
      </c>
      <c r="H1112" s="7" t="s">
        <v>45</v>
      </c>
      <c r="I1112" s="20" t="s">
        <v>1838</v>
      </c>
      <c r="J1112" s="20" t="s">
        <v>1502</v>
      </c>
      <c r="K1112" s="7" t="s">
        <v>119</v>
      </c>
      <c r="L1112" s="61">
        <v>45784</v>
      </c>
      <c r="M1112" s="7" t="s">
        <v>111</v>
      </c>
      <c r="N1112" s="61">
        <v>45784</v>
      </c>
      <c r="O1112" s="130">
        <v>45784</v>
      </c>
      <c r="P1112" s="59"/>
      <c r="Q1112" s="124" t="e">
        <f>P1112*#REF!</f>
        <v>#REF!</v>
      </c>
      <c r="R1112" s="126">
        <v>45784</v>
      </c>
      <c r="S1112" s="153">
        <f>IF(L1112="","",L1112-B1112)</f>
        <v>1</v>
      </c>
      <c r="T1112" s="153">
        <f>IF(N1112="","",N1112-L1112)</f>
        <v>0</v>
      </c>
      <c r="U1112" s="153">
        <f>IF(O1112="","",O1112-N1112)</f>
        <v>0</v>
      </c>
      <c r="V1112" s="154">
        <f>IF(O1112="","",O1112-B1112)</f>
        <v>1</v>
      </c>
      <c r="W1112" s="154">
        <f>IF(O1112="","",O1112-L1112)</f>
        <v>0</v>
      </c>
      <c r="X1112" s="154">
        <f>IF(R1112="","",R1112-B1112)</f>
        <v>1</v>
      </c>
    </row>
    <row r="1113" spans="2:24" ht="17.25" hidden="1" customHeight="1">
      <c r="B1113" s="23">
        <v>45783</v>
      </c>
      <c r="C1113" s="7">
        <v>2003670636</v>
      </c>
      <c r="D1113" s="20">
        <v>157892</v>
      </c>
      <c r="E1113" s="27" t="s">
        <v>123</v>
      </c>
      <c r="F1113" s="7" t="s">
        <v>107</v>
      </c>
      <c r="G1113" s="7" t="s">
        <v>10</v>
      </c>
      <c r="H1113" s="7" t="s">
        <v>45</v>
      </c>
      <c r="I1113" s="20" t="s">
        <v>1839</v>
      </c>
      <c r="J1113" s="20" t="s">
        <v>1840</v>
      </c>
      <c r="K1113" s="7" t="s">
        <v>119</v>
      </c>
      <c r="L1113" s="61">
        <v>45790</v>
      </c>
      <c r="M1113" s="7" t="s">
        <v>111</v>
      </c>
      <c r="N1113" s="61">
        <v>45790</v>
      </c>
      <c r="O1113" s="130">
        <v>45790</v>
      </c>
      <c r="P1113" s="59"/>
      <c r="Q1113" s="124" t="e">
        <f>P1113*#REF!</f>
        <v>#REF!</v>
      </c>
      <c r="R1113" s="126">
        <v>45791</v>
      </c>
      <c r="S1113" s="153">
        <f>IF(L1113="","",L1113-B1113)</f>
        <v>7</v>
      </c>
      <c r="T1113" s="153">
        <f>IF(N1113="","",N1113-L1113)</f>
        <v>0</v>
      </c>
      <c r="U1113" s="153">
        <f>IF(O1113="","",O1113-N1113)</f>
        <v>0</v>
      </c>
      <c r="V1113" s="154">
        <f>IF(O1113="","",O1113-B1113)</f>
        <v>7</v>
      </c>
      <c r="W1113" s="154">
        <f>IF(O1113="","",O1113-L1113)</f>
        <v>0</v>
      </c>
      <c r="X1113" s="154">
        <f>IF(R1113="","",R1113-B1113)</f>
        <v>8</v>
      </c>
    </row>
    <row r="1114" spans="2:24" ht="17.25" hidden="1" customHeight="1">
      <c r="B1114" s="23">
        <v>45783</v>
      </c>
      <c r="C1114" s="7">
        <v>2003670554</v>
      </c>
      <c r="D1114" s="20">
        <v>157925</v>
      </c>
      <c r="E1114" s="27" t="s">
        <v>185</v>
      </c>
      <c r="F1114" s="7" t="s">
        <v>107</v>
      </c>
      <c r="G1114" s="7" t="s">
        <v>10</v>
      </c>
      <c r="H1114" s="7" t="s">
        <v>45</v>
      </c>
      <c r="I1114" s="20" t="s">
        <v>1841</v>
      </c>
      <c r="J1114" s="20" t="s">
        <v>1842</v>
      </c>
      <c r="K1114" s="7" t="s">
        <v>119</v>
      </c>
      <c r="L1114" s="61">
        <v>45791</v>
      </c>
      <c r="M1114" s="7" t="s">
        <v>111</v>
      </c>
      <c r="N1114" s="61">
        <v>45791</v>
      </c>
      <c r="O1114" s="130">
        <v>45791</v>
      </c>
      <c r="P1114" s="59"/>
      <c r="Q1114" s="124" t="e">
        <f>P1114*#REF!</f>
        <v>#REF!</v>
      </c>
      <c r="R1114" s="126">
        <v>45792</v>
      </c>
      <c r="S1114" s="153">
        <f>IF(L1114="","",L1114-B1114)</f>
        <v>8</v>
      </c>
      <c r="T1114" s="153">
        <f>IF(N1114="","",N1114-L1114)</f>
        <v>0</v>
      </c>
      <c r="U1114" s="153">
        <f>IF(O1114="","",O1114-N1114)</f>
        <v>0</v>
      </c>
      <c r="V1114" s="154">
        <f>IF(O1114="","",O1114-B1114)</f>
        <v>8</v>
      </c>
      <c r="W1114" s="154">
        <f>IF(O1114="","",O1114-L1114)</f>
        <v>0</v>
      </c>
      <c r="X1114" s="154">
        <f>IF(R1114="","",R1114-B1114)</f>
        <v>9</v>
      </c>
    </row>
    <row r="1115" spans="2:24" ht="17.25" hidden="1" customHeight="1">
      <c r="B1115" s="23">
        <v>45783</v>
      </c>
      <c r="C1115" s="7">
        <v>2003665509</v>
      </c>
      <c r="D1115" s="20">
        <v>157941</v>
      </c>
      <c r="E1115" s="27" t="s">
        <v>408</v>
      </c>
      <c r="F1115" s="7" t="s">
        <v>107</v>
      </c>
      <c r="G1115" s="7" t="s">
        <v>10</v>
      </c>
      <c r="H1115" s="7" t="s">
        <v>45</v>
      </c>
      <c r="I1115" s="20" t="s">
        <v>1843</v>
      </c>
      <c r="J1115" s="20" t="s">
        <v>1844</v>
      </c>
      <c r="K1115" s="7" t="s">
        <v>119</v>
      </c>
      <c r="L1115" s="61">
        <v>45785</v>
      </c>
      <c r="M1115" s="7" t="s">
        <v>111</v>
      </c>
      <c r="N1115" s="61">
        <v>45785</v>
      </c>
      <c r="O1115" s="130">
        <v>45785</v>
      </c>
      <c r="P1115" s="59"/>
      <c r="Q1115" s="124" t="e">
        <f>P1115*#REF!</f>
        <v>#REF!</v>
      </c>
      <c r="R1115" s="126">
        <v>45786</v>
      </c>
      <c r="S1115" s="153">
        <f>IF(L1115="","",L1115-B1115)</f>
        <v>2</v>
      </c>
      <c r="T1115" s="153">
        <f>IF(N1115="","",N1115-L1115)</f>
        <v>0</v>
      </c>
      <c r="U1115" s="153">
        <f>IF(O1115="","",O1115-N1115)</f>
        <v>0</v>
      </c>
      <c r="V1115" s="154">
        <f>IF(O1115="","",O1115-B1115)</f>
        <v>2</v>
      </c>
      <c r="W1115" s="154">
        <f>IF(O1115="","",O1115-L1115)</f>
        <v>0</v>
      </c>
      <c r="X1115" s="154">
        <f>IF(R1115="","",R1115-B1115)</f>
        <v>3</v>
      </c>
    </row>
    <row r="1116" spans="2:24" ht="17.25" hidden="1" customHeight="1">
      <c r="B1116" s="23">
        <v>45775</v>
      </c>
      <c r="C1116" s="7">
        <v>2003666052</v>
      </c>
      <c r="D1116" s="20">
        <v>5900288</v>
      </c>
      <c r="E1116" s="27" t="s">
        <v>185</v>
      </c>
      <c r="F1116" s="7" t="s">
        <v>107</v>
      </c>
      <c r="G1116" s="7" t="s">
        <v>26</v>
      </c>
      <c r="H1116" s="7" t="s">
        <v>45</v>
      </c>
      <c r="I1116" s="20" t="s">
        <v>1845</v>
      </c>
      <c r="J1116" s="20" t="s">
        <v>1846</v>
      </c>
      <c r="K1116" s="7" t="s">
        <v>110</v>
      </c>
      <c r="L1116" s="61">
        <v>45777</v>
      </c>
      <c r="M1116" s="7" t="s">
        <v>111</v>
      </c>
      <c r="N1116" s="24">
        <v>45777</v>
      </c>
      <c r="O1116" s="58">
        <v>45777</v>
      </c>
      <c r="P1116" s="59"/>
      <c r="Q1116" s="124" t="e">
        <f>P1116*#REF!</f>
        <v>#REF!</v>
      </c>
      <c r="R1116" s="126">
        <v>45777</v>
      </c>
      <c r="S1116" s="153">
        <f>IF(L1116="","",L1116-B1116)</f>
        <v>2</v>
      </c>
      <c r="T1116" s="153">
        <f>IF(N1116="","",N1116-L1116)</f>
        <v>0</v>
      </c>
      <c r="U1116" s="153">
        <f>IF(O1116="","",O1116-N1116)</f>
        <v>0</v>
      </c>
      <c r="V1116" s="154">
        <f>IF(O1116="","",O1116-B1116)</f>
        <v>2</v>
      </c>
      <c r="W1116" s="154">
        <f>IF(O1116="","",O1116-L1116)</f>
        <v>0</v>
      </c>
      <c r="X1116" s="154">
        <f>IF(R1116="","",R1116-B1116)</f>
        <v>2</v>
      </c>
    </row>
    <row r="1117" spans="2:24" ht="17.25" hidden="1" customHeight="1">
      <c r="B1117" s="23">
        <v>45783</v>
      </c>
      <c r="C1117" s="7">
        <v>2003675074</v>
      </c>
      <c r="D1117" s="20">
        <v>157943</v>
      </c>
      <c r="E1117" s="27" t="s">
        <v>408</v>
      </c>
      <c r="F1117" s="7" t="s">
        <v>107</v>
      </c>
      <c r="G1117" s="7" t="s">
        <v>10</v>
      </c>
      <c r="H1117" s="7" t="s">
        <v>45</v>
      </c>
      <c r="I1117" s="20" t="s">
        <v>1171</v>
      </c>
      <c r="J1117" s="20" t="s">
        <v>1230</v>
      </c>
      <c r="K1117" s="7" t="s">
        <v>110</v>
      </c>
      <c r="L1117" s="61">
        <v>45785</v>
      </c>
      <c r="M1117" s="7" t="s">
        <v>111</v>
      </c>
      <c r="N1117" s="61">
        <v>45785</v>
      </c>
      <c r="O1117" s="130">
        <v>45785</v>
      </c>
      <c r="P1117" s="59"/>
      <c r="Q1117" s="124" t="e">
        <f>P1117*#REF!</f>
        <v>#REF!</v>
      </c>
      <c r="R1117" s="126">
        <v>45786</v>
      </c>
      <c r="S1117" s="153">
        <f>IF(L1117="","",L1117-B1117)</f>
        <v>2</v>
      </c>
      <c r="T1117" s="153">
        <f>IF(N1117="","",N1117-L1117)</f>
        <v>0</v>
      </c>
      <c r="U1117" s="153">
        <f>IF(O1117="","",O1117-N1117)</f>
        <v>0</v>
      </c>
      <c r="V1117" s="154">
        <f>IF(O1117="","",O1117-B1117)</f>
        <v>2</v>
      </c>
      <c r="W1117" s="154">
        <f>IF(O1117="","",O1117-L1117)</f>
        <v>0</v>
      </c>
      <c r="X1117" s="154">
        <f>IF(R1117="","",R1117-B1117)</f>
        <v>3</v>
      </c>
    </row>
    <row r="1118" spans="2:24" ht="17.25" hidden="1" customHeight="1">
      <c r="B1118" s="23">
        <v>45775</v>
      </c>
      <c r="C1118" s="7">
        <v>2003665421</v>
      </c>
      <c r="D1118" s="20">
        <v>5900310</v>
      </c>
      <c r="E1118" s="27" t="s">
        <v>185</v>
      </c>
      <c r="F1118" s="7" t="s">
        <v>107</v>
      </c>
      <c r="G1118" s="7" t="s">
        <v>10</v>
      </c>
      <c r="H1118" s="7" t="s">
        <v>45</v>
      </c>
      <c r="I1118" s="20" t="s">
        <v>1326</v>
      </c>
      <c r="J1118" s="20" t="s">
        <v>1491</v>
      </c>
      <c r="K1118" s="7" t="s">
        <v>110</v>
      </c>
      <c r="L1118" s="61">
        <v>45777</v>
      </c>
      <c r="M1118" s="7" t="s">
        <v>111</v>
      </c>
      <c r="N1118" s="61">
        <v>45777</v>
      </c>
      <c r="O1118" s="61">
        <v>45777</v>
      </c>
      <c r="P1118" s="59"/>
      <c r="Q1118" s="124" t="e">
        <f>P1118*#REF!</f>
        <v>#REF!</v>
      </c>
      <c r="R1118" s="126">
        <v>45777</v>
      </c>
      <c r="S1118" s="153">
        <f>IF(L1118="","",L1118-B1118)</f>
        <v>2</v>
      </c>
      <c r="T1118" s="153">
        <f>IF(N1118="","",N1118-L1118)</f>
        <v>0</v>
      </c>
      <c r="U1118" s="153">
        <f>IF(O1118="","",O1118-N1118)</f>
        <v>0</v>
      </c>
      <c r="V1118" s="154">
        <f>IF(O1118="","",O1118-B1118)</f>
        <v>2</v>
      </c>
      <c r="W1118" s="154">
        <f>IF(O1118="","",O1118-L1118)</f>
        <v>0</v>
      </c>
      <c r="X1118" s="154">
        <f>IF(R1118="","",R1118-B1118)</f>
        <v>2</v>
      </c>
    </row>
    <row r="1119" spans="2:24" ht="17.25" hidden="1" customHeight="1">
      <c r="B1119" s="23">
        <v>45783</v>
      </c>
      <c r="C1119" s="7">
        <v>2003665534</v>
      </c>
      <c r="D1119" s="20">
        <v>157997</v>
      </c>
      <c r="E1119" s="27" t="s">
        <v>191</v>
      </c>
      <c r="F1119" s="7" t="s">
        <v>107</v>
      </c>
      <c r="G1119" s="7" t="s">
        <v>10</v>
      </c>
      <c r="H1119" s="7" t="s">
        <v>45</v>
      </c>
      <c r="I1119" s="20" t="s">
        <v>631</v>
      </c>
      <c r="J1119" s="20" t="s">
        <v>1847</v>
      </c>
      <c r="K1119" s="7" t="s">
        <v>110</v>
      </c>
      <c r="L1119" s="61">
        <v>45789</v>
      </c>
      <c r="M1119" s="7" t="s">
        <v>111</v>
      </c>
      <c r="N1119" s="61">
        <v>45789</v>
      </c>
      <c r="O1119" s="130">
        <v>45789</v>
      </c>
      <c r="P1119" s="59"/>
      <c r="Q1119" s="124" t="e">
        <f>P1119*#REF!</f>
        <v>#REF!</v>
      </c>
      <c r="R1119" s="126">
        <v>45789</v>
      </c>
      <c r="S1119" s="153">
        <f>IF(L1119="","",L1119-B1119)</f>
        <v>6</v>
      </c>
      <c r="T1119" s="153">
        <f>IF(N1119="","",N1119-L1119)</f>
        <v>0</v>
      </c>
      <c r="U1119" s="153">
        <f>IF(O1119="","",O1119-N1119)</f>
        <v>0</v>
      </c>
      <c r="V1119" s="154">
        <f>IF(O1119="","",O1119-B1119)</f>
        <v>6</v>
      </c>
      <c r="W1119" s="154">
        <f>IF(O1119="","",O1119-L1119)</f>
        <v>0</v>
      </c>
      <c r="X1119" s="154">
        <f>IF(R1119="","",R1119-B1119)</f>
        <v>6</v>
      </c>
    </row>
    <row r="1120" spans="2:24" ht="17.25" hidden="1" customHeight="1">
      <c r="B1120" s="23">
        <v>45783</v>
      </c>
      <c r="C1120" s="7">
        <v>2003668572</v>
      </c>
      <c r="D1120" s="20">
        <v>158007</v>
      </c>
      <c r="E1120" s="27" t="s">
        <v>123</v>
      </c>
      <c r="F1120" s="7" t="s">
        <v>107</v>
      </c>
      <c r="G1120" s="7" t="s">
        <v>10</v>
      </c>
      <c r="H1120" s="7" t="s">
        <v>45</v>
      </c>
      <c r="I1120" s="20" t="s">
        <v>1848</v>
      </c>
      <c r="J1120" s="20" t="s">
        <v>1849</v>
      </c>
      <c r="K1120" s="7" t="s">
        <v>119</v>
      </c>
      <c r="L1120" s="61">
        <v>45785</v>
      </c>
      <c r="M1120" s="7" t="s">
        <v>111</v>
      </c>
      <c r="N1120" s="61">
        <v>45785</v>
      </c>
      <c r="O1120" s="23">
        <v>45786</v>
      </c>
      <c r="P1120" s="59"/>
      <c r="Q1120" s="124" t="e">
        <f>P1120*#REF!</f>
        <v>#REF!</v>
      </c>
      <c r="R1120" s="126">
        <v>45786</v>
      </c>
      <c r="S1120" s="153">
        <f>IF(L1120="","",L1120-B1120)</f>
        <v>2</v>
      </c>
      <c r="T1120" s="153">
        <f>IF(N1120="","",N1120-L1120)</f>
        <v>0</v>
      </c>
      <c r="U1120" s="153">
        <f>IF(O1120="","",O1120-N1120)</f>
        <v>1</v>
      </c>
      <c r="V1120" s="154">
        <f>IF(O1120="","",O1120-B1120)</f>
        <v>3</v>
      </c>
      <c r="W1120" s="154">
        <f>IF(O1120="","",O1120-L1120)</f>
        <v>1</v>
      </c>
      <c r="X1120" s="154">
        <f>IF(R1120="","",R1120-B1120)</f>
        <v>3</v>
      </c>
    </row>
    <row r="1121" spans="2:24" ht="17.25" hidden="1" customHeight="1">
      <c r="B1121" s="23">
        <v>45783</v>
      </c>
      <c r="C1121" s="7">
        <v>2003664820</v>
      </c>
      <c r="D1121" s="20">
        <v>158017</v>
      </c>
      <c r="E1121" s="27" t="s">
        <v>201</v>
      </c>
      <c r="F1121" s="7" t="s">
        <v>107</v>
      </c>
      <c r="G1121" s="7" t="s">
        <v>10</v>
      </c>
      <c r="H1121" s="7" t="s">
        <v>45</v>
      </c>
      <c r="I1121" s="20" t="s">
        <v>981</v>
      </c>
      <c r="J1121" s="20" t="s">
        <v>1850</v>
      </c>
      <c r="K1121" s="7" t="s">
        <v>119</v>
      </c>
      <c r="L1121" s="61">
        <v>45785</v>
      </c>
      <c r="M1121" s="7" t="s">
        <v>111</v>
      </c>
      <c r="N1121" s="61">
        <v>45785</v>
      </c>
      <c r="O1121" s="61">
        <v>45785</v>
      </c>
      <c r="P1121" s="59"/>
      <c r="Q1121" s="124" t="e">
        <f>P1121*#REF!</f>
        <v>#REF!</v>
      </c>
      <c r="R1121" s="126">
        <v>45786</v>
      </c>
      <c r="S1121" s="153">
        <f>IF(L1121="","",L1121-B1121)</f>
        <v>2</v>
      </c>
      <c r="T1121" s="153">
        <f>IF(N1121="","",N1121-L1121)</f>
        <v>0</v>
      </c>
      <c r="U1121" s="153">
        <f>IF(O1121="","",O1121-N1121)</f>
        <v>0</v>
      </c>
      <c r="V1121" s="154">
        <f>IF(O1121="","",O1121-B1121)</f>
        <v>2</v>
      </c>
      <c r="W1121" s="154">
        <f>IF(O1121="","",O1121-L1121)</f>
        <v>0</v>
      </c>
      <c r="X1121" s="154">
        <f>IF(R1121="","",R1121-B1121)</f>
        <v>3</v>
      </c>
    </row>
    <row r="1122" spans="2:24" ht="17.25" hidden="1" customHeight="1">
      <c r="B1122" s="23">
        <v>45783</v>
      </c>
      <c r="C1122" s="7">
        <v>2003677385</v>
      </c>
      <c r="D1122" s="20">
        <v>158041</v>
      </c>
      <c r="E1122" s="27" t="s">
        <v>116</v>
      </c>
      <c r="F1122" s="7" t="s">
        <v>107</v>
      </c>
      <c r="G1122" s="7" t="s">
        <v>10</v>
      </c>
      <c r="H1122" s="7" t="s">
        <v>45</v>
      </c>
      <c r="I1122" s="20" t="s">
        <v>612</v>
      </c>
      <c r="J1122" s="20" t="s">
        <v>1851</v>
      </c>
      <c r="K1122" s="7" t="s">
        <v>119</v>
      </c>
      <c r="L1122" s="61">
        <v>45791</v>
      </c>
      <c r="M1122" s="7" t="s">
        <v>111</v>
      </c>
      <c r="N1122" s="24">
        <v>45796</v>
      </c>
      <c r="O1122" s="24">
        <v>45796</v>
      </c>
      <c r="P1122" s="59"/>
      <c r="Q1122" s="124" t="e">
        <f>P1122*#REF!</f>
        <v>#REF!</v>
      </c>
      <c r="R1122" s="126">
        <v>45798</v>
      </c>
      <c r="S1122" s="153">
        <f>IF(L1122="","",L1122-B1122)</f>
        <v>8</v>
      </c>
      <c r="T1122" s="153">
        <f>IF(N1122="","",N1122-L1122)</f>
        <v>5</v>
      </c>
      <c r="U1122" s="153">
        <f>IF(O1122="","",O1122-N1122)</f>
        <v>0</v>
      </c>
      <c r="V1122" s="154">
        <f>IF(O1122="","",O1122-B1122)</f>
        <v>13</v>
      </c>
      <c r="W1122" s="154">
        <f>IF(O1122="","",O1122-L1122)</f>
        <v>5</v>
      </c>
      <c r="X1122" s="154">
        <f>IF(R1122="","",R1122-B1122)</f>
        <v>15</v>
      </c>
    </row>
    <row r="1123" spans="2:24" ht="17.25" hidden="1" customHeight="1">
      <c r="B1123" s="23">
        <v>45783</v>
      </c>
      <c r="C1123" s="7">
        <v>2003670152</v>
      </c>
      <c r="D1123" s="20">
        <v>158063</v>
      </c>
      <c r="E1123" s="27" t="s">
        <v>149</v>
      </c>
      <c r="F1123" s="7" t="s">
        <v>107</v>
      </c>
      <c r="G1123" s="7" t="s">
        <v>10</v>
      </c>
      <c r="H1123" s="7" t="s">
        <v>45</v>
      </c>
      <c r="I1123" s="20" t="s">
        <v>1852</v>
      </c>
      <c r="J1123" s="20" t="s">
        <v>1853</v>
      </c>
      <c r="K1123" s="7" t="s">
        <v>119</v>
      </c>
      <c r="L1123" s="61">
        <v>45786</v>
      </c>
      <c r="M1123" s="7" t="s">
        <v>111</v>
      </c>
      <c r="N1123" s="61">
        <v>45786</v>
      </c>
      <c r="O1123" s="61">
        <v>45786</v>
      </c>
      <c r="P1123" s="59"/>
      <c r="Q1123" s="124" t="e">
        <f>P1123*#REF!</f>
        <v>#REF!</v>
      </c>
      <c r="R1123" s="126">
        <v>45789</v>
      </c>
      <c r="S1123" s="153">
        <f>IF(L1123="","",L1123-B1123)</f>
        <v>3</v>
      </c>
      <c r="T1123" s="153">
        <f>IF(N1123="","",N1123-L1123)</f>
        <v>0</v>
      </c>
      <c r="U1123" s="153">
        <f>IF(O1123="","",O1123-N1123)</f>
        <v>0</v>
      </c>
      <c r="V1123" s="154">
        <f>IF(O1123="","",O1123-B1123)</f>
        <v>3</v>
      </c>
      <c r="W1123" s="154">
        <f>IF(O1123="","",O1123-L1123)</f>
        <v>0</v>
      </c>
      <c r="X1123" s="154">
        <f>IF(R1123="","",R1123-B1123)</f>
        <v>6</v>
      </c>
    </row>
    <row r="1124" spans="2:24" ht="17.25" hidden="1" customHeight="1">
      <c r="B1124" s="23">
        <v>45783</v>
      </c>
      <c r="C1124" s="7">
        <v>2003673825</v>
      </c>
      <c r="D1124" s="20">
        <v>158111</v>
      </c>
      <c r="E1124" s="27" t="s">
        <v>191</v>
      </c>
      <c r="F1124" s="7" t="s">
        <v>107</v>
      </c>
      <c r="G1124" s="7" t="s">
        <v>10</v>
      </c>
      <c r="H1124" s="7" t="s">
        <v>45</v>
      </c>
      <c r="I1124" s="20" t="s">
        <v>1854</v>
      </c>
      <c r="J1124" s="20" t="s">
        <v>1855</v>
      </c>
      <c r="K1124" s="7" t="s">
        <v>119</v>
      </c>
      <c r="L1124" s="61">
        <v>45793</v>
      </c>
      <c r="M1124" s="7" t="s">
        <v>111</v>
      </c>
      <c r="N1124" s="24">
        <v>45794</v>
      </c>
      <c r="O1124" s="106">
        <v>45794</v>
      </c>
      <c r="P1124" s="59"/>
      <c r="Q1124" s="124" t="e">
        <f>P1124*#REF!</f>
        <v>#REF!</v>
      </c>
      <c r="R1124" s="126">
        <v>45796</v>
      </c>
      <c r="S1124" s="153">
        <f>IF(L1124="","",L1124-B1124)</f>
        <v>10</v>
      </c>
      <c r="T1124" s="153">
        <f>IF(N1124="","",N1124-L1124)</f>
        <v>1</v>
      </c>
      <c r="U1124" s="153">
        <f>IF(O1124="","",O1124-N1124)</f>
        <v>0</v>
      </c>
      <c r="V1124" s="154">
        <f>IF(O1124="","",O1124-B1124)</f>
        <v>11</v>
      </c>
      <c r="W1124" s="154">
        <f>IF(O1124="","",O1124-L1124)</f>
        <v>1</v>
      </c>
      <c r="X1124" s="154">
        <f>IF(R1124="","",R1124-B1124)</f>
        <v>13</v>
      </c>
    </row>
    <row r="1125" spans="2:24" ht="17.25" hidden="1" customHeight="1">
      <c r="B1125" s="23">
        <v>45784</v>
      </c>
      <c r="C1125" s="7">
        <v>2003679130</v>
      </c>
      <c r="D1125" s="20">
        <v>158554</v>
      </c>
      <c r="E1125" s="27" t="s">
        <v>129</v>
      </c>
      <c r="F1125" s="7" t="s">
        <v>107</v>
      </c>
      <c r="G1125" s="7" t="s">
        <v>10</v>
      </c>
      <c r="H1125" s="7" t="s">
        <v>45</v>
      </c>
      <c r="I1125" s="20" t="s">
        <v>1856</v>
      </c>
      <c r="J1125" s="20" t="s">
        <v>1857</v>
      </c>
      <c r="K1125" s="7" t="s">
        <v>110</v>
      </c>
      <c r="L1125" s="61">
        <v>45797</v>
      </c>
      <c r="M1125" s="7" t="s">
        <v>111</v>
      </c>
      <c r="N1125" s="61">
        <v>45797</v>
      </c>
      <c r="O1125" s="130">
        <v>45797</v>
      </c>
      <c r="P1125" s="59"/>
      <c r="Q1125" s="124" t="e">
        <f>P1125*#REF!</f>
        <v>#REF!</v>
      </c>
      <c r="R1125" s="126">
        <v>45798</v>
      </c>
      <c r="S1125" s="153">
        <f>IF(L1125="","",L1125-B1125)</f>
        <v>13</v>
      </c>
      <c r="T1125" s="153">
        <f>IF(N1125="","",N1125-L1125)</f>
        <v>0</v>
      </c>
      <c r="U1125" s="153">
        <f>IF(O1125="","",O1125-N1125)</f>
        <v>0</v>
      </c>
      <c r="V1125" s="154">
        <f>IF(O1125="","",O1125-B1125)</f>
        <v>13</v>
      </c>
      <c r="W1125" s="154">
        <f>IF(O1125="","",O1125-L1125)</f>
        <v>0</v>
      </c>
      <c r="X1125" s="154">
        <f>IF(R1125="","",R1125-B1125)</f>
        <v>14</v>
      </c>
    </row>
    <row r="1126" spans="2:24" ht="17.25" hidden="1" customHeight="1">
      <c r="B1126" s="23">
        <v>45784</v>
      </c>
      <c r="C1126" s="7">
        <v>2003674918</v>
      </c>
      <c r="D1126" s="20">
        <v>158721</v>
      </c>
      <c r="E1126" s="27" t="s">
        <v>116</v>
      </c>
      <c r="F1126" s="7" t="s">
        <v>107</v>
      </c>
      <c r="G1126" s="7" t="s">
        <v>10</v>
      </c>
      <c r="H1126" s="7" t="s">
        <v>45</v>
      </c>
      <c r="I1126" s="20" t="s">
        <v>1858</v>
      </c>
      <c r="J1126" s="20" t="s">
        <v>1756</v>
      </c>
      <c r="K1126" s="7" t="s">
        <v>119</v>
      </c>
      <c r="L1126" s="61">
        <v>45786</v>
      </c>
      <c r="M1126" s="7" t="s">
        <v>111</v>
      </c>
      <c r="N1126" s="24">
        <v>45791</v>
      </c>
      <c r="O1126" s="24">
        <v>45791</v>
      </c>
      <c r="P1126" s="59"/>
      <c r="Q1126" s="124" t="e">
        <f>P1126*#REF!</f>
        <v>#REF!</v>
      </c>
      <c r="R1126" s="126">
        <v>45792</v>
      </c>
      <c r="S1126" s="153">
        <f>IF(L1126="","",L1126-B1126)</f>
        <v>2</v>
      </c>
      <c r="T1126" s="153">
        <f>IF(N1126="","",N1126-L1126)</f>
        <v>5</v>
      </c>
      <c r="U1126" s="153">
        <f>IF(O1126="","",O1126-N1126)</f>
        <v>0</v>
      </c>
      <c r="V1126" s="154">
        <f>IF(O1126="","",O1126-B1126)</f>
        <v>7</v>
      </c>
      <c r="W1126" s="154">
        <f>IF(O1126="","",O1126-L1126)</f>
        <v>5</v>
      </c>
      <c r="X1126" s="154">
        <f>IF(R1126="","",R1126-B1126)</f>
        <v>8</v>
      </c>
    </row>
    <row r="1127" spans="2:24" ht="17.25" hidden="1" customHeight="1">
      <c r="B1127" s="23">
        <v>45784</v>
      </c>
      <c r="C1127" s="7">
        <v>2003665022</v>
      </c>
      <c r="D1127" s="20">
        <v>158824</v>
      </c>
      <c r="E1127" s="27" t="s">
        <v>129</v>
      </c>
      <c r="F1127" s="7" t="s">
        <v>107</v>
      </c>
      <c r="G1127" s="7" t="s">
        <v>10</v>
      </c>
      <c r="H1127" s="7" t="s">
        <v>45</v>
      </c>
      <c r="I1127" s="20" t="s">
        <v>1859</v>
      </c>
      <c r="J1127" s="20" t="s">
        <v>1425</v>
      </c>
      <c r="K1127" s="7" t="s">
        <v>110</v>
      </c>
      <c r="L1127" s="61">
        <v>45786</v>
      </c>
      <c r="M1127" s="7" t="s">
        <v>111</v>
      </c>
      <c r="N1127" s="24">
        <v>45787</v>
      </c>
      <c r="O1127" s="24">
        <v>45791</v>
      </c>
      <c r="P1127" s="59"/>
      <c r="Q1127" s="124" t="e">
        <f>P1127*#REF!</f>
        <v>#REF!</v>
      </c>
      <c r="R1127" s="126">
        <v>45792</v>
      </c>
      <c r="S1127" s="153">
        <f>IF(L1127="","",L1127-B1127)</f>
        <v>2</v>
      </c>
      <c r="T1127" s="153">
        <f>IF(N1127="","",N1127-L1127)</f>
        <v>1</v>
      </c>
      <c r="U1127" s="153">
        <f>IF(O1127="","",O1127-N1127)</f>
        <v>4</v>
      </c>
      <c r="V1127" s="154">
        <f>IF(O1127="","",O1127-B1127)</f>
        <v>7</v>
      </c>
      <c r="W1127" s="154">
        <f>IF(O1127="","",O1127-L1127)</f>
        <v>5</v>
      </c>
      <c r="X1127" s="154">
        <f>IF(R1127="","",R1127-B1127)</f>
        <v>8</v>
      </c>
    </row>
    <row r="1128" spans="2:24" ht="17.25" hidden="1" customHeight="1">
      <c r="B1128" s="23">
        <v>45775</v>
      </c>
      <c r="C1128" s="7">
        <v>2003666365</v>
      </c>
      <c r="D1128" s="20">
        <v>5900465</v>
      </c>
      <c r="E1128" s="27" t="s">
        <v>185</v>
      </c>
      <c r="F1128" s="7" t="s">
        <v>107</v>
      </c>
      <c r="G1128" s="7" t="s">
        <v>10</v>
      </c>
      <c r="H1128" s="7" t="s">
        <v>45</v>
      </c>
      <c r="I1128" s="20" t="s">
        <v>536</v>
      </c>
      <c r="J1128" s="20" t="s">
        <v>1860</v>
      </c>
      <c r="K1128" s="7" t="s">
        <v>110</v>
      </c>
      <c r="L1128" s="61">
        <v>45777</v>
      </c>
      <c r="M1128" s="7" t="s">
        <v>111</v>
      </c>
      <c r="N1128" s="61">
        <v>45777</v>
      </c>
      <c r="O1128" s="61">
        <v>45777</v>
      </c>
      <c r="P1128" s="59"/>
      <c r="Q1128" s="124" t="e">
        <f>P1128*#REF!</f>
        <v>#REF!</v>
      </c>
      <c r="R1128" s="126">
        <v>45777</v>
      </c>
      <c r="S1128" s="153">
        <f>IF(L1128="","",L1128-B1128)</f>
        <v>2</v>
      </c>
      <c r="T1128" s="153">
        <f>IF(N1128="","",N1128-L1128)</f>
        <v>0</v>
      </c>
      <c r="U1128" s="153">
        <f>IF(O1128="","",O1128-N1128)</f>
        <v>0</v>
      </c>
      <c r="V1128" s="154">
        <f>IF(O1128="","",O1128-B1128)</f>
        <v>2</v>
      </c>
      <c r="W1128" s="154">
        <f>IF(O1128="","",O1128-L1128)</f>
        <v>0</v>
      </c>
      <c r="X1128" s="154">
        <f>IF(R1128="","",R1128-B1128)</f>
        <v>2</v>
      </c>
    </row>
    <row r="1129" spans="2:24" ht="17.25" hidden="1" customHeight="1">
      <c r="B1129" s="23">
        <v>45784</v>
      </c>
      <c r="C1129" s="7">
        <v>2003665231</v>
      </c>
      <c r="D1129" s="20">
        <v>158915</v>
      </c>
      <c r="E1129" s="27" t="s">
        <v>566</v>
      </c>
      <c r="F1129" s="7" t="s">
        <v>107</v>
      </c>
      <c r="G1129" s="7" t="s">
        <v>10</v>
      </c>
      <c r="H1129" s="7" t="s">
        <v>45</v>
      </c>
      <c r="I1129" s="20" t="s">
        <v>226</v>
      </c>
      <c r="J1129" s="20" t="s">
        <v>764</v>
      </c>
      <c r="K1129" s="7" t="s">
        <v>119</v>
      </c>
      <c r="L1129" s="61">
        <v>45791</v>
      </c>
      <c r="M1129" s="7" t="s">
        <v>111</v>
      </c>
      <c r="N1129" s="61">
        <v>45791</v>
      </c>
      <c r="O1129" s="61">
        <v>45791</v>
      </c>
      <c r="P1129" s="59"/>
      <c r="Q1129" s="124" t="e">
        <f>P1129*#REF!</f>
        <v>#REF!</v>
      </c>
      <c r="R1129" s="126">
        <v>45792</v>
      </c>
      <c r="S1129" s="153">
        <f>IF(L1129="","",L1129-B1129)</f>
        <v>7</v>
      </c>
      <c r="T1129" s="153">
        <f>IF(N1129="","",N1129-L1129)</f>
        <v>0</v>
      </c>
      <c r="U1129" s="153">
        <f>IF(O1129="","",O1129-N1129)</f>
        <v>0</v>
      </c>
      <c r="V1129" s="154">
        <f>IF(O1129="","",O1129-B1129)</f>
        <v>7</v>
      </c>
      <c r="W1129" s="154">
        <f>IF(O1129="","",O1129-L1129)</f>
        <v>0</v>
      </c>
      <c r="X1129" s="154">
        <f>IF(R1129="","",R1129-B1129)</f>
        <v>8</v>
      </c>
    </row>
    <row r="1130" spans="2:24" ht="17.25" hidden="1" customHeight="1">
      <c r="B1130" s="23">
        <v>45784</v>
      </c>
      <c r="C1130" s="7">
        <v>2003653081</v>
      </c>
      <c r="D1130" s="20">
        <v>158993</v>
      </c>
      <c r="E1130" s="27" t="s">
        <v>116</v>
      </c>
      <c r="F1130" s="7" t="s">
        <v>107</v>
      </c>
      <c r="G1130" s="7" t="s">
        <v>10</v>
      </c>
      <c r="H1130" s="7" t="s">
        <v>45</v>
      </c>
      <c r="I1130" s="20" t="s">
        <v>1861</v>
      </c>
      <c r="J1130" s="20" t="s">
        <v>1862</v>
      </c>
      <c r="K1130" s="7" t="s">
        <v>119</v>
      </c>
      <c r="L1130" s="61">
        <v>45786</v>
      </c>
      <c r="M1130" s="7" t="s">
        <v>111</v>
      </c>
      <c r="N1130" s="24">
        <v>45805</v>
      </c>
      <c r="O1130" s="106">
        <v>45805</v>
      </c>
      <c r="P1130" s="59"/>
      <c r="Q1130" s="124" t="e">
        <f>P1130*#REF!</f>
        <v>#REF!</v>
      </c>
      <c r="R1130" s="126">
        <v>45807</v>
      </c>
      <c r="S1130" s="153">
        <f>IF(L1130="","",L1130-B1130)</f>
        <v>2</v>
      </c>
      <c r="T1130" s="153">
        <f>IF(N1130="","",N1130-L1130)</f>
        <v>19</v>
      </c>
      <c r="U1130" s="153">
        <f>IF(O1130="","",O1130-N1130)</f>
        <v>0</v>
      </c>
      <c r="V1130" s="154">
        <f>IF(O1130="","",O1130-B1130)</f>
        <v>21</v>
      </c>
      <c r="W1130" s="154">
        <f>IF(O1130="","",O1130-L1130)</f>
        <v>19</v>
      </c>
      <c r="X1130" s="154">
        <f>IF(R1130="","",R1130-B1130)</f>
        <v>23</v>
      </c>
    </row>
    <row r="1131" spans="2:24" ht="17.25" hidden="1" customHeight="1">
      <c r="B1131" s="23">
        <v>45784</v>
      </c>
      <c r="C1131" s="7">
        <v>2003673211</v>
      </c>
      <c r="D1131" s="20">
        <v>159116</v>
      </c>
      <c r="E1131" s="27" t="s">
        <v>123</v>
      </c>
      <c r="F1131" s="7" t="s">
        <v>107</v>
      </c>
      <c r="G1131" s="7" t="s">
        <v>26</v>
      </c>
      <c r="H1131" s="7" t="s">
        <v>45</v>
      </c>
      <c r="I1131" s="20" t="s">
        <v>1863</v>
      </c>
      <c r="J1131" s="20" t="s">
        <v>1864</v>
      </c>
      <c r="K1131" s="7" t="s">
        <v>119</v>
      </c>
      <c r="L1131" s="61">
        <v>45792</v>
      </c>
      <c r="M1131" s="7" t="s">
        <v>111</v>
      </c>
      <c r="N1131" s="24">
        <v>45796</v>
      </c>
      <c r="O1131" s="58">
        <v>45796</v>
      </c>
      <c r="P1131" s="59"/>
      <c r="Q1131" s="124" t="e">
        <f>P1131*#REF!</f>
        <v>#REF!</v>
      </c>
      <c r="R1131" s="126">
        <v>45796</v>
      </c>
      <c r="S1131" s="153">
        <f>IF(L1131="","",L1131-B1131)</f>
        <v>8</v>
      </c>
      <c r="T1131" s="153">
        <f>IF(N1131="","",N1131-L1131)</f>
        <v>4</v>
      </c>
      <c r="U1131" s="153">
        <f>IF(O1131="","",O1131-N1131)</f>
        <v>0</v>
      </c>
      <c r="V1131" s="154">
        <f>IF(O1131="","",O1131-B1131)</f>
        <v>12</v>
      </c>
      <c r="W1131" s="154">
        <f>IF(O1131="","",O1131-L1131)</f>
        <v>4</v>
      </c>
      <c r="X1131" s="154">
        <f>IF(R1131="","",R1131-B1131)</f>
        <v>12</v>
      </c>
    </row>
    <row r="1132" spans="2:24" ht="17.25" hidden="1" customHeight="1">
      <c r="B1132" s="23">
        <v>45775</v>
      </c>
      <c r="C1132" s="7">
        <v>2003665721</v>
      </c>
      <c r="D1132" s="20">
        <v>5900487</v>
      </c>
      <c r="E1132" s="27" t="s">
        <v>201</v>
      </c>
      <c r="F1132" s="7" t="s">
        <v>107</v>
      </c>
      <c r="G1132" s="7" t="s">
        <v>10</v>
      </c>
      <c r="H1132" s="7" t="s">
        <v>45</v>
      </c>
      <c r="I1132" s="20" t="s">
        <v>1865</v>
      </c>
      <c r="J1132" s="20" t="s">
        <v>1866</v>
      </c>
      <c r="K1132" s="7" t="s">
        <v>110</v>
      </c>
      <c r="L1132" s="61">
        <v>45777</v>
      </c>
      <c r="M1132" s="7" t="s">
        <v>111</v>
      </c>
      <c r="N1132" s="61">
        <v>45777</v>
      </c>
      <c r="O1132" s="61">
        <v>45777</v>
      </c>
      <c r="P1132" s="59"/>
      <c r="Q1132" s="124" t="e">
        <f>P1132*#REF!</f>
        <v>#REF!</v>
      </c>
      <c r="R1132" s="126">
        <v>45777</v>
      </c>
      <c r="S1132" s="153">
        <f>IF(L1132="","",L1132-B1132)</f>
        <v>2</v>
      </c>
      <c r="T1132" s="153">
        <f>IF(N1132="","",N1132-L1132)</f>
        <v>0</v>
      </c>
      <c r="U1132" s="153">
        <f>IF(O1132="","",O1132-N1132)</f>
        <v>0</v>
      </c>
      <c r="V1132" s="154">
        <f>IF(O1132="","",O1132-B1132)</f>
        <v>2</v>
      </c>
      <c r="W1132" s="154">
        <f>IF(O1132="","",O1132-L1132)</f>
        <v>0</v>
      </c>
      <c r="X1132" s="154">
        <f>IF(R1132="","",R1132-B1132)</f>
        <v>2</v>
      </c>
    </row>
    <row r="1133" spans="2:24" ht="17.25" hidden="1" customHeight="1">
      <c r="B1133" s="23">
        <v>45784</v>
      </c>
      <c r="C1133" s="7">
        <v>2003665535</v>
      </c>
      <c r="D1133" s="20">
        <v>159135</v>
      </c>
      <c r="E1133" s="27" t="s">
        <v>191</v>
      </c>
      <c r="F1133" s="7" t="s">
        <v>107</v>
      </c>
      <c r="G1133" s="7" t="s">
        <v>18</v>
      </c>
      <c r="H1133" s="7" t="s">
        <v>45</v>
      </c>
      <c r="I1133" s="20" t="s">
        <v>1867</v>
      </c>
      <c r="J1133" s="20" t="s">
        <v>1868</v>
      </c>
      <c r="K1133" s="7" t="s">
        <v>110</v>
      </c>
      <c r="L1133" s="61">
        <v>45792</v>
      </c>
      <c r="M1133" s="7" t="s">
        <v>111</v>
      </c>
      <c r="N1133" s="61">
        <v>45792</v>
      </c>
      <c r="O1133" s="130">
        <v>45792</v>
      </c>
      <c r="P1133" s="59"/>
      <c r="Q1133" s="124" t="e">
        <f>P1133*#REF!</f>
        <v>#REF!</v>
      </c>
      <c r="R1133" s="126">
        <v>45796</v>
      </c>
      <c r="S1133" s="153">
        <f>IF(L1133="","",L1133-B1133)</f>
        <v>8</v>
      </c>
      <c r="T1133" s="153">
        <f>IF(N1133="","",N1133-L1133)</f>
        <v>0</v>
      </c>
      <c r="U1133" s="153">
        <f>IF(O1133="","",O1133-N1133)</f>
        <v>0</v>
      </c>
      <c r="V1133" s="154">
        <f>IF(O1133="","",O1133-B1133)</f>
        <v>8</v>
      </c>
      <c r="W1133" s="154">
        <f>IF(O1133="","",O1133-L1133)</f>
        <v>0</v>
      </c>
      <c r="X1133" s="154">
        <f>IF(R1133="","",R1133-B1133)</f>
        <v>12</v>
      </c>
    </row>
    <row r="1134" spans="2:24" ht="17.25" hidden="1" customHeight="1">
      <c r="B1134" s="23">
        <v>45784</v>
      </c>
      <c r="C1134" s="7">
        <v>2003681168</v>
      </c>
      <c r="D1134" s="20">
        <v>159151</v>
      </c>
      <c r="E1134" s="27" t="s">
        <v>198</v>
      </c>
      <c r="F1134" s="7" t="s">
        <v>107</v>
      </c>
      <c r="G1134" s="7" t="s">
        <v>26</v>
      </c>
      <c r="H1134" s="7" t="s">
        <v>45</v>
      </c>
      <c r="I1134" s="20" t="s">
        <v>1863</v>
      </c>
      <c r="J1134" s="20" t="s">
        <v>1869</v>
      </c>
      <c r="K1134" s="7" t="s">
        <v>119</v>
      </c>
      <c r="L1134" s="61">
        <v>45790</v>
      </c>
      <c r="M1134" s="7" t="s">
        <v>111</v>
      </c>
      <c r="N1134" s="24">
        <v>45790</v>
      </c>
      <c r="O1134" s="23">
        <v>45790</v>
      </c>
      <c r="P1134" s="59"/>
      <c r="Q1134" s="124" t="e">
        <f>P1134*#REF!</f>
        <v>#REF!</v>
      </c>
      <c r="R1134" s="126">
        <v>45790</v>
      </c>
      <c r="S1134" s="153">
        <f>IF(L1134="","",L1134-B1134)</f>
        <v>6</v>
      </c>
      <c r="T1134" s="153">
        <f>IF(N1134="","",N1134-L1134)</f>
        <v>0</v>
      </c>
      <c r="U1134" s="153">
        <f>IF(O1134="","",O1134-N1134)</f>
        <v>0</v>
      </c>
      <c r="V1134" s="154">
        <f>IF(O1134="","",O1134-B1134)</f>
        <v>6</v>
      </c>
      <c r="W1134" s="154">
        <f>IF(O1134="","",O1134-L1134)</f>
        <v>0</v>
      </c>
      <c r="X1134" s="154">
        <f>IF(R1134="","",R1134-B1134)</f>
        <v>6</v>
      </c>
    </row>
    <row r="1135" spans="2:24" ht="17.25" hidden="1" customHeight="1">
      <c r="B1135" s="23">
        <v>45785</v>
      </c>
      <c r="C1135" s="7">
        <v>2003665027</v>
      </c>
      <c r="D1135" s="20">
        <v>159632</v>
      </c>
      <c r="E1135" s="27" t="s">
        <v>408</v>
      </c>
      <c r="F1135" s="7" t="s">
        <v>107</v>
      </c>
      <c r="G1135" s="7" t="s">
        <v>10</v>
      </c>
      <c r="H1135" s="7" t="s">
        <v>45</v>
      </c>
      <c r="I1135" s="20" t="s">
        <v>206</v>
      </c>
      <c r="J1135" s="20" t="s">
        <v>1870</v>
      </c>
      <c r="K1135" s="7" t="s">
        <v>119</v>
      </c>
      <c r="L1135" s="61">
        <v>45796</v>
      </c>
      <c r="M1135" s="7" t="s">
        <v>111</v>
      </c>
      <c r="N1135" s="61">
        <v>45797</v>
      </c>
      <c r="O1135" s="130">
        <v>45797</v>
      </c>
      <c r="P1135" s="59"/>
      <c r="Q1135" s="124" t="e">
        <f>P1135*#REF!</f>
        <v>#REF!</v>
      </c>
      <c r="R1135" s="126">
        <v>45798</v>
      </c>
      <c r="S1135" s="153">
        <f>IF(L1135="","",L1135-B1135)</f>
        <v>11</v>
      </c>
      <c r="T1135" s="153">
        <f>IF(N1135="","",N1135-L1135)</f>
        <v>1</v>
      </c>
      <c r="U1135" s="153">
        <f>IF(O1135="","",O1135-N1135)</f>
        <v>0</v>
      </c>
      <c r="V1135" s="154">
        <f>IF(O1135="","",O1135-B1135)</f>
        <v>12</v>
      </c>
      <c r="W1135" s="154">
        <f>IF(O1135="","",O1135-L1135)</f>
        <v>1</v>
      </c>
      <c r="X1135" s="154">
        <f>IF(R1135="","",R1135-B1135)</f>
        <v>13</v>
      </c>
    </row>
    <row r="1136" spans="2:24" ht="17.25" hidden="1" customHeight="1">
      <c r="B1136" s="23">
        <v>45785</v>
      </c>
      <c r="C1136" s="7">
        <v>2003677186</v>
      </c>
      <c r="D1136" s="20">
        <v>159664</v>
      </c>
      <c r="E1136" s="27" t="s">
        <v>622</v>
      </c>
      <c r="F1136" s="7" t="s">
        <v>107</v>
      </c>
      <c r="G1136" s="7" t="s">
        <v>10</v>
      </c>
      <c r="H1136" s="7" t="s">
        <v>45</v>
      </c>
      <c r="I1136" s="20" t="s">
        <v>1871</v>
      </c>
      <c r="J1136" s="20" t="s">
        <v>1872</v>
      </c>
      <c r="K1136" s="7" t="s">
        <v>122</v>
      </c>
      <c r="L1136" s="61">
        <v>45786</v>
      </c>
      <c r="M1136" s="7" t="s">
        <v>111</v>
      </c>
      <c r="N1136" s="24">
        <v>45789</v>
      </c>
      <c r="O1136" s="23">
        <v>45793</v>
      </c>
      <c r="P1136" s="59"/>
      <c r="Q1136" s="124" t="e">
        <f>P1136*#REF!</f>
        <v>#REF!</v>
      </c>
      <c r="R1136" s="126">
        <v>45795</v>
      </c>
      <c r="S1136" s="153">
        <f>IF(L1136="","",L1136-B1136)</f>
        <v>1</v>
      </c>
      <c r="T1136" s="153">
        <f>IF(N1136="","",N1136-L1136)</f>
        <v>3</v>
      </c>
      <c r="U1136" s="153">
        <f>IF(O1136="","",O1136-N1136)</f>
        <v>4</v>
      </c>
      <c r="V1136" s="154">
        <f>IF(O1136="","",O1136-B1136)</f>
        <v>8</v>
      </c>
      <c r="W1136" s="154">
        <f>IF(O1136="","",O1136-L1136)</f>
        <v>7</v>
      </c>
      <c r="X1136" s="154">
        <f>IF(R1136="","",R1136-B1136)</f>
        <v>10</v>
      </c>
    </row>
    <row r="1137" spans="2:24" ht="17.25" hidden="1" customHeight="1">
      <c r="B1137" s="23">
        <v>45785</v>
      </c>
      <c r="C1137" s="7">
        <v>2003665733</v>
      </c>
      <c r="D1137" s="20">
        <v>159720</v>
      </c>
      <c r="E1137" s="27" t="s">
        <v>230</v>
      </c>
      <c r="F1137" s="7" t="s">
        <v>107</v>
      </c>
      <c r="G1137" s="7" t="s">
        <v>10</v>
      </c>
      <c r="H1137" s="7" t="s">
        <v>45</v>
      </c>
      <c r="I1137" s="20" t="s">
        <v>1856</v>
      </c>
      <c r="J1137" s="20" t="s">
        <v>1873</v>
      </c>
      <c r="K1137" s="7" t="s">
        <v>110</v>
      </c>
      <c r="L1137" s="61">
        <v>45789</v>
      </c>
      <c r="M1137" s="7" t="s">
        <v>111</v>
      </c>
      <c r="N1137" s="61">
        <v>45789</v>
      </c>
      <c r="O1137" s="61">
        <v>45789</v>
      </c>
      <c r="P1137" s="59"/>
      <c r="Q1137" s="124" t="e">
        <f>P1137*#REF!</f>
        <v>#REF!</v>
      </c>
      <c r="R1137" s="126">
        <v>45789</v>
      </c>
      <c r="S1137" s="153">
        <f>IF(L1137="","",L1137-B1137)</f>
        <v>4</v>
      </c>
      <c r="T1137" s="153">
        <f>IF(N1137="","",N1137-L1137)</f>
        <v>0</v>
      </c>
      <c r="U1137" s="153">
        <f>IF(O1137="","",O1137-N1137)</f>
        <v>0</v>
      </c>
      <c r="V1137" s="154">
        <f>IF(O1137="","",O1137-B1137)</f>
        <v>4</v>
      </c>
      <c r="W1137" s="154">
        <f>IF(O1137="","",O1137-L1137)</f>
        <v>0</v>
      </c>
      <c r="X1137" s="154">
        <f>IF(R1137="","",R1137-B1137)</f>
        <v>4</v>
      </c>
    </row>
    <row r="1138" spans="2:24" ht="17.25" hidden="1" customHeight="1">
      <c r="B1138" s="23">
        <v>45775</v>
      </c>
      <c r="C1138" s="7">
        <v>2003667186</v>
      </c>
      <c r="D1138" s="20">
        <v>5900553</v>
      </c>
      <c r="E1138" s="27" t="s">
        <v>1225</v>
      </c>
      <c r="F1138" s="7" t="s">
        <v>107</v>
      </c>
      <c r="G1138" s="7" t="s">
        <v>10</v>
      </c>
      <c r="H1138" s="7" t="s">
        <v>45</v>
      </c>
      <c r="I1138" s="20" t="s">
        <v>1616</v>
      </c>
      <c r="J1138" s="20" t="s">
        <v>1874</v>
      </c>
      <c r="K1138" s="7" t="s">
        <v>110</v>
      </c>
      <c r="L1138" s="61">
        <v>45776</v>
      </c>
      <c r="M1138" s="7" t="s">
        <v>111</v>
      </c>
      <c r="N1138" s="61">
        <v>45776</v>
      </c>
      <c r="O1138" s="61">
        <v>45776</v>
      </c>
      <c r="P1138" s="59"/>
      <c r="Q1138" s="124" t="e">
        <f>P1138*#REF!</f>
        <v>#REF!</v>
      </c>
      <c r="R1138" s="126">
        <v>45777</v>
      </c>
      <c r="S1138" s="153">
        <f>IF(L1138="","",L1138-B1138)</f>
        <v>1</v>
      </c>
      <c r="T1138" s="153">
        <f>IF(N1138="","",N1138-L1138)</f>
        <v>0</v>
      </c>
      <c r="U1138" s="153">
        <f>IF(O1138="","",O1138-N1138)</f>
        <v>0</v>
      </c>
      <c r="V1138" s="154">
        <f>IF(O1138="","",O1138-B1138)</f>
        <v>1</v>
      </c>
      <c r="W1138" s="154">
        <f>IF(O1138="","",O1138-L1138)</f>
        <v>0</v>
      </c>
      <c r="X1138" s="154">
        <f>IF(R1138="","",R1138-B1138)</f>
        <v>2</v>
      </c>
    </row>
    <row r="1139" spans="2:24" ht="17.25" hidden="1" customHeight="1">
      <c r="B1139" s="23">
        <v>45785</v>
      </c>
      <c r="C1139" s="7">
        <v>2003667839</v>
      </c>
      <c r="D1139" s="20">
        <v>160092</v>
      </c>
      <c r="E1139" s="27" t="s">
        <v>185</v>
      </c>
      <c r="F1139" s="7" t="s">
        <v>107</v>
      </c>
      <c r="G1139" s="7" t="s">
        <v>26</v>
      </c>
      <c r="H1139" s="7" t="s">
        <v>45</v>
      </c>
      <c r="I1139" s="20" t="s">
        <v>1875</v>
      </c>
      <c r="J1139" s="20" t="s">
        <v>1876</v>
      </c>
      <c r="K1139" s="7" t="s">
        <v>110</v>
      </c>
      <c r="L1139" s="61">
        <v>45786</v>
      </c>
      <c r="M1139" s="7" t="s">
        <v>111</v>
      </c>
      <c r="N1139" s="24">
        <v>45789</v>
      </c>
      <c r="O1139" s="23">
        <v>45789</v>
      </c>
      <c r="P1139" s="59"/>
      <c r="Q1139" s="124" t="e">
        <f>P1139*#REF!</f>
        <v>#REF!</v>
      </c>
      <c r="R1139" s="126">
        <v>45789</v>
      </c>
      <c r="S1139" s="153">
        <f>IF(L1139="","",L1139-B1139)</f>
        <v>1</v>
      </c>
      <c r="T1139" s="153">
        <f>IF(N1139="","",N1139-L1139)</f>
        <v>3</v>
      </c>
      <c r="U1139" s="153">
        <f>IF(O1139="","",O1139-N1139)</f>
        <v>0</v>
      </c>
      <c r="V1139" s="154">
        <f>IF(O1139="","",O1139-B1139)</f>
        <v>4</v>
      </c>
      <c r="W1139" s="154">
        <f>IF(O1139="","",O1139-L1139)</f>
        <v>3</v>
      </c>
      <c r="X1139" s="154">
        <f>IF(R1139="","",R1139-B1139)</f>
        <v>4</v>
      </c>
    </row>
    <row r="1140" spans="2:24" ht="17.25" hidden="1" customHeight="1">
      <c r="B1140" s="23">
        <v>45775</v>
      </c>
      <c r="C1140" s="7">
        <v>2003651139</v>
      </c>
      <c r="D1140" s="20">
        <v>5900614</v>
      </c>
      <c r="E1140" s="27" t="s">
        <v>177</v>
      </c>
      <c r="F1140" s="7" t="s">
        <v>113</v>
      </c>
      <c r="G1140" s="7" t="s">
        <v>70</v>
      </c>
      <c r="H1140" s="7" t="s">
        <v>47</v>
      </c>
      <c r="I1140" s="20" t="s">
        <v>1877</v>
      </c>
      <c r="J1140" s="20" t="s">
        <v>1878</v>
      </c>
      <c r="K1140" s="7" t="s">
        <v>160</v>
      </c>
      <c r="P1140" s="59"/>
      <c r="Q1140" s="124" t="e">
        <f>P1140*#REF!</f>
        <v>#REF!</v>
      </c>
      <c r="R1140" s="126">
        <v>45776</v>
      </c>
      <c r="S1140" s="153" t="str">
        <f>IF(L1140="","",L1140-B1140)</f>
        <v/>
      </c>
      <c r="T1140" s="153" t="str">
        <f>IF(N1140="","",N1140-L1140)</f>
        <v/>
      </c>
      <c r="U1140" s="153" t="str">
        <f>IF(O1140="","",O1140-N1140)</f>
        <v/>
      </c>
      <c r="V1140" s="154" t="str">
        <f>IF(O1140="","",O1140-B1140)</f>
        <v/>
      </c>
      <c r="W1140" s="154" t="str">
        <f>IF(O1140="","",O1140-L1140)</f>
        <v/>
      </c>
      <c r="X1140" s="154">
        <f>IF(R1140="","",R1140-B1140)</f>
        <v>1</v>
      </c>
    </row>
    <row r="1141" spans="2:24" ht="17.25" hidden="1" customHeight="1">
      <c r="B1141" s="23">
        <v>45785</v>
      </c>
      <c r="C1141" s="7">
        <v>2003680632</v>
      </c>
      <c r="D1141" s="20">
        <v>160167</v>
      </c>
      <c r="E1141" s="27" t="s">
        <v>949</v>
      </c>
      <c r="F1141" s="7" t="s">
        <v>107</v>
      </c>
      <c r="G1141" s="7" t="s">
        <v>10</v>
      </c>
      <c r="H1141" s="7" t="s">
        <v>45</v>
      </c>
      <c r="I1141" s="20" t="s">
        <v>1879</v>
      </c>
      <c r="J1141" s="20" t="s">
        <v>1880</v>
      </c>
      <c r="K1141" s="7" t="s">
        <v>119</v>
      </c>
      <c r="L1141" s="61">
        <v>45791</v>
      </c>
      <c r="M1141" s="7" t="s">
        <v>111</v>
      </c>
      <c r="N1141" s="24">
        <v>45796</v>
      </c>
      <c r="O1141" s="23">
        <v>45799</v>
      </c>
      <c r="P1141" s="59"/>
      <c r="Q1141" s="124" t="e">
        <f>P1141*#REF!</f>
        <v>#REF!</v>
      </c>
      <c r="R1141" s="126">
        <v>45802</v>
      </c>
      <c r="S1141" s="153">
        <f>IF(L1141="","",L1141-B1141)</f>
        <v>6</v>
      </c>
      <c r="T1141" s="153">
        <f>IF(N1141="","",N1141-L1141)</f>
        <v>5</v>
      </c>
      <c r="U1141" s="153">
        <f>IF(O1141="","",O1141-N1141)</f>
        <v>3</v>
      </c>
      <c r="V1141" s="154">
        <f>IF(O1141="","",O1141-B1141)</f>
        <v>14</v>
      </c>
      <c r="W1141" s="154">
        <f>IF(O1141="","",O1141-L1141)</f>
        <v>8</v>
      </c>
      <c r="X1141" s="154">
        <f>IF(R1141="","",R1141-B1141)</f>
        <v>17</v>
      </c>
    </row>
    <row r="1142" spans="2:24" ht="17.25" hidden="1" customHeight="1">
      <c r="B1142" s="23">
        <v>45785</v>
      </c>
      <c r="C1142" s="7">
        <v>2003682593</v>
      </c>
      <c r="D1142" s="20">
        <v>160190</v>
      </c>
      <c r="E1142" s="27" t="s">
        <v>149</v>
      </c>
      <c r="F1142" s="7" t="s">
        <v>107</v>
      </c>
      <c r="G1142" s="7" t="s">
        <v>10</v>
      </c>
      <c r="H1142" s="7" t="s">
        <v>45</v>
      </c>
      <c r="I1142" s="20" t="s">
        <v>141</v>
      </c>
      <c r="J1142" s="20" t="s">
        <v>1881</v>
      </c>
      <c r="K1142" s="7" t="s">
        <v>119</v>
      </c>
      <c r="L1142" s="61">
        <v>45789</v>
      </c>
      <c r="M1142" s="7" t="s">
        <v>111</v>
      </c>
      <c r="N1142" s="24">
        <v>45790</v>
      </c>
      <c r="O1142" s="24">
        <v>45791</v>
      </c>
      <c r="P1142" s="59"/>
      <c r="Q1142" s="124" t="e">
        <f>P1142*#REF!</f>
        <v>#REF!</v>
      </c>
      <c r="R1142" s="126">
        <v>45792</v>
      </c>
      <c r="S1142" s="153">
        <f>IF(L1142="","",L1142-B1142)</f>
        <v>4</v>
      </c>
      <c r="T1142" s="153">
        <f>IF(N1142="","",N1142-L1142)</f>
        <v>1</v>
      </c>
      <c r="U1142" s="153">
        <f>IF(O1142="","",O1142-N1142)</f>
        <v>1</v>
      </c>
      <c r="V1142" s="154">
        <f>IF(O1142="","",O1142-B1142)</f>
        <v>6</v>
      </c>
      <c r="W1142" s="154">
        <f>IF(O1142="","",O1142-L1142)</f>
        <v>2</v>
      </c>
      <c r="X1142" s="154">
        <f>IF(R1142="","",R1142-B1142)</f>
        <v>7</v>
      </c>
    </row>
    <row r="1143" spans="2:24" ht="17.25" hidden="1" customHeight="1">
      <c r="B1143" s="23">
        <v>45785</v>
      </c>
      <c r="C1143" s="7">
        <v>2003672640</v>
      </c>
      <c r="D1143" s="20">
        <v>160211</v>
      </c>
      <c r="E1143" s="27" t="s">
        <v>198</v>
      </c>
      <c r="F1143" s="7" t="s">
        <v>107</v>
      </c>
      <c r="G1143" s="7" t="s">
        <v>10</v>
      </c>
      <c r="H1143" s="7" t="s">
        <v>45</v>
      </c>
      <c r="I1143" s="20" t="s">
        <v>1882</v>
      </c>
      <c r="J1143" s="20" t="s">
        <v>1883</v>
      </c>
      <c r="K1143" s="7" t="s">
        <v>119</v>
      </c>
      <c r="L1143" s="61">
        <v>45792</v>
      </c>
      <c r="M1143" s="7" t="s">
        <v>111</v>
      </c>
      <c r="N1143" s="61">
        <v>45792</v>
      </c>
      <c r="O1143" s="130">
        <v>45792</v>
      </c>
      <c r="P1143" s="59"/>
      <c r="Q1143" s="124" t="e">
        <f>P1143*#REF!</f>
        <v>#REF!</v>
      </c>
      <c r="R1143" s="126">
        <v>45796</v>
      </c>
      <c r="S1143" s="153">
        <f>IF(L1143="","",L1143-B1143)</f>
        <v>7</v>
      </c>
      <c r="T1143" s="153">
        <f>IF(N1143="","",N1143-L1143)</f>
        <v>0</v>
      </c>
      <c r="U1143" s="153">
        <f>IF(O1143="","",O1143-N1143)</f>
        <v>0</v>
      </c>
      <c r="V1143" s="154">
        <f>IF(O1143="","",O1143-B1143)</f>
        <v>7</v>
      </c>
      <c r="W1143" s="154">
        <f>IF(O1143="","",O1143-L1143)</f>
        <v>0</v>
      </c>
      <c r="X1143" s="154">
        <f>IF(R1143="","",R1143-B1143)</f>
        <v>11</v>
      </c>
    </row>
    <row r="1144" spans="2:24" ht="17.25" hidden="1" customHeight="1">
      <c r="B1144" s="23">
        <v>45775</v>
      </c>
      <c r="C1144" s="7">
        <v>2003673975</v>
      </c>
      <c r="D1144" s="20">
        <v>152819</v>
      </c>
      <c r="E1144" s="27" t="s">
        <v>201</v>
      </c>
      <c r="F1144" s="7" t="s">
        <v>107</v>
      </c>
      <c r="G1144" s="7" t="s">
        <v>10</v>
      </c>
      <c r="H1144" s="7" t="s">
        <v>45</v>
      </c>
      <c r="I1144" s="20" t="s">
        <v>1211</v>
      </c>
      <c r="J1144" s="20" t="s">
        <v>1212</v>
      </c>
      <c r="K1144" s="7" t="s">
        <v>110</v>
      </c>
      <c r="L1144" s="61">
        <v>45777</v>
      </c>
      <c r="M1144" s="7" t="s">
        <v>111</v>
      </c>
      <c r="N1144" s="61">
        <v>45777</v>
      </c>
      <c r="O1144" s="61">
        <v>45777</v>
      </c>
      <c r="P1144" s="59"/>
      <c r="Q1144" s="124" t="e">
        <f>P1144*#REF!</f>
        <v>#REF!</v>
      </c>
      <c r="R1144" s="126">
        <v>45777</v>
      </c>
      <c r="S1144" s="153">
        <f>IF(L1144="","",L1144-B1144)</f>
        <v>2</v>
      </c>
      <c r="T1144" s="153">
        <f>IF(N1144="","",N1144-L1144)</f>
        <v>0</v>
      </c>
      <c r="U1144" s="153">
        <f>IF(O1144="","",O1144-N1144)</f>
        <v>0</v>
      </c>
      <c r="V1144" s="154">
        <f>IF(O1144="","",O1144-B1144)</f>
        <v>2</v>
      </c>
      <c r="W1144" s="154">
        <f>IF(O1144="","",O1144-L1144)</f>
        <v>0</v>
      </c>
      <c r="X1144" s="154">
        <f>IF(R1144="","",R1144-B1144)</f>
        <v>2</v>
      </c>
    </row>
    <row r="1145" spans="2:24" ht="17.25" hidden="1" customHeight="1">
      <c r="B1145" s="23">
        <v>45775</v>
      </c>
      <c r="C1145" s="7">
        <v>2003664978</v>
      </c>
      <c r="D1145" s="20">
        <v>152753</v>
      </c>
      <c r="E1145" s="27" t="s">
        <v>185</v>
      </c>
      <c r="F1145" s="7" t="s">
        <v>107</v>
      </c>
      <c r="G1145" s="7" t="s">
        <v>26</v>
      </c>
      <c r="H1145" s="7" t="s">
        <v>45</v>
      </c>
      <c r="I1145" s="20" t="s">
        <v>247</v>
      </c>
      <c r="J1145" s="20" t="s">
        <v>1884</v>
      </c>
      <c r="K1145" s="7" t="s">
        <v>110</v>
      </c>
      <c r="L1145" s="61">
        <v>45776</v>
      </c>
      <c r="M1145" s="7" t="s">
        <v>111</v>
      </c>
      <c r="N1145" s="24">
        <v>45777</v>
      </c>
      <c r="O1145" s="58">
        <v>45777</v>
      </c>
      <c r="P1145" s="59"/>
      <c r="Q1145" s="124" t="e">
        <f>P1145*#REF!</f>
        <v>#REF!</v>
      </c>
      <c r="R1145" s="126">
        <v>45777</v>
      </c>
      <c r="S1145" s="153">
        <f>IF(L1145="","",L1145-B1145)</f>
        <v>1</v>
      </c>
      <c r="T1145" s="153">
        <f>IF(N1145="","",N1145-L1145)</f>
        <v>1</v>
      </c>
      <c r="U1145" s="153">
        <f>IF(O1145="","",O1145-N1145)</f>
        <v>0</v>
      </c>
      <c r="V1145" s="154">
        <f>IF(O1145="","",O1145-B1145)</f>
        <v>2</v>
      </c>
      <c r="W1145" s="154">
        <f>IF(O1145="","",O1145-L1145)</f>
        <v>1</v>
      </c>
      <c r="X1145" s="154">
        <f>IF(R1145="","",R1145-B1145)</f>
        <v>2</v>
      </c>
    </row>
    <row r="1146" spans="2:24" ht="17.25" hidden="1" customHeight="1">
      <c r="B1146" s="23">
        <v>45785</v>
      </c>
      <c r="C1146" s="7">
        <v>2003680449</v>
      </c>
      <c r="D1146" s="20">
        <v>160284</v>
      </c>
      <c r="E1146" s="27" t="s">
        <v>106</v>
      </c>
      <c r="F1146" s="7" t="s">
        <v>107</v>
      </c>
      <c r="G1146" s="7" t="s">
        <v>10</v>
      </c>
      <c r="H1146" s="7" t="s">
        <v>45</v>
      </c>
      <c r="I1146" s="20" t="s">
        <v>1885</v>
      </c>
      <c r="J1146" s="20" t="s">
        <v>1886</v>
      </c>
      <c r="K1146" s="7" t="s">
        <v>119</v>
      </c>
      <c r="L1146" s="61">
        <v>45789</v>
      </c>
      <c r="M1146" s="7" t="s">
        <v>111</v>
      </c>
      <c r="N1146" s="24">
        <v>45790</v>
      </c>
      <c r="O1146" s="24">
        <v>45790</v>
      </c>
      <c r="P1146" s="59"/>
      <c r="Q1146" s="124" t="e">
        <f>P1146*#REF!</f>
        <v>#REF!</v>
      </c>
      <c r="R1146" s="126">
        <v>45790</v>
      </c>
      <c r="S1146" s="153">
        <f>IF(L1146="","",L1146-B1146)</f>
        <v>4</v>
      </c>
      <c r="T1146" s="153">
        <f>IF(N1146="","",N1146-L1146)</f>
        <v>1</v>
      </c>
      <c r="U1146" s="153">
        <f>IF(O1146="","",O1146-N1146)</f>
        <v>0</v>
      </c>
      <c r="V1146" s="154">
        <f>IF(O1146="","",O1146-B1146)</f>
        <v>5</v>
      </c>
      <c r="W1146" s="154">
        <f>IF(O1146="","",O1146-L1146)</f>
        <v>1</v>
      </c>
      <c r="X1146" s="154">
        <f>IF(R1146="","",R1146-B1146)</f>
        <v>5</v>
      </c>
    </row>
    <row r="1147" spans="2:24" ht="17.25" hidden="1" customHeight="1">
      <c r="B1147" s="23">
        <v>45785</v>
      </c>
      <c r="C1147" s="7">
        <v>2003682896</v>
      </c>
      <c r="D1147" s="20">
        <v>160332</v>
      </c>
      <c r="E1147" s="27" t="s">
        <v>123</v>
      </c>
      <c r="F1147" s="7" t="s">
        <v>107</v>
      </c>
      <c r="G1147" s="7" t="s">
        <v>10</v>
      </c>
      <c r="H1147" s="7" t="s">
        <v>45</v>
      </c>
      <c r="I1147" s="20" t="s">
        <v>767</v>
      </c>
      <c r="J1147" s="20" t="s">
        <v>1887</v>
      </c>
      <c r="K1147" s="7" t="s">
        <v>119</v>
      </c>
      <c r="L1147" s="61">
        <v>45790</v>
      </c>
      <c r="M1147" s="7" t="s">
        <v>111</v>
      </c>
      <c r="N1147" s="24">
        <v>45791</v>
      </c>
      <c r="O1147" s="58">
        <v>45793</v>
      </c>
      <c r="P1147" s="59"/>
      <c r="Q1147" s="124" t="e">
        <f>P1147*#REF!</f>
        <v>#REF!</v>
      </c>
      <c r="R1147" s="126">
        <v>45795</v>
      </c>
      <c r="S1147" s="153">
        <f>IF(L1147="","",L1147-B1147)</f>
        <v>5</v>
      </c>
      <c r="T1147" s="153">
        <f>IF(N1147="","",N1147-L1147)</f>
        <v>1</v>
      </c>
      <c r="U1147" s="153">
        <f>IF(O1147="","",O1147-N1147)</f>
        <v>2</v>
      </c>
      <c r="V1147" s="154">
        <f>IF(O1147="","",O1147-B1147)</f>
        <v>8</v>
      </c>
      <c r="W1147" s="154">
        <f>IF(O1147="","",O1147-L1147)</f>
        <v>3</v>
      </c>
      <c r="X1147" s="154">
        <f>IF(R1147="","",R1147-B1147)</f>
        <v>10</v>
      </c>
    </row>
    <row r="1148" spans="2:24" ht="17.25" hidden="1" customHeight="1">
      <c r="B1148" s="23">
        <v>45785</v>
      </c>
      <c r="C1148" s="7">
        <v>2003682129</v>
      </c>
      <c r="D1148" s="20">
        <v>160384</v>
      </c>
      <c r="E1148" s="27" t="s">
        <v>138</v>
      </c>
      <c r="F1148" s="7" t="s">
        <v>107</v>
      </c>
      <c r="G1148" s="7" t="s">
        <v>10</v>
      </c>
      <c r="H1148" s="7" t="s">
        <v>45</v>
      </c>
      <c r="I1148" s="20" t="s">
        <v>1888</v>
      </c>
      <c r="J1148" s="20" t="s">
        <v>1889</v>
      </c>
      <c r="K1148" s="7" t="s">
        <v>119</v>
      </c>
      <c r="L1148" s="61">
        <v>45790</v>
      </c>
      <c r="M1148" s="7" t="s">
        <v>111</v>
      </c>
      <c r="N1148" s="61">
        <v>45790</v>
      </c>
      <c r="O1148" s="58">
        <v>45791</v>
      </c>
      <c r="P1148" s="59"/>
      <c r="Q1148" s="124" t="e">
        <f>P1148*#REF!</f>
        <v>#REF!</v>
      </c>
      <c r="R1148" s="126">
        <v>45792</v>
      </c>
      <c r="S1148" s="153">
        <f>IF(L1148="","",L1148-B1148)</f>
        <v>5</v>
      </c>
      <c r="T1148" s="153">
        <f>IF(N1148="","",N1148-L1148)</f>
        <v>0</v>
      </c>
      <c r="U1148" s="153">
        <f>IF(O1148="","",O1148-N1148)</f>
        <v>1</v>
      </c>
      <c r="V1148" s="154">
        <f>IF(O1148="","",O1148-B1148)</f>
        <v>6</v>
      </c>
      <c r="W1148" s="154">
        <f>IF(O1148="","",O1148-L1148)</f>
        <v>1</v>
      </c>
      <c r="X1148" s="154">
        <f>IF(R1148="","",R1148-B1148)</f>
        <v>7</v>
      </c>
    </row>
    <row r="1149" spans="2:24" ht="17.25" hidden="1" customHeight="1">
      <c r="B1149" s="23">
        <v>45775</v>
      </c>
      <c r="C1149" s="7">
        <v>2003667119</v>
      </c>
      <c r="D1149" s="20">
        <v>152711</v>
      </c>
      <c r="E1149" s="27" t="s">
        <v>230</v>
      </c>
      <c r="F1149" s="7" t="s">
        <v>107</v>
      </c>
      <c r="G1149" s="7" t="s">
        <v>10</v>
      </c>
      <c r="H1149" s="7" t="s">
        <v>45</v>
      </c>
      <c r="I1149" s="20" t="s">
        <v>1890</v>
      </c>
      <c r="J1149" s="20" t="s">
        <v>1891</v>
      </c>
      <c r="K1149" s="7" t="s">
        <v>110</v>
      </c>
      <c r="L1149" s="61">
        <v>45777</v>
      </c>
      <c r="M1149" s="7" t="s">
        <v>111</v>
      </c>
      <c r="N1149" s="61">
        <v>45777</v>
      </c>
      <c r="O1149" s="61">
        <v>45777</v>
      </c>
      <c r="P1149" s="59"/>
      <c r="Q1149" s="124" t="e">
        <f>P1149*#REF!</f>
        <v>#REF!</v>
      </c>
      <c r="R1149" s="126">
        <v>45777</v>
      </c>
      <c r="S1149" s="153">
        <f>IF(L1149="","",L1149-B1149)</f>
        <v>2</v>
      </c>
      <c r="T1149" s="153">
        <f>IF(N1149="","",N1149-L1149)</f>
        <v>0</v>
      </c>
      <c r="U1149" s="153">
        <f>IF(O1149="","",O1149-N1149)</f>
        <v>0</v>
      </c>
      <c r="V1149" s="154">
        <f>IF(O1149="","",O1149-B1149)</f>
        <v>2</v>
      </c>
      <c r="W1149" s="154">
        <f>IF(O1149="","",O1149-L1149)</f>
        <v>0</v>
      </c>
      <c r="X1149" s="154">
        <f>IF(R1149="","",R1149-B1149)</f>
        <v>2</v>
      </c>
    </row>
    <row r="1150" spans="2:24" ht="17.25" hidden="1" customHeight="1">
      <c r="B1150" s="23">
        <v>45775</v>
      </c>
      <c r="C1150" s="7">
        <v>2003671577</v>
      </c>
      <c r="D1150" s="20">
        <v>152603</v>
      </c>
      <c r="E1150" s="27" t="s">
        <v>129</v>
      </c>
      <c r="F1150" s="7" t="s">
        <v>113</v>
      </c>
      <c r="G1150" s="7" t="s">
        <v>70</v>
      </c>
      <c r="H1150" s="7" t="s">
        <v>47</v>
      </c>
      <c r="I1150" s="20" t="s">
        <v>1892</v>
      </c>
      <c r="J1150" s="20" t="s">
        <v>1893</v>
      </c>
      <c r="K1150" s="7" t="s">
        <v>160</v>
      </c>
      <c r="P1150" s="59"/>
      <c r="Q1150" s="124" t="e">
        <f>P1150*#REF!</f>
        <v>#REF!</v>
      </c>
      <c r="R1150" s="126">
        <v>45777</v>
      </c>
      <c r="S1150" s="153" t="str">
        <f>IF(L1150="","",L1150-B1150)</f>
        <v/>
      </c>
      <c r="T1150" s="153" t="str">
        <f>IF(N1150="","",N1150-L1150)</f>
        <v/>
      </c>
      <c r="U1150" s="153" t="str">
        <f>IF(O1150="","",O1150-N1150)</f>
        <v/>
      </c>
      <c r="V1150" s="154" t="str">
        <f>IF(O1150="","",O1150-B1150)</f>
        <v/>
      </c>
      <c r="W1150" s="154" t="str">
        <f>IF(O1150="","",O1150-L1150)</f>
        <v/>
      </c>
      <c r="X1150" s="154">
        <f>IF(R1150="","",R1150-B1150)</f>
        <v>2</v>
      </c>
    </row>
    <row r="1151" spans="2:24" ht="17.25" hidden="1" customHeight="1">
      <c r="B1151" s="23">
        <v>45775</v>
      </c>
      <c r="C1151" s="7">
        <v>2003665686</v>
      </c>
      <c r="D1151" s="20">
        <v>152596</v>
      </c>
      <c r="E1151" s="27" t="s">
        <v>123</v>
      </c>
      <c r="F1151" s="7" t="s">
        <v>107</v>
      </c>
      <c r="G1151" s="7" t="s">
        <v>10</v>
      </c>
      <c r="H1151" s="7" t="s">
        <v>45</v>
      </c>
      <c r="I1151" s="20" t="s">
        <v>398</v>
      </c>
      <c r="J1151" s="20" t="s">
        <v>1529</v>
      </c>
      <c r="K1151" s="7" t="s">
        <v>119</v>
      </c>
      <c r="L1151" s="61">
        <v>45776</v>
      </c>
      <c r="M1151" s="7" t="s">
        <v>111</v>
      </c>
      <c r="N1151" s="61">
        <v>45776</v>
      </c>
      <c r="O1151" s="61">
        <v>45776</v>
      </c>
      <c r="P1151" s="59"/>
      <c r="Q1151" s="124" t="e">
        <f>P1151*#REF!</f>
        <v>#REF!</v>
      </c>
      <c r="R1151" s="126">
        <v>45777</v>
      </c>
      <c r="S1151" s="153">
        <f>IF(L1151="","",L1151-B1151)</f>
        <v>1</v>
      </c>
      <c r="T1151" s="153">
        <f>IF(N1151="","",N1151-L1151)</f>
        <v>0</v>
      </c>
      <c r="U1151" s="153">
        <f>IF(O1151="","",O1151-N1151)</f>
        <v>0</v>
      </c>
      <c r="V1151" s="154">
        <f>IF(O1151="","",O1151-B1151)</f>
        <v>1</v>
      </c>
      <c r="W1151" s="154">
        <f>IF(O1151="","",O1151-L1151)</f>
        <v>0</v>
      </c>
      <c r="X1151" s="154">
        <f>IF(R1151="","",R1151-B1151)</f>
        <v>2</v>
      </c>
    </row>
    <row r="1152" spans="2:24" ht="17.25" hidden="1" customHeight="1">
      <c r="B1152" s="23">
        <v>45775</v>
      </c>
      <c r="C1152" s="7">
        <v>2003673031</v>
      </c>
      <c r="D1152" s="20">
        <v>152487</v>
      </c>
      <c r="E1152" s="27" t="s">
        <v>185</v>
      </c>
      <c r="F1152" s="7" t="s">
        <v>107</v>
      </c>
      <c r="G1152" s="7" t="s">
        <v>10</v>
      </c>
      <c r="H1152" s="7" t="s">
        <v>45</v>
      </c>
      <c r="I1152" s="20" t="s">
        <v>732</v>
      </c>
      <c r="J1152" s="20" t="s">
        <v>1894</v>
      </c>
      <c r="K1152" s="7" t="s">
        <v>110</v>
      </c>
      <c r="L1152" s="61">
        <v>45776</v>
      </c>
      <c r="M1152" s="7" t="s">
        <v>111</v>
      </c>
      <c r="N1152" s="61">
        <v>45776</v>
      </c>
      <c r="O1152" s="61">
        <v>45776</v>
      </c>
      <c r="P1152" s="59"/>
      <c r="Q1152" s="124" t="e">
        <f>P1152*#REF!</f>
        <v>#REF!</v>
      </c>
      <c r="R1152" s="126">
        <v>45777</v>
      </c>
      <c r="S1152" s="153">
        <f>IF(L1152="","",L1152-B1152)</f>
        <v>1</v>
      </c>
      <c r="T1152" s="153">
        <f>IF(N1152="","",N1152-L1152)</f>
        <v>0</v>
      </c>
      <c r="U1152" s="153">
        <f>IF(O1152="","",O1152-N1152)</f>
        <v>0</v>
      </c>
      <c r="V1152" s="154">
        <f>IF(O1152="","",O1152-B1152)</f>
        <v>1</v>
      </c>
      <c r="W1152" s="154">
        <f>IF(O1152="","",O1152-L1152)</f>
        <v>0</v>
      </c>
      <c r="X1152" s="154">
        <f>IF(R1152="","",R1152-B1152)</f>
        <v>2</v>
      </c>
    </row>
    <row r="1153" spans="2:24" ht="17.25" hidden="1" customHeight="1">
      <c r="B1153" s="23">
        <v>45775</v>
      </c>
      <c r="C1153" s="7">
        <v>2003666214</v>
      </c>
      <c r="D1153" s="20">
        <v>152465</v>
      </c>
      <c r="E1153" s="27" t="s">
        <v>949</v>
      </c>
      <c r="F1153" s="7" t="s">
        <v>107</v>
      </c>
      <c r="G1153" s="7" t="s">
        <v>26</v>
      </c>
      <c r="H1153" s="7" t="s">
        <v>45</v>
      </c>
      <c r="I1153" s="20" t="s">
        <v>1843</v>
      </c>
      <c r="J1153" s="20" t="s">
        <v>1895</v>
      </c>
      <c r="K1153" s="7" t="s">
        <v>110</v>
      </c>
      <c r="L1153" s="61">
        <v>45776</v>
      </c>
      <c r="M1153" s="7" t="s">
        <v>111</v>
      </c>
      <c r="N1153" s="24">
        <v>45777</v>
      </c>
      <c r="O1153" s="58">
        <v>45777</v>
      </c>
      <c r="P1153" s="59"/>
      <c r="Q1153" s="124" t="e">
        <f>P1153*#REF!</f>
        <v>#REF!</v>
      </c>
      <c r="R1153" s="126">
        <v>45777</v>
      </c>
      <c r="S1153" s="153">
        <f>IF(L1153="","",L1153-B1153)</f>
        <v>1</v>
      </c>
      <c r="T1153" s="153">
        <f>IF(N1153="","",N1153-L1153)</f>
        <v>1</v>
      </c>
      <c r="U1153" s="153">
        <f>IF(O1153="","",O1153-N1153)</f>
        <v>0</v>
      </c>
      <c r="V1153" s="154">
        <f>IF(O1153="","",O1153-B1153)</f>
        <v>2</v>
      </c>
      <c r="W1153" s="154">
        <f>IF(O1153="","",O1153-L1153)</f>
        <v>1</v>
      </c>
      <c r="X1153" s="154">
        <f>IF(R1153="","",R1153-B1153)</f>
        <v>2</v>
      </c>
    </row>
    <row r="1154" spans="2:24" ht="17.25" hidden="1" customHeight="1">
      <c r="B1154" s="23">
        <v>45785</v>
      </c>
      <c r="C1154" s="7">
        <v>2003675818</v>
      </c>
      <c r="D1154" s="20">
        <v>160457</v>
      </c>
      <c r="E1154" s="27" t="s">
        <v>129</v>
      </c>
      <c r="F1154" s="7" t="s">
        <v>107</v>
      </c>
      <c r="G1154" s="7" t="s">
        <v>30</v>
      </c>
      <c r="H1154" s="7" t="s">
        <v>45</v>
      </c>
      <c r="I1154" s="20" t="s">
        <v>1896</v>
      </c>
      <c r="J1154" s="20" t="s">
        <v>1897</v>
      </c>
      <c r="K1154" s="7" t="s">
        <v>111</v>
      </c>
      <c r="L1154" s="61">
        <v>45786</v>
      </c>
      <c r="M1154" s="7" t="s">
        <v>111</v>
      </c>
      <c r="N1154" s="61">
        <v>45786</v>
      </c>
      <c r="O1154" s="23" t="s">
        <v>1898</v>
      </c>
      <c r="P1154" s="59"/>
      <c r="Q1154" s="124" t="e">
        <f>P1154*#REF!</f>
        <v>#REF!</v>
      </c>
      <c r="R1154" s="126">
        <v>45798</v>
      </c>
      <c r="S1154" s="153">
        <f>IF(L1154="","",L1154-B1154)</f>
        <v>1</v>
      </c>
      <c r="T1154" s="153">
        <f>IF(N1154="","",N1154-L1154)</f>
        <v>0</v>
      </c>
      <c r="U1154" s="153">
        <f>IF(O1154="","",O1154-N1154)</f>
        <v>11</v>
      </c>
      <c r="V1154" s="154">
        <f>IF(O1154="","",O1154-B1154)</f>
        <v>12</v>
      </c>
      <c r="W1154" s="154">
        <f>IF(O1154="","",O1154-L1154)</f>
        <v>11</v>
      </c>
      <c r="X1154" s="154">
        <f>IF(R1154="","",R1154-B1154)</f>
        <v>13</v>
      </c>
    </row>
    <row r="1155" spans="2:24" ht="17.25" hidden="1" customHeight="1">
      <c r="B1155" s="23">
        <v>45785</v>
      </c>
      <c r="C1155" s="7">
        <v>2003678961</v>
      </c>
      <c r="D1155" s="20">
        <v>160495</v>
      </c>
      <c r="E1155" s="27" t="s">
        <v>191</v>
      </c>
      <c r="F1155" s="7" t="s">
        <v>107</v>
      </c>
      <c r="G1155" s="7" t="s">
        <v>10</v>
      </c>
      <c r="H1155" s="7" t="s">
        <v>45</v>
      </c>
      <c r="I1155" s="20" t="s">
        <v>1899</v>
      </c>
      <c r="J1155" s="20" t="s">
        <v>1900</v>
      </c>
      <c r="K1155" s="7" t="s">
        <v>110</v>
      </c>
      <c r="L1155" s="61">
        <v>45790</v>
      </c>
      <c r="M1155" s="7" t="s">
        <v>111</v>
      </c>
      <c r="N1155" s="61">
        <v>45790</v>
      </c>
      <c r="O1155" s="58">
        <v>45791</v>
      </c>
      <c r="P1155" s="59"/>
      <c r="Q1155" s="124" t="e">
        <f>P1155*#REF!</f>
        <v>#REF!</v>
      </c>
      <c r="R1155" s="126">
        <v>45792</v>
      </c>
      <c r="S1155" s="153">
        <f>IF(L1155="","",L1155-B1155)</f>
        <v>5</v>
      </c>
      <c r="T1155" s="153">
        <f>IF(N1155="","",N1155-L1155)</f>
        <v>0</v>
      </c>
      <c r="U1155" s="153">
        <f>IF(O1155="","",O1155-N1155)</f>
        <v>1</v>
      </c>
      <c r="V1155" s="154">
        <f>IF(O1155="","",O1155-B1155)</f>
        <v>6</v>
      </c>
      <c r="W1155" s="154">
        <f>IF(O1155="","",O1155-L1155)</f>
        <v>1</v>
      </c>
      <c r="X1155" s="154">
        <f>IF(R1155="","",R1155-B1155)</f>
        <v>7</v>
      </c>
    </row>
    <row r="1156" spans="2:24" ht="17.25" hidden="1" customHeight="1">
      <c r="B1156" s="23">
        <v>45785</v>
      </c>
      <c r="C1156" s="7">
        <v>2003682270</v>
      </c>
      <c r="D1156" s="20">
        <v>160501</v>
      </c>
      <c r="E1156" s="27" t="s">
        <v>198</v>
      </c>
      <c r="F1156" s="7" t="s">
        <v>107</v>
      </c>
      <c r="G1156" s="7" t="s">
        <v>18</v>
      </c>
      <c r="H1156" s="7" t="s">
        <v>45</v>
      </c>
      <c r="I1156" s="20" t="s">
        <v>1901</v>
      </c>
      <c r="J1156" s="20" t="s">
        <v>1902</v>
      </c>
      <c r="K1156" s="7" t="s">
        <v>110</v>
      </c>
      <c r="L1156" s="61">
        <v>45789</v>
      </c>
      <c r="M1156" s="7" t="s">
        <v>111</v>
      </c>
      <c r="N1156" s="61">
        <v>45789</v>
      </c>
      <c r="O1156" s="130">
        <v>45789</v>
      </c>
      <c r="P1156" s="59"/>
      <c r="Q1156" s="124" t="e">
        <f>P1156*#REF!</f>
        <v>#REF!</v>
      </c>
      <c r="R1156" s="126">
        <v>45789</v>
      </c>
      <c r="S1156" s="153">
        <f>IF(L1156="","",L1156-B1156)</f>
        <v>4</v>
      </c>
      <c r="T1156" s="153">
        <f>IF(N1156="","",N1156-L1156)</f>
        <v>0</v>
      </c>
      <c r="U1156" s="153">
        <f>IF(O1156="","",O1156-N1156)</f>
        <v>0</v>
      </c>
      <c r="V1156" s="154">
        <f>IF(O1156="","",O1156-B1156)</f>
        <v>4</v>
      </c>
      <c r="W1156" s="154">
        <f>IF(O1156="","",O1156-L1156)</f>
        <v>0</v>
      </c>
      <c r="X1156" s="154">
        <f>IF(R1156="","",R1156-B1156)</f>
        <v>4</v>
      </c>
    </row>
    <row r="1157" spans="2:24" ht="17.25" hidden="1" customHeight="1">
      <c r="B1157" s="23">
        <v>45785</v>
      </c>
      <c r="C1157" s="7">
        <v>2003681137</v>
      </c>
      <c r="D1157" s="20">
        <v>160606</v>
      </c>
      <c r="E1157" s="27" t="s">
        <v>258</v>
      </c>
      <c r="F1157" s="7" t="s">
        <v>107</v>
      </c>
      <c r="G1157" s="7" t="s">
        <v>10</v>
      </c>
      <c r="H1157" s="7" t="s">
        <v>45</v>
      </c>
      <c r="I1157" s="20" t="s">
        <v>612</v>
      </c>
      <c r="J1157" s="20" t="s">
        <v>1903</v>
      </c>
      <c r="K1157" s="7" t="s">
        <v>110</v>
      </c>
      <c r="L1157" s="61">
        <v>45791</v>
      </c>
      <c r="M1157" s="7" t="s">
        <v>111</v>
      </c>
      <c r="N1157" s="61">
        <v>45791</v>
      </c>
      <c r="O1157" s="61">
        <v>45791</v>
      </c>
      <c r="P1157" s="59"/>
      <c r="Q1157" s="124" t="e">
        <f>P1157*#REF!</f>
        <v>#REF!</v>
      </c>
      <c r="R1157" s="126">
        <v>45792</v>
      </c>
      <c r="S1157" s="153">
        <f>IF(L1157="","",L1157-B1157)</f>
        <v>6</v>
      </c>
      <c r="T1157" s="153">
        <f>IF(N1157="","",N1157-L1157)</f>
        <v>0</v>
      </c>
      <c r="U1157" s="153">
        <f>IF(O1157="","",O1157-N1157)</f>
        <v>0</v>
      </c>
      <c r="V1157" s="154">
        <f>IF(O1157="","",O1157-B1157)</f>
        <v>6</v>
      </c>
      <c r="W1157" s="154">
        <f>IF(O1157="","",O1157-L1157)</f>
        <v>0</v>
      </c>
      <c r="X1157" s="154">
        <f>IF(R1157="","",R1157-B1157)</f>
        <v>7</v>
      </c>
    </row>
    <row r="1158" spans="2:24" ht="17.25" hidden="1" customHeight="1">
      <c r="B1158" s="23">
        <v>45786</v>
      </c>
      <c r="C1158" s="7">
        <v>2003664747</v>
      </c>
      <c r="D1158" s="20">
        <v>160756</v>
      </c>
      <c r="E1158" s="27" t="s">
        <v>191</v>
      </c>
      <c r="F1158" s="7" t="s">
        <v>107</v>
      </c>
      <c r="G1158" s="7" t="s">
        <v>21</v>
      </c>
      <c r="H1158" s="7" t="s">
        <v>45</v>
      </c>
      <c r="I1158" s="20" t="s">
        <v>627</v>
      </c>
      <c r="J1158" s="20" t="s">
        <v>1398</v>
      </c>
      <c r="K1158" s="7" t="s">
        <v>110</v>
      </c>
      <c r="L1158" s="61">
        <v>45789</v>
      </c>
      <c r="M1158" s="7" t="s">
        <v>111</v>
      </c>
      <c r="N1158" s="61">
        <v>45789</v>
      </c>
      <c r="O1158" s="61">
        <v>45789</v>
      </c>
      <c r="P1158" s="59"/>
      <c r="Q1158" s="124" t="e">
        <f>P1158*#REF!</f>
        <v>#REF!</v>
      </c>
      <c r="R1158" s="126">
        <v>45789</v>
      </c>
      <c r="S1158" s="153">
        <f>IF(L1158="","",L1158-B1158)</f>
        <v>3</v>
      </c>
      <c r="T1158" s="153">
        <f>IF(N1158="","",N1158-L1158)</f>
        <v>0</v>
      </c>
      <c r="U1158" s="153">
        <f>IF(O1158="","",O1158-N1158)</f>
        <v>0</v>
      </c>
      <c r="V1158" s="154">
        <f>IF(O1158="","",O1158-B1158)</f>
        <v>3</v>
      </c>
      <c r="W1158" s="154">
        <f>IF(O1158="","",O1158-L1158)</f>
        <v>0</v>
      </c>
      <c r="X1158" s="154">
        <f>IF(R1158="","",R1158-B1158)</f>
        <v>3</v>
      </c>
    </row>
    <row r="1159" spans="2:24" ht="17.25" hidden="1" customHeight="1">
      <c r="B1159" s="23">
        <v>45786</v>
      </c>
      <c r="C1159" s="7">
        <v>2003587150</v>
      </c>
      <c r="D1159" s="20">
        <v>161153</v>
      </c>
      <c r="E1159" s="27" t="s">
        <v>152</v>
      </c>
      <c r="F1159" s="7" t="s">
        <v>107</v>
      </c>
      <c r="G1159" s="7" t="s">
        <v>18</v>
      </c>
      <c r="H1159" s="7" t="s">
        <v>45</v>
      </c>
      <c r="I1159" s="20" t="s">
        <v>1904</v>
      </c>
      <c r="J1159" s="20" t="s">
        <v>1905</v>
      </c>
      <c r="K1159" s="7" t="s">
        <v>110</v>
      </c>
      <c r="L1159" s="61">
        <v>45789</v>
      </c>
      <c r="M1159" s="7" t="s">
        <v>111</v>
      </c>
      <c r="N1159" s="61">
        <v>45789</v>
      </c>
      <c r="O1159" s="23">
        <v>45791</v>
      </c>
      <c r="P1159" s="59"/>
      <c r="Q1159" s="124" t="e">
        <f>P1159*#REF!</f>
        <v>#REF!</v>
      </c>
      <c r="R1159" s="126">
        <v>45792</v>
      </c>
      <c r="S1159" s="153">
        <f>IF(L1159="","",L1159-B1159)</f>
        <v>3</v>
      </c>
      <c r="T1159" s="153">
        <f>IF(N1159="","",N1159-L1159)</f>
        <v>0</v>
      </c>
      <c r="U1159" s="153">
        <f>IF(O1159="","",O1159-N1159)</f>
        <v>2</v>
      </c>
      <c r="V1159" s="154">
        <f>IF(O1159="","",O1159-B1159)</f>
        <v>5</v>
      </c>
      <c r="W1159" s="154">
        <f>IF(O1159="","",O1159-L1159)</f>
        <v>2</v>
      </c>
      <c r="X1159" s="154">
        <f>IF(R1159="","",R1159-B1159)</f>
        <v>6</v>
      </c>
    </row>
    <row r="1160" spans="2:24" ht="17.25" hidden="1" customHeight="1">
      <c r="B1160" s="23">
        <v>45786</v>
      </c>
      <c r="C1160" s="7">
        <v>2003677054</v>
      </c>
      <c r="D1160" s="20">
        <v>161259</v>
      </c>
      <c r="E1160" s="27" t="s">
        <v>198</v>
      </c>
      <c r="F1160" s="7" t="s">
        <v>107</v>
      </c>
      <c r="G1160" s="7" t="s">
        <v>26</v>
      </c>
      <c r="H1160" s="7" t="s">
        <v>45</v>
      </c>
      <c r="I1160" s="20" t="s">
        <v>1906</v>
      </c>
      <c r="J1160" s="20" t="s">
        <v>1907</v>
      </c>
      <c r="K1160" s="7" t="s">
        <v>119</v>
      </c>
      <c r="L1160" s="61">
        <v>45791</v>
      </c>
      <c r="M1160" s="7" t="s">
        <v>111</v>
      </c>
      <c r="N1160" s="24">
        <v>45792</v>
      </c>
      <c r="O1160" s="23">
        <v>45792</v>
      </c>
      <c r="P1160" s="59"/>
      <c r="Q1160" s="124" t="e">
        <f>P1160*#REF!</f>
        <v>#REF!</v>
      </c>
      <c r="R1160" s="126">
        <v>45792</v>
      </c>
      <c r="S1160" s="153">
        <f>IF(L1160="","",L1160-B1160)</f>
        <v>5</v>
      </c>
      <c r="T1160" s="153">
        <f>IF(N1160="","",N1160-L1160)</f>
        <v>1</v>
      </c>
      <c r="U1160" s="153">
        <f>IF(O1160="","",O1160-N1160)</f>
        <v>0</v>
      </c>
      <c r="V1160" s="154">
        <f>IF(O1160="","",O1160-B1160)</f>
        <v>6</v>
      </c>
      <c r="W1160" s="154">
        <f>IF(O1160="","",O1160-L1160)</f>
        <v>1</v>
      </c>
      <c r="X1160" s="154">
        <f>IF(R1160="","",R1160-B1160)</f>
        <v>6</v>
      </c>
    </row>
    <row r="1161" spans="2:24" ht="17.25" hidden="1" customHeight="1">
      <c r="B1161" s="23">
        <v>45786</v>
      </c>
      <c r="C1161" s="7">
        <v>2003683631</v>
      </c>
      <c r="D1161" s="20">
        <v>161498</v>
      </c>
      <c r="E1161" s="27" t="s">
        <v>201</v>
      </c>
      <c r="F1161" s="7" t="s">
        <v>107</v>
      </c>
      <c r="G1161" s="7" t="s">
        <v>10</v>
      </c>
      <c r="H1161" s="7" t="s">
        <v>45</v>
      </c>
      <c r="I1161" s="20" t="s">
        <v>1908</v>
      </c>
      <c r="J1161" s="20" t="s">
        <v>1909</v>
      </c>
      <c r="K1161" s="7" t="s">
        <v>110</v>
      </c>
      <c r="L1161" s="61">
        <v>45790</v>
      </c>
      <c r="M1161" s="7" t="s">
        <v>111</v>
      </c>
      <c r="N1161" s="24">
        <v>45790</v>
      </c>
      <c r="O1161" s="106">
        <v>45791</v>
      </c>
      <c r="P1161" s="59"/>
      <c r="Q1161" s="124" t="e">
        <f>P1161*#REF!</f>
        <v>#REF!</v>
      </c>
      <c r="R1161" s="126">
        <v>45792</v>
      </c>
      <c r="S1161" s="153">
        <f>IF(L1161="","",L1161-B1161)</f>
        <v>4</v>
      </c>
      <c r="T1161" s="153">
        <f>IF(N1161="","",N1161-L1161)</f>
        <v>0</v>
      </c>
      <c r="U1161" s="153">
        <f>IF(O1161="","",O1161-N1161)</f>
        <v>1</v>
      </c>
      <c r="V1161" s="154">
        <f>IF(O1161="","",O1161-B1161)</f>
        <v>5</v>
      </c>
      <c r="W1161" s="154">
        <f>IF(O1161="","",O1161-L1161)</f>
        <v>1</v>
      </c>
      <c r="X1161" s="154">
        <f>IF(R1161="","",R1161-B1161)</f>
        <v>6</v>
      </c>
    </row>
    <row r="1162" spans="2:24" ht="17.25" hidden="1" customHeight="1">
      <c r="B1162" s="23">
        <v>45786</v>
      </c>
      <c r="C1162" s="7">
        <v>2003668176</v>
      </c>
      <c r="D1162" s="20">
        <v>161510</v>
      </c>
      <c r="E1162" s="27" t="s">
        <v>949</v>
      </c>
      <c r="F1162" s="7" t="s">
        <v>107</v>
      </c>
      <c r="G1162" s="7" t="s">
        <v>10</v>
      </c>
      <c r="H1162" s="7" t="s">
        <v>45</v>
      </c>
      <c r="I1162" s="20" t="s">
        <v>1910</v>
      </c>
      <c r="J1162" s="20" t="s">
        <v>1911</v>
      </c>
      <c r="K1162" s="7" t="s">
        <v>110</v>
      </c>
      <c r="L1162" s="61">
        <v>45790</v>
      </c>
      <c r="M1162" s="7" t="s">
        <v>111</v>
      </c>
      <c r="N1162" s="61">
        <v>45790</v>
      </c>
      <c r="O1162" s="130">
        <v>45790</v>
      </c>
      <c r="P1162" s="59"/>
      <c r="Q1162" s="124" t="e">
        <f>P1162*#REF!</f>
        <v>#REF!</v>
      </c>
      <c r="R1162" s="126">
        <v>45790</v>
      </c>
      <c r="S1162" s="153">
        <f>IF(L1162="","",L1162-B1162)</f>
        <v>4</v>
      </c>
      <c r="T1162" s="153">
        <f>IF(N1162="","",N1162-L1162)</f>
        <v>0</v>
      </c>
      <c r="U1162" s="153">
        <f>IF(O1162="","",O1162-N1162)</f>
        <v>0</v>
      </c>
      <c r="V1162" s="154">
        <f>IF(O1162="","",O1162-B1162)</f>
        <v>4</v>
      </c>
      <c r="W1162" s="154">
        <f>IF(O1162="","",O1162-L1162)</f>
        <v>0</v>
      </c>
      <c r="X1162" s="154">
        <f>IF(R1162="","",R1162-B1162)</f>
        <v>4</v>
      </c>
    </row>
    <row r="1163" spans="2:24" ht="17.25" hidden="1" customHeight="1">
      <c r="B1163" s="23">
        <v>45786</v>
      </c>
      <c r="C1163" s="7">
        <v>2003671577</v>
      </c>
      <c r="D1163" s="20">
        <v>161664</v>
      </c>
      <c r="E1163" s="27" t="s">
        <v>180</v>
      </c>
      <c r="F1163" s="7" t="s">
        <v>107</v>
      </c>
      <c r="G1163" s="7" t="s">
        <v>10</v>
      </c>
      <c r="H1163" s="7" t="s">
        <v>45</v>
      </c>
      <c r="I1163" s="20" t="s">
        <v>1892</v>
      </c>
      <c r="J1163" s="20" t="s">
        <v>1893</v>
      </c>
      <c r="K1163" s="7" t="s">
        <v>119</v>
      </c>
      <c r="L1163" s="61">
        <v>45805</v>
      </c>
      <c r="M1163" s="7" t="s">
        <v>111</v>
      </c>
      <c r="N1163" s="61">
        <v>45806</v>
      </c>
      <c r="O1163" s="61">
        <v>45806</v>
      </c>
      <c r="P1163" s="59"/>
      <c r="Q1163" s="124" t="e">
        <f>P1163*#REF!</f>
        <v>#REF!</v>
      </c>
      <c r="R1163" s="126">
        <v>45807</v>
      </c>
      <c r="S1163" s="153">
        <f>IF(L1163="","",L1163-B1163)</f>
        <v>19</v>
      </c>
      <c r="T1163" s="153">
        <f>IF(N1163="","",N1163-L1163)</f>
        <v>1</v>
      </c>
      <c r="U1163" s="153">
        <f>IF(O1163="","",O1163-N1163)</f>
        <v>0</v>
      </c>
      <c r="V1163" s="154">
        <f>IF(O1163="","",O1163-B1163)</f>
        <v>20</v>
      </c>
      <c r="W1163" s="154">
        <f>IF(O1163="","",O1163-L1163)</f>
        <v>1</v>
      </c>
      <c r="X1163" s="154">
        <f>IF(R1163="","",R1163-B1163)</f>
        <v>21</v>
      </c>
    </row>
    <row r="1164" spans="2:24" ht="17.25" hidden="1" customHeight="1">
      <c r="B1164" s="23">
        <v>45786</v>
      </c>
      <c r="C1164" s="7">
        <v>2003667493</v>
      </c>
      <c r="D1164" s="20">
        <v>161720</v>
      </c>
      <c r="E1164" s="27" t="s">
        <v>185</v>
      </c>
      <c r="F1164" s="7" t="s">
        <v>107</v>
      </c>
      <c r="G1164" s="7" t="s">
        <v>18</v>
      </c>
      <c r="H1164" s="7" t="s">
        <v>45</v>
      </c>
      <c r="I1164" s="20" t="s">
        <v>861</v>
      </c>
      <c r="J1164" s="20" t="s">
        <v>1648</v>
      </c>
      <c r="K1164" s="7" t="s">
        <v>119</v>
      </c>
      <c r="L1164" s="61">
        <v>45790</v>
      </c>
      <c r="M1164" s="7" t="s">
        <v>111</v>
      </c>
      <c r="N1164" s="61">
        <v>45790</v>
      </c>
      <c r="O1164" s="61">
        <v>45790</v>
      </c>
      <c r="P1164" s="59"/>
      <c r="Q1164" s="124" t="e">
        <f>P1164*#REF!</f>
        <v>#REF!</v>
      </c>
      <c r="R1164" s="126">
        <v>45790</v>
      </c>
      <c r="S1164" s="153">
        <f>IF(L1164="","",L1164-B1164)</f>
        <v>4</v>
      </c>
      <c r="T1164" s="153">
        <f>IF(N1164="","",N1164-L1164)</f>
        <v>0</v>
      </c>
      <c r="U1164" s="153">
        <f>IF(O1164="","",O1164-N1164)</f>
        <v>0</v>
      </c>
      <c r="V1164" s="154">
        <f>IF(O1164="","",O1164-B1164)</f>
        <v>4</v>
      </c>
      <c r="W1164" s="154">
        <f>IF(O1164="","",O1164-L1164)</f>
        <v>0</v>
      </c>
      <c r="X1164" s="154">
        <f>IF(R1164="","",R1164-B1164)</f>
        <v>4</v>
      </c>
    </row>
    <row r="1165" spans="2:24" ht="17.25" hidden="1" customHeight="1">
      <c r="B1165" s="23">
        <v>45786</v>
      </c>
      <c r="C1165" s="7">
        <v>2003668328</v>
      </c>
      <c r="D1165" s="20">
        <v>161726</v>
      </c>
      <c r="E1165" s="27" t="s">
        <v>185</v>
      </c>
      <c r="F1165" s="7" t="s">
        <v>107</v>
      </c>
      <c r="G1165" s="7" t="s">
        <v>10</v>
      </c>
      <c r="H1165" s="7" t="s">
        <v>45</v>
      </c>
      <c r="I1165" s="20" t="s">
        <v>1912</v>
      </c>
      <c r="J1165" s="20" t="s">
        <v>1913</v>
      </c>
      <c r="K1165" s="7" t="s">
        <v>119</v>
      </c>
      <c r="L1165" s="61">
        <v>45789</v>
      </c>
      <c r="M1165" s="7" t="s">
        <v>111</v>
      </c>
      <c r="N1165" s="24">
        <v>45790</v>
      </c>
      <c r="O1165" s="24">
        <v>45790</v>
      </c>
      <c r="P1165" s="59"/>
      <c r="Q1165" s="124" t="e">
        <f>P1165*#REF!</f>
        <v>#REF!</v>
      </c>
      <c r="R1165" s="126">
        <v>45790</v>
      </c>
      <c r="S1165" s="153">
        <f>IF(L1165="","",L1165-B1165)</f>
        <v>3</v>
      </c>
      <c r="T1165" s="153">
        <f>IF(N1165="","",N1165-L1165)</f>
        <v>1</v>
      </c>
      <c r="U1165" s="153">
        <f>IF(O1165="","",O1165-N1165)</f>
        <v>0</v>
      </c>
      <c r="V1165" s="154">
        <f>IF(O1165="","",O1165-B1165)</f>
        <v>4</v>
      </c>
      <c r="W1165" s="154">
        <f>IF(O1165="","",O1165-L1165)</f>
        <v>1</v>
      </c>
      <c r="X1165" s="154">
        <f>IF(R1165="","",R1165-B1165)</f>
        <v>4</v>
      </c>
    </row>
    <row r="1166" spans="2:24" ht="17.25" hidden="1" customHeight="1">
      <c r="B1166" s="23">
        <v>45789</v>
      </c>
      <c r="C1166" s="7">
        <v>2003672470</v>
      </c>
      <c r="D1166" s="20">
        <v>161778</v>
      </c>
      <c r="E1166" s="27" t="s">
        <v>185</v>
      </c>
      <c r="F1166" s="7" t="s">
        <v>107</v>
      </c>
      <c r="G1166" s="7" t="s">
        <v>26</v>
      </c>
      <c r="H1166" s="7" t="s">
        <v>45</v>
      </c>
      <c r="I1166" s="20" t="s">
        <v>596</v>
      </c>
      <c r="J1166" s="20" t="s">
        <v>1914</v>
      </c>
      <c r="K1166" s="7" t="s">
        <v>119</v>
      </c>
      <c r="L1166" s="61">
        <v>45796</v>
      </c>
      <c r="M1166" s="7" t="s">
        <v>111</v>
      </c>
      <c r="N1166" s="24">
        <v>45798</v>
      </c>
      <c r="O1166" s="58">
        <v>45798</v>
      </c>
      <c r="P1166" s="59"/>
      <c r="Q1166" s="124" t="e">
        <f>P1166*#REF!</f>
        <v>#REF!</v>
      </c>
      <c r="R1166" s="126">
        <v>45798</v>
      </c>
      <c r="S1166" s="153">
        <f>IF(L1166="","",L1166-B1166)</f>
        <v>7</v>
      </c>
      <c r="T1166" s="153">
        <f>IF(N1166="","",N1166-L1166)</f>
        <v>2</v>
      </c>
      <c r="U1166" s="153">
        <f>IF(O1166="","",O1166-N1166)</f>
        <v>0</v>
      </c>
      <c r="V1166" s="154">
        <f>IF(O1166="","",O1166-B1166)</f>
        <v>9</v>
      </c>
      <c r="W1166" s="154">
        <f>IF(O1166="","",O1166-L1166)</f>
        <v>2</v>
      </c>
      <c r="X1166" s="154">
        <f>IF(R1166="","",R1166-B1166)</f>
        <v>9</v>
      </c>
    </row>
    <row r="1167" spans="2:24" ht="17.25" hidden="1" customHeight="1">
      <c r="B1167" s="23">
        <v>45776</v>
      </c>
      <c r="C1167" s="7">
        <v>2003671372</v>
      </c>
      <c r="D1167" s="20">
        <v>5901546</v>
      </c>
      <c r="E1167" s="27" t="s">
        <v>106</v>
      </c>
      <c r="F1167" s="7" t="s">
        <v>107</v>
      </c>
      <c r="G1167" s="7" t="s">
        <v>10</v>
      </c>
      <c r="H1167" s="7" t="s">
        <v>45</v>
      </c>
      <c r="I1167" s="20" t="s">
        <v>1448</v>
      </c>
      <c r="J1167" s="20" t="s">
        <v>1915</v>
      </c>
      <c r="K1167" s="7" t="s">
        <v>119</v>
      </c>
      <c r="L1167" s="61">
        <v>45777</v>
      </c>
      <c r="M1167" s="7" t="s">
        <v>111</v>
      </c>
      <c r="N1167" s="61">
        <v>45777</v>
      </c>
      <c r="O1167" s="61">
        <v>45777</v>
      </c>
      <c r="P1167" s="59"/>
      <c r="Q1167" s="124" t="e">
        <f>P1167*#REF!</f>
        <v>#REF!</v>
      </c>
      <c r="R1167" s="126">
        <v>45777</v>
      </c>
      <c r="S1167" s="153">
        <f>IF(L1167="","",L1167-B1167)</f>
        <v>1</v>
      </c>
      <c r="T1167" s="153">
        <f>IF(N1167="","",N1167-L1167)</f>
        <v>0</v>
      </c>
      <c r="U1167" s="153">
        <f>IF(O1167="","",O1167-N1167)</f>
        <v>0</v>
      </c>
      <c r="V1167" s="154">
        <f>IF(O1167="","",O1167-B1167)</f>
        <v>1</v>
      </c>
      <c r="W1167" s="154">
        <f>IF(O1167="","",O1167-L1167)</f>
        <v>0</v>
      </c>
      <c r="X1167" s="154">
        <f>IF(R1167="","",R1167-B1167)</f>
        <v>1</v>
      </c>
    </row>
    <row r="1168" spans="2:24" ht="17.25" hidden="1" customHeight="1">
      <c r="B1168" s="23">
        <v>45789</v>
      </c>
      <c r="C1168" s="7">
        <v>2003669376</v>
      </c>
      <c r="D1168" s="20">
        <v>162185</v>
      </c>
      <c r="E1168" s="27" t="s">
        <v>201</v>
      </c>
      <c r="F1168" s="7" t="s">
        <v>107</v>
      </c>
      <c r="G1168" s="7" t="s">
        <v>10</v>
      </c>
      <c r="H1168" s="7" t="s">
        <v>45</v>
      </c>
      <c r="I1168" s="20" t="s">
        <v>133</v>
      </c>
      <c r="J1168" s="20" t="s">
        <v>1916</v>
      </c>
      <c r="K1168" s="7" t="s">
        <v>119</v>
      </c>
      <c r="L1168" s="61">
        <v>45791</v>
      </c>
      <c r="M1168" s="7" t="s">
        <v>111</v>
      </c>
      <c r="N1168" s="61">
        <v>45791</v>
      </c>
      <c r="O1168" s="61">
        <v>45791</v>
      </c>
      <c r="P1168" s="59"/>
      <c r="Q1168" s="124" t="e">
        <f>P1168*#REF!</f>
        <v>#REF!</v>
      </c>
      <c r="R1168" s="126">
        <v>45792</v>
      </c>
      <c r="S1168" s="153">
        <f>IF(L1168="","",L1168-B1168)</f>
        <v>2</v>
      </c>
      <c r="T1168" s="153">
        <f>IF(N1168="","",N1168-L1168)</f>
        <v>0</v>
      </c>
      <c r="U1168" s="153">
        <f>IF(O1168="","",O1168-N1168)</f>
        <v>0</v>
      </c>
      <c r="V1168" s="154">
        <f>IF(O1168="","",O1168-B1168)</f>
        <v>2</v>
      </c>
      <c r="W1168" s="154">
        <f>IF(O1168="","",O1168-L1168)</f>
        <v>0</v>
      </c>
      <c r="X1168" s="154">
        <f>IF(R1168="","",R1168-B1168)</f>
        <v>3</v>
      </c>
    </row>
    <row r="1169" spans="2:32" ht="17.25" hidden="1" customHeight="1">
      <c r="B1169" s="23">
        <v>45789</v>
      </c>
      <c r="C1169" s="7">
        <v>2003655283</v>
      </c>
      <c r="D1169" s="20">
        <v>162445</v>
      </c>
      <c r="E1169" s="27" t="s">
        <v>1917</v>
      </c>
      <c r="F1169" s="7" t="s">
        <v>107</v>
      </c>
      <c r="G1169" s="7" t="s">
        <v>18</v>
      </c>
      <c r="H1169" s="7" t="s">
        <v>45</v>
      </c>
      <c r="I1169" s="20" t="s">
        <v>1233</v>
      </c>
      <c r="J1169" s="20" t="s">
        <v>1918</v>
      </c>
      <c r="K1169" s="7" t="s">
        <v>110</v>
      </c>
      <c r="L1169" s="61">
        <v>45798</v>
      </c>
      <c r="M1169" s="7" t="s">
        <v>111</v>
      </c>
      <c r="N1169" s="61">
        <v>45798</v>
      </c>
      <c r="O1169" s="23">
        <v>45800</v>
      </c>
      <c r="P1169" s="59"/>
      <c r="Q1169" s="124" t="e">
        <f>P1169*#REF!</f>
        <v>#REF!</v>
      </c>
      <c r="R1169" s="126">
        <v>45803</v>
      </c>
      <c r="S1169" s="153">
        <f>IF(L1169="","",L1169-B1169)</f>
        <v>9</v>
      </c>
      <c r="T1169" s="153">
        <f>IF(N1169="","",N1169-L1169)</f>
        <v>0</v>
      </c>
      <c r="U1169" s="153">
        <f>IF(O1169="","",O1169-N1169)</f>
        <v>2</v>
      </c>
      <c r="V1169" s="154">
        <f>IF(O1169="","",O1169-B1169)</f>
        <v>11</v>
      </c>
      <c r="W1169" s="154">
        <f>IF(O1169="","",O1169-L1169)</f>
        <v>2</v>
      </c>
      <c r="X1169" s="154">
        <f>IF(R1169="","",R1169-B1169)</f>
        <v>14</v>
      </c>
    </row>
    <row r="1170" spans="2:32" ht="17.25" hidden="1" customHeight="1">
      <c r="B1170" s="23">
        <v>45789</v>
      </c>
      <c r="C1170" s="7">
        <v>2003665845</v>
      </c>
      <c r="D1170" s="20">
        <v>162569</v>
      </c>
      <c r="E1170" s="27" t="s">
        <v>230</v>
      </c>
      <c r="F1170" s="7" t="s">
        <v>107</v>
      </c>
      <c r="G1170" s="7" t="s">
        <v>18</v>
      </c>
      <c r="H1170" s="7" t="s">
        <v>45</v>
      </c>
      <c r="I1170" s="20" t="s">
        <v>1746</v>
      </c>
      <c r="J1170" s="20" t="s">
        <v>1747</v>
      </c>
      <c r="K1170" s="7" t="s">
        <v>110</v>
      </c>
      <c r="L1170" s="61">
        <v>45791</v>
      </c>
      <c r="M1170" s="7" t="s">
        <v>111</v>
      </c>
      <c r="N1170" s="61">
        <v>45791</v>
      </c>
      <c r="O1170" s="61">
        <v>45791</v>
      </c>
      <c r="P1170" s="59"/>
      <c r="Q1170" s="124" t="e">
        <f>P1170*#REF!</f>
        <v>#REF!</v>
      </c>
      <c r="R1170" s="126">
        <v>45792</v>
      </c>
      <c r="S1170" s="153">
        <f>IF(L1170="","",L1170-B1170)</f>
        <v>2</v>
      </c>
      <c r="T1170" s="153">
        <f>IF(N1170="","",N1170-L1170)</f>
        <v>0</v>
      </c>
      <c r="U1170" s="153">
        <f>IF(O1170="","",O1170-N1170)</f>
        <v>0</v>
      </c>
      <c r="V1170" s="154">
        <f>IF(O1170="","",O1170-B1170)</f>
        <v>2</v>
      </c>
      <c r="W1170" s="154">
        <f>IF(O1170="","",O1170-L1170)</f>
        <v>0</v>
      </c>
      <c r="X1170" s="154">
        <f>IF(R1170="","",R1170-B1170)</f>
        <v>3</v>
      </c>
    </row>
    <row r="1171" spans="2:32" ht="17.25" hidden="1" customHeight="1">
      <c r="B1171" s="23">
        <v>45789</v>
      </c>
      <c r="C1171" s="7">
        <v>2003558413</v>
      </c>
      <c r="D1171" s="20">
        <v>162751</v>
      </c>
      <c r="E1171" s="27" t="s">
        <v>106</v>
      </c>
      <c r="F1171" s="7" t="s">
        <v>107</v>
      </c>
      <c r="G1171" s="7" t="s">
        <v>10</v>
      </c>
      <c r="H1171" s="7" t="s">
        <v>45</v>
      </c>
      <c r="I1171" s="20" t="s">
        <v>1919</v>
      </c>
      <c r="J1171" s="20" t="s">
        <v>1920</v>
      </c>
      <c r="K1171" s="7" t="s">
        <v>119</v>
      </c>
      <c r="L1171" s="61">
        <v>45791</v>
      </c>
      <c r="M1171" s="7" t="s">
        <v>111</v>
      </c>
      <c r="N1171" s="61">
        <v>45791</v>
      </c>
      <c r="O1171" s="61">
        <v>45791</v>
      </c>
      <c r="P1171" s="59"/>
      <c r="Q1171" s="124" t="e">
        <f>P1171*#REF!</f>
        <v>#REF!</v>
      </c>
      <c r="R1171" s="126">
        <v>45792</v>
      </c>
      <c r="S1171" s="153">
        <f>IF(L1171="","",L1171-B1171)</f>
        <v>2</v>
      </c>
      <c r="T1171" s="153">
        <f>IF(N1171="","",N1171-L1171)</f>
        <v>0</v>
      </c>
      <c r="U1171" s="153">
        <f>IF(O1171="","",O1171-N1171)</f>
        <v>0</v>
      </c>
      <c r="V1171" s="154">
        <f>IF(O1171="","",O1171-B1171)</f>
        <v>2</v>
      </c>
      <c r="W1171" s="154">
        <f>IF(O1171="","",O1171-L1171)</f>
        <v>0</v>
      </c>
      <c r="X1171" s="154">
        <f>IF(R1171="","",R1171-B1171)</f>
        <v>3</v>
      </c>
    </row>
    <row r="1172" spans="2:32" s="128" customFormat="1" ht="17.25" hidden="1" customHeight="1">
      <c r="B1172" s="23">
        <v>45789</v>
      </c>
      <c r="C1172" s="7">
        <v>2003667226</v>
      </c>
      <c r="D1172" s="20">
        <v>162813</v>
      </c>
      <c r="E1172" s="27" t="s">
        <v>198</v>
      </c>
      <c r="F1172" s="7" t="s">
        <v>107</v>
      </c>
      <c r="G1172" s="7" t="s">
        <v>10</v>
      </c>
      <c r="H1172" s="7" t="s">
        <v>45</v>
      </c>
      <c r="I1172" s="20" t="s">
        <v>1921</v>
      </c>
      <c r="J1172" s="20" t="s">
        <v>1922</v>
      </c>
      <c r="K1172" s="7" t="s">
        <v>119</v>
      </c>
      <c r="L1172" s="61">
        <v>45790</v>
      </c>
      <c r="M1172" s="7" t="s">
        <v>111</v>
      </c>
      <c r="N1172" s="24">
        <v>45791</v>
      </c>
      <c r="O1172" s="106">
        <v>45791</v>
      </c>
      <c r="P1172" s="59"/>
      <c r="Q1172" s="124" t="e">
        <f>P1172*#REF!</f>
        <v>#REF!</v>
      </c>
      <c r="R1172" s="126">
        <v>45792</v>
      </c>
      <c r="S1172" s="153">
        <f>IF(L1172="","",L1172-B1172)</f>
        <v>1</v>
      </c>
      <c r="T1172" s="153">
        <f>IF(N1172="","",N1172-L1172)</f>
        <v>1</v>
      </c>
      <c r="U1172" s="153">
        <f>IF(O1172="","",O1172-N1172)</f>
        <v>0</v>
      </c>
      <c r="V1172" s="154">
        <f>IF(O1172="","",O1172-B1172)</f>
        <v>2</v>
      </c>
      <c r="W1172" s="154">
        <f>IF(O1172="","",O1172-L1172)</f>
        <v>1</v>
      </c>
      <c r="X1172" s="154">
        <f>IF(R1172="","",R1172-B1172)</f>
        <v>3</v>
      </c>
      <c r="Y1172" s="213"/>
      <c r="Z1172" s="213"/>
      <c r="AA1172" s="213"/>
      <c r="AB1172" s="213"/>
      <c r="AC1172" s="213"/>
      <c r="AD1172" s="213"/>
      <c r="AE1172" s="213"/>
      <c r="AF1172" s="214"/>
    </row>
    <row r="1173" spans="2:32" ht="17.25" hidden="1" customHeight="1">
      <c r="B1173" s="23">
        <v>45789</v>
      </c>
      <c r="C1173" s="7">
        <v>2003666430</v>
      </c>
      <c r="D1173" s="20">
        <v>162881</v>
      </c>
      <c r="E1173" s="27" t="s">
        <v>198</v>
      </c>
      <c r="F1173" s="7" t="s">
        <v>107</v>
      </c>
      <c r="G1173" s="7" t="s">
        <v>10</v>
      </c>
      <c r="H1173" s="7" t="s">
        <v>45</v>
      </c>
      <c r="I1173" s="20" t="s">
        <v>1923</v>
      </c>
      <c r="J1173" s="20" t="s">
        <v>1924</v>
      </c>
      <c r="K1173" s="7" t="s">
        <v>119</v>
      </c>
      <c r="L1173" s="61">
        <v>45796</v>
      </c>
      <c r="M1173" s="7" t="s">
        <v>111</v>
      </c>
      <c r="N1173" s="61">
        <v>45797</v>
      </c>
      <c r="O1173" s="61">
        <v>45797</v>
      </c>
      <c r="P1173" s="59"/>
      <c r="Q1173" s="124" t="e">
        <f>P1173*#REF!</f>
        <v>#REF!</v>
      </c>
      <c r="R1173" s="126">
        <v>45798</v>
      </c>
      <c r="S1173" s="153">
        <f>IF(L1173="","",L1173-B1173)</f>
        <v>7</v>
      </c>
      <c r="T1173" s="153">
        <f>IF(N1173="","",N1173-L1173)</f>
        <v>1</v>
      </c>
      <c r="U1173" s="153">
        <f>IF(O1173="","",O1173-N1173)</f>
        <v>0</v>
      </c>
      <c r="V1173" s="154">
        <f>IF(O1173="","",O1173-B1173)</f>
        <v>8</v>
      </c>
      <c r="W1173" s="154">
        <f>IF(O1173="","",O1173-L1173)</f>
        <v>1</v>
      </c>
      <c r="X1173" s="154">
        <f>IF(R1173="","",R1173-B1173)</f>
        <v>9</v>
      </c>
    </row>
    <row r="1174" spans="2:32" ht="17.25" hidden="1" customHeight="1">
      <c r="B1174" s="23">
        <v>45789</v>
      </c>
      <c r="C1174" s="7">
        <v>2003666119</v>
      </c>
      <c r="D1174" s="20">
        <v>162993</v>
      </c>
      <c r="E1174" s="27" t="s">
        <v>106</v>
      </c>
      <c r="F1174" s="7" t="s">
        <v>107</v>
      </c>
      <c r="G1174" s="7" t="s">
        <v>18</v>
      </c>
      <c r="H1174" s="7" t="s">
        <v>45</v>
      </c>
      <c r="I1174" s="20" t="s">
        <v>1925</v>
      </c>
      <c r="J1174" s="20" t="s">
        <v>1926</v>
      </c>
      <c r="K1174" s="7" t="s">
        <v>110</v>
      </c>
      <c r="L1174" s="61">
        <v>45793</v>
      </c>
      <c r="M1174" s="7" t="s">
        <v>111</v>
      </c>
      <c r="N1174" s="61">
        <v>45793</v>
      </c>
      <c r="O1174" s="61">
        <v>45793</v>
      </c>
      <c r="P1174" s="59"/>
      <c r="Q1174" s="124" t="e">
        <f>P1174*#REF!</f>
        <v>#REF!</v>
      </c>
      <c r="R1174" s="126">
        <v>45796</v>
      </c>
      <c r="S1174" s="153">
        <f>IF(L1174="","",L1174-B1174)</f>
        <v>4</v>
      </c>
      <c r="T1174" s="153">
        <f>IF(N1174="","",N1174-L1174)</f>
        <v>0</v>
      </c>
      <c r="U1174" s="153">
        <f>IF(O1174="","",O1174-N1174)</f>
        <v>0</v>
      </c>
      <c r="V1174" s="154">
        <f>IF(O1174="","",O1174-B1174)</f>
        <v>4</v>
      </c>
      <c r="W1174" s="154">
        <f>IF(O1174="","",O1174-L1174)</f>
        <v>0</v>
      </c>
      <c r="X1174" s="154">
        <f>IF(R1174="","",R1174-B1174)</f>
        <v>7</v>
      </c>
    </row>
    <row r="1175" spans="2:32" ht="17.25" hidden="1" customHeight="1">
      <c r="B1175" s="23">
        <v>45790</v>
      </c>
      <c r="C1175" s="7">
        <v>2003686482</v>
      </c>
      <c r="D1175" s="20">
        <v>163578</v>
      </c>
      <c r="E1175" s="27" t="s">
        <v>123</v>
      </c>
      <c r="F1175" s="7" t="s">
        <v>107</v>
      </c>
      <c r="G1175" s="7" t="s">
        <v>10</v>
      </c>
      <c r="H1175" s="7" t="s">
        <v>45</v>
      </c>
      <c r="I1175" s="20" t="s">
        <v>1927</v>
      </c>
      <c r="J1175" s="20" t="s">
        <v>1928</v>
      </c>
      <c r="K1175" s="7" t="s">
        <v>110</v>
      </c>
      <c r="L1175" s="61">
        <v>45792</v>
      </c>
      <c r="M1175" s="7" t="s">
        <v>111</v>
      </c>
      <c r="N1175" s="61">
        <v>45792</v>
      </c>
      <c r="O1175" s="23">
        <v>45793</v>
      </c>
      <c r="P1175" s="59"/>
      <c r="Q1175" s="124" t="e">
        <f>P1175*#REF!</f>
        <v>#REF!</v>
      </c>
      <c r="R1175" s="126">
        <v>45796</v>
      </c>
      <c r="S1175" s="153">
        <f>IF(L1175="","",L1175-B1175)</f>
        <v>2</v>
      </c>
      <c r="T1175" s="153">
        <f>IF(N1175="","",N1175-L1175)</f>
        <v>0</v>
      </c>
      <c r="U1175" s="153">
        <f>IF(O1175="","",O1175-N1175)</f>
        <v>1</v>
      </c>
      <c r="V1175" s="154">
        <f>IF(O1175="","",O1175-B1175)</f>
        <v>3</v>
      </c>
      <c r="W1175" s="154">
        <f>IF(O1175="","",O1175-L1175)</f>
        <v>1</v>
      </c>
      <c r="X1175" s="154">
        <f>IF(R1175="","",R1175-B1175)</f>
        <v>6</v>
      </c>
    </row>
    <row r="1176" spans="2:32" ht="17.25" hidden="1" customHeight="1">
      <c r="B1176" s="23">
        <v>45790</v>
      </c>
      <c r="C1176" s="7">
        <v>2003654966</v>
      </c>
      <c r="D1176" s="20">
        <v>163761</v>
      </c>
      <c r="E1176" s="27" t="s">
        <v>123</v>
      </c>
      <c r="F1176" s="7" t="s">
        <v>107</v>
      </c>
      <c r="G1176" s="7" t="s">
        <v>10</v>
      </c>
      <c r="H1176" s="7" t="s">
        <v>45</v>
      </c>
      <c r="I1176" s="20" t="s">
        <v>1929</v>
      </c>
      <c r="J1176" s="20" t="s">
        <v>1773</v>
      </c>
      <c r="K1176" s="7" t="s">
        <v>111</v>
      </c>
      <c r="L1176" s="61">
        <v>45796</v>
      </c>
      <c r="M1176" s="7" t="s">
        <v>111</v>
      </c>
      <c r="N1176" s="61">
        <v>45796</v>
      </c>
      <c r="O1176" s="106">
        <v>45804</v>
      </c>
      <c r="P1176" s="59"/>
      <c r="Q1176" s="124" t="e">
        <f>P1176*#REF!</f>
        <v>#REF!</v>
      </c>
      <c r="R1176" s="126">
        <v>45804</v>
      </c>
      <c r="S1176" s="153">
        <f>IF(L1176="","",L1176-B1176)</f>
        <v>6</v>
      </c>
      <c r="T1176" s="153">
        <f>IF(N1176="","",N1176-L1176)</f>
        <v>0</v>
      </c>
      <c r="U1176" s="153">
        <f>IF(O1176="","",O1176-N1176)</f>
        <v>8</v>
      </c>
      <c r="V1176" s="154">
        <f>IF(O1176="","",O1176-B1176)</f>
        <v>14</v>
      </c>
      <c r="W1176" s="154">
        <f>IF(O1176="","",O1176-L1176)</f>
        <v>8</v>
      </c>
      <c r="X1176" s="154">
        <f>IF(R1176="","",R1176-B1176)</f>
        <v>14</v>
      </c>
    </row>
    <row r="1177" spans="2:32" ht="17.25" hidden="1" customHeight="1">
      <c r="B1177" s="23">
        <v>45790</v>
      </c>
      <c r="C1177" s="7">
        <v>2003677885</v>
      </c>
      <c r="D1177" s="20">
        <v>163794</v>
      </c>
      <c r="E1177" s="27" t="s">
        <v>123</v>
      </c>
      <c r="F1177" s="7" t="s">
        <v>107</v>
      </c>
      <c r="G1177" s="7" t="s">
        <v>10</v>
      </c>
      <c r="H1177" s="7" t="s">
        <v>45</v>
      </c>
      <c r="I1177" s="20" t="s">
        <v>164</v>
      </c>
      <c r="J1177" s="20" t="s">
        <v>1930</v>
      </c>
      <c r="K1177" s="7" t="s">
        <v>119</v>
      </c>
      <c r="L1177" s="61">
        <v>45798</v>
      </c>
      <c r="M1177" s="7" t="s">
        <v>111</v>
      </c>
      <c r="N1177" s="61">
        <v>45798</v>
      </c>
      <c r="O1177" s="130">
        <v>45798</v>
      </c>
      <c r="P1177" s="59"/>
      <c r="Q1177" s="124" t="e">
        <f>P1177*#REF!</f>
        <v>#REF!</v>
      </c>
      <c r="R1177" s="126">
        <v>45798</v>
      </c>
      <c r="S1177" s="153">
        <f>IF(L1177="","",L1177-B1177)</f>
        <v>8</v>
      </c>
      <c r="T1177" s="153">
        <f>IF(N1177="","",N1177-L1177)</f>
        <v>0</v>
      </c>
      <c r="U1177" s="153">
        <f>IF(O1177="","",O1177-N1177)</f>
        <v>0</v>
      </c>
      <c r="V1177" s="154">
        <f>IF(O1177="","",O1177-B1177)</f>
        <v>8</v>
      </c>
      <c r="W1177" s="154">
        <f>IF(O1177="","",O1177-L1177)</f>
        <v>0</v>
      </c>
      <c r="X1177" s="154">
        <f>IF(R1177="","",R1177-B1177)</f>
        <v>8</v>
      </c>
    </row>
    <row r="1178" spans="2:32" ht="17.25" hidden="1" customHeight="1">
      <c r="B1178" s="23">
        <v>45790</v>
      </c>
      <c r="C1178" s="7">
        <v>2003685299</v>
      </c>
      <c r="D1178" s="20">
        <v>163812</v>
      </c>
      <c r="E1178" s="27" t="s">
        <v>1225</v>
      </c>
      <c r="F1178" s="7" t="s">
        <v>107</v>
      </c>
      <c r="G1178" s="7" t="s">
        <v>26</v>
      </c>
      <c r="H1178" s="7" t="s">
        <v>45</v>
      </c>
      <c r="I1178" s="20" t="s">
        <v>1931</v>
      </c>
      <c r="J1178" s="20" t="s">
        <v>1932</v>
      </c>
      <c r="K1178" s="7" t="s">
        <v>119</v>
      </c>
      <c r="L1178" s="61">
        <v>45793</v>
      </c>
      <c r="M1178" s="7" t="s">
        <v>111</v>
      </c>
      <c r="N1178" s="24">
        <v>45796</v>
      </c>
      <c r="O1178" s="23">
        <v>45796</v>
      </c>
      <c r="P1178" s="59"/>
      <c r="Q1178" s="124" t="e">
        <f>P1178*#REF!</f>
        <v>#REF!</v>
      </c>
      <c r="R1178" s="126">
        <v>45796</v>
      </c>
      <c r="S1178" s="153">
        <f>IF(L1178="","",L1178-B1178)</f>
        <v>3</v>
      </c>
      <c r="T1178" s="153">
        <f>IF(N1178="","",N1178-L1178)</f>
        <v>3</v>
      </c>
      <c r="U1178" s="153">
        <f>IF(O1178="","",O1178-N1178)</f>
        <v>0</v>
      </c>
      <c r="V1178" s="154">
        <f>IF(O1178="","",O1178-B1178)</f>
        <v>6</v>
      </c>
      <c r="W1178" s="154">
        <f>IF(O1178="","",O1178-L1178)</f>
        <v>3</v>
      </c>
      <c r="X1178" s="154">
        <f>IF(R1178="","",R1178-B1178)</f>
        <v>6</v>
      </c>
    </row>
    <row r="1179" spans="2:32" s="128" customFormat="1" ht="17.25" hidden="1" customHeight="1">
      <c r="B1179" s="23">
        <v>45790</v>
      </c>
      <c r="C1179" s="7">
        <v>2003684544</v>
      </c>
      <c r="D1179" s="20">
        <v>163939</v>
      </c>
      <c r="E1179" s="27" t="s">
        <v>949</v>
      </c>
      <c r="F1179" s="7" t="s">
        <v>107</v>
      </c>
      <c r="G1179" s="7" t="s">
        <v>10</v>
      </c>
      <c r="H1179" s="7" t="s">
        <v>45</v>
      </c>
      <c r="I1179" s="20" t="s">
        <v>1933</v>
      </c>
      <c r="J1179" s="20" t="s">
        <v>1934</v>
      </c>
      <c r="K1179" s="7" t="s">
        <v>110</v>
      </c>
      <c r="L1179" s="61">
        <v>45791</v>
      </c>
      <c r="M1179" s="7" t="s">
        <v>111</v>
      </c>
      <c r="N1179" s="61">
        <v>45791</v>
      </c>
      <c r="O1179" s="58">
        <v>45793</v>
      </c>
      <c r="P1179" s="59"/>
      <c r="Q1179" s="124" t="e">
        <f>P1179*#REF!</f>
        <v>#REF!</v>
      </c>
      <c r="R1179" s="126">
        <v>45795</v>
      </c>
      <c r="S1179" s="153">
        <f>IF(L1179="","",L1179-B1179)</f>
        <v>1</v>
      </c>
      <c r="T1179" s="153">
        <f>IF(N1179="","",N1179-L1179)</f>
        <v>0</v>
      </c>
      <c r="U1179" s="153">
        <f>IF(O1179="","",O1179-N1179)</f>
        <v>2</v>
      </c>
      <c r="V1179" s="154">
        <f>IF(O1179="","",O1179-B1179)</f>
        <v>3</v>
      </c>
      <c r="W1179" s="154">
        <f>IF(O1179="","",O1179-L1179)</f>
        <v>2</v>
      </c>
      <c r="X1179" s="154">
        <f>IF(R1179="","",R1179-B1179)</f>
        <v>5</v>
      </c>
      <c r="Y1179" s="213"/>
      <c r="Z1179" s="213"/>
      <c r="AA1179" s="213"/>
      <c r="AB1179" s="213"/>
      <c r="AC1179" s="213"/>
      <c r="AD1179" s="213"/>
      <c r="AE1179" s="213"/>
      <c r="AF1179" s="214"/>
    </row>
    <row r="1180" spans="2:32" ht="17.25" hidden="1" customHeight="1">
      <c r="B1180" s="23">
        <v>45790</v>
      </c>
      <c r="C1180" s="7">
        <v>2003671030</v>
      </c>
      <c r="D1180" s="20">
        <v>164089</v>
      </c>
      <c r="E1180" s="27" t="s">
        <v>123</v>
      </c>
      <c r="F1180" s="7" t="s">
        <v>107</v>
      </c>
      <c r="G1180" s="7" t="s">
        <v>10</v>
      </c>
      <c r="H1180" s="7" t="s">
        <v>45</v>
      </c>
      <c r="I1180" s="20" t="s">
        <v>136</v>
      </c>
      <c r="J1180" s="20" t="s">
        <v>1935</v>
      </c>
      <c r="K1180" s="7" t="s">
        <v>119</v>
      </c>
      <c r="L1180" s="61">
        <v>45799</v>
      </c>
      <c r="M1180" s="7" t="s">
        <v>111</v>
      </c>
      <c r="N1180" s="24">
        <v>45801</v>
      </c>
      <c r="O1180" s="106">
        <v>45801</v>
      </c>
      <c r="P1180" s="59"/>
      <c r="Q1180" s="124" t="e">
        <f>P1180*#REF!</f>
        <v>#REF!</v>
      </c>
      <c r="R1180" s="126">
        <v>45803</v>
      </c>
      <c r="S1180" s="153">
        <f>IF(L1180="","",L1180-B1180)</f>
        <v>9</v>
      </c>
      <c r="T1180" s="153">
        <f>IF(N1180="","",N1180-L1180)</f>
        <v>2</v>
      </c>
      <c r="U1180" s="153">
        <f>IF(O1180="","",O1180-N1180)</f>
        <v>0</v>
      </c>
      <c r="V1180" s="154">
        <f>IF(O1180="","",O1180-B1180)</f>
        <v>11</v>
      </c>
      <c r="W1180" s="154">
        <f>IF(O1180="","",O1180-L1180)</f>
        <v>2</v>
      </c>
      <c r="X1180" s="154">
        <f>IF(R1180="","",R1180-B1180)</f>
        <v>13</v>
      </c>
    </row>
    <row r="1181" spans="2:32" ht="17.25" hidden="1" customHeight="1">
      <c r="B1181" s="23">
        <v>45790</v>
      </c>
      <c r="C1181" s="7">
        <v>2003682554</v>
      </c>
      <c r="D1181" s="20">
        <v>164132</v>
      </c>
      <c r="E1181" s="27" t="s">
        <v>132</v>
      </c>
      <c r="F1181" s="7" t="s">
        <v>107</v>
      </c>
      <c r="G1181" s="7" t="s">
        <v>18</v>
      </c>
      <c r="H1181" s="7" t="s">
        <v>45</v>
      </c>
      <c r="I1181" s="20" t="s">
        <v>1936</v>
      </c>
      <c r="J1181" s="20" t="s">
        <v>1937</v>
      </c>
      <c r="K1181" s="7" t="s">
        <v>119</v>
      </c>
      <c r="L1181" s="61">
        <v>45793</v>
      </c>
      <c r="M1181" s="7" t="s">
        <v>111</v>
      </c>
      <c r="N1181" s="24">
        <v>45794</v>
      </c>
      <c r="O1181" s="23">
        <v>45797</v>
      </c>
      <c r="P1181" s="59"/>
      <c r="Q1181" s="124" t="e">
        <f>P1181*#REF!</f>
        <v>#REF!</v>
      </c>
      <c r="R1181" s="126">
        <v>45798</v>
      </c>
      <c r="S1181" s="153">
        <f>IF(L1181="","",L1181-B1181)</f>
        <v>3</v>
      </c>
      <c r="T1181" s="153">
        <f>IF(N1181="","",N1181-L1181)</f>
        <v>1</v>
      </c>
      <c r="U1181" s="153">
        <f>IF(O1181="","",O1181-N1181)</f>
        <v>3</v>
      </c>
      <c r="V1181" s="154">
        <f>IF(O1181="","",O1181-B1181)</f>
        <v>7</v>
      </c>
      <c r="W1181" s="154">
        <f>IF(O1181="","",O1181-L1181)</f>
        <v>4</v>
      </c>
      <c r="X1181" s="154">
        <f>IF(R1181="","",R1181-B1181)</f>
        <v>8</v>
      </c>
    </row>
    <row r="1182" spans="2:32" ht="17.25" hidden="1" customHeight="1">
      <c r="B1182" s="23">
        <v>45790</v>
      </c>
      <c r="C1182" s="7">
        <v>2003673591</v>
      </c>
      <c r="D1182" s="20">
        <v>164147</v>
      </c>
      <c r="E1182" s="27" t="s">
        <v>191</v>
      </c>
      <c r="F1182" s="7" t="s">
        <v>107</v>
      </c>
      <c r="G1182" s="7" t="s">
        <v>18</v>
      </c>
      <c r="H1182" s="7" t="s">
        <v>45</v>
      </c>
      <c r="I1182" s="20" t="s">
        <v>1938</v>
      </c>
      <c r="J1182" s="20" t="s">
        <v>1939</v>
      </c>
      <c r="K1182" s="7" t="s">
        <v>119</v>
      </c>
      <c r="L1182" s="61">
        <v>45792</v>
      </c>
      <c r="M1182" s="7" t="s">
        <v>111</v>
      </c>
      <c r="N1182" s="24">
        <v>45794</v>
      </c>
      <c r="O1182" s="58">
        <v>45797</v>
      </c>
      <c r="P1182" s="59"/>
      <c r="Q1182" s="124" t="e">
        <f>P1182*#REF!</f>
        <v>#REF!</v>
      </c>
      <c r="R1182" s="126">
        <v>45798</v>
      </c>
      <c r="S1182" s="153">
        <f>IF(L1182="","",L1182-B1182)</f>
        <v>2</v>
      </c>
      <c r="T1182" s="153">
        <f>IF(N1182="","",N1182-L1182)</f>
        <v>2</v>
      </c>
      <c r="U1182" s="153">
        <f>IF(O1182="","",O1182-N1182)</f>
        <v>3</v>
      </c>
      <c r="V1182" s="154">
        <f>IF(O1182="","",O1182-B1182)</f>
        <v>7</v>
      </c>
      <c r="W1182" s="154">
        <f>IF(O1182="","",O1182-L1182)</f>
        <v>5</v>
      </c>
      <c r="X1182" s="154">
        <f>IF(R1182="","",R1182-B1182)</f>
        <v>8</v>
      </c>
    </row>
    <row r="1183" spans="2:32" ht="17.25" hidden="1" customHeight="1">
      <c r="B1183" s="23">
        <v>45790</v>
      </c>
      <c r="C1183" s="7">
        <v>2003666460</v>
      </c>
      <c r="D1183" s="20">
        <v>164172</v>
      </c>
      <c r="E1183" s="27" t="s">
        <v>191</v>
      </c>
      <c r="F1183" s="7" t="s">
        <v>107</v>
      </c>
      <c r="G1183" s="7" t="s">
        <v>26</v>
      </c>
      <c r="H1183" s="7" t="s">
        <v>45</v>
      </c>
      <c r="I1183" s="20" t="s">
        <v>243</v>
      </c>
      <c r="J1183" s="20" t="s">
        <v>244</v>
      </c>
      <c r="K1183" s="7" t="s">
        <v>119</v>
      </c>
      <c r="L1183" s="61">
        <v>45793</v>
      </c>
      <c r="M1183" s="7" t="s">
        <v>111</v>
      </c>
      <c r="N1183" s="24">
        <v>45796</v>
      </c>
      <c r="O1183" s="23">
        <v>45796</v>
      </c>
      <c r="P1183" s="59"/>
      <c r="Q1183" s="124" t="e">
        <f>P1183*#REF!</f>
        <v>#REF!</v>
      </c>
      <c r="R1183" s="126">
        <v>45796</v>
      </c>
      <c r="S1183" s="153">
        <f>IF(L1183="","",L1183-B1183)</f>
        <v>3</v>
      </c>
      <c r="T1183" s="153">
        <f>IF(N1183="","",N1183-L1183)</f>
        <v>3</v>
      </c>
      <c r="U1183" s="153">
        <f>IF(O1183="","",O1183-N1183)</f>
        <v>0</v>
      </c>
      <c r="V1183" s="154">
        <f>IF(O1183="","",O1183-B1183)</f>
        <v>6</v>
      </c>
      <c r="W1183" s="154">
        <f>IF(O1183="","",O1183-L1183)</f>
        <v>3</v>
      </c>
      <c r="X1183" s="154">
        <f>IF(R1183="","",R1183-B1183)</f>
        <v>6</v>
      </c>
    </row>
    <row r="1184" spans="2:32" ht="17.25" hidden="1" customHeight="1">
      <c r="B1184" s="23">
        <v>45790</v>
      </c>
      <c r="C1184" s="7">
        <v>2003684561</v>
      </c>
      <c r="D1184" s="20">
        <v>164211</v>
      </c>
      <c r="E1184" s="27" t="s">
        <v>116</v>
      </c>
      <c r="F1184" s="7" t="s">
        <v>107</v>
      </c>
      <c r="G1184" s="7" t="s">
        <v>26</v>
      </c>
      <c r="H1184" s="7" t="s">
        <v>45</v>
      </c>
      <c r="I1184" s="20" t="s">
        <v>1940</v>
      </c>
      <c r="J1184" s="20" t="s">
        <v>1941</v>
      </c>
      <c r="K1184" s="7" t="s">
        <v>111</v>
      </c>
      <c r="L1184" s="61">
        <v>45793</v>
      </c>
      <c r="M1184" s="7" t="s">
        <v>111</v>
      </c>
      <c r="N1184" s="24">
        <v>45796</v>
      </c>
      <c r="O1184" s="23">
        <v>45796</v>
      </c>
      <c r="P1184" s="59"/>
      <c r="Q1184" s="124" t="e">
        <f>P1184*#REF!</f>
        <v>#REF!</v>
      </c>
      <c r="R1184" s="126">
        <v>45796</v>
      </c>
      <c r="S1184" s="153">
        <f>IF(L1184="","",L1184-B1184)</f>
        <v>3</v>
      </c>
      <c r="T1184" s="153">
        <f>IF(N1184="","",N1184-L1184)</f>
        <v>3</v>
      </c>
      <c r="U1184" s="153">
        <f>IF(O1184="","",O1184-N1184)</f>
        <v>0</v>
      </c>
      <c r="V1184" s="154">
        <f>IF(O1184="","",O1184-B1184)</f>
        <v>6</v>
      </c>
      <c r="W1184" s="154">
        <f>IF(O1184="","",O1184-L1184)</f>
        <v>3</v>
      </c>
      <c r="X1184" s="154">
        <f>IF(R1184="","",R1184-B1184)</f>
        <v>6</v>
      </c>
    </row>
    <row r="1185" spans="2:24" ht="17.25" hidden="1" customHeight="1">
      <c r="B1185" s="23">
        <v>45790</v>
      </c>
      <c r="C1185" s="7">
        <v>2003669308</v>
      </c>
      <c r="D1185" s="20">
        <v>164221</v>
      </c>
      <c r="E1185" s="27" t="s">
        <v>138</v>
      </c>
      <c r="F1185" s="7" t="s">
        <v>107</v>
      </c>
      <c r="G1185" s="7" t="s">
        <v>10</v>
      </c>
      <c r="H1185" s="7" t="s">
        <v>45</v>
      </c>
      <c r="I1185" s="20" t="s">
        <v>1942</v>
      </c>
      <c r="J1185" s="20" t="s">
        <v>1943</v>
      </c>
      <c r="K1185" s="7" t="s">
        <v>119</v>
      </c>
      <c r="L1185" s="61">
        <v>45793</v>
      </c>
      <c r="M1185" s="7" t="s">
        <v>111</v>
      </c>
      <c r="N1185" s="24">
        <v>45794</v>
      </c>
      <c r="O1185" s="23">
        <v>45797</v>
      </c>
      <c r="P1185" s="59"/>
      <c r="Q1185" s="124" t="e">
        <f>P1185*#REF!</f>
        <v>#REF!</v>
      </c>
      <c r="R1185" s="126">
        <v>45798</v>
      </c>
      <c r="S1185" s="153">
        <f>IF(L1185="","",L1185-B1185)</f>
        <v>3</v>
      </c>
      <c r="T1185" s="153">
        <f>IF(N1185="","",N1185-L1185)</f>
        <v>1</v>
      </c>
      <c r="U1185" s="153">
        <f>IF(O1185="","",O1185-N1185)</f>
        <v>3</v>
      </c>
      <c r="V1185" s="154">
        <f>IF(O1185="","",O1185-B1185)</f>
        <v>7</v>
      </c>
      <c r="W1185" s="154">
        <f>IF(O1185="","",O1185-L1185)</f>
        <v>4</v>
      </c>
      <c r="X1185" s="154">
        <f>IF(R1185="","",R1185-B1185)</f>
        <v>8</v>
      </c>
    </row>
    <row r="1186" spans="2:24" ht="17.25" hidden="1" customHeight="1">
      <c r="B1186" s="23">
        <v>45790</v>
      </c>
      <c r="C1186" s="7">
        <v>2003654970</v>
      </c>
      <c r="D1186" s="20">
        <v>164226</v>
      </c>
      <c r="E1186" s="27" t="s">
        <v>138</v>
      </c>
      <c r="F1186" s="7" t="s">
        <v>107</v>
      </c>
      <c r="G1186" s="7" t="s">
        <v>10</v>
      </c>
      <c r="H1186" s="7" t="s">
        <v>45</v>
      </c>
      <c r="I1186" s="20" t="s">
        <v>1942</v>
      </c>
      <c r="J1186" s="20" t="s">
        <v>1943</v>
      </c>
      <c r="K1186" s="7" t="s">
        <v>119</v>
      </c>
      <c r="L1186" s="61">
        <v>45793</v>
      </c>
      <c r="M1186" s="7" t="s">
        <v>111</v>
      </c>
      <c r="N1186" s="24">
        <v>45794</v>
      </c>
      <c r="O1186" s="24">
        <v>45797</v>
      </c>
      <c r="P1186" s="59"/>
      <c r="Q1186" s="124" t="e">
        <f>P1186*#REF!</f>
        <v>#REF!</v>
      </c>
      <c r="R1186" s="126">
        <v>45802</v>
      </c>
      <c r="S1186" s="153">
        <f>IF(L1186="","",L1186-B1186)</f>
        <v>3</v>
      </c>
      <c r="T1186" s="153">
        <f>IF(N1186="","",N1186-L1186)</f>
        <v>1</v>
      </c>
      <c r="U1186" s="153">
        <f>IF(O1186="","",O1186-N1186)</f>
        <v>3</v>
      </c>
      <c r="V1186" s="154">
        <f>IF(O1186="","",O1186-B1186)</f>
        <v>7</v>
      </c>
      <c r="W1186" s="154">
        <f>IF(O1186="","",O1186-L1186)</f>
        <v>4</v>
      </c>
      <c r="X1186" s="154">
        <f>IF(R1186="","",R1186-B1186)</f>
        <v>12</v>
      </c>
    </row>
    <row r="1187" spans="2:24" ht="17.25" hidden="1" customHeight="1">
      <c r="B1187" s="23">
        <v>45790</v>
      </c>
      <c r="C1187" s="7">
        <v>2003668269</v>
      </c>
      <c r="D1187" s="20">
        <v>164232</v>
      </c>
      <c r="E1187" s="27" t="s">
        <v>408</v>
      </c>
      <c r="F1187" s="7" t="s">
        <v>107</v>
      </c>
      <c r="G1187" s="7" t="s">
        <v>18</v>
      </c>
      <c r="H1187" s="7" t="s">
        <v>45</v>
      </c>
      <c r="I1187" s="20" t="s">
        <v>1944</v>
      </c>
      <c r="J1187" s="20" t="s">
        <v>1945</v>
      </c>
      <c r="K1187" s="7" t="s">
        <v>111</v>
      </c>
      <c r="L1187" s="61">
        <v>45791</v>
      </c>
      <c r="M1187" s="7" t="s">
        <v>111</v>
      </c>
      <c r="N1187" s="61">
        <v>45791</v>
      </c>
      <c r="O1187" s="61">
        <v>45791</v>
      </c>
      <c r="P1187" s="59"/>
      <c r="Q1187" s="124" t="e">
        <f>P1187*#REF!</f>
        <v>#REF!</v>
      </c>
      <c r="R1187" s="126">
        <v>45795</v>
      </c>
      <c r="S1187" s="153">
        <f>IF(L1187="","",L1187-B1187)</f>
        <v>1</v>
      </c>
      <c r="T1187" s="153">
        <f>IF(N1187="","",N1187-L1187)</f>
        <v>0</v>
      </c>
      <c r="U1187" s="153">
        <f>IF(O1187="","",O1187-N1187)</f>
        <v>0</v>
      </c>
      <c r="V1187" s="154">
        <f>IF(O1187="","",O1187-B1187)</f>
        <v>1</v>
      </c>
      <c r="W1187" s="154">
        <f>IF(O1187="","",O1187-L1187)</f>
        <v>0</v>
      </c>
      <c r="X1187" s="154">
        <f>IF(R1187="","",R1187-B1187)</f>
        <v>5</v>
      </c>
    </row>
    <row r="1188" spans="2:24" ht="17.25" hidden="1" customHeight="1">
      <c r="B1188" s="23">
        <v>45777</v>
      </c>
      <c r="C1188" s="7">
        <v>2003676174</v>
      </c>
      <c r="D1188" s="20">
        <v>5902232</v>
      </c>
      <c r="E1188" s="27" t="s">
        <v>143</v>
      </c>
      <c r="F1188" s="7" t="s">
        <v>113</v>
      </c>
      <c r="G1188" s="7" t="s">
        <v>70</v>
      </c>
      <c r="H1188" s="7" t="s">
        <v>47</v>
      </c>
      <c r="I1188" s="20" t="s">
        <v>1946</v>
      </c>
      <c r="J1188" s="20" t="s">
        <v>1947</v>
      </c>
      <c r="K1188" s="7" t="s">
        <v>160</v>
      </c>
      <c r="P1188" s="59"/>
      <c r="Q1188" s="124" t="e">
        <f>P1188*#REF!</f>
        <v>#REF!</v>
      </c>
      <c r="R1188" s="126">
        <v>45792</v>
      </c>
      <c r="S1188" s="153" t="str">
        <f>IF(L1188="","",L1188-B1188)</f>
        <v/>
      </c>
      <c r="T1188" s="153" t="str">
        <f>IF(N1188="","",N1188-L1188)</f>
        <v/>
      </c>
      <c r="U1188" s="153" t="str">
        <f>IF(O1188="","",O1188-N1188)</f>
        <v/>
      </c>
      <c r="V1188" s="154" t="str">
        <f>IF(O1188="","",O1188-B1188)</f>
        <v/>
      </c>
      <c r="W1188" s="154" t="str">
        <f>IF(O1188="","",O1188-L1188)</f>
        <v/>
      </c>
      <c r="X1188" s="154">
        <f>IF(R1188="","",R1188-B1188)</f>
        <v>15</v>
      </c>
    </row>
    <row r="1189" spans="2:24" ht="17.25" hidden="1" customHeight="1">
      <c r="B1189" s="23">
        <v>45790</v>
      </c>
      <c r="C1189" s="7">
        <v>2003673211</v>
      </c>
      <c r="D1189" s="20">
        <v>164263</v>
      </c>
      <c r="E1189" s="27" t="s">
        <v>123</v>
      </c>
      <c r="F1189" s="7" t="s">
        <v>107</v>
      </c>
      <c r="G1189" s="7" t="s">
        <v>26</v>
      </c>
      <c r="H1189" s="7" t="s">
        <v>45</v>
      </c>
      <c r="I1189" s="20" t="s">
        <v>1863</v>
      </c>
      <c r="J1189" s="20" t="s">
        <v>1864</v>
      </c>
      <c r="K1189" s="7" t="s">
        <v>119</v>
      </c>
      <c r="L1189" s="61">
        <v>45798</v>
      </c>
      <c r="M1189" s="7" t="s">
        <v>111</v>
      </c>
      <c r="N1189" s="24">
        <v>45803</v>
      </c>
      <c r="O1189" s="23">
        <v>45803</v>
      </c>
      <c r="P1189" s="59"/>
      <c r="Q1189" s="124" t="e">
        <f>P1189*#REF!</f>
        <v>#REF!</v>
      </c>
      <c r="R1189" s="126">
        <v>45803</v>
      </c>
      <c r="S1189" s="153">
        <f>IF(L1189="","",L1189-B1189)</f>
        <v>8</v>
      </c>
      <c r="T1189" s="153">
        <f>IF(N1189="","",N1189-L1189)</f>
        <v>5</v>
      </c>
      <c r="U1189" s="153">
        <f>IF(O1189="","",O1189-N1189)</f>
        <v>0</v>
      </c>
      <c r="V1189" s="154">
        <f>IF(O1189="","",O1189-B1189)</f>
        <v>13</v>
      </c>
      <c r="W1189" s="154">
        <f>IF(O1189="","",O1189-L1189)</f>
        <v>5</v>
      </c>
      <c r="X1189" s="154">
        <f>IF(R1189="","",R1189-B1189)</f>
        <v>13</v>
      </c>
    </row>
    <row r="1190" spans="2:24" ht="17.25" hidden="1" customHeight="1">
      <c r="B1190" s="23">
        <v>45790</v>
      </c>
      <c r="C1190" s="7">
        <v>2003670983</v>
      </c>
      <c r="D1190" s="20">
        <v>164277</v>
      </c>
      <c r="E1190" s="27" t="s">
        <v>180</v>
      </c>
      <c r="F1190" s="7" t="s">
        <v>107</v>
      </c>
      <c r="G1190" s="7" t="s">
        <v>10</v>
      </c>
      <c r="H1190" s="7" t="s">
        <v>45</v>
      </c>
      <c r="I1190" s="20" t="s">
        <v>1948</v>
      </c>
      <c r="J1190" s="20" t="s">
        <v>1893</v>
      </c>
      <c r="K1190" s="7" t="s">
        <v>110</v>
      </c>
      <c r="L1190" s="61">
        <v>45792</v>
      </c>
      <c r="M1190" s="7" t="s">
        <v>111</v>
      </c>
      <c r="N1190" s="24">
        <v>45793</v>
      </c>
      <c r="O1190" s="24">
        <v>45793</v>
      </c>
      <c r="P1190" s="59"/>
      <c r="Q1190" s="124" t="e">
        <f>P1190*#REF!</f>
        <v>#REF!</v>
      </c>
      <c r="R1190" s="126">
        <v>45796</v>
      </c>
      <c r="S1190" s="153">
        <f>IF(L1190="","",L1190-B1190)</f>
        <v>2</v>
      </c>
      <c r="T1190" s="153">
        <f>IF(N1190="","",N1190-L1190)</f>
        <v>1</v>
      </c>
      <c r="U1190" s="153">
        <f>IF(O1190="","",O1190-N1190)</f>
        <v>0</v>
      </c>
      <c r="V1190" s="154">
        <f>IF(O1190="","",O1190-B1190)</f>
        <v>3</v>
      </c>
      <c r="W1190" s="154">
        <f>IF(O1190="","",O1190-L1190)</f>
        <v>1</v>
      </c>
      <c r="X1190" s="154">
        <f>IF(R1190="","",R1190-B1190)</f>
        <v>6</v>
      </c>
    </row>
    <row r="1191" spans="2:24" ht="17.25" hidden="1" customHeight="1">
      <c r="B1191" s="23">
        <v>45791</v>
      </c>
      <c r="C1191" s="7">
        <v>2003673211</v>
      </c>
      <c r="D1191" s="20">
        <v>164565</v>
      </c>
      <c r="E1191" s="27" t="s">
        <v>123</v>
      </c>
      <c r="F1191" s="7" t="s">
        <v>107</v>
      </c>
      <c r="G1191" s="7" t="s">
        <v>10</v>
      </c>
      <c r="H1191" s="7" t="s">
        <v>45</v>
      </c>
      <c r="I1191" s="20" t="s">
        <v>1863</v>
      </c>
      <c r="J1191" s="20" t="s">
        <v>1864</v>
      </c>
      <c r="K1191" s="7" t="s">
        <v>119</v>
      </c>
      <c r="L1191" s="61">
        <v>45799</v>
      </c>
      <c r="M1191" s="7" t="s">
        <v>111</v>
      </c>
      <c r="N1191" s="24">
        <v>45801</v>
      </c>
      <c r="O1191" s="24">
        <v>45801</v>
      </c>
      <c r="P1191" s="59"/>
      <c r="Q1191" s="124" t="e">
        <f>P1191*#REF!</f>
        <v>#REF!</v>
      </c>
      <c r="R1191" s="126">
        <v>45807</v>
      </c>
      <c r="S1191" s="153">
        <f>IF(L1191="","",L1191-B1191)</f>
        <v>8</v>
      </c>
      <c r="T1191" s="153">
        <f>IF(N1191="","",N1191-L1191)</f>
        <v>2</v>
      </c>
      <c r="U1191" s="153">
        <f>IF(O1191="","",O1191-N1191)</f>
        <v>0</v>
      </c>
      <c r="V1191" s="154">
        <f>IF(O1191="","",O1191-B1191)</f>
        <v>10</v>
      </c>
      <c r="W1191" s="154">
        <f>IF(O1191="","",O1191-L1191)</f>
        <v>2</v>
      </c>
      <c r="X1191" s="154">
        <f>IF(R1191="","",R1191-B1191)</f>
        <v>16</v>
      </c>
    </row>
    <row r="1192" spans="2:24" ht="17.25" hidden="1" customHeight="1">
      <c r="B1192" s="23">
        <v>45791</v>
      </c>
      <c r="C1192" s="7">
        <v>2003685045</v>
      </c>
      <c r="D1192" s="20">
        <v>164681</v>
      </c>
      <c r="E1192" s="27" t="s">
        <v>949</v>
      </c>
      <c r="F1192" s="7" t="s">
        <v>107</v>
      </c>
      <c r="G1192" s="7" t="s">
        <v>10</v>
      </c>
      <c r="H1192" s="7" t="s">
        <v>45</v>
      </c>
      <c r="I1192" s="20" t="s">
        <v>1949</v>
      </c>
      <c r="J1192" s="20" t="s">
        <v>1950</v>
      </c>
      <c r="K1192" s="7" t="s">
        <v>110</v>
      </c>
      <c r="L1192" s="61">
        <v>45796</v>
      </c>
      <c r="M1192" s="7" t="s">
        <v>111</v>
      </c>
      <c r="N1192" s="61">
        <v>45796</v>
      </c>
      <c r="O1192" s="58">
        <v>45799</v>
      </c>
      <c r="P1192" s="59"/>
      <c r="Q1192" s="124" t="e">
        <f>P1192*#REF!</f>
        <v>#REF!</v>
      </c>
      <c r="R1192" s="126">
        <v>45800</v>
      </c>
      <c r="S1192" s="153">
        <f>IF(L1192="","",L1192-B1192)</f>
        <v>5</v>
      </c>
      <c r="T1192" s="153">
        <f>IF(N1192="","",N1192-L1192)</f>
        <v>0</v>
      </c>
      <c r="U1192" s="153">
        <f>IF(O1192="","",O1192-N1192)</f>
        <v>3</v>
      </c>
      <c r="V1192" s="154">
        <f>IF(O1192="","",O1192-B1192)</f>
        <v>8</v>
      </c>
      <c r="W1192" s="154">
        <f>IF(O1192="","",O1192-L1192)</f>
        <v>3</v>
      </c>
      <c r="X1192" s="154">
        <f>IF(R1192="","",R1192-B1192)</f>
        <v>9</v>
      </c>
    </row>
    <row r="1193" spans="2:24" ht="17.25" hidden="1" customHeight="1">
      <c r="B1193" s="23">
        <v>45791</v>
      </c>
      <c r="C1193" s="7">
        <v>2003684745</v>
      </c>
      <c r="D1193" s="20">
        <v>164939</v>
      </c>
      <c r="E1193" s="27" t="s">
        <v>135</v>
      </c>
      <c r="F1193" s="7" t="s">
        <v>107</v>
      </c>
      <c r="G1193" s="7" t="s">
        <v>10</v>
      </c>
      <c r="H1193" s="7" t="s">
        <v>45</v>
      </c>
      <c r="I1193" s="20" t="s">
        <v>1951</v>
      </c>
      <c r="J1193" s="20" t="s">
        <v>1952</v>
      </c>
      <c r="K1193" s="7" t="s">
        <v>119</v>
      </c>
      <c r="L1193" s="61">
        <v>45796</v>
      </c>
      <c r="M1193" s="7" t="s">
        <v>111</v>
      </c>
      <c r="N1193" s="24">
        <v>45797</v>
      </c>
      <c r="O1193" s="23">
        <v>45799</v>
      </c>
      <c r="P1193" s="59"/>
      <c r="Q1193" s="124" t="e">
        <f>P1193*#REF!</f>
        <v>#REF!</v>
      </c>
      <c r="R1193" s="126">
        <v>45800</v>
      </c>
      <c r="S1193" s="153">
        <f>IF(L1193="","",L1193-B1193)</f>
        <v>5</v>
      </c>
      <c r="T1193" s="153">
        <f>IF(N1193="","",N1193-L1193)</f>
        <v>1</v>
      </c>
      <c r="U1193" s="153">
        <f>IF(O1193="","",O1193-N1193)</f>
        <v>2</v>
      </c>
      <c r="V1193" s="154">
        <f>IF(O1193="","",O1193-B1193)</f>
        <v>8</v>
      </c>
      <c r="W1193" s="154">
        <f>IF(O1193="","",O1193-L1193)</f>
        <v>3</v>
      </c>
      <c r="X1193" s="154">
        <f>IF(R1193="","",R1193-B1193)</f>
        <v>9</v>
      </c>
    </row>
    <row r="1194" spans="2:24" ht="17.25" hidden="1" customHeight="1">
      <c r="B1194" s="23">
        <v>45791</v>
      </c>
      <c r="C1194" s="7">
        <v>2003665497</v>
      </c>
      <c r="D1194" s="20">
        <v>165018</v>
      </c>
      <c r="E1194" s="27" t="s">
        <v>138</v>
      </c>
      <c r="F1194" s="7" t="s">
        <v>107</v>
      </c>
      <c r="G1194" s="7" t="s">
        <v>10</v>
      </c>
      <c r="H1194" s="7" t="s">
        <v>45</v>
      </c>
      <c r="I1194" s="20" t="s">
        <v>186</v>
      </c>
      <c r="J1194" s="20" t="s">
        <v>1630</v>
      </c>
      <c r="K1194" s="7" t="s">
        <v>119</v>
      </c>
      <c r="L1194" s="61">
        <v>45792</v>
      </c>
      <c r="M1194" s="7" t="s">
        <v>111</v>
      </c>
      <c r="N1194" s="61">
        <v>45792</v>
      </c>
      <c r="O1194" s="61">
        <v>45792</v>
      </c>
      <c r="P1194" s="59"/>
      <c r="Q1194" s="124" t="e">
        <f>P1194*#REF!</f>
        <v>#REF!</v>
      </c>
      <c r="R1194" s="126">
        <v>45796</v>
      </c>
      <c r="S1194" s="153">
        <f>IF(L1194="","",L1194-B1194)</f>
        <v>1</v>
      </c>
      <c r="T1194" s="153">
        <f>IF(N1194="","",N1194-L1194)</f>
        <v>0</v>
      </c>
      <c r="U1194" s="153">
        <f>IF(O1194="","",O1194-N1194)</f>
        <v>0</v>
      </c>
      <c r="V1194" s="154">
        <f>IF(O1194="","",O1194-B1194)</f>
        <v>1</v>
      </c>
      <c r="W1194" s="154">
        <f>IF(O1194="","",O1194-L1194)</f>
        <v>0</v>
      </c>
      <c r="X1194" s="154">
        <f>IF(R1194="","",R1194-B1194)</f>
        <v>5</v>
      </c>
    </row>
    <row r="1195" spans="2:24" ht="17.25" hidden="1" customHeight="1">
      <c r="B1195" s="23">
        <v>45791</v>
      </c>
      <c r="C1195" s="7">
        <v>2003667424</v>
      </c>
      <c r="D1195" s="20">
        <v>165135</v>
      </c>
      <c r="E1195" s="27" t="s">
        <v>408</v>
      </c>
      <c r="F1195" s="7" t="s">
        <v>107</v>
      </c>
      <c r="G1195" s="7" t="s">
        <v>10</v>
      </c>
      <c r="H1195" s="7" t="s">
        <v>45</v>
      </c>
      <c r="I1195" s="20" t="s">
        <v>1953</v>
      </c>
      <c r="J1195" s="20" t="s">
        <v>1514</v>
      </c>
      <c r="K1195" s="7" t="s">
        <v>110</v>
      </c>
      <c r="L1195" s="61">
        <v>45792</v>
      </c>
      <c r="M1195" s="7" t="s">
        <v>111</v>
      </c>
      <c r="N1195" s="24">
        <v>45796</v>
      </c>
      <c r="O1195" s="58">
        <v>45796</v>
      </c>
      <c r="P1195" s="59"/>
      <c r="Q1195" s="124" t="e">
        <f>P1195*#REF!</f>
        <v>#REF!</v>
      </c>
      <c r="R1195" s="126">
        <v>45796</v>
      </c>
      <c r="S1195" s="153">
        <f>IF(L1195="","",L1195-B1195)</f>
        <v>1</v>
      </c>
      <c r="T1195" s="153">
        <f>IF(N1195="","",N1195-L1195)</f>
        <v>4</v>
      </c>
      <c r="U1195" s="153">
        <f>IF(O1195="","",O1195-N1195)</f>
        <v>0</v>
      </c>
      <c r="V1195" s="154">
        <f>IF(O1195="","",O1195-B1195)</f>
        <v>5</v>
      </c>
      <c r="W1195" s="154">
        <f>IF(O1195="","",O1195-L1195)</f>
        <v>4</v>
      </c>
      <c r="X1195" s="154">
        <f>IF(R1195="","",R1195-B1195)</f>
        <v>5</v>
      </c>
    </row>
    <row r="1196" spans="2:24" ht="17.25" hidden="1" customHeight="1">
      <c r="B1196" s="23">
        <v>45791</v>
      </c>
      <c r="C1196" s="7">
        <v>2003666858</v>
      </c>
      <c r="D1196" s="20">
        <v>165209</v>
      </c>
      <c r="E1196" s="27" t="s">
        <v>116</v>
      </c>
      <c r="F1196" s="7" t="s">
        <v>107</v>
      </c>
      <c r="G1196" s="7" t="s">
        <v>10</v>
      </c>
      <c r="H1196" s="7" t="s">
        <v>45</v>
      </c>
      <c r="I1196" s="20" t="s">
        <v>1954</v>
      </c>
      <c r="J1196" s="20" t="s">
        <v>1955</v>
      </c>
      <c r="K1196" s="7" t="s">
        <v>119</v>
      </c>
      <c r="L1196" s="61">
        <v>45793</v>
      </c>
      <c r="M1196" s="7" t="s">
        <v>111</v>
      </c>
      <c r="N1196" s="24">
        <v>45794</v>
      </c>
      <c r="O1196" s="106">
        <v>45794</v>
      </c>
      <c r="P1196" s="59"/>
      <c r="Q1196" s="124" t="e">
        <f>P1196*#REF!</f>
        <v>#REF!</v>
      </c>
      <c r="R1196" s="126">
        <v>45796</v>
      </c>
      <c r="S1196" s="153">
        <f>IF(L1196="","",L1196-B1196)</f>
        <v>2</v>
      </c>
      <c r="T1196" s="153">
        <f>IF(N1196="","",N1196-L1196)</f>
        <v>1</v>
      </c>
      <c r="U1196" s="153">
        <f>IF(O1196="","",O1196-N1196)</f>
        <v>0</v>
      </c>
      <c r="V1196" s="154">
        <f>IF(O1196="","",O1196-B1196)</f>
        <v>3</v>
      </c>
      <c r="W1196" s="154">
        <f>IF(O1196="","",O1196-L1196)</f>
        <v>1</v>
      </c>
      <c r="X1196" s="154">
        <f>IF(R1196="","",R1196-B1196)</f>
        <v>5</v>
      </c>
    </row>
    <row r="1197" spans="2:24" ht="17.25" hidden="1" customHeight="1">
      <c r="B1197" s="23">
        <v>45791</v>
      </c>
      <c r="C1197" s="7">
        <v>2003673948</v>
      </c>
      <c r="D1197" s="20">
        <v>165225</v>
      </c>
      <c r="E1197" s="27" t="s">
        <v>129</v>
      </c>
      <c r="F1197" s="7" t="s">
        <v>107</v>
      </c>
      <c r="G1197" s="7" t="s">
        <v>10</v>
      </c>
      <c r="H1197" s="7" t="s">
        <v>45</v>
      </c>
      <c r="I1197" s="20" t="s">
        <v>1956</v>
      </c>
      <c r="J1197" s="20" t="s">
        <v>1957</v>
      </c>
      <c r="K1197" s="7" t="s">
        <v>110</v>
      </c>
      <c r="L1197" s="61">
        <v>45804</v>
      </c>
      <c r="M1197" s="7" t="s">
        <v>111</v>
      </c>
      <c r="N1197" s="61">
        <v>45804</v>
      </c>
      <c r="O1197" s="58">
        <v>45805</v>
      </c>
      <c r="P1197" s="59"/>
      <c r="Q1197" s="124" t="e">
        <f>P1197*#REF!</f>
        <v>#REF!</v>
      </c>
      <c r="R1197" s="126">
        <v>45807</v>
      </c>
      <c r="S1197" s="153">
        <f>IF(L1197="","",L1197-B1197)</f>
        <v>13</v>
      </c>
      <c r="T1197" s="153">
        <f>IF(N1197="","",N1197-L1197)</f>
        <v>0</v>
      </c>
      <c r="U1197" s="153">
        <f>IF(O1197="","",O1197-N1197)</f>
        <v>1</v>
      </c>
      <c r="V1197" s="154">
        <f>IF(O1197="","",O1197-B1197)</f>
        <v>14</v>
      </c>
      <c r="W1197" s="154">
        <f>IF(O1197="","",O1197-L1197)</f>
        <v>1</v>
      </c>
      <c r="X1197" s="154">
        <f>IF(R1197="","",R1197-B1197)</f>
        <v>16</v>
      </c>
    </row>
    <row r="1198" spans="2:24" ht="17.25" hidden="1" customHeight="1">
      <c r="B1198" s="23">
        <v>45791</v>
      </c>
      <c r="C1198" s="7">
        <v>2003683081</v>
      </c>
      <c r="D1198" s="20">
        <v>165269</v>
      </c>
      <c r="E1198" s="27" t="s">
        <v>116</v>
      </c>
      <c r="F1198" s="7" t="s">
        <v>107</v>
      </c>
      <c r="G1198" s="7" t="s">
        <v>10</v>
      </c>
      <c r="H1198" s="7" t="s">
        <v>45</v>
      </c>
      <c r="I1198" s="20" t="s">
        <v>1748</v>
      </c>
      <c r="J1198" s="20" t="s">
        <v>1958</v>
      </c>
      <c r="K1198" s="7" t="s">
        <v>119</v>
      </c>
      <c r="L1198" s="61">
        <v>45798</v>
      </c>
      <c r="M1198" s="7" t="s">
        <v>111</v>
      </c>
      <c r="N1198" s="24">
        <v>45800</v>
      </c>
      <c r="O1198" s="58">
        <v>45803</v>
      </c>
      <c r="P1198" s="59"/>
      <c r="Q1198" s="124" t="e">
        <f>P1198*#REF!</f>
        <v>#REF!</v>
      </c>
      <c r="R1198" s="126">
        <v>45804</v>
      </c>
      <c r="S1198" s="153">
        <f>IF(L1198="","",L1198-B1198)</f>
        <v>7</v>
      </c>
      <c r="T1198" s="153">
        <f>IF(N1198="","",N1198-L1198)</f>
        <v>2</v>
      </c>
      <c r="U1198" s="153">
        <f>IF(O1198="","",O1198-N1198)</f>
        <v>3</v>
      </c>
      <c r="V1198" s="154">
        <f>IF(O1198="","",O1198-B1198)</f>
        <v>12</v>
      </c>
      <c r="W1198" s="154">
        <f>IF(O1198="","",O1198-L1198)</f>
        <v>5</v>
      </c>
      <c r="X1198" s="154">
        <f>IF(R1198="","",R1198-B1198)</f>
        <v>13</v>
      </c>
    </row>
    <row r="1199" spans="2:24" ht="17.25" hidden="1" customHeight="1">
      <c r="B1199" s="23">
        <v>45791</v>
      </c>
      <c r="C1199" s="7">
        <v>2003667705</v>
      </c>
      <c r="D1199" s="20">
        <v>165418</v>
      </c>
      <c r="E1199" s="27" t="s">
        <v>106</v>
      </c>
      <c r="F1199" s="7" t="s">
        <v>107</v>
      </c>
      <c r="G1199" s="7" t="s">
        <v>10</v>
      </c>
      <c r="H1199" s="7" t="s">
        <v>45</v>
      </c>
      <c r="I1199" s="20" t="s">
        <v>1959</v>
      </c>
      <c r="J1199" s="20" t="s">
        <v>1960</v>
      </c>
      <c r="K1199" s="7" t="s">
        <v>110</v>
      </c>
      <c r="L1199" s="61">
        <v>45797</v>
      </c>
      <c r="M1199" s="7" t="s">
        <v>111</v>
      </c>
      <c r="N1199" s="61">
        <v>45797</v>
      </c>
      <c r="O1199" s="130">
        <v>45797</v>
      </c>
      <c r="P1199" s="59"/>
      <c r="Q1199" s="124" t="e">
        <f>P1199*#REF!</f>
        <v>#REF!</v>
      </c>
      <c r="R1199" s="126">
        <v>45798</v>
      </c>
      <c r="S1199" s="153">
        <f>IF(L1199="","",L1199-B1199)</f>
        <v>6</v>
      </c>
      <c r="T1199" s="153">
        <f>IF(N1199="","",N1199-L1199)</f>
        <v>0</v>
      </c>
      <c r="U1199" s="153">
        <f>IF(O1199="","",O1199-N1199)</f>
        <v>0</v>
      </c>
      <c r="V1199" s="154">
        <f>IF(O1199="","",O1199-B1199)</f>
        <v>6</v>
      </c>
      <c r="W1199" s="154">
        <f>IF(O1199="","",O1199-L1199)</f>
        <v>0</v>
      </c>
      <c r="X1199" s="154">
        <f>IF(R1199="","",R1199-B1199)</f>
        <v>7</v>
      </c>
    </row>
    <row r="1200" spans="2:24" ht="17.25" hidden="1" customHeight="1">
      <c r="B1200" s="23">
        <v>45791</v>
      </c>
      <c r="C1200" s="7">
        <v>2003675728</v>
      </c>
      <c r="D1200" s="20">
        <v>165425</v>
      </c>
      <c r="E1200" s="27" t="s">
        <v>198</v>
      </c>
      <c r="F1200" s="7" t="s">
        <v>107</v>
      </c>
      <c r="G1200" s="7" t="s">
        <v>18</v>
      </c>
      <c r="H1200" s="7" t="s">
        <v>45</v>
      </c>
      <c r="I1200" s="20" t="s">
        <v>453</v>
      </c>
      <c r="J1200" s="20" t="s">
        <v>1961</v>
      </c>
      <c r="K1200" s="7" t="s">
        <v>119</v>
      </c>
      <c r="L1200" s="61">
        <v>45796</v>
      </c>
      <c r="M1200" s="7" t="s">
        <v>111</v>
      </c>
      <c r="N1200" s="61">
        <v>45797</v>
      </c>
      <c r="O1200" s="58">
        <v>45799</v>
      </c>
      <c r="P1200" s="59"/>
      <c r="Q1200" s="124" t="e">
        <f>P1200*#REF!</f>
        <v>#REF!</v>
      </c>
      <c r="R1200" s="126">
        <v>45800</v>
      </c>
      <c r="S1200" s="153">
        <f>IF(L1200="","",L1200-B1200)</f>
        <v>5</v>
      </c>
      <c r="T1200" s="153">
        <f>IF(N1200="","",N1200-L1200)</f>
        <v>1</v>
      </c>
      <c r="U1200" s="153">
        <f>IF(O1200="","",O1200-N1200)</f>
        <v>2</v>
      </c>
      <c r="V1200" s="154">
        <f>IF(O1200="","",O1200-B1200)</f>
        <v>8</v>
      </c>
      <c r="W1200" s="154">
        <f>IF(O1200="","",O1200-L1200)</f>
        <v>3</v>
      </c>
      <c r="X1200" s="154">
        <f>IF(R1200="","",R1200-B1200)</f>
        <v>9</v>
      </c>
    </row>
    <row r="1201" spans="2:24" ht="17.25" hidden="1" customHeight="1">
      <c r="B1201" s="23">
        <v>45791</v>
      </c>
      <c r="C1201" s="7">
        <v>2003675813</v>
      </c>
      <c r="D1201" s="20">
        <v>165452</v>
      </c>
      <c r="E1201" s="27" t="s">
        <v>198</v>
      </c>
      <c r="F1201" s="7" t="s">
        <v>107</v>
      </c>
      <c r="G1201" s="7" t="s">
        <v>26</v>
      </c>
      <c r="H1201" s="7" t="s">
        <v>45</v>
      </c>
      <c r="I1201" s="20" t="s">
        <v>934</v>
      </c>
      <c r="J1201" s="20" t="s">
        <v>1962</v>
      </c>
      <c r="K1201" s="7" t="s">
        <v>119</v>
      </c>
      <c r="L1201" s="61">
        <v>45798</v>
      </c>
      <c r="M1201" s="7" t="s">
        <v>111</v>
      </c>
      <c r="N1201" s="24">
        <v>45798</v>
      </c>
      <c r="O1201" s="23">
        <v>45798</v>
      </c>
      <c r="P1201" s="59"/>
      <c r="Q1201" s="124" t="e">
        <f>P1201*#REF!</f>
        <v>#REF!</v>
      </c>
      <c r="R1201" s="126">
        <v>45798</v>
      </c>
      <c r="S1201" s="153">
        <f>IF(L1201="","",L1201-B1201)</f>
        <v>7</v>
      </c>
      <c r="T1201" s="153">
        <f>IF(N1201="","",N1201-L1201)</f>
        <v>0</v>
      </c>
      <c r="U1201" s="153">
        <f>IF(O1201="","",O1201-N1201)</f>
        <v>0</v>
      </c>
      <c r="V1201" s="154">
        <f>IF(O1201="","",O1201-B1201)</f>
        <v>7</v>
      </c>
      <c r="W1201" s="154">
        <f>IF(O1201="","",O1201-L1201)</f>
        <v>0</v>
      </c>
      <c r="X1201" s="154">
        <f>IF(R1201="","",R1201-B1201)</f>
        <v>7</v>
      </c>
    </row>
    <row r="1202" spans="2:24" ht="17.25" hidden="1" customHeight="1">
      <c r="B1202" s="23">
        <v>45792</v>
      </c>
      <c r="C1202" s="7">
        <v>2003667038</v>
      </c>
      <c r="D1202" s="20">
        <v>165674</v>
      </c>
      <c r="E1202" s="27" t="s">
        <v>949</v>
      </c>
      <c r="F1202" s="7" t="s">
        <v>107</v>
      </c>
      <c r="G1202" s="7" t="s">
        <v>10</v>
      </c>
      <c r="H1202" s="7" t="s">
        <v>45</v>
      </c>
      <c r="I1202" s="20" t="s">
        <v>1464</v>
      </c>
      <c r="J1202" s="20" t="s">
        <v>1963</v>
      </c>
      <c r="K1202" s="7" t="s">
        <v>110</v>
      </c>
      <c r="L1202" s="61">
        <v>45796</v>
      </c>
      <c r="M1202" s="7" t="s">
        <v>111</v>
      </c>
      <c r="N1202" s="61">
        <v>45796</v>
      </c>
      <c r="O1202" s="58">
        <v>45799</v>
      </c>
      <c r="P1202" s="59"/>
      <c r="Q1202" s="124" t="e">
        <f>P1202*#REF!</f>
        <v>#REF!</v>
      </c>
      <c r="R1202" s="126">
        <v>45800</v>
      </c>
      <c r="S1202" s="153">
        <f>IF(L1202="","",L1202-B1202)</f>
        <v>4</v>
      </c>
      <c r="T1202" s="153">
        <f>IF(N1202="","",N1202-L1202)</f>
        <v>0</v>
      </c>
      <c r="U1202" s="153">
        <f>IF(O1202="","",O1202-N1202)</f>
        <v>3</v>
      </c>
      <c r="V1202" s="154">
        <f>IF(O1202="","",O1202-B1202)</f>
        <v>7</v>
      </c>
      <c r="W1202" s="154">
        <f>IF(O1202="","",O1202-L1202)</f>
        <v>3</v>
      </c>
      <c r="X1202" s="154">
        <f>IF(R1202="","",R1202-B1202)</f>
        <v>8</v>
      </c>
    </row>
    <row r="1203" spans="2:24" ht="17.25" hidden="1" customHeight="1">
      <c r="B1203" s="23">
        <v>45792</v>
      </c>
      <c r="C1203" s="7">
        <v>2003687184</v>
      </c>
      <c r="D1203" s="20">
        <v>166232</v>
      </c>
      <c r="E1203" s="27" t="s">
        <v>1225</v>
      </c>
      <c r="F1203" s="7" t="s">
        <v>107</v>
      </c>
      <c r="G1203" s="7" t="s">
        <v>10</v>
      </c>
      <c r="H1203" s="7" t="s">
        <v>45</v>
      </c>
      <c r="I1203" s="20" t="s">
        <v>1964</v>
      </c>
      <c r="J1203" s="20" t="s">
        <v>1965</v>
      </c>
      <c r="K1203" s="7" t="s">
        <v>110</v>
      </c>
      <c r="L1203" s="61">
        <v>45797</v>
      </c>
      <c r="M1203" s="7" t="s">
        <v>111</v>
      </c>
      <c r="N1203" s="61">
        <v>45797</v>
      </c>
      <c r="O1203" s="58">
        <v>45799</v>
      </c>
      <c r="P1203" s="59"/>
      <c r="Q1203" s="124" t="e">
        <f>P1203*#REF!</f>
        <v>#REF!</v>
      </c>
      <c r="R1203" s="126">
        <v>45800</v>
      </c>
      <c r="S1203" s="153">
        <f>IF(L1203="","",L1203-B1203)</f>
        <v>5</v>
      </c>
      <c r="T1203" s="153">
        <f>IF(N1203="","",N1203-L1203)</f>
        <v>0</v>
      </c>
      <c r="U1203" s="153">
        <f>IF(O1203="","",O1203-N1203)</f>
        <v>2</v>
      </c>
      <c r="V1203" s="154">
        <f>IF(O1203="","",O1203-B1203)</f>
        <v>7</v>
      </c>
      <c r="W1203" s="154">
        <f>IF(O1203="","",O1203-L1203)</f>
        <v>2</v>
      </c>
      <c r="X1203" s="154">
        <f>IF(R1203="","",R1203-B1203)</f>
        <v>8</v>
      </c>
    </row>
    <row r="1204" spans="2:24" ht="17.25" hidden="1" customHeight="1">
      <c r="B1204" s="23">
        <v>45792</v>
      </c>
      <c r="C1204" s="7">
        <v>2003665628</v>
      </c>
      <c r="D1204" s="20">
        <v>166377</v>
      </c>
      <c r="E1204" s="27" t="s">
        <v>408</v>
      </c>
      <c r="F1204" s="7" t="s">
        <v>107</v>
      </c>
      <c r="G1204" s="7" t="s">
        <v>18</v>
      </c>
      <c r="H1204" s="7" t="s">
        <v>45</v>
      </c>
      <c r="I1204" s="20" t="s">
        <v>1966</v>
      </c>
      <c r="J1204" s="20" t="s">
        <v>1967</v>
      </c>
      <c r="K1204" s="7" t="s">
        <v>119</v>
      </c>
      <c r="L1204" s="61">
        <v>45797</v>
      </c>
      <c r="M1204" s="7" t="s">
        <v>111</v>
      </c>
      <c r="N1204" s="24">
        <v>45800</v>
      </c>
      <c r="O1204" s="23">
        <v>45800</v>
      </c>
      <c r="P1204" s="59"/>
      <c r="Q1204" s="124" t="e">
        <f>P1204*#REF!</f>
        <v>#REF!</v>
      </c>
      <c r="R1204" s="126">
        <v>45800</v>
      </c>
      <c r="S1204" s="153">
        <f>IF(L1204="","",L1204-B1204)</f>
        <v>5</v>
      </c>
      <c r="T1204" s="153">
        <f>IF(N1204="","",N1204-L1204)</f>
        <v>3</v>
      </c>
      <c r="U1204" s="153">
        <f>IF(O1204="","",O1204-N1204)</f>
        <v>0</v>
      </c>
      <c r="V1204" s="154">
        <f>IF(O1204="","",O1204-B1204)</f>
        <v>8</v>
      </c>
      <c r="W1204" s="154">
        <f>IF(O1204="","",O1204-L1204)</f>
        <v>3</v>
      </c>
      <c r="X1204" s="154">
        <f>IF(R1204="","",R1204-B1204)</f>
        <v>8</v>
      </c>
    </row>
    <row r="1205" spans="2:24" ht="17.25" hidden="1" customHeight="1">
      <c r="B1205" s="23">
        <v>45792</v>
      </c>
      <c r="C1205" s="7">
        <v>2003671238</v>
      </c>
      <c r="D1205" s="20">
        <v>166484</v>
      </c>
      <c r="E1205" s="27" t="s">
        <v>949</v>
      </c>
      <c r="F1205" s="7" t="s">
        <v>107</v>
      </c>
      <c r="G1205" s="7" t="s">
        <v>10</v>
      </c>
      <c r="H1205" s="7" t="s">
        <v>45</v>
      </c>
      <c r="I1205" s="20" t="s">
        <v>419</v>
      </c>
      <c r="J1205" s="20" t="s">
        <v>1968</v>
      </c>
      <c r="K1205" s="7" t="s">
        <v>119</v>
      </c>
      <c r="L1205" s="61">
        <v>45800</v>
      </c>
      <c r="M1205" s="7" t="s">
        <v>111</v>
      </c>
      <c r="N1205" s="24">
        <v>45801</v>
      </c>
      <c r="O1205" s="106">
        <v>45801</v>
      </c>
      <c r="P1205" s="59"/>
      <c r="Q1205" s="124" t="e">
        <f>P1205*#REF!</f>
        <v>#REF!</v>
      </c>
      <c r="R1205" s="126">
        <v>45803</v>
      </c>
      <c r="S1205" s="153">
        <f>IF(L1205="","",L1205-B1205)</f>
        <v>8</v>
      </c>
      <c r="T1205" s="153">
        <f>IF(N1205="","",N1205-L1205)</f>
        <v>1</v>
      </c>
      <c r="U1205" s="153">
        <f>IF(O1205="","",O1205-N1205)</f>
        <v>0</v>
      </c>
      <c r="V1205" s="154">
        <f>IF(O1205="","",O1205-B1205)</f>
        <v>9</v>
      </c>
      <c r="W1205" s="154">
        <f>IF(O1205="","",O1205-L1205)</f>
        <v>1</v>
      </c>
      <c r="X1205" s="154">
        <f>IF(R1205="","",R1205-B1205)</f>
        <v>11</v>
      </c>
    </row>
    <row r="1206" spans="2:24" ht="17.25" hidden="1" customHeight="1">
      <c r="B1206" s="23">
        <v>45792</v>
      </c>
      <c r="C1206" s="7">
        <v>2003669041</v>
      </c>
      <c r="D1206" s="20">
        <v>166573</v>
      </c>
      <c r="E1206" s="27" t="s">
        <v>123</v>
      </c>
      <c r="F1206" s="7" t="s">
        <v>107</v>
      </c>
      <c r="G1206" s="7" t="s">
        <v>26</v>
      </c>
      <c r="H1206" s="7" t="s">
        <v>45</v>
      </c>
      <c r="I1206" s="20" t="s">
        <v>1969</v>
      </c>
      <c r="J1206" s="20" t="s">
        <v>1970</v>
      </c>
      <c r="K1206" s="7" t="s">
        <v>119</v>
      </c>
      <c r="L1206" s="61">
        <v>45798</v>
      </c>
      <c r="M1206" s="7" t="s">
        <v>111</v>
      </c>
      <c r="N1206" s="24">
        <v>45798</v>
      </c>
      <c r="O1206" s="23">
        <v>45798</v>
      </c>
      <c r="P1206" s="59"/>
      <c r="Q1206" s="124" t="e">
        <f>P1206*#REF!</f>
        <v>#REF!</v>
      </c>
      <c r="R1206" s="126">
        <v>45798</v>
      </c>
      <c r="S1206" s="153">
        <f>IF(L1206="","",L1206-B1206)</f>
        <v>6</v>
      </c>
      <c r="T1206" s="153">
        <f>IF(N1206="","",N1206-L1206)</f>
        <v>0</v>
      </c>
      <c r="U1206" s="153">
        <f>IF(O1206="","",O1206-N1206)</f>
        <v>0</v>
      </c>
      <c r="V1206" s="154">
        <f>IF(O1206="","",O1206-B1206)</f>
        <v>6</v>
      </c>
      <c r="W1206" s="154">
        <f>IF(O1206="","",O1206-L1206)</f>
        <v>0</v>
      </c>
      <c r="X1206" s="154">
        <f>IF(R1206="","",R1206-B1206)</f>
        <v>6</v>
      </c>
    </row>
    <row r="1207" spans="2:24" ht="17.25" hidden="1" customHeight="1">
      <c r="B1207" s="23">
        <v>45792</v>
      </c>
      <c r="C1207" s="7">
        <v>2003687957</v>
      </c>
      <c r="D1207" s="20">
        <v>166594</v>
      </c>
      <c r="E1207" s="27" t="s">
        <v>123</v>
      </c>
      <c r="F1207" s="7" t="s">
        <v>107</v>
      </c>
      <c r="G1207" s="7" t="s">
        <v>10</v>
      </c>
      <c r="H1207" s="7" t="s">
        <v>45</v>
      </c>
      <c r="I1207" s="20" t="s">
        <v>239</v>
      </c>
      <c r="J1207" s="20" t="s">
        <v>1971</v>
      </c>
      <c r="K1207" s="7" t="s">
        <v>119</v>
      </c>
      <c r="L1207" s="61">
        <v>45798</v>
      </c>
      <c r="M1207" s="7" t="s">
        <v>111</v>
      </c>
      <c r="N1207" s="24">
        <v>45807</v>
      </c>
      <c r="O1207" s="24">
        <v>45807</v>
      </c>
      <c r="P1207" s="59"/>
      <c r="Q1207" s="124" t="e">
        <f>P1207*#REF!</f>
        <v>#REF!</v>
      </c>
      <c r="R1207" s="126">
        <v>45807</v>
      </c>
      <c r="S1207" s="153">
        <f>IF(L1207="","",L1207-B1207)</f>
        <v>6</v>
      </c>
      <c r="T1207" s="153">
        <f>IF(N1207="","",N1207-L1207)</f>
        <v>9</v>
      </c>
      <c r="U1207" s="153">
        <f>IF(O1207="","",O1207-N1207)</f>
        <v>0</v>
      </c>
      <c r="V1207" s="154">
        <f>IF(O1207="","",O1207-B1207)</f>
        <v>15</v>
      </c>
      <c r="W1207" s="154">
        <f>IF(O1207="","",O1207-L1207)</f>
        <v>9</v>
      </c>
      <c r="X1207" s="154">
        <f>IF(R1207="","",R1207-B1207)</f>
        <v>15</v>
      </c>
    </row>
    <row r="1208" spans="2:24" ht="17.25" hidden="1" customHeight="1">
      <c r="B1208" s="23">
        <v>45792</v>
      </c>
      <c r="C1208" s="7">
        <v>2003669508</v>
      </c>
      <c r="D1208" s="20">
        <v>166610</v>
      </c>
      <c r="E1208" s="27" t="s">
        <v>1225</v>
      </c>
      <c r="F1208" s="7" t="s">
        <v>107</v>
      </c>
      <c r="G1208" s="7" t="s">
        <v>26</v>
      </c>
      <c r="H1208" s="7" t="s">
        <v>45</v>
      </c>
      <c r="I1208" s="20" t="s">
        <v>1726</v>
      </c>
      <c r="J1208" s="20" t="s">
        <v>1727</v>
      </c>
      <c r="K1208" s="7" t="s">
        <v>119</v>
      </c>
      <c r="L1208" s="61">
        <v>45798</v>
      </c>
      <c r="M1208" s="7" t="s">
        <v>111</v>
      </c>
      <c r="N1208" s="24">
        <v>45799</v>
      </c>
      <c r="O1208" s="23">
        <v>45799</v>
      </c>
      <c r="P1208" s="59"/>
      <c r="Q1208" s="124" t="e">
        <f>P1208*#REF!</f>
        <v>#REF!</v>
      </c>
      <c r="R1208" s="126">
        <v>45799</v>
      </c>
      <c r="S1208" s="153">
        <f>IF(L1208="","",L1208-B1208)</f>
        <v>6</v>
      </c>
      <c r="T1208" s="153">
        <f>IF(N1208="","",N1208-L1208)</f>
        <v>1</v>
      </c>
      <c r="U1208" s="153">
        <f>IF(O1208="","",O1208-N1208)</f>
        <v>0</v>
      </c>
      <c r="V1208" s="154">
        <f>IF(O1208="","",O1208-B1208)</f>
        <v>7</v>
      </c>
      <c r="W1208" s="154">
        <f>IF(O1208="","",O1208-L1208)</f>
        <v>1</v>
      </c>
      <c r="X1208" s="154">
        <f>IF(R1208="","",R1208-B1208)</f>
        <v>7</v>
      </c>
    </row>
    <row r="1209" spans="2:24" ht="17.25" hidden="1" customHeight="1">
      <c r="B1209" s="23">
        <v>45793</v>
      </c>
      <c r="C1209" s="7">
        <v>2003677054</v>
      </c>
      <c r="D1209" s="20">
        <v>166851</v>
      </c>
      <c r="E1209" s="27" t="s">
        <v>198</v>
      </c>
      <c r="F1209" s="7" t="s">
        <v>107</v>
      </c>
      <c r="G1209" s="7" t="s">
        <v>26</v>
      </c>
      <c r="H1209" s="7" t="s">
        <v>45</v>
      </c>
      <c r="I1209" s="20" t="s">
        <v>1906</v>
      </c>
      <c r="J1209" s="20" t="s">
        <v>1907</v>
      </c>
      <c r="K1209" s="7" t="s">
        <v>119</v>
      </c>
      <c r="L1209" s="61">
        <v>45797</v>
      </c>
      <c r="M1209" s="7" t="s">
        <v>111</v>
      </c>
      <c r="N1209" s="24">
        <v>45798</v>
      </c>
      <c r="O1209" s="23">
        <v>45798</v>
      </c>
      <c r="P1209" s="59"/>
      <c r="Q1209" s="124" t="e">
        <f>P1209*#REF!</f>
        <v>#REF!</v>
      </c>
      <c r="R1209" s="126">
        <v>45798</v>
      </c>
      <c r="S1209" s="153">
        <f>IF(L1209="","",L1209-B1209)</f>
        <v>4</v>
      </c>
      <c r="T1209" s="153">
        <f>IF(N1209="","",N1209-L1209)</f>
        <v>1</v>
      </c>
      <c r="U1209" s="153">
        <f>IF(O1209="","",O1209-N1209)</f>
        <v>0</v>
      </c>
      <c r="V1209" s="154">
        <f>IF(O1209="","",O1209-B1209)</f>
        <v>5</v>
      </c>
      <c r="W1209" s="154">
        <f>IF(O1209="","",O1209-L1209)</f>
        <v>1</v>
      </c>
      <c r="X1209" s="154">
        <f>IF(R1209="","",R1209-B1209)</f>
        <v>5</v>
      </c>
    </row>
    <row r="1210" spans="2:24" ht="17.25" hidden="1" customHeight="1">
      <c r="B1210" s="23">
        <v>45793</v>
      </c>
      <c r="C1210" s="7">
        <v>2003686975</v>
      </c>
      <c r="D1210" s="20">
        <v>167122</v>
      </c>
      <c r="E1210" s="27" t="s">
        <v>123</v>
      </c>
      <c r="F1210" s="7" t="s">
        <v>107</v>
      </c>
      <c r="G1210" s="7" t="s">
        <v>10</v>
      </c>
      <c r="H1210" s="7" t="s">
        <v>45</v>
      </c>
      <c r="I1210" s="20" t="s">
        <v>173</v>
      </c>
      <c r="J1210" s="20" t="s">
        <v>1972</v>
      </c>
      <c r="K1210" s="7" t="s">
        <v>119</v>
      </c>
      <c r="L1210" s="61">
        <v>45797</v>
      </c>
      <c r="M1210" s="7" t="s">
        <v>111</v>
      </c>
      <c r="N1210" s="61">
        <v>45797</v>
      </c>
      <c r="O1210" s="58">
        <v>45799</v>
      </c>
      <c r="P1210" s="59"/>
      <c r="Q1210" s="124" t="e">
        <f>P1210*#REF!</f>
        <v>#REF!</v>
      </c>
      <c r="R1210" s="126">
        <v>45800</v>
      </c>
      <c r="S1210" s="153">
        <f>IF(L1210="","",L1210-B1210)</f>
        <v>4</v>
      </c>
      <c r="T1210" s="153">
        <f>IF(N1210="","",N1210-L1210)</f>
        <v>0</v>
      </c>
      <c r="U1210" s="153">
        <f>IF(O1210="","",O1210-N1210)</f>
        <v>2</v>
      </c>
      <c r="V1210" s="154">
        <f>IF(O1210="","",O1210-B1210)</f>
        <v>6</v>
      </c>
      <c r="W1210" s="154">
        <f>IF(O1210="","",O1210-L1210)</f>
        <v>2</v>
      </c>
      <c r="X1210" s="154">
        <f>IF(R1210="","",R1210-B1210)</f>
        <v>7</v>
      </c>
    </row>
    <row r="1211" spans="2:24" ht="17.25" hidden="1" customHeight="1">
      <c r="B1211" s="23">
        <v>45793</v>
      </c>
      <c r="C1211" s="7">
        <v>2003688697</v>
      </c>
      <c r="D1211" s="20">
        <v>167396</v>
      </c>
      <c r="E1211" s="27" t="s">
        <v>126</v>
      </c>
      <c r="F1211" s="7" t="s">
        <v>107</v>
      </c>
      <c r="G1211" s="7" t="s">
        <v>10</v>
      </c>
      <c r="H1211" s="7" t="s">
        <v>45</v>
      </c>
      <c r="I1211" s="20" t="s">
        <v>206</v>
      </c>
      <c r="J1211" s="20" t="s">
        <v>1973</v>
      </c>
      <c r="K1211" s="7" t="s">
        <v>119</v>
      </c>
      <c r="L1211" s="61">
        <v>45799</v>
      </c>
      <c r="M1211" s="7" t="s">
        <v>111</v>
      </c>
      <c r="N1211" s="24">
        <v>45801</v>
      </c>
      <c r="O1211" s="23">
        <v>45803</v>
      </c>
      <c r="P1211" s="59"/>
      <c r="Q1211" s="124" t="e">
        <f>P1211*#REF!</f>
        <v>#REF!</v>
      </c>
      <c r="R1211" s="126">
        <v>45804</v>
      </c>
      <c r="S1211" s="153">
        <f>IF(L1211="","",L1211-B1211)</f>
        <v>6</v>
      </c>
      <c r="T1211" s="153">
        <f>IF(N1211="","",N1211-L1211)</f>
        <v>2</v>
      </c>
      <c r="U1211" s="153">
        <f>IF(O1211="","",O1211-N1211)</f>
        <v>2</v>
      </c>
      <c r="V1211" s="154">
        <f>IF(O1211="","",O1211-B1211)</f>
        <v>10</v>
      </c>
      <c r="W1211" s="154">
        <f>IF(O1211="","",O1211-L1211)</f>
        <v>4</v>
      </c>
      <c r="X1211" s="154">
        <f>IF(R1211="","",R1211-B1211)</f>
        <v>11</v>
      </c>
    </row>
    <row r="1212" spans="2:24" ht="17.25" hidden="1" customHeight="1">
      <c r="B1212" s="23">
        <v>45793</v>
      </c>
      <c r="C1212" s="7">
        <v>2003653865</v>
      </c>
      <c r="D1212" s="20">
        <v>167539</v>
      </c>
      <c r="E1212" s="27" t="s">
        <v>116</v>
      </c>
      <c r="F1212" s="7" t="s">
        <v>107</v>
      </c>
      <c r="G1212" s="7" t="s">
        <v>10</v>
      </c>
      <c r="H1212" s="7" t="s">
        <v>45</v>
      </c>
      <c r="I1212" s="20" t="s">
        <v>1974</v>
      </c>
      <c r="J1212" s="20" t="s">
        <v>1975</v>
      </c>
      <c r="K1212" s="7" t="s">
        <v>119</v>
      </c>
      <c r="L1212" s="61">
        <v>45797</v>
      </c>
      <c r="M1212" s="7" t="s">
        <v>111</v>
      </c>
      <c r="N1212" s="61">
        <v>45797</v>
      </c>
      <c r="O1212" s="23">
        <v>45799</v>
      </c>
      <c r="P1212" s="59"/>
      <c r="Q1212" s="124" t="e">
        <f>P1212*#REF!</f>
        <v>#REF!</v>
      </c>
      <c r="R1212" s="126">
        <v>45800</v>
      </c>
      <c r="S1212" s="153">
        <f>IF(L1212="","",L1212-B1212)</f>
        <v>4</v>
      </c>
      <c r="T1212" s="153">
        <f>IF(N1212="","",N1212-L1212)</f>
        <v>0</v>
      </c>
      <c r="U1212" s="153">
        <f>IF(O1212="","",O1212-N1212)</f>
        <v>2</v>
      </c>
      <c r="V1212" s="154">
        <f>IF(O1212="","",O1212-B1212)</f>
        <v>6</v>
      </c>
      <c r="W1212" s="154">
        <f>IF(O1212="","",O1212-L1212)</f>
        <v>2</v>
      </c>
      <c r="X1212" s="154">
        <f>IF(R1212="","",R1212-B1212)</f>
        <v>7</v>
      </c>
    </row>
    <row r="1213" spans="2:24" ht="17.25" hidden="1" customHeight="1">
      <c r="B1213" s="23">
        <v>45793</v>
      </c>
      <c r="C1213" s="7">
        <v>2003669801</v>
      </c>
      <c r="D1213" s="20">
        <v>167543</v>
      </c>
      <c r="E1213" s="27" t="s">
        <v>152</v>
      </c>
      <c r="F1213" s="7" t="s">
        <v>107</v>
      </c>
      <c r="G1213" s="7" t="s">
        <v>10</v>
      </c>
      <c r="H1213" s="7" t="s">
        <v>45</v>
      </c>
      <c r="I1213" s="20" t="s">
        <v>1976</v>
      </c>
      <c r="J1213" s="20" t="s">
        <v>1977</v>
      </c>
      <c r="K1213" s="7" t="s">
        <v>110</v>
      </c>
      <c r="L1213" s="61">
        <v>45796</v>
      </c>
      <c r="M1213" s="7" t="s">
        <v>111</v>
      </c>
      <c r="N1213" s="61">
        <v>45796</v>
      </c>
      <c r="O1213" s="130">
        <v>45796</v>
      </c>
      <c r="P1213" s="59"/>
      <c r="Q1213" s="124" t="e">
        <f>P1213*#REF!</f>
        <v>#REF!</v>
      </c>
      <c r="R1213" s="126">
        <v>45800</v>
      </c>
      <c r="S1213" s="153">
        <f>IF(L1213="","",L1213-B1213)</f>
        <v>3</v>
      </c>
      <c r="T1213" s="153">
        <f>IF(N1213="","",N1213-L1213)</f>
        <v>0</v>
      </c>
      <c r="U1213" s="153">
        <f>IF(O1213="","",O1213-N1213)</f>
        <v>0</v>
      </c>
      <c r="V1213" s="154">
        <f>IF(O1213="","",O1213-B1213)</f>
        <v>3</v>
      </c>
      <c r="W1213" s="154">
        <f>IF(O1213="","",O1213-L1213)</f>
        <v>0</v>
      </c>
      <c r="X1213" s="154">
        <f>IF(R1213="","",R1213-B1213)</f>
        <v>7</v>
      </c>
    </row>
    <row r="1214" spans="2:24" ht="17.25" hidden="1" customHeight="1">
      <c r="B1214" s="23">
        <v>45793</v>
      </c>
      <c r="C1214" s="7">
        <v>2003671698</v>
      </c>
      <c r="D1214" s="20">
        <v>167575</v>
      </c>
      <c r="E1214" s="27" t="s">
        <v>123</v>
      </c>
      <c r="F1214" s="7" t="s">
        <v>107</v>
      </c>
      <c r="G1214" s="7" t="s">
        <v>10</v>
      </c>
      <c r="H1214" s="7" t="s">
        <v>45</v>
      </c>
      <c r="I1214" s="20" t="s">
        <v>1978</v>
      </c>
      <c r="J1214" s="20" t="s">
        <v>1979</v>
      </c>
      <c r="K1214" s="7" t="s">
        <v>119</v>
      </c>
      <c r="L1214" s="61">
        <v>45797</v>
      </c>
      <c r="M1214" s="7" t="s">
        <v>111</v>
      </c>
      <c r="N1214" s="61">
        <v>45797</v>
      </c>
      <c r="O1214" s="23">
        <v>45799</v>
      </c>
      <c r="P1214" s="59"/>
      <c r="Q1214" s="124" t="e">
        <f>P1214*#REF!</f>
        <v>#REF!</v>
      </c>
      <c r="R1214" s="126">
        <v>45800</v>
      </c>
      <c r="S1214" s="153">
        <f>IF(L1214="","",L1214-B1214)</f>
        <v>4</v>
      </c>
      <c r="T1214" s="153">
        <f>IF(N1214="","",N1214-L1214)</f>
        <v>0</v>
      </c>
      <c r="U1214" s="153">
        <f>IF(O1214="","",O1214-N1214)</f>
        <v>2</v>
      </c>
      <c r="V1214" s="154">
        <f>IF(O1214="","",O1214-B1214)</f>
        <v>6</v>
      </c>
      <c r="W1214" s="154">
        <f>IF(O1214="","",O1214-L1214)</f>
        <v>2</v>
      </c>
      <c r="X1214" s="154">
        <f>IF(R1214="","",R1214-B1214)</f>
        <v>7</v>
      </c>
    </row>
    <row r="1215" spans="2:24" ht="17.25" hidden="1" customHeight="1">
      <c r="B1215" s="23">
        <v>45793</v>
      </c>
      <c r="C1215" s="7">
        <v>2003685526</v>
      </c>
      <c r="D1215" s="20">
        <v>167582</v>
      </c>
      <c r="E1215" s="27" t="s">
        <v>123</v>
      </c>
      <c r="F1215" s="7" t="s">
        <v>107</v>
      </c>
      <c r="G1215" s="7" t="s">
        <v>18</v>
      </c>
      <c r="H1215" s="7" t="s">
        <v>45</v>
      </c>
      <c r="I1215" s="20" t="s">
        <v>1980</v>
      </c>
      <c r="J1215" s="20" t="s">
        <v>1981</v>
      </c>
      <c r="K1215" s="7" t="s">
        <v>119</v>
      </c>
      <c r="L1215" s="61">
        <v>45798</v>
      </c>
      <c r="M1215" s="7" t="s">
        <v>111</v>
      </c>
      <c r="N1215" s="24">
        <v>45800</v>
      </c>
      <c r="O1215" s="23">
        <v>45803</v>
      </c>
      <c r="P1215" s="59"/>
      <c r="Q1215" s="124" t="e">
        <f>P1215*#REF!</f>
        <v>#REF!</v>
      </c>
      <c r="R1215" s="126">
        <v>45804</v>
      </c>
      <c r="S1215" s="153">
        <f>IF(L1215="","",L1215-B1215)</f>
        <v>5</v>
      </c>
      <c r="T1215" s="153">
        <f>IF(N1215="","",N1215-L1215)</f>
        <v>2</v>
      </c>
      <c r="U1215" s="153">
        <f>IF(O1215="","",O1215-N1215)</f>
        <v>3</v>
      </c>
      <c r="V1215" s="154">
        <f>IF(O1215="","",O1215-B1215)</f>
        <v>10</v>
      </c>
      <c r="W1215" s="154">
        <f>IF(O1215="","",O1215-L1215)</f>
        <v>5</v>
      </c>
      <c r="X1215" s="154">
        <f>IF(R1215="","",R1215-B1215)</f>
        <v>11</v>
      </c>
    </row>
    <row r="1216" spans="2:24" ht="17.25" hidden="1" customHeight="1">
      <c r="B1216" s="23">
        <v>45796</v>
      </c>
      <c r="C1216" s="7">
        <v>2003685299</v>
      </c>
      <c r="D1216" s="20">
        <v>168332</v>
      </c>
      <c r="E1216" s="27" t="s">
        <v>1225</v>
      </c>
      <c r="F1216" s="7" t="s">
        <v>107</v>
      </c>
      <c r="G1216" s="7" t="s">
        <v>10</v>
      </c>
      <c r="H1216" s="7" t="s">
        <v>45</v>
      </c>
      <c r="I1216" s="20" t="s">
        <v>1931</v>
      </c>
      <c r="J1216" s="20" t="s">
        <v>1932</v>
      </c>
      <c r="K1216" s="7" t="s">
        <v>119</v>
      </c>
      <c r="L1216" s="61">
        <v>45797</v>
      </c>
      <c r="M1216" s="7" t="s">
        <v>111</v>
      </c>
      <c r="N1216" s="61">
        <v>45797</v>
      </c>
      <c r="O1216" s="61">
        <v>45797</v>
      </c>
      <c r="P1216" s="59"/>
      <c r="Q1216" s="124" t="e">
        <f>P1216*#REF!</f>
        <v>#REF!</v>
      </c>
      <c r="R1216" s="126">
        <v>45798</v>
      </c>
      <c r="S1216" s="153">
        <f>IF(L1216="","",L1216-B1216)</f>
        <v>1</v>
      </c>
      <c r="T1216" s="153">
        <f>IF(N1216="","",N1216-L1216)</f>
        <v>0</v>
      </c>
      <c r="U1216" s="153">
        <f>IF(O1216="","",O1216-N1216)</f>
        <v>0</v>
      </c>
      <c r="V1216" s="154">
        <f>IF(O1216="","",O1216-B1216)</f>
        <v>1</v>
      </c>
      <c r="W1216" s="154">
        <f>IF(O1216="","",O1216-L1216)</f>
        <v>0</v>
      </c>
      <c r="X1216" s="154">
        <f>IF(R1216="","",R1216-B1216)</f>
        <v>2</v>
      </c>
    </row>
    <row r="1217" spans="2:24" ht="17.25" hidden="1" customHeight="1">
      <c r="B1217" s="23">
        <v>45796</v>
      </c>
      <c r="C1217" s="7">
        <v>2003666214</v>
      </c>
      <c r="D1217" s="20">
        <v>168400</v>
      </c>
      <c r="E1217" s="27" t="s">
        <v>949</v>
      </c>
      <c r="F1217" s="7" t="s">
        <v>107</v>
      </c>
      <c r="G1217" s="7" t="s">
        <v>26</v>
      </c>
      <c r="H1217" s="7" t="s">
        <v>45</v>
      </c>
      <c r="I1217" s="20" t="s">
        <v>1843</v>
      </c>
      <c r="J1217" s="20" t="s">
        <v>1895</v>
      </c>
      <c r="K1217" s="7" t="s">
        <v>110</v>
      </c>
      <c r="L1217" s="61">
        <v>45797</v>
      </c>
      <c r="M1217" s="7" t="s">
        <v>111</v>
      </c>
      <c r="N1217" s="24">
        <v>45797</v>
      </c>
      <c r="O1217" s="58">
        <v>45797</v>
      </c>
      <c r="P1217" s="59"/>
      <c r="Q1217" s="124" t="e">
        <f>P1217*#REF!</f>
        <v>#REF!</v>
      </c>
      <c r="R1217" s="126">
        <v>45797</v>
      </c>
      <c r="S1217" s="153">
        <f>IF(L1217="","",L1217-B1217)</f>
        <v>1</v>
      </c>
      <c r="T1217" s="153">
        <f>IF(N1217="","",N1217-L1217)</f>
        <v>0</v>
      </c>
      <c r="U1217" s="153">
        <f>IF(O1217="","",O1217-N1217)</f>
        <v>0</v>
      </c>
      <c r="V1217" s="154">
        <f>IF(O1217="","",O1217-B1217)</f>
        <v>1</v>
      </c>
      <c r="W1217" s="154">
        <f>IF(O1217="","",O1217-L1217)</f>
        <v>0</v>
      </c>
      <c r="X1217" s="154">
        <f>IF(R1217="","",R1217-B1217)</f>
        <v>1</v>
      </c>
    </row>
    <row r="1218" spans="2:24" ht="17.25" hidden="1" customHeight="1">
      <c r="B1218" s="23">
        <v>45796</v>
      </c>
      <c r="C1218" s="7">
        <v>2003689414</v>
      </c>
      <c r="D1218" s="20">
        <v>168451</v>
      </c>
      <c r="E1218" s="27" t="s">
        <v>106</v>
      </c>
      <c r="F1218" s="7" t="s">
        <v>107</v>
      </c>
      <c r="G1218" s="7" t="s">
        <v>18</v>
      </c>
      <c r="H1218" s="7" t="s">
        <v>45</v>
      </c>
      <c r="I1218" s="20" t="s">
        <v>1982</v>
      </c>
      <c r="J1218" s="20" t="s">
        <v>1983</v>
      </c>
      <c r="K1218" s="7" t="s">
        <v>111</v>
      </c>
      <c r="L1218" s="61">
        <v>45799</v>
      </c>
      <c r="M1218" s="7" t="s">
        <v>111</v>
      </c>
      <c r="N1218" s="24">
        <v>45800</v>
      </c>
      <c r="O1218" s="58">
        <v>45803</v>
      </c>
      <c r="P1218" s="59"/>
      <c r="Q1218" s="124" t="e">
        <f>P1218*#REF!</f>
        <v>#REF!</v>
      </c>
      <c r="R1218" s="126">
        <v>45804</v>
      </c>
      <c r="S1218" s="153">
        <f>IF(L1218="","",L1218-B1218)</f>
        <v>3</v>
      </c>
      <c r="T1218" s="153">
        <f>IF(N1218="","",N1218-L1218)</f>
        <v>1</v>
      </c>
      <c r="U1218" s="153">
        <f>IF(O1218="","",O1218-N1218)</f>
        <v>3</v>
      </c>
      <c r="V1218" s="154">
        <f>IF(O1218="","",O1218-B1218)</f>
        <v>7</v>
      </c>
      <c r="W1218" s="154">
        <f>IF(O1218="","",O1218-L1218)</f>
        <v>4</v>
      </c>
      <c r="X1218" s="154">
        <f>IF(R1218="","",R1218-B1218)</f>
        <v>8</v>
      </c>
    </row>
    <row r="1219" spans="2:24" ht="17.25" hidden="1" customHeight="1">
      <c r="B1219" s="23">
        <v>45796</v>
      </c>
      <c r="C1219" s="7">
        <v>2003667839</v>
      </c>
      <c r="D1219" s="20">
        <v>168468</v>
      </c>
      <c r="E1219" s="27" t="s">
        <v>185</v>
      </c>
      <c r="F1219" s="7" t="s">
        <v>107</v>
      </c>
      <c r="G1219" s="7" t="s">
        <v>26</v>
      </c>
      <c r="H1219" s="7" t="s">
        <v>45</v>
      </c>
      <c r="I1219" s="20" t="s">
        <v>1984</v>
      </c>
      <c r="J1219" s="20" t="s">
        <v>1876</v>
      </c>
      <c r="K1219" s="7" t="s">
        <v>110</v>
      </c>
      <c r="L1219" s="61">
        <v>45799</v>
      </c>
      <c r="M1219" s="7" t="s">
        <v>111</v>
      </c>
      <c r="N1219" s="24">
        <v>45803</v>
      </c>
      <c r="O1219" s="23">
        <v>45803</v>
      </c>
      <c r="P1219" s="59"/>
      <c r="Q1219" s="124" t="e">
        <f>P1219*#REF!</f>
        <v>#REF!</v>
      </c>
      <c r="R1219" s="126">
        <v>45803</v>
      </c>
      <c r="S1219" s="153">
        <f>IF(L1219="","",L1219-B1219)</f>
        <v>3</v>
      </c>
      <c r="T1219" s="153">
        <f>IF(N1219="","",N1219-L1219)</f>
        <v>4</v>
      </c>
      <c r="U1219" s="153">
        <f>IF(O1219="","",O1219-N1219)</f>
        <v>0</v>
      </c>
      <c r="V1219" s="154">
        <f>IF(O1219="","",O1219-B1219)</f>
        <v>7</v>
      </c>
      <c r="W1219" s="154">
        <f>IF(O1219="","",O1219-L1219)</f>
        <v>4</v>
      </c>
      <c r="X1219" s="154">
        <f>IF(R1219="","",R1219-B1219)</f>
        <v>7</v>
      </c>
    </row>
    <row r="1220" spans="2:24" ht="17.25" hidden="1" customHeight="1">
      <c r="B1220" s="23">
        <v>45796</v>
      </c>
      <c r="C1220" s="7">
        <v>2003684561</v>
      </c>
      <c r="D1220" s="20">
        <v>168873</v>
      </c>
      <c r="E1220" s="27" t="s">
        <v>116</v>
      </c>
      <c r="F1220" s="7" t="s">
        <v>107</v>
      </c>
      <c r="G1220" s="7" t="s">
        <v>26</v>
      </c>
      <c r="H1220" s="7" t="s">
        <v>45</v>
      </c>
      <c r="I1220" s="20" t="s">
        <v>1985</v>
      </c>
      <c r="J1220" s="20" t="s">
        <v>1941</v>
      </c>
      <c r="K1220" s="7" t="s">
        <v>111</v>
      </c>
      <c r="L1220" s="61">
        <v>45797</v>
      </c>
      <c r="M1220" s="7" t="s">
        <v>111</v>
      </c>
      <c r="N1220" s="24">
        <v>45798</v>
      </c>
      <c r="O1220" s="23">
        <v>45798</v>
      </c>
      <c r="P1220" s="59"/>
      <c r="Q1220" s="124" t="e">
        <f>P1220*#REF!</f>
        <v>#REF!</v>
      </c>
      <c r="R1220" s="126">
        <v>45798</v>
      </c>
      <c r="S1220" s="153">
        <f>IF(L1220="","",L1220-B1220)</f>
        <v>1</v>
      </c>
      <c r="T1220" s="153">
        <f>IF(N1220="","",N1220-L1220)</f>
        <v>1</v>
      </c>
      <c r="U1220" s="153">
        <f>IF(O1220="","",O1220-N1220)</f>
        <v>0</v>
      </c>
      <c r="V1220" s="154">
        <f>IF(O1220="","",O1220-B1220)</f>
        <v>2</v>
      </c>
      <c r="W1220" s="154">
        <f>IF(O1220="","",O1220-L1220)</f>
        <v>1</v>
      </c>
      <c r="X1220" s="154">
        <f>IF(R1220="","",R1220-B1220)</f>
        <v>2</v>
      </c>
    </row>
    <row r="1221" spans="2:24" ht="17.25" hidden="1" customHeight="1">
      <c r="B1221" s="23">
        <v>45796</v>
      </c>
      <c r="C1221" s="7">
        <v>2003667006</v>
      </c>
      <c r="D1221" s="20">
        <v>169112</v>
      </c>
      <c r="E1221" s="27" t="s">
        <v>201</v>
      </c>
      <c r="F1221" s="7" t="s">
        <v>107</v>
      </c>
      <c r="G1221" s="7" t="s">
        <v>10</v>
      </c>
      <c r="H1221" s="7" t="s">
        <v>45</v>
      </c>
      <c r="I1221" s="20" t="s">
        <v>1986</v>
      </c>
      <c r="J1221" s="20" t="s">
        <v>1987</v>
      </c>
      <c r="K1221" s="7" t="s">
        <v>110</v>
      </c>
      <c r="L1221" s="61">
        <v>45799</v>
      </c>
      <c r="M1221" s="7" t="s">
        <v>111</v>
      </c>
      <c r="N1221" s="61">
        <v>45800</v>
      </c>
      <c r="O1221" s="130">
        <v>45800</v>
      </c>
      <c r="P1221" s="59"/>
      <c r="Q1221" s="124" t="e">
        <f>P1221*#REF!</f>
        <v>#REF!</v>
      </c>
      <c r="R1221" s="126">
        <v>45803</v>
      </c>
      <c r="S1221" s="153">
        <f>IF(L1221="","",L1221-B1221)</f>
        <v>3</v>
      </c>
      <c r="T1221" s="153">
        <f>IF(N1221="","",N1221-L1221)</f>
        <v>1</v>
      </c>
      <c r="U1221" s="153">
        <f>IF(O1221="","",O1221-N1221)</f>
        <v>0</v>
      </c>
      <c r="V1221" s="154">
        <f>IF(O1221="","",O1221-B1221)</f>
        <v>4</v>
      </c>
      <c r="W1221" s="154">
        <f>IF(O1221="","",O1221-L1221)</f>
        <v>1</v>
      </c>
      <c r="X1221" s="154">
        <f>IF(R1221="","",R1221-B1221)</f>
        <v>7</v>
      </c>
    </row>
    <row r="1222" spans="2:24" ht="17.25" hidden="1" customHeight="1">
      <c r="B1222" s="23">
        <v>45796</v>
      </c>
      <c r="C1222" s="7">
        <v>2003691413</v>
      </c>
      <c r="D1222" s="20">
        <v>169157</v>
      </c>
      <c r="E1222" s="27" t="s">
        <v>116</v>
      </c>
      <c r="F1222" s="7" t="s">
        <v>107</v>
      </c>
      <c r="G1222" s="7" t="s">
        <v>18</v>
      </c>
      <c r="H1222" s="7" t="s">
        <v>45</v>
      </c>
      <c r="I1222" s="20" t="s">
        <v>1988</v>
      </c>
      <c r="J1222" s="20" t="s">
        <v>1989</v>
      </c>
      <c r="K1222" s="7" t="s">
        <v>119</v>
      </c>
      <c r="L1222" s="61">
        <v>45806</v>
      </c>
      <c r="M1222" s="7" t="s">
        <v>111</v>
      </c>
      <c r="N1222" s="61">
        <v>45806</v>
      </c>
      <c r="O1222" s="61">
        <v>45806</v>
      </c>
      <c r="P1222" s="59"/>
      <c r="Q1222" s="124" t="e">
        <f>P1222*#REF!</f>
        <v>#REF!</v>
      </c>
      <c r="R1222" s="126">
        <v>45807</v>
      </c>
      <c r="S1222" s="153">
        <f>IF(L1222="","",L1222-B1222)</f>
        <v>10</v>
      </c>
      <c r="T1222" s="153">
        <f>IF(N1222="","",N1222-L1222)</f>
        <v>0</v>
      </c>
      <c r="U1222" s="153">
        <f>IF(O1222="","",O1222-N1222)</f>
        <v>0</v>
      </c>
      <c r="V1222" s="154">
        <f>IF(O1222="","",O1222-B1222)</f>
        <v>10</v>
      </c>
      <c r="W1222" s="154">
        <f>IF(O1222="","",O1222-L1222)</f>
        <v>0</v>
      </c>
      <c r="X1222" s="154">
        <f>IF(R1222="","",R1222-B1222)</f>
        <v>11</v>
      </c>
    </row>
    <row r="1223" spans="2:24" ht="17.25" hidden="1" customHeight="1">
      <c r="B1223" s="23">
        <v>45797</v>
      </c>
      <c r="C1223" s="7">
        <v>2003671652</v>
      </c>
      <c r="D1223" s="20">
        <v>169209</v>
      </c>
      <c r="E1223" s="27" t="s">
        <v>106</v>
      </c>
      <c r="F1223" s="7" t="s">
        <v>107</v>
      </c>
      <c r="G1223" s="7" t="s">
        <v>10</v>
      </c>
      <c r="H1223" s="7" t="s">
        <v>45</v>
      </c>
      <c r="I1223" s="20" t="s">
        <v>1990</v>
      </c>
      <c r="J1223" s="20" t="s">
        <v>1991</v>
      </c>
      <c r="K1223" s="7" t="s">
        <v>119</v>
      </c>
      <c r="L1223" s="61">
        <v>45800</v>
      </c>
      <c r="M1223" s="7" t="s">
        <v>111</v>
      </c>
      <c r="N1223" s="24">
        <v>45801</v>
      </c>
      <c r="O1223" s="106">
        <v>45801</v>
      </c>
      <c r="P1223" s="59"/>
      <c r="Q1223" s="124" t="e">
        <f>P1223*#REF!</f>
        <v>#REF!</v>
      </c>
      <c r="R1223" s="126">
        <v>45803</v>
      </c>
      <c r="S1223" s="153">
        <f>IF(L1223="","",L1223-B1223)</f>
        <v>3</v>
      </c>
      <c r="T1223" s="153">
        <f>IF(N1223="","",N1223-L1223)</f>
        <v>1</v>
      </c>
      <c r="U1223" s="153">
        <f>IF(O1223="","",O1223-N1223)</f>
        <v>0</v>
      </c>
      <c r="V1223" s="154">
        <f>IF(O1223="","",O1223-B1223)</f>
        <v>4</v>
      </c>
      <c r="W1223" s="154">
        <f>IF(O1223="","",O1223-L1223)</f>
        <v>1</v>
      </c>
      <c r="X1223" s="154">
        <f>IF(R1223="","",R1223-B1223)</f>
        <v>6</v>
      </c>
    </row>
    <row r="1224" spans="2:24" ht="17.25" hidden="1" customHeight="1">
      <c r="B1224" s="23">
        <v>45797</v>
      </c>
      <c r="C1224" s="7">
        <v>2003664856</v>
      </c>
      <c r="D1224" s="20">
        <v>169647</v>
      </c>
      <c r="E1224" s="27" t="s">
        <v>123</v>
      </c>
      <c r="F1224" s="7" t="s">
        <v>107</v>
      </c>
      <c r="G1224" s="7" t="s">
        <v>10</v>
      </c>
      <c r="H1224" s="7" t="s">
        <v>45</v>
      </c>
      <c r="I1224" s="20" t="s">
        <v>394</v>
      </c>
      <c r="J1224" s="20" t="s">
        <v>1652</v>
      </c>
      <c r="K1224" s="7" t="s">
        <v>111</v>
      </c>
      <c r="L1224" s="61">
        <v>45797</v>
      </c>
      <c r="M1224" s="7" t="s">
        <v>111</v>
      </c>
      <c r="N1224" s="24">
        <v>45797</v>
      </c>
      <c r="O1224" s="23">
        <v>45797</v>
      </c>
      <c r="P1224" s="59"/>
      <c r="Q1224" s="124" t="e">
        <f>P1224*#REF!</f>
        <v>#REF!</v>
      </c>
      <c r="R1224" s="126">
        <v>45800</v>
      </c>
      <c r="S1224" s="153">
        <f>IF(L1224="","",L1224-B1224)</f>
        <v>0</v>
      </c>
      <c r="T1224" s="153">
        <f>IF(N1224="","",N1224-L1224)</f>
        <v>0</v>
      </c>
      <c r="U1224" s="153">
        <f>IF(O1224="","",O1224-N1224)</f>
        <v>0</v>
      </c>
      <c r="V1224" s="154">
        <f>IF(O1224="","",O1224-B1224)</f>
        <v>0</v>
      </c>
      <c r="W1224" s="154">
        <f>IF(O1224="","",O1224-L1224)</f>
        <v>0</v>
      </c>
      <c r="X1224" s="154">
        <f>IF(R1224="","",R1224-B1224)</f>
        <v>3</v>
      </c>
    </row>
    <row r="1225" spans="2:24" ht="17.25" hidden="1" customHeight="1">
      <c r="B1225" s="23">
        <v>45797</v>
      </c>
      <c r="C1225" s="7">
        <v>2003692390</v>
      </c>
      <c r="D1225" s="20">
        <v>169736</v>
      </c>
      <c r="E1225" s="27" t="s">
        <v>622</v>
      </c>
      <c r="F1225" s="7" t="s">
        <v>107</v>
      </c>
      <c r="G1225" s="7" t="s">
        <v>10</v>
      </c>
      <c r="H1225" s="7" t="s">
        <v>45</v>
      </c>
      <c r="I1225" s="20" t="s">
        <v>1992</v>
      </c>
      <c r="J1225" s="20" t="s">
        <v>1993</v>
      </c>
      <c r="K1225" s="7" t="s">
        <v>119</v>
      </c>
      <c r="L1225" s="61">
        <v>45799</v>
      </c>
      <c r="M1225" s="7" t="s">
        <v>111</v>
      </c>
      <c r="N1225" s="24">
        <v>45801</v>
      </c>
      <c r="O1225" s="61">
        <v>45804</v>
      </c>
      <c r="P1225" s="59"/>
      <c r="Q1225" s="124" t="e">
        <f>P1225*#REF!</f>
        <v>#REF!</v>
      </c>
      <c r="R1225" s="126">
        <v>45804</v>
      </c>
      <c r="S1225" s="153">
        <f>IF(L1225="","",L1225-B1225)</f>
        <v>2</v>
      </c>
      <c r="T1225" s="153">
        <f>IF(N1225="","",N1225-L1225)</f>
        <v>2</v>
      </c>
      <c r="U1225" s="153">
        <f>IF(O1225="","",O1225-N1225)</f>
        <v>3</v>
      </c>
      <c r="V1225" s="154">
        <f>IF(O1225="","",O1225-B1225)</f>
        <v>7</v>
      </c>
      <c r="W1225" s="154">
        <f>IF(O1225="","",O1225-L1225)</f>
        <v>5</v>
      </c>
      <c r="X1225" s="154">
        <f>IF(R1225="","",R1225-B1225)</f>
        <v>7</v>
      </c>
    </row>
    <row r="1226" spans="2:24" ht="17.25" hidden="1" customHeight="1">
      <c r="B1226" s="23">
        <v>45797</v>
      </c>
      <c r="C1226" s="7">
        <v>2003690756</v>
      </c>
      <c r="D1226" s="20">
        <v>169959</v>
      </c>
      <c r="E1226" s="27" t="s">
        <v>123</v>
      </c>
      <c r="F1226" s="7" t="s">
        <v>107</v>
      </c>
      <c r="G1226" s="7" t="s">
        <v>10</v>
      </c>
      <c r="H1226" s="7" t="s">
        <v>45</v>
      </c>
      <c r="I1226" s="20" t="s">
        <v>671</v>
      </c>
      <c r="J1226" s="20" t="s">
        <v>1994</v>
      </c>
      <c r="K1226" s="7" t="s">
        <v>119</v>
      </c>
      <c r="L1226" s="61">
        <v>45800</v>
      </c>
      <c r="M1226" s="7" t="s">
        <v>111</v>
      </c>
      <c r="N1226" s="24">
        <v>45801</v>
      </c>
      <c r="O1226" s="24">
        <v>45801</v>
      </c>
      <c r="P1226" s="59"/>
      <c r="Q1226" s="124" t="e">
        <f>P1226*#REF!</f>
        <v>#REF!</v>
      </c>
      <c r="R1226" s="126">
        <v>45803</v>
      </c>
      <c r="S1226" s="153">
        <f>IF(L1226="","",L1226-B1226)</f>
        <v>3</v>
      </c>
      <c r="T1226" s="153">
        <f>IF(N1226="","",N1226-L1226)</f>
        <v>1</v>
      </c>
      <c r="U1226" s="153">
        <f>IF(O1226="","",O1226-N1226)</f>
        <v>0</v>
      </c>
      <c r="V1226" s="154">
        <f>IF(O1226="","",O1226-B1226)</f>
        <v>4</v>
      </c>
      <c r="W1226" s="154">
        <f>IF(O1226="","",O1226-L1226)</f>
        <v>1</v>
      </c>
      <c r="X1226" s="154">
        <f>IF(R1226="","",R1226-B1226)</f>
        <v>6</v>
      </c>
    </row>
    <row r="1227" spans="2:24" ht="17.25" hidden="1" customHeight="1">
      <c r="B1227" s="23">
        <v>45797</v>
      </c>
      <c r="C1227" s="7">
        <v>2003668954</v>
      </c>
      <c r="D1227" s="20">
        <v>170414</v>
      </c>
      <c r="E1227" s="27" t="s">
        <v>116</v>
      </c>
      <c r="F1227" s="7" t="s">
        <v>107</v>
      </c>
      <c r="G1227" s="7" t="s">
        <v>26</v>
      </c>
      <c r="H1227" s="7" t="s">
        <v>45</v>
      </c>
      <c r="I1227" s="20" t="s">
        <v>973</v>
      </c>
      <c r="J1227" s="20" t="s">
        <v>1995</v>
      </c>
      <c r="K1227" s="7" t="s">
        <v>119</v>
      </c>
      <c r="L1227" s="61">
        <v>45800</v>
      </c>
      <c r="M1227" s="7" t="s">
        <v>111</v>
      </c>
      <c r="N1227" s="24">
        <v>45803</v>
      </c>
      <c r="O1227" s="23">
        <v>45803</v>
      </c>
      <c r="P1227" s="59"/>
      <c r="Q1227" s="124" t="e">
        <f>P1227*#REF!</f>
        <v>#REF!</v>
      </c>
      <c r="R1227" s="126">
        <v>45803</v>
      </c>
      <c r="S1227" s="153">
        <f>IF(L1227="","",L1227-B1227)</f>
        <v>3</v>
      </c>
      <c r="T1227" s="153">
        <f>IF(N1227="","",N1227-L1227)</f>
        <v>3</v>
      </c>
      <c r="U1227" s="153">
        <f>IF(O1227="","",O1227-N1227)</f>
        <v>0</v>
      </c>
      <c r="V1227" s="154">
        <f>IF(O1227="","",O1227-B1227)</f>
        <v>6</v>
      </c>
      <c r="W1227" s="154">
        <f>IF(O1227="","",O1227-L1227)</f>
        <v>3</v>
      </c>
      <c r="X1227" s="154">
        <f>IF(R1227="","",R1227-B1227)</f>
        <v>6</v>
      </c>
    </row>
    <row r="1228" spans="2:24" ht="17.25" hidden="1" customHeight="1">
      <c r="B1228" s="23">
        <v>45797</v>
      </c>
      <c r="C1228" s="7">
        <v>2003683048</v>
      </c>
      <c r="D1228" s="20">
        <v>170438</v>
      </c>
      <c r="E1228" s="27" t="s">
        <v>230</v>
      </c>
      <c r="F1228" s="7" t="s">
        <v>107</v>
      </c>
      <c r="G1228" s="7" t="s">
        <v>18</v>
      </c>
      <c r="H1228" s="7" t="s">
        <v>45</v>
      </c>
      <c r="I1228" s="20" t="s">
        <v>1996</v>
      </c>
      <c r="J1228" s="20" t="s">
        <v>1997</v>
      </c>
      <c r="K1228" s="7" t="s">
        <v>110</v>
      </c>
      <c r="L1228" s="61">
        <v>45799</v>
      </c>
      <c r="M1228" s="7" t="s">
        <v>111</v>
      </c>
      <c r="N1228" s="24">
        <v>45800</v>
      </c>
      <c r="O1228" s="130">
        <v>45804</v>
      </c>
      <c r="P1228" s="59"/>
      <c r="Q1228" s="124" t="e">
        <f>P1228*#REF!</f>
        <v>#REF!</v>
      </c>
      <c r="R1228" s="126">
        <v>45804</v>
      </c>
      <c r="S1228" s="153">
        <f>IF(L1228="","",L1228-B1228)</f>
        <v>2</v>
      </c>
      <c r="T1228" s="153">
        <f>IF(N1228="","",N1228-L1228)</f>
        <v>1</v>
      </c>
      <c r="U1228" s="153">
        <f>IF(O1228="","",O1228-N1228)</f>
        <v>4</v>
      </c>
      <c r="V1228" s="154">
        <f>IF(O1228="","",O1228-B1228)</f>
        <v>7</v>
      </c>
      <c r="W1228" s="154">
        <f>IF(O1228="","",O1228-L1228)</f>
        <v>5</v>
      </c>
      <c r="X1228" s="154">
        <f>IF(R1228="","",R1228-B1228)</f>
        <v>7</v>
      </c>
    </row>
    <row r="1229" spans="2:24" ht="17.25" hidden="1" customHeight="1">
      <c r="B1229" s="23">
        <v>45798</v>
      </c>
      <c r="C1229" s="7">
        <v>2003693205</v>
      </c>
      <c r="D1229" s="20">
        <v>171304</v>
      </c>
      <c r="E1229" s="27" t="s">
        <v>191</v>
      </c>
      <c r="F1229" s="7" t="s">
        <v>107</v>
      </c>
      <c r="G1229" s="7" t="s">
        <v>10</v>
      </c>
      <c r="H1229" s="7" t="s">
        <v>45</v>
      </c>
      <c r="I1229" s="20" t="s">
        <v>1998</v>
      </c>
      <c r="J1229" s="20" t="s">
        <v>1999</v>
      </c>
      <c r="K1229" s="7" t="s">
        <v>111</v>
      </c>
      <c r="L1229" s="61">
        <v>45800</v>
      </c>
      <c r="M1229" s="7" t="s">
        <v>111</v>
      </c>
      <c r="N1229" s="61">
        <v>45800</v>
      </c>
      <c r="O1229" s="130">
        <v>45800</v>
      </c>
      <c r="P1229" s="59"/>
      <c r="Q1229" s="124" t="e">
        <f>P1229*#REF!</f>
        <v>#REF!</v>
      </c>
      <c r="R1229" s="126">
        <v>45804</v>
      </c>
      <c r="S1229" s="153">
        <f>IF(L1229="","",L1229-B1229)</f>
        <v>2</v>
      </c>
      <c r="T1229" s="153">
        <f>IF(N1229="","",N1229-L1229)</f>
        <v>0</v>
      </c>
      <c r="U1229" s="153">
        <f>IF(O1229="","",O1229-N1229)</f>
        <v>0</v>
      </c>
      <c r="V1229" s="154">
        <f>IF(O1229="","",O1229-B1229)</f>
        <v>2</v>
      </c>
      <c r="W1229" s="154">
        <f>IF(O1229="","",O1229-L1229)</f>
        <v>0</v>
      </c>
      <c r="X1229" s="154">
        <f>IF(R1229="","",R1229-B1229)</f>
        <v>6</v>
      </c>
    </row>
    <row r="1230" spans="2:24" ht="17.25" hidden="1" customHeight="1">
      <c r="B1230" s="23">
        <v>45798</v>
      </c>
      <c r="C1230" s="7">
        <v>2003689557</v>
      </c>
      <c r="D1230" s="20">
        <v>171386</v>
      </c>
      <c r="E1230" s="27" t="s">
        <v>191</v>
      </c>
      <c r="F1230" s="7" t="s">
        <v>107</v>
      </c>
      <c r="G1230" s="7" t="s">
        <v>10</v>
      </c>
      <c r="H1230" s="7" t="s">
        <v>45</v>
      </c>
      <c r="I1230" s="20" t="s">
        <v>2000</v>
      </c>
      <c r="J1230" s="20" t="s">
        <v>2001</v>
      </c>
      <c r="K1230" s="7" t="s">
        <v>110</v>
      </c>
      <c r="L1230" s="61">
        <v>45806</v>
      </c>
      <c r="M1230" s="7" t="s">
        <v>111</v>
      </c>
      <c r="N1230" s="61">
        <v>45807</v>
      </c>
      <c r="O1230" s="61">
        <v>45807</v>
      </c>
      <c r="P1230" s="59"/>
      <c r="Q1230" s="124" t="e">
        <f>P1230*#REF!</f>
        <v>#REF!</v>
      </c>
      <c r="R1230" s="126">
        <v>45807</v>
      </c>
      <c r="S1230" s="153">
        <f>IF(L1230="","",L1230-B1230)</f>
        <v>8</v>
      </c>
      <c r="T1230" s="153">
        <f>IF(N1230="","",N1230-L1230)</f>
        <v>1</v>
      </c>
      <c r="U1230" s="153">
        <f>IF(O1230="","",O1230-N1230)</f>
        <v>0</v>
      </c>
      <c r="V1230" s="154">
        <f>IF(O1230="","",O1230-B1230)</f>
        <v>9</v>
      </c>
      <c r="W1230" s="154">
        <f>IF(O1230="","",O1230-L1230)</f>
        <v>1</v>
      </c>
      <c r="X1230" s="154">
        <f>IF(R1230="","",R1230-B1230)</f>
        <v>9</v>
      </c>
    </row>
    <row r="1231" spans="2:24" ht="17.25" hidden="1" customHeight="1">
      <c r="B1231" s="23">
        <v>45798</v>
      </c>
      <c r="C1231" s="7">
        <v>2003616783</v>
      </c>
      <c r="D1231" s="20">
        <v>171449</v>
      </c>
      <c r="E1231" s="27" t="s">
        <v>123</v>
      </c>
      <c r="F1231" s="7" t="s">
        <v>107</v>
      </c>
      <c r="G1231" s="7" t="s">
        <v>10</v>
      </c>
      <c r="H1231" s="7" t="s">
        <v>45</v>
      </c>
      <c r="I1231" s="20" t="s">
        <v>226</v>
      </c>
      <c r="J1231" s="20" t="s">
        <v>2002</v>
      </c>
      <c r="K1231" s="7" t="s">
        <v>119</v>
      </c>
      <c r="L1231" s="61">
        <v>45803</v>
      </c>
      <c r="M1231" s="7" t="s">
        <v>111</v>
      </c>
      <c r="N1231" s="61">
        <v>45803</v>
      </c>
      <c r="O1231" s="61">
        <v>45803</v>
      </c>
      <c r="P1231" s="59"/>
      <c r="Q1231" s="124" t="e">
        <f>P1231*#REF!</f>
        <v>#REF!</v>
      </c>
      <c r="R1231" s="126">
        <v>45804</v>
      </c>
      <c r="S1231" s="153">
        <f>IF(L1231="","",L1231-B1231)</f>
        <v>5</v>
      </c>
      <c r="T1231" s="153">
        <f>IF(N1231="","",N1231-L1231)</f>
        <v>0</v>
      </c>
      <c r="U1231" s="153">
        <f>IF(O1231="","",O1231-N1231)</f>
        <v>0</v>
      </c>
      <c r="V1231" s="154">
        <f>IF(O1231="","",O1231-B1231)</f>
        <v>5</v>
      </c>
      <c r="W1231" s="154">
        <f>IF(O1231="","",O1231-L1231)</f>
        <v>0</v>
      </c>
      <c r="X1231" s="154">
        <f>IF(R1231="","",R1231-B1231)</f>
        <v>6</v>
      </c>
    </row>
    <row r="1232" spans="2:24" ht="17.25" hidden="1" customHeight="1">
      <c r="B1232" s="23">
        <v>45798</v>
      </c>
      <c r="C1232" s="7">
        <v>2003666214</v>
      </c>
      <c r="D1232" s="20">
        <v>171572</v>
      </c>
      <c r="E1232" s="27" t="s">
        <v>949</v>
      </c>
      <c r="F1232" s="7" t="s">
        <v>107</v>
      </c>
      <c r="G1232" s="7" t="s">
        <v>10</v>
      </c>
      <c r="H1232" s="7" t="s">
        <v>45</v>
      </c>
      <c r="I1232" s="20" t="s">
        <v>1843</v>
      </c>
      <c r="J1232" s="20" t="s">
        <v>1895</v>
      </c>
      <c r="K1232" s="7" t="s">
        <v>110</v>
      </c>
      <c r="L1232" s="61">
        <v>45800</v>
      </c>
      <c r="M1232" s="7" t="s">
        <v>111</v>
      </c>
      <c r="N1232" s="61">
        <v>45800</v>
      </c>
      <c r="O1232" s="61">
        <v>45800</v>
      </c>
      <c r="P1232" s="59"/>
      <c r="Q1232" s="124" t="e">
        <f>P1232*#REF!</f>
        <v>#REF!</v>
      </c>
      <c r="R1232" s="126">
        <v>45803</v>
      </c>
      <c r="S1232" s="153">
        <f>IF(L1232="","",L1232-B1232)</f>
        <v>2</v>
      </c>
      <c r="T1232" s="153">
        <f>IF(N1232="","",N1232-L1232)</f>
        <v>0</v>
      </c>
      <c r="U1232" s="153">
        <f>IF(O1232="","",O1232-N1232)</f>
        <v>0</v>
      </c>
      <c r="V1232" s="154">
        <f>IF(O1232="","",O1232-B1232)</f>
        <v>2</v>
      </c>
      <c r="W1232" s="154">
        <f>IF(O1232="","",O1232-L1232)</f>
        <v>0</v>
      </c>
      <c r="X1232" s="154">
        <f>IF(R1232="","",R1232-B1232)</f>
        <v>5</v>
      </c>
    </row>
    <row r="1233" spans="2:24" ht="17.25" hidden="1" customHeight="1">
      <c r="B1233" s="23">
        <v>45798</v>
      </c>
      <c r="C1233" s="7">
        <v>2003694848</v>
      </c>
      <c r="D1233" s="20">
        <v>171583</v>
      </c>
      <c r="E1233" s="27" t="s">
        <v>149</v>
      </c>
      <c r="F1233" s="7" t="s">
        <v>107</v>
      </c>
      <c r="G1233" s="7" t="s">
        <v>26</v>
      </c>
      <c r="H1233" s="7" t="s">
        <v>45</v>
      </c>
      <c r="I1233" s="20" t="s">
        <v>1246</v>
      </c>
      <c r="J1233" s="20" t="s">
        <v>1247</v>
      </c>
      <c r="K1233" s="7" t="s">
        <v>110</v>
      </c>
      <c r="L1233" s="61">
        <v>45806</v>
      </c>
      <c r="M1233" s="7" t="s">
        <v>111</v>
      </c>
      <c r="N1233" s="24">
        <v>45807</v>
      </c>
      <c r="O1233" s="58">
        <v>45807</v>
      </c>
      <c r="P1233" s="59"/>
      <c r="Q1233" s="124" t="e">
        <f>P1233*#REF!</f>
        <v>#REF!</v>
      </c>
      <c r="R1233" s="126">
        <v>45807</v>
      </c>
      <c r="S1233" s="153">
        <f>IF(L1233="","",L1233-B1233)</f>
        <v>8</v>
      </c>
      <c r="T1233" s="153">
        <f>IF(N1233="","",N1233-L1233)</f>
        <v>1</v>
      </c>
      <c r="U1233" s="153">
        <f>IF(O1233="","",O1233-N1233)</f>
        <v>0</v>
      </c>
      <c r="V1233" s="154">
        <f>IF(O1233="","",O1233-B1233)</f>
        <v>9</v>
      </c>
      <c r="W1233" s="154">
        <f>IF(O1233="","",O1233-L1233)</f>
        <v>1</v>
      </c>
      <c r="X1233" s="154">
        <f>IF(R1233="","",R1233-B1233)</f>
        <v>9</v>
      </c>
    </row>
    <row r="1234" spans="2:24" ht="17.25" hidden="1" customHeight="1">
      <c r="B1234" s="23">
        <v>45798</v>
      </c>
      <c r="C1234" s="7">
        <v>2003667291</v>
      </c>
      <c r="D1234" s="20">
        <v>171613</v>
      </c>
      <c r="E1234" s="27" t="s">
        <v>123</v>
      </c>
      <c r="F1234" s="7" t="s">
        <v>107</v>
      </c>
      <c r="G1234" s="7" t="s">
        <v>10</v>
      </c>
      <c r="H1234" s="7" t="s">
        <v>45</v>
      </c>
      <c r="I1234" s="20" t="s">
        <v>631</v>
      </c>
      <c r="J1234" s="20" t="s">
        <v>2003</v>
      </c>
      <c r="K1234" s="7" t="s">
        <v>119</v>
      </c>
      <c r="L1234" s="61">
        <v>45803</v>
      </c>
      <c r="M1234" s="7" t="s">
        <v>111</v>
      </c>
      <c r="N1234" s="61">
        <v>45803</v>
      </c>
      <c r="O1234" s="61">
        <v>45803</v>
      </c>
      <c r="P1234" s="59"/>
      <c r="Q1234" s="124" t="e">
        <f>P1234*#REF!</f>
        <v>#REF!</v>
      </c>
      <c r="R1234" s="126">
        <v>45804</v>
      </c>
      <c r="S1234" s="153">
        <f>IF(L1234="","",L1234-B1234)</f>
        <v>5</v>
      </c>
      <c r="T1234" s="153">
        <f>IF(N1234="","",N1234-L1234)</f>
        <v>0</v>
      </c>
      <c r="U1234" s="153">
        <f>IF(O1234="","",O1234-N1234)</f>
        <v>0</v>
      </c>
      <c r="V1234" s="154">
        <f>IF(O1234="","",O1234-B1234)</f>
        <v>5</v>
      </c>
      <c r="W1234" s="154">
        <f>IF(O1234="","",O1234-L1234)</f>
        <v>0</v>
      </c>
      <c r="X1234" s="154">
        <f>IF(R1234="","",R1234-B1234)</f>
        <v>6</v>
      </c>
    </row>
    <row r="1235" spans="2:24" ht="17.25" hidden="1" customHeight="1">
      <c r="B1235" s="23">
        <v>45799</v>
      </c>
      <c r="C1235" s="7">
        <v>2003667839</v>
      </c>
      <c r="D1235" s="20">
        <v>172371</v>
      </c>
      <c r="E1235" s="27" t="s">
        <v>185</v>
      </c>
      <c r="F1235" s="7" t="s">
        <v>107</v>
      </c>
      <c r="G1235" s="7" t="s">
        <v>18</v>
      </c>
      <c r="H1235" s="7" t="s">
        <v>45</v>
      </c>
      <c r="I1235" s="20" t="s">
        <v>1875</v>
      </c>
      <c r="J1235" s="20" t="s">
        <v>1876</v>
      </c>
      <c r="K1235" s="7" t="s">
        <v>110</v>
      </c>
      <c r="L1235" s="61">
        <v>45799</v>
      </c>
      <c r="M1235" s="7" t="s">
        <v>111</v>
      </c>
      <c r="N1235" s="61">
        <v>45800</v>
      </c>
      <c r="O1235" s="61">
        <v>45800</v>
      </c>
      <c r="P1235" s="59"/>
      <c r="Q1235" s="124" t="e">
        <f>P1235*#REF!</f>
        <v>#REF!</v>
      </c>
      <c r="R1235" s="126">
        <v>45803</v>
      </c>
      <c r="S1235" s="153">
        <f>IF(L1235="","",L1235-B1235)</f>
        <v>0</v>
      </c>
      <c r="T1235" s="153">
        <f>IF(N1235="","",N1235-L1235)</f>
        <v>1</v>
      </c>
      <c r="U1235" s="153">
        <f>IF(O1235="","",O1235-N1235)</f>
        <v>0</v>
      </c>
      <c r="V1235" s="154">
        <f>IF(O1235="","",O1235-B1235)</f>
        <v>1</v>
      </c>
      <c r="W1235" s="154">
        <f>IF(O1235="","",O1235-L1235)</f>
        <v>1</v>
      </c>
      <c r="X1235" s="154">
        <f>IF(R1235="","",R1235-B1235)</f>
        <v>4</v>
      </c>
    </row>
    <row r="1236" spans="2:24" ht="17.25" hidden="1" customHeight="1">
      <c r="B1236" s="23">
        <v>45799</v>
      </c>
      <c r="C1236" s="7">
        <v>2003669508</v>
      </c>
      <c r="D1236" s="20">
        <v>172930</v>
      </c>
      <c r="E1236" s="27" t="s">
        <v>1225</v>
      </c>
      <c r="F1236" s="7" t="s">
        <v>107</v>
      </c>
      <c r="G1236" s="7" t="s">
        <v>10</v>
      </c>
      <c r="H1236" s="7" t="s">
        <v>45</v>
      </c>
      <c r="I1236" s="20" t="s">
        <v>1726</v>
      </c>
      <c r="J1236" s="20" t="s">
        <v>1727</v>
      </c>
      <c r="K1236" s="7" t="s">
        <v>119</v>
      </c>
      <c r="L1236" s="61">
        <v>45800</v>
      </c>
      <c r="M1236" s="7" t="s">
        <v>111</v>
      </c>
      <c r="N1236" s="24">
        <v>45801</v>
      </c>
      <c r="O1236" s="106">
        <v>45801</v>
      </c>
      <c r="P1236" s="59"/>
      <c r="Q1236" s="124" t="e">
        <f>P1236*#REF!</f>
        <v>#REF!</v>
      </c>
      <c r="R1236" s="126">
        <v>45803</v>
      </c>
      <c r="S1236" s="153">
        <f>IF(L1236="","",L1236-B1236)</f>
        <v>1</v>
      </c>
      <c r="T1236" s="153">
        <f>IF(N1236="","",N1236-L1236)</f>
        <v>1</v>
      </c>
      <c r="U1236" s="153">
        <f>IF(O1236="","",O1236-N1236)</f>
        <v>0</v>
      </c>
      <c r="V1236" s="154">
        <f>IF(O1236="","",O1236-B1236)</f>
        <v>2</v>
      </c>
      <c r="W1236" s="154">
        <f>IF(O1236="","",O1236-L1236)</f>
        <v>1</v>
      </c>
      <c r="X1236" s="154">
        <f>IF(R1236="","",R1236-B1236)</f>
        <v>4</v>
      </c>
    </row>
    <row r="1237" spans="2:24" ht="17.25" hidden="1" customHeight="1">
      <c r="B1237" s="23">
        <v>45800</v>
      </c>
      <c r="C1237" s="7">
        <v>2003692931</v>
      </c>
      <c r="D1237" s="20">
        <v>173547</v>
      </c>
      <c r="E1237" s="27" t="s">
        <v>201</v>
      </c>
      <c r="F1237" s="7" t="s">
        <v>107</v>
      </c>
      <c r="G1237" s="7" t="s">
        <v>10</v>
      </c>
      <c r="H1237" s="7" t="s">
        <v>45</v>
      </c>
      <c r="I1237" s="20" t="s">
        <v>2004</v>
      </c>
      <c r="J1237" s="20" t="s">
        <v>2005</v>
      </c>
      <c r="K1237" s="7" t="s">
        <v>110</v>
      </c>
      <c r="L1237" s="61">
        <v>45806</v>
      </c>
      <c r="M1237" s="7" t="s">
        <v>111</v>
      </c>
      <c r="N1237" s="61">
        <v>45807</v>
      </c>
      <c r="O1237" s="61">
        <v>45807</v>
      </c>
      <c r="P1237" s="59"/>
      <c r="Q1237" s="124" t="e">
        <f>P1237*#REF!</f>
        <v>#REF!</v>
      </c>
      <c r="R1237" s="126">
        <v>45807</v>
      </c>
      <c r="S1237" s="153">
        <f>IF(L1237="","",L1237-B1237)</f>
        <v>6</v>
      </c>
      <c r="T1237" s="153">
        <f>IF(N1237="","",N1237-L1237)</f>
        <v>1</v>
      </c>
      <c r="U1237" s="153">
        <f>IF(O1237="","",O1237-N1237)</f>
        <v>0</v>
      </c>
      <c r="V1237" s="154">
        <f>IF(O1237="","",O1237-B1237)</f>
        <v>7</v>
      </c>
      <c r="W1237" s="154">
        <f>IF(O1237="","",O1237-L1237)</f>
        <v>1</v>
      </c>
      <c r="X1237" s="154">
        <f>IF(R1237="","",R1237-B1237)</f>
        <v>7</v>
      </c>
    </row>
    <row r="1238" spans="2:24" ht="17.25" hidden="1" customHeight="1">
      <c r="B1238" s="23">
        <v>45800</v>
      </c>
      <c r="C1238" s="7">
        <v>2003695870</v>
      </c>
      <c r="D1238" s="20">
        <v>173751</v>
      </c>
      <c r="E1238" s="27" t="s">
        <v>116</v>
      </c>
      <c r="F1238" s="7" t="s">
        <v>107</v>
      </c>
      <c r="G1238" s="7" t="s">
        <v>10</v>
      </c>
      <c r="H1238" s="7" t="s">
        <v>45</v>
      </c>
      <c r="I1238" s="20" t="s">
        <v>173</v>
      </c>
      <c r="J1238" s="20" t="s">
        <v>2006</v>
      </c>
      <c r="K1238" s="7" t="s">
        <v>119</v>
      </c>
      <c r="L1238" s="61">
        <v>45803</v>
      </c>
      <c r="M1238" s="7" t="s">
        <v>111</v>
      </c>
      <c r="N1238" s="61">
        <v>45803</v>
      </c>
      <c r="O1238" s="61">
        <v>45803</v>
      </c>
      <c r="P1238" s="59"/>
      <c r="Q1238" s="124" t="e">
        <f>P1238*#REF!</f>
        <v>#REF!</v>
      </c>
      <c r="R1238" s="126">
        <v>45807</v>
      </c>
      <c r="S1238" s="153">
        <f>IF(L1238="","",L1238-B1238)</f>
        <v>3</v>
      </c>
      <c r="T1238" s="153">
        <f>IF(N1238="","",N1238-L1238)</f>
        <v>0</v>
      </c>
      <c r="U1238" s="153">
        <f>IF(O1238="","",O1238-N1238)</f>
        <v>0</v>
      </c>
      <c r="V1238" s="154">
        <f>IF(O1238="","",O1238-B1238)</f>
        <v>3</v>
      </c>
      <c r="W1238" s="154">
        <f>IF(O1238="","",O1238-L1238)</f>
        <v>0</v>
      </c>
      <c r="X1238" s="154">
        <f>IF(R1238="","",R1238-B1238)</f>
        <v>7</v>
      </c>
    </row>
    <row r="1239" spans="2:24" ht="17.25" hidden="1" customHeight="1">
      <c r="B1239" s="23">
        <v>45800</v>
      </c>
      <c r="C1239" s="7">
        <v>2003637397</v>
      </c>
      <c r="D1239" s="20">
        <v>173849</v>
      </c>
      <c r="E1239" s="27" t="s">
        <v>138</v>
      </c>
      <c r="F1239" s="7" t="s">
        <v>107</v>
      </c>
      <c r="G1239" s="7" t="s">
        <v>18</v>
      </c>
      <c r="H1239" s="7" t="s">
        <v>45</v>
      </c>
      <c r="I1239" s="20" t="s">
        <v>1117</v>
      </c>
      <c r="J1239" s="20" t="s">
        <v>2007</v>
      </c>
      <c r="K1239" s="7" t="s">
        <v>119</v>
      </c>
      <c r="L1239" s="61">
        <v>45804</v>
      </c>
      <c r="M1239" s="7" t="s">
        <v>111</v>
      </c>
      <c r="N1239" s="61">
        <v>45804</v>
      </c>
      <c r="O1239" s="130">
        <v>45805</v>
      </c>
      <c r="P1239" s="59"/>
      <c r="Q1239" s="124" t="e">
        <f>P1239*#REF!</f>
        <v>#REF!</v>
      </c>
      <c r="R1239" s="126">
        <v>45807</v>
      </c>
      <c r="S1239" s="153">
        <f>IF(L1239="","",L1239-B1239)</f>
        <v>4</v>
      </c>
      <c r="T1239" s="153">
        <f>IF(N1239="","",N1239-L1239)</f>
        <v>0</v>
      </c>
      <c r="U1239" s="153">
        <f>IF(O1239="","",O1239-N1239)</f>
        <v>1</v>
      </c>
      <c r="V1239" s="154">
        <f>IF(O1239="","",O1239-B1239)</f>
        <v>5</v>
      </c>
      <c r="W1239" s="154">
        <f>IF(O1239="","",O1239-L1239)</f>
        <v>1</v>
      </c>
      <c r="X1239" s="154">
        <f>IF(R1239="","",R1239-B1239)</f>
        <v>7</v>
      </c>
    </row>
    <row r="1240" spans="2:24" ht="17.25" hidden="1" customHeight="1">
      <c r="B1240" s="23">
        <v>45800</v>
      </c>
      <c r="C1240" s="7">
        <v>2003682242</v>
      </c>
      <c r="D1240" s="20">
        <v>173936</v>
      </c>
      <c r="E1240" s="27" t="s">
        <v>106</v>
      </c>
      <c r="F1240" s="7" t="s">
        <v>107</v>
      </c>
      <c r="G1240" s="7" t="s">
        <v>18</v>
      </c>
      <c r="H1240" s="7" t="s">
        <v>45</v>
      </c>
      <c r="I1240" s="20" t="s">
        <v>981</v>
      </c>
      <c r="J1240" s="20" t="s">
        <v>1850</v>
      </c>
      <c r="K1240" s="7" t="s">
        <v>119</v>
      </c>
      <c r="L1240" s="61">
        <v>45806</v>
      </c>
      <c r="M1240" s="7" t="s">
        <v>111</v>
      </c>
      <c r="N1240" s="61">
        <v>45806</v>
      </c>
      <c r="O1240" s="130">
        <v>45806</v>
      </c>
      <c r="P1240" s="59"/>
      <c r="Q1240" s="124" t="e">
        <f>P1240*#REF!</f>
        <v>#REF!</v>
      </c>
      <c r="R1240" s="126">
        <v>45807</v>
      </c>
      <c r="S1240" s="153">
        <f>IF(L1240="","",L1240-B1240)</f>
        <v>6</v>
      </c>
      <c r="T1240" s="153">
        <f>IF(N1240="","",N1240-L1240)</f>
        <v>0</v>
      </c>
      <c r="U1240" s="153">
        <f>IF(O1240="","",O1240-N1240)</f>
        <v>0</v>
      </c>
      <c r="V1240" s="154">
        <f>IF(O1240="","",O1240-B1240)</f>
        <v>6</v>
      </c>
      <c r="W1240" s="154">
        <f>IF(O1240="","",O1240-L1240)</f>
        <v>0</v>
      </c>
      <c r="X1240" s="154">
        <f>IF(R1240="","",R1240-B1240)</f>
        <v>7</v>
      </c>
    </row>
    <row r="1241" spans="2:24" ht="17.25" hidden="1" customHeight="1">
      <c r="B1241" s="23">
        <v>45800</v>
      </c>
      <c r="C1241" s="7">
        <v>2003670918</v>
      </c>
      <c r="D1241" s="20">
        <v>173957</v>
      </c>
      <c r="E1241" s="27" t="s">
        <v>123</v>
      </c>
      <c r="F1241" s="7" t="s">
        <v>107</v>
      </c>
      <c r="G1241" s="7" t="s">
        <v>10</v>
      </c>
      <c r="H1241" s="7" t="s">
        <v>45</v>
      </c>
      <c r="I1241" s="20" t="s">
        <v>2008</v>
      </c>
      <c r="J1241" s="20" t="s">
        <v>2009</v>
      </c>
      <c r="K1241" s="7" t="s">
        <v>119</v>
      </c>
      <c r="L1241" s="61">
        <v>45804</v>
      </c>
      <c r="M1241" s="7" t="s">
        <v>111</v>
      </c>
      <c r="N1241" s="61">
        <v>45804</v>
      </c>
      <c r="O1241" s="61">
        <v>45805</v>
      </c>
      <c r="P1241" s="59"/>
      <c r="Q1241" s="124" t="e">
        <f>P1241*#REF!</f>
        <v>#REF!</v>
      </c>
      <c r="R1241" s="126">
        <v>45807</v>
      </c>
      <c r="S1241" s="153">
        <f>IF(L1241="","",L1241-B1241)</f>
        <v>4</v>
      </c>
      <c r="T1241" s="153">
        <f>IF(N1241="","",N1241-L1241)</f>
        <v>0</v>
      </c>
      <c r="U1241" s="153">
        <f>IF(O1241="","",O1241-N1241)</f>
        <v>1</v>
      </c>
      <c r="V1241" s="154">
        <f>IF(O1241="","",O1241-B1241)</f>
        <v>5</v>
      </c>
      <c r="W1241" s="154">
        <f>IF(O1241="","",O1241-L1241)</f>
        <v>1</v>
      </c>
      <c r="X1241" s="154">
        <f>IF(R1241="","",R1241-B1241)</f>
        <v>7</v>
      </c>
    </row>
    <row r="1242" spans="2:24" ht="17.25" hidden="1" customHeight="1">
      <c r="B1242" s="23">
        <v>45800</v>
      </c>
      <c r="C1242" s="7">
        <v>2003675813</v>
      </c>
      <c r="D1242" s="20">
        <v>174138</v>
      </c>
      <c r="E1242" s="27" t="s">
        <v>198</v>
      </c>
      <c r="F1242" s="7" t="s">
        <v>107</v>
      </c>
      <c r="G1242" s="7" t="s">
        <v>10</v>
      </c>
      <c r="H1242" s="7" t="s">
        <v>45</v>
      </c>
      <c r="I1242" s="20" t="s">
        <v>934</v>
      </c>
      <c r="J1242" s="20" t="s">
        <v>1962</v>
      </c>
      <c r="K1242" s="7" t="s">
        <v>110</v>
      </c>
      <c r="L1242" s="61">
        <v>45806</v>
      </c>
      <c r="M1242" s="7" t="s">
        <v>111</v>
      </c>
      <c r="N1242" s="24">
        <v>45807</v>
      </c>
      <c r="O1242" s="106">
        <v>45807</v>
      </c>
      <c r="P1242" s="59"/>
      <c r="Q1242" s="124" t="e">
        <f>P1242*#REF!</f>
        <v>#REF!</v>
      </c>
      <c r="R1242" s="126">
        <v>45807</v>
      </c>
      <c r="S1242" s="153">
        <f>IF(L1242="","",L1242-B1242)</f>
        <v>6</v>
      </c>
      <c r="T1242" s="153">
        <f>IF(N1242="","",N1242-L1242)</f>
        <v>1</v>
      </c>
      <c r="U1242" s="153">
        <f>IF(O1242="","",O1242-N1242)</f>
        <v>0</v>
      </c>
      <c r="V1242" s="154">
        <f>IF(O1242="","",O1242-B1242)</f>
        <v>7</v>
      </c>
      <c r="W1242" s="154">
        <f>IF(O1242="","",O1242-L1242)</f>
        <v>1</v>
      </c>
      <c r="X1242" s="154">
        <f>IF(R1242="","",R1242-B1242)</f>
        <v>7</v>
      </c>
    </row>
    <row r="1243" spans="2:24" ht="17.25" hidden="1" customHeight="1">
      <c r="B1243" s="23">
        <v>45800</v>
      </c>
      <c r="C1243" s="7">
        <v>2003667226</v>
      </c>
      <c r="D1243" s="20">
        <v>174140</v>
      </c>
      <c r="E1243" s="27" t="s">
        <v>198</v>
      </c>
      <c r="F1243" s="7" t="s">
        <v>107</v>
      </c>
      <c r="G1243" s="7" t="s">
        <v>10</v>
      </c>
      <c r="H1243" s="7" t="s">
        <v>45</v>
      </c>
      <c r="I1243" s="20" t="s">
        <v>1921</v>
      </c>
      <c r="J1243" s="20" t="s">
        <v>1922</v>
      </c>
      <c r="K1243" s="7" t="s">
        <v>119</v>
      </c>
      <c r="L1243" s="61">
        <v>45804</v>
      </c>
      <c r="M1243" s="7" t="s">
        <v>111</v>
      </c>
      <c r="N1243" s="61">
        <v>45804</v>
      </c>
      <c r="O1243" s="61">
        <v>45804</v>
      </c>
      <c r="P1243" s="59"/>
      <c r="Q1243" s="124" t="e">
        <f>P1243*#REF!</f>
        <v>#REF!</v>
      </c>
      <c r="R1243" s="126">
        <v>45804</v>
      </c>
      <c r="S1243" s="153">
        <f>IF(L1243="","",L1243-B1243)</f>
        <v>4</v>
      </c>
      <c r="T1243" s="153">
        <f>IF(N1243="","",N1243-L1243)</f>
        <v>0</v>
      </c>
      <c r="U1243" s="153">
        <f>IF(O1243="","",O1243-N1243)</f>
        <v>0</v>
      </c>
      <c r="V1243" s="154">
        <f>IF(O1243="","",O1243-B1243)</f>
        <v>4</v>
      </c>
      <c r="W1243" s="154">
        <f>IF(O1243="","",O1243-L1243)</f>
        <v>0</v>
      </c>
      <c r="X1243" s="154">
        <f>IF(R1243="","",R1243-B1243)</f>
        <v>4</v>
      </c>
    </row>
    <row r="1244" spans="2:24" ht="17.25" hidden="1" customHeight="1">
      <c r="B1244" s="23">
        <v>45803</v>
      </c>
      <c r="C1244" s="7">
        <v>2003664977</v>
      </c>
      <c r="D1244" s="20">
        <v>174307</v>
      </c>
      <c r="E1244" s="27" t="s">
        <v>185</v>
      </c>
      <c r="F1244" s="7" t="s">
        <v>107</v>
      </c>
      <c r="G1244" s="7" t="s">
        <v>10</v>
      </c>
      <c r="H1244" s="7" t="s">
        <v>45</v>
      </c>
      <c r="I1244" s="20" t="s">
        <v>1035</v>
      </c>
      <c r="J1244" s="20" t="s">
        <v>2010</v>
      </c>
      <c r="K1244" s="7" t="s">
        <v>110</v>
      </c>
      <c r="L1244" s="61">
        <v>45805</v>
      </c>
      <c r="M1244" s="7" t="s">
        <v>111</v>
      </c>
      <c r="N1244" s="61">
        <v>45805</v>
      </c>
      <c r="O1244" s="61">
        <v>45805</v>
      </c>
      <c r="P1244" s="59"/>
      <c r="Q1244" s="124" t="e">
        <f>P1244*#REF!</f>
        <v>#REF!</v>
      </c>
      <c r="R1244" s="126">
        <v>45807</v>
      </c>
      <c r="S1244" s="153">
        <f>IF(L1244="","",L1244-B1244)</f>
        <v>2</v>
      </c>
      <c r="T1244" s="153">
        <f>IF(N1244="","",N1244-L1244)</f>
        <v>0</v>
      </c>
      <c r="U1244" s="153">
        <f>IF(O1244="","",O1244-N1244)</f>
        <v>0</v>
      </c>
      <c r="V1244" s="154">
        <f>IF(O1244="","",O1244-B1244)</f>
        <v>2</v>
      </c>
      <c r="W1244" s="154">
        <f>IF(O1244="","",O1244-L1244)</f>
        <v>0</v>
      </c>
      <c r="X1244" s="154">
        <f>IF(R1244="","",R1244-B1244)</f>
        <v>4</v>
      </c>
    </row>
    <row r="1245" spans="2:24" ht="17.25" hidden="1" customHeight="1">
      <c r="B1245" s="23">
        <v>45803</v>
      </c>
      <c r="C1245" s="7">
        <v>2003672681</v>
      </c>
      <c r="D1245" s="20">
        <v>175193</v>
      </c>
      <c r="E1245" s="27" t="s">
        <v>198</v>
      </c>
      <c r="F1245" s="7" t="s">
        <v>107</v>
      </c>
      <c r="G1245" s="7" t="s">
        <v>10</v>
      </c>
      <c r="H1245" s="7" t="s">
        <v>45</v>
      </c>
      <c r="I1245" s="20" t="s">
        <v>2011</v>
      </c>
      <c r="J1245" s="20" t="s">
        <v>2012</v>
      </c>
      <c r="K1245" s="7" t="s">
        <v>110</v>
      </c>
      <c r="L1245" s="61">
        <v>45805</v>
      </c>
      <c r="M1245" s="7" t="s">
        <v>111</v>
      </c>
      <c r="N1245" s="61">
        <v>45805</v>
      </c>
      <c r="O1245" s="61">
        <v>45805</v>
      </c>
      <c r="P1245" s="59"/>
      <c r="Q1245" s="124" t="e">
        <f>P1245*#REF!</f>
        <v>#REF!</v>
      </c>
      <c r="R1245" s="126">
        <v>45807</v>
      </c>
      <c r="S1245" s="153">
        <f>IF(L1245="","",L1245-B1245)</f>
        <v>2</v>
      </c>
      <c r="T1245" s="153">
        <f>IF(N1245="","",N1245-L1245)</f>
        <v>0</v>
      </c>
      <c r="U1245" s="153">
        <f>IF(O1245="","",O1245-N1245)</f>
        <v>0</v>
      </c>
      <c r="V1245" s="154">
        <f>IF(O1245="","",O1245-B1245)</f>
        <v>2</v>
      </c>
      <c r="W1245" s="154">
        <f>IF(O1245="","",O1245-L1245)</f>
        <v>0</v>
      </c>
      <c r="X1245" s="154">
        <f>IF(R1245="","",R1245-B1245)</f>
        <v>4</v>
      </c>
    </row>
    <row r="1246" spans="2:24" ht="17.25" hidden="1" customHeight="1">
      <c r="B1246" s="23">
        <v>45803</v>
      </c>
      <c r="C1246" s="7">
        <v>2003677882</v>
      </c>
      <c r="D1246" s="20">
        <v>175195</v>
      </c>
      <c r="E1246" s="27" t="s">
        <v>408</v>
      </c>
      <c r="F1246" s="7" t="s">
        <v>107</v>
      </c>
      <c r="G1246" s="7" t="s">
        <v>26</v>
      </c>
      <c r="H1246" s="7" t="s">
        <v>45</v>
      </c>
      <c r="I1246" s="20" t="s">
        <v>909</v>
      </c>
      <c r="J1246" s="20" t="s">
        <v>2013</v>
      </c>
      <c r="K1246" s="7" t="s">
        <v>119</v>
      </c>
      <c r="L1246" s="61">
        <v>45805</v>
      </c>
      <c r="M1246" s="7" t="s">
        <v>111</v>
      </c>
      <c r="N1246" s="24">
        <v>45807</v>
      </c>
      <c r="O1246" s="23">
        <v>45807</v>
      </c>
      <c r="P1246" s="59"/>
      <c r="Q1246" s="124" t="e">
        <f>P1246*#REF!</f>
        <v>#REF!</v>
      </c>
      <c r="R1246" s="126">
        <v>45807</v>
      </c>
      <c r="S1246" s="153">
        <f>IF(L1246="","",L1246-B1246)</f>
        <v>2</v>
      </c>
      <c r="T1246" s="153">
        <f>IF(N1246="","",N1246-L1246)</f>
        <v>2</v>
      </c>
      <c r="U1246" s="153">
        <f>IF(O1246="","",O1246-N1246)</f>
        <v>0</v>
      </c>
      <c r="V1246" s="154">
        <f>IF(O1246="","",O1246-B1246)</f>
        <v>4</v>
      </c>
      <c r="W1246" s="154">
        <f>IF(O1246="","",O1246-L1246)</f>
        <v>2</v>
      </c>
      <c r="X1246" s="154">
        <f>IF(R1246="","",R1246-B1246)</f>
        <v>4</v>
      </c>
    </row>
    <row r="1247" spans="2:24" ht="17.25" hidden="1" customHeight="1">
      <c r="B1247" s="23">
        <v>45803</v>
      </c>
      <c r="C1247" s="7">
        <v>2003697866</v>
      </c>
      <c r="D1247" s="20">
        <v>175263</v>
      </c>
      <c r="E1247" s="27" t="s">
        <v>180</v>
      </c>
      <c r="F1247" s="7" t="s">
        <v>107</v>
      </c>
      <c r="G1247" s="7" t="s">
        <v>10</v>
      </c>
      <c r="H1247" s="7" t="s">
        <v>45</v>
      </c>
      <c r="I1247" s="20" t="s">
        <v>1695</v>
      </c>
      <c r="J1247" s="20" t="s">
        <v>2014</v>
      </c>
      <c r="K1247" s="7" t="s">
        <v>119</v>
      </c>
      <c r="L1247" s="61">
        <v>45805</v>
      </c>
      <c r="M1247" s="7" t="s">
        <v>111</v>
      </c>
      <c r="N1247" s="61">
        <v>45806</v>
      </c>
      <c r="O1247" s="61">
        <v>45806</v>
      </c>
      <c r="P1247" s="59"/>
      <c r="Q1247" s="124" t="e">
        <f>P1247*#REF!</f>
        <v>#REF!</v>
      </c>
      <c r="R1247" s="126">
        <v>45807</v>
      </c>
      <c r="S1247" s="153">
        <f>IF(L1247="","",L1247-B1247)</f>
        <v>2</v>
      </c>
      <c r="T1247" s="153">
        <f>IF(N1247="","",N1247-L1247)</f>
        <v>1</v>
      </c>
      <c r="U1247" s="153">
        <f>IF(O1247="","",O1247-N1247)</f>
        <v>0</v>
      </c>
      <c r="V1247" s="154">
        <f>IF(O1247="","",O1247-B1247)</f>
        <v>3</v>
      </c>
      <c r="W1247" s="154">
        <f>IF(O1247="","",O1247-L1247)</f>
        <v>1</v>
      </c>
      <c r="X1247" s="154">
        <f>IF(R1247="","",R1247-B1247)</f>
        <v>4</v>
      </c>
    </row>
    <row r="1248" spans="2:24" ht="17.25" hidden="1" customHeight="1">
      <c r="B1248" s="23">
        <v>45803</v>
      </c>
      <c r="C1248" s="7">
        <v>2003691105</v>
      </c>
      <c r="D1248" s="20">
        <v>175683</v>
      </c>
      <c r="E1248" s="27" t="s">
        <v>106</v>
      </c>
      <c r="F1248" s="7" t="s">
        <v>107</v>
      </c>
      <c r="G1248" s="7" t="s">
        <v>10</v>
      </c>
      <c r="H1248" s="7" t="s">
        <v>45</v>
      </c>
      <c r="I1248" s="20" t="s">
        <v>2015</v>
      </c>
      <c r="J1248" s="20" t="s">
        <v>2016</v>
      </c>
      <c r="K1248" s="7" t="s">
        <v>119</v>
      </c>
      <c r="L1248" s="61">
        <v>45805</v>
      </c>
      <c r="M1248" s="7" t="s">
        <v>111</v>
      </c>
      <c r="N1248" s="61">
        <v>45806</v>
      </c>
      <c r="O1248" s="130">
        <v>45806</v>
      </c>
      <c r="P1248" s="59"/>
      <c r="Q1248" s="124" t="e">
        <f>P1248*#REF!</f>
        <v>#REF!</v>
      </c>
      <c r="R1248" s="126">
        <v>45807</v>
      </c>
      <c r="S1248" s="153">
        <f>IF(L1248="","",L1248-B1248)</f>
        <v>2</v>
      </c>
      <c r="T1248" s="153">
        <f>IF(N1248="","",N1248-L1248)</f>
        <v>1</v>
      </c>
      <c r="U1248" s="153">
        <f>IF(O1248="","",O1248-N1248)</f>
        <v>0</v>
      </c>
      <c r="V1248" s="154">
        <f>IF(O1248="","",O1248-B1248)</f>
        <v>3</v>
      </c>
      <c r="W1248" s="154">
        <f>IF(O1248="","",O1248-L1248)</f>
        <v>1</v>
      </c>
      <c r="X1248" s="154">
        <f>IF(R1248="","",R1248-B1248)</f>
        <v>4</v>
      </c>
    </row>
    <row r="1249" spans="2:24" ht="17.25" hidden="1" customHeight="1">
      <c r="B1249" s="23">
        <v>45805</v>
      </c>
      <c r="C1249" s="7">
        <v>2003674486</v>
      </c>
      <c r="D1249" s="20">
        <v>177677</v>
      </c>
      <c r="E1249" s="27" t="s">
        <v>198</v>
      </c>
      <c r="F1249" s="7" t="s">
        <v>107</v>
      </c>
      <c r="G1249" s="7" t="s">
        <v>10</v>
      </c>
      <c r="H1249" s="7" t="s">
        <v>45</v>
      </c>
      <c r="I1249" s="20" t="s">
        <v>2017</v>
      </c>
      <c r="J1249" s="20" t="s">
        <v>2018</v>
      </c>
      <c r="K1249" s="7" t="s">
        <v>110</v>
      </c>
      <c r="L1249" s="61">
        <v>45807</v>
      </c>
      <c r="M1249" s="7" t="s">
        <v>111</v>
      </c>
      <c r="N1249" s="61">
        <v>45807</v>
      </c>
      <c r="O1249" s="130">
        <v>45807</v>
      </c>
      <c r="P1249" s="59"/>
      <c r="Q1249" s="124" t="e">
        <f>P1249*#REF!</f>
        <v>#REF!</v>
      </c>
      <c r="R1249" s="126">
        <v>45807</v>
      </c>
      <c r="S1249" s="153">
        <f>IF(L1249="","",L1249-B1249)</f>
        <v>2</v>
      </c>
      <c r="T1249" s="153">
        <f>IF(N1249="","",N1249-L1249)</f>
        <v>0</v>
      </c>
      <c r="U1249" s="153">
        <f>IF(O1249="","",O1249-N1249)</f>
        <v>0</v>
      </c>
      <c r="V1249" s="154">
        <f>IF(O1249="","",O1249-B1249)</f>
        <v>2</v>
      </c>
      <c r="W1249" s="154">
        <f>IF(O1249="","",O1249-L1249)</f>
        <v>0</v>
      </c>
      <c r="X1249" s="154">
        <f>IF(R1249="","",R1249-B1249)</f>
        <v>2</v>
      </c>
    </row>
    <row r="1250" spans="2:24" ht="17.25" hidden="1" customHeight="1">
      <c r="B1250" s="23">
        <v>45790</v>
      </c>
      <c r="C1250" s="7">
        <v>2003635167</v>
      </c>
      <c r="D1250" s="20">
        <v>249448</v>
      </c>
      <c r="E1250" s="27" t="s">
        <v>756</v>
      </c>
      <c r="F1250" s="7" t="s">
        <v>107</v>
      </c>
      <c r="G1250" s="7" t="s">
        <v>18</v>
      </c>
      <c r="H1250" s="7" t="s">
        <v>45</v>
      </c>
      <c r="I1250" s="20" t="s">
        <v>2019</v>
      </c>
      <c r="J1250" s="20" t="s">
        <v>2020</v>
      </c>
      <c r="K1250" s="7" t="s">
        <v>119</v>
      </c>
      <c r="L1250" s="61">
        <v>45797</v>
      </c>
      <c r="M1250" s="7" t="s">
        <v>111</v>
      </c>
      <c r="N1250" s="24">
        <v>45804</v>
      </c>
      <c r="O1250" s="23">
        <v>45805</v>
      </c>
      <c r="P1250" s="59"/>
      <c r="Q1250" s="124" t="e">
        <f>P1250*#REF!</f>
        <v>#REF!</v>
      </c>
      <c r="R1250" s="126">
        <v>45807</v>
      </c>
      <c r="S1250" s="153">
        <f>IF(L1250="","",L1250-B1250)</f>
        <v>7</v>
      </c>
      <c r="T1250" s="153">
        <f>IF(N1250="","",N1250-L1250)</f>
        <v>7</v>
      </c>
      <c r="U1250" s="153">
        <f>IF(O1250="","",O1250-N1250)</f>
        <v>1</v>
      </c>
      <c r="V1250" s="154">
        <f>IF(O1250="","",O1250-B1250)</f>
        <v>15</v>
      </c>
      <c r="W1250" s="154">
        <f>IF(O1250="","",O1250-L1250)</f>
        <v>8</v>
      </c>
      <c r="X1250" s="154">
        <f>IF(R1250="","",R1250-B1250)</f>
        <v>17</v>
      </c>
    </row>
    <row r="1251" spans="2:24" ht="17.25" hidden="1" customHeight="1">
      <c r="B1251" s="23">
        <v>45790</v>
      </c>
      <c r="C1251" s="7">
        <v>2003636446</v>
      </c>
      <c r="D1251" s="20">
        <v>249475</v>
      </c>
      <c r="E1251" s="27" t="s">
        <v>892</v>
      </c>
      <c r="F1251" s="7" t="s">
        <v>107</v>
      </c>
      <c r="G1251" s="7" t="s">
        <v>18</v>
      </c>
      <c r="H1251" s="7" t="s">
        <v>45</v>
      </c>
      <c r="I1251" s="20" t="s">
        <v>1317</v>
      </c>
      <c r="J1251" s="20" t="s">
        <v>2021</v>
      </c>
      <c r="K1251" s="7" t="s">
        <v>110</v>
      </c>
      <c r="L1251" s="61">
        <v>45792</v>
      </c>
      <c r="M1251" s="7" t="s">
        <v>111</v>
      </c>
      <c r="N1251" s="61">
        <v>45792</v>
      </c>
      <c r="O1251" s="23">
        <v>45793</v>
      </c>
      <c r="P1251" s="59"/>
      <c r="Q1251" s="124" t="e">
        <f>P1251*#REF!</f>
        <v>#REF!</v>
      </c>
      <c r="R1251" s="126">
        <v>45796</v>
      </c>
      <c r="S1251" s="153">
        <f>IF(L1251="","",L1251-B1251)</f>
        <v>2</v>
      </c>
      <c r="T1251" s="153">
        <f>IF(N1251="","",N1251-L1251)</f>
        <v>0</v>
      </c>
      <c r="U1251" s="153">
        <f>IF(O1251="","",O1251-N1251)</f>
        <v>1</v>
      </c>
      <c r="V1251" s="154">
        <f>IF(O1251="","",O1251-B1251)</f>
        <v>3</v>
      </c>
      <c r="W1251" s="154">
        <f>IF(O1251="","",O1251-L1251)</f>
        <v>1</v>
      </c>
      <c r="X1251" s="154">
        <f>IF(R1251="","",R1251-B1251)</f>
        <v>6</v>
      </c>
    </row>
    <row r="1252" spans="2:24" ht="17.25" hidden="1" customHeight="1">
      <c r="B1252" s="23">
        <v>45751</v>
      </c>
      <c r="C1252" s="7">
        <v>2003639987</v>
      </c>
      <c r="D1252" s="20">
        <v>5867022</v>
      </c>
      <c r="E1252" s="27" t="s">
        <v>180</v>
      </c>
      <c r="F1252" s="7" t="s">
        <v>107</v>
      </c>
      <c r="G1252" s="7" t="s">
        <v>30</v>
      </c>
      <c r="H1252" s="7" t="s">
        <v>45</v>
      </c>
      <c r="I1252" s="20" t="s">
        <v>2022</v>
      </c>
      <c r="J1252" s="20" t="s">
        <v>401</v>
      </c>
      <c r="K1252" s="7" t="s">
        <v>111</v>
      </c>
      <c r="L1252" s="61">
        <v>45754</v>
      </c>
      <c r="M1252" s="7" t="s">
        <v>111</v>
      </c>
      <c r="N1252" s="61">
        <v>45754</v>
      </c>
      <c r="O1252" s="58">
        <v>45804</v>
      </c>
      <c r="P1252" s="59"/>
      <c r="Q1252" s="124" t="e">
        <f>P1252*#REF!</f>
        <v>#REF!</v>
      </c>
      <c r="R1252" s="126">
        <v>45804</v>
      </c>
      <c r="S1252" s="153">
        <f>IF(L1252="","",L1252-B1252)</f>
        <v>3</v>
      </c>
      <c r="T1252" s="153">
        <f>IF(N1252="","",N1252-L1252)</f>
        <v>0</v>
      </c>
      <c r="U1252" s="153">
        <f>IF(O1252="","",O1252-N1252)</f>
        <v>50</v>
      </c>
      <c r="V1252" s="154">
        <f>IF(O1252="","",O1252-B1252)</f>
        <v>53</v>
      </c>
      <c r="W1252" s="154">
        <f>IF(O1252="","",O1252-L1252)</f>
        <v>50</v>
      </c>
      <c r="X1252" s="154">
        <f>IF(R1252="","",R1252-B1252)</f>
        <v>53</v>
      </c>
    </row>
    <row r="1253" spans="2:24" ht="17.25" hidden="1" customHeight="1">
      <c r="B1253" s="23">
        <v>45761</v>
      </c>
      <c r="C1253" s="7">
        <v>2003661109</v>
      </c>
      <c r="D1253" s="20">
        <v>5889524</v>
      </c>
      <c r="E1253" s="27" t="s">
        <v>230</v>
      </c>
      <c r="F1253" s="7" t="s">
        <v>107</v>
      </c>
      <c r="G1253" s="7" t="s">
        <v>10</v>
      </c>
      <c r="H1253" s="7" t="s">
        <v>45</v>
      </c>
      <c r="I1253" s="20" t="s">
        <v>2023</v>
      </c>
      <c r="J1253" s="20" t="s">
        <v>2024</v>
      </c>
      <c r="K1253" s="7" t="s">
        <v>119</v>
      </c>
      <c r="L1253" s="61">
        <v>45771</v>
      </c>
      <c r="M1253" s="7" t="s">
        <v>111</v>
      </c>
      <c r="N1253" s="24">
        <v>45782</v>
      </c>
      <c r="O1253" s="24">
        <v>45782</v>
      </c>
      <c r="P1253" s="59"/>
      <c r="Q1253" s="124" t="e">
        <f>P1253*#REF!</f>
        <v>#REF!</v>
      </c>
      <c r="R1253" s="126">
        <v>45782</v>
      </c>
      <c r="S1253" s="153">
        <f>IF(L1253="","",L1253-B1253)</f>
        <v>10</v>
      </c>
      <c r="T1253" s="153">
        <f>IF(N1253="","",N1253-L1253)</f>
        <v>11</v>
      </c>
      <c r="U1253" s="153">
        <f>IF(O1253="","",O1253-N1253)</f>
        <v>0</v>
      </c>
      <c r="V1253" s="154">
        <f>IF(O1253="","",O1253-B1253)</f>
        <v>21</v>
      </c>
      <c r="W1253" s="154">
        <f>IF(O1253="","",O1253-L1253)</f>
        <v>11</v>
      </c>
      <c r="X1253" s="154">
        <f>IF(R1253="","",R1253-B1253)</f>
        <v>21</v>
      </c>
    </row>
    <row r="1254" spans="2:24" ht="17.25" hidden="1" customHeight="1">
      <c r="B1254" s="23">
        <v>45768</v>
      </c>
      <c r="C1254" s="7">
        <v>2003665795</v>
      </c>
      <c r="D1254" s="20">
        <v>5893523</v>
      </c>
      <c r="E1254" s="27" t="s">
        <v>129</v>
      </c>
      <c r="F1254" s="7" t="s">
        <v>107</v>
      </c>
      <c r="G1254" s="7" t="s">
        <v>10</v>
      </c>
      <c r="H1254" s="7" t="s">
        <v>45</v>
      </c>
      <c r="I1254" s="20" t="s">
        <v>2025</v>
      </c>
      <c r="J1254" s="20" t="s">
        <v>2026</v>
      </c>
      <c r="K1254" s="7" t="s">
        <v>110</v>
      </c>
      <c r="L1254" s="61">
        <v>45783</v>
      </c>
      <c r="M1254" s="7" t="s">
        <v>111</v>
      </c>
      <c r="N1254" s="61">
        <v>45783</v>
      </c>
      <c r="O1254" s="61">
        <v>45783</v>
      </c>
      <c r="P1254" s="59"/>
      <c r="Q1254" s="124" t="e">
        <f>P1254*#REF!</f>
        <v>#REF!</v>
      </c>
      <c r="R1254" s="126">
        <v>45784</v>
      </c>
      <c r="S1254" s="153">
        <f>IF(L1254="","",L1254-B1254)</f>
        <v>15</v>
      </c>
      <c r="T1254" s="153">
        <f>IF(N1254="","",N1254-L1254)</f>
        <v>0</v>
      </c>
      <c r="U1254" s="153">
        <f>IF(O1254="","",O1254-N1254)</f>
        <v>0</v>
      </c>
      <c r="V1254" s="154">
        <f>IF(O1254="","",O1254-B1254)</f>
        <v>15</v>
      </c>
      <c r="W1254" s="154">
        <f>IF(O1254="","",O1254-L1254)</f>
        <v>0</v>
      </c>
      <c r="X1254" s="154">
        <f>IF(R1254="","",R1254-B1254)</f>
        <v>16</v>
      </c>
    </row>
    <row r="1255" spans="2:24" ht="17.25" hidden="1" customHeight="1">
      <c r="B1255" s="23">
        <v>45768</v>
      </c>
      <c r="C1255" s="7">
        <v>2003664637</v>
      </c>
      <c r="D1255" s="20">
        <v>5893950</v>
      </c>
      <c r="E1255" s="27" t="s">
        <v>123</v>
      </c>
      <c r="F1255" s="7" t="s">
        <v>107</v>
      </c>
      <c r="G1255" s="7" t="s">
        <v>10</v>
      </c>
      <c r="H1255" s="7" t="s">
        <v>45</v>
      </c>
      <c r="I1255" s="20" t="s">
        <v>2027</v>
      </c>
      <c r="J1255" s="20" t="s">
        <v>2028</v>
      </c>
      <c r="K1255" s="7" t="s">
        <v>119</v>
      </c>
      <c r="L1255" s="61">
        <v>45770</v>
      </c>
      <c r="M1255" s="7" t="s">
        <v>111</v>
      </c>
      <c r="N1255" s="24">
        <v>45791</v>
      </c>
      <c r="O1255" s="106">
        <v>45791</v>
      </c>
      <c r="P1255" s="59"/>
      <c r="Q1255" s="124" t="e">
        <f>P1255*#REF!</f>
        <v>#REF!</v>
      </c>
      <c r="R1255" s="126">
        <v>45792</v>
      </c>
      <c r="S1255" s="153">
        <f>IF(L1255="","",L1255-B1255)</f>
        <v>2</v>
      </c>
      <c r="T1255" s="153">
        <f>IF(N1255="","",N1255-L1255)</f>
        <v>21</v>
      </c>
      <c r="U1255" s="153">
        <f>IF(O1255="","",O1255-N1255)</f>
        <v>0</v>
      </c>
      <c r="V1255" s="154">
        <f>IF(O1255="","",O1255-B1255)</f>
        <v>23</v>
      </c>
      <c r="W1255" s="154">
        <f>IF(O1255="","",O1255-L1255)</f>
        <v>21</v>
      </c>
      <c r="X1255" s="154">
        <f>IF(R1255="","",R1255-B1255)</f>
        <v>24</v>
      </c>
    </row>
    <row r="1256" spans="2:24" ht="17.25" hidden="1" customHeight="1">
      <c r="B1256" s="23">
        <v>45769</v>
      </c>
      <c r="C1256" s="7">
        <v>2003665618</v>
      </c>
      <c r="D1256" s="20">
        <v>5894519</v>
      </c>
      <c r="E1256" s="27" t="s">
        <v>1225</v>
      </c>
      <c r="F1256" s="7" t="s">
        <v>107</v>
      </c>
      <c r="G1256" s="7" t="s">
        <v>10</v>
      </c>
      <c r="H1256" s="7" t="s">
        <v>45</v>
      </c>
      <c r="I1256" s="20" t="s">
        <v>2029</v>
      </c>
      <c r="J1256" s="20" t="s">
        <v>2030</v>
      </c>
      <c r="K1256" s="7" t="s">
        <v>122</v>
      </c>
      <c r="L1256" s="61">
        <v>45785</v>
      </c>
      <c r="M1256" s="7" t="s">
        <v>111</v>
      </c>
      <c r="N1256" s="24">
        <v>45786</v>
      </c>
      <c r="O1256" s="106">
        <v>45786</v>
      </c>
      <c r="P1256" s="59"/>
      <c r="Q1256" s="124" t="e">
        <f>P1256*#REF!</f>
        <v>#REF!</v>
      </c>
      <c r="R1256" s="126">
        <v>45789</v>
      </c>
      <c r="S1256" s="153">
        <f>IF(L1256="","",L1256-B1256)</f>
        <v>16</v>
      </c>
      <c r="T1256" s="153">
        <f>IF(N1256="","",N1256-L1256)</f>
        <v>1</v>
      </c>
      <c r="U1256" s="153">
        <f>IF(O1256="","",O1256-N1256)</f>
        <v>0</v>
      </c>
      <c r="V1256" s="154">
        <f>IF(O1256="","",O1256-B1256)</f>
        <v>17</v>
      </c>
      <c r="W1256" s="154">
        <f>IF(O1256="","",O1256-L1256)</f>
        <v>1</v>
      </c>
      <c r="X1256" s="154">
        <f>IF(R1256="","",R1256-B1256)</f>
        <v>20</v>
      </c>
    </row>
    <row r="1257" spans="2:24" ht="17.25" hidden="1" customHeight="1">
      <c r="B1257" s="23">
        <v>45769</v>
      </c>
      <c r="C1257" s="7">
        <v>2003665906</v>
      </c>
      <c r="D1257" s="20">
        <v>5895313</v>
      </c>
      <c r="E1257" s="27" t="s">
        <v>201</v>
      </c>
      <c r="F1257" s="7" t="s">
        <v>107</v>
      </c>
      <c r="G1257" s="7" t="s">
        <v>10</v>
      </c>
      <c r="H1257" s="7" t="s">
        <v>45</v>
      </c>
      <c r="I1257" s="20" t="s">
        <v>846</v>
      </c>
      <c r="J1257" s="20" t="s">
        <v>2031</v>
      </c>
      <c r="K1257" s="7" t="s">
        <v>119</v>
      </c>
      <c r="L1257" s="61">
        <v>45782</v>
      </c>
      <c r="M1257" s="7" t="s">
        <v>111</v>
      </c>
      <c r="N1257" s="61">
        <v>45782</v>
      </c>
      <c r="O1257" s="23">
        <v>45783</v>
      </c>
      <c r="P1257" s="59"/>
      <c r="Q1257" s="124" t="e">
        <f>P1257*#REF!</f>
        <v>#REF!</v>
      </c>
      <c r="R1257" s="126">
        <v>45783</v>
      </c>
      <c r="S1257" s="153">
        <f>IF(L1257="","",L1257-B1257)</f>
        <v>13</v>
      </c>
      <c r="T1257" s="153">
        <f>IF(N1257="","",N1257-L1257)</f>
        <v>0</v>
      </c>
      <c r="U1257" s="153">
        <f>IF(O1257="","",O1257-N1257)</f>
        <v>1</v>
      </c>
      <c r="V1257" s="154">
        <f>IF(O1257="","",O1257-B1257)</f>
        <v>14</v>
      </c>
      <c r="W1257" s="154">
        <f>IF(O1257="","",O1257-L1257)</f>
        <v>1</v>
      </c>
      <c r="X1257" s="154">
        <f>IF(R1257="","",R1257-B1257)</f>
        <v>14</v>
      </c>
    </row>
    <row r="1258" spans="2:24" ht="17.25" hidden="1" customHeight="1">
      <c r="B1258" s="23">
        <v>45769</v>
      </c>
      <c r="C1258" s="7">
        <v>2003652524</v>
      </c>
      <c r="D1258" s="20">
        <v>5895324</v>
      </c>
      <c r="E1258" s="27" t="s">
        <v>201</v>
      </c>
      <c r="F1258" s="7" t="s">
        <v>107</v>
      </c>
      <c r="G1258" s="7" t="s">
        <v>18</v>
      </c>
      <c r="H1258" s="7" t="s">
        <v>45</v>
      </c>
      <c r="I1258" s="20" t="s">
        <v>2032</v>
      </c>
      <c r="J1258" s="20" t="s">
        <v>2033</v>
      </c>
      <c r="K1258" s="7" t="s">
        <v>119</v>
      </c>
      <c r="L1258" s="61">
        <v>45776</v>
      </c>
      <c r="M1258" s="7" t="s">
        <v>111</v>
      </c>
      <c r="N1258" s="61">
        <v>45776</v>
      </c>
      <c r="O1258" s="23">
        <v>45783</v>
      </c>
      <c r="P1258" s="59"/>
      <c r="Q1258" s="124" t="e">
        <f>P1258*#REF!</f>
        <v>#REF!</v>
      </c>
      <c r="R1258" s="126">
        <v>45783</v>
      </c>
      <c r="S1258" s="153">
        <f>IF(L1258="","",L1258-B1258)</f>
        <v>7</v>
      </c>
      <c r="T1258" s="153">
        <f>IF(N1258="","",N1258-L1258)</f>
        <v>0</v>
      </c>
      <c r="U1258" s="153">
        <f>IF(O1258="","",O1258-N1258)</f>
        <v>7</v>
      </c>
      <c r="V1258" s="154">
        <f>IF(O1258="","",O1258-B1258)</f>
        <v>14</v>
      </c>
      <c r="W1258" s="154">
        <f>IF(O1258="","",O1258-L1258)</f>
        <v>7</v>
      </c>
      <c r="X1258" s="154">
        <f>IF(R1258="","",R1258-B1258)</f>
        <v>14</v>
      </c>
    </row>
    <row r="1259" spans="2:24" ht="17.25" hidden="1" customHeight="1">
      <c r="B1259" s="23">
        <v>45769</v>
      </c>
      <c r="C1259" s="7">
        <v>2003667099</v>
      </c>
      <c r="D1259" s="20">
        <v>5895356</v>
      </c>
      <c r="E1259" s="27" t="s">
        <v>185</v>
      </c>
      <c r="F1259" s="7" t="s">
        <v>107</v>
      </c>
      <c r="G1259" s="7" t="s">
        <v>10</v>
      </c>
      <c r="H1259" s="7" t="s">
        <v>45</v>
      </c>
      <c r="I1259" s="20" t="s">
        <v>1478</v>
      </c>
      <c r="J1259" s="20" t="s">
        <v>1479</v>
      </c>
      <c r="K1259" s="7" t="s">
        <v>110</v>
      </c>
      <c r="L1259" s="61">
        <v>45771</v>
      </c>
      <c r="M1259" s="7" t="s">
        <v>111</v>
      </c>
      <c r="N1259" s="61">
        <v>45771</v>
      </c>
      <c r="O1259" s="23">
        <v>45786</v>
      </c>
      <c r="P1259" s="59"/>
      <c r="Q1259" s="124" t="e">
        <f>P1259*#REF!</f>
        <v>#REF!</v>
      </c>
      <c r="R1259" s="126">
        <v>45786</v>
      </c>
      <c r="S1259" s="153">
        <f>IF(L1259="","",L1259-B1259)</f>
        <v>2</v>
      </c>
      <c r="T1259" s="153">
        <f>IF(N1259="","",N1259-L1259)</f>
        <v>0</v>
      </c>
      <c r="U1259" s="153">
        <f>IF(O1259="","",O1259-N1259)</f>
        <v>15</v>
      </c>
      <c r="V1259" s="154">
        <f>IF(O1259="","",O1259-B1259)</f>
        <v>17</v>
      </c>
      <c r="W1259" s="154">
        <f>IF(O1259="","",O1259-L1259)</f>
        <v>15</v>
      </c>
      <c r="X1259" s="154">
        <f>IF(R1259="","",R1259-B1259)</f>
        <v>17</v>
      </c>
    </row>
    <row r="1260" spans="2:24" ht="17.25" hidden="1" customHeight="1">
      <c r="B1260" s="23">
        <v>45769</v>
      </c>
      <c r="C1260" s="7">
        <v>2003641587</v>
      </c>
      <c r="D1260" s="20">
        <v>5895379</v>
      </c>
      <c r="E1260" s="27" t="s">
        <v>185</v>
      </c>
      <c r="F1260" s="7" t="s">
        <v>107</v>
      </c>
      <c r="G1260" s="7" t="s">
        <v>18</v>
      </c>
      <c r="H1260" s="7" t="s">
        <v>45</v>
      </c>
      <c r="I1260" s="20" t="s">
        <v>2034</v>
      </c>
      <c r="J1260" s="20" t="s">
        <v>1479</v>
      </c>
      <c r="K1260" s="7" t="s">
        <v>110</v>
      </c>
      <c r="L1260" s="61">
        <v>45771</v>
      </c>
      <c r="M1260" s="7" t="s">
        <v>111</v>
      </c>
      <c r="N1260" s="61">
        <v>45771</v>
      </c>
      <c r="O1260" s="23">
        <v>45789</v>
      </c>
      <c r="P1260" s="59"/>
      <c r="Q1260" s="124" t="e">
        <f>P1260*#REF!</f>
        <v>#REF!</v>
      </c>
      <c r="R1260" s="126">
        <v>45789</v>
      </c>
      <c r="S1260" s="153">
        <f>IF(L1260="","",L1260-B1260)</f>
        <v>2</v>
      </c>
      <c r="T1260" s="153">
        <f>IF(N1260="","",N1260-L1260)</f>
        <v>0</v>
      </c>
      <c r="U1260" s="153">
        <f>IF(O1260="","",O1260-N1260)</f>
        <v>18</v>
      </c>
      <c r="V1260" s="154">
        <f>IF(O1260="","",O1260-B1260)</f>
        <v>20</v>
      </c>
      <c r="W1260" s="154">
        <f>IF(O1260="","",O1260-L1260)</f>
        <v>18</v>
      </c>
      <c r="X1260" s="154">
        <f>IF(R1260="","",R1260-B1260)</f>
        <v>20</v>
      </c>
    </row>
    <row r="1261" spans="2:24" ht="17.25" hidden="1" customHeight="1">
      <c r="B1261" s="23">
        <v>45769</v>
      </c>
      <c r="C1261" s="7">
        <v>2003666100</v>
      </c>
      <c r="D1261" s="20">
        <v>5895460</v>
      </c>
      <c r="E1261" s="27" t="s">
        <v>201</v>
      </c>
      <c r="F1261" s="7" t="s">
        <v>107</v>
      </c>
      <c r="G1261" s="7" t="s">
        <v>10</v>
      </c>
      <c r="H1261" s="7" t="s">
        <v>45</v>
      </c>
      <c r="I1261" s="20" t="s">
        <v>2035</v>
      </c>
      <c r="J1261" s="20" t="s">
        <v>2036</v>
      </c>
      <c r="K1261" s="7" t="s">
        <v>119</v>
      </c>
      <c r="L1261" s="61">
        <v>45784</v>
      </c>
      <c r="M1261" s="7" t="s">
        <v>111</v>
      </c>
      <c r="N1261" s="61">
        <v>45784</v>
      </c>
      <c r="O1261" s="130">
        <v>45784</v>
      </c>
      <c r="P1261" s="59"/>
      <c r="Q1261" s="124" t="e">
        <f>P1261*#REF!</f>
        <v>#REF!</v>
      </c>
      <c r="R1261" s="126">
        <v>45784</v>
      </c>
      <c r="S1261" s="153">
        <f>IF(L1261="","",L1261-B1261)</f>
        <v>15</v>
      </c>
      <c r="T1261" s="153">
        <f>IF(N1261="","",N1261-L1261)</f>
        <v>0</v>
      </c>
      <c r="U1261" s="153">
        <f>IF(O1261="","",O1261-N1261)</f>
        <v>0</v>
      </c>
      <c r="V1261" s="154">
        <f>IF(O1261="","",O1261-B1261)</f>
        <v>15</v>
      </c>
      <c r="W1261" s="154">
        <f>IF(O1261="","",O1261-L1261)</f>
        <v>0</v>
      </c>
      <c r="X1261" s="154">
        <f>IF(R1261="","",R1261-B1261)</f>
        <v>15</v>
      </c>
    </row>
    <row r="1262" spans="2:24" ht="17.25" hidden="1" customHeight="1">
      <c r="B1262" s="23">
        <v>45769</v>
      </c>
      <c r="C1262" s="7">
        <v>2003665260</v>
      </c>
      <c r="D1262" s="20">
        <v>5895495</v>
      </c>
      <c r="E1262" s="27" t="s">
        <v>201</v>
      </c>
      <c r="F1262" s="7" t="s">
        <v>107</v>
      </c>
      <c r="G1262" s="7" t="s">
        <v>10</v>
      </c>
      <c r="H1262" s="7" t="s">
        <v>45</v>
      </c>
      <c r="I1262" s="20" t="s">
        <v>2037</v>
      </c>
      <c r="J1262" s="20" t="s">
        <v>2038</v>
      </c>
      <c r="K1262" s="7" t="s">
        <v>110</v>
      </c>
      <c r="L1262" s="61">
        <v>45782</v>
      </c>
      <c r="M1262" s="7" t="s">
        <v>111</v>
      </c>
      <c r="N1262" s="61">
        <v>45782</v>
      </c>
      <c r="O1262" s="61">
        <v>45782</v>
      </c>
      <c r="P1262" s="59"/>
      <c r="Q1262" s="124" t="e">
        <f>P1262*#REF!</f>
        <v>#REF!</v>
      </c>
      <c r="R1262" s="126">
        <v>45782</v>
      </c>
      <c r="S1262" s="153">
        <f>IF(L1262="","",L1262-B1262)</f>
        <v>13</v>
      </c>
      <c r="T1262" s="153">
        <f>IF(N1262="","",N1262-L1262)</f>
        <v>0</v>
      </c>
      <c r="U1262" s="153">
        <f>IF(O1262="","",O1262-N1262)</f>
        <v>0</v>
      </c>
      <c r="V1262" s="154">
        <f>IF(O1262="","",O1262-B1262)</f>
        <v>13</v>
      </c>
      <c r="W1262" s="154">
        <f>IF(O1262="","",O1262-L1262)</f>
        <v>0</v>
      </c>
      <c r="X1262" s="154">
        <f>IF(R1262="","",R1262-B1262)</f>
        <v>13</v>
      </c>
    </row>
    <row r="1263" spans="2:24" ht="17.25" hidden="1" customHeight="1">
      <c r="B1263" s="23">
        <v>45782</v>
      </c>
      <c r="C1263" s="7">
        <v>2003661476</v>
      </c>
      <c r="D1263" s="20">
        <v>155939</v>
      </c>
      <c r="E1263" s="27" t="s">
        <v>123</v>
      </c>
      <c r="F1263" s="7" t="s">
        <v>113</v>
      </c>
      <c r="G1263" s="7" t="s">
        <v>70</v>
      </c>
      <c r="H1263" s="7" t="s">
        <v>47</v>
      </c>
      <c r="I1263" s="20" t="s">
        <v>1286</v>
      </c>
      <c r="J1263" s="20" t="s">
        <v>2039</v>
      </c>
      <c r="K1263" s="7" t="s">
        <v>160</v>
      </c>
      <c r="P1263" s="59"/>
      <c r="Q1263" s="124" t="e">
        <f>P1263*#REF!</f>
        <v>#REF!</v>
      </c>
      <c r="R1263" s="126">
        <v>45784</v>
      </c>
      <c r="S1263" s="153" t="str">
        <f>IF(L1263="","",L1263-B1263)</f>
        <v/>
      </c>
      <c r="T1263" s="153" t="str">
        <f>IF(N1263="","",N1263-L1263)</f>
        <v/>
      </c>
      <c r="U1263" s="153" t="str">
        <f>IF(O1263="","",O1263-N1263)</f>
        <v/>
      </c>
      <c r="V1263" s="154" t="str">
        <f>IF(O1263="","",O1263-B1263)</f>
        <v/>
      </c>
      <c r="W1263" s="154" t="str">
        <f>IF(O1263="","",O1263-L1263)</f>
        <v/>
      </c>
      <c r="X1263" s="154">
        <f>IF(R1263="","",R1263-B1263)</f>
        <v>2</v>
      </c>
    </row>
    <row r="1264" spans="2:24" ht="17.25" hidden="1" customHeight="1">
      <c r="B1264" s="23">
        <v>45769</v>
      </c>
      <c r="C1264" s="7">
        <v>2003666835</v>
      </c>
      <c r="D1264" s="20">
        <v>5895502</v>
      </c>
      <c r="E1264" s="27" t="s">
        <v>185</v>
      </c>
      <c r="F1264" s="7" t="s">
        <v>107</v>
      </c>
      <c r="G1264" s="7" t="s">
        <v>10</v>
      </c>
      <c r="H1264" s="7" t="s">
        <v>45</v>
      </c>
      <c r="I1264" s="20" t="s">
        <v>301</v>
      </c>
      <c r="J1264" s="20" t="s">
        <v>2040</v>
      </c>
      <c r="K1264" s="7" t="s">
        <v>110</v>
      </c>
      <c r="L1264" s="61">
        <v>45783</v>
      </c>
      <c r="M1264" s="7" t="s">
        <v>111</v>
      </c>
      <c r="N1264" s="61">
        <v>45783</v>
      </c>
      <c r="O1264" s="61">
        <v>45783</v>
      </c>
      <c r="P1264" s="59"/>
      <c r="Q1264" s="124" t="e">
        <f>P1264*#REF!</f>
        <v>#REF!</v>
      </c>
      <c r="R1264" s="126">
        <v>45792</v>
      </c>
      <c r="S1264" s="153">
        <f>IF(L1264="","",L1264-B1264)</f>
        <v>14</v>
      </c>
      <c r="T1264" s="153">
        <f>IF(N1264="","",N1264-L1264)</f>
        <v>0</v>
      </c>
      <c r="U1264" s="153">
        <f>IF(O1264="","",O1264-N1264)</f>
        <v>0</v>
      </c>
      <c r="V1264" s="154">
        <f>IF(O1264="","",O1264-B1264)</f>
        <v>14</v>
      </c>
      <c r="W1264" s="154">
        <f>IF(O1264="","",O1264-L1264)</f>
        <v>0</v>
      </c>
      <c r="X1264" s="154">
        <f>IF(R1264="","",R1264-B1264)</f>
        <v>23</v>
      </c>
    </row>
    <row r="1265" spans="2:24" ht="17.25" hidden="1" customHeight="1">
      <c r="B1265" s="23">
        <v>45770</v>
      </c>
      <c r="C1265" s="7">
        <v>2003666548</v>
      </c>
      <c r="D1265" s="20">
        <v>5895838</v>
      </c>
      <c r="E1265" s="27" t="s">
        <v>123</v>
      </c>
      <c r="F1265" s="7" t="s">
        <v>107</v>
      </c>
      <c r="G1265" s="7" t="s">
        <v>10</v>
      </c>
      <c r="H1265" s="7" t="s">
        <v>45</v>
      </c>
      <c r="I1265" s="20" t="s">
        <v>615</v>
      </c>
      <c r="J1265" s="20" t="s">
        <v>2041</v>
      </c>
      <c r="K1265" s="7" t="s">
        <v>119</v>
      </c>
      <c r="L1265" s="61">
        <v>45775</v>
      </c>
      <c r="M1265" s="7" t="s">
        <v>111</v>
      </c>
      <c r="N1265" s="61">
        <v>45775</v>
      </c>
      <c r="O1265" s="61">
        <v>45775</v>
      </c>
      <c r="P1265" s="59"/>
      <c r="Q1265" s="124" t="e">
        <f>P1265*#REF!</f>
        <v>#REF!</v>
      </c>
      <c r="R1265" s="126">
        <v>45778</v>
      </c>
      <c r="S1265" s="153">
        <f>IF(L1265="","",L1265-B1265)</f>
        <v>5</v>
      </c>
      <c r="T1265" s="153">
        <f>IF(N1265="","",N1265-L1265)</f>
        <v>0</v>
      </c>
      <c r="U1265" s="153">
        <f>IF(O1265="","",O1265-N1265)</f>
        <v>0</v>
      </c>
      <c r="V1265" s="154">
        <f>IF(O1265="","",O1265-B1265)</f>
        <v>5</v>
      </c>
      <c r="W1265" s="154">
        <f>IF(O1265="","",O1265-L1265)</f>
        <v>0</v>
      </c>
      <c r="X1265" s="154">
        <f>IF(R1265="","",R1265-B1265)</f>
        <v>8</v>
      </c>
    </row>
    <row r="1266" spans="2:24" ht="17.25" hidden="1" customHeight="1">
      <c r="B1266" s="23">
        <v>45770</v>
      </c>
      <c r="C1266" s="7">
        <v>2003669925</v>
      </c>
      <c r="D1266" s="20">
        <v>5896430</v>
      </c>
      <c r="E1266" s="27" t="s">
        <v>116</v>
      </c>
      <c r="F1266" s="7" t="s">
        <v>107</v>
      </c>
      <c r="G1266" s="7" t="s">
        <v>10</v>
      </c>
      <c r="H1266" s="7" t="s">
        <v>45</v>
      </c>
      <c r="I1266" s="20" t="s">
        <v>2042</v>
      </c>
      <c r="J1266" s="20" t="s">
        <v>2043</v>
      </c>
      <c r="K1266" s="7" t="s">
        <v>119</v>
      </c>
      <c r="L1266" s="61">
        <v>45777</v>
      </c>
      <c r="M1266" s="7" t="s">
        <v>111</v>
      </c>
      <c r="N1266" s="24">
        <v>45778</v>
      </c>
      <c r="O1266" s="24">
        <v>45778</v>
      </c>
      <c r="P1266" s="59"/>
      <c r="Q1266" s="124" t="e">
        <f>P1266*#REF!</f>
        <v>#REF!</v>
      </c>
      <c r="R1266" s="126">
        <v>45782</v>
      </c>
      <c r="S1266" s="153">
        <f>IF(L1266="","",L1266-B1266)</f>
        <v>7</v>
      </c>
      <c r="T1266" s="153">
        <f>IF(N1266="","",N1266-L1266)</f>
        <v>1</v>
      </c>
      <c r="U1266" s="153">
        <f>IF(O1266="","",O1266-N1266)</f>
        <v>0</v>
      </c>
      <c r="V1266" s="154">
        <f>IF(O1266="","",O1266-B1266)</f>
        <v>8</v>
      </c>
      <c r="W1266" s="154">
        <f>IF(O1266="","",O1266-L1266)</f>
        <v>1</v>
      </c>
      <c r="X1266" s="154">
        <f>IF(R1266="","",R1266-B1266)</f>
        <v>12</v>
      </c>
    </row>
    <row r="1267" spans="2:24" ht="17.25" hidden="1" customHeight="1">
      <c r="B1267" s="23">
        <v>45770</v>
      </c>
      <c r="C1267" s="7">
        <v>2003666478</v>
      </c>
      <c r="D1267" s="20">
        <v>5896674</v>
      </c>
      <c r="E1267" s="27" t="s">
        <v>116</v>
      </c>
      <c r="F1267" s="7" t="s">
        <v>107</v>
      </c>
      <c r="G1267" s="7" t="s">
        <v>10</v>
      </c>
      <c r="H1267" s="7" t="s">
        <v>45</v>
      </c>
      <c r="I1267" s="20" t="s">
        <v>1067</v>
      </c>
      <c r="J1267" s="20" t="s">
        <v>2044</v>
      </c>
      <c r="K1267" s="7" t="s">
        <v>119</v>
      </c>
      <c r="L1267" s="61">
        <v>45777</v>
      </c>
      <c r="M1267" s="7" t="s">
        <v>111</v>
      </c>
      <c r="N1267" s="24">
        <v>45778</v>
      </c>
      <c r="O1267" s="106">
        <v>45778</v>
      </c>
      <c r="P1267" s="59"/>
      <c r="Q1267" s="124" t="e">
        <f>P1267*#REF!</f>
        <v>#REF!</v>
      </c>
      <c r="R1267" s="126">
        <v>45782</v>
      </c>
      <c r="S1267" s="153">
        <f>IF(L1267="","",L1267-B1267)</f>
        <v>7</v>
      </c>
      <c r="T1267" s="153">
        <f>IF(N1267="","",N1267-L1267)</f>
        <v>1</v>
      </c>
      <c r="U1267" s="153">
        <f>IF(O1267="","",O1267-N1267)</f>
        <v>0</v>
      </c>
      <c r="V1267" s="154">
        <f>IF(O1267="","",O1267-B1267)</f>
        <v>8</v>
      </c>
      <c r="W1267" s="154">
        <f>IF(O1267="","",O1267-L1267)</f>
        <v>1</v>
      </c>
      <c r="X1267" s="154">
        <f>IF(R1267="","",R1267-B1267)</f>
        <v>12</v>
      </c>
    </row>
    <row r="1268" spans="2:24" ht="17.25" hidden="1" customHeight="1">
      <c r="B1268" s="23">
        <v>45770</v>
      </c>
      <c r="C1268" s="7">
        <v>2003670312</v>
      </c>
      <c r="D1268" s="20">
        <v>5896678</v>
      </c>
      <c r="E1268" s="27" t="s">
        <v>201</v>
      </c>
      <c r="F1268" s="7" t="s">
        <v>107</v>
      </c>
      <c r="G1268" s="7" t="s">
        <v>26</v>
      </c>
      <c r="H1268" s="7" t="s">
        <v>45</v>
      </c>
      <c r="I1268" s="20" t="s">
        <v>2045</v>
      </c>
      <c r="J1268" s="20" t="s">
        <v>2046</v>
      </c>
      <c r="K1268" s="7" t="s">
        <v>110</v>
      </c>
      <c r="L1268" s="61">
        <v>45785</v>
      </c>
      <c r="M1268" s="7" t="s">
        <v>111</v>
      </c>
      <c r="N1268" s="24">
        <v>45786</v>
      </c>
      <c r="O1268" s="58">
        <v>45786</v>
      </c>
      <c r="P1268" s="59"/>
      <c r="Q1268" s="124" t="e">
        <f>P1268*#REF!</f>
        <v>#REF!</v>
      </c>
      <c r="R1268" s="126">
        <v>45786</v>
      </c>
      <c r="S1268" s="153">
        <f>IF(L1268="","",L1268-B1268)</f>
        <v>15</v>
      </c>
      <c r="T1268" s="153">
        <f>IF(N1268="","",N1268-L1268)</f>
        <v>1</v>
      </c>
      <c r="U1268" s="153">
        <f>IF(O1268="","",O1268-N1268)</f>
        <v>0</v>
      </c>
      <c r="V1268" s="154">
        <f>IF(O1268="","",O1268-B1268)</f>
        <v>16</v>
      </c>
      <c r="W1268" s="154">
        <f>IF(O1268="","",O1268-L1268)</f>
        <v>1</v>
      </c>
      <c r="X1268" s="154">
        <f>IF(R1268="","",R1268-B1268)</f>
        <v>16</v>
      </c>
    </row>
    <row r="1269" spans="2:24" ht="17.25" hidden="1" customHeight="1">
      <c r="B1269" s="23">
        <v>45770</v>
      </c>
      <c r="C1269" s="7">
        <v>2003666016</v>
      </c>
      <c r="D1269" s="20">
        <v>5896795</v>
      </c>
      <c r="E1269" s="27" t="s">
        <v>152</v>
      </c>
      <c r="F1269" s="7" t="s">
        <v>107</v>
      </c>
      <c r="G1269" s="7" t="s">
        <v>10</v>
      </c>
      <c r="H1269" s="7" t="s">
        <v>45</v>
      </c>
      <c r="I1269" s="20" t="s">
        <v>2047</v>
      </c>
      <c r="J1269" s="20" t="s">
        <v>2048</v>
      </c>
      <c r="K1269" s="7" t="s">
        <v>119</v>
      </c>
      <c r="L1269" s="61">
        <v>45782</v>
      </c>
      <c r="M1269" s="7" t="s">
        <v>111</v>
      </c>
      <c r="N1269" s="61">
        <v>45782</v>
      </c>
      <c r="O1269" s="130">
        <v>45782</v>
      </c>
      <c r="P1269" s="59"/>
      <c r="Q1269" s="124" t="e">
        <f>P1269*#REF!</f>
        <v>#REF!</v>
      </c>
      <c r="R1269" s="126">
        <v>45783</v>
      </c>
      <c r="S1269" s="153">
        <f>IF(L1269="","",L1269-B1269)</f>
        <v>12</v>
      </c>
      <c r="T1269" s="153">
        <f>IF(N1269="","",N1269-L1269)</f>
        <v>0</v>
      </c>
      <c r="U1269" s="153">
        <f>IF(O1269="","",O1269-N1269)</f>
        <v>0</v>
      </c>
      <c r="V1269" s="154">
        <f>IF(O1269="","",O1269-B1269)</f>
        <v>12</v>
      </c>
      <c r="W1269" s="154">
        <f>IF(O1269="","",O1269-L1269)</f>
        <v>0</v>
      </c>
      <c r="X1269" s="154">
        <f>IF(R1269="","",R1269-B1269)</f>
        <v>13</v>
      </c>
    </row>
    <row r="1270" spans="2:24" ht="17.25" hidden="1" customHeight="1">
      <c r="B1270" s="23">
        <v>45770</v>
      </c>
      <c r="C1270" s="7">
        <v>2003665069</v>
      </c>
      <c r="D1270" s="20">
        <v>5896820</v>
      </c>
      <c r="E1270" s="27" t="s">
        <v>1225</v>
      </c>
      <c r="F1270" s="7" t="s">
        <v>107</v>
      </c>
      <c r="G1270" s="7" t="s">
        <v>10</v>
      </c>
      <c r="H1270" s="7" t="s">
        <v>45</v>
      </c>
      <c r="I1270" s="20" t="s">
        <v>2049</v>
      </c>
      <c r="J1270" s="20" t="s">
        <v>2050</v>
      </c>
      <c r="K1270" s="7" t="s">
        <v>110</v>
      </c>
      <c r="L1270" s="61">
        <v>45782</v>
      </c>
      <c r="M1270" s="7" t="s">
        <v>111</v>
      </c>
      <c r="N1270" s="61">
        <v>45782</v>
      </c>
      <c r="O1270" s="24">
        <v>45783</v>
      </c>
      <c r="P1270" s="59"/>
      <c r="Q1270" s="124" t="e">
        <f>P1270*#REF!</f>
        <v>#REF!</v>
      </c>
      <c r="R1270" s="126">
        <v>45783</v>
      </c>
      <c r="S1270" s="153">
        <f>IF(L1270="","",L1270-B1270)</f>
        <v>12</v>
      </c>
      <c r="T1270" s="153">
        <f>IF(N1270="","",N1270-L1270)</f>
        <v>0</v>
      </c>
      <c r="U1270" s="153">
        <f>IF(O1270="","",O1270-N1270)</f>
        <v>1</v>
      </c>
      <c r="V1270" s="154">
        <f>IF(O1270="","",O1270-B1270)</f>
        <v>13</v>
      </c>
      <c r="W1270" s="154">
        <f>IF(O1270="","",O1270-L1270)</f>
        <v>1</v>
      </c>
      <c r="X1270" s="154">
        <f>IF(R1270="","",R1270-B1270)</f>
        <v>13</v>
      </c>
    </row>
    <row r="1271" spans="2:24" ht="17.25" hidden="1" customHeight="1">
      <c r="B1271" s="23">
        <v>45770</v>
      </c>
      <c r="C1271" s="7">
        <v>2003669238</v>
      </c>
      <c r="D1271" s="20">
        <v>5896874</v>
      </c>
      <c r="E1271" s="27" t="s">
        <v>230</v>
      </c>
      <c r="F1271" s="7" t="s">
        <v>107</v>
      </c>
      <c r="G1271" s="7" t="s">
        <v>18</v>
      </c>
      <c r="H1271" s="7" t="s">
        <v>45</v>
      </c>
      <c r="I1271" s="20" t="s">
        <v>2051</v>
      </c>
      <c r="J1271" s="20" t="s">
        <v>2052</v>
      </c>
      <c r="K1271" s="7" t="s">
        <v>110</v>
      </c>
      <c r="L1271" s="61">
        <v>45777</v>
      </c>
      <c r="M1271" s="7" t="s">
        <v>111</v>
      </c>
      <c r="N1271" s="61">
        <v>45777</v>
      </c>
      <c r="O1271" s="130">
        <v>45777</v>
      </c>
      <c r="P1271" s="59"/>
      <c r="Q1271" s="124" t="e">
        <f>P1271*#REF!</f>
        <v>#REF!</v>
      </c>
      <c r="R1271" s="126">
        <v>45782</v>
      </c>
      <c r="S1271" s="153">
        <f>IF(L1271="","",L1271-B1271)</f>
        <v>7</v>
      </c>
      <c r="T1271" s="153">
        <f>IF(N1271="","",N1271-L1271)</f>
        <v>0</v>
      </c>
      <c r="U1271" s="153">
        <f>IF(O1271="","",O1271-N1271)</f>
        <v>0</v>
      </c>
      <c r="V1271" s="154">
        <f>IF(O1271="","",O1271-B1271)</f>
        <v>7</v>
      </c>
      <c r="W1271" s="154">
        <f>IF(O1271="","",O1271-L1271)</f>
        <v>0</v>
      </c>
      <c r="X1271" s="154">
        <f>IF(R1271="","",R1271-B1271)</f>
        <v>12</v>
      </c>
    </row>
    <row r="1272" spans="2:24" ht="17.25" hidden="1" customHeight="1">
      <c r="B1272" s="23">
        <v>45771</v>
      </c>
      <c r="C1272" s="7">
        <v>2003666705</v>
      </c>
      <c r="D1272" s="20">
        <v>5897570</v>
      </c>
      <c r="E1272" s="27" t="s">
        <v>201</v>
      </c>
      <c r="F1272" s="7" t="s">
        <v>107</v>
      </c>
      <c r="G1272" s="7" t="s">
        <v>10</v>
      </c>
      <c r="H1272" s="7" t="s">
        <v>45</v>
      </c>
      <c r="I1272" s="20" t="s">
        <v>2053</v>
      </c>
      <c r="J1272" s="20" t="s">
        <v>2054</v>
      </c>
      <c r="K1272" s="7" t="s">
        <v>110</v>
      </c>
      <c r="L1272" s="61">
        <v>45776</v>
      </c>
      <c r="M1272" s="7" t="s">
        <v>111</v>
      </c>
      <c r="N1272" s="24">
        <v>45786</v>
      </c>
      <c r="O1272" s="24">
        <v>45786</v>
      </c>
      <c r="P1272" s="59"/>
      <c r="Q1272" s="124" t="e">
        <f>P1272*#REF!</f>
        <v>#REF!</v>
      </c>
      <c r="R1272" s="126">
        <v>45789</v>
      </c>
      <c r="S1272" s="153">
        <f>IF(L1272="","",L1272-B1272)</f>
        <v>5</v>
      </c>
      <c r="T1272" s="153">
        <f>IF(N1272="","",N1272-L1272)</f>
        <v>10</v>
      </c>
      <c r="U1272" s="153">
        <f>IF(O1272="","",O1272-N1272)</f>
        <v>0</v>
      </c>
      <c r="V1272" s="154">
        <f>IF(O1272="","",O1272-B1272)</f>
        <v>15</v>
      </c>
      <c r="W1272" s="154">
        <f>IF(O1272="","",O1272-L1272)</f>
        <v>10</v>
      </c>
      <c r="X1272" s="154">
        <f>IF(R1272="","",R1272-B1272)</f>
        <v>18</v>
      </c>
    </row>
    <row r="1273" spans="2:24" ht="17.25" hidden="1" customHeight="1">
      <c r="B1273" s="23">
        <v>45771</v>
      </c>
      <c r="C1273" s="7">
        <v>2003670300</v>
      </c>
      <c r="D1273" s="20">
        <v>5897598</v>
      </c>
      <c r="E1273" s="27" t="s">
        <v>149</v>
      </c>
      <c r="F1273" s="7" t="s">
        <v>107</v>
      </c>
      <c r="G1273" s="7" t="s">
        <v>10</v>
      </c>
      <c r="H1273" s="7" t="s">
        <v>45</v>
      </c>
      <c r="I1273" s="20" t="s">
        <v>2055</v>
      </c>
      <c r="J1273" s="20" t="s">
        <v>2056</v>
      </c>
      <c r="K1273" s="7" t="s">
        <v>119</v>
      </c>
      <c r="L1273" s="61">
        <v>45783</v>
      </c>
      <c r="M1273" s="7" t="s">
        <v>111</v>
      </c>
      <c r="N1273" s="61">
        <v>45783</v>
      </c>
      <c r="O1273" s="130">
        <v>45783</v>
      </c>
      <c r="P1273" s="59"/>
      <c r="Q1273" s="124" t="e">
        <f>P1273*#REF!</f>
        <v>#REF!</v>
      </c>
      <c r="R1273" s="126">
        <v>45783</v>
      </c>
      <c r="S1273" s="153">
        <f>IF(L1273="","",L1273-B1273)</f>
        <v>12</v>
      </c>
      <c r="T1273" s="153">
        <f>IF(N1273="","",N1273-L1273)</f>
        <v>0</v>
      </c>
      <c r="U1273" s="153">
        <f>IF(O1273="","",O1273-N1273)</f>
        <v>0</v>
      </c>
      <c r="V1273" s="154">
        <f>IF(O1273="","",O1273-B1273)</f>
        <v>12</v>
      </c>
      <c r="W1273" s="154">
        <f>IF(O1273="","",O1273-L1273)</f>
        <v>0</v>
      </c>
      <c r="X1273" s="154">
        <f>IF(R1273="","",R1273-B1273)</f>
        <v>12</v>
      </c>
    </row>
    <row r="1274" spans="2:24" ht="17.25" hidden="1" customHeight="1">
      <c r="B1274" s="23">
        <v>45771</v>
      </c>
      <c r="C1274" s="7">
        <v>2003665965</v>
      </c>
      <c r="D1274" s="20">
        <v>5897641</v>
      </c>
      <c r="E1274" s="27" t="s">
        <v>180</v>
      </c>
      <c r="F1274" s="7" t="s">
        <v>107</v>
      </c>
      <c r="G1274" s="7" t="s">
        <v>10</v>
      </c>
      <c r="H1274" s="7" t="s">
        <v>45</v>
      </c>
      <c r="I1274" s="20" t="s">
        <v>2057</v>
      </c>
      <c r="J1274" s="20" t="s">
        <v>2058</v>
      </c>
      <c r="K1274" s="7" t="s">
        <v>119</v>
      </c>
      <c r="L1274" s="61">
        <v>45776</v>
      </c>
      <c r="M1274" s="7" t="s">
        <v>111</v>
      </c>
      <c r="N1274" s="61">
        <v>45776</v>
      </c>
      <c r="O1274" s="23">
        <v>45783</v>
      </c>
      <c r="P1274" s="59"/>
      <c r="Q1274" s="124" t="e">
        <f>P1274*#REF!</f>
        <v>#REF!</v>
      </c>
      <c r="R1274" s="126">
        <v>45783</v>
      </c>
      <c r="S1274" s="153">
        <f>IF(L1274="","",L1274-B1274)</f>
        <v>5</v>
      </c>
      <c r="T1274" s="153">
        <f>IF(N1274="","",N1274-L1274)</f>
        <v>0</v>
      </c>
      <c r="U1274" s="153">
        <f>IF(O1274="","",O1274-N1274)</f>
        <v>7</v>
      </c>
      <c r="V1274" s="154">
        <f>IF(O1274="","",O1274-B1274)</f>
        <v>12</v>
      </c>
      <c r="W1274" s="154">
        <f>IF(O1274="","",O1274-L1274)</f>
        <v>7</v>
      </c>
      <c r="X1274" s="154">
        <f>IF(R1274="","",R1274-B1274)</f>
        <v>12</v>
      </c>
    </row>
    <row r="1275" spans="2:24" ht="17.25" hidden="1" customHeight="1">
      <c r="B1275" s="23">
        <v>45771</v>
      </c>
      <c r="C1275" s="7">
        <v>2003667700</v>
      </c>
      <c r="D1275" s="20">
        <v>5897715</v>
      </c>
      <c r="E1275" s="27" t="s">
        <v>201</v>
      </c>
      <c r="F1275" s="7" t="s">
        <v>107</v>
      </c>
      <c r="G1275" s="7" t="s">
        <v>10</v>
      </c>
      <c r="H1275" s="7" t="s">
        <v>45</v>
      </c>
      <c r="I1275" s="20" t="s">
        <v>2059</v>
      </c>
      <c r="J1275" s="20" t="s">
        <v>2060</v>
      </c>
      <c r="K1275" s="7" t="s">
        <v>110</v>
      </c>
      <c r="L1275" s="61">
        <v>45777</v>
      </c>
      <c r="M1275" s="7" t="s">
        <v>111</v>
      </c>
      <c r="N1275" s="61">
        <v>45777</v>
      </c>
      <c r="O1275" s="23">
        <v>45783</v>
      </c>
      <c r="P1275" s="59"/>
      <c r="Q1275" s="124" t="e">
        <f>P1275*#REF!</f>
        <v>#REF!</v>
      </c>
      <c r="R1275" s="126">
        <v>45783</v>
      </c>
      <c r="S1275" s="153">
        <f>IF(L1275="","",L1275-B1275)</f>
        <v>6</v>
      </c>
      <c r="T1275" s="153">
        <f>IF(N1275="","",N1275-L1275)</f>
        <v>0</v>
      </c>
      <c r="U1275" s="153">
        <f>IF(O1275="","",O1275-N1275)</f>
        <v>6</v>
      </c>
      <c r="V1275" s="154">
        <f>IF(O1275="","",O1275-B1275)</f>
        <v>12</v>
      </c>
      <c r="W1275" s="154">
        <f>IF(O1275="","",O1275-L1275)</f>
        <v>6</v>
      </c>
      <c r="X1275" s="154">
        <f>IF(R1275="","",R1275-B1275)</f>
        <v>12</v>
      </c>
    </row>
    <row r="1276" spans="2:24" ht="17.25" hidden="1" customHeight="1">
      <c r="B1276" s="23">
        <v>45771</v>
      </c>
      <c r="C1276" s="7">
        <v>2003650386</v>
      </c>
      <c r="D1276" s="20">
        <v>5897792</v>
      </c>
      <c r="E1276" s="27" t="s">
        <v>157</v>
      </c>
      <c r="F1276" s="7" t="s">
        <v>107</v>
      </c>
      <c r="G1276" s="7" t="s">
        <v>15</v>
      </c>
      <c r="H1276" s="7" t="s">
        <v>45</v>
      </c>
      <c r="I1276" s="20" t="s">
        <v>1102</v>
      </c>
      <c r="J1276" s="20" t="s">
        <v>2061</v>
      </c>
      <c r="K1276" s="7" t="s">
        <v>110</v>
      </c>
      <c r="L1276" s="61">
        <v>45776</v>
      </c>
      <c r="M1276" s="7" t="s">
        <v>111</v>
      </c>
      <c r="N1276" s="61">
        <v>45776</v>
      </c>
      <c r="O1276" s="23">
        <v>45784</v>
      </c>
      <c r="P1276" s="59"/>
      <c r="Q1276" s="124" t="e">
        <f>P1276*#REF!</f>
        <v>#REF!</v>
      </c>
      <c r="R1276" s="126">
        <v>45784</v>
      </c>
      <c r="S1276" s="153">
        <f>IF(L1276="","",L1276-B1276)</f>
        <v>5</v>
      </c>
      <c r="T1276" s="153">
        <f>IF(N1276="","",N1276-L1276)</f>
        <v>0</v>
      </c>
      <c r="U1276" s="153">
        <f>IF(O1276="","",O1276-N1276)</f>
        <v>8</v>
      </c>
      <c r="V1276" s="154">
        <f>IF(O1276="","",O1276-B1276)</f>
        <v>13</v>
      </c>
      <c r="W1276" s="154">
        <f>IF(O1276="","",O1276-L1276)</f>
        <v>8</v>
      </c>
      <c r="X1276" s="154">
        <f>IF(R1276="","",R1276-B1276)</f>
        <v>13</v>
      </c>
    </row>
    <row r="1277" spans="2:24" ht="17.25" hidden="1" customHeight="1">
      <c r="B1277" s="23">
        <v>45771</v>
      </c>
      <c r="C1277" s="7">
        <v>2003670055</v>
      </c>
      <c r="D1277" s="20">
        <v>5898028</v>
      </c>
      <c r="E1277" s="27" t="s">
        <v>201</v>
      </c>
      <c r="F1277" s="7" t="s">
        <v>107</v>
      </c>
      <c r="G1277" s="7" t="s">
        <v>10</v>
      </c>
      <c r="H1277" s="7" t="s">
        <v>45</v>
      </c>
      <c r="I1277" s="20" t="s">
        <v>2062</v>
      </c>
      <c r="J1277" s="20" t="s">
        <v>2063</v>
      </c>
      <c r="K1277" s="7" t="s">
        <v>119</v>
      </c>
      <c r="L1277" s="61">
        <v>45785</v>
      </c>
      <c r="M1277" s="7" t="s">
        <v>111</v>
      </c>
      <c r="N1277" s="61">
        <v>45785</v>
      </c>
      <c r="O1277" s="61">
        <v>45785</v>
      </c>
      <c r="P1277" s="59"/>
      <c r="Q1277" s="124" t="e">
        <f>P1277*#REF!</f>
        <v>#REF!</v>
      </c>
      <c r="R1277" s="126">
        <v>45786</v>
      </c>
      <c r="S1277" s="153">
        <f>IF(L1277="","",L1277-B1277)</f>
        <v>14</v>
      </c>
      <c r="T1277" s="153">
        <f>IF(N1277="","",N1277-L1277)</f>
        <v>0</v>
      </c>
      <c r="U1277" s="153">
        <f>IF(O1277="","",O1277-N1277)</f>
        <v>0</v>
      </c>
      <c r="V1277" s="154">
        <f>IF(O1277="","",O1277-B1277)</f>
        <v>14</v>
      </c>
      <c r="W1277" s="154">
        <f>IF(O1277="","",O1277-L1277)</f>
        <v>0</v>
      </c>
      <c r="X1277" s="154">
        <f>IF(R1277="","",R1277-B1277)</f>
        <v>15</v>
      </c>
    </row>
    <row r="1278" spans="2:24" ht="17.25" hidden="1" customHeight="1">
      <c r="B1278" s="23">
        <v>45771</v>
      </c>
      <c r="C1278" s="7">
        <v>2003667844</v>
      </c>
      <c r="D1278" s="20">
        <v>5898030</v>
      </c>
      <c r="E1278" s="27" t="s">
        <v>201</v>
      </c>
      <c r="F1278" s="7" t="s">
        <v>107</v>
      </c>
      <c r="G1278" s="7" t="s">
        <v>10</v>
      </c>
      <c r="H1278" s="7" t="s">
        <v>45</v>
      </c>
      <c r="I1278" s="20" t="s">
        <v>2064</v>
      </c>
      <c r="J1278" s="20" t="s">
        <v>2065</v>
      </c>
      <c r="K1278" s="7" t="s">
        <v>110</v>
      </c>
      <c r="L1278" s="61">
        <v>45783</v>
      </c>
      <c r="M1278" s="7" t="s">
        <v>111</v>
      </c>
      <c r="N1278" s="24">
        <v>45784</v>
      </c>
      <c r="O1278" s="24">
        <v>45784</v>
      </c>
      <c r="P1278" s="59"/>
      <c r="Q1278" s="124" t="e">
        <f>P1278*#REF!</f>
        <v>#REF!</v>
      </c>
      <c r="R1278" s="126">
        <v>45784</v>
      </c>
      <c r="S1278" s="153">
        <f>IF(L1278="","",L1278-B1278)</f>
        <v>12</v>
      </c>
      <c r="T1278" s="153">
        <f>IF(N1278="","",N1278-L1278)</f>
        <v>1</v>
      </c>
      <c r="U1278" s="153">
        <f>IF(O1278="","",O1278-N1278)</f>
        <v>0</v>
      </c>
      <c r="V1278" s="154">
        <f>IF(O1278="","",O1278-B1278)</f>
        <v>13</v>
      </c>
      <c r="W1278" s="154">
        <f>IF(O1278="","",O1278-L1278)</f>
        <v>1</v>
      </c>
      <c r="X1278" s="154">
        <f>IF(R1278="","",R1278-B1278)</f>
        <v>13</v>
      </c>
    </row>
    <row r="1279" spans="2:24" ht="17.25" hidden="1" customHeight="1">
      <c r="B1279" s="23">
        <v>45772</v>
      </c>
      <c r="C1279" s="7">
        <v>2003666017</v>
      </c>
      <c r="D1279" s="20">
        <v>5898447</v>
      </c>
      <c r="E1279" s="27" t="s">
        <v>568</v>
      </c>
      <c r="F1279" s="7" t="s">
        <v>107</v>
      </c>
      <c r="G1279" s="7" t="s">
        <v>10</v>
      </c>
      <c r="H1279" s="7" t="s">
        <v>45</v>
      </c>
      <c r="I1279" s="20" t="s">
        <v>2066</v>
      </c>
      <c r="J1279" s="20" t="s">
        <v>2067</v>
      </c>
      <c r="K1279" s="7" t="s">
        <v>119</v>
      </c>
      <c r="L1279" s="61">
        <v>45782</v>
      </c>
      <c r="M1279" s="7" t="s">
        <v>111</v>
      </c>
      <c r="N1279" s="61">
        <v>45782</v>
      </c>
      <c r="O1279" s="61">
        <v>45782</v>
      </c>
      <c r="P1279" s="59"/>
      <c r="Q1279" s="124" t="e">
        <f>P1279*#REF!</f>
        <v>#REF!</v>
      </c>
      <c r="R1279" s="126">
        <v>45783</v>
      </c>
      <c r="S1279" s="153">
        <f>IF(L1279="","",L1279-B1279)</f>
        <v>10</v>
      </c>
      <c r="T1279" s="153">
        <f>IF(N1279="","",N1279-L1279)</f>
        <v>0</v>
      </c>
      <c r="U1279" s="153">
        <f>IF(O1279="","",O1279-N1279)</f>
        <v>0</v>
      </c>
      <c r="V1279" s="154">
        <f>IF(O1279="","",O1279-B1279)</f>
        <v>10</v>
      </c>
      <c r="W1279" s="154">
        <f>IF(O1279="","",O1279-L1279)</f>
        <v>0</v>
      </c>
      <c r="X1279" s="154">
        <f>IF(R1279="","",R1279-B1279)</f>
        <v>11</v>
      </c>
    </row>
    <row r="1280" spans="2:24" ht="17.25" hidden="1" customHeight="1">
      <c r="B1280" s="23">
        <v>45783</v>
      </c>
      <c r="C1280" s="7">
        <v>2003666847</v>
      </c>
      <c r="D1280" s="20">
        <v>5936339</v>
      </c>
      <c r="E1280" s="27" t="s">
        <v>116</v>
      </c>
      <c r="F1280" s="7" t="s">
        <v>113</v>
      </c>
      <c r="G1280" s="7" t="s">
        <v>70</v>
      </c>
      <c r="H1280" s="7" t="s">
        <v>47</v>
      </c>
      <c r="I1280" s="20" t="s">
        <v>2068</v>
      </c>
      <c r="J1280" s="20" t="s">
        <v>2069</v>
      </c>
      <c r="K1280" s="7" t="s">
        <v>160</v>
      </c>
      <c r="P1280" s="59"/>
      <c r="Q1280" s="124" t="e">
        <f>P1280*#REF!</f>
        <v>#REF!</v>
      </c>
      <c r="R1280" s="126">
        <v>45790</v>
      </c>
      <c r="S1280" s="153" t="str">
        <f>IF(L1280="","",L1280-B1280)</f>
        <v/>
      </c>
      <c r="T1280" s="153" t="str">
        <f>IF(N1280="","",N1280-L1280)</f>
        <v/>
      </c>
      <c r="U1280" s="153" t="str">
        <f>IF(O1280="","",O1280-N1280)</f>
        <v/>
      </c>
      <c r="V1280" s="154" t="str">
        <f>IF(O1280="","",O1280-B1280)</f>
        <v/>
      </c>
      <c r="W1280" s="154" t="str">
        <f>IF(O1280="","",O1280-L1280)</f>
        <v/>
      </c>
      <c r="X1280" s="154">
        <f>IF(R1280="","",R1280-B1280)</f>
        <v>7</v>
      </c>
    </row>
    <row r="1281" spans="2:24" ht="17.25" hidden="1" customHeight="1">
      <c r="B1281" s="23">
        <v>45772</v>
      </c>
      <c r="C1281" s="7">
        <v>2003665938</v>
      </c>
      <c r="D1281" s="20">
        <v>5898659</v>
      </c>
      <c r="E1281" s="27" t="s">
        <v>198</v>
      </c>
      <c r="F1281" s="7" t="s">
        <v>107</v>
      </c>
      <c r="G1281" s="7" t="s">
        <v>10</v>
      </c>
      <c r="H1281" s="7" t="s">
        <v>45</v>
      </c>
      <c r="I1281" s="20" t="s">
        <v>2070</v>
      </c>
      <c r="J1281" s="20" t="s">
        <v>2071</v>
      </c>
      <c r="K1281" s="7" t="s">
        <v>110</v>
      </c>
      <c r="L1281" s="61">
        <v>45783</v>
      </c>
      <c r="M1281" s="7" t="s">
        <v>111</v>
      </c>
      <c r="N1281" s="61">
        <v>45783</v>
      </c>
      <c r="O1281" s="130">
        <v>45784</v>
      </c>
      <c r="P1281" s="59"/>
      <c r="Q1281" s="124" t="e">
        <f>P1281*#REF!</f>
        <v>#REF!</v>
      </c>
      <c r="R1281" s="126">
        <v>45784</v>
      </c>
      <c r="S1281" s="153">
        <f>IF(L1281="","",L1281-B1281)</f>
        <v>11</v>
      </c>
      <c r="T1281" s="153">
        <f>IF(N1281="","",N1281-L1281)</f>
        <v>0</v>
      </c>
      <c r="U1281" s="153">
        <f>IF(O1281="","",O1281-N1281)</f>
        <v>1</v>
      </c>
      <c r="V1281" s="154">
        <f>IF(O1281="","",O1281-B1281)</f>
        <v>12</v>
      </c>
      <c r="W1281" s="154">
        <f>IF(O1281="","",O1281-L1281)</f>
        <v>1</v>
      </c>
      <c r="X1281" s="154">
        <f>IF(R1281="","",R1281-B1281)</f>
        <v>12</v>
      </c>
    </row>
    <row r="1282" spans="2:24" ht="17.25" hidden="1" customHeight="1">
      <c r="B1282" s="23">
        <v>45772</v>
      </c>
      <c r="C1282" s="7">
        <v>2003639049</v>
      </c>
      <c r="D1282" s="20">
        <v>5898843</v>
      </c>
      <c r="E1282" s="27" t="s">
        <v>157</v>
      </c>
      <c r="F1282" s="7" t="s">
        <v>107</v>
      </c>
      <c r="G1282" s="7" t="s">
        <v>10</v>
      </c>
      <c r="H1282" s="7" t="s">
        <v>45</v>
      </c>
      <c r="I1282" s="20" t="s">
        <v>940</v>
      </c>
      <c r="J1282" s="20" t="s">
        <v>2072</v>
      </c>
      <c r="K1282" s="7" t="s">
        <v>110</v>
      </c>
      <c r="L1282" s="61">
        <v>45782</v>
      </c>
      <c r="M1282" s="7" t="s">
        <v>111</v>
      </c>
      <c r="N1282" s="61">
        <v>45782</v>
      </c>
      <c r="O1282" s="23">
        <v>45783</v>
      </c>
      <c r="P1282" s="59"/>
      <c r="Q1282" s="124" t="e">
        <f>P1282*#REF!</f>
        <v>#REF!</v>
      </c>
      <c r="R1282" s="126">
        <v>45783</v>
      </c>
      <c r="S1282" s="153">
        <f>IF(L1282="","",L1282-B1282)</f>
        <v>10</v>
      </c>
      <c r="T1282" s="153">
        <f>IF(N1282="","",N1282-L1282)</f>
        <v>0</v>
      </c>
      <c r="U1282" s="153">
        <f>IF(O1282="","",O1282-N1282)</f>
        <v>1</v>
      </c>
      <c r="V1282" s="154">
        <f>IF(O1282="","",O1282-B1282)</f>
        <v>11</v>
      </c>
      <c r="W1282" s="154">
        <f>IF(O1282="","",O1282-L1282)</f>
        <v>1</v>
      </c>
      <c r="X1282" s="154">
        <f>IF(R1282="","",R1282-B1282)</f>
        <v>11</v>
      </c>
    </row>
    <row r="1283" spans="2:24" ht="17.25" hidden="1" customHeight="1">
      <c r="B1283" s="23">
        <v>45772</v>
      </c>
      <c r="C1283" s="7">
        <v>2003664559</v>
      </c>
      <c r="D1283" s="20">
        <v>5898846</v>
      </c>
      <c r="E1283" s="27" t="s">
        <v>106</v>
      </c>
      <c r="F1283" s="7" t="s">
        <v>107</v>
      </c>
      <c r="G1283" s="7" t="s">
        <v>10</v>
      </c>
      <c r="H1283" s="7" t="s">
        <v>45</v>
      </c>
      <c r="I1283" s="20" t="s">
        <v>1673</v>
      </c>
      <c r="J1283" s="20" t="s">
        <v>2073</v>
      </c>
      <c r="K1283" s="7" t="s">
        <v>122</v>
      </c>
      <c r="L1283" s="61">
        <v>45784</v>
      </c>
      <c r="M1283" s="7" t="s">
        <v>111</v>
      </c>
      <c r="N1283" s="24">
        <v>45785</v>
      </c>
      <c r="O1283" s="23">
        <v>45786</v>
      </c>
      <c r="P1283" s="59"/>
      <c r="Q1283" s="124" t="e">
        <f>P1283*#REF!</f>
        <v>#REF!</v>
      </c>
      <c r="R1283" s="126">
        <v>45786</v>
      </c>
      <c r="S1283" s="153">
        <f>IF(L1283="","",L1283-B1283)</f>
        <v>12</v>
      </c>
      <c r="T1283" s="153">
        <f>IF(N1283="","",N1283-L1283)</f>
        <v>1</v>
      </c>
      <c r="U1283" s="153">
        <f>IF(O1283="","",O1283-N1283)</f>
        <v>1</v>
      </c>
      <c r="V1283" s="154">
        <f>IF(O1283="","",O1283-B1283)</f>
        <v>14</v>
      </c>
      <c r="W1283" s="154">
        <f>IF(O1283="","",O1283-L1283)</f>
        <v>2</v>
      </c>
      <c r="X1283" s="154">
        <f>IF(R1283="","",R1283-B1283)</f>
        <v>14</v>
      </c>
    </row>
    <row r="1284" spans="2:24" ht="17.25" hidden="1" customHeight="1">
      <c r="B1284" s="23">
        <v>45772</v>
      </c>
      <c r="C1284" s="7">
        <v>2003667489</v>
      </c>
      <c r="D1284" s="20">
        <v>5898964</v>
      </c>
      <c r="E1284" s="27" t="s">
        <v>949</v>
      </c>
      <c r="F1284" s="7" t="s">
        <v>107</v>
      </c>
      <c r="G1284" s="7" t="s">
        <v>10</v>
      </c>
      <c r="H1284" s="7" t="s">
        <v>45</v>
      </c>
      <c r="I1284" s="20" t="s">
        <v>1343</v>
      </c>
      <c r="J1284" s="20" t="s">
        <v>2074</v>
      </c>
      <c r="K1284" s="7" t="s">
        <v>110</v>
      </c>
      <c r="L1284" s="61">
        <v>45782</v>
      </c>
      <c r="M1284" s="7" t="s">
        <v>111</v>
      </c>
      <c r="N1284" s="61">
        <v>45782</v>
      </c>
      <c r="O1284" s="61">
        <v>45782</v>
      </c>
      <c r="P1284" s="59"/>
      <c r="Q1284" s="124" t="e">
        <f>P1284*#REF!</f>
        <v>#REF!</v>
      </c>
      <c r="R1284" s="126">
        <v>45782</v>
      </c>
      <c r="S1284" s="153">
        <f>IF(L1284="","",L1284-B1284)</f>
        <v>10</v>
      </c>
      <c r="T1284" s="153">
        <f>IF(N1284="","",N1284-L1284)</f>
        <v>0</v>
      </c>
      <c r="U1284" s="153">
        <f>IF(O1284="","",O1284-N1284)</f>
        <v>0</v>
      </c>
      <c r="V1284" s="154">
        <f>IF(O1284="","",O1284-B1284)</f>
        <v>10</v>
      </c>
      <c r="W1284" s="154">
        <f>IF(O1284="","",O1284-L1284)</f>
        <v>0</v>
      </c>
      <c r="X1284" s="154">
        <f>IF(R1284="","",R1284-B1284)</f>
        <v>10</v>
      </c>
    </row>
    <row r="1285" spans="2:24" ht="17.25" hidden="1" customHeight="1">
      <c r="B1285" s="23">
        <v>45772</v>
      </c>
      <c r="C1285" s="7">
        <v>2003667596</v>
      </c>
      <c r="D1285" s="20">
        <v>5899076</v>
      </c>
      <c r="E1285" s="27" t="s">
        <v>201</v>
      </c>
      <c r="F1285" s="7" t="s">
        <v>107</v>
      </c>
      <c r="G1285" s="7" t="s">
        <v>10</v>
      </c>
      <c r="H1285" s="7" t="s">
        <v>45</v>
      </c>
      <c r="I1285" s="20" t="s">
        <v>2075</v>
      </c>
      <c r="J1285" s="20" t="s">
        <v>2076</v>
      </c>
      <c r="K1285" s="7" t="s">
        <v>110</v>
      </c>
      <c r="L1285" s="61">
        <v>45782</v>
      </c>
      <c r="M1285" s="7" t="s">
        <v>111</v>
      </c>
      <c r="N1285" s="61">
        <v>45782</v>
      </c>
      <c r="O1285" s="61">
        <v>45782</v>
      </c>
      <c r="P1285" s="59"/>
      <c r="Q1285" s="124" t="e">
        <f>P1285*#REF!</f>
        <v>#REF!</v>
      </c>
      <c r="R1285" s="126">
        <v>45782</v>
      </c>
      <c r="S1285" s="153">
        <f>IF(L1285="","",L1285-B1285)</f>
        <v>10</v>
      </c>
      <c r="T1285" s="153">
        <f>IF(N1285="","",N1285-L1285)</f>
        <v>0</v>
      </c>
      <c r="U1285" s="153">
        <f>IF(O1285="","",O1285-N1285)</f>
        <v>0</v>
      </c>
      <c r="V1285" s="154">
        <f>IF(O1285="","",O1285-B1285)</f>
        <v>10</v>
      </c>
      <c r="W1285" s="154">
        <f>IF(O1285="","",O1285-L1285)</f>
        <v>0</v>
      </c>
      <c r="X1285" s="154">
        <f>IF(R1285="","",R1285-B1285)</f>
        <v>10</v>
      </c>
    </row>
    <row r="1286" spans="2:24" ht="17.25" hidden="1" customHeight="1">
      <c r="B1286" s="23">
        <v>45772</v>
      </c>
      <c r="C1286" s="7">
        <v>2003651379</v>
      </c>
      <c r="D1286" s="20">
        <v>5899087</v>
      </c>
      <c r="E1286" s="27" t="s">
        <v>265</v>
      </c>
      <c r="F1286" s="7" t="s">
        <v>107</v>
      </c>
      <c r="G1286" s="7" t="s">
        <v>15</v>
      </c>
      <c r="H1286" s="7" t="s">
        <v>45</v>
      </c>
      <c r="I1286" s="20" t="s">
        <v>2077</v>
      </c>
      <c r="J1286" s="20" t="s">
        <v>2078</v>
      </c>
      <c r="K1286" s="7" t="s">
        <v>110</v>
      </c>
      <c r="L1286" s="61">
        <v>45776</v>
      </c>
      <c r="M1286" s="7" t="s">
        <v>111</v>
      </c>
      <c r="N1286" s="61">
        <v>45776</v>
      </c>
      <c r="O1286" s="23">
        <v>45784</v>
      </c>
      <c r="P1286" s="59"/>
      <c r="Q1286" s="124" t="e">
        <f>P1286*#REF!</f>
        <v>#REF!</v>
      </c>
      <c r="R1286" s="126">
        <v>45784</v>
      </c>
      <c r="S1286" s="153">
        <f>IF(L1286="","",L1286-B1286)</f>
        <v>4</v>
      </c>
      <c r="T1286" s="153">
        <f>IF(N1286="","",N1286-L1286)</f>
        <v>0</v>
      </c>
      <c r="U1286" s="153">
        <f>IF(O1286="","",O1286-N1286)</f>
        <v>8</v>
      </c>
      <c r="V1286" s="154">
        <f>IF(O1286="","",O1286-B1286)</f>
        <v>12</v>
      </c>
      <c r="W1286" s="154">
        <f>IF(O1286="","",O1286-L1286)</f>
        <v>8</v>
      </c>
      <c r="X1286" s="154">
        <f>IF(R1286="","",R1286-B1286)</f>
        <v>12</v>
      </c>
    </row>
    <row r="1287" spans="2:24" ht="17.25" hidden="1" customHeight="1">
      <c r="B1287" s="23">
        <v>45772</v>
      </c>
      <c r="C1287" s="7">
        <v>2003664900</v>
      </c>
      <c r="D1287" s="20">
        <v>5899143</v>
      </c>
      <c r="E1287" s="27" t="s">
        <v>408</v>
      </c>
      <c r="F1287" s="7" t="s">
        <v>107</v>
      </c>
      <c r="G1287" s="7" t="s">
        <v>10</v>
      </c>
      <c r="H1287" s="7" t="s">
        <v>45</v>
      </c>
      <c r="I1287" s="20" t="s">
        <v>1294</v>
      </c>
      <c r="J1287" s="20" t="s">
        <v>2079</v>
      </c>
      <c r="K1287" s="7" t="s">
        <v>110</v>
      </c>
      <c r="L1287" s="61">
        <v>45786</v>
      </c>
      <c r="M1287" s="7" t="s">
        <v>111</v>
      </c>
      <c r="N1287" s="24">
        <v>45787</v>
      </c>
      <c r="O1287" s="24">
        <v>45787</v>
      </c>
      <c r="P1287" s="59"/>
      <c r="Q1287" s="124" t="e">
        <f>P1287*#REF!</f>
        <v>#REF!</v>
      </c>
      <c r="R1287" s="126">
        <v>45789</v>
      </c>
      <c r="S1287" s="153">
        <f>IF(L1287="","",L1287-B1287)</f>
        <v>14</v>
      </c>
      <c r="T1287" s="153">
        <f>IF(N1287="","",N1287-L1287)</f>
        <v>1</v>
      </c>
      <c r="U1287" s="153">
        <f>IF(O1287="","",O1287-N1287)</f>
        <v>0</v>
      </c>
      <c r="V1287" s="154">
        <f>IF(O1287="","",O1287-B1287)</f>
        <v>15</v>
      </c>
      <c r="W1287" s="154">
        <f>IF(O1287="","",O1287-L1287)</f>
        <v>1</v>
      </c>
      <c r="X1287" s="154">
        <f>IF(R1287="","",R1287-B1287)</f>
        <v>17</v>
      </c>
    </row>
    <row r="1288" spans="2:24" ht="17.25" hidden="1" customHeight="1">
      <c r="B1288" s="23">
        <v>45772</v>
      </c>
      <c r="C1288" s="7">
        <v>2003671912</v>
      </c>
      <c r="D1288" s="20">
        <v>5899164</v>
      </c>
      <c r="E1288" s="27" t="s">
        <v>123</v>
      </c>
      <c r="F1288" s="7" t="s">
        <v>107</v>
      </c>
      <c r="G1288" s="7" t="s">
        <v>10</v>
      </c>
      <c r="H1288" s="7" t="s">
        <v>45</v>
      </c>
      <c r="I1288" s="20" t="s">
        <v>2080</v>
      </c>
      <c r="J1288" s="20" t="s">
        <v>2081</v>
      </c>
      <c r="K1288" s="7" t="s">
        <v>122</v>
      </c>
      <c r="L1288" s="61">
        <v>45777</v>
      </c>
      <c r="M1288" s="7" t="s">
        <v>111</v>
      </c>
      <c r="N1288" s="61">
        <v>45782</v>
      </c>
      <c r="O1288" s="24">
        <v>45783</v>
      </c>
      <c r="P1288" s="59"/>
      <c r="Q1288" s="124" t="e">
        <f>P1288*#REF!</f>
        <v>#REF!</v>
      </c>
      <c r="R1288" s="126">
        <v>45783</v>
      </c>
      <c r="S1288" s="153">
        <f>IF(L1288="","",L1288-B1288)</f>
        <v>5</v>
      </c>
      <c r="T1288" s="153">
        <f>IF(N1288="","",N1288-L1288)</f>
        <v>5</v>
      </c>
      <c r="U1288" s="153">
        <f>IF(O1288="","",O1288-N1288)</f>
        <v>1</v>
      </c>
      <c r="V1288" s="154">
        <f>IF(O1288="","",O1288-B1288)</f>
        <v>11</v>
      </c>
      <c r="W1288" s="154">
        <f>IF(O1288="","",O1288-L1288)</f>
        <v>6</v>
      </c>
      <c r="X1288" s="154">
        <f>IF(R1288="","",R1288-B1288)</f>
        <v>11</v>
      </c>
    </row>
    <row r="1289" spans="2:24" ht="17.25" hidden="1" customHeight="1">
      <c r="B1289" s="23">
        <v>45772</v>
      </c>
      <c r="C1289" s="7">
        <v>2003630352</v>
      </c>
      <c r="D1289" s="20">
        <v>5899202</v>
      </c>
      <c r="E1289" s="27" t="s">
        <v>106</v>
      </c>
      <c r="F1289" s="7" t="s">
        <v>107</v>
      </c>
      <c r="G1289" s="7" t="s">
        <v>10</v>
      </c>
      <c r="H1289" s="7" t="s">
        <v>45</v>
      </c>
      <c r="I1289" s="20" t="s">
        <v>959</v>
      </c>
      <c r="J1289" s="20" t="s">
        <v>960</v>
      </c>
      <c r="K1289" s="7" t="s">
        <v>119</v>
      </c>
      <c r="L1289" s="61">
        <v>45777</v>
      </c>
      <c r="M1289" s="7" t="s">
        <v>111</v>
      </c>
      <c r="N1289" s="24">
        <v>45778</v>
      </c>
      <c r="O1289" s="23">
        <v>45783</v>
      </c>
      <c r="P1289" s="59"/>
      <c r="Q1289" s="124" t="e">
        <f>P1289*#REF!</f>
        <v>#REF!</v>
      </c>
      <c r="R1289" s="126">
        <v>45783</v>
      </c>
      <c r="S1289" s="153">
        <f>IF(L1289="","",L1289-B1289)</f>
        <v>5</v>
      </c>
      <c r="T1289" s="153">
        <f>IF(N1289="","",N1289-L1289)</f>
        <v>1</v>
      </c>
      <c r="U1289" s="153">
        <f>IF(O1289="","",O1289-N1289)</f>
        <v>5</v>
      </c>
      <c r="V1289" s="154">
        <f>IF(O1289="","",O1289-B1289)</f>
        <v>11</v>
      </c>
      <c r="W1289" s="154">
        <f>IF(O1289="","",O1289-L1289)</f>
        <v>6</v>
      </c>
      <c r="X1289" s="154">
        <f>IF(R1289="","",R1289-B1289)</f>
        <v>11</v>
      </c>
    </row>
    <row r="1290" spans="2:24" ht="17.25" hidden="1" customHeight="1">
      <c r="B1290" s="23">
        <v>45772</v>
      </c>
      <c r="C1290" s="7">
        <v>2003666071</v>
      </c>
      <c r="D1290" s="20">
        <v>5899237</v>
      </c>
      <c r="E1290" s="27" t="s">
        <v>126</v>
      </c>
      <c r="F1290" s="7" t="s">
        <v>107</v>
      </c>
      <c r="G1290" s="7" t="s">
        <v>10</v>
      </c>
      <c r="H1290" s="7" t="s">
        <v>45</v>
      </c>
      <c r="I1290" s="20" t="s">
        <v>1159</v>
      </c>
      <c r="J1290" s="20" t="s">
        <v>2082</v>
      </c>
      <c r="K1290" s="7" t="s">
        <v>119</v>
      </c>
      <c r="L1290" s="61">
        <v>45784</v>
      </c>
      <c r="M1290" s="7" t="s">
        <v>111</v>
      </c>
      <c r="N1290" s="24">
        <v>45785</v>
      </c>
      <c r="O1290" s="24">
        <v>45785</v>
      </c>
      <c r="P1290" s="59"/>
      <c r="Q1290" s="124" t="e">
        <f>P1290*#REF!</f>
        <v>#REF!</v>
      </c>
      <c r="R1290" s="126">
        <v>45786</v>
      </c>
      <c r="S1290" s="153">
        <f>IF(L1290="","",L1290-B1290)</f>
        <v>12</v>
      </c>
      <c r="T1290" s="153">
        <f>IF(N1290="","",N1290-L1290)</f>
        <v>1</v>
      </c>
      <c r="U1290" s="153">
        <f>IF(O1290="","",O1290-N1290)</f>
        <v>0</v>
      </c>
      <c r="V1290" s="154">
        <f>IF(O1290="","",O1290-B1290)</f>
        <v>13</v>
      </c>
      <c r="W1290" s="154">
        <f>IF(O1290="","",O1290-L1290)</f>
        <v>1</v>
      </c>
      <c r="X1290" s="154">
        <f>IF(R1290="","",R1290-B1290)</f>
        <v>14</v>
      </c>
    </row>
    <row r="1291" spans="2:24" ht="17.25" hidden="1" customHeight="1">
      <c r="B1291" s="23">
        <v>45772</v>
      </c>
      <c r="C1291" s="7">
        <v>310021778</v>
      </c>
      <c r="D1291" s="20">
        <v>5899239</v>
      </c>
      <c r="E1291" s="27" t="s">
        <v>177</v>
      </c>
      <c r="F1291" s="7" t="s">
        <v>107</v>
      </c>
      <c r="G1291" s="7" t="s">
        <v>15</v>
      </c>
      <c r="H1291" s="7" t="s">
        <v>45</v>
      </c>
      <c r="I1291" s="20" t="s">
        <v>2083</v>
      </c>
      <c r="J1291" s="20" t="s">
        <v>2084</v>
      </c>
      <c r="K1291" s="7" t="s">
        <v>110</v>
      </c>
      <c r="L1291" s="61">
        <v>45777</v>
      </c>
      <c r="M1291" s="7" t="s">
        <v>111</v>
      </c>
      <c r="N1291" s="24">
        <v>45778</v>
      </c>
      <c r="O1291" s="24">
        <v>45783</v>
      </c>
      <c r="P1291" s="59"/>
      <c r="Q1291" s="124" t="e">
        <f>P1291*#REF!</f>
        <v>#REF!</v>
      </c>
      <c r="R1291" s="126">
        <v>45783</v>
      </c>
      <c r="S1291" s="153">
        <f>IF(L1291="","",L1291-B1291)</f>
        <v>5</v>
      </c>
      <c r="T1291" s="153">
        <f>IF(N1291="","",N1291-L1291)</f>
        <v>1</v>
      </c>
      <c r="U1291" s="153">
        <f>IF(O1291="","",O1291-N1291)</f>
        <v>5</v>
      </c>
      <c r="V1291" s="154">
        <f>IF(O1291="","",O1291-B1291)</f>
        <v>11</v>
      </c>
      <c r="W1291" s="154">
        <f>IF(O1291="","",O1291-L1291)</f>
        <v>6</v>
      </c>
      <c r="X1291" s="154">
        <f>IF(R1291="","",R1291-B1291)</f>
        <v>11</v>
      </c>
    </row>
    <row r="1292" spans="2:24" ht="17.25" hidden="1" customHeight="1">
      <c r="B1292" s="23">
        <v>45772</v>
      </c>
      <c r="C1292" s="7">
        <v>2003669127</v>
      </c>
      <c r="D1292" s="20">
        <v>5899261</v>
      </c>
      <c r="E1292" s="27" t="s">
        <v>149</v>
      </c>
      <c r="F1292" s="7" t="s">
        <v>107</v>
      </c>
      <c r="G1292" s="7" t="s">
        <v>10</v>
      </c>
      <c r="H1292" s="7" t="s">
        <v>45</v>
      </c>
      <c r="I1292" s="20" t="s">
        <v>2085</v>
      </c>
      <c r="J1292" s="20" t="s">
        <v>2086</v>
      </c>
      <c r="K1292" s="7" t="s">
        <v>110</v>
      </c>
      <c r="L1292" s="61">
        <v>45783</v>
      </c>
      <c r="M1292" s="7" t="s">
        <v>111</v>
      </c>
      <c r="N1292" s="61">
        <v>45783</v>
      </c>
      <c r="O1292" s="61">
        <v>45784</v>
      </c>
      <c r="P1292" s="59"/>
      <c r="Q1292" s="124" t="e">
        <f>P1292*#REF!</f>
        <v>#REF!</v>
      </c>
      <c r="R1292" s="126">
        <v>45784</v>
      </c>
      <c r="S1292" s="153">
        <f>IF(L1292="","",L1292-B1292)</f>
        <v>11</v>
      </c>
      <c r="T1292" s="153">
        <f>IF(N1292="","",N1292-L1292)</f>
        <v>0</v>
      </c>
      <c r="U1292" s="153">
        <f>IF(O1292="","",O1292-N1292)</f>
        <v>1</v>
      </c>
      <c r="V1292" s="154">
        <f>IF(O1292="","",O1292-B1292)</f>
        <v>12</v>
      </c>
      <c r="W1292" s="154">
        <f>IF(O1292="","",O1292-L1292)</f>
        <v>1</v>
      </c>
      <c r="X1292" s="154">
        <f>IF(R1292="","",R1292-B1292)</f>
        <v>12</v>
      </c>
    </row>
    <row r="1293" spans="2:24" ht="17.25" hidden="1" customHeight="1">
      <c r="B1293" s="23">
        <v>45772</v>
      </c>
      <c r="C1293" s="7">
        <v>2003672318</v>
      </c>
      <c r="D1293" s="20">
        <v>5899262</v>
      </c>
      <c r="E1293" s="27" t="s">
        <v>138</v>
      </c>
      <c r="F1293" s="7" t="s">
        <v>107</v>
      </c>
      <c r="G1293" s="7" t="s">
        <v>10</v>
      </c>
      <c r="H1293" s="7" t="s">
        <v>45</v>
      </c>
      <c r="I1293" s="20" t="s">
        <v>2087</v>
      </c>
      <c r="J1293" s="20" t="s">
        <v>2088</v>
      </c>
      <c r="K1293" s="7" t="s">
        <v>119</v>
      </c>
      <c r="L1293" s="61">
        <v>45777</v>
      </c>
      <c r="M1293" s="7" t="s">
        <v>111</v>
      </c>
      <c r="N1293" s="24">
        <v>45778</v>
      </c>
      <c r="O1293" s="23">
        <v>45783</v>
      </c>
      <c r="P1293" s="59"/>
      <c r="Q1293" s="124" t="e">
        <f>P1293*#REF!</f>
        <v>#REF!</v>
      </c>
      <c r="R1293" s="126">
        <v>45783</v>
      </c>
      <c r="S1293" s="153">
        <f>IF(L1293="","",L1293-B1293)</f>
        <v>5</v>
      </c>
      <c r="T1293" s="153">
        <f>IF(N1293="","",N1293-L1293)</f>
        <v>1</v>
      </c>
      <c r="U1293" s="153">
        <f>IF(O1293="","",O1293-N1293)</f>
        <v>5</v>
      </c>
      <c r="V1293" s="154">
        <f>IF(O1293="","",O1293-B1293)</f>
        <v>11</v>
      </c>
      <c r="W1293" s="154">
        <f>IF(O1293="","",O1293-L1293)</f>
        <v>6</v>
      </c>
      <c r="X1293" s="154">
        <f>IF(R1293="","",R1293-B1293)</f>
        <v>11</v>
      </c>
    </row>
    <row r="1294" spans="2:24" ht="17.25" hidden="1" customHeight="1">
      <c r="B1294" s="23">
        <v>45772</v>
      </c>
      <c r="C1294" s="7">
        <v>2003668260</v>
      </c>
      <c r="D1294" s="20">
        <v>5899279</v>
      </c>
      <c r="E1294" s="27" t="s">
        <v>138</v>
      </c>
      <c r="F1294" s="7" t="s">
        <v>107</v>
      </c>
      <c r="G1294" s="7" t="s">
        <v>26</v>
      </c>
      <c r="H1294" s="7" t="s">
        <v>45</v>
      </c>
      <c r="I1294" s="20" t="s">
        <v>2089</v>
      </c>
      <c r="J1294" s="20" t="s">
        <v>2090</v>
      </c>
      <c r="K1294" s="7" t="s">
        <v>119</v>
      </c>
      <c r="L1294" s="61">
        <v>45777</v>
      </c>
      <c r="M1294" s="7" t="s">
        <v>111</v>
      </c>
      <c r="N1294" s="24">
        <v>45783</v>
      </c>
      <c r="O1294" s="23">
        <v>45783</v>
      </c>
      <c r="P1294" s="59"/>
      <c r="Q1294" s="124" t="e">
        <f>P1294*#REF!</f>
        <v>#REF!</v>
      </c>
      <c r="R1294" s="126">
        <v>45783</v>
      </c>
      <c r="S1294" s="153">
        <f>IF(L1294="","",L1294-B1294)</f>
        <v>5</v>
      </c>
      <c r="T1294" s="153">
        <f>IF(N1294="","",N1294-L1294)</f>
        <v>6</v>
      </c>
      <c r="U1294" s="153">
        <f>IF(O1294="","",O1294-N1294)</f>
        <v>0</v>
      </c>
      <c r="V1294" s="154">
        <f>IF(O1294="","",O1294-B1294)</f>
        <v>11</v>
      </c>
      <c r="W1294" s="154">
        <f>IF(O1294="","",O1294-L1294)</f>
        <v>6</v>
      </c>
      <c r="X1294" s="154">
        <f>IF(R1294="","",R1294-B1294)</f>
        <v>11</v>
      </c>
    </row>
    <row r="1295" spans="2:24" ht="17.25" hidden="1" customHeight="1">
      <c r="B1295" s="23">
        <v>45775</v>
      </c>
      <c r="C1295" s="7">
        <v>2003668557</v>
      </c>
      <c r="D1295" s="20">
        <v>5899322</v>
      </c>
      <c r="E1295" s="27" t="s">
        <v>198</v>
      </c>
      <c r="F1295" s="7" t="s">
        <v>107</v>
      </c>
      <c r="G1295" s="7" t="s">
        <v>10</v>
      </c>
      <c r="H1295" s="7" t="s">
        <v>45</v>
      </c>
      <c r="I1295" s="20" t="s">
        <v>2091</v>
      </c>
      <c r="J1295" s="20" t="s">
        <v>2092</v>
      </c>
      <c r="K1295" s="7" t="s">
        <v>122</v>
      </c>
      <c r="L1295" s="61">
        <v>45777</v>
      </c>
      <c r="M1295" s="7" t="s">
        <v>111</v>
      </c>
      <c r="N1295" s="61">
        <v>45777</v>
      </c>
      <c r="O1295" s="106">
        <v>45782</v>
      </c>
      <c r="P1295" s="59"/>
      <c r="Q1295" s="124" t="e">
        <f>P1295*#REF!</f>
        <v>#REF!</v>
      </c>
      <c r="R1295" s="126">
        <v>45783</v>
      </c>
      <c r="S1295" s="153">
        <f>IF(L1295="","",L1295-B1295)</f>
        <v>2</v>
      </c>
      <c r="T1295" s="153">
        <f>IF(N1295="","",N1295-L1295)</f>
        <v>0</v>
      </c>
      <c r="U1295" s="153">
        <f>IF(O1295="","",O1295-N1295)</f>
        <v>5</v>
      </c>
      <c r="V1295" s="154">
        <f>IF(O1295="","",O1295-B1295)</f>
        <v>7</v>
      </c>
      <c r="W1295" s="154">
        <f>IF(O1295="","",O1295-L1295)</f>
        <v>5</v>
      </c>
      <c r="X1295" s="154">
        <f>IF(R1295="","",R1295-B1295)</f>
        <v>8</v>
      </c>
    </row>
    <row r="1296" spans="2:24" ht="17.25" hidden="1" customHeight="1">
      <c r="B1296" s="23">
        <v>45775</v>
      </c>
      <c r="C1296" s="7">
        <v>2003668905</v>
      </c>
      <c r="D1296" s="20">
        <v>5899328</v>
      </c>
      <c r="E1296" s="27" t="s">
        <v>198</v>
      </c>
      <c r="F1296" s="7" t="s">
        <v>107</v>
      </c>
      <c r="G1296" s="7" t="s">
        <v>10</v>
      </c>
      <c r="H1296" s="7" t="s">
        <v>45</v>
      </c>
      <c r="I1296" s="20" t="s">
        <v>2093</v>
      </c>
      <c r="J1296" s="20" t="s">
        <v>2094</v>
      </c>
      <c r="K1296" s="7" t="s">
        <v>119</v>
      </c>
      <c r="L1296" s="61">
        <v>45789</v>
      </c>
      <c r="M1296" s="7" t="s">
        <v>111</v>
      </c>
      <c r="N1296" s="24">
        <v>45790</v>
      </c>
      <c r="O1296" s="24">
        <v>45790</v>
      </c>
      <c r="P1296" s="59"/>
      <c r="Q1296" s="124" t="e">
        <f>P1296*#REF!</f>
        <v>#REF!</v>
      </c>
      <c r="R1296" s="126">
        <v>45790</v>
      </c>
      <c r="S1296" s="153">
        <f>IF(L1296="","",L1296-B1296)</f>
        <v>14</v>
      </c>
      <c r="T1296" s="153">
        <f>IF(N1296="","",N1296-L1296)</f>
        <v>1</v>
      </c>
      <c r="U1296" s="153">
        <f>IF(O1296="","",O1296-N1296)</f>
        <v>0</v>
      </c>
      <c r="V1296" s="154">
        <f>IF(O1296="","",O1296-B1296)</f>
        <v>15</v>
      </c>
      <c r="W1296" s="154">
        <f>IF(O1296="","",O1296-L1296)</f>
        <v>1</v>
      </c>
      <c r="X1296" s="154">
        <f>IF(R1296="","",R1296-B1296)</f>
        <v>15</v>
      </c>
    </row>
    <row r="1297" spans="2:24" ht="17.25" hidden="1" customHeight="1">
      <c r="B1297" s="23">
        <v>45775</v>
      </c>
      <c r="C1297" s="7">
        <v>2003664736</v>
      </c>
      <c r="D1297" s="20">
        <v>5899617</v>
      </c>
      <c r="E1297" s="27" t="s">
        <v>230</v>
      </c>
      <c r="F1297" s="7" t="s">
        <v>107</v>
      </c>
      <c r="G1297" s="7" t="s">
        <v>10</v>
      </c>
      <c r="H1297" s="7" t="s">
        <v>45</v>
      </c>
      <c r="I1297" s="20" t="s">
        <v>1464</v>
      </c>
      <c r="J1297" s="20" t="s">
        <v>1465</v>
      </c>
      <c r="K1297" s="7" t="s">
        <v>110</v>
      </c>
      <c r="L1297" s="61">
        <v>45782</v>
      </c>
      <c r="M1297" s="7" t="s">
        <v>111</v>
      </c>
      <c r="N1297" s="61">
        <v>45782</v>
      </c>
      <c r="O1297" s="61">
        <v>45782</v>
      </c>
      <c r="P1297" s="59"/>
      <c r="Q1297" s="124" t="e">
        <f>P1297*#REF!</f>
        <v>#REF!</v>
      </c>
      <c r="R1297" s="126">
        <v>45782</v>
      </c>
      <c r="S1297" s="153">
        <f>IF(L1297="","",L1297-B1297)</f>
        <v>7</v>
      </c>
      <c r="T1297" s="153">
        <f>IF(N1297="","",N1297-L1297)</f>
        <v>0</v>
      </c>
      <c r="U1297" s="153">
        <f>IF(O1297="","",O1297-N1297)</f>
        <v>0</v>
      </c>
      <c r="V1297" s="154">
        <f>IF(O1297="","",O1297-B1297)</f>
        <v>7</v>
      </c>
      <c r="W1297" s="154">
        <f>IF(O1297="","",O1297-L1297)</f>
        <v>0</v>
      </c>
      <c r="X1297" s="154">
        <f>IF(R1297="","",R1297-B1297)</f>
        <v>7</v>
      </c>
    </row>
    <row r="1298" spans="2:24" ht="17.25" hidden="1" customHeight="1">
      <c r="B1298" s="23">
        <v>45775</v>
      </c>
      <c r="C1298" s="7">
        <v>2003665078</v>
      </c>
      <c r="D1298" s="20">
        <v>5899674</v>
      </c>
      <c r="E1298" s="27" t="s">
        <v>123</v>
      </c>
      <c r="F1298" s="7" t="s">
        <v>107</v>
      </c>
      <c r="G1298" s="7" t="s">
        <v>10</v>
      </c>
      <c r="H1298" s="7" t="s">
        <v>45</v>
      </c>
      <c r="I1298" s="20" t="s">
        <v>2095</v>
      </c>
      <c r="J1298" s="20" t="s">
        <v>2096</v>
      </c>
      <c r="K1298" s="7" t="s">
        <v>119</v>
      </c>
      <c r="L1298" s="61">
        <v>45777</v>
      </c>
      <c r="M1298" s="7" t="s">
        <v>111</v>
      </c>
      <c r="N1298" s="24">
        <v>45778</v>
      </c>
      <c r="O1298" s="24">
        <v>45782</v>
      </c>
      <c r="P1298" s="59"/>
      <c r="Q1298" s="124" t="e">
        <f>P1298*#REF!</f>
        <v>#REF!</v>
      </c>
      <c r="R1298" s="126">
        <v>45783</v>
      </c>
      <c r="S1298" s="153">
        <f>IF(L1298="","",L1298-B1298)</f>
        <v>2</v>
      </c>
      <c r="T1298" s="153">
        <f>IF(N1298="","",N1298-L1298)</f>
        <v>1</v>
      </c>
      <c r="U1298" s="153">
        <f>IF(O1298="","",O1298-N1298)</f>
        <v>4</v>
      </c>
      <c r="V1298" s="154">
        <f>IF(O1298="","",O1298-B1298)</f>
        <v>7</v>
      </c>
      <c r="W1298" s="154">
        <f>IF(O1298="","",O1298-L1298)</f>
        <v>5</v>
      </c>
      <c r="X1298" s="154">
        <f>IF(R1298="","",R1298-B1298)</f>
        <v>8</v>
      </c>
    </row>
    <row r="1299" spans="2:24" ht="17.25" hidden="1" customHeight="1">
      <c r="B1299" s="23">
        <v>45775</v>
      </c>
      <c r="C1299" s="7">
        <v>2003662876</v>
      </c>
      <c r="D1299" s="20">
        <v>5899680</v>
      </c>
      <c r="E1299" s="27" t="s">
        <v>949</v>
      </c>
      <c r="F1299" s="7" t="s">
        <v>107</v>
      </c>
      <c r="G1299" s="7" t="s">
        <v>18</v>
      </c>
      <c r="H1299" s="7" t="s">
        <v>45</v>
      </c>
      <c r="I1299" s="20" t="s">
        <v>2097</v>
      </c>
      <c r="J1299" s="20" t="s">
        <v>2098</v>
      </c>
      <c r="K1299" s="7" t="s">
        <v>119</v>
      </c>
      <c r="L1299" s="61">
        <v>45776</v>
      </c>
      <c r="M1299" s="7" t="s">
        <v>111</v>
      </c>
      <c r="N1299" s="61">
        <v>45776</v>
      </c>
      <c r="O1299" s="23">
        <v>45783</v>
      </c>
      <c r="P1299" s="59"/>
      <c r="Q1299" s="124" t="e">
        <f>P1299*#REF!</f>
        <v>#REF!</v>
      </c>
      <c r="R1299" s="126">
        <v>45783</v>
      </c>
      <c r="S1299" s="153">
        <f>IF(L1299="","",L1299-B1299)</f>
        <v>1</v>
      </c>
      <c r="T1299" s="153">
        <f>IF(N1299="","",N1299-L1299)</f>
        <v>0</v>
      </c>
      <c r="U1299" s="153">
        <f>IF(O1299="","",O1299-N1299)</f>
        <v>7</v>
      </c>
      <c r="V1299" s="154">
        <f>IF(O1299="","",O1299-B1299)</f>
        <v>8</v>
      </c>
      <c r="W1299" s="154">
        <f>IF(O1299="","",O1299-L1299)</f>
        <v>7</v>
      </c>
      <c r="X1299" s="154">
        <f>IF(R1299="","",R1299-B1299)</f>
        <v>8</v>
      </c>
    </row>
    <row r="1300" spans="2:24" ht="17.25" hidden="1" customHeight="1">
      <c r="B1300" s="23">
        <v>45775</v>
      </c>
      <c r="C1300" s="7">
        <v>2003535829</v>
      </c>
      <c r="D1300" s="20">
        <v>5899739</v>
      </c>
      <c r="E1300" s="27" t="s">
        <v>185</v>
      </c>
      <c r="F1300" s="7" t="s">
        <v>107</v>
      </c>
      <c r="G1300" s="7" t="s">
        <v>21</v>
      </c>
      <c r="H1300" s="7" t="s">
        <v>45</v>
      </c>
      <c r="I1300" s="20" t="s">
        <v>2099</v>
      </c>
      <c r="J1300" s="20" t="s">
        <v>2100</v>
      </c>
      <c r="K1300" s="7" t="s">
        <v>111</v>
      </c>
      <c r="L1300" s="61">
        <v>45776</v>
      </c>
      <c r="M1300" s="7" t="s">
        <v>111</v>
      </c>
      <c r="N1300" s="24">
        <v>45783</v>
      </c>
      <c r="O1300" s="24">
        <v>45783</v>
      </c>
      <c r="P1300" s="59"/>
      <c r="Q1300" s="124" t="e">
        <f>P1300*#REF!</f>
        <v>#REF!</v>
      </c>
      <c r="R1300" s="126">
        <v>45786</v>
      </c>
      <c r="S1300" s="153">
        <f>IF(L1300="","",L1300-B1300)</f>
        <v>1</v>
      </c>
      <c r="T1300" s="153">
        <f>IF(N1300="","",N1300-L1300)</f>
        <v>7</v>
      </c>
      <c r="U1300" s="153">
        <f>IF(O1300="","",O1300-N1300)</f>
        <v>0</v>
      </c>
      <c r="V1300" s="154">
        <f>IF(O1300="","",O1300-B1300)</f>
        <v>8</v>
      </c>
      <c r="W1300" s="154">
        <f>IF(O1300="","",O1300-L1300)</f>
        <v>7</v>
      </c>
      <c r="X1300" s="154">
        <f>IF(R1300="","",R1300-B1300)</f>
        <v>11</v>
      </c>
    </row>
    <row r="1301" spans="2:24" ht="17.25" hidden="1" customHeight="1">
      <c r="B1301" s="23">
        <v>45775</v>
      </c>
      <c r="C1301" s="7">
        <v>2003665196</v>
      </c>
      <c r="D1301" s="20">
        <v>5899773</v>
      </c>
      <c r="E1301" s="27" t="s">
        <v>106</v>
      </c>
      <c r="F1301" s="7" t="s">
        <v>107</v>
      </c>
      <c r="G1301" s="7" t="s">
        <v>18</v>
      </c>
      <c r="H1301" s="7" t="s">
        <v>45</v>
      </c>
      <c r="I1301" s="20" t="s">
        <v>2101</v>
      </c>
      <c r="J1301" s="20" t="s">
        <v>2102</v>
      </c>
      <c r="K1301" s="7" t="s">
        <v>146</v>
      </c>
      <c r="L1301" s="61">
        <v>45777</v>
      </c>
      <c r="M1301" s="7" t="s">
        <v>111</v>
      </c>
      <c r="N1301" s="24">
        <v>45798</v>
      </c>
      <c r="O1301" s="24">
        <v>45798</v>
      </c>
      <c r="P1301" s="59"/>
      <c r="Q1301" s="124" t="e">
        <f>P1301*#REF!</f>
        <v>#REF!</v>
      </c>
      <c r="R1301" s="126">
        <v>45798</v>
      </c>
      <c r="S1301" s="153">
        <f>IF(L1301="","",L1301-B1301)</f>
        <v>2</v>
      </c>
      <c r="T1301" s="153">
        <f>IF(N1301="","",N1301-L1301)</f>
        <v>21</v>
      </c>
      <c r="U1301" s="153">
        <f>IF(O1301="","",O1301-N1301)</f>
        <v>0</v>
      </c>
      <c r="V1301" s="154">
        <f>IF(O1301="","",O1301-B1301)</f>
        <v>23</v>
      </c>
      <c r="W1301" s="154">
        <f>IF(O1301="","",O1301-L1301)</f>
        <v>21</v>
      </c>
      <c r="X1301" s="154">
        <f>IF(R1301="","",R1301-B1301)</f>
        <v>23</v>
      </c>
    </row>
    <row r="1302" spans="2:24" ht="17.25" hidden="1" customHeight="1">
      <c r="B1302" s="23">
        <v>45775</v>
      </c>
      <c r="C1302" s="7">
        <v>2003660731</v>
      </c>
      <c r="D1302" s="20">
        <v>5899775</v>
      </c>
      <c r="E1302" s="27" t="s">
        <v>1225</v>
      </c>
      <c r="F1302" s="7" t="s">
        <v>107</v>
      </c>
      <c r="G1302" s="7" t="s">
        <v>10</v>
      </c>
      <c r="H1302" s="7" t="s">
        <v>45</v>
      </c>
      <c r="I1302" s="20" t="s">
        <v>2103</v>
      </c>
      <c r="J1302" s="20" t="s">
        <v>1915</v>
      </c>
      <c r="K1302" s="7" t="s">
        <v>119</v>
      </c>
      <c r="L1302" s="61">
        <v>45777</v>
      </c>
      <c r="M1302" s="7" t="s">
        <v>111</v>
      </c>
      <c r="N1302" s="61">
        <v>45777</v>
      </c>
      <c r="O1302" s="23">
        <v>45783</v>
      </c>
      <c r="P1302" s="59"/>
      <c r="Q1302" s="124" t="e">
        <f>P1302*#REF!</f>
        <v>#REF!</v>
      </c>
      <c r="R1302" s="126">
        <v>45783</v>
      </c>
      <c r="S1302" s="153">
        <f>IF(L1302="","",L1302-B1302)</f>
        <v>2</v>
      </c>
      <c r="T1302" s="153">
        <f>IF(N1302="","",N1302-L1302)</f>
        <v>0</v>
      </c>
      <c r="U1302" s="153">
        <f>IF(O1302="","",O1302-N1302)</f>
        <v>6</v>
      </c>
      <c r="V1302" s="154">
        <f>IF(O1302="","",O1302-B1302)</f>
        <v>8</v>
      </c>
      <c r="W1302" s="154">
        <f>IF(O1302="","",O1302-L1302)</f>
        <v>6</v>
      </c>
      <c r="X1302" s="154">
        <f>IF(R1302="","",R1302-B1302)</f>
        <v>8</v>
      </c>
    </row>
    <row r="1303" spans="2:24" ht="17.25" hidden="1" customHeight="1">
      <c r="B1303" s="23">
        <v>45775</v>
      </c>
      <c r="C1303" s="7">
        <v>2003672690</v>
      </c>
      <c r="D1303" s="20">
        <v>5899796</v>
      </c>
      <c r="E1303" s="27" t="s">
        <v>1225</v>
      </c>
      <c r="F1303" s="7" t="s">
        <v>107</v>
      </c>
      <c r="G1303" s="7" t="s">
        <v>10</v>
      </c>
      <c r="H1303" s="7" t="s">
        <v>45</v>
      </c>
      <c r="I1303" s="20" t="s">
        <v>2104</v>
      </c>
      <c r="J1303" s="20" t="s">
        <v>2105</v>
      </c>
      <c r="K1303" s="7" t="s">
        <v>110</v>
      </c>
      <c r="L1303" s="61">
        <v>45785</v>
      </c>
      <c r="M1303" s="7" t="s">
        <v>111</v>
      </c>
      <c r="N1303" s="61">
        <v>45785</v>
      </c>
      <c r="O1303" s="130">
        <v>45785</v>
      </c>
      <c r="P1303" s="59"/>
      <c r="Q1303" s="124" t="e">
        <f>P1303*#REF!</f>
        <v>#REF!</v>
      </c>
      <c r="R1303" s="126">
        <v>45786</v>
      </c>
      <c r="S1303" s="153">
        <f>IF(L1303="","",L1303-B1303)</f>
        <v>10</v>
      </c>
      <c r="T1303" s="153">
        <f>IF(N1303="","",N1303-L1303)</f>
        <v>0</v>
      </c>
      <c r="U1303" s="153">
        <f>IF(O1303="","",O1303-N1303)</f>
        <v>0</v>
      </c>
      <c r="V1303" s="154">
        <f>IF(O1303="","",O1303-B1303)</f>
        <v>10</v>
      </c>
      <c r="W1303" s="154">
        <f>IF(O1303="","",O1303-L1303)</f>
        <v>0</v>
      </c>
      <c r="X1303" s="154">
        <f>IF(R1303="","",R1303-B1303)</f>
        <v>11</v>
      </c>
    </row>
    <row r="1304" spans="2:24" ht="17.25" hidden="1" customHeight="1">
      <c r="B1304" s="23">
        <v>45775</v>
      </c>
      <c r="C1304" s="7">
        <v>2003668755</v>
      </c>
      <c r="D1304" s="20">
        <v>5899871</v>
      </c>
      <c r="E1304" s="27" t="s">
        <v>949</v>
      </c>
      <c r="F1304" s="7" t="s">
        <v>107</v>
      </c>
      <c r="G1304" s="7" t="s">
        <v>10</v>
      </c>
      <c r="H1304" s="7" t="s">
        <v>45</v>
      </c>
      <c r="I1304" s="20" t="s">
        <v>2106</v>
      </c>
      <c r="J1304" s="20" t="s">
        <v>2107</v>
      </c>
      <c r="K1304" s="7" t="s">
        <v>110</v>
      </c>
      <c r="L1304" s="61">
        <v>45777</v>
      </c>
      <c r="M1304" s="7" t="s">
        <v>111</v>
      </c>
      <c r="N1304" s="61">
        <v>45777</v>
      </c>
      <c r="O1304" s="23">
        <v>45783</v>
      </c>
      <c r="P1304" s="59"/>
      <c r="Q1304" s="124" t="e">
        <f>P1304*#REF!</f>
        <v>#REF!</v>
      </c>
      <c r="R1304" s="126">
        <v>45783</v>
      </c>
      <c r="S1304" s="153">
        <f>IF(L1304="","",L1304-B1304)</f>
        <v>2</v>
      </c>
      <c r="T1304" s="153">
        <f>IF(N1304="","",N1304-L1304)</f>
        <v>0</v>
      </c>
      <c r="U1304" s="153">
        <f>IF(O1304="","",O1304-N1304)</f>
        <v>6</v>
      </c>
      <c r="V1304" s="154">
        <f>IF(O1304="","",O1304-B1304)</f>
        <v>8</v>
      </c>
      <c r="W1304" s="154">
        <f>IF(O1304="","",O1304-L1304)</f>
        <v>6</v>
      </c>
      <c r="X1304" s="154">
        <f>IF(R1304="","",R1304-B1304)</f>
        <v>8</v>
      </c>
    </row>
    <row r="1305" spans="2:24" ht="17.25" hidden="1" customHeight="1">
      <c r="B1305" s="23">
        <v>45775</v>
      </c>
      <c r="C1305" s="7">
        <v>2003523121</v>
      </c>
      <c r="D1305" s="20">
        <v>5900139</v>
      </c>
      <c r="E1305" s="27" t="s">
        <v>180</v>
      </c>
      <c r="F1305" s="7" t="s">
        <v>107</v>
      </c>
      <c r="G1305" s="7" t="s">
        <v>26</v>
      </c>
      <c r="H1305" s="7" t="s">
        <v>45</v>
      </c>
      <c r="I1305" s="20" t="s">
        <v>487</v>
      </c>
      <c r="J1305" s="20" t="s">
        <v>674</v>
      </c>
      <c r="K1305" s="7" t="s">
        <v>119</v>
      </c>
      <c r="L1305" s="61">
        <v>45782</v>
      </c>
      <c r="M1305" s="7" t="s">
        <v>111</v>
      </c>
      <c r="N1305" s="24">
        <v>45783</v>
      </c>
      <c r="O1305" s="58">
        <v>45783</v>
      </c>
      <c r="P1305" s="59"/>
      <c r="Q1305" s="124" t="e">
        <f>P1305*#REF!</f>
        <v>#REF!</v>
      </c>
      <c r="R1305" s="126">
        <v>45783</v>
      </c>
      <c r="S1305" s="153">
        <f>IF(L1305="","",L1305-B1305)</f>
        <v>7</v>
      </c>
      <c r="T1305" s="153">
        <f>IF(N1305="","",N1305-L1305)</f>
        <v>1</v>
      </c>
      <c r="U1305" s="153">
        <f>IF(O1305="","",O1305-N1305)</f>
        <v>0</v>
      </c>
      <c r="V1305" s="154">
        <f>IF(O1305="","",O1305-B1305)</f>
        <v>8</v>
      </c>
      <c r="W1305" s="154">
        <f>IF(O1305="","",O1305-L1305)</f>
        <v>1</v>
      </c>
      <c r="X1305" s="154">
        <f>IF(R1305="","",R1305-B1305)</f>
        <v>8</v>
      </c>
    </row>
    <row r="1306" spans="2:24" ht="17.25" hidden="1" customHeight="1">
      <c r="B1306" s="23">
        <v>45775</v>
      </c>
      <c r="C1306" s="7">
        <v>2003648836</v>
      </c>
      <c r="D1306" s="20">
        <v>5900143</v>
      </c>
      <c r="E1306" s="27" t="s">
        <v>949</v>
      </c>
      <c r="F1306" s="7" t="s">
        <v>107</v>
      </c>
      <c r="G1306" s="7" t="s">
        <v>10</v>
      </c>
      <c r="H1306" s="7" t="s">
        <v>45</v>
      </c>
      <c r="I1306" s="20" t="s">
        <v>602</v>
      </c>
      <c r="J1306" s="20" t="s">
        <v>2108</v>
      </c>
      <c r="K1306" s="7" t="s">
        <v>119</v>
      </c>
      <c r="L1306" s="61">
        <v>45777</v>
      </c>
      <c r="M1306" s="7" t="s">
        <v>111</v>
      </c>
      <c r="N1306" s="24">
        <v>45778</v>
      </c>
      <c r="O1306" s="23">
        <v>45782</v>
      </c>
      <c r="P1306" s="59"/>
      <c r="Q1306" s="124" t="e">
        <f>P1306*#REF!</f>
        <v>#REF!</v>
      </c>
      <c r="R1306" s="126">
        <v>45782</v>
      </c>
      <c r="S1306" s="153">
        <f>IF(L1306="","",L1306-B1306)</f>
        <v>2</v>
      </c>
      <c r="T1306" s="153">
        <f>IF(N1306="","",N1306-L1306)</f>
        <v>1</v>
      </c>
      <c r="U1306" s="153">
        <f>IF(O1306="","",O1306-N1306)</f>
        <v>4</v>
      </c>
      <c r="V1306" s="154">
        <f>IF(O1306="","",O1306-B1306)</f>
        <v>7</v>
      </c>
      <c r="W1306" s="154">
        <f>IF(O1306="","",O1306-L1306)</f>
        <v>5</v>
      </c>
      <c r="X1306" s="154">
        <f>IF(R1306="","",R1306-B1306)</f>
        <v>7</v>
      </c>
    </row>
    <row r="1307" spans="2:24" ht="17.25" hidden="1" customHeight="1">
      <c r="B1307" s="23">
        <v>45775</v>
      </c>
      <c r="C1307" s="7">
        <v>2003655375</v>
      </c>
      <c r="D1307" s="20">
        <v>5900196</v>
      </c>
      <c r="E1307" s="27" t="s">
        <v>126</v>
      </c>
      <c r="F1307" s="7" t="s">
        <v>107</v>
      </c>
      <c r="G1307" s="7" t="s">
        <v>18</v>
      </c>
      <c r="H1307" s="7" t="s">
        <v>45</v>
      </c>
      <c r="I1307" s="20" t="s">
        <v>1797</v>
      </c>
      <c r="J1307" s="20" t="s">
        <v>1798</v>
      </c>
      <c r="K1307" s="7" t="s">
        <v>119</v>
      </c>
      <c r="L1307" s="61">
        <v>45777</v>
      </c>
      <c r="M1307" s="7" t="s">
        <v>111</v>
      </c>
      <c r="N1307" s="61">
        <v>45777</v>
      </c>
      <c r="O1307" s="23">
        <v>45783</v>
      </c>
      <c r="P1307" s="59"/>
      <c r="Q1307" s="124" t="e">
        <f>P1307*#REF!</f>
        <v>#REF!</v>
      </c>
      <c r="R1307" s="126">
        <v>45783</v>
      </c>
      <c r="S1307" s="231">
        <f>IF(L1307="","",L1307-B1307)</f>
        <v>2</v>
      </c>
      <c r="T1307" s="231">
        <f>IF(N1307="","",N1307-L1307)</f>
        <v>0</v>
      </c>
      <c r="U1307" s="231">
        <f>IF(O1307="","",O1307-N1307)</f>
        <v>6</v>
      </c>
      <c r="V1307" s="230">
        <f>IF(O1307="","",O1307-B1307)</f>
        <v>8</v>
      </c>
      <c r="W1307" s="230">
        <f>IF(O1307="","",O1307-L1307)</f>
        <v>6</v>
      </c>
      <c r="X1307" s="230">
        <f>IF(R1307="","",R1307-B1307)</f>
        <v>8</v>
      </c>
    </row>
    <row r="1308" spans="2:24" ht="17.25" hidden="1" customHeight="1">
      <c r="B1308" s="23">
        <v>45775</v>
      </c>
      <c r="C1308" s="7">
        <v>2003665428</v>
      </c>
      <c r="D1308" s="20">
        <v>5900203</v>
      </c>
      <c r="E1308" s="27" t="s">
        <v>126</v>
      </c>
      <c r="F1308" s="7" t="s">
        <v>107</v>
      </c>
      <c r="G1308" s="7" t="s">
        <v>26</v>
      </c>
      <c r="H1308" s="7" t="s">
        <v>45</v>
      </c>
      <c r="I1308" s="20" t="s">
        <v>2109</v>
      </c>
      <c r="J1308" s="20" t="s">
        <v>2110</v>
      </c>
      <c r="K1308" s="7" t="s">
        <v>119</v>
      </c>
      <c r="L1308" s="61">
        <v>45777</v>
      </c>
      <c r="M1308" s="7" t="s">
        <v>111</v>
      </c>
      <c r="N1308" s="24">
        <v>45783</v>
      </c>
      <c r="O1308" s="23">
        <v>45783</v>
      </c>
      <c r="P1308" s="59"/>
      <c r="Q1308" s="124" t="e">
        <f>P1308*#REF!</f>
        <v>#REF!</v>
      </c>
      <c r="R1308" s="126">
        <v>45783</v>
      </c>
      <c r="S1308" s="153">
        <f>IF(L1308="","",L1308-B1308)</f>
        <v>2</v>
      </c>
      <c r="T1308" s="153">
        <f>IF(N1308="","",N1308-L1308)</f>
        <v>6</v>
      </c>
      <c r="U1308" s="153">
        <f>IF(O1308="","",O1308-N1308)</f>
        <v>0</v>
      </c>
      <c r="V1308" s="154">
        <f>IF(O1308="","",O1308-B1308)</f>
        <v>8</v>
      </c>
      <c r="W1308" s="154">
        <f>IF(O1308="","",O1308-L1308)</f>
        <v>6</v>
      </c>
      <c r="X1308" s="154">
        <f>IF(R1308="","",R1308-B1308)</f>
        <v>8</v>
      </c>
    </row>
    <row r="1309" spans="2:24" ht="17.25" hidden="1" customHeight="1">
      <c r="B1309" s="23">
        <v>45775</v>
      </c>
      <c r="C1309" s="7">
        <v>2003666300</v>
      </c>
      <c r="D1309" s="20">
        <v>5900299</v>
      </c>
      <c r="E1309" s="27" t="s">
        <v>198</v>
      </c>
      <c r="F1309" s="7" t="s">
        <v>107</v>
      </c>
      <c r="G1309" s="7" t="s">
        <v>18</v>
      </c>
      <c r="H1309" s="7" t="s">
        <v>45</v>
      </c>
      <c r="I1309" s="20" t="s">
        <v>2111</v>
      </c>
      <c r="J1309" s="20" t="s">
        <v>2112</v>
      </c>
      <c r="K1309" s="7" t="s">
        <v>110</v>
      </c>
      <c r="L1309" s="61">
        <v>45784</v>
      </c>
      <c r="M1309" s="7" t="s">
        <v>111</v>
      </c>
      <c r="N1309" s="61">
        <v>45784</v>
      </c>
      <c r="O1309" s="23">
        <v>45786</v>
      </c>
      <c r="P1309" s="59"/>
      <c r="Q1309" s="124" t="e">
        <f>P1309*#REF!</f>
        <v>#REF!</v>
      </c>
      <c r="R1309" s="126">
        <v>45786</v>
      </c>
      <c r="S1309" s="153">
        <f>IF(L1309="","",L1309-B1309)</f>
        <v>9</v>
      </c>
      <c r="T1309" s="153">
        <f>IF(N1309="","",N1309-L1309)</f>
        <v>0</v>
      </c>
      <c r="U1309" s="153">
        <f>IF(O1309="","",O1309-N1309)</f>
        <v>2</v>
      </c>
      <c r="V1309" s="154">
        <f>IF(O1309="","",O1309-B1309)</f>
        <v>11</v>
      </c>
      <c r="W1309" s="154">
        <f>IF(O1309="","",O1309-L1309)</f>
        <v>2</v>
      </c>
      <c r="X1309" s="154">
        <f>IF(R1309="","",R1309-B1309)</f>
        <v>11</v>
      </c>
    </row>
    <row r="1310" spans="2:24" ht="17.25" hidden="1" customHeight="1">
      <c r="B1310" s="23">
        <v>45775</v>
      </c>
      <c r="C1310" s="7">
        <v>2003666264</v>
      </c>
      <c r="D1310" s="20">
        <v>5900356</v>
      </c>
      <c r="E1310" s="27" t="s">
        <v>230</v>
      </c>
      <c r="F1310" s="7" t="s">
        <v>107</v>
      </c>
      <c r="G1310" s="7" t="s">
        <v>26</v>
      </c>
      <c r="H1310" s="7" t="s">
        <v>45</v>
      </c>
      <c r="I1310" s="20" t="s">
        <v>965</v>
      </c>
      <c r="J1310" s="20" t="s">
        <v>1585</v>
      </c>
      <c r="K1310" s="7" t="s">
        <v>110</v>
      </c>
      <c r="L1310" s="61">
        <v>45782</v>
      </c>
      <c r="M1310" s="7" t="s">
        <v>111</v>
      </c>
      <c r="N1310" s="24">
        <v>45783</v>
      </c>
      <c r="O1310" s="23">
        <v>45783</v>
      </c>
      <c r="P1310" s="59"/>
      <c r="Q1310" s="124" t="e">
        <f>P1310*#REF!</f>
        <v>#REF!</v>
      </c>
      <c r="R1310" s="126">
        <v>45783</v>
      </c>
      <c r="S1310" s="153">
        <f>IF(L1310="","",L1310-B1310)</f>
        <v>7</v>
      </c>
      <c r="T1310" s="153">
        <f>IF(N1310="","",N1310-L1310)</f>
        <v>1</v>
      </c>
      <c r="U1310" s="153">
        <f>IF(O1310="","",O1310-N1310)</f>
        <v>0</v>
      </c>
      <c r="V1310" s="154">
        <f>IF(O1310="","",O1310-B1310)</f>
        <v>8</v>
      </c>
      <c r="W1310" s="154">
        <f>IF(O1310="","",O1310-L1310)</f>
        <v>1</v>
      </c>
      <c r="X1310" s="154">
        <f>IF(R1310="","",R1310-B1310)</f>
        <v>8</v>
      </c>
    </row>
    <row r="1311" spans="2:24" ht="17.25" hidden="1" customHeight="1">
      <c r="B1311" s="23">
        <v>45775</v>
      </c>
      <c r="C1311" s="7">
        <v>2003668206</v>
      </c>
      <c r="D1311" s="20">
        <v>5900367</v>
      </c>
      <c r="E1311" s="27" t="s">
        <v>949</v>
      </c>
      <c r="F1311" s="7" t="s">
        <v>107</v>
      </c>
      <c r="G1311" s="7" t="s">
        <v>10</v>
      </c>
      <c r="H1311" s="7" t="s">
        <v>45</v>
      </c>
      <c r="I1311" s="20" t="s">
        <v>650</v>
      </c>
      <c r="J1311" s="20" t="s">
        <v>2113</v>
      </c>
      <c r="K1311" s="7" t="s">
        <v>110</v>
      </c>
      <c r="L1311" s="61">
        <v>45786</v>
      </c>
      <c r="M1311" s="7" t="s">
        <v>111</v>
      </c>
      <c r="N1311" s="24">
        <v>45787</v>
      </c>
      <c r="O1311" s="24">
        <v>45787</v>
      </c>
      <c r="P1311" s="59"/>
      <c r="Q1311" s="124" t="e">
        <f>P1311*#REF!</f>
        <v>#REF!</v>
      </c>
      <c r="R1311" s="126">
        <v>45789</v>
      </c>
      <c r="S1311" s="153">
        <f>IF(L1311="","",L1311-B1311)</f>
        <v>11</v>
      </c>
      <c r="T1311" s="153">
        <f>IF(N1311="","",N1311-L1311)</f>
        <v>1</v>
      </c>
      <c r="U1311" s="153">
        <f>IF(O1311="","",O1311-N1311)</f>
        <v>0</v>
      </c>
      <c r="V1311" s="154">
        <f>IF(O1311="","",O1311-B1311)</f>
        <v>12</v>
      </c>
      <c r="W1311" s="154">
        <f>IF(O1311="","",O1311-L1311)</f>
        <v>1</v>
      </c>
      <c r="X1311" s="154">
        <f>IF(R1311="","",R1311-B1311)</f>
        <v>14</v>
      </c>
    </row>
    <row r="1312" spans="2:24" ht="17.25" hidden="1" customHeight="1">
      <c r="B1312" s="23">
        <v>45775</v>
      </c>
      <c r="C1312" s="7">
        <v>2003628314</v>
      </c>
      <c r="D1312" s="20">
        <v>5900378</v>
      </c>
      <c r="E1312" s="27" t="s">
        <v>1225</v>
      </c>
      <c r="F1312" s="7" t="s">
        <v>107</v>
      </c>
      <c r="G1312" s="7" t="s">
        <v>10</v>
      </c>
      <c r="H1312" s="7" t="s">
        <v>45</v>
      </c>
      <c r="I1312" s="20" t="s">
        <v>2114</v>
      </c>
      <c r="J1312" s="20" t="s">
        <v>1565</v>
      </c>
      <c r="K1312" s="7" t="s">
        <v>119</v>
      </c>
      <c r="L1312" s="61">
        <v>45798</v>
      </c>
      <c r="M1312" s="7" t="s">
        <v>111</v>
      </c>
      <c r="N1312" s="24">
        <v>45803</v>
      </c>
      <c r="O1312" s="24">
        <v>45803</v>
      </c>
      <c r="P1312" s="59"/>
      <c r="Q1312" s="124" t="e">
        <f>P1312*#REF!</f>
        <v>#REF!</v>
      </c>
      <c r="R1312" s="126">
        <v>45803</v>
      </c>
      <c r="S1312" s="153">
        <f>IF(L1312="","",L1312-B1312)</f>
        <v>23</v>
      </c>
      <c r="T1312" s="153">
        <f>IF(N1312="","",N1312-L1312)</f>
        <v>5</v>
      </c>
      <c r="U1312" s="153">
        <f>IF(O1312="","",O1312-N1312)</f>
        <v>0</v>
      </c>
      <c r="V1312" s="154">
        <f>IF(O1312="","",O1312-B1312)</f>
        <v>28</v>
      </c>
      <c r="W1312" s="154">
        <f>IF(O1312="","",O1312-L1312)</f>
        <v>5</v>
      </c>
      <c r="X1312" s="154">
        <f>IF(R1312="","",R1312-B1312)</f>
        <v>28</v>
      </c>
    </row>
    <row r="1313" spans="2:24" ht="17.25" hidden="1" customHeight="1">
      <c r="B1313" s="23">
        <v>45775</v>
      </c>
      <c r="C1313" s="7">
        <v>2003664839</v>
      </c>
      <c r="D1313" s="20">
        <v>5900400</v>
      </c>
      <c r="E1313" s="27" t="s">
        <v>185</v>
      </c>
      <c r="F1313" s="7" t="s">
        <v>107</v>
      </c>
      <c r="G1313" s="7" t="s">
        <v>10</v>
      </c>
      <c r="H1313" s="7" t="s">
        <v>45</v>
      </c>
      <c r="I1313" s="20" t="s">
        <v>2115</v>
      </c>
      <c r="J1313" s="20" t="s">
        <v>2116</v>
      </c>
      <c r="K1313" s="7" t="s">
        <v>110</v>
      </c>
      <c r="L1313" s="61">
        <v>45782</v>
      </c>
      <c r="M1313" s="7" t="s">
        <v>111</v>
      </c>
      <c r="N1313" s="61">
        <v>45782</v>
      </c>
      <c r="O1313" s="130">
        <v>45782</v>
      </c>
      <c r="P1313" s="59"/>
      <c r="Q1313" s="124" t="e">
        <f>P1313*#REF!</f>
        <v>#REF!</v>
      </c>
      <c r="R1313" s="126">
        <v>45783</v>
      </c>
      <c r="S1313" s="153">
        <f>IF(L1313="","",L1313-B1313)</f>
        <v>7</v>
      </c>
      <c r="T1313" s="153">
        <f>IF(N1313="","",N1313-L1313)</f>
        <v>0</v>
      </c>
      <c r="U1313" s="153">
        <f>IF(O1313="","",O1313-N1313)</f>
        <v>0</v>
      </c>
      <c r="V1313" s="154">
        <f>IF(O1313="","",O1313-B1313)</f>
        <v>7</v>
      </c>
      <c r="W1313" s="154">
        <f>IF(O1313="","",O1313-L1313)</f>
        <v>0</v>
      </c>
      <c r="X1313" s="154">
        <f>IF(R1313="","",R1313-B1313)</f>
        <v>8</v>
      </c>
    </row>
    <row r="1314" spans="2:24" ht="17.25" hidden="1" customHeight="1">
      <c r="B1314" s="23">
        <v>45775</v>
      </c>
      <c r="C1314" s="7">
        <v>2003666583</v>
      </c>
      <c r="D1314" s="20">
        <v>5900404</v>
      </c>
      <c r="E1314" s="27" t="s">
        <v>185</v>
      </c>
      <c r="F1314" s="7" t="s">
        <v>107</v>
      </c>
      <c r="G1314" s="7" t="s">
        <v>10</v>
      </c>
      <c r="H1314" s="7" t="s">
        <v>45</v>
      </c>
      <c r="I1314" s="20" t="s">
        <v>2117</v>
      </c>
      <c r="J1314" s="20" t="s">
        <v>2118</v>
      </c>
      <c r="K1314" s="7" t="s">
        <v>110</v>
      </c>
      <c r="L1314" s="61">
        <v>45783</v>
      </c>
      <c r="M1314" s="7" t="s">
        <v>111</v>
      </c>
      <c r="N1314" s="61">
        <v>45783</v>
      </c>
      <c r="O1314" s="61">
        <v>45784</v>
      </c>
      <c r="P1314" s="59"/>
      <c r="Q1314" s="124" t="e">
        <f>P1314*#REF!</f>
        <v>#REF!</v>
      </c>
      <c r="R1314" s="126">
        <v>45784</v>
      </c>
      <c r="S1314" s="153">
        <f>IF(L1314="","",L1314-B1314)</f>
        <v>8</v>
      </c>
      <c r="T1314" s="153">
        <f>IF(N1314="","",N1314-L1314)</f>
        <v>0</v>
      </c>
      <c r="U1314" s="153">
        <f>IF(O1314="","",O1314-N1314)</f>
        <v>1</v>
      </c>
      <c r="V1314" s="154">
        <f>IF(O1314="","",O1314-B1314)</f>
        <v>9</v>
      </c>
      <c r="W1314" s="154">
        <f>IF(O1314="","",O1314-L1314)</f>
        <v>1</v>
      </c>
      <c r="X1314" s="154">
        <f>IF(R1314="","",R1314-B1314)</f>
        <v>9</v>
      </c>
    </row>
    <row r="1315" spans="2:24" ht="17.25" hidden="1" customHeight="1">
      <c r="B1315" s="23">
        <v>45775</v>
      </c>
      <c r="C1315" s="7">
        <v>2003553967</v>
      </c>
      <c r="D1315" s="20">
        <v>5900406</v>
      </c>
      <c r="E1315" s="27" t="s">
        <v>201</v>
      </c>
      <c r="F1315" s="7" t="s">
        <v>107</v>
      </c>
      <c r="G1315" s="7" t="s">
        <v>10</v>
      </c>
      <c r="H1315" s="7" t="s">
        <v>45</v>
      </c>
      <c r="I1315" s="20" t="s">
        <v>965</v>
      </c>
      <c r="J1315" s="20" t="s">
        <v>2119</v>
      </c>
      <c r="K1315" s="7" t="s">
        <v>119</v>
      </c>
      <c r="L1315" s="61">
        <v>45779</v>
      </c>
      <c r="M1315" s="7" t="s">
        <v>111</v>
      </c>
      <c r="N1315" s="61">
        <v>45782</v>
      </c>
      <c r="O1315" s="23">
        <v>45783</v>
      </c>
      <c r="P1315" s="59"/>
      <c r="Q1315" s="124" t="e">
        <f>P1315*#REF!</f>
        <v>#REF!</v>
      </c>
      <c r="R1315" s="126">
        <v>45783</v>
      </c>
      <c r="S1315" s="153">
        <f>IF(L1315="","",L1315-B1315)</f>
        <v>4</v>
      </c>
      <c r="T1315" s="153">
        <f>IF(N1315="","",N1315-L1315)</f>
        <v>3</v>
      </c>
      <c r="U1315" s="153">
        <f>IF(O1315="","",O1315-N1315)</f>
        <v>1</v>
      </c>
      <c r="V1315" s="154">
        <f>IF(O1315="","",O1315-B1315)</f>
        <v>8</v>
      </c>
      <c r="W1315" s="154">
        <f>IF(O1315="","",O1315-L1315)</f>
        <v>4</v>
      </c>
      <c r="X1315" s="154">
        <f>IF(R1315="","",R1315-B1315)</f>
        <v>8</v>
      </c>
    </row>
    <row r="1316" spans="2:24" ht="17.25" hidden="1" customHeight="1">
      <c r="B1316" s="23">
        <v>45775</v>
      </c>
      <c r="C1316" s="7">
        <v>2003667876</v>
      </c>
      <c r="D1316" s="20">
        <v>5900428</v>
      </c>
      <c r="E1316" s="27" t="s">
        <v>185</v>
      </c>
      <c r="F1316" s="7" t="s">
        <v>107</v>
      </c>
      <c r="G1316" s="7" t="s">
        <v>26</v>
      </c>
      <c r="H1316" s="7" t="s">
        <v>45</v>
      </c>
      <c r="I1316" s="20" t="s">
        <v>618</v>
      </c>
      <c r="J1316" s="20" t="s">
        <v>2120</v>
      </c>
      <c r="K1316" s="7" t="s">
        <v>119</v>
      </c>
      <c r="L1316" s="61">
        <v>45789</v>
      </c>
      <c r="M1316" s="7" t="s">
        <v>111</v>
      </c>
      <c r="N1316" s="24">
        <v>45790</v>
      </c>
      <c r="O1316" s="23">
        <v>45790</v>
      </c>
      <c r="P1316" s="59"/>
      <c r="Q1316" s="124" t="e">
        <f>P1316*#REF!</f>
        <v>#REF!</v>
      </c>
      <c r="R1316" s="126">
        <v>45790</v>
      </c>
      <c r="S1316" s="153">
        <f>IF(L1316="","",L1316-B1316)</f>
        <v>14</v>
      </c>
      <c r="T1316" s="153">
        <f>IF(N1316="","",N1316-L1316)</f>
        <v>1</v>
      </c>
      <c r="U1316" s="153">
        <f>IF(O1316="","",O1316-N1316)</f>
        <v>0</v>
      </c>
      <c r="V1316" s="154">
        <f>IF(O1316="","",O1316-B1316)</f>
        <v>15</v>
      </c>
      <c r="W1316" s="154">
        <f>IF(O1316="","",O1316-L1316)</f>
        <v>1</v>
      </c>
      <c r="X1316" s="154">
        <f>IF(R1316="","",R1316-B1316)</f>
        <v>15</v>
      </c>
    </row>
    <row r="1317" spans="2:24" ht="17.25" hidden="1" customHeight="1">
      <c r="B1317" s="23">
        <v>45775</v>
      </c>
      <c r="C1317" s="7">
        <v>2003664893</v>
      </c>
      <c r="D1317" s="20">
        <v>5900449</v>
      </c>
      <c r="E1317" s="27" t="s">
        <v>106</v>
      </c>
      <c r="F1317" s="7" t="s">
        <v>107</v>
      </c>
      <c r="G1317" s="7" t="s">
        <v>10</v>
      </c>
      <c r="H1317" s="7" t="s">
        <v>45</v>
      </c>
      <c r="I1317" s="20" t="s">
        <v>1113</v>
      </c>
      <c r="J1317" s="20" t="s">
        <v>2121</v>
      </c>
      <c r="K1317" s="7" t="s">
        <v>110</v>
      </c>
      <c r="L1317" s="61">
        <v>45783</v>
      </c>
      <c r="M1317" s="7" t="s">
        <v>111</v>
      </c>
      <c r="N1317" s="24">
        <v>45785</v>
      </c>
      <c r="O1317" s="24">
        <v>45785</v>
      </c>
      <c r="P1317" s="59"/>
      <c r="Q1317" s="124" t="e">
        <f>P1317*#REF!</f>
        <v>#REF!</v>
      </c>
      <c r="R1317" s="126">
        <v>45786</v>
      </c>
      <c r="S1317" s="153">
        <f>IF(L1317="","",L1317-B1317)</f>
        <v>8</v>
      </c>
      <c r="T1317" s="153">
        <f>IF(N1317="","",N1317-L1317)</f>
        <v>2</v>
      </c>
      <c r="U1317" s="153">
        <f>IF(O1317="","",O1317-N1317)</f>
        <v>0</v>
      </c>
      <c r="V1317" s="154">
        <f>IF(O1317="","",O1317-B1317)</f>
        <v>10</v>
      </c>
      <c r="W1317" s="154">
        <f>IF(O1317="","",O1317-L1317)</f>
        <v>2</v>
      </c>
      <c r="X1317" s="154">
        <f>IF(R1317="","",R1317-B1317)</f>
        <v>11</v>
      </c>
    </row>
    <row r="1318" spans="2:24" ht="17.25" hidden="1" customHeight="1">
      <c r="B1318" s="23">
        <v>45775</v>
      </c>
      <c r="C1318" s="7">
        <v>2003667444</v>
      </c>
      <c r="D1318" s="20">
        <v>5900462</v>
      </c>
      <c r="E1318" s="27" t="s">
        <v>185</v>
      </c>
      <c r="F1318" s="7" t="s">
        <v>107</v>
      </c>
      <c r="G1318" s="7" t="s">
        <v>10</v>
      </c>
      <c r="H1318" s="7" t="s">
        <v>45</v>
      </c>
      <c r="I1318" s="20" t="s">
        <v>2122</v>
      </c>
      <c r="J1318" s="20" t="s">
        <v>2123</v>
      </c>
      <c r="K1318" s="7" t="s">
        <v>110</v>
      </c>
      <c r="L1318" s="61">
        <v>45782</v>
      </c>
      <c r="M1318" s="7" t="s">
        <v>111</v>
      </c>
      <c r="N1318" s="24">
        <v>45783</v>
      </c>
      <c r="O1318" s="24">
        <v>45783</v>
      </c>
      <c r="P1318" s="59"/>
      <c r="Q1318" s="124" t="e">
        <f>P1318*#REF!</f>
        <v>#REF!</v>
      </c>
      <c r="R1318" s="126">
        <v>45783</v>
      </c>
      <c r="S1318" s="153">
        <f>IF(L1318="","",L1318-B1318)</f>
        <v>7</v>
      </c>
      <c r="T1318" s="153">
        <f>IF(N1318="","",N1318-L1318)</f>
        <v>1</v>
      </c>
      <c r="U1318" s="153">
        <f>IF(O1318="","",O1318-N1318)</f>
        <v>0</v>
      </c>
      <c r="V1318" s="154">
        <f>IF(O1318="","",O1318-B1318)</f>
        <v>8</v>
      </c>
      <c r="W1318" s="154">
        <f>IF(O1318="","",O1318-L1318)</f>
        <v>1</v>
      </c>
      <c r="X1318" s="154">
        <f>IF(R1318="","",R1318-B1318)</f>
        <v>8</v>
      </c>
    </row>
    <row r="1319" spans="2:24" ht="17.25" hidden="1" customHeight="1">
      <c r="B1319" s="23">
        <v>45775</v>
      </c>
      <c r="C1319" s="7">
        <v>2003667665</v>
      </c>
      <c r="D1319" s="20">
        <v>5900474</v>
      </c>
      <c r="E1319" s="27" t="s">
        <v>198</v>
      </c>
      <c r="F1319" s="7" t="s">
        <v>107</v>
      </c>
      <c r="G1319" s="7" t="s">
        <v>10</v>
      </c>
      <c r="H1319" s="7" t="s">
        <v>45</v>
      </c>
      <c r="I1319" s="20" t="s">
        <v>247</v>
      </c>
      <c r="J1319" s="20" t="s">
        <v>2124</v>
      </c>
      <c r="K1319" s="7" t="s">
        <v>119</v>
      </c>
      <c r="L1319" s="61">
        <v>45777</v>
      </c>
      <c r="M1319" s="7" t="s">
        <v>111</v>
      </c>
      <c r="N1319" s="24">
        <v>45778</v>
      </c>
      <c r="O1319" s="24">
        <v>45778</v>
      </c>
      <c r="P1319" s="59"/>
      <c r="Q1319" s="124" t="e">
        <f>P1319*#REF!</f>
        <v>#REF!</v>
      </c>
      <c r="R1319" s="126">
        <v>45782</v>
      </c>
      <c r="S1319" s="153">
        <f>IF(L1319="","",L1319-B1319)</f>
        <v>2</v>
      </c>
      <c r="T1319" s="153">
        <f>IF(N1319="","",N1319-L1319)</f>
        <v>1</v>
      </c>
      <c r="U1319" s="153">
        <f>IF(O1319="","",O1319-N1319)</f>
        <v>0</v>
      </c>
      <c r="V1319" s="154">
        <f>IF(O1319="","",O1319-B1319)</f>
        <v>3</v>
      </c>
      <c r="W1319" s="154">
        <f>IF(O1319="","",O1319-L1319)</f>
        <v>1</v>
      </c>
      <c r="X1319" s="154">
        <f>IF(R1319="","",R1319-B1319)</f>
        <v>7</v>
      </c>
    </row>
    <row r="1320" spans="2:24" ht="17.25" hidden="1" customHeight="1">
      <c r="B1320" s="23">
        <v>45775</v>
      </c>
      <c r="C1320" s="7">
        <v>2003666707</v>
      </c>
      <c r="D1320" s="20">
        <v>5900475</v>
      </c>
      <c r="E1320" s="27" t="s">
        <v>185</v>
      </c>
      <c r="F1320" s="7" t="s">
        <v>107</v>
      </c>
      <c r="G1320" s="7" t="s">
        <v>18</v>
      </c>
      <c r="H1320" s="7" t="s">
        <v>45</v>
      </c>
      <c r="I1320" s="20" t="s">
        <v>2125</v>
      </c>
      <c r="J1320" s="20" t="s">
        <v>2126</v>
      </c>
      <c r="K1320" s="7" t="s">
        <v>110</v>
      </c>
      <c r="L1320" s="61">
        <v>45777</v>
      </c>
      <c r="M1320" s="7" t="s">
        <v>111</v>
      </c>
      <c r="N1320" s="61">
        <v>45777</v>
      </c>
      <c r="O1320" s="58">
        <v>45783</v>
      </c>
      <c r="P1320" s="59"/>
      <c r="Q1320" s="124" t="e">
        <f>P1320*#REF!</f>
        <v>#REF!</v>
      </c>
      <c r="R1320" s="126">
        <v>45783</v>
      </c>
      <c r="S1320" s="153">
        <f>IF(L1320="","",L1320-B1320)</f>
        <v>2</v>
      </c>
      <c r="T1320" s="153">
        <f>IF(N1320="","",N1320-L1320)</f>
        <v>0</v>
      </c>
      <c r="U1320" s="153">
        <f>IF(O1320="","",O1320-N1320)</f>
        <v>6</v>
      </c>
      <c r="V1320" s="154">
        <f>IF(O1320="","",O1320-B1320)</f>
        <v>8</v>
      </c>
      <c r="W1320" s="154">
        <f>IF(O1320="","",O1320-L1320)</f>
        <v>6</v>
      </c>
      <c r="X1320" s="154">
        <f>IF(R1320="","",R1320-B1320)</f>
        <v>8</v>
      </c>
    </row>
    <row r="1321" spans="2:24" ht="17.25" hidden="1" customHeight="1">
      <c r="B1321" s="23">
        <v>45775</v>
      </c>
      <c r="C1321" s="7">
        <v>2003674750</v>
      </c>
      <c r="D1321" s="20">
        <v>5900481</v>
      </c>
      <c r="E1321" s="27" t="s">
        <v>201</v>
      </c>
      <c r="F1321" s="7" t="s">
        <v>107</v>
      </c>
      <c r="G1321" s="7" t="s">
        <v>26</v>
      </c>
      <c r="H1321" s="7" t="s">
        <v>45</v>
      </c>
      <c r="I1321" s="20" t="s">
        <v>928</v>
      </c>
      <c r="J1321" s="20" t="s">
        <v>2127</v>
      </c>
      <c r="K1321" s="7" t="s">
        <v>119</v>
      </c>
      <c r="L1321" s="61">
        <v>45782</v>
      </c>
      <c r="M1321" s="7" t="s">
        <v>111</v>
      </c>
      <c r="N1321" s="24">
        <v>45782</v>
      </c>
      <c r="O1321" s="23">
        <v>45782</v>
      </c>
      <c r="P1321" s="59"/>
      <c r="Q1321" s="124" t="e">
        <f>P1321*#REF!</f>
        <v>#REF!</v>
      </c>
      <c r="R1321" s="126">
        <v>45782</v>
      </c>
      <c r="S1321" s="153">
        <f>IF(L1321="","",L1321-B1321)</f>
        <v>7</v>
      </c>
      <c r="T1321" s="153">
        <f>IF(N1321="","",N1321-L1321)</f>
        <v>0</v>
      </c>
      <c r="U1321" s="153">
        <f>IF(O1321="","",O1321-N1321)</f>
        <v>0</v>
      </c>
      <c r="V1321" s="154">
        <f>IF(O1321="","",O1321-B1321)</f>
        <v>7</v>
      </c>
      <c r="W1321" s="154">
        <f>IF(O1321="","",O1321-L1321)</f>
        <v>0</v>
      </c>
      <c r="X1321" s="154">
        <f>IF(R1321="","",R1321-B1321)</f>
        <v>7</v>
      </c>
    </row>
    <row r="1322" spans="2:24" ht="17.25" hidden="1" customHeight="1">
      <c r="B1322" s="23">
        <v>45775</v>
      </c>
      <c r="C1322" s="7">
        <v>2003671315</v>
      </c>
      <c r="D1322" s="20">
        <v>5900521</v>
      </c>
      <c r="E1322" s="27" t="s">
        <v>185</v>
      </c>
      <c r="F1322" s="7" t="s">
        <v>107</v>
      </c>
      <c r="G1322" s="7" t="s">
        <v>10</v>
      </c>
      <c r="H1322" s="7" t="s">
        <v>45</v>
      </c>
      <c r="I1322" s="20" t="s">
        <v>544</v>
      </c>
      <c r="J1322" s="20" t="s">
        <v>545</v>
      </c>
      <c r="K1322" s="7" t="s">
        <v>110</v>
      </c>
      <c r="L1322" s="61">
        <v>45777</v>
      </c>
      <c r="M1322" s="7" t="s">
        <v>111</v>
      </c>
      <c r="N1322" s="61">
        <v>45777</v>
      </c>
      <c r="O1322" s="23">
        <v>45783</v>
      </c>
      <c r="P1322" s="59"/>
      <c r="Q1322" s="124" t="e">
        <f>P1322*#REF!</f>
        <v>#REF!</v>
      </c>
      <c r="R1322" s="126">
        <v>45783</v>
      </c>
      <c r="S1322" s="153">
        <f>IF(L1322="","",L1322-B1322)</f>
        <v>2</v>
      </c>
      <c r="T1322" s="153">
        <f>IF(N1322="","",N1322-L1322)</f>
        <v>0</v>
      </c>
      <c r="U1322" s="153">
        <f>IF(O1322="","",O1322-N1322)</f>
        <v>6</v>
      </c>
      <c r="V1322" s="154">
        <f>IF(O1322="","",O1322-B1322)</f>
        <v>8</v>
      </c>
      <c r="W1322" s="154">
        <f>IF(O1322="","",O1322-L1322)</f>
        <v>6</v>
      </c>
      <c r="X1322" s="154">
        <f>IF(R1322="","",R1322-B1322)</f>
        <v>8</v>
      </c>
    </row>
    <row r="1323" spans="2:24" ht="17.25" hidden="1" customHeight="1">
      <c r="B1323" s="23">
        <v>45775</v>
      </c>
      <c r="C1323" s="7">
        <v>2003650560</v>
      </c>
      <c r="D1323" s="20">
        <v>5900523</v>
      </c>
      <c r="E1323" s="27" t="s">
        <v>138</v>
      </c>
      <c r="F1323" s="7" t="s">
        <v>107</v>
      </c>
      <c r="G1323" s="7" t="s">
        <v>10</v>
      </c>
      <c r="H1323" s="7" t="s">
        <v>45</v>
      </c>
      <c r="I1323" s="20" t="s">
        <v>1038</v>
      </c>
      <c r="J1323" s="20" t="s">
        <v>2128</v>
      </c>
      <c r="K1323" s="7" t="s">
        <v>119</v>
      </c>
      <c r="L1323" s="61">
        <v>45777</v>
      </c>
      <c r="M1323" s="7" t="s">
        <v>111</v>
      </c>
      <c r="N1323" s="24">
        <v>45782</v>
      </c>
      <c r="O1323" s="106">
        <v>45782</v>
      </c>
      <c r="P1323" s="59"/>
      <c r="Q1323" s="124" t="e">
        <f>P1323*#REF!</f>
        <v>#REF!</v>
      </c>
      <c r="R1323" s="126">
        <v>45782</v>
      </c>
      <c r="S1323" s="153">
        <f>IF(L1323="","",L1323-B1323)</f>
        <v>2</v>
      </c>
      <c r="T1323" s="153">
        <f>IF(N1323="","",N1323-L1323)</f>
        <v>5</v>
      </c>
      <c r="U1323" s="153">
        <f>IF(O1323="","",O1323-N1323)</f>
        <v>0</v>
      </c>
      <c r="V1323" s="154">
        <f>IF(O1323="","",O1323-B1323)</f>
        <v>7</v>
      </c>
      <c r="W1323" s="154">
        <f>IF(O1323="","",O1323-L1323)</f>
        <v>5</v>
      </c>
      <c r="X1323" s="154">
        <f>IF(R1323="","",R1323-B1323)</f>
        <v>7</v>
      </c>
    </row>
    <row r="1324" spans="2:24" ht="17.25" hidden="1" customHeight="1">
      <c r="B1324" s="23">
        <v>45775</v>
      </c>
      <c r="C1324" s="7">
        <v>2003674344</v>
      </c>
      <c r="D1324" s="20">
        <v>5900538</v>
      </c>
      <c r="E1324" s="27" t="s">
        <v>258</v>
      </c>
      <c r="F1324" s="7" t="s">
        <v>107</v>
      </c>
      <c r="G1324" s="7" t="s">
        <v>26</v>
      </c>
      <c r="H1324" s="7" t="s">
        <v>45</v>
      </c>
      <c r="I1324" s="20" t="s">
        <v>2129</v>
      </c>
      <c r="J1324" s="20" t="s">
        <v>2130</v>
      </c>
      <c r="K1324" s="7" t="s">
        <v>119</v>
      </c>
      <c r="L1324" s="61">
        <v>45782</v>
      </c>
      <c r="M1324" s="7" t="s">
        <v>111</v>
      </c>
      <c r="N1324" s="24">
        <v>45782</v>
      </c>
      <c r="O1324" s="58">
        <v>45782</v>
      </c>
      <c r="P1324" s="59"/>
      <c r="Q1324" s="124" t="e">
        <f>P1324*#REF!</f>
        <v>#REF!</v>
      </c>
      <c r="R1324" s="126">
        <v>45782</v>
      </c>
      <c r="S1324" s="153">
        <f>IF(L1324="","",L1324-B1324)</f>
        <v>7</v>
      </c>
      <c r="T1324" s="153">
        <f>IF(N1324="","",N1324-L1324)</f>
        <v>0</v>
      </c>
      <c r="U1324" s="153">
        <f>IF(O1324="","",O1324-N1324)</f>
        <v>0</v>
      </c>
      <c r="V1324" s="154">
        <f>IF(O1324="","",O1324-B1324)</f>
        <v>7</v>
      </c>
      <c r="W1324" s="154">
        <f>IF(O1324="","",O1324-L1324)</f>
        <v>0</v>
      </c>
      <c r="X1324" s="154">
        <f>IF(R1324="","",R1324-B1324)</f>
        <v>7</v>
      </c>
    </row>
    <row r="1325" spans="2:24" ht="17.25" hidden="1" customHeight="1">
      <c r="B1325" s="23">
        <v>45775</v>
      </c>
      <c r="C1325" s="7">
        <v>2003667403</v>
      </c>
      <c r="D1325" s="20">
        <v>5900542</v>
      </c>
      <c r="E1325" s="27" t="s">
        <v>123</v>
      </c>
      <c r="F1325" s="7" t="s">
        <v>107</v>
      </c>
      <c r="G1325" s="7" t="s">
        <v>18</v>
      </c>
      <c r="H1325" s="7" t="s">
        <v>45</v>
      </c>
      <c r="I1325" s="20" t="s">
        <v>2131</v>
      </c>
      <c r="J1325" s="20" t="s">
        <v>2132</v>
      </c>
      <c r="K1325" s="7" t="s">
        <v>122</v>
      </c>
      <c r="L1325" s="61">
        <v>45777</v>
      </c>
      <c r="M1325" s="7" t="s">
        <v>111</v>
      </c>
      <c r="N1325" s="24">
        <v>45778</v>
      </c>
      <c r="O1325" s="24">
        <v>45778</v>
      </c>
      <c r="P1325" s="59"/>
      <c r="Q1325" s="124" t="e">
        <f>P1325*#REF!</f>
        <v>#REF!</v>
      </c>
      <c r="R1325" s="126">
        <v>45782</v>
      </c>
      <c r="S1325" s="153">
        <f>IF(L1325="","",L1325-B1325)</f>
        <v>2</v>
      </c>
      <c r="T1325" s="153">
        <f>IF(N1325="","",N1325-L1325)</f>
        <v>1</v>
      </c>
      <c r="U1325" s="153">
        <f>IF(O1325="","",O1325-N1325)</f>
        <v>0</v>
      </c>
      <c r="V1325" s="154">
        <f>IF(O1325="","",O1325-B1325)</f>
        <v>3</v>
      </c>
      <c r="W1325" s="154">
        <f>IF(O1325="","",O1325-L1325)</f>
        <v>1</v>
      </c>
      <c r="X1325" s="154">
        <f>IF(R1325="","",R1325-B1325)</f>
        <v>7</v>
      </c>
    </row>
    <row r="1326" spans="2:24" ht="17.25" hidden="1" customHeight="1">
      <c r="B1326" s="23">
        <v>45775</v>
      </c>
      <c r="C1326" s="7">
        <v>2003670313</v>
      </c>
      <c r="D1326" s="20">
        <v>5900543</v>
      </c>
      <c r="E1326" s="27" t="s">
        <v>185</v>
      </c>
      <c r="F1326" s="7" t="s">
        <v>107</v>
      </c>
      <c r="G1326" s="7" t="s">
        <v>10</v>
      </c>
      <c r="H1326" s="7" t="s">
        <v>45</v>
      </c>
      <c r="I1326" s="20" t="s">
        <v>1127</v>
      </c>
      <c r="J1326" s="20" t="s">
        <v>2133</v>
      </c>
      <c r="K1326" s="7" t="s">
        <v>119</v>
      </c>
      <c r="L1326" s="61">
        <v>45783</v>
      </c>
      <c r="M1326" s="7" t="s">
        <v>111</v>
      </c>
      <c r="N1326" s="61">
        <v>45783</v>
      </c>
      <c r="O1326" s="130">
        <v>45783</v>
      </c>
      <c r="P1326" s="59"/>
      <c r="Q1326" s="124" t="e">
        <f>P1326*#REF!</f>
        <v>#REF!</v>
      </c>
      <c r="R1326" s="126">
        <v>45783</v>
      </c>
      <c r="S1326" s="153">
        <f>IF(L1326="","",L1326-B1326)</f>
        <v>8</v>
      </c>
      <c r="T1326" s="153">
        <f>IF(N1326="","",N1326-L1326)</f>
        <v>0</v>
      </c>
      <c r="U1326" s="153">
        <f>IF(O1326="","",O1326-N1326)</f>
        <v>0</v>
      </c>
      <c r="V1326" s="154">
        <f>IF(O1326="","",O1326-B1326)</f>
        <v>8</v>
      </c>
      <c r="W1326" s="154">
        <f>IF(O1326="","",O1326-L1326)</f>
        <v>0</v>
      </c>
      <c r="X1326" s="154">
        <f>IF(R1326="","",R1326-B1326)</f>
        <v>8</v>
      </c>
    </row>
    <row r="1327" spans="2:24" ht="17.25" hidden="1" customHeight="1">
      <c r="B1327" s="23">
        <v>45775</v>
      </c>
      <c r="C1327" s="7">
        <v>2003672120</v>
      </c>
      <c r="D1327" s="20">
        <v>5900574</v>
      </c>
      <c r="E1327" s="27" t="s">
        <v>116</v>
      </c>
      <c r="F1327" s="7" t="s">
        <v>107</v>
      </c>
      <c r="G1327" s="7" t="s">
        <v>10</v>
      </c>
      <c r="H1327" s="7" t="s">
        <v>45</v>
      </c>
      <c r="I1327" s="20" t="s">
        <v>2134</v>
      </c>
      <c r="J1327" s="20" t="s">
        <v>2135</v>
      </c>
      <c r="K1327" s="7" t="s">
        <v>119</v>
      </c>
      <c r="L1327" s="61">
        <v>45783</v>
      </c>
      <c r="M1327" s="7" t="s">
        <v>111</v>
      </c>
      <c r="N1327" s="24">
        <v>45789</v>
      </c>
      <c r="O1327" s="24">
        <v>45789</v>
      </c>
      <c r="P1327" s="59"/>
      <c r="Q1327" s="124" t="e">
        <f>P1327*#REF!</f>
        <v>#REF!</v>
      </c>
      <c r="R1327" s="126">
        <v>45789</v>
      </c>
      <c r="S1327" s="153">
        <f>IF(L1327="","",L1327-B1327)</f>
        <v>8</v>
      </c>
      <c r="T1327" s="153">
        <f>IF(N1327="","",N1327-L1327)</f>
        <v>6</v>
      </c>
      <c r="U1327" s="153">
        <f>IF(O1327="","",O1327-N1327)</f>
        <v>0</v>
      </c>
      <c r="V1327" s="154">
        <f>IF(O1327="","",O1327-B1327)</f>
        <v>14</v>
      </c>
      <c r="W1327" s="154">
        <f>IF(O1327="","",O1327-L1327)</f>
        <v>6</v>
      </c>
      <c r="X1327" s="154">
        <f>IF(R1327="","",R1327-B1327)</f>
        <v>14</v>
      </c>
    </row>
    <row r="1328" spans="2:24" ht="17.25" hidden="1" customHeight="1">
      <c r="B1328" s="23">
        <v>45776</v>
      </c>
      <c r="C1328" s="7">
        <v>2003674317</v>
      </c>
      <c r="D1328" s="20">
        <v>5900859</v>
      </c>
      <c r="E1328" s="27" t="s">
        <v>116</v>
      </c>
      <c r="F1328" s="7" t="s">
        <v>107</v>
      </c>
      <c r="G1328" s="7" t="s">
        <v>10</v>
      </c>
      <c r="H1328" s="7" t="s">
        <v>45</v>
      </c>
      <c r="I1328" s="20" t="s">
        <v>2136</v>
      </c>
      <c r="J1328" s="20" t="s">
        <v>2137</v>
      </c>
      <c r="K1328" s="7" t="s">
        <v>119</v>
      </c>
      <c r="L1328" s="61">
        <v>45783</v>
      </c>
      <c r="M1328" s="7" t="s">
        <v>111</v>
      </c>
      <c r="N1328" s="24">
        <v>45785</v>
      </c>
      <c r="O1328" s="106">
        <v>45791</v>
      </c>
      <c r="P1328" s="59"/>
      <c r="Q1328" s="124" t="e">
        <f>P1328*#REF!</f>
        <v>#REF!</v>
      </c>
      <c r="R1328" s="126">
        <v>45792</v>
      </c>
      <c r="S1328" s="153">
        <f>IF(L1328="","",L1328-B1328)</f>
        <v>7</v>
      </c>
      <c r="T1328" s="153">
        <f>IF(N1328="","",N1328-L1328)</f>
        <v>2</v>
      </c>
      <c r="U1328" s="153">
        <f>IF(O1328="","",O1328-N1328)</f>
        <v>6</v>
      </c>
      <c r="V1328" s="154">
        <f>IF(O1328="","",O1328-B1328)</f>
        <v>15</v>
      </c>
      <c r="W1328" s="154">
        <f>IF(O1328="","",O1328-L1328)</f>
        <v>8</v>
      </c>
      <c r="X1328" s="154">
        <f>IF(R1328="","",R1328-B1328)</f>
        <v>16</v>
      </c>
    </row>
    <row r="1329" spans="2:32" ht="17.25" hidden="1" customHeight="1">
      <c r="B1329" s="23">
        <v>45776</v>
      </c>
      <c r="C1329" s="7">
        <v>2003670585</v>
      </c>
      <c r="D1329" s="20">
        <v>5900946</v>
      </c>
      <c r="E1329" s="27" t="s">
        <v>949</v>
      </c>
      <c r="F1329" s="7" t="s">
        <v>107</v>
      </c>
      <c r="G1329" s="7" t="s">
        <v>10</v>
      </c>
      <c r="H1329" s="7" t="s">
        <v>45</v>
      </c>
      <c r="I1329" s="20" t="s">
        <v>2138</v>
      </c>
      <c r="J1329" s="20" t="s">
        <v>2139</v>
      </c>
      <c r="K1329" s="7" t="s">
        <v>110</v>
      </c>
      <c r="L1329" s="61">
        <v>45782</v>
      </c>
      <c r="M1329" s="7" t="s">
        <v>111</v>
      </c>
      <c r="N1329" s="61">
        <v>45782</v>
      </c>
      <c r="O1329" s="61">
        <v>45782</v>
      </c>
      <c r="P1329" s="59"/>
      <c r="Q1329" s="124" t="e">
        <f>P1329*#REF!</f>
        <v>#REF!</v>
      </c>
      <c r="R1329" s="126">
        <v>45783</v>
      </c>
      <c r="S1329" s="153">
        <f>IF(L1329="","",L1329-B1329)</f>
        <v>6</v>
      </c>
      <c r="T1329" s="153">
        <f>IF(N1329="","",N1329-L1329)</f>
        <v>0</v>
      </c>
      <c r="U1329" s="153">
        <f>IF(O1329="","",O1329-N1329)</f>
        <v>0</v>
      </c>
      <c r="V1329" s="154">
        <f>IF(O1329="","",O1329-B1329)</f>
        <v>6</v>
      </c>
      <c r="W1329" s="154">
        <f>IF(O1329="","",O1329-L1329)</f>
        <v>0</v>
      </c>
      <c r="X1329" s="154">
        <f>IF(R1329="","",R1329-B1329)</f>
        <v>7</v>
      </c>
    </row>
    <row r="1330" spans="2:32" ht="17.25" hidden="1" customHeight="1">
      <c r="B1330" s="23">
        <v>45776</v>
      </c>
      <c r="C1330" s="7">
        <v>2003671465</v>
      </c>
      <c r="D1330" s="20">
        <v>5900991</v>
      </c>
      <c r="E1330" s="27" t="s">
        <v>408</v>
      </c>
      <c r="F1330" s="7" t="s">
        <v>107</v>
      </c>
      <c r="G1330" s="7" t="s">
        <v>10</v>
      </c>
      <c r="H1330" s="7" t="s">
        <v>45</v>
      </c>
      <c r="I1330" s="20" t="s">
        <v>2140</v>
      </c>
      <c r="J1330" s="20" t="s">
        <v>2141</v>
      </c>
      <c r="K1330" s="7" t="s">
        <v>119</v>
      </c>
      <c r="L1330" s="61">
        <v>45782</v>
      </c>
      <c r="M1330" s="7" t="s">
        <v>111</v>
      </c>
      <c r="N1330" s="61">
        <v>45782</v>
      </c>
      <c r="O1330" s="61">
        <v>45782</v>
      </c>
      <c r="P1330" s="59"/>
      <c r="Q1330" s="124" t="e">
        <f>P1330*#REF!</f>
        <v>#REF!</v>
      </c>
      <c r="R1330" s="126">
        <v>45783</v>
      </c>
      <c r="S1330" s="153">
        <f>IF(L1330="","",L1330-B1330)</f>
        <v>6</v>
      </c>
      <c r="T1330" s="153">
        <f>IF(N1330="","",N1330-L1330)</f>
        <v>0</v>
      </c>
      <c r="U1330" s="153">
        <f>IF(O1330="","",O1330-N1330)</f>
        <v>0</v>
      </c>
      <c r="V1330" s="154">
        <f>IF(O1330="","",O1330-B1330)</f>
        <v>6</v>
      </c>
      <c r="W1330" s="154">
        <f>IF(O1330="","",O1330-L1330)</f>
        <v>0</v>
      </c>
      <c r="X1330" s="154">
        <f>IF(R1330="","",R1330-B1330)</f>
        <v>7</v>
      </c>
    </row>
    <row r="1331" spans="2:32" ht="17.25" hidden="1" customHeight="1">
      <c r="B1331" s="23">
        <v>45776</v>
      </c>
      <c r="C1331" s="7">
        <v>2003667292</v>
      </c>
      <c r="D1331" s="20">
        <v>5901105</v>
      </c>
      <c r="E1331" s="27" t="s">
        <v>198</v>
      </c>
      <c r="F1331" s="7" t="s">
        <v>107</v>
      </c>
      <c r="G1331" s="7" t="s">
        <v>18</v>
      </c>
      <c r="H1331" s="7" t="s">
        <v>45</v>
      </c>
      <c r="I1331" s="20" t="s">
        <v>2142</v>
      </c>
      <c r="J1331" s="20" t="s">
        <v>2143</v>
      </c>
      <c r="K1331" s="7" t="s">
        <v>122</v>
      </c>
      <c r="L1331" s="61">
        <v>45782</v>
      </c>
      <c r="M1331" s="7" t="s">
        <v>111</v>
      </c>
      <c r="N1331" s="24">
        <v>45783</v>
      </c>
      <c r="O1331" s="24">
        <v>45783</v>
      </c>
      <c r="P1331" s="59"/>
      <c r="Q1331" s="124" t="e">
        <f>P1331*#REF!</f>
        <v>#REF!</v>
      </c>
      <c r="R1331" s="126">
        <v>45783</v>
      </c>
      <c r="S1331" s="153">
        <f>IF(L1331="","",L1331-B1331)</f>
        <v>6</v>
      </c>
      <c r="T1331" s="153">
        <f>IF(N1331="","",N1331-L1331)</f>
        <v>1</v>
      </c>
      <c r="U1331" s="153">
        <f>IF(O1331="","",O1331-N1331)</f>
        <v>0</v>
      </c>
      <c r="V1331" s="154">
        <f>IF(O1331="","",O1331-B1331)</f>
        <v>7</v>
      </c>
      <c r="W1331" s="154">
        <f>IF(O1331="","",O1331-L1331)</f>
        <v>1</v>
      </c>
      <c r="X1331" s="154">
        <f>IF(R1331="","",R1331-B1331)</f>
        <v>7</v>
      </c>
    </row>
    <row r="1332" spans="2:32" ht="17.25" hidden="1" customHeight="1">
      <c r="B1332" s="23">
        <v>45776</v>
      </c>
      <c r="C1332" s="7">
        <v>2003525892</v>
      </c>
      <c r="D1332" s="20">
        <v>5901117</v>
      </c>
      <c r="E1332" s="27" t="s">
        <v>191</v>
      </c>
      <c r="F1332" s="7" t="s">
        <v>107</v>
      </c>
      <c r="G1332" s="7" t="s">
        <v>18</v>
      </c>
      <c r="H1332" s="7" t="s">
        <v>45</v>
      </c>
      <c r="I1332" s="20" t="s">
        <v>2144</v>
      </c>
      <c r="J1332" s="20" t="s">
        <v>2145</v>
      </c>
      <c r="K1332" s="7" t="s">
        <v>119</v>
      </c>
      <c r="L1332" s="61">
        <v>45782</v>
      </c>
      <c r="M1332" s="7" t="s">
        <v>111</v>
      </c>
      <c r="N1332" s="24">
        <v>45783</v>
      </c>
      <c r="O1332" s="23">
        <v>45789</v>
      </c>
      <c r="P1332" s="59"/>
      <c r="Q1332" s="124" t="e">
        <f>P1332*#REF!</f>
        <v>#REF!</v>
      </c>
      <c r="R1332" s="126">
        <v>45789</v>
      </c>
      <c r="S1332" s="153">
        <f>IF(L1332="","",L1332-B1332)</f>
        <v>6</v>
      </c>
      <c r="T1332" s="153">
        <f>IF(N1332="","",N1332-L1332)</f>
        <v>1</v>
      </c>
      <c r="U1332" s="153">
        <f>IF(O1332="","",O1332-N1332)</f>
        <v>6</v>
      </c>
      <c r="V1332" s="154">
        <f>IF(O1332="","",O1332-B1332)</f>
        <v>13</v>
      </c>
      <c r="W1332" s="154">
        <f>IF(O1332="","",O1332-L1332)</f>
        <v>7</v>
      </c>
      <c r="X1332" s="154">
        <f>IF(R1332="","",R1332-B1332)</f>
        <v>13</v>
      </c>
    </row>
    <row r="1333" spans="2:32" s="128" customFormat="1" ht="17.25" hidden="1" customHeight="1">
      <c r="B1333" s="23">
        <v>45776</v>
      </c>
      <c r="C1333" s="7">
        <v>2003666995</v>
      </c>
      <c r="D1333" s="20">
        <v>5901183</v>
      </c>
      <c r="E1333" s="27" t="s">
        <v>185</v>
      </c>
      <c r="F1333" s="7" t="s">
        <v>107</v>
      </c>
      <c r="G1333" s="7" t="s">
        <v>26</v>
      </c>
      <c r="H1333" s="7" t="s">
        <v>45</v>
      </c>
      <c r="I1333" s="20" t="s">
        <v>1127</v>
      </c>
      <c r="J1333" s="20" t="s">
        <v>2146</v>
      </c>
      <c r="K1333" s="7" t="s">
        <v>110</v>
      </c>
      <c r="L1333" s="61">
        <v>45783</v>
      </c>
      <c r="M1333" s="7" t="s">
        <v>111</v>
      </c>
      <c r="N1333" s="24">
        <v>45784</v>
      </c>
      <c r="O1333" s="58">
        <v>45784</v>
      </c>
      <c r="P1333" s="59"/>
      <c r="Q1333" s="124" t="e">
        <f>P1333*#REF!</f>
        <v>#REF!</v>
      </c>
      <c r="R1333" s="126">
        <v>45784</v>
      </c>
      <c r="S1333" s="153">
        <f>IF(L1333="","",L1333-B1333)</f>
        <v>7</v>
      </c>
      <c r="T1333" s="153">
        <f>IF(N1333="","",N1333-L1333)</f>
        <v>1</v>
      </c>
      <c r="U1333" s="153">
        <f>IF(O1333="","",O1333-N1333)</f>
        <v>0</v>
      </c>
      <c r="V1333" s="154">
        <f>IF(O1333="","",O1333-B1333)</f>
        <v>8</v>
      </c>
      <c r="W1333" s="154">
        <f>IF(O1333="","",O1333-L1333)</f>
        <v>1</v>
      </c>
      <c r="X1333" s="154">
        <f>IF(R1333="","",R1333-B1333)</f>
        <v>8</v>
      </c>
      <c r="Y1333" s="213"/>
      <c r="Z1333" s="213"/>
      <c r="AA1333" s="213"/>
      <c r="AB1333" s="213"/>
      <c r="AC1333" s="213"/>
      <c r="AD1333" s="213"/>
      <c r="AE1333" s="213"/>
      <c r="AF1333" s="214"/>
    </row>
    <row r="1334" spans="2:32" ht="17.25" hidden="1" customHeight="1">
      <c r="B1334" s="23">
        <v>45776</v>
      </c>
      <c r="C1334" s="7">
        <v>2003673581</v>
      </c>
      <c r="D1334" s="20">
        <v>5901226</v>
      </c>
      <c r="E1334" s="27" t="s">
        <v>177</v>
      </c>
      <c r="F1334" s="7" t="s">
        <v>107</v>
      </c>
      <c r="G1334" s="7" t="s">
        <v>10</v>
      </c>
      <c r="H1334" s="7" t="s">
        <v>45</v>
      </c>
      <c r="I1334" s="20" t="s">
        <v>2147</v>
      </c>
      <c r="J1334" s="20" t="s">
        <v>2148</v>
      </c>
      <c r="K1334" s="7" t="s">
        <v>122</v>
      </c>
      <c r="L1334" s="61">
        <v>45785</v>
      </c>
      <c r="M1334" s="7" t="s">
        <v>111</v>
      </c>
      <c r="N1334" s="24">
        <v>45786</v>
      </c>
      <c r="O1334" s="24">
        <v>45786</v>
      </c>
      <c r="P1334" s="59"/>
      <c r="Q1334" s="124" t="e">
        <f>P1334*#REF!</f>
        <v>#REF!</v>
      </c>
      <c r="R1334" s="126">
        <v>45789</v>
      </c>
      <c r="S1334" s="153">
        <f>IF(L1334="","",L1334-B1334)</f>
        <v>9</v>
      </c>
      <c r="T1334" s="153">
        <f>IF(N1334="","",N1334-L1334)</f>
        <v>1</v>
      </c>
      <c r="U1334" s="153">
        <f>IF(O1334="","",O1334-N1334)</f>
        <v>0</v>
      </c>
      <c r="V1334" s="154">
        <f>IF(O1334="","",O1334-B1334)</f>
        <v>10</v>
      </c>
      <c r="W1334" s="154">
        <f>IF(O1334="","",O1334-L1334)</f>
        <v>1</v>
      </c>
      <c r="X1334" s="154">
        <f>IF(R1334="","",R1334-B1334)</f>
        <v>13</v>
      </c>
    </row>
    <row r="1335" spans="2:32" ht="17.25" hidden="1" customHeight="1">
      <c r="B1335" s="23">
        <v>45776</v>
      </c>
      <c r="C1335" s="7">
        <v>2003665482</v>
      </c>
      <c r="D1335" s="20">
        <v>5901263</v>
      </c>
      <c r="E1335" s="27" t="s">
        <v>1225</v>
      </c>
      <c r="F1335" s="7" t="s">
        <v>107</v>
      </c>
      <c r="G1335" s="7" t="s">
        <v>10</v>
      </c>
      <c r="H1335" s="7" t="s">
        <v>45</v>
      </c>
      <c r="I1335" s="20" t="s">
        <v>2149</v>
      </c>
      <c r="J1335" s="20" t="s">
        <v>2150</v>
      </c>
      <c r="K1335" s="7" t="s">
        <v>119</v>
      </c>
      <c r="L1335" s="61">
        <v>45779</v>
      </c>
      <c r="M1335" s="7" t="s">
        <v>111</v>
      </c>
      <c r="N1335" s="61">
        <v>45782</v>
      </c>
      <c r="O1335" s="61">
        <v>45782</v>
      </c>
      <c r="P1335" s="59"/>
      <c r="Q1335" s="124" t="e">
        <f>P1335*#REF!</f>
        <v>#REF!</v>
      </c>
      <c r="R1335" s="126">
        <v>45783</v>
      </c>
      <c r="S1335" s="153">
        <f>IF(L1335="","",L1335-B1335)</f>
        <v>3</v>
      </c>
      <c r="T1335" s="153">
        <f>IF(N1335="","",N1335-L1335)</f>
        <v>3</v>
      </c>
      <c r="U1335" s="153">
        <f>IF(O1335="","",O1335-N1335)</f>
        <v>0</v>
      </c>
      <c r="V1335" s="154">
        <f>IF(O1335="","",O1335-B1335)</f>
        <v>6</v>
      </c>
      <c r="W1335" s="154">
        <f>IF(O1335="","",O1335-L1335)</f>
        <v>3</v>
      </c>
      <c r="X1335" s="154">
        <f>IF(R1335="","",R1335-B1335)</f>
        <v>7</v>
      </c>
    </row>
    <row r="1336" spans="2:32" ht="17.25" hidden="1" customHeight="1">
      <c r="B1336" s="23">
        <v>45776</v>
      </c>
      <c r="C1336" s="7">
        <v>2003670822</v>
      </c>
      <c r="D1336" s="20">
        <v>5901385</v>
      </c>
      <c r="E1336" s="27" t="s">
        <v>201</v>
      </c>
      <c r="F1336" s="7" t="s">
        <v>107</v>
      </c>
      <c r="G1336" s="7" t="s">
        <v>10</v>
      </c>
      <c r="H1336" s="7" t="s">
        <v>45</v>
      </c>
      <c r="I1336" s="105" t="s">
        <v>2151</v>
      </c>
      <c r="J1336" s="20" t="s">
        <v>2152</v>
      </c>
      <c r="K1336" s="7" t="s">
        <v>110</v>
      </c>
      <c r="L1336" s="61">
        <v>45785</v>
      </c>
      <c r="M1336" s="7" t="s">
        <v>111</v>
      </c>
      <c r="N1336" s="61">
        <v>45785</v>
      </c>
      <c r="O1336" s="61">
        <v>45785</v>
      </c>
      <c r="P1336" s="59"/>
      <c r="Q1336" s="124" t="e">
        <f>P1336*#REF!</f>
        <v>#REF!</v>
      </c>
      <c r="R1336" s="126">
        <v>45786</v>
      </c>
      <c r="S1336" s="153">
        <f>IF(L1336="","",L1336-B1336)</f>
        <v>9</v>
      </c>
      <c r="T1336" s="153">
        <f>IF(N1336="","",N1336-L1336)</f>
        <v>0</v>
      </c>
      <c r="U1336" s="153">
        <f>IF(O1336="","",O1336-N1336)</f>
        <v>0</v>
      </c>
      <c r="V1336" s="154">
        <f>IF(O1336="","",O1336-B1336)</f>
        <v>9</v>
      </c>
      <c r="W1336" s="154">
        <f>IF(O1336="","",O1336-L1336)</f>
        <v>0</v>
      </c>
      <c r="X1336" s="154">
        <f>IF(R1336="","",R1336-B1336)</f>
        <v>10</v>
      </c>
    </row>
    <row r="1337" spans="2:32" ht="17.25" hidden="1" customHeight="1">
      <c r="B1337" s="23">
        <v>45776</v>
      </c>
      <c r="C1337" s="7">
        <v>2003668802</v>
      </c>
      <c r="D1337" s="20">
        <v>5901459</v>
      </c>
      <c r="E1337" s="27" t="s">
        <v>408</v>
      </c>
      <c r="F1337" s="7" t="s">
        <v>107</v>
      </c>
      <c r="G1337" s="7" t="s">
        <v>10</v>
      </c>
      <c r="H1337" s="7" t="s">
        <v>45</v>
      </c>
      <c r="I1337" s="20" t="s">
        <v>778</v>
      </c>
      <c r="J1337" s="20" t="s">
        <v>2153</v>
      </c>
      <c r="K1337" s="7" t="s">
        <v>119</v>
      </c>
      <c r="L1337" s="61">
        <v>45785</v>
      </c>
      <c r="M1337" s="7" t="s">
        <v>111</v>
      </c>
      <c r="N1337" s="61">
        <v>45785</v>
      </c>
      <c r="O1337" s="23">
        <v>45786</v>
      </c>
      <c r="P1337" s="59"/>
      <c r="Q1337" s="124" t="e">
        <f>P1337*#REF!</f>
        <v>#REF!</v>
      </c>
      <c r="R1337" s="126">
        <v>45786</v>
      </c>
      <c r="S1337" s="153">
        <f>IF(L1337="","",L1337-B1337)</f>
        <v>9</v>
      </c>
      <c r="T1337" s="153">
        <f>IF(N1337="","",N1337-L1337)</f>
        <v>0</v>
      </c>
      <c r="U1337" s="153">
        <f>IF(O1337="","",O1337-N1337)</f>
        <v>1</v>
      </c>
      <c r="V1337" s="154">
        <f>IF(O1337="","",O1337-B1337)</f>
        <v>10</v>
      </c>
      <c r="W1337" s="154">
        <f>IF(O1337="","",O1337-L1337)</f>
        <v>1</v>
      </c>
      <c r="X1337" s="154">
        <f>IF(R1337="","",R1337-B1337)</f>
        <v>10</v>
      </c>
    </row>
    <row r="1338" spans="2:32" ht="17.25" hidden="1" customHeight="1">
      <c r="B1338" s="23">
        <v>45776</v>
      </c>
      <c r="C1338" s="7">
        <v>2003670259</v>
      </c>
      <c r="D1338" s="20">
        <v>5901600</v>
      </c>
      <c r="E1338" s="27" t="s">
        <v>138</v>
      </c>
      <c r="F1338" s="7" t="s">
        <v>107</v>
      </c>
      <c r="G1338" s="7" t="s">
        <v>10</v>
      </c>
      <c r="H1338" s="7" t="s">
        <v>45</v>
      </c>
      <c r="I1338" s="20" t="s">
        <v>2154</v>
      </c>
      <c r="J1338" s="20" t="s">
        <v>2155</v>
      </c>
      <c r="K1338" s="7" t="s">
        <v>119</v>
      </c>
      <c r="L1338" s="61">
        <v>45782</v>
      </c>
      <c r="M1338" s="7" t="s">
        <v>111</v>
      </c>
      <c r="N1338" s="61">
        <v>45782</v>
      </c>
      <c r="O1338" s="61">
        <v>45782</v>
      </c>
      <c r="P1338" s="59"/>
      <c r="Q1338" s="124" t="e">
        <f>P1338*#REF!</f>
        <v>#REF!</v>
      </c>
      <c r="R1338" s="126">
        <v>45783</v>
      </c>
      <c r="S1338" s="153">
        <f>IF(L1338="","",L1338-B1338)</f>
        <v>6</v>
      </c>
      <c r="T1338" s="153">
        <f>IF(N1338="","",N1338-L1338)</f>
        <v>0</v>
      </c>
      <c r="U1338" s="153">
        <f>IF(O1338="","",O1338-N1338)</f>
        <v>0</v>
      </c>
      <c r="V1338" s="154">
        <f>IF(O1338="","",O1338-B1338)</f>
        <v>6</v>
      </c>
      <c r="W1338" s="154">
        <f>IF(O1338="","",O1338-L1338)</f>
        <v>0</v>
      </c>
      <c r="X1338" s="154">
        <f>IF(R1338="","",R1338-B1338)</f>
        <v>7</v>
      </c>
    </row>
    <row r="1339" spans="2:32" ht="17.25" hidden="1" customHeight="1">
      <c r="B1339" s="23">
        <v>45776</v>
      </c>
      <c r="C1339" s="7">
        <v>2003670458</v>
      </c>
      <c r="D1339" s="20">
        <v>5901612</v>
      </c>
      <c r="E1339" s="27" t="s">
        <v>191</v>
      </c>
      <c r="F1339" s="7" t="s">
        <v>107</v>
      </c>
      <c r="G1339" s="7" t="s">
        <v>10</v>
      </c>
      <c r="H1339" s="7" t="s">
        <v>45</v>
      </c>
      <c r="I1339" s="20" t="s">
        <v>2156</v>
      </c>
      <c r="J1339" s="20" t="s">
        <v>2157</v>
      </c>
      <c r="K1339" s="7" t="s">
        <v>119</v>
      </c>
      <c r="L1339" s="61">
        <v>45782</v>
      </c>
      <c r="M1339" s="7" t="s">
        <v>111</v>
      </c>
      <c r="N1339" s="61">
        <v>45782</v>
      </c>
      <c r="O1339" s="61">
        <v>45782</v>
      </c>
      <c r="P1339" s="59"/>
      <c r="Q1339" s="124" t="e">
        <f>P1339*#REF!</f>
        <v>#REF!</v>
      </c>
      <c r="R1339" s="126">
        <v>45783</v>
      </c>
      <c r="S1339" s="153">
        <f>IF(L1339="","",L1339-B1339)</f>
        <v>6</v>
      </c>
      <c r="T1339" s="153">
        <f>IF(N1339="","",N1339-L1339)</f>
        <v>0</v>
      </c>
      <c r="U1339" s="153">
        <f>IF(O1339="","",O1339-N1339)</f>
        <v>0</v>
      </c>
      <c r="V1339" s="154">
        <f>IF(O1339="","",O1339-B1339)</f>
        <v>6</v>
      </c>
      <c r="W1339" s="154">
        <f>IF(O1339="","",O1339-L1339)</f>
        <v>0</v>
      </c>
      <c r="X1339" s="154">
        <f>IF(R1339="","",R1339-B1339)</f>
        <v>7</v>
      </c>
    </row>
    <row r="1340" spans="2:32" ht="17.25" hidden="1" customHeight="1">
      <c r="B1340" s="23">
        <v>45776</v>
      </c>
      <c r="C1340" s="7">
        <v>2003669763</v>
      </c>
      <c r="D1340" s="20">
        <v>5901614</v>
      </c>
      <c r="E1340" s="27" t="s">
        <v>185</v>
      </c>
      <c r="F1340" s="7" t="s">
        <v>107</v>
      </c>
      <c r="G1340" s="7" t="s">
        <v>10</v>
      </c>
      <c r="H1340" s="7" t="s">
        <v>45</v>
      </c>
      <c r="I1340" s="20" t="s">
        <v>2158</v>
      </c>
      <c r="J1340" s="20" t="s">
        <v>2159</v>
      </c>
      <c r="K1340" s="7" t="s">
        <v>110</v>
      </c>
      <c r="L1340" s="61">
        <v>45784</v>
      </c>
      <c r="M1340" s="7" t="s">
        <v>111</v>
      </c>
      <c r="N1340" s="61">
        <v>45784</v>
      </c>
      <c r="O1340" s="61">
        <v>45784</v>
      </c>
      <c r="P1340" s="59"/>
      <c r="Q1340" s="124" t="e">
        <f>P1340*#REF!</f>
        <v>#REF!</v>
      </c>
      <c r="R1340" s="126">
        <v>45784</v>
      </c>
      <c r="S1340" s="153">
        <f>IF(L1340="","",L1340-B1340)</f>
        <v>8</v>
      </c>
      <c r="T1340" s="153">
        <f>IF(N1340="","",N1340-L1340)</f>
        <v>0</v>
      </c>
      <c r="U1340" s="153">
        <f>IF(O1340="","",O1340-N1340)</f>
        <v>0</v>
      </c>
      <c r="V1340" s="154">
        <f>IF(O1340="","",O1340-B1340)</f>
        <v>8</v>
      </c>
      <c r="W1340" s="154">
        <f>IF(O1340="","",O1340-L1340)</f>
        <v>0</v>
      </c>
      <c r="X1340" s="154">
        <f>IF(R1340="","",R1340-B1340)</f>
        <v>8</v>
      </c>
    </row>
    <row r="1341" spans="2:32" ht="17.25" hidden="1" customHeight="1">
      <c r="B1341" s="23">
        <v>45776</v>
      </c>
      <c r="C1341" s="7">
        <v>2003665097</v>
      </c>
      <c r="D1341" s="20">
        <v>5901624</v>
      </c>
      <c r="E1341" s="27" t="s">
        <v>191</v>
      </c>
      <c r="F1341" s="7" t="s">
        <v>107</v>
      </c>
      <c r="G1341" s="7" t="s">
        <v>18</v>
      </c>
      <c r="H1341" s="7" t="s">
        <v>45</v>
      </c>
      <c r="I1341" s="20" t="s">
        <v>1428</v>
      </c>
      <c r="J1341" s="20" t="s">
        <v>2160</v>
      </c>
      <c r="K1341" s="7" t="s">
        <v>119</v>
      </c>
      <c r="L1341" s="61">
        <v>45783</v>
      </c>
      <c r="M1341" s="7" t="s">
        <v>111</v>
      </c>
      <c r="N1341" s="61">
        <v>45783</v>
      </c>
      <c r="O1341" s="130">
        <v>45783</v>
      </c>
      <c r="P1341" s="59"/>
      <c r="Q1341" s="124" t="e">
        <f>P1341*#REF!</f>
        <v>#REF!</v>
      </c>
      <c r="R1341" s="126">
        <v>45783</v>
      </c>
      <c r="S1341" s="153">
        <f>IF(L1341="","",L1341-B1341)</f>
        <v>7</v>
      </c>
      <c r="T1341" s="153">
        <f>IF(N1341="","",N1341-L1341)</f>
        <v>0</v>
      </c>
      <c r="U1341" s="153">
        <f>IF(O1341="","",O1341-N1341)</f>
        <v>0</v>
      </c>
      <c r="V1341" s="154">
        <f>IF(O1341="","",O1341-B1341)</f>
        <v>7</v>
      </c>
      <c r="W1341" s="154">
        <f>IF(O1341="","",O1341-L1341)</f>
        <v>0</v>
      </c>
      <c r="X1341" s="154">
        <f>IF(R1341="","",R1341-B1341)</f>
        <v>7</v>
      </c>
    </row>
    <row r="1342" spans="2:32" ht="17.25" hidden="1" customHeight="1">
      <c r="B1342" s="23">
        <v>45784</v>
      </c>
      <c r="C1342" s="7">
        <v>2003682067</v>
      </c>
      <c r="D1342" s="20">
        <v>159227</v>
      </c>
      <c r="E1342" s="27" t="s">
        <v>126</v>
      </c>
      <c r="F1342" s="7" t="s">
        <v>113</v>
      </c>
      <c r="G1342" s="7" t="s">
        <v>70</v>
      </c>
      <c r="H1342" s="7" t="s">
        <v>47</v>
      </c>
      <c r="I1342" s="20" t="s">
        <v>214</v>
      </c>
      <c r="J1342" s="20" t="s">
        <v>2161</v>
      </c>
      <c r="K1342" s="7" t="s">
        <v>160</v>
      </c>
      <c r="P1342" s="59"/>
      <c r="Q1342" s="124" t="e">
        <f>P1342*#REF!</f>
        <v>#REF!</v>
      </c>
      <c r="R1342" s="126">
        <v>45785</v>
      </c>
      <c r="S1342" s="153" t="str">
        <f>IF(L1342="","",L1342-B1342)</f>
        <v/>
      </c>
      <c r="T1342" s="153" t="str">
        <f>IF(N1342="","",N1342-L1342)</f>
        <v/>
      </c>
      <c r="U1342" s="153" t="str">
        <f>IF(O1342="","",O1342-N1342)</f>
        <v/>
      </c>
      <c r="V1342" s="154" t="str">
        <f>IF(O1342="","",O1342-B1342)</f>
        <v/>
      </c>
      <c r="W1342" s="154" t="str">
        <f>IF(O1342="","",O1342-L1342)</f>
        <v/>
      </c>
      <c r="X1342" s="154">
        <f>IF(R1342="","",R1342-B1342)</f>
        <v>1</v>
      </c>
    </row>
    <row r="1343" spans="2:32" ht="17.25" hidden="1" customHeight="1">
      <c r="B1343" s="207">
        <v>45776</v>
      </c>
      <c r="C1343" s="112">
        <v>2003671759</v>
      </c>
      <c r="D1343" s="128">
        <v>5901634</v>
      </c>
      <c r="E1343" s="208" t="s">
        <v>126</v>
      </c>
      <c r="F1343" s="112" t="s">
        <v>107</v>
      </c>
      <c r="G1343" s="112" t="s">
        <v>18</v>
      </c>
      <c r="H1343" s="112" t="s">
        <v>45</v>
      </c>
      <c r="I1343" s="128" t="s">
        <v>2162</v>
      </c>
      <c r="J1343" s="128" t="s">
        <v>2163</v>
      </c>
      <c r="K1343" s="112" t="s">
        <v>119</v>
      </c>
      <c r="L1343" s="209">
        <v>45782</v>
      </c>
      <c r="M1343" s="112" t="s">
        <v>111</v>
      </c>
      <c r="N1343" s="209">
        <v>45782</v>
      </c>
      <c r="O1343" s="23">
        <v>45783</v>
      </c>
      <c r="P1343" s="211"/>
      <c r="Q1343" s="212" t="e">
        <f>P1343*#REF!</f>
        <v>#REF!</v>
      </c>
      <c r="R1343" s="126">
        <v>45783</v>
      </c>
      <c r="S1343" s="153">
        <f>IF(L1343="","",L1343-B1343)</f>
        <v>6</v>
      </c>
      <c r="T1343" s="153">
        <f>IF(N1343="","",N1343-L1343)</f>
        <v>0</v>
      </c>
      <c r="U1343" s="153">
        <f>IF(O1343="","",O1343-N1343)</f>
        <v>1</v>
      </c>
      <c r="V1343" s="154">
        <f>IF(O1343="","",O1343-B1343)</f>
        <v>7</v>
      </c>
      <c r="W1343" s="154">
        <f>IF(O1343="","",O1343-L1343)</f>
        <v>1</v>
      </c>
      <c r="X1343" s="154">
        <f>IF(R1343="","",R1343-B1343)</f>
        <v>7</v>
      </c>
    </row>
    <row r="1344" spans="2:32" ht="17.25" hidden="1" customHeight="1">
      <c r="B1344" s="23">
        <v>45784</v>
      </c>
      <c r="C1344" s="7">
        <v>2003676745</v>
      </c>
      <c r="D1344" s="20">
        <v>159133</v>
      </c>
      <c r="E1344" s="27" t="s">
        <v>123</v>
      </c>
      <c r="F1344" s="7" t="s">
        <v>113</v>
      </c>
      <c r="G1344" s="7" t="s">
        <v>70</v>
      </c>
      <c r="H1344" s="7" t="s">
        <v>47</v>
      </c>
      <c r="I1344" s="20" t="s">
        <v>347</v>
      </c>
      <c r="J1344" s="20" t="s">
        <v>2164</v>
      </c>
      <c r="K1344" s="7" t="s">
        <v>160</v>
      </c>
      <c r="P1344" s="59"/>
      <c r="Q1344" s="124" t="e">
        <f>P1344*#REF!</f>
        <v>#REF!</v>
      </c>
      <c r="R1344" s="126">
        <v>45786</v>
      </c>
      <c r="S1344" s="153" t="str">
        <f>IF(L1344="","",L1344-B1344)</f>
        <v/>
      </c>
      <c r="T1344" s="153" t="str">
        <f>IF(N1344="","",N1344-L1344)</f>
        <v/>
      </c>
      <c r="U1344" s="153" t="str">
        <f>IF(O1344="","",O1344-N1344)</f>
        <v/>
      </c>
      <c r="V1344" s="154" t="str">
        <f>IF(O1344="","",O1344-B1344)</f>
        <v/>
      </c>
      <c r="W1344" s="154" t="str">
        <f>IF(O1344="","",O1344-L1344)</f>
        <v/>
      </c>
      <c r="X1344" s="154">
        <f>IF(R1344="","",R1344-B1344)</f>
        <v>2</v>
      </c>
    </row>
    <row r="1345" spans="2:24" ht="17.25" hidden="1" customHeight="1">
      <c r="B1345" s="23">
        <v>45784</v>
      </c>
      <c r="C1345" s="7">
        <v>2003666463</v>
      </c>
      <c r="D1345" s="20">
        <v>159211</v>
      </c>
      <c r="E1345" s="27" t="s">
        <v>198</v>
      </c>
      <c r="F1345" s="7" t="s">
        <v>107</v>
      </c>
      <c r="G1345" s="7" t="s">
        <v>10</v>
      </c>
      <c r="H1345" s="7" t="s">
        <v>45</v>
      </c>
      <c r="I1345" s="20" t="s">
        <v>2165</v>
      </c>
      <c r="J1345" s="20" t="s">
        <v>2166</v>
      </c>
      <c r="K1345" s="7" t="s">
        <v>119</v>
      </c>
      <c r="L1345" s="61">
        <v>45804</v>
      </c>
      <c r="M1345" s="7" t="s">
        <v>111</v>
      </c>
      <c r="N1345" s="61">
        <v>45813</v>
      </c>
      <c r="O1345" s="61">
        <v>45813</v>
      </c>
      <c r="P1345" s="59"/>
      <c r="Q1345" s="124" t="e">
        <f>P1345*#REF!</f>
        <v>#REF!</v>
      </c>
      <c r="R1345" s="126">
        <v>45814</v>
      </c>
      <c r="S1345" s="153">
        <f>IF(L1345="","",L1345-B1345)</f>
        <v>20</v>
      </c>
      <c r="T1345" s="153">
        <f>IF(N1345="","",N1345-L1345)</f>
        <v>9</v>
      </c>
      <c r="U1345" s="153">
        <f>IF(O1345="","",O1345-N1345)</f>
        <v>0</v>
      </c>
      <c r="V1345" s="154">
        <f>IF(O1345="","",O1345-B1345)</f>
        <v>29</v>
      </c>
      <c r="W1345" s="154">
        <f>IF(O1345="","",O1345-L1345)</f>
        <v>9</v>
      </c>
      <c r="X1345" s="154">
        <f>IF(R1345="","",R1345-B1345)</f>
        <v>30</v>
      </c>
    </row>
    <row r="1346" spans="2:24" ht="17.25" hidden="1" customHeight="1">
      <c r="B1346" s="23">
        <v>45776</v>
      </c>
      <c r="C1346" s="7">
        <v>2003666288</v>
      </c>
      <c r="D1346" s="20">
        <v>5901665</v>
      </c>
      <c r="E1346" s="27" t="s">
        <v>185</v>
      </c>
      <c r="F1346" s="7" t="s">
        <v>107</v>
      </c>
      <c r="G1346" s="7" t="s">
        <v>10</v>
      </c>
      <c r="H1346" s="7" t="s">
        <v>45</v>
      </c>
      <c r="I1346" s="20" t="s">
        <v>2167</v>
      </c>
      <c r="J1346" s="20" t="s">
        <v>2168</v>
      </c>
      <c r="K1346" s="7" t="s">
        <v>119</v>
      </c>
      <c r="L1346" s="61">
        <v>45785</v>
      </c>
      <c r="M1346" s="7" t="s">
        <v>111</v>
      </c>
      <c r="N1346" s="61">
        <v>45785</v>
      </c>
      <c r="O1346" s="130">
        <v>45785</v>
      </c>
      <c r="P1346" s="59"/>
      <c r="Q1346" s="124" t="e">
        <f>P1346*#REF!</f>
        <v>#REF!</v>
      </c>
      <c r="R1346" s="126">
        <v>45786</v>
      </c>
      <c r="S1346" s="153">
        <f>IF(L1346="","",L1346-B1346)</f>
        <v>9</v>
      </c>
      <c r="T1346" s="153">
        <f>IF(N1346="","",N1346-L1346)</f>
        <v>0</v>
      </c>
      <c r="U1346" s="153">
        <f>IF(O1346="","",O1346-N1346)</f>
        <v>0</v>
      </c>
      <c r="V1346" s="154">
        <f>IF(O1346="","",O1346-B1346)</f>
        <v>9</v>
      </c>
      <c r="W1346" s="154">
        <f>IF(O1346="","",O1346-L1346)</f>
        <v>0</v>
      </c>
      <c r="X1346" s="154">
        <f>IF(R1346="","",R1346-B1346)</f>
        <v>10</v>
      </c>
    </row>
    <row r="1347" spans="2:24" ht="17.25" hidden="1" customHeight="1">
      <c r="B1347" s="23">
        <v>45776</v>
      </c>
      <c r="C1347" s="7">
        <v>2003671289</v>
      </c>
      <c r="D1347" s="20">
        <v>5901671</v>
      </c>
      <c r="E1347" s="27" t="s">
        <v>149</v>
      </c>
      <c r="F1347" s="7" t="s">
        <v>107</v>
      </c>
      <c r="G1347" s="7" t="s">
        <v>10</v>
      </c>
      <c r="H1347" s="7" t="s">
        <v>45</v>
      </c>
      <c r="I1347" s="20" t="s">
        <v>2169</v>
      </c>
      <c r="J1347" s="20" t="s">
        <v>1787</v>
      </c>
      <c r="K1347" s="7" t="s">
        <v>119</v>
      </c>
      <c r="L1347" s="61">
        <v>45782</v>
      </c>
      <c r="M1347" s="7" t="s">
        <v>111</v>
      </c>
      <c r="N1347" s="61">
        <v>45782</v>
      </c>
      <c r="O1347" s="61">
        <v>45782</v>
      </c>
      <c r="P1347" s="59"/>
      <c r="Q1347" s="124" t="e">
        <f>P1347*#REF!</f>
        <v>#REF!</v>
      </c>
      <c r="R1347" s="126">
        <v>45783</v>
      </c>
      <c r="S1347" s="153">
        <f>IF(L1347="","",L1347-B1347)</f>
        <v>6</v>
      </c>
      <c r="T1347" s="153">
        <f>IF(N1347="","",N1347-L1347)</f>
        <v>0</v>
      </c>
      <c r="U1347" s="153">
        <f>IF(O1347="","",O1347-N1347)</f>
        <v>0</v>
      </c>
      <c r="V1347" s="154">
        <f>IF(O1347="","",O1347-B1347)</f>
        <v>6</v>
      </c>
      <c r="W1347" s="154">
        <f>IF(O1347="","",O1347-L1347)</f>
        <v>0</v>
      </c>
      <c r="X1347" s="154">
        <f>IF(R1347="","",R1347-B1347)</f>
        <v>7</v>
      </c>
    </row>
    <row r="1348" spans="2:24" ht="17.25" hidden="1" customHeight="1">
      <c r="B1348" s="23">
        <v>45777</v>
      </c>
      <c r="C1348" s="7">
        <v>2003666963</v>
      </c>
      <c r="D1348" s="20">
        <v>5901889</v>
      </c>
      <c r="E1348" s="27" t="s">
        <v>191</v>
      </c>
      <c r="F1348" s="7" t="s">
        <v>107</v>
      </c>
      <c r="G1348" s="7" t="s">
        <v>10</v>
      </c>
      <c r="H1348" s="7" t="s">
        <v>45</v>
      </c>
      <c r="I1348" s="20" t="s">
        <v>2170</v>
      </c>
      <c r="J1348" s="20" t="s">
        <v>2171</v>
      </c>
      <c r="K1348" s="7" t="s">
        <v>110</v>
      </c>
      <c r="L1348" s="61">
        <v>45784</v>
      </c>
      <c r="M1348" s="7" t="s">
        <v>111</v>
      </c>
      <c r="N1348" s="61">
        <v>45784</v>
      </c>
      <c r="O1348" s="61">
        <v>45784</v>
      </c>
      <c r="P1348" s="59"/>
      <c r="Q1348" s="124" t="e">
        <f>P1348*#REF!</f>
        <v>#REF!</v>
      </c>
      <c r="R1348" s="126">
        <v>45784</v>
      </c>
      <c r="S1348" s="153">
        <f>IF(L1348="","",L1348-B1348)</f>
        <v>7</v>
      </c>
      <c r="T1348" s="153">
        <f>IF(N1348="","",N1348-L1348)</f>
        <v>0</v>
      </c>
      <c r="U1348" s="153">
        <f>IF(O1348="","",O1348-N1348)</f>
        <v>0</v>
      </c>
      <c r="V1348" s="154">
        <f>IF(O1348="","",O1348-B1348)</f>
        <v>7</v>
      </c>
      <c r="W1348" s="154">
        <f>IF(O1348="","",O1348-L1348)</f>
        <v>0</v>
      </c>
      <c r="X1348" s="154">
        <f>IF(R1348="","",R1348-B1348)</f>
        <v>7</v>
      </c>
    </row>
    <row r="1349" spans="2:24" ht="17.25" hidden="1" customHeight="1">
      <c r="B1349" s="23">
        <v>45777</v>
      </c>
      <c r="C1349" s="7">
        <v>2003666443</v>
      </c>
      <c r="D1349" s="20">
        <v>5902158</v>
      </c>
      <c r="E1349" s="27" t="s">
        <v>230</v>
      </c>
      <c r="F1349" s="7" t="s">
        <v>107</v>
      </c>
      <c r="G1349" s="7" t="s">
        <v>10</v>
      </c>
      <c r="H1349" s="7" t="s">
        <v>45</v>
      </c>
      <c r="I1349" s="20" t="s">
        <v>636</v>
      </c>
      <c r="J1349" s="20" t="s">
        <v>2172</v>
      </c>
      <c r="K1349" s="7" t="s">
        <v>110</v>
      </c>
      <c r="L1349" s="61">
        <v>45782</v>
      </c>
      <c r="M1349" s="7" t="s">
        <v>111</v>
      </c>
      <c r="N1349" s="61">
        <v>45782</v>
      </c>
      <c r="O1349" s="61">
        <v>45782</v>
      </c>
      <c r="P1349" s="59"/>
      <c r="Q1349" s="124" t="e">
        <f>P1349*#REF!</f>
        <v>#REF!</v>
      </c>
      <c r="R1349" s="126">
        <v>45783</v>
      </c>
      <c r="S1349" s="153">
        <f>IF(L1349="","",L1349-B1349)</f>
        <v>5</v>
      </c>
      <c r="T1349" s="153">
        <f>IF(N1349="","",N1349-L1349)</f>
        <v>0</v>
      </c>
      <c r="U1349" s="153">
        <f>IF(O1349="","",O1349-N1349)</f>
        <v>0</v>
      </c>
      <c r="V1349" s="154">
        <f>IF(O1349="","",O1349-B1349)</f>
        <v>5</v>
      </c>
      <c r="W1349" s="154">
        <f>IF(O1349="","",O1349-L1349)</f>
        <v>0</v>
      </c>
      <c r="X1349" s="154">
        <f>IF(R1349="","",R1349-B1349)</f>
        <v>6</v>
      </c>
    </row>
    <row r="1350" spans="2:24" ht="17.25" hidden="1" customHeight="1">
      <c r="B1350" s="23">
        <v>45777</v>
      </c>
      <c r="C1350" s="7">
        <v>2003665575</v>
      </c>
      <c r="D1350" s="20">
        <v>5902186</v>
      </c>
      <c r="E1350" s="27" t="s">
        <v>1225</v>
      </c>
      <c r="F1350" s="7" t="s">
        <v>107</v>
      </c>
      <c r="G1350" s="7" t="s">
        <v>10</v>
      </c>
      <c r="H1350" s="7" t="s">
        <v>45</v>
      </c>
      <c r="I1350" s="20" t="s">
        <v>2173</v>
      </c>
      <c r="J1350" s="20" t="s">
        <v>2174</v>
      </c>
      <c r="K1350" s="7" t="s">
        <v>119</v>
      </c>
      <c r="L1350" s="61">
        <v>45783</v>
      </c>
      <c r="M1350" s="7" t="s">
        <v>111</v>
      </c>
      <c r="N1350" s="24">
        <v>45784</v>
      </c>
      <c r="O1350" s="24">
        <v>45784</v>
      </c>
      <c r="P1350" s="59"/>
      <c r="Q1350" s="124" t="e">
        <f>P1350*#REF!</f>
        <v>#REF!</v>
      </c>
      <c r="R1350" s="126">
        <v>45784</v>
      </c>
      <c r="S1350" s="153">
        <f>IF(L1350="","",L1350-B1350)</f>
        <v>6</v>
      </c>
      <c r="T1350" s="153">
        <f>IF(N1350="","",N1350-L1350)</f>
        <v>1</v>
      </c>
      <c r="U1350" s="153">
        <f>IF(O1350="","",O1350-N1350)</f>
        <v>0</v>
      </c>
      <c r="V1350" s="154">
        <f>IF(O1350="","",O1350-B1350)</f>
        <v>7</v>
      </c>
      <c r="W1350" s="154">
        <f>IF(O1350="","",O1350-L1350)</f>
        <v>1</v>
      </c>
      <c r="X1350" s="154">
        <f>IF(R1350="","",R1350-B1350)</f>
        <v>7</v>
      </c>
    </row>
    <row r="1351" spans="2:24" ht="17.25" hidden="1" customHeight="1">
      <c r="B1351" s="23">
        <v>45777</v>
      </c>
      <c r="C1351" s="7">
        <v>2003665276</v>
      </c>
      <c r="D1351" s="20">
        <v>5902244</v>
      </c>
      <c r="E1351" s="27" t="s">
        <v>230</v>
      </c>
      <c r="F1351" s="7" t="s">
        <v>107</v>
      </c>
      <c r="G1351" s="7" t="s">
        <v>10</v>
      </c>
      <c r="H1351" s="7" t="s">
        <v>45</v>
      </c>
      <c r="I1351" s="20" t="s">
        <v>2175</v>
      </c>
      <c r="J1351" s="20" t="s">
        <v>2176</v>
      </c>
      <c r="K1351" s="7" t="s">
        <v>110</v>
      </c>
      <c r="L1351" s="61">
        <v>45783</v>
      </c>
      <c r="M1351" s="7" t="s">
        <v>111</v>
      </c>
      <c r="N1351" s="61">
        <v>45783</v>
      </c>
      <c r="O1351" s="61">
        <v>45784</v>
      </c>
      <c r="P1351" s="59"/>
      <c r="Q1351" s="124" t="e">
        <f>P1351*#REF!</f>
        <v>#REF!</v>
      </c>
      <c r="R1351" s="126">
        <v>45784</v>
      </c>
      <c r="S1351" s="153">
        <f>IF(L1351="","",L1351-B1351)</f>
        <v>6</v>
      </c>
      <c r="T1351" s="153">
        <f>IF(N1351="","",N1351-L1351)</f>
        <v>0</v>
      </c>
      <c r="U1351" s="153">
        <f>IF(O1351="","",O1351-N1351)</f>
        <v>1</v>
      </c>
      <c r="V1351" s="154">
        <f>IF(O1351="","",O1351-B1351)</f>
        <v>7</v>
      </c>
      <c r="W1351" s="154">
        <f>IF(O1351="","",O1351-L1351)</f>
        <v>1</v>
      </c>
      <c r="X1351" s="154">
        <f>IF(R1351="","",R1351-B1351)</f>
        <v>7</v>
      </c>
    </row>
    <row r="1352" spans="2:24" ht="17.25" hidden="1" customHeight="1">
      <c r="B1352" s="23">
        <v>45777</v>
      </c>
      <c r="C1352" s="7">
        <v>2003665295</v>
      </c>
      <c r="D1352" s="20">
        <v>5902264</v>
      </c>
      <c r="E1352" s="27" t="s">
        <v>230</v>
      </c>
      <c r="F1352" s="7" t="s">
        <v>107</v>
      </c>
      <c r="G1352" s="7" t="s">
        <v>10</v>
      </c>
      <c r="H1352" s="7" t="s">
        <v>45</v>
      </c>
      <c r="I1352" s="20" t="s">
        <v>2175</v>
      </c>
      <c r="J1352" s="20" t="s">
        <v>2177</v>
      </c>
      <c r="K1352" s="7" t="s">
        <v>110</v>
      </c>
      <c r="L1352" s="61">
        <v>45784</v>
      </c>
      <c r="M1352" s="7" t="s">
        <v>111</v>
      </c>
      <c r="N1352" s="61">
        <v>45784</v>
      </c>
      <c r="O1352" s="61">
        <v>45784</v>
      </c>
      <c r="P1352" s="59"/>
      <c r="Q1352" s="124" t="e">
        <f>P1352*#REF!</f>
        <v>#REF!</v>
      </c>
      <c r="R1352" s="126">
        <v>45784</v>
      </c>
      <c r="S1352" s="153">
        <f>IF(L1352="","",L1352-B1352)</f>
        <v>7</v>
      </c>
      <c r="T1352" s="153">
        <f>IF(N1352="","",N1352-L1352)</f>
        <v>0</v>
      </c>
      <c r="U1352" s="153">
        <f>IF(O1352="","",O1352-N1352)</f>
        <v>0</v>
      </c>
      <c r="V1352" s="154">
        <f>IF(O1352="","",O1352-B1352)</f>
        <v>7</v>
      </c>
      <c r="W1352" s="154">
        <f>IF(O1352="","",O1352-L1352)</f>
        <v>0</v>
      </c>
      <c r="X1352" s="154">
        <f>IF(R1352="","",R1352-B1352)</f>
        <v>7</v>
      </c>
    </row>
    <row r="1353" spans="2:24" ht="17.25" hidden="1" customHeight="1">
      <c r="B1353" s="23">
        <v>45777</v>
      </c>
      <c r="C1353" s="7">
        <v>2003665394</v>
      </c>
      <c r="D1353" s="20">
        <v>5902302</v>
      </c>
      <c r="E1353" s="27" t="s">
        <v>230</v>
      </c>
      <c r="F1353" s="7" t="s">
        <v>107</v>
      </c>
      <c r="G1353" s="7" t="s">
        <v>10</v>
      </c>
      <c r="H1353" s="7" t="s">
        <v>45</v>
      </c>
      <c r="I1353" s="20" t="s">
        <v>965</v>
      </c>
      <c r="J1353" s="20" t="s">
        <v>2178</v>
      </c>
      <c r="K1353" s="7" t="s">
        <v>110</v>
      </c>
      <c r="L1353" s="61">
        <v>45784</v>
      </c>
      <c r="M1353" s="7" t="s">
        <v>111</v>
      </c>
      <c r="N1353" s="61">
        <v>45784</v>
      </c>
      <c r="O1353" s="61">
        <v>45784</v>
      </c>
      <c r="P1353" s="59"/>
      <c r="Q1353" s="124" t="e">
        <f>P1353*#REF!</f>
        <v>#REF!</v>
      </c>
      <c r="R1353" s="126">
        <v>45784</v>
      </c>
      <c r="S1353" s="153">
        <f>IF(L1353="","",L1353-B1353)</f>
        <v>7</v>
      </c>
      <c r="T1353" s="153">
        <f>IF(N1353="","",N1353-L1353)</f>
        <v>0</v>
      </c>
      <c r="U1353" s="153">
        <f>IF(O1353="","",O1353-N1353)</f>
        <v>0</v>
      </c>
      <c r="V1353" s="154">
        <f>IF(O1353="","",O1353-B1353)</f>
        <v>7</v>
      </c>
      <c r="W1353" s="154">
        <f>IF(O1353="","",O1353-L1353)</f>
        <v>0</v>
      </c>
      <c r="X1353" s="154">
        <f>IF(R1353="","",R1353-B1353)</f>
        <v>7</v>
      </c>
    </row>
    <row r="1354" spans="2:24" ht="17.25" hidden="1" customHeight="1">
      <c r="B1354" s="23">
        <v>45777</v>
      </c>
      <c r="C1354" s="7">
        <v>2003595142</v>
      </c>
      <c r="D1354" s="20">
        <v>5902574</v>
      </c>
      <c r="E1354" s="27" t="s">
        <v>123</v>
      </c>
      <c r="F1354" s="7" t="s">
        <v>107</v>
      </c>
      <c r="G1354" s="7" t="s">
        <v>26</v>
      </c>
      <c r="H1354" s="7" t="s">
        <v>45</v>
      </c>
      <c r="I1354" s="20" t="s">
        <v>1327</v>
      </c>
      <c r="J1354" s="20" t="s">
        <v>1328</v>
      </c>
      <c r="K1354" s="7" t="s">
        <v>122</v>
      </c>
      <c r="L1354" s="61">
        <v>45782</v>
      </c>
      <c r="M1354" s="7" t="s">
        <v>111</v>
      </c>
      <c r="N1354" s="24">
        <v>45783</v>
      </c>
      <c r="O1354" s="23">
        <v>45783</v>
      </c>
      <c r="P1354" s="59"/>
      <c r="Q1354" s="124" t="e">
        <f>P1354*#REF!</f>
        <v>#REF!</v>
      </c>
      <c r="R1354" s="126">
        <v>45783</v>
      </c>
      <c r="S1354" s="153">
        <f>IF(L1354="","",L1354-B1354)</f>
        <v>5</v>
      </c>
      <c r="T1354" s="153">
        <f>IF(N1354="","",N1354-L1354)</f>
        <v>1</v>
      </c>
      <c r="U1354" s="153">
        <f>IF(O1354="","",O1354-N1354)</f>
        <v>0</v>
      </c>
      <c r="V1354" s="154">
        <f>IF(O1354="","",O1354-B1354)</f>
        <v>6</v>
      </c>
      <c r="W1354" s="154">
        <f>IF(O1354="","",O1354-L1354)</f>
        <v>1</v>
      </c>
      <c r="X1354" s="154">
        <f>IF(R1354="","",R1354-B1354)</f>
        <v>6</v>
      </c>
    </row>
    <row r="1355" spans="2:24" ht="17.25" hidden="1" customHeight="1">
      <c r="B1355" s="23">
        <v>45777</v>
      </c>
      <c r="C1355" s="7">
        <v>2003667146</v>
      </c>
      <c r="D1355" s="20">
        <v>5902583</v>
      </c>
      <c r="E1355" s="27" t="s">
        <v>185</v>
      </c>
      <c r="F1355" s="7" t="s">
        <v>107</v>
      </c>
      <c r="G1355" s="7" t="s">
        <v>10</v>
      </c>
      <c r="H1355" s="7" t="s">
        <v>45</v>
      </c>
      <c r="I1355" s="20" t="s">
        <v>2179</v>
      </c>
      <c r="J1355" s="20" t="s">
        <v>2180</v>
      </c>
      <c r="K1355" s="7" t="s">
        <v>110</v>
      </c>
      <c r="L1355" s="61">
        <v>45784</v>
      </c>
      <c r="M1355" s="7" t="s">
        <v>111</v>
      </c>
      <c r="N1355" s="61">
        <v>45784</v>
      </c>
      <c r="O1355" s="61">
        <v>45784</v>
      </c>
      <c r="P1355" s="59"/>
      <c r="Q1355" s="124" t="e">
        <f>P1355*#REF!</f>
        <v>#REF!</v>
      </c>
      <c r="R1355" s="126">
        <v>45784</v>
      </c>
      <c r="S1355" s="153">
        <f>IF(L1355="","",L1355-B1355)</f>
        <v>7</v>
      </c>
      <c r="T1355" s="153">
        <f>IF(N1355="","",N1355-L1355)</f>
        <v>0</v>
      </c>
      <c r="U1355" s="153">
        <f>IF(O1355="","",O1355-N1355)</f>
        <v>0</v>
      </c>
      <c r="V1355" s="154">
        <f>IF(O1355="","",O1355-B1355)</f>
        <v>7</v>
      </c>
      <c r="W1355" s="154">
        <f>IF(O1355="","",O1355-L1355)</f>
        <v>0</v>
      </c>
      <c r="X1355" s="154">
        <f>IF(R1355="","",R1355-B1355)</f>
        <v>7</v>
      </c>
    </row>
    <row r="1356" spans="2:24" ht="17.25" hidden="1" customHeight="1">
      <c r="B1356" s="23">
        <v>45777</v>
      </c>
      <c r="C1356" s="7">
        <v>2003676403</v>
      </c>
      <c r="D1356" s="20">
        <v>5902604</v>
      </c>
      <c r="E1356" s="27" t="s">
        <v>408</v>
      </c>
      <c r="F1356" s="7" t="s">
        <v>107</v>
      </c>
      <c r="G1356" s="7" t="s">
        <v>18</v>
      </c>
      <c r="H1356" s="7" t="s">
        <v>45</v>
      </c>
      <c r="I1356" s="20" t="s">
        <v>2181</v>
      </c>
      <c r="J1356" s="20" t="s">
        <v>2182</v>
      </c>
      <c r="K1356" s="7" t="s">
        <v>110</v>
      </c>
      <c r="L1356" s="61">
        <v>45783</v>
      </c>
      <c r="M1356" s="7" t="s">
        <v>111</v>
      </c>
      <c r="N1356" s="61">
        <v>45783</v>
      </c>
      <c r="O1356" s="61">
        <v>45786</v>
      </c>
      <c r="P1356" s="59"/>
      <c r="Q1356" s="124" t="e">
        <f>P1356*#REF!</f>
        <v>#REF!</v>
      </c>
      <c r="R1356" s="126">
        <v>45786</v>
      </c>
      <c r="S1356" s="153">
        <f>IF(L1356="","",L1356-B1356)</f>
        <v>6</v>
      </c>
      <c r="T1356" s="153">
        <f>IF(N1356="","",N1356-L1356)</f>
        <v>0</v>
      </c>
      <c r="U1356" s="153">
        <f>IF(O1356="","",O1356-N1356)</f>
        <v>3</v>
      </c>
      <c r="V1356" s="154">
        <f>IF(O1356="","",O1356-B1356)</f>
        <v>9</v>
      </c>
      <c r="W1356" s="154">
        <f>IF(O1356="","",O1356-L1356)</f>
        <v>3</v>
      </c>
      <c r="X1356" s="154">
        <f>IF(R1356="","",R1356-B1356)</f>
        <v>9</v>
      </c>
    </row>
    <row r="1357" spans="2:24" ht="17.25" hidden="1" customHeight="1">
      <c r="B1357" s="23">
        <v>45777</v>
      </c>
      <c r="C1357" s="7">
        <v>2003664968</v>
      </c>
      <c r="D1357" s="20">
        <v>5902616</v>
      </c>
      <c r="E1357" s="27" t="s">
        <v>116</v>
      </c>
      <c r="F1357" s="7" t="s">
        <v>107</v>
      </c>
      <c r="G1357" s="7" t="s">
        <v>26</v>
      </c>
      <c r="H1357" s="7" t="s">
        <v>45</v>
      </c>
      <c r="I1357" s="20" t="s">
        <v>1673</v>
      </c>
      <c r="J1357" s="20" t="s">
        <v>1674</v>
      </c>
      <c r="K1357" s="7" t="s">
        <v>119</v>
      </c>
      <c r="L1357" s="61">
        <v>45784</v>
      </c>
      <c r="M1357" s="7" t="s">
        <v>111</v>
      </c>
      <c r="N1357" s="24">
        <v>45784</v>
      </c>
      <c r="O1357" s="23">
        <v>45784</v>
      </c>
      <c r="P1357" s="59"/>
      <c r="Q1357" s="124" t="e">
        <f>P1357*#REF!</f>
        <v>#REF!</v>
      </c>
      <c r="R1357" s="126">
        <v>45784</v>
      </c>
      <c r="S1357" s="153">
        <f>IF(L1357="","",L1357-B1357)</f>
        <v>7</v>
      </c>
      <c r="T1357" s="153">
        <f>IF(N1357="","",N1357-L1357)</f>
        <v>0</v>
      </c>
      <c r="U1357" s="153">
        <f>IF(O1357="","",O1357-N1357)</f>
        <v>0</v>
      </c>
      <c r="V1357" s="154">
        <f>IF(O1357="","",O1357-B1357)</f>
        <v>7</v>
      </c>
      <c r="W1357" s="154">
        <f>IF(O1357="","",O1357-L1357)</f>
        <v>0</v>
      </c>
      <c r="X1357" s="154">
        <f>IF(R1357="","",R1357-B1357)</f>
        <v>7</v>
      </c>
    </row>
    <row r="1358" spans="2:24" ht="17.25" hidden="1" customHeight="1">
      <c r="B1358" s="23">
        <v>45777</v>
      </c>
      <c r="C1358" s="7">
        <v>2003665258</v>
      </c>
      <c r="D1358" s="20">
        <v>5902628</v>
      </c>
      <c r="E1358" s="27" t="s">
        <v>185</v>
      </c>
      <c r="F1358" s="7" t="s">
        <v>107</v>
      </c>
      <c r="G1358" s="7" t="s">
        <v>18</v>
      </c>
      <c r="H1358" s="7" t="s">
        <v>45</v>
      </c>
      <c r="I1358" s="20" t="s">
        <v>2183</v>
      </c>
      <c r="J1358" s="20" t="s">
        <v>2184</v>
      </c>
      <c r="K1358" s="7" t="s">
        <v>110</v>
      </c>
      <c r="L1358" s="61">
        <v>45782</v>
      </c>
      <c r="M1358" s="7" t="s">
        <v>111</v>
      </c>
      <c r="N1358" s="61">
        <v>45782</v>
      </c>
      <c r="O1358" s="58">
        <v>45783</v>
      </c>
      <c r="P1358" s="59"/>
      <c r="Q1358" s="124" t="e">
        <f>P1358*#REF!</f>
        <v>#REF!</v>
      </c>
      <c r="R1358" s="126">
        <v>45783</v>
      </c>
      <c r="S1358" s="153">
        <f>IF(L1358="","",L1358-B1358)</f>
        <v>5</v>
      </c>
      <c r="T1358" s="153">
        <f>IF(N1358="","",N1358-L1358)</f>
        <v>0</v>
      </c>
      <c r="U1358" s="153">
        <f>IF(O1358="","",O1358-N1358)</f>
        <v>1</v>
      </c>
      <c r="V1358" s="154">
        <f>IF(O1358="","",O1358-B1358)</f>
        <v>6</v>
      </c>
      <c r="W1358" s="154">
        <f>IF(O1358="","",O1358-L1358)</f>
        <v>1</v>
      </c>
      <c r="X1358" s="154">
        <f>IF(R1358="","",R1358-B1358)</f>
        <v>6</v>
      </c>
    </row>
    <row r="1359" spans="2:24" ht="17.25" hidden="1" customHeight="1">
      <c r="B1359" s="23">
        <v>45777</v>
      </c>
      <c r="C1359" s="7">
        <v>2003676339</v>
      </c>
      <c r="D1359" s="20">
        <v>5902640</v>
      </c>
      <c r="E1359" s="27" t="s">
        <v>185</v>
      </c>
      <c r="F1359" s="7" t="s">
        <v>107</v>
      </c>
      <c r="G1359" s="7" t="s">
        <v>26</v>
      </c>
      <c r="H1359" s="7" t="s">
        <v>45</v>
      </c>
      <c r="I1359" s="20" t="s">
        <v>1200</v>
      </c>
      <c r="J1359" s="20" t="s">
        <v>2185</v>
      </c>
      <c r="K1359" s="7" t="s">
        <v>110</v>
      </c>
      <c r="L1359" s="61">
        <v>45782</v>
      </c>
      <c r="M1359" s="7" t="s">
        <v>111</v>
      </c>
      <c r="N1359" s="24">
        <v>45783</v>
      </c>
      <c r="O1359" s="23">
        <v>45783</v>
      </c>
      <c r="P1359" s="59"/>
      <c r="Q1359" s="124" t="e">
        <f>P1359*#REF!</f>
        <v>#REF!</v>
      </c>
      <c r="R1359" s="126">
        <v>45783</v>
      </c>
      <c r="S1359" s="153">
        <f>IF(L1359="","",L1359-B1359)</f>
        <v>5</v>
      </c>
      <c r="T1359" s="153">
        <f>IF(N1359="","",N1359-L1359)</f>
        <v>1</v>
      </c>
      <c r="U1359" s="153">
        <f>IF(O1359="","",O1359-N1359)</f>
        <v>0</v>
      </c>
      <c r="V1359" s="154">
        <f>IF(O1359="","",O1359-B1359)</f>
        <v>6</v>
      </c>
      <c r="W1359" s="154">
        <f>IF(O1359="","",O1359-L1359)</f>
        <v>1</v>
      </c>
      <c r="X1359" s="154">
        <f>IF(R1359="","",R1359-B1359)</f>
        <v>6</v>
      </c>
    </row>
    <row r="1360" spans="2:24" ht="17.25" hidden="1" customHeight="1">
      <c r="B1360" s="23">
        <v>45777</v>
      </c>
      <c r="C1360" s="7">
        <v>2003663614</v>
      </c>
      <c r="D1360" s="20">
        <v>5902645</v>
      </c>
      <c r="E1360" s="27" t="s">
        <v>185</v>
      </c>
      <c r="F1360" s="7" t="s">
        <v>107</v>
      </c>
      <c r="G1360" s="7" t="s">
        <v>10</v>
      </c>
      <c r="H1360" s="7" t="s">
        <v>45</v>
      </c>
      <c r="I1360" s="20" t="s">
        <v>2179</v>
      </c>
      <c r="J1360" s="20" t="s">
        <v>2186</v>
      </c>
      <c r="K1360" s="7" t="s">
        <v>110</v>
      </c>
      <c r="L1360" s="61">
        <v>45782</v>
      </c>
      <c r="M1360" s="7" t="s">
        <v>111</v>
      </c>
      <c r="N1360" s="61">
        <v>45782</v>
      </c>
      <c r="O1360" s="23">
        <v>45783</v>
      </c>
      <c r="P1360" s="59"/>
      <c r="Q1360" s="124" t="e">
        <f>P1360*#REF!</f>
        <v>#REF!</v>
      </c>
      <c r="R1360" s="126">
        <v>45783</v>
      </c>
      <c r="S1360" s="153">
        <f>IF(L1360="","",L1360-B1360)</f>
        <v>5</v>
      </c>
      <c r="T1360" s="153">
        <f>IF(N1360="","",N1360-L1360)</f>
        <v>0</v>
      </c>
      <c r="U1360" s="153">
        <f>IF(O1360="","",O1360-N1360)</f>
        <v>1</v>
      </c>
      <c r="V1360" s="154">
        <f>IF(O1360="","",O1360-B1360)</f>
        <v>6</v>
      </c>
      <c r="W1360" s="154">
        <f>IF(O1360="","",O1360-L1360)</f>
        <v>1</v>
      </c>
      <c r="X1360" s="154">
        <f>IF(R1360="","",R1360-B1360)</f>
        <v>6</v>
      </c>
    </row>
    <row r="1361" spans="2:24" ht="17.25" hidden="1" customHeight="1">
      <c r="B1361" s="23">
        <v>45777</v>
      </c>
      <c r="C1361" s="7">
        <v>2003665098</v>
      </c>
      <c r="D1361" s="20">
        <v>5902686</v>
      </c>
      <c r="E1361" s="27" t="s">
        <v>191</v>
      </c>
      <c r="F1361" s="7" t="s">
        <v>107</v>
      </c>
      <c r="G1361" s="7" t="s">
        <v>10</v>
      </c>
      <c r="H1361" s="7" t="s">
        <v>45</v>
      </c>
      <c r="I1361" s="20" t="s">
        <v>2187</v>
      </c>
      <c r="J1361" s="20" t="s">
        <v>2188</v>
      </c>
      <c r="K1361" s="7" t="s">
        <v>122</v>
      </c>
      <c r="L1361" s="61">
        <v>45784</v>
      </c>
      <c r="M1361" s="7" t="s">
        <v>111</v>
      </c>
      <c r="N1361" s="24">
        <v>45785</v>
      </c>
      <c r="O1361" s="58">
        <v>45786</v>
      </c>
      <c r="P1361" s="59"/>
      <c r="Q1361" s="124" t="e">
        <f>P1361*#REF!</f>
        <v>#REF!</v>
      </c>
      <c r="R1361" s="126">
        <v>45786</v>
      </c>
      <c r="S1361" s="153">
        <f>IF(L1361="","",L1361-B1361)</f>
        <v>7</v>
      </c>
      <c r="T1361" s="153">
        <f>IF(N1361="","",N1361-L1361)</f>
        <v>1</v>
      </c>
      <c r="U1361" s="153">
        <f>IF(O1361="","",O1361-N1361)</f>
        <v>1</v>
      </c>
      <c r="V1361" s="154">
        <f>IF(O1361="","",O1361-B1361)</f>
        <v>9</v>
      </c>
      <c r="W1361" s="154">
        <f>IF(O1361="","",O1361-L1361)</f>
        <v>2</v>
      </c>
      <c r="X1361" s="154">
        <f>IF(R1361="","",R1361-B1361)</f>
        <v>9</v>
      </c>
    </row>
    <row r="1362" spans="2:24" ht="17.25" hidden="1" customHeight="1">
      <c r="B1362" s="23">
        <v>45777</v>
      </c>
      <c r="C1362" s="7">
        <v>2003675007</v>
      </c>
      <c r="D1362" s="20">
        <v>5902693</v>
      </c>
      <c r="E1362" s="27" t="s">
        <v>185</v>
      </c>
      <c r="F1362" s="7" t="s">
        <v>107</v>
      </c>
      <c r="G1362" s="7" t="s">
        <v>26</v>
      </c>
      <c r="H1362" s="7" t="s">
        <v>45</v>
      </c>
      <c r="I1362" s="20" t="s">
        <v>2189</v>
      </c>
      <c r="J1362" s="20" t="s">
        <v>2190</v>
      </c>
      <c r="K1362" s="7" t="s">
        <v>110</v>
      </c>
      <c r="L1362" s="61">
        <v>45782</v>
      </c>
      <c r="M1362" s="7" t="s">
        <v>111</v>
      </c>
      <c r="N1362" s="24">
        <v>45783</v>
      </c>
      <c r="O1362" s="58">
        <v>45783</v>
      </c>
      <c r="P1362" s="59"/>
      <c r="Q1362" s="124" t="e">
        <f>P1362*#REF!</f>
        <v>#REF!</v>
      </c>
      <c r="R1362" s="126">
        <v>45783</v>
      </c>
      <c r="S1362" s="153">
        <f>IF(L1362="","",L1362-B1362)</f>
        <v>5</v>
      </c>
      <c r="T1362" s="153">
        <f>IF(N1362="","",N1362-L1362)</f>
        <v>1</v>
      </c>
      <c r="U1362" s="153">
        <f>IF(O1362="","",O1362-N1362)</f>
        <v>0</v>
      </c>
      <c r="V1362" s="154">
        <f>IF(O1362="","",O1362-B1362)</f>
        <v>6</v>
      </c>
      <c r="W1362" s="154">
        <f>IF(O1362="","",O1362-L1362)</f>
        <v>1</v>
      </c>
      <c r="X1362" s="154">
        <f>IF(R1362="","",R1362-B1362)</f>
        <v>6</v>
      </c>
    </row>
    <row r="1363" spans="2:24" ht="17.25" hidden="1" customHeight="1">
      <c r="B1363" s="23">
        <v>45785</v>
      </c>
      <c r="C1363" s="7">
        <v>2003678327</v>
      </c>
      <c r="D1363" s="20">
        <v>5938291</v>
      </c>
      <c r="E1363" s="27" t="s">
        <v>180</v>
      </c>
      <c r="F1363" s="7" t="s">
        <v>113</v>
      </c>
      <c r="G1363" s="7" t="s">
        <v>70</v>
      </c>
      <c r="H1363" s="7" t="s">
        <v>47</v>
      </c>
      <c r="I1363" s="20" t="s">
        <v>2191</v>
      </c>
      <c r="J1363" s="20" t="s">
        <v>2192</v>
      </c>
      <c r="K1363" s="7" t="s">
        <v>160</v>
      </c>
      <c r="P1363" s="59"/>
      <c r="Q1363" s="124" t="e">
        <f>P1363*#REF!</f>
        <v>#REF!</v>
      </c>
      <c r="R1363" s="126">
        <v>45805</v>
      </c>
      <c r="S1363" s="153" t="str">
        <f>IF(L1363="","",L1363-B1363)</f>
        <v/>
      </c>
      <c r="T1363" s="153" t="str">
        <f>IF(N1363="","",N1363-L1363)</f>
        <v/>
      </c>
      <c r="U1363" s="153" t="str">
        <f>IF(O1363="","",O1363-N1363)</f>
        <v/>
      </c>
      <c r="V1363" s="154" t="str">
        <f>IF(O1363="","",O1363-B1363)</f>
        <v/>
      </c>
      <c r="W1363" s="154" t="str">
        <f>IF(O1363="","",O1363-L1363)</f>
        <v/>
      </c>
      <c r="X1363" s="154">
        <f>IF(R1363="","",R1363-B1363)</f>
        <v>20</v>
      </c>
    </row>
    <row r="1364" spans="2:24" ht="17.25" hidden="1" customHeight="1">
      <c r="B1364" s="23">
        <v>45777</v>
      </c>
      <c r="C1364" s="7">
        <v>2003671079</v>
      </c>
      <c r="D1364" s="20">
        <v>5902725</v>
      </c>
      <c r="E1364" s="27" t="s">
        <v>191</v>
      </c>
      <c r="F1364" s="7" t="s">
        <v>107</v>
      </c>
      <c r="G1364" s="7" t="s">
        <v>10</v>
      </c>
      <c r="H1364" s="7" t="s">
        <v>45</v>
      </c>
      <c r="I1364" s="20" t="s">
        <v>1026</v>
      </c>
      <c r="J1364" s="20" t="s">
        <v>2193</v>
      </c>
      <c r="K1364" s="7" t="s">
        <v>110</v>
      </c>
      <c r="L1364" s="61">
        <v>45783</v>
      </c>
      <c r="M1364" s="7" t="s">
        <v>111</v>
      </c>
      <c r="N1364" s="61">
        <v>45783</v>
      </c>
      <c r="O1364" s="61">
        <v>45784</v>
      </c>
      <c r="P1364" s="59"/>
      <c r="Q1364" s="124" t="e">
        <f>P1364*#REF!</f>
        <v>#REF!</v>
      </c>
      <c r="R1364" s="126">
        <v>45784</v>
      </c>
      <c r="S1364" s="153">
        <f>IF(L1364="","",L1364-B1364)</f>
        <v>6</v>
      </c>
      <c r="T1364" s="153">
        <f>IF(N1364="","",N1364-L1364)</f>
        <v>0</v>
      </c>
      <c r="U1364" s="153">
        <f>IF(O1364="","",O1364-N1364)</f>
        <v>1</v>
      </c>
      <c r="V1364" s="154">
        <f>IF(O1364="","",O1364-B1364)</f>
        <v>7</v>
      </c>
      <c r="W1364" s="154">
        <f>IF(O1364="","",O1364-L1364)</f>
        <v>1</v>
      </c>
      <c r="X1364" s="154">
        <f>IF(R1364="","",R1364-B1364)</f>
        <v>7</v>
      </c>
    </row>
    <row r="1365" spans="2:24" ht="17.25" hidden="1" customHeight="1">
      <c r="B1365" s="23">
        <v>45777</v>
      </c>
      <c r="C1365" s="7">
        <v>2003665969</v>
      </c>
      <c r="D1365" s="20">
        <v>5902727</v>
      </c>
      <c r="E1365" s="27" t="s">
        <v>230</v>
      </c>
      <c r="F1365" s="7" t="s">
        <v>107</v>
      </c>
      <c r="G1365" s="7" t="s">
        <v>18</v>
      </c>
      <c r="H1365" s="7" t="s">
        <v>45</v>
      </c>
      <c r="I1365" s="20" t="s">
        <v>2194</v>
      </c>
      <c r="J1365" s="20" t="s">
        <v>2195</v>
      </c>
      <c r="K1365" s="7" t="s">
        <v>110</v>
      </c>
      <c r="L1365" s="61">
        <v>45782</v>
      </c>
      <c r="M1365" s="7" t="s">
        <v>111</v>
      </c>
      <c r="N1365" s="61">
        <v>45782</v>
      </c>
      <c r="O1365" s="58">
        <v>45783</v>
      </c>
      <c r="P1365" s="59"/>
      <c r="Q1365" s="124" t="e">
        <f>P1365*#REF!</f>
        <v>#REF!</v>
      </c>
      <c r="R1365" s="126">
        <v>45783</v>
      </c>
      <c r="S1365" s="153">
        <f>IF(L1365="","",L1365-B1365)</f>
        <v>5</v>
      </c>
      <c r="T1365" s="153">
        <f>IF(N1365="","",N1365-L1365)</f>
        <v>0</v>
      </c>
      <c r="U1365" s="153">
        <f>IF(O1365="","",O1365-N1365)</f>
        <v>1</v>
      </c>
      <c r="V1365" s="154">
        <f>IF(O1365="","",O1365-B1365)</f>
        <v>6</v>
      </c>
      <c r="W1365" s="154">
        <f>IF(O1365="","",O1365-L1365)</f>
        <v>1</v>
      </c>
      <c r="X1365" s="154">
        <f>IF(R1365="","",R1365-B1365)</f>
        <v>6</v>
      </c>
    </row>
    <row r="1366" spans="2:24" ht="17.25" hidden="1" customHeight="1">
      <c r="B1366" s="23">
        <v>45777</v>
      </c>
      <c r="C1366" s="7">
        <v>2003664970</v>
      </c>
      <c r="D1366" s="20">
        <v>5902737</v>
      </c>
      <c r="E1366" s="27" t="s">
        <v>185</v>
      </c>
      <c r="F1366" s="7" t="s">
        <v>107</v>
      </c>
      <c r="G1366" s="7" t="s">
        <v>26</v>
      </c>
      <c r="H1366" s="7" t="s">
        <v>45</v>
      </c>
      <c r="I1366" s="20" t="s">
        <v>466</v>
      </c>
      <c r="J1366" s="20" t="s">
        <v>2196</v>
      </c>
      <c r="K1366" s="7" t="s">
        <v>110</v>
      </c>
      <c r="L1366" s="61">
        <v>45784</v>
      </c>
      <c r="M1366" s="7" t="s">
        <v>111</v>
      </c>
      <c r="N1366" s="24">
        <v>45784</v>
      </c>
      <c r="O1366" s="23">
        <v>45784</v>
      </c>
      <c r="P1366" s="59"/>
      <c r="Q1366" s="124" t="e">
        <f>P1366*#REF!</f>
        <v>#REF!</v>
      </c>
      <c r="R1366" s="126">
        <v>45784</v>
      </c>
      <c r="S1366" s="153">
        <f>IF(L1366="","",L1366-B1366)</f>
        <v>7</v>
      </c>
      <c r="T1366" s="153">
        <f>IF(N1366="","",N1366-L1366)</f>
        <v>0</v>
      </c>
      <c r="U1366" s="153">
        <f>IF(O1366="","",O1366-N1366)</f>
        <v>0</v>
      </c>
      <c r="V1366" s="154">
        <f>IF(O1366="","",O1366-B1366)</f>
        <v>7</v>
      </c>
      <c r="W1366" s="154">
        <f>IF(O1366="","",O1366-L1366)</f>
        <v>0</v>
      </c>
      <c r="X1366" s="154">
        <f>IF(R1366="","",R1366-B1366)</f>
        <v>7</v>
      </c>
    </row>
    <row r="1367" spans="2:24" ht="17.25" hidden="1" customHeight="1">
      <c r="B1367" s="23">
        <v>45777</v>
      </c>
      <c r="C1367" s="7">
        <v>2003666348</v>
      </c>
      <c r="D1367" s="20">
        <v>5903002</v>
      </c>
      <c r="E1367" s="27" t="s">
        <v>568</v>
      </c>
      <c r="F1367" s="7" t="s">
        <v>107</v>
      </c>
      <c r="G1367" s="7" t="s">
        <v>10</v>
      </c>
      <c r="H1367" s="7" t="s">
        <v>45</v>
      </c>
      <c r="I1367" s="20" t="s">
        <v>1002</v>
      </c>
      <c r="J1367" s="20" t="s">
        <v>1697</v>
      </c>
      <c r="K1367" s="7" t="s">
        <v>119</v>
      </c>
      <c r="L1367" s="61">
        <v>45782</v>
      </c>
      <c r="M1367" s="7" t="s">
        <v>111</v>
      </c>
      <c r="N1367" s="61">
        <v>45782</v>
      </c>
      <c r="O1367" s="130">
        <v>45782</v>
      </c>
      <c r="P1367" s="59"/>
      <c r="Q1367" s="124" t="e">
        <f>P1367*#REF!</f>
        <v>#REF!</v>
      </c>
      <c r="R1367" s="126">
        <v>45783</v>
      </c>
      <c r="S1367" s="153">
        <f>IF(L1367="","",L1367-B1367)</f>
        <v>5</v>
      </c>
      <c r="T1367" s="153">
        <f>IF(N1367="","",N1367-L1367)</f>
        <v>0</v>
      </c>
      <c r="U1367" s="153">
        <f>IF(O1367="","",O1367-N1367)</f>
        <v>0</v>
      </c>
      <c r="V1367" s="154">
        <f>IF(O1367="","",O1367-B1367)</f>
        <v>5</v>
      </c>
      <c r="W1367" s="154">
        <f>IF(O1367="","",O1367-L1367)</f>
        <v>0</v>
      </c>
      <c r="X1367" s="154">
        <f>IF(R1367="","",R1367-B1367)</f>
        <v>6</v>
      </c>
    </row>
    <row r="1368" spans="2:24" ht="17.25" hidden="1" customHeight="1">
      <c r="B1368" s="23">
        <v>45777</v>
      </c>
      <c r="C1368" s="7">
        <v>2003667757</v>
      </c>
      <c r="D1368" s="20">
        <v>5903007</v>
      </c>
      <c r="E1368" s="27" t="s">
        <v>201</v>
      </c>
      <c r="F1368" s="7" t="s">
        <v>107</v>
      </c>
      <c r="G1368" s="7" t="s">
        <v>26</v>
      </c>
      <c r="H1368" s="7" t="s">
        <v>45</v>
      </c>
      <c r="I1368" s="20" t="s">
        <v>730</v>
      </c>
      <c r="J1368" s="20" t="s">
        <v>2197</v>
      </c>
      <c r="K1368" s="7" t="s">
        <v>110</v>
      </c>
      <c r="L1368" s="61">
        <v>45782</v>
      </c>
      <c r="M1368" s="7" t="s">
        <v>111</v>
      </c>
      <c r="N1368" s="24">
        <v>45783</v>
      </c>
      <c r="O1368" s="23">
        <v>45783</v>
      </c>
      <c r="P1368" s="59"/>
      <c r="Q1368" s="124" t="e">
        <f>P1368*#REF!</f>
        <v>#REF!</v>
      </c>
      <c r="R1368" s="126">
        <v>45783</v>
      </c>
      <c r="S1368" s="153">
        <f>IF(L1368="","",L1368-B1368)</f>
        <v>5</v>
      </c>
      <c r="T1368" s="153">
        <f>IF(N1368="","",N1368-L1368)</f>
        <v>1</v>
      </c>
      <c r="U1368" s="153">
        <f>IF(O1368="","",O1368-N1368)</f>
        <v>0</v>
      </c>
      <c r="V1368" s="154">
        <f>IF(O1368="","",O1368-B1368)</f>
        <v>6</v>
      </c>
      <c r="W1368" s="154">
        <f>IF(O1368="","",O1368-L1368)</f>
        <v>1</v>
      </c>
      <c r="X1368" s="154">
        <f>IF(R1368="","",R1368-B1368)</f>
        <v>6</v>
      </c>
    </row>
    <row r="1369" spans="2:24" ht="17.25" hidden="1" customHeight="1">
      <c r="B1369" s="23">
        <v>45777</v>
      </c>
      <c r="C1369" s="7">
        <v>2003674273</v>
      </c>
      <c r="D1369" s="20">
        <v>5903009</v>
      </c>
      <c r="E1369" s="27" t="s">
        <v>201</v>
      </c>
      <c r="F1369" s="7" t="s">
        <v>107</v>
      </c>
      <c r="G1369" s="7" t="s">
        <v>10</v>
      </c>
      <c r="H1369" s="7" t="s">
        <v>45</v>
      </c>
      <c r="I1369" s="20" t="s">
        <v>2198</v>
      </c>
      <c r="J1369" s="20" t="s">
        <v>2199</v>
      </c>
      <c r="K1369" s="7" t="s">
        <v>119</v>
      </c>
      <c r="L1369" s="61">
        <v>45783</v>
      </c>
      <c r="M1369" s="7" t="s">
        <v>111</v>
      </c>
      <c r="N1369" s="24">
        <v>45789</v>
      </c>
      <c r="O1369" s="106">
        <v>45789</v>
      </c>
      <c r="P1369" s="59"/>
      <c r="Q1369" s="124" t="e">
        <f>P1369*#REF!</f>
        <v>#REF!</v>
      </c>
      <c r="R1369" s="126">
        <v>45789</v>
      </c>
      <c r="S1369" s="153">
        <f>IF(L1369="","",L1369-B1369)</f>
        <v>6</v>
      </c>
      <c r="T1369" s="153">
        <f>IF(N1369="","",N1369-L1369)</f>
        <v>6</v>
      </c>
      <c r="U1369" s="153">
        <f>IF(O1369="","",O1369-N1369)</f>
        <v>0</v>
      </c>
      <c r="V1369" s="154">
        <f>IF(O1369="","",O1369-B1369)</f>
        <v>12</v>
      </c>
      <c r="W1369" s="154">
        <f>IF(O1369="","",O1369-L1369)</f>
        <v>6</v>
      </c>
      <c r="X1369" s="154">
        <f>IF(R1369="","",R1369-B1369)</f>
        <v>12</v>
      </c>
    </row>
    <row r="1370" spans="2:24" ht="17.25" hidden="1" customHeight="1">
      <c r="B1370" s="23">
        <v>45777</v>
      </c>
      <c r="C1370" s="7">
        <v>2003667111</v>
      </c>
      <c r="D1370" s="20">
        <v>5903026</v>
      </c>
      <c r="E1370" s="27" t="s">
        <v>138</v>
      </c>
      <c r="F1370" s="7" t="s">
        <v>107</v>
      </c>
      <c r="G1370" s="7" t="s">
        <v>10</v>
      </c>
      <c r="H1370" s="7" t="s">
        <v>45</v>
      </c>
      <c r="I1370" s="20" t="s">
        <v>2200</v>
      </c>
      <c r="J1370" s="20" t="s">
        <v>2201</v>
      </c>
      <c r="K1370" s="7" t="s">
        <v>119</v>
      </c>
      <c r="L1370" s="61">
        <v>45783</v>
      </c>
      <c r="M1370" s="7" t="s">
        <v>111</v>
      </c>
      <c r="N1370" s="24">
        <v>45784</v>
      </c>
      <c r="O1370" s="106">
        <v>45784</v>
      </c>
      <c r="P1370" s="59"/>
      <c r="Q1370" s="124" t="e">
        <f>P1370*#REF!</f>
        <v>#REF!</v>
      </c>
      <c r="R1370" s="126">
        <v>45784</v>
      </c>
      <c r="S1370" s="153">
        <f>IF(L1370="","",L1370-B1370)</f>
        <v>6</v>
      </c>
      <c r="T1370" s="153">
        <f>IF(N1370="","",N1370-L1370)</f>
        <v>1</v>
      </c>
      <c r="U1370" s="153">
        <f>IF(O1370="","",O1370-N1370)</f>
        <v>0</v>
      </c>
      <c r="V1370" s="154">
        <f>IF(O1370="","",O1370-B1370)</f>
        <v>7</v>
      </c>
      <c r="W1370" s="154">
        <f>IF(O1370="","",O1370-L1370)</f>
        <v>1</v>
      </c>
      <c r="X1370" s="154">
        <f>IF(R1370="","",R1370-B1370)</f>
        <v>7</v>
      </c>
    </row>
    <row r="1371" spans="2:24" ht="17.25" hidden="1" customHeight="1">
      <c r="B1371" s="23">
        <v>45777</v>
      </c>
      <c r="C1371" s="7">
        <v>2003669919</v>
      </c>
      <c r="D1371" s="20">
        <v>5903202</v>
      </c>
      <c r="E1371" s="27" t="s">
        <v>198</v>
      </c>
      <c r="F1371" s="7" t="s">
        <v>107</v>
      </c>
      <c r="G1371" s="7" t="s">
        <v>18</v>
      </c>
      <c r="H1371" s="7" t="s">
        <v>45</v>
      </c>
      <c r="I1371" s="20" t="s">
        <v>2202</v>
      </c>
      <c r="J1371" s="20" t="s">
        <v>2203</v>
      </c>
      <c r="K1371" s="7" t="s">
        <v>122</v>
      </c>
      <c r="L1371" s="61">
        <v>45782</v>
      </c>
      <c r="M1371" s="7" t="s">
        <v>111</v>
      </c>
      <c r="N1371" s="24">
        <v>45783</v>
      </c>
      <c r="O1371" s="24">
        <v>45783</v>
      </c>
      <c r="P1371" s="59"/>
      <c r="Q1371" s="124" t="e">
        <f>P1371*#REF!</f>
        <v>#REF!</v>
      </c>
      <c r="R1371" s="126">
        <v>45783</v>
      </c>
      <c r="S1371" s="153">
        <f>IF(L1371="","",L1371-B1371)</f>
        <v>5</v>
      </c>
      <c r="T1371" s="153">
        <f>IF(N1371="","",N1371-L1371)</f>
        <v>1</v>
      </c>
      <c r="U1371" s="153">
        <f>IF(O1371="","",O1371-N1371)</f>
        <v>0</v>
      </c>
      <c r="V1371" s="154">
        <f>IF(O1371="","",O1371-B1371)</f>
        <v>6</v>
      </c>
      <c r="W1371" s="154">
        <f>IF(O1371="","",O1371-L1371)</f>
        <v>1</v>
      </c>
      <c r="X1371" s="154">
        <f>IF(R1371="","",R1371-B1371)</f>
        <v>6</v>
      </c>
    </row>
    <row r="1372" spans="2:24" ht="17.25" hidden="1" customHeight="1">
      <c r="B1372" s="23">
        <v>45782</v>
      </c>
      <c r="C1372" s="7">
        <v>2003670312</v>
      </c>
      <c r="D1372" s="20">
        <v>5919135</v>
      </c>
      <c r="E1372" s="27" t="s">
        <v>201</v>
      </c>
      <c r="F1372" s="7" t="s">
        <v>107</v>
      </c>
      <c r="G1372" s="7" t="s">
        <v>26</v>
      </c>
      <c r="H1372" s="7" t="s">
        <v>45</v>
      </c>
      <c r="I1372" s="20" t="s">
        <v>2204</v>
      </c>
      <c r="J1372" s="20" t="s">
        <v>2046</v>
      </c>
      <c r="K1372" s="7" t="s">
        <v>110</v>
      </c>
      <c r="L1372" s="61">
        <v>45785</v>
      </c>
      <c r="M1372" s="7" t="s">
        <v>111</v>
      </c>
      <c r="N1372" s="24">
        <v>45789</v>
      </c>
      <c r="O1372" s="58">
        <v>45789</v>
      </c>
      <c r="P1372" s="59"/>
      <c r="Q1372" s="124" t="e">
        <f>P1372*#REF!</f>
        <v>#REF!</v>
      </c>
      <c r="R1372" s="126">
        <v>45789</v>
      </c>
      <c r="S1372" s="153">
        <f>IF(L1372="","",L1372-B1372)</f>
        <v>3</v>
      </c>
      <c r="T1372" s="153">
        <f>IF(N1372="","",N1372-L1372)</f>
        <v>4</v>
      </c>
      <c r="U1372" s="153">
        <f>IF(O1372="","",O1372-N1372)</f>
        <v>0</v>
      </c>
      <c r="V1372" s="154">
        <f>IF(O1372="","",O1372-B1372)</f>
        <v>7</v>
      </c>
      <c r="W1372" s="154">
        <f>IF(O1372="","",O1372-L1372)</f>
        <v>4</v>
      </c>
      <c r="X1372" s="154">
        <f>IF(R1372="","",R1372-B1372)</f>
        <v>7</v>
      </c>
    </row>
    <row r="1373" spans="2:24" ht="17.25" hidden="1" customHeight="1">
      <c r="B1373" s="23">
        <v>45782</v>
      </c>
      <c r="C1373" s="7">
        <v>2003491711</v>
      </c>
      <c r="D1373" s="20">
        <v>5919193</v>
      </c>
      <c r="E1373" s="27" t="s">
        <v>123</v>
      </c>
      <c r="F1373" s="7" t="s">
        <v>107</v>
      </c>
      <c r="G1373" s="7" t="s">
        <v>10</v>
      </c>
      <c r="H1373" s="7" t="s">
        <v>45</v>
      </c>
      <c r="I1373" s="20" t="s">
        <v>2136</v>
      </c>
      <c r="J1373" s="20" t="s">
        <v>2137</v>
      </c>
      <c r="K1373" s="7" t="s">
        <v>119</v>
      </c>
      <c r="L1373" s="61">
        <v>45783</v>
      </c>
      <c r="M1373" s="7" t="s">
        <v>111</v>
      </c>
      <c r="N1373" s="24">
        <v>45785</v>
      </c>
      <c r="O1373" s="23">
        <v>45786</v>
      </c>
      <c r="P1373" s="59"/>
      <c r="Q1373" s="124" t="e">
        <f>P1373*#REF!</f>
        <v>#REF!</v>
      </c>
      <c r="R1373" s="126">
        <v>45792</v>
      </c>
      <c r="S1373" s="153">
        <f>IF(L1373="","",L1373-B1373)</f>
        <v>1</v>
      </c>
      <c r="T1373" s="153">
        <f>IF(N1373="","",N1373-L1373)</f>
        <v>2</v>
      </c>
      <c r="U1373" s="153">
        <f>IF(O1373="","",O1373-N1373)</f>
        <v>1</v>
      </c>
      <c r="V1373" s="154">
        <f>IF(O1373="","",O1373-B1373)</f>
        <v>4</v>
      </c>
      <c r="W1373" s="154">
        <f>IF(O1373="","",O1373-L1373)</f>
        <v>3</v>
      </c>
      <c r="X1373" s="154">
        <f>IF(R1373="","",R1373-B1373)</f>
        <v>10</v>
      </c>
    </row>
    <row r="1374" spans="2:24" ht="17.25" hidden="1" customHeight="1">
      <c r="B1374" s="23">
        <v>45782</v>
      </c>
      <c r="C1374" s="7">
        <v>2003667967</v>
      </c>
      <c r="D1374" s="20">
        <v>5919212</v>
      </c>
      <c r="E1374" s="27" t="s">
        <v>123</v>
      </c>
      <c r="F1374" s="7" t="s">
        <v>107</v>
      </c>
      <c r="G1374" s="7" t="s">
        <v>10</v>
      </c>
      <c r="H1374" s="7" t="s">
        <v>45</v>
      </c>
      <c r="I1374" s="20" t="s">
        <v>2205</v>
      </c>
      <c r="J1374" s="20" t="s">
        <v>2206</v>
      </c>
      <c r="K1374" s="7" t="s">
        <v>119</v>
      </c>
      <c r="L1374" s="61">
        <v>45783</v>
      </c>
      <c r="M1374" s="7" t="s">
        <v>111</v>
      </c>
      <c r="N1374" s="24">
        <v>45784</v>
      </c>
      <c r="O1374" s="24">
        <v>45784</v>
      </c>
      <c r="P1374" s="59"/>
      <c r="Q1374" s="124" t="e">
        <f>P1374*#REF!</f>
        <v>#REF!</v>
      </c>
      <c r="R1374" s="126">
        <v>45784</v>
      </c>
      <c r="S1374" s="153">
        <f>IF(L1374="","",L1374-B1374)</f>
        <v>1</v>
      </c>
      <c r="T1374" s="153">
        <f>IF(N1374="","",N1374-L1374)</f>
        <v>1</v>
      </c>
      <c r="U1374" s="153">
        <f>IF(O1374="","",O1374-N1374)</f>
        <v>0</v>
      </c>
      <c r="V1374" s="154">
        <f>IF(O1374="","",O1374-B1374)</f>
        <v>2</v>
      </c>
      <c r="W1374" s="154">
        <f>IF(O1374="","",O1374-L1374)</f>
        <v>1</v>
      </c>
      <c r="X1374" s="154">
        <f>IF(R1374="","",R1374-B1374)</f>
        <v>2</v>
      </c>
    </row>
    <row r="1375" spans="2:24" ht="17.25" hidden="1" customHeight="1">
      <c r="B1375" s="23">
        <v>45782</v>
      </c>
      <c r="C1375" s="7">
        <v>2003671536</v>
      </c>
      <c r="D1375" s="20">
        <v>5919233</v>
      </c>
      <c r="E1375" s="27" t="s">
        <v>123</v>
      </c>
      <c r="F1375" s="7" t="s">
        <v>107</v>
      </c>
      <c r="G1375" s="7" t="s">
        <v>10</v>
      </c>
      <c r="H1375" s="7" t="s">
        <v>45</v>
      </c>
      <c r="I1375" s="20" t="s">
        <v>1348</v>
      </c>
      <c r="J1375" s="20" t="s">
        <v>2207</v>
      </c>
      <c r="K1375" s="7" t="s">
        <v>119</v>
      </c>
      <c r="L1375" s="61">
        <v>45789</v>
      </c>
      <c r="M1375" s="7" t="s">
        <v>111</v>
      </c>
      <c r="N1375" s="24">
        <v>45790</v>
      </c>
      <c r="O1375" s="24">
        <v>45790</v>
      </c>
      <c r="P1375" s="59"/>
      <c r="Q1375" s="124" t="e">
        <f>P1375*#REF!</f>
        <v>#REF!</v>
      </c>
      <c r="R1375" s="126">
        <v>45790</v>
      </c>
      <c r="S1375" s="153">
        <f>IF(L1375="","",L1375-B1375)</f>
        <v>7</v>
      </c>
      <c r="T1375" s="153">
        <f>IF(N1375="","",N1375-L1375)</f>
        <v>1</v>
      </c>
      <c r="U1375" s="153">
        <f>IF(O1375="","",O1375-N1375)</f>
        <v>0</v>
      </c>
      <c r="V1375" s="154">
        <f>IF(O1375="","",O1375-B1375)</f>
        <v>8</v>
      </c>
      <c r="W1375" s="154">
        <f>IF(O1375="","",O1375-L1375)</f>
        <v>1</v>
      </c>
      <c r="X1375" s="154">
        <f>IF(R1375="","",R1375-B1375)</f>
        <v>8</v>
      </c>
    </row>
    <row r="1376" spans="2:24" ht="17.25" hidden="1" customHeight="1">
      <c r="B1376" s="23">
        <v>45782</v>
      </c>
      <c r="C1376" s="7">
        <v>2003672462</v>
      </c>
      <c r="D1376" s="20">
        <v>5919302</v>
      </c>
      <c r="E1376" s="27" t="s">
        <v>123</v>
      </c>
      <c r="F1376" s="7" t="s">
        <v>107</v>
      </c>
      <c r="G1376" s="7" t="s">
        <v>26</v>
      </c>
      <c r="H1376" s="7" t="s">
        <v>45</v>
      </c>
      <c r="I1376" s="20" t="s">
        <v>636</v>
      </c>
      <c r="J1376" s="20" t="s">
        <v>2208</v>
      </c>
      <c r="K1376" s="7" t="s">
        <v>119</v>
      </c>
      <c r="L1376" s="61">
        <v>45805</v>
      </c>
      <c r="M1376" s="7" t="s">
        <v>111</v>
      </c>
      <c r="N1376" s="24">
        <v>45807</v>
      </c>
      <c r="O1376" s="58">
        <v>45807</v>
      </c>
      <c r="P1376" s="59"/>
      <c r="Q1376" s="124" t="e">
        <f>P1376*#REF!</f>
        <v>#REF!</v>
      </c>
      <c r="R1376" s="126">
        <v>45792</v>
      </c>
      <c r="S1376" s="153">
        <f>IF(L1376="","",L1376-B1376)</f>
        <v>23</v>
      </c>
      <c r="T1376" s="153">
        <f>IF(N1376="","",N1376-L1376)</f>
        <v>2</v>
      </c>
      <c r="U1376" s="153">
        <f>IF(O1376="","",O1376-N1376)</f>
        <v>0</v>
      </c>
      <c r="V1376" s="154">
        <f>IF(O1376="","",O1376-B1376)</f>
        <v>25</v>
      </c>
      <c r="W1376" s="154">
        <f>IF(O1376="","",O1376-L1376)</f>
        <v>2</v>
      </c>
      <c r="X1376" s="154">
        <f>IF(R1376="","",R1376-B1376)</f>
        <v>10</v>
      </c>
    </row>
    <row r="1377" spans="2:24" ht="17.25" hidden="1" customHeight="1">
      <c r="B1377" s="23">
        <v>45782</v>
      </c>
      <c r="C1377" s="7">
        <v>2003675488</v>
      </c>
      <c r="D1377" s="20">
        <v>5919308</v>
      </c>
      <c r="E1377" s="27" t="s">
        <v>123</v>
      </c>
      <c r="F1377" s="7" t="s">
        <v>107</v>
      </c>
      <c r="G1377" s="7" t="s">
        <v>10</v>
      </c>
      <c r="H1377" s="7" t="s">
        <v>45</v>
      </c>
      <c r="I1377" s="20" t="s">
        <v>2209</v>
      </c>
      <c r="J1377" s="20" t="s">
        <v>2210</v>
      </c>
      <c r="K1377" s="7" t="s">
        <v>110</v>
      </c>
      <c r="L1377" s="61">
        <v>45790</v>
      </c>
      <c r="M1377" s="7" t="s">
        <v>111</v>
      </c>
      <c r="N1377" s="61">
        <v>45790</v>
      </c>
      <c r="O1377" s="61">
        <v>45790</v>
      </c>
      <c r="P1377" s="59"/>
      <c r="Q1377" s="124" t="e">
        <f>P1377*#REF!</f>
        <v>#REF!</v>
      </c>
      <c r="R1377" s="126">
        <v>45790</v>
      </c>
      <c r="S1377" s="153">
        <f>IF(L1377="","",L1377-B1377)</f>
        <v>8</v>
      </c>
      <c r="T1377" s="153">
        <f>IF(N1377="","",N1377-L1377)</f>
        <v>0</v>
      </c>
      <c r="U1377" s="153">
        <f>IF(O1377="","",O1377-N1377)</f>
        <v>0</v>
      </c>
      <c r="V1377" s="154">
        <f>IF(O1377="","",O1377-B1377)</f>
        <v>8</v>
      </c>
      <c r="W1377" s="154">
        <f>IF(O1377="","",O1377-L1377)</f>
        <v>0</v>
      </c>
      <c r="X1377" s="154">
        <f>IF(R1377="","",R1377-B1377)</f>
        <v>8</v>
      </c>
    </row>
    <row r="1378" spans="2:24" ht="17.25" hidden="1" customHeight="1">
      <c r="B1378" s="23">
        <v>45782</v>
      </c>
      <c r="C1378" s="7">
        <v>2003626839</v>
      </c>
      <c r="D1378" s="20">
        <v>5919364</v>
      </c>
      <c r="E1378" s="27" t="s">
        <v>152</v>
      </c>
      <c r="F1378" s="7" t="s">
        <v>107</v>
      </c>
      <c r="G1378" s="7" t="s">
        <v>26</v>
      </c>
      <c r="H1378" s="7" t="s">
        <v>45</v>
      </c>
      <c r="I1378" s="20" t="s">
        <v>2211</v>
      </c>
      <c r="J1378" s="20" t="s">
        <v>2212</v>
      </c>
      <c r="K1378" s="7" t="s">
        <v>110</v>
      </c>
      <c r="L1378" s="61">
        <v>45790</v>
      </c>
      <c r="M1378" s="7" t="s">
        <v>111</v>
      </c>
      <c r="N1378" s="24">
        <v>45790</v>
      </c>
      <c r="O1378" s="58">
        <v>45790</v>
      </c>
      <c r="P1378" s="59"/>
      <c r="Q1378" s="124" t="e">
        <f>P1378*#REF!</f>
        <v>#REF!</v>
      </c>
      <c r="R1378" s="126">
        <v>45790</v>
      </c>
      <c r="S1378" s="153">
        <f>IF(L1378="","",L1378-B1378)</f>
        <v>8</v>
      </c>
      <c r="T1378" s="153">
        <f>IF(N1378="","",N1378-L1378)</f>
        <v>0</v>
      </c>
      <c r="U1378" s="153">
        <f>IF(O1378="","",O1378-N1378)</f>
        <v>0</v>
      </c>
      <c r="V1378" s="154">
        <f>IF(O1378="","",O1378-B1378)</f>
        <v>8</v>
      </c>
      <c r="W1378" s="154">
        <f>IF(O1378="","",O1378-L1378)</f>
        <v>0</v>
      </c>
      <c r="X1378" s="154">
        <f>IF(R1378="","",R1378-B1378)</f>
        <v>8</v>
      </c>
    </row>
    <row r="1379" spans="2:24" ht="17.25" hidden="1" customHeight="1">
      <c r="B1379" s="23">
        <v>45782</v>
      </c>
      <c r="C1379" s="7">
        <v>2003665037</v>
      </c>
      <c r="D1379" s="20">
        <v>5919463</v>
      </c>
      <c r="E1379" s="27" t="s">
        <v>191</v>
      </c>
      <c r="F1379" s="7" t="s">
        <v>107</v>
      </c>
      <c r="G1379" s="7" t="s">
        <v>10</v>
      </c>
      <c r="H1379" s="7" t="s">
        <v>45</v>
      </c>
      <c r="I1379" s="20" t="s">
        <v>2213</v>
      </c>
      <c r="J1379" s="20" t="s">
        <v>2214</v>
      </c>
      <c r="K1379" s="7" t="s">
        <v>110</v>
      </c>
      <c r="L1379" s="61">
        <v>45784</v>
      </c>
      <c r="M1379" s="7" t="s">
        <v>111</v>
      </c>
      <c r="N1379" s="61">
        <v>45784</v>
      </c>
      <c r="O1379" s="130">
        <v>45784</v>
      </c>
      <c r="P1379" s="59"/>
      <c r="Q1379" s="124" t="e">
        <f>P1379*#REF!</f>
        <v>#REF!</v>
      </c>
      <c r="R1379" s="126">
        <v>45784</v>
      </c>
      <c r="S1379" s="153">
        <f>IF(L1379="","",L1379-B1379)</f>
        <v>2</v>
      </c>
      <c r="T1379" s="153">
        <f>IF(N1379="","",N1379-L1379)</f>
        <v>0</v>
      </c>
      <c r="U1379" s="153">
        <f>IF(O1379="","",O1379-N1379)</f>
        <v>0</v>
      </c>
      <c r="V1379" s="154">
        <f>IF(O1379="","",O1379-B1379)</f>
        <v>2</v>
      </c>
      <c r="W1379" s="154">
        <f>IF(O1379="","",O1379-L1379)</f>
        <v>0</v>
      </c>
      <c r="X1379" s="154">
        <f>IF(R1379="","",R1379-B1379)</f>
        <v>2</v>
      </c>
    </row>
    <row r="1380" spans="2:24" ht="17.25" hidden="1" customHeight="1">
      <c r="B1380" s="23">
        <v>45782</v>
      </c>
      <c r="C1380" s="7">
        <v>2003678765</v>
      </c>
      <c r="D1380" s="20">
        <v>5919508</v>
      </c>
      <c r="E1380" s="27" t="s">
        <v>201</v>
      </c>
      <c r="F1380" s="7" t="s">
        <v>107</v>
      </c>
      <c r="G1380" s="7" t="s">
        <v>10</v>
      </c>
      <c r="H1380" s="7" t="s">
        <v>45</v>
      </c>
      <c r="I1380" s="20" t="s">
        <v>2215</v>
      </c>
      <c r="J1380" s="20" t="s">
        <v>2216</v>
      </c>
      <c r="K1380" s="7" t="s">
        <v>110</v>
      </c>
      <c r="L1380" s="61">
        <v>45785</v>
      </c>
      <c r="M1380" s="7" t="s">
        <v>111</v>
      </c>
      <c r="N1380" s="61">
        <v>45785</v>
      </c>
      <c r="O1380" s="130">
        <v>45785</v>
      </c>
      <c r="P1380" s="59"/>
      <c r="Q1380" s="124" t="e">
        <f>P1380*#REF!</f>
        <v>#REF!</v>
      </c>
      <c r="R1380" s="126">
        <v>45786</v>
      </c>
      <c r="S1380" s="153">
        <f>IF(L1380="","",L1380-B1380)</f>
        <v>3</v>
      </c>
      <c r="T1380" s="153">
        <f>IF(N1380="","",N1380-L1380)</f>
        <v>0</v>
      </c>
      <c r="U1380" s="153">
        <f>IF(O1380="","",O1380-N1380)</f>
        <v>0</v>
      </c>
      <c r="V1380" s="154">
        <f>IF(O1380="","",O1380-B1380)</f>
        <v>3</v>
      </c>
      <c r="W1380" s="154">
        <f>IF(O1380="","",O1380-L1380)</f>
        <v>0</v>
      </c>
      <c r="X1380" s="154">
        <f>IF(R1380="","",R1380-B1380)</f>
        <v>4</v>
      </c>
    </row>
    <row r="1381" spans="2:24" ht="17.25" hidden="1" customHeight="1">
      <c r="B1381" s="23">
        <v>45782</v>
      </c>
      <c r="C1381" s="7">
        <v>2003668942</v>
      </c>
      <c r="D1381" s="20">
        <v>5919536</v>
      </c>
      <c r="E1381" s="27" t="s">
        <v>191</v>
      </c>
      <c r="F1381" s="7" t="s">
        <v>107</v>
      </c>
      <c r="G1381" s="7" t="s">
        <v>10</v>
      </c>
      <c r="H1381" s="7" t="s">
        <v>45</v>
      </c>
      <c r="I1381" s="20" t="s">
        <v>2217</v>
      </c>
      <c r="J1381" s="20" t="s">
        <v>2218</v>
      </c>
      <c r="K1381" s="7" t="s">
        <v>110</v>
      </c>
      <c r="L1381" s="61">
        <v>45784</v>
      </c>
      <c r="M1381" s="7" t="s">
        <v>111</v>
      </c>
      <c r="N1381" s="61">
        <v>45784</v>
      </c>
      <c r="O1381" s="61">
        <v>45784</v>
      </c>
      <c r="P1381" s="59"/>
      <c r="Q1381" s="124" t="e">
        <f>P1381*#REF!</f>
        <v>#REF!</v>
      </c>
      <c r="R1381" s="126">
        <v>45784</v>
      </c>
      <c r="S1381" s="153">
        <f>IF(L1381="","",L1381-B1381)</f>
        <v>2</v>
      </c>
      <c r="T1381" s="153">
        <f>IF(N1381="","",N1381-L1381)</f>
        <v>0</v>
      </c>
      <c r="U1381" s="153">
        <f>IF(O1381="","",O1381-N1381)</f>
        <v>0</v>
      </c>
      <c r="V1381" s="154">
        <f>IF(O1381="","",O1381-B1381)</f>
        <v>2</v>
      </c>
      <c r="W1381" s="154">
        <f>IF(O1381="","",O1381-L1381)</f>
        <v>0</v>
      </c>
      <c r="X1381" s="154">
        <f>IF(R1381="","",R1381-B1381)</f>
        <v>2</v>
      </c>
    </row>
    <row r="1382" spans="2:24" ht="17.25" hidden="1" customHeight="1">
      <c r="B1382" s="23">
        <v>45782</v>
      </c>
      <c r="C1382" s="7">
        <v>2003666272</v>
      </c>
      <c r="D1382" s="20">
        <v>5919559</v>
      </c>
      <c r="E1382" s="27" t="s">
        <v>191</v>
      </c>
      <c r="F1382" s="7" t="s">
        <v>107</v>
      </c>
      <c r="G1382" s="7" t="s">
        <v>10</v>
      </c>
      <c r="H1382" s="7" t="s">
        <v>45</v>
      </c>
      <c r="I1382" s="20" t="s">
        <v>623</v>
      </c>
      <c r="J1382" s="20" t="s">
        <v>2219</v>
      </c>
      <c r="K1382" s="7" t="s">
        <v>110</v>
      </c>
      <c r="L1382" s="61">
        <v>45793</v>
      </c>
      <c r="M1382" s="7" t="s">
        <v>111</v>
      </c>
      <c r="N1382" s="61">
        <v>45793</v>
      </c>
      <c r="O1382" s="61">
        <v>45793</v>
      </c>
      <c r="P1382" s="59"/>
      <c r="Q1382" s="124" t="e">
        <f>P1382*#REF!</f>
        <v>#REF!</v>
      </c>
      <c r="R1382" s="126">
        <v>45796</v>
      </c>
      <c r="S1382" s="153">
        <f>IF(L1382="","",L1382-B1382)</f>
        <v>11</v>
      </c>
      <c r="T1382" s="153">
        <f>IF(N1382="","",N1382-L1382)</f>
        <v>0</v>
      </c>
      <c r="U1382" s="153">
        <f>IF(O1382="","",O1382-N1382)</f>
        <v>0</v>
      </c>
      <c r="V1382" s="154">
        <f>IF(O1382="","",O1382-B1382)</f>
        <v>11</v>
      </c>
      <c r="W1382" s="154">
        <f>IF(O1382="","",O1382-L1382)</f>
        <v>0</v>
      </c>
      <c r="X1382" s="154">
        <f>IF(R1382="","",R1382-B1382)</f>
        <v>14</v>
      </c>
    </row>
    <row r="1383" spans="2:24" ht="17.25" hidden="1" customHeight="1">
      <c r="B1383" s="23">
        <v>45782</v>
      </c>
      <c r="C1383" s="7">
        <v>2003367378</v>
      </c>
      <c r="D1383" s="20">
        <v>5919561</v>
      </c>
      <c r="E1383" s="27" t="s">
        <v>185</v>
      </c>
      <c r="F1383" s="7" t="s">
        <v>107</v>
      </c>
      <c r="G1383" s="7" t="s">
        <v>21</v>
      </c>
      <c r="H1383" s="7" t="s">
        <v>45</v>
      </c>
      <c r="I1383" s="20" t="s">
        <v>906</v>
      </c>
      <c r="J1383" s="20" t="s">
        <v>907</v>
      </c>
      <c r="K1383" s="7" t="s">
        <v>111</v>
      </c>
      <c r="L1383" s="61">
        <v>45783</v>
      </c>
      <c r="M1383" s="7" t="s">
        <v>111</v>
      </c>
      <c r="N1383" s="24">
        <v>45784</v>
      </c>
      <c r="O1383" s="58">
        <v>45786</v>
      </c>
      <c r="P1383" s="59"/>
      <c r="Q1383" s="124" t="e">
        <f>P1383*#REF!</f>
        <v>#REF!</v>
      </c>
      <c r="R1383" s="126">
        <v>45786</v>
      </c>
      <c r="S1383" s="153">
        <f>IF(L1383="","",L1383-B1383)</f>
        <v>1</v>
      </c>
      <c r="T1383" s="153">
        <f>IF(N1383="","",N1383-L1383)</f>
        <v>1</v>
      </c>
      <c r="U1383" s="153">
        <f>IF(O1383="","",O1383-N1383)</f>
        <v>2</v>
      </c>
      <c r="V1383" s="154">
        <f>IF(O1383="","",O1383-B1383)</f>
        <v>4</v>
      </c>
      <c r="W1383" s="154">
        <f>IF(O1383="","",O1383-L1383)</f>
        <v>3</v>
      </c>
      <c r="X1383" s="154">
        <f>IF(R1383="","",R1383-B1383)</f>
        <v>4</v>
      </c>
    </row>
    <row r="1384" spans="2:24" ht="17.25" hidden="1" customHeight="1">
      <c r="B1384" s="23">
        <v>45782</v>
      </c>
      <c r="C1384" s="7">
        <v>2003665470</v>
      </c>
      <c r="D1384" s="20">
        <v>5919632</v>
      </c>
      <c r="E1384" s="27" t="s">
        <v>191</v>
      </c>
      <c r="F1384" s="7" t="s">
        <v>107</v>
      </c>
      <c r="G1384" s="7" t="s">
        <v>26</v>
      </c>
      <c r="H1384" s="7" t="s">
        <v>45</v>
      </c>
      <c r="I1384" s="20" t="s">
        <v>2220</v>
      </c>
      <c r="J1384" s="20" t="s">
        <v>2221</v>
      </c>
      <c r="K1384" s="7" t="s">
        <v>119</v>
      </c>
      <c r="L1384" s="61">
        <v>45793</v>
      </c>
      <c r="M1384" s="7" t="s">
        <v>111</v>
      </c>
      <c r="N1384" s="24">
        <v>45796</v>
      </c>
      <c r="O1384" s="23">
        <v>45796</v>
      </c>
      <c r="P1384" s="59"/>
      <c r="Q1384" s="124" t="e">
        <f>P1384*#REF!</f>
        <v>#REF!</v>
      </c>
      <c r="R1384" s="126">
        <v>45796</v>
      </c>
      <c r="S1384" s="153">
        <f>IF(L1384="","",L1384-B1384)</f>
        <v>11</v>
      </c>
      <c r="T1384" s="153">
        <f>IF(N1384="","",N1384-L1384)</f>
        <v>3</v>
      </c>
      <c r="U1384" s="153">
        <f>IF(O1384="","",O1384-N1384)</f>
        <v>0</v>
      </c>
      <c r="V1384" s="154">
        <f>IF(O1384="","",O1384-B1384)</f>
        <v>14</v>
      </c>
      <c r="W1384" s="154">
        <f>IF(O1384="","",O1384-L1384)</f>
        <v>3</v>
      </c>
      <c r="X1384" s="154">
        <f>IF(R1384="","",R1384-B1384)</f>
        <v>14</v>
      </c>
    </row>
    <row r="1385" spans="2:24" ht="17.25" hidden="1" customHeight="1">
      <c r="B1385" s="23">
        <v>45782</v>
      </c>
      <c r="C1385" s="7">
        <v>2003673392</v>
      </c>
      <c r="D1385" s="20">
        <v>5919657</v>
      </c>
      <c r="E1385" s="27" t="s">
        <v>949</v>
      </c>
      <c r="F1385" s="7" t="s">
        <v>107</v>
      </c>
      <c r="G1385" s="7" t="s">
        <v>10</v>
      </c>
      <c r="H1385" s="7" t="s">
        <v>45</v>
      </c>
      <c r="I1385" s="20" t="s">
        <v>2222</v>
      </c>
      <c r="J1385" s="20" t="s">
        <v>2223</v>
      </c>
      <c r="K1385" s="7" t="s">
        <v>119</v>
      </c>
      <c r="L1385" s="61">
        <v>45783</v>
      </c>
      <c r="M1385" s="7" t="s">
        <v>111</v>
      </c>
      <c r="N1385" s="61">
        <v>45783</v>
      </c>
      <c r="O1385" s="130">
        <v>45783</v>
      </c>
      <c r="P1385" s="59"/>
      <c r="Q1385" s="124" t="e">
        <f>P1385*#REF!</f>
        <v>#REF!</v>
      </c>
      <c r="R1385" s="126">
        <v>45783</v>
      </c>
      <c r="S1385" s="153">
        <f>IF(L1385="","",L1385-B1385)</f>
        <v>1</v>
      </c>
      <c r="T1385" s="153">
        <f>IF(N1385="","",N1385-L1385)</f>
        <v>0</v>
      </c>
      <c r="U1385" s="153">
        <f>IF(O1385="","",O1385-N1385)</f>
        <v>0</v>
      </c>
      <c r="V1385" s="154">
        <f>IF(O1385="","",O1385-B1385)</f>
        <v>1</v>
      </c>
      <c r="W1385" s="154">
        <f>IF(O1385="","",O1385-L1385)</f>
        <v>0</v>
      </c>
      <c r="X1385" s="154">
        <f>IF(R1385="","",R1385-B1385)</f>
        <v>1</v>
      </c>
    </row>
    <row r="1386" spans="2:24" ht="17.25" hidden="1" customHeight="1">
      <c r="B1386" s="23">
        <v>45782</v>
      </c>
      <c r="C1386" s="7">
        <v>2003670266</v>
      </c>
      <c r="D1386" s="20">
        <v>5919691</v>
      </c>
      <c r="E1386" s="27" t="s">
        <v>152</v>
      </c>
      <c r="F1386" s="7" t="s">
        <v>107</v>
      </c>
      <c r="G1386" s="7" t="s">
        <v>10</v>
      </c>
      <c r="H1386" s="7" t="s">
        <v>45</v>
      </c>
      <c r="I1386" s="20" t="s">
        <v>2224</v>
      </c>
      <c r="J1386" s="20" t="s">
        <v>2225</v>
      </c>
      <c r="K1386" s="7" t="s">
        <v>119</v>
      </c>
      <c r="L1386" s="61">
        <v>45784</v>
      </c>
      <c r="M1386" s="7" t="s">
        <v>111</v>
      </c>
      <c r="N1386" s="61">
        <v>45784</v>
      </c>
      <c r="O1386" s="130">
        <v>45784</v>
      </c>
      <c r="P1386" s="59"/>
      <c r="Q1386" s="124" t="e">
        <f>P1386*#REF!</f>
        <v>#REF!</v>
      </c>
      <c r="R1386" s="126">
        <v>45784</v>
      </c>
      <c r="S1386" s="153">
        <f>IF(L1386="","",L1386-B1386)</f>
        <v>2</v>
      </c>
      <c r="T1386" s="153">
        <f>IF(N1386="","",N1386-L1386)</f>
        <v>0</v>
      </c>
      <c r="U1386" s="153">
        <f>IF(O1386="","",O1386-N1386)</f>
        <v>0</v>
      </c>
      <c r="V1386" s="154">
        <f>IF(O1386="","",O1386-B1386)</f>
        <v>2</v>
      </c>
      <c r="W1386" s="154">
        <f>IF(O1386="","",O1386-L1386)</f>
        <v>0</v>
      </c>
      <c r="X1386" s="154">
        <f>IF(R1386="","",R1386-B1386)</f>
        <v>2</v>
      </c>
    </row>
    <row r="1387" spans="2:24" ht="17.25" hidden="1" customHeight="1">
      <c r="B1387" s="23">
        <v>45782</v>
      </c>
      <c r="C1387" s="7">
        <v>2003669628</v>
      </c>
      <c r="D1387" s="20">
        <v>5919721</v>
      </c>
      <c r="E1387" s="27" t="s">
        <v>129</v>
      </c>
      <c r="F1387" s="7" t="s">
        <v>107</v>
      </c>
      <c r="G1387" s="7" t="s">
        <v>10</v>
      </c>
      <c r="H1387" s="7" t="s">
        <v>45</v>
      </c>
      <c r="I1387" s="20" t="s">
        <v>2226</v>
      </c>
      <c r="J1387" s="20" t="s">
        <v>2227</v>
      </c>
      <c r="K1387" s="7" t="s">
        <v>111</v>
      </c>
      <c r="L1387" s="61">
        <v>45785</v>
      </c>
      <c r="M1387" s="7" t="s">
        <v>111</v>
      </c>
      <c r="N1387" s="24">
        <v>45786</v>
      </c>
      <c r="O1387" s="24">
        <v>45786</v>
      </c>
      <c r="P1387" s="59"/>
      <c r="Q1387" s="124" t="e">
        <f>P1387*#REF!</f>
        <v>#REF!</v>
      </c>
      <c r="R1387" s="126">
        <v>45786</v>
      </c>
      <c r="S1387" s="153">
        <f>IF(L1387="","",L1387-B1387)</f>
        <v>3</v>
      </c>
      <c r="T1387" s="153">
        <f>IF(N1387="","",N1387-L1387)</f>
        <v>1</v>
      </c>
      <c r="U1387" s="153">
        <f>IF(O1387="","",O1387-N1387)</f>
        <v>0</v>
      </c>
      <c r="V1387" s="154">
        <f>IF(O1387="","",O1387-B1387)</f>
        <v>4</v>
      </c>
      <c r="W1387" s="154">
        <f>IF(O1387="","",O1387-L1387)</f>
        <v>1</v>
      </c>
      <c r="X1387" s="154">
        <f>IF(R1387="","",R1387-B1387)</f>
        <v>4</v>
      </c>
    </row>
    <row r="1388" spans="2:24" ht="17.25" hidden="1" customHeight="1">
      <c r="B1388" s="23">
        <v>45782</v>
      </c>
      <c r="C1388" s="7">
        <v>2003644340</v>
      </c>
      <c r="D1388" s="20">
        <v>5919876</v>
      </c>
      <c r="E1388" s="27" t="s">
        <v>129</v>
      </c>
      <c r="F1388" s="7" t="s">
        <v>107</v>
      </c>
      <c r="G1388" s="7" t="s">
        <v>18</v>
      </c>
      <c r="H1388" s="7" t="s">
        <v>45</v>
      </c>
      <c r="I1388" s="20" t="s">
        <v>2228</v>
      </c>
      <c r="J1388" s="20" t="s">
        <v>2229</v>
      </c>
      <c r="K1388" s="7" t="s">
        <v>111</v>
      </c>
      <c r="L1388" s="61">
        <v>45783</v>
      </c>
      <c r="M1388" s="7" t="s">
        <v>111</v>
      </c>
      <c r="N1388" s="61">
        <v>45783</v>
      </c>
      <c r="O1388" s="23">
        <v>45793</v>
      </c>
      <c r="P1388" s="59"/>
      <c r="Q1388" s="124" t="e">
        <f>P1388*#REF!</f>
        <v>#REF!</v>
      </c>
      <c r="R1388" s="126">
        <v>45795</v>
      </c>
      <c r="S1388" s="153">
        <f>IF(L1388="","",L1388-B1388)</f>
        <v>1</v>
      </c>
      <c r="T1388" s="153">
        <f>IF(N1388="","",N1388-L1388)</f>
        <v>0</v>
      </c>
      <c r="U1388" s="153">
        <f>IF(O1388="","",O1388-N1388)</f>
        <v>10</v>
      </c>
      <c r="V1388" s="154">
        <f>IF(O1388="","",O1388-B1388)</f>
        <v>11</v>
      </c>
      <c r="W1388" s="154">
        <f>IF(O1388="","",O1388-L1388)</f>
        <v>10</v>
      </c>
      <c r="X1388" s="154">
        <f>IF(R1388="","",R1388-B1388)</f>
        <v>13</v>
      </c>
    </row>
    <row r="1389" spans="2:24" ht="17.25" hidden="1" customHeight="1">
      <c r="B1389" s="23">
        <v>45782</v>
      </c>
      <c r="C1389" s="7">
        <v>2003668661</v>
      </c>
      <c r="D1389" s="20">
        <v>5919907</v>
      </c>
      <c r="E1389" s="27" t="s">
        <v>568</v>
      </c>
      <c r="F1389" s="7" t="s">
        <v>107</v>
      </c>
      <c r="G1389" s="7" t="s">
        <v>10</v>
      </c>
      <c r="H1389" s="7" t="s">
        <v>45</v>
      </c>
      <c r="I1389" s="20" t="s">
        <v>2230</v>
      </c>
      <c r="J1389" s="20" t="s">
        <v>2231</v>
      </c>
      <c r="K1389" s="7" t="s">
        <v>119</v>
      </c>
      <c r="L1389" s="61">
        <v>45784</v>
      </c>
      <c r="M1389" s="7" t="s">
        <v>111</v>
      </c>
      <c r="N1389" s="61">
        <v>45784</v>
      </c>
      <c r="O1389" s="61">
        <v>45784</v>
      </c>
      <c r="P1389" s="59"/>
      <c r="Q1389" s="124" t="e">
        <f>P1389*#REF!</f>
        <v>#REF!</v>
      </c>
      <c r="R1389" s="126">
        <v>45784</v>
      </c>
      <c r="S1389" s="153">
        <f>IF(L1389="","",L1389-B1389)</f>
        <v>2</v>
      </c>
      <c r="T1389" s="153">
        <f>IF(N1389="","",N1389-L1389)</f>
        <v>0</v>
      </c>
      <c r="U1389" s="153">
        <f>IF(O1389="","",O1389-N1389)</f>
        <v>0</v>
      </c>
      <c r="V1389" s="154">
        <f>IF(O1389="","",O1389-B1389)</f>
        <v>2</v>
      </c>
      <c r="W1389" s="154">
        <f>IF(O1389="","",O1389-L1389)</f>
        <v>0</v>
      </c>
      <c r="X1389" s="154">
        <f>IF(R1389="","",R1389-B1389)</f>
        <v>2</v>
      </c>
    </row>
    <row r="1390" spans="2:24" ht="17.25" hidden="1" customHeight="1">
      <c r="B1390" s="23">
        <v>45782</v>
      </c>
      <c r="C1390" s="7">
        <v>2003671730</v>
      </c>
      <c r="D1390" s="20">
        <v>5920048</v>
      </c>
      <c r="E1390" s="27" t="s">
        <v>149</v>
      </c>
      <c r="F1390" s="7" t="s">
        <v>107</v>
      </c>
      <c r="G1390" s="7" t="s">
        <v>10</v>
      </c>
      <c r="H1390" s="7" t="s">
        <v>45</v>
      </c>
      <c r="I1390" s="20" t="s">
        <v>2232</v>
      </c>
      <c r="J1390" s="20" t="s">
        <v>2233</v>
      </c>
      <c r="K1390" s="7" t="s">
        <v>110</v>
      </c>
      <c r="L1390" s="61">
        <v>45784</v>
      </c>
      <c r="M1390" s="7" t="s">
        <v>111</v>
      </c>
      <c r="N1390" s="61">
        <v>45784</v>
      </c>
      <c r="O1390" s="130">
        <v>45784</v>
      </c>
      <c r="P1390" s="59"/>
      <c r="Q1390" s="124" t="e">
        <f>P1390*#REF!</f>
        <v>#REF!</v>
      </c>
      <c r="R1390" s="126">
        <v>45784</v>
      </c>
      <c r="S1390" s="153">
        <f>IF(L1390="","",L1390-B1390)</f>
        <v>2</v>
      </c>
      <c r="T1390" s="153">
        <f>IF(N1390="","",N1390-L1390)</f>
        <v>0</v>
      </c>
      <c r="U1390" s="153">
        <f>IF(O1390="","",O1390-N1390)</f>
        <v>0</v>
      </c>
      <c r="V1390" s="154">
        <f>IF(O1390="","",O1390-B1390)</f>
        <v>2</v>
      </c>
      <c r="W1390" s="154">
        <f>IF(O1390="","",O1390-L1390)</f>
        <v>0</v>
      </c>
      <c r="X1390" s="154">
        <f>IF(R1390="","",R1390-B1390)</f>
        <v>2</v>
      </c>
    </row>
    <row r="1391" spans="2:24" ht="17.25" hidden="1" customHeight="1">
      <c r="B1391" s="23">
        <v>45786</v>
      </c>
      <c r="C1391" s="7">
        <v>2003677327</v>
      </c>
      <c r="D1391" s="20">
        <v>5939037</v>
      </c>
      <c r="E1391" s="27" t="s">
        <v>180</v>
      </c>
      <c r="F1391" s="7" t="s">
        <v>107</v>
      </c>
      <c r="G1391" s="7" t="s">
        <v>10</v>
      </c>
      <c r="H1391" s="7" t="s">
        <v>45</v>
      </c>
      <c r="I1391" s="20" t="s">
        <v>2234</v>
      </c>
      <c r="J1391" s="20" t="s">
        <v>2235</v>
      </c>
      <c r="K1391" s="7" t="s">
        <v>110</v>
      </c>
      <c r="L1391" s="61">
        <v>45791</v>
      </c>
      <c r="M1391" s="7" t="s">
        <v>111</v>
      </c>
      <c r="N1391" s="61">
        <v>45810</v>
      </c>
      <c r="O1391" s="61">
        <v>45812</v>
      </c>
      <c r="P1391" s="59"/>
      <c r="Q1391" s="124" t="e">
        <f>P1391*#REF!</f>
        <v>#REF!</v>
      </c>
      <c r="R1391" s="126">
        <v>45820</v>
      </c>
      <c r="S1391" s="153">
        <f>IF(L1391="","",L1391-B1391)</f>
        <v>5</v>
      </c>
      <c r="T1391" s="153">
        <f>IF(N1391="","",N1391-L1391)</f>
        <v>19</v>
      </c>
      <c r="U1391" s="153">
        <f>IF(O1391="","",O1391-N1391)</f>
        <v>2</v>
      </c>
      <c r="V1391" s="154">
        <f>IF(O1391="","",O1391-B1391)</f>
        <v>26</v>
      </c>
      <c r="W1391" s="154">
        <f>IF(O1391="","",O1391-L1391)</f>
        <v>21</v>
      </c>
      <c r="X1391" s="154">
        <f>IF(R1391="","",R1391-B1391)</f>
        <v>34</v>
      </c>
    </row>
    <row r="1392" spans="2:24" ht="17.25" hidden="1" customHeight="1">
      <c r="B1392" s="23">
        <v>45782</v>
      </c>
      <c r="C1392" s="7">
        <v>2003634499</v>
      </c>
      <c r="D1392" s="20">
        <v>5920060</v>
      </c>
      <c r="E1392" s="27" t="s">
        <v>123</v>
      </c>
      <c r="F1392" s="7" t="s">
        <v>107</v>
      </c>
      <c r="G1392" s="7" t="s">
        <v>18</v>
      </c>
      <c r="H1392" s="7" t="s">
        <v>45</v>
      </c>
      <c r="I1392" s="20" t="s">
        <v>2236</v>
      </c>
      <c r="J1392" s="20" t="s">
        <v>2237</v>
      </c>
      <c r="K1392" s="7" t="s">
        <v>119</v>
      </c>
      <c r="L1392" s="61">
        <v>45784</v>
      </c>
      <c r="M1392" s="7" t="s">
        <v>111</v>
      </c>
      <c r="N1392" s="24">
        <v>45785</v>
      </c>
      <c r="O1392" s="58">
        <v>45799</v>
      </c>
      <c r="P1392" s="59"/>
      <c r="Q1392" s="124" t="e">
        <f>P1392*#REF!</f>
        <v>#REF!</v>
      </c>
      <c r="R1392" s="126">
        <v>45802</v>
      </c>
      <c r="S1392" s="153">
        <f>IF(L1392="","",L1392-B1392)</f>
        <v>2</v>
      </c>
      <c r="T1392" s="153">
        <f>IF(N1392="","",N1392-L1392)</f>
        <v>1</v>
      </c>
      <c r="U1392" s="153">
        <f>IF(O1392="","",O1392-N1392)</f>
        <v>14</v>
      </c>
      <c r="V1392" s="154">
        <f>IF(O1392="","",O1392-B1392)</f>
        <v>17</v>
      </c>
      <c r="W1392" s="154">
        <f>IF(O1392="","",O1392-L1392)</f>
        <v>15</v>
      </c>
      <c r="X1392" s="154">
        <f>IF(R1392="","",R1392-B1392)</f>
        <v>20</v>
      </c>
    </row>
    <row r="1393" spans="2:24" ht="17.25" hidden="1" customHeight="1">
      <c r="B1393" s="23">
        <v>45782</v>
      </c>
      <c r="C1393" s="7">
        <v>2003637307</v>
      </c>
      <c r="D1393" s="20">
        <v>5920069</v>
      </c>
      <c r="E1393" s="27" t="s">
        <v>116</v>
      </c>
      <c r="F1393" s="7" t="s">
        <v>107</v>
      </c>
      <c r="G1393" s="7" t="s">
        <v>10</v>
      </c>
      <c r="H1393" s="7" t="s">
        <v>45</v>
      </c>
      <c r="I1393" s="20" t="s">
        <v>505</v>
      </c>
      <c r="J1393" s="20" t="s">
        <v>2238</v>
      </c>
      <c r="K1393" s="7" t="s">
        <v>119</v>
      </c>
      <c r="L1393" s="61">
        <v>45784</v>
      </c>
      <c r="M1393" s="7" t="s">
        <v>111</v>
      </c>
      <c r="N1393" s="61">
        <v>45784</v>
      </c>
      <c r="O1393" s="61">
        <v>45784</v>
      </c>
      <c r="P1393" s="59"/>
      <c r="Q1393" s="124" t="e">
        <f>P1393*#REF!</f>
        <v>#REF!</v>
      </c>
      <c r="R1393" s="126">
        <v>45784</v>
      </c>
      <c r="S1393" s="153">
        <f>IF(L1393="","",L1393-B1393)</f>
        <v>2</v>
      </c>
      <c r="T1393" s="153">
        <f>IF(N1393="","",N1393-L1393)</f>
        <v>0</v>
      </c>
      <c r="U1393" s="153">
        <f>IF(O1393="","",O1393-N1393)</f>
        <v>0</v>
      </c>
      <c r="V1393" s="154">
        <f>IF(O1393="","",O1393-B1393)</f>
        <v>2</v>
      </c>
      <c r="W1393" s="154">
        <f>IF(O1393="","",O1393-L1393)</f>
        <v>0</v>
      </c>
      <c r="X1393" s="154">
        <f>IF(R1393="","",R1393-B1393)</f>
        <v>2</v>
      </c>
    </row>
    <row r="1394" spans="2:24" ht="17.25" hidden="1" customHeight="1">
      <c r="B1394" s="23">
        <v>45782</v>
      </c>
      <c r="C1394" s="7">
        <v>2003676297</v>
      </c>
      <c r="D1394" s="20">
        <v>5920072</v>
      </c>
      <c r="E1394" s="27" t="s">
        <v>191</v>
      </c>
      <c r="F1394" s="7" t="s">
        <v>107</v>
      </c>
      <c r="G1394" s="7" t="s">
        <v>10</v>
      </c>
      <c r="H1394" s="7" t="s">
        <v>45</v>
      </c>
      <c r="I1394" s="20" t="s">
        <v>550</v>
      </c>
      <c r="J1394" s="20" t="s">
        <v>2239</v>
      </c>
      <c r="K1394" s="7" t="s">
        <v>119</v>
      </c>
      <c r="L1394" s="61">
        <v>45784</v>
      </c>
      <c r="M1394" s="7" t="s">
        <v>111</v>
      </c>
      <c r="N1394" s="61">
        <v>45784</v>
      </c>
      <c r="O1394" s="130">
        <v>45784</v>
      </c>
      <c r="P1394" s="59"/>
      <c r="Q1394" s="124" t="e">
        <f>P1394*#REF!</f>
        <v>#REF!</v>
      </c>
      <c r="R1394" s="126">
        <v>45784</v>
      </c>
      <c r="S1394" s="153">
        <f>IF(L1394="","",L1394-B1394)</f>
        <v>2</v>
      </c>
      <c r="T1394" s="153">
        <f>IF(N1394="","",N1394-L1394)</f>
        <v>0</v>
      </c>
      <c r="U1394" s="153">
        <f>IF(O1394="","",O1394-N1394)</f>
        <v>0</v>
      </c>
      <c r="V1394" s="154">
        <f>IF(O1394="","",O1394-B1394)</f>
        <v>2</v>
      </c>
      <c r="W1394" s="154">
        <f>IF(O1394="","",O1394-L1394)</f>
        <v>0</v>
      </c>
      <c r="X1394" s="154">
        <f>IF(R1394="","",R1394-B1394)</f>
        <v>2</v>
      </c>
    </row>
    <row r="1395" spans="2:24" ht="17.25" hidden="1" customHeight="1">
      <c r="B1395" s="23">
        <v>45782</v>
      </c>
      <c r="C1395" s="7">
        <v>2003673448</v>
      </c>
      <c r="D1395" s="20">
        <v>5920119</v>
      </c>
      <c r="E1395" s="27" t="s">
        <v>198</v>
      </c>
      <c r="F1395" s="7" t="s">
        <v>107</v>
      </c>
      <c r="G1395" s="7" t="s">
        <v>26</v>
      </c>
      <c r="H1395" s="7" t="s">
        <v>45</v>
      </c>
      <c r="I1395" s="20" t="s">
        <v>2240</v>
      </c>
      <c r="J1395" s="20" t="s">
        <v>2241</v>
      </c>
      <c r="K1395" s="7" t="s">
        <v>119</v>
      </c>
      <c r="L1395" s="61">
        <v>45791</v>
      </c>
      <c r="M1395" s="7" t="s">
        <v>111</v>
      </c>
      <c r="N1395" s="24">
        <v>45792</v>
      </c>
      <c r="O1395" s="23">
        <v>45792</v>
      </c>
      <c r="P1395" s="59"/>
      <c r="Q1395" s="124" t="e">
        <f>P1395*#REF!</f>
        <v>#REF!</v>
      </c>
      <c r="R1395" s="126">
        <v>45792</v>
      </c>
      <c r="S1395" s="153">
        <f>IF(L1395="","",L1395-B1395)</f>
        <v>9</v>
      </c>
      <c r="T1395" s="153">
        <f>IF(N1395="","",N1395-L1395)</f>
        <v>1</v>
      </c>
      <c r="U1395" s="153">
        <f>IF(O1395="","",O1395-N1395)</f>
        <v>0</v>
      </c>
      <c r="V1395" s="154">
        <f>IF(O1395="","",O1395-B1395)</f>
        <v>10</v>
      </c>
      <c r="W1395" s="154">
        <f>IF(O1395="","",O1395-L1395)</f>
        <v>1</v>
      </c>
      <c r="X1395" s="154">
        <f>IF(R1395="","",R1395-B1395)</f>
        <v>10</v>
      </c>
    </row>
    <row r="1396" spans="2:24" ht="17.25" hidden="1" customHeight="1">
      <c r="B1396" s="23">
        <v>45782</v>
      </c>
      <c r="C1396" s="7">
        <v>2003676289</v>
      </c>
      <c r="D1396" s="20">
        <v>5920124</v>
      </c>
      <c r="E1396" s="27" t="s">
        <v>622</v>
      </c>
      <c r="F1396" s="7" t="s">
        <v>107</v>
      </c>
      <c r="G1396" s="7" t="s">
        <v>10</v>
      </c>
      <c r="H1396" s="7" t="s">
        <v>45</v>
      </c>
      <c r="I1396" s="20" t="s">
        <v>2242</v>
      </c>
      <c r="J1396" s="20" t="s">
        <v>2243</v>
      </c>
      <c r="K1396" s="7" t="s">
        <v>119</v>
      </c>
      <c r="L1396" s="61">
        <v>45785</v>
      </c>
      <c r="M1396" s="7" t="s">
        <v>111</v>
      </c>
      <c r="N1396" s="61">
        <v>45785</v>
      </c>
      <c r="O1396" s="23">
        <v>45786</v>
      </c>
      <c r="P1396" s="59"/>
      <c r="Q1396" s="124" t="e">
        <f>P1396*#REF!</f>
        <v>#REF!</v>
      </c>
      <c r="R1396" s="126">
        <v>45786</v>
      </c>
      <c r="S1396" s="153">
        <f>IF(L1396="","",L1396-B1396)</f>
        <v>3</v>
      </c>
      <c r="T1396" s="153">
        <f>IF(N1396="","",N1396-L1396)</f>
        <v>0</v>
      </c>
      <c r="U1396" s="153">
        <f>IF(O1396="","",O1396-N1396)</f>
        <v>1</v>
      </c>
      <c r="V1396" s="154">
        <f>IF(O1396="","",O1396-B1396)</f>
        <v>4</v>
      </c>
      <c r="W1396" s="154">
        <f>IF(O1396="","",O1396-L1396)</f>
        <v>1</v>
      </c>
      <c r="X1396" s="154">
        <f>IF(R1396="","",R1396-B1396)</f>
        <v>4</v>
      </c>
    </row>
    <row r="1397" spans="2:24" ht="17.25" hidden="1" customHeight="1">
      <c r="B1397" s="23">
        <v>45786</v>
      </c>
      <c r="C1397" s="7">
        <v>2003678136</v>
      </c>
      <c r="D1397" s="20">
        <v>5939465</v>
      </c>
      <c r="E1397" s="27" t="s">
        <v>135</v>
      </c>
      <c r="F1397" s="7" t="s">
        <v>107</v>
      </c>
      <c r="G1397" s="7" t="s">
        <v>18</v>
      </c>
      <c r="H1397" s="7" t="s">
        <v>45</v>
      </c>
      <c r="I1397" s="20" t="s">
        <v>2244</v>
      </c>
      <c r="J1397" s="20" t="s">
        <v>2245</v>
      </c>
      <c r="K1397" s="7" t="s">
        <v>119</v>
      </c>
      <c r="L1397" s="61">
        <v>45796</v>
      </c>
      <c r="M1397" s="7" t="s">
        <v>111</v>
      </c>
      <c r="N1397" s="61">
        <v>45797</v>
      </c>
      <c r="O1397" s="61">
        <v>45810</v>
      </c>
      <c r="P1397" s="59"/>
      <c r="Q1397" s="124" t="e">
        <f>P1397*#REF!</f>
        <v>#REF!</v>
      </c>
      <c r="R1397" s="126">
        <v>45812</v>
      </c>
      <c r="S1397" s="153">
        <f>IF(L1397="","",L1397-B1397)</f>
        <v>10</v>
      </c>
      <c r="T1397" s="153">
        <f>IF(N1397="","",N1397-L1397)</f>
        <v>1</v>
      </c>
      <c r="U1397" s="153">
        <f>IF(O1397="","",O1397-N1397)</f>
        <v>13</v>
      </c>
      <c r="V1397" s="154">
        <f>IF(O1397="","",O1397-B1397)</f>
        <v>24</v>
      </c>
      <c r="W1397" s="154">
        <f>IF(O1397="","",O1397-L1397)</f>
        <v>14</v>
      </c>
      <c r="X1397" s="154">
        <f>IF(R1397="","",R1397-B1397)</f>
        <v>26</v>
      </c>
    </row>
    <row r="1398" spans="2:24" ht="17.25" hidden="1" customHeight="1">
      <c r="B1398" s="23">
        <v>45782</v>
      </c>
      <c r="C1398" s="7">
        <v>2003665018</v>
      </c>
      <c r="D1398" s="20">
        <v>5920133</v>
      </c>
      <c r="E1398" s="27" t="s">
        <v>201</v>
      </c>
      <c r="F1398" s="7" t="s">
        <v>107</v>
      </c>
      <c r="G1398" s="7" t="s">
        <v>10</v>
      </c>
      <c r="H1398" s="7" t="s">
        <v>45</v>
      </c>
      <c r="I1398" s="20" t="s">
        <v>623</v>
      </c>
      <c r="J1398" s="20" t="s">
        <v>2246</v>
      </c>
      <c r="K1398" s="7" t="s">
        <v>119</v>
      </c>
      <c r="L1398" s="61">
        <v>45796</v>
      </c>
      <c r="M1398" s="7" t="s">
        <v>111</v>
      </c>
      <c r="N1398" s="61">
        <v>45797</v>
      </c>
      <c r="O1398" s="61">
        <v>45797</v>
      </c>
      <c r="P1398" s="59"/>
      <c r="Q1398" s="124" t="e">
        <f>P1398*#REF!</f>
        <v>#REF!</v>
      </c>
      <c r="R1398" s="126">
        <v>45798</v>
      </c>
      <c r="S1398" s="153">
        <f>IF(L1398="","",L1398-B1398)</f>
        <v>14</v>
      </c>
      <c r="T1398" s="153">
        <f>IF(N1398="","",N1398-L1398)</f>
        <v>1</v>
      </c>
      <c r="U1398" s="153">
        <f>IF(O1398="","",O1398-N1398)</f>
        <v>0</v>
      </c>
      <c r="V1398" s="154">
        <f>IF(O1398="","",O1398-B1398)</f>
        <v>15</v>
      </c>
      <c r="W1398" s="154">
        <f>IF(O1398="","",O1398-L1398)</f>
        <v>1</v>
      </c>
      <c r="X1398" s="154">
        <f>IF(R1398="","",R1398-B1398)</f>
        <v>16</v>
      </c>
    </row>
    <row r="1399" spans="2:24" ht="17.25" hidden="1" customHeight="1">
      <c r="B1399" s="23">
        <v>45782</v>
      </c>
      <c r="C1399" s="7">
        <v>2003672852</v>
      </c>
      <c r="D1399" s="20">
        <v>5920137</v>
      </c>
      <c r="E1399" s="27" t="s">
        <v>622</v>
      </c>
      <c r="F1399" s="7" t="s">
        <v>107</v>
      </c>
      <c r="G1399" s="7" t="s">
        <v>10</v>
      </c>
      <c r="H1399" s="7" t="s">
        <v>45</v>
      </c>
      <c r="I1399" s="20" t="s">
        <v>1675</v>
      </c>
      <c r="J1399" s="20" t="s">
        <v>2247</v>
      </c>
      <c r="K1399" s="7" t="s">
        <v>119</v>
      </c>
      <c r="L1399" s="61">
        <v>45784</v>
      </c>
      <c r="M1399" s="7" t="s">
        <v>111</v>
      </c>
      <c r="N1399" s="24">
        <v>45785</v>
      </c>
      <c r="O1399" s="23">
        <v>45789</v>
      </c>
      <c r="P1399" s="59"/>
      <c r="Q1399" s="124" t="e">
        <f>P1399*#REF!</f>
        <v>#REF!</v>
      </c>
      <c r="R1399" s="126">
        <v>45789</v>
      </c>
      <c r="S1399" s="153">
        <f>IF(L1399="","",L1399-B1399)</f>
        <v>2</v>
      </c>
      <c r="T1399" s="153">
        <f>IF(N1399="","",N1399-L1399)</f>
        <v>1</v>
      </c>
      <c r="U1399" s="153">
        <f>IF(O1399="","",O1399-N1399)</f>
        <v>4</v>
      </c>
      <c r="V1399" s="154">
        <f>IF(O1399="","",O1399-B1399)</f>
        <v>7</v>
      </c>
      <c r="W1399" s="154">
        <f>IF(O1399="","",O1399-L1399)</f>
        <v>5</v>
      </c>
      <c r="X1399" s="154">
        <f>IF(R1399="","",R1399-B1399)</f>
        <v>7</v>
      </c>
    </row>
    <row r="1400" spans="2:24" ht="17.25" hidden="1" customHeight="1">
      <c r="B1400" s="23">
        <v>45782</v>
      </c>
      <c r="C1400" s="7">
        <v>2003665381</v>
      </c>
      <c r="D1400" s="20">
        <v>5920187</v>
      </c>
      <c r="E1400" s="27" t="s">
        <v>230</v>
      </c>
      <c r="F1400" s="7" t="s">
        <v>107</v>
      </c>
      <c r="G1400" s="7" t="s">
        <v>10</v>
      </c>
      <c r="H1400" s="7" t="s">
        <v>45</v>
      </c>
      <c r="I1400" s="20" t="s">
        <v>2248</v>
      </c>
      <c r="J1400" s="20" t="s">
        <v>2249</v>
      </c>
      <c r="K1400" s="7" t="s">
        <v>110</v>
      </c>
      <c r="L1400" s="61">
        <v>45785</v>
      </c>
      <c r="M1400" s="7" t="s">
        <v>111</v>
      </c>
      <c r="N1400" s="61">
        <v>45785</v>
      </c>
      <c r="O1400" s="130">
        <v>45785</v>
      </c>
      <c r="P1400" s="59"/>
      <c r="Q1400" s="124" t="e">
        <f>P1400*#REF!</f>
        <v>#REF!</v>
      </c>
      <c r="R1400" s="126">
        <v>45786</v>
      </c>
      <c r="S1400" s="153">
        <f>IF(L1400="","",L1400-B1400)</f>
        <v>3</v>
      </c>
      <c r="T1400" s="153">
        <f>IF(N1400="","",N1400-L1400)</f>
        <v>0</v>
      </c>
      <c r="U1400" s="153">
        <f>IF(O1400="","",O1400-N1400)</f>
        <v>0</v>
      </c>
      <c r="V1400" s="154">
        <f>IF(O1400="","",O1400-B1400)</f>
        <v>3</v>
      </c>
      <c r="W1400" s="154">
        <f>IF(O1400="","",O1400-L1400)</f>
        <v>0</v>
      </c>
      <c r="X1400" s="154">
        <f>IF(R1400="","",R1400-B1400)</f>
        <v>4</v>
      </c>
    </row>
    <row r="1401" spans="2:24" ht="17.25" hidden="1" customHeight="1">
      <c r="B1401" s="23">
        <v>45782</v>
      </c>
      <c r="C1401" s="7">
        <v>2003674653</v>
      </c>
      <c r="D1401" s="20">
        <v>5920194</v>
      </c>
      <c r="E1401" s="27" t="s">
        <v>568</v>
      </c>
      <c r="F1401" s="7" t="s">
        <v>107</v>
      </c>
      <c r="G1401" s="7" t="s">
        <v>10</v>
      </c>
      <c r="H1401" s="7" t="s">
        <v>45</v>
      </c>
      <c r="I1401" s="20" t="s">
        <v>2250</v>
      </c>
      <c r="J1401" s="20" t="s">
        <v>2251</v>
      </c>
      <c r="K1401" s="7" t="s">
        <v>119</v>
      </c>
      <c r="L1401" s="61">
        <v>45784</v>
      </c>
      <c r="M1401" s="7" t="s">
        <v>111</v>
      </c>
      <c r="N1401" s="61">
        <v>45784</v>
      </c>
      <c r="O1401" s="61">
        <v>45784</v>
      </c>
      <c r="P1401" s="59"/>
      <c r="Q1401" s="124" t="e">
        <f>P1401*#REF!</f>
        <v>#REF!</v>
      </c>
      <c r="R1401" s="126">
        <v>45784</v>
      </c>
      <c r="S1401" s="153">
        <f>IF(L1401="","",L1401-B1401)</f>
        <v>2</v>
      </c>
      <c r="T1401" s="153">
        <f>IF(N1401="","",N1401-L1401)</f>
        <v>0</v>
      </c>
      <c r="U1401" s="153">
        <f>IF(O1401="","",O1401-N1401)</f>
        <v>0</v>
      </c>
      <c r="V1401" s="154">
        <f>IF(O1401="","",O1401-B1401)</f>
        <v>2</v>
      </c>
      <c r="W1401" s="154">
        <f>IF(O1401="","",O1401-L1401)</f>
        <v>0</v>
      </c>
      <c r="X1401" s="154">
        <f>IF(R1401="","",R1401-B1401)</f>
        <v>2</v>
      </c>
    </row>
    <row r="1402" spans="2:24" ht="17.25" hidden="1" customHeight="1">
      <c r="B1402" s="23">
        <v>45782</v>
      </c>
      <c r="C1402" s="7">
        <v>2003671152</v>
      </c>
      <c r="D1402" s="20">
        <v>5920198</v>
      </c>
      <c r="E1402" s="27" t="s">
        <v>201</v>
      </c>
      <c r="F1402" s="7" t="s">
        <v>107</v>
      </c>
      <c r="G1402" s="7" t="s">
        <v>10</v>
      </c>
      <c r="H1402" s="7" t="s">
        <v>45</v>
      </c>
      <c r="I1402" s="20" t="s">
        <v>2179</v>
      </c>
      <c r="J1402" s="20" t="s">
        <v>2252</v>
      </c>
      <c r="K1402" s="7" t="s">
        <v>122</v>
      </c>
      <c r="L1402" s="61">
        <v>45784</v>
      </c>
      <c r="M1402" s="7" t="s">
        <v>111</v>
      </c>
      <c r="N1402" s="24">
        <v>45786</v>
      </c>
      <c r="O1402" s="24">
        <v>45786</v>
      </c>
      <c r="P1402" s="59"/>
      <c r="Q1402" s="124" t="e">
        <f>P1402*#REF!</f>
        <v>#REF!</v>
      </c>
      <c r="R1402" s="126">
        <v>45789</v>
      </c>
      <c r="S1402" s="153">
        <f>IF(L1402="","",L1402-B1402)</f>
        <v>2</v>
      </c>
      <c r="T1402" s="153">
        <f>IF(N1402="","",N1402-L1402)</f>
        <v>2</v>
      </c>
      <c r="U1402" s="153">
        <f>IF(O1402="","",O1402-N1402)</f>
        <v>0</v>
      </c>
      <c r="V1402" s="154">
        <f>IF(O1402="","",O1402-B1402)</f>
        <v>4</v>
      </c>
      <c r="W1402" s="154">
        <f>IF(O1402="","",O1402-L1402)</f>
        <v>2</v>
      </c>
      <c r="X1402" s="154">
        <f>IF(R1402="","",R1402-B1402)</f>
        <v>7</v>
      </c>
    </row>
    <row r="1403" spans="2:24" ht="17.25" hidden="1" customHeight="1">
      <c r="B1403" s="23">
        <v>45782</v>
      </c>
      <c r="C1403" s="7">
        <v>2003666340</v>
      </c>
      <c r="D1403" s="20">
        <v>5920242</v>
      </c>
      <c r="E1403" s="27" t="s">
        <v>191</v>
      </c>
      <c r="F1403" s="7" t="s">
        <v>107</v>
      </c>
      <c r="G1403" s="7" t="s">
        <v>10</v>
      </c>
      <c r="H1403" s="7" t="s">
        <v>45</v>
      </c>
      <c r="I1403" s="20" t="s">
        <v>2253</v>
      </c>
      <c r="J1403" s="20" t="s">
        <v>2254</v>
      </c>
      <c r="K1403" s="7" t="s">
        <v>110</v>
      </c>
      <c r="L1403" s="61">
        <v>45785</v>
      </c>
      <c r="M1403" s="7" t="s">
        <v>111</v>
      </c>
      <c r="N1403" s="61">
        <v>45785</v>
      </c>
      <c r="O1403" s="61">
        <v>45785</v>
      </c>
      <c r="P1403" s="59"/>
      <c r="Q1403" s="124" t="e">
        <f>P1403*#REF!</f>
        <v>#REF!</v>
      </c>
      <c r="R1403" s="126">
        <v>45786</v>
      </c>
      <c r="S1403" s="153">
        <f>IF(L1403="","",L1403-B1403)</f>
        <v>3</v>
      </c>
      <c r="T1403" s="153">
        <f>IF(N1403="","",N1403-L1403)</f>
        <v>0</v>
      </c>
      <c r="U1403" s="153">
        <f>IF(O1403="","",O1403-N1403)</f>
        <v>0</v>
      </c>
      <c r="V1403" s="154">
        <f>IF(O1403="","",O1403-B1403)</f>
        <v>3</v>
      </c>
      <c r="W1403" s="154">
        <f>IF(O1403="","",O1403-L1403)</f>
        <v>0</v>
      </c>
      <c r="X1403" s="154">
        <f>IF(R1403="","",R1403-B1403)</f>
        <v>4</v>
      </c>
    </row>
    <row r="1404" spans="2:24" ht="17.25" hidden="1" customHeight="1">
      <c r="B1404" s="23">
        <v>45782</v>
      </c>
      <c r="C1404" s="7">
        <v>2003665640</v>
      </c>
      <c r="D1404" s="20">
        <v>5920251</v>
      </c>
      <c r="E1404" s="27" t="s">
        <v>126</v>
      </c>
      <c r="F1404" s="7" t="s">
        <v>107</v>
      </c>
      <c r="G1404" s="7" t="s">
        <v>10</v>
      </c>
      <c r="H1404" s="7" t="s">
        <v>45</v>
      </c>
      <c r="I1404" s="20" t="s">
        <v>1090</v>
      </c>
      <c r="J1404" s="20" t="s">
        <v>2255</v>
      </c>
      <c r="K1404" s="7" t="s">
        <v>110</v>
      </c>
      <c r="L1404" s="61">
        <v>45784</v>
      </c>
      <c r="M1404" s="7" t="s">
        <v>111</v>
      </c>
      <c r="N1404" s="61">
        <v>45784</v>
      </c>
      <c r="O1404" s="61">
        <v>45784</v>
      </c>
      <c r="P1404" s="59"/>
      <c r="Q1404" s="124" t="e">
        <f>P1404*#REF!</f>
        <v>#REF!</v>
      </c>
      <c r="R1404" s="126">
        <v>45786</v>
      </c>
      <c r="S1404" s="153">
        <f>IF(L1404="","",L1404-B1404)</f>
        <v>2</v>
      </c>
      <c r="T1404" s="153">
        <f>IF(N1404="","",N1404-L1404)</f>
        <v>0</v>
      </c>
      <c r="U1404" s="153">
        <f>IF(O1404="","",O1404-N1404)</f>
        <v>0</v>
      </c>
      <c r="V1404" s="154">
        <f>IF(O1404="","",O1404-B1404)</f>
        <v>2</v>
      </c>
      <c r="W1404" s="154">
        <f>IF(O1404="","",O1404-L1404)</f>
        <v>0</v>
      </c>
      <c r="X1404" s="154">
        <f>IF(R1404="","",R1404-B1404)</f>
        <v>4</v>
      </c>
    </row>
    <row r="1405" spans="2:24" ht="17.25" hidden="1" customHeight="1">
      <c r="B1405" s="23">
        <v>45782</v>
      </c>
      <c r="C1405" s="7">
        <v>2003677961</v>
      </c>
      <c r="D1405" s="20">
        <v>5920268</v>
      </c>
      <c r="E1405" s="27" t="s">
        <v>126</v>
      </c>
      <c r="F1405" s="7" t="s">
        <v>107</v>
      </c>
      <c r="G1405" s="7" t="s">
        <v>10</v>
      </c>
      <c r="H1405" s="7" t="s">
        <v>45</v>
      </c>
      <c r="I1405" s="20" t="s">
        <v>600</v>
      </c>
      <c r="J1405" s="20" t="s">
        <v>2256</v>
      </c>
      <c r="K1405" s="7" t="s">
        <v>119</v>
      </c>
      <c r="L1405" s="61">
        <v>45785</v>
      </c>
      <c r="M1405" s="7" t="s">
        <v>111</v>
      </c>
      <c r="N1405" s="61">
        <v>45786</v>
      </c>
      <c r="O1405" s="23">
        <v>45789</v>
      </c>
      <c r="P1405" s="59"/>
      <c r="Q1405" s="124" t="e">
        <f>P1405*#REF!</f>
        <v>#REF!</v>
      </c>
      <c r="R1405" s="126">
        <v>45789</v>
      </c>
      <c r="S1405" s="153">
        <f>IF(L1405="","",L1405-B1405)</f>
        <v>3</v>
      </c>
      <c r="T1405" s="153">
        <f>IF(N1405="","",N1405-L1405)</f>
        <v>1</v>
      </c>
      <c r="U1405" s="153">
        <f>IF(O1405="","",O1405-N1405)</f>
        <v>3</v>
      </c>
      <c r="V1405" s="154">
        <f>IF(O1405="","",O1405-B1405)</f>
        <v>7</v>
      </c>
      <c r="W1405" s="154">
        <f>IF(O1405="","",O1405-L1405)</f>
        <v>4</v>
      </c>
      <c r="X1405" s="154">
        <f>IF(R1405="","",R1405-B1405)</f>
        <v>7</v>
      </c>
    </row>
    <row r="1406" spans="2:24" ht="17.25" hidden="1" customHeight="1">
      <c r="B1406" s="23">
        <v>45782</v>
      </c>
      <c r="C1406" s="7">
        <v>2003660183</v>
      </c>
      <c r="D1406" s="20">
        <v>5920274</v>
      </c>
      <c r="E1406" s="27" t="s">
        <v>949</v>
      </c>
      <c r="F1406" s="7" t="s">
        <v>107</v>
      </c>
      <c r="G1406" s="7" t="s">
        <v>15</v>
      </c>
      <c r="H1406" s="7" t="s">
        <v>45</v>
      </c>
      <c r="I1406" s="20" t="s">
        <v>417</v>
      </c>
      <c r="J1406" s="20" t="s">
        <v>2257</v>
      </c>
      <c r="K1406" s="7" t="s">
        <v>122</v>
      </c>
      <c r="L1406" s="61">
        <v>45785</v>
      </c>
      <c r="M1406" s="7" t="s">
        <v>111</v>
      </c>
      <c r="N1406" s="24">
        <v>45786</v>
      </c>
      <c r="O1406" s="58">
        <v>45789</v>
      </c>
      <c r="P1406" s="59"/>
      <c r="Q1406" s="124" t="e">
        <f>P1406*#REF!</f>
        <v>#REF!</v>
      </c>
      <c r="R1406" s="126">
        <v>45789</v>
      </c>
      <c r="S1406" s="153">
        <f>IF(L1406="","",L1406-B1406)</f>
        <v>3</v>
      </c>
      <c r="T1406" s="153">
        <f>IF(N1406="","",N1406-L1406)</f>
        <v>1</v>
      </c>
      <c r="U1406" s="153">
        <f>IF(O1406="","",O1406-N1406)</f>
        <v>3</v>
      </c>
      <c r="V1406" s="154">
        <f>IF(O1406="","",O1406-B1406)</f>
        <v>7</v>
      </c>
      <c r="W1406" s="154">
        <f>IF(O1406="","",O1406-L1406)</f>
        <v>4</v>
      </c>
      <c r="X1406" s="154">
        <f>IF(R1406="","",R1406-B1406)</f>
        <v>7</v>
      </c>
    </row>
    <row r="1407" spans="2:24" ht="17.25" hidden="1" customHeight="1">
      <c r="B1407" s="23">
        <v>45782</v>
      </c>
      <c r="C1407" s="7">
        <v>2003672638</v>
      </c>
      <c r="D1407" s="20">
        <v>5920319</v>
      </c>
      <c r="E1407" s="27" t="s">
        <v>198</v>
      </c>
      <c r="F1407" s="7" t="s">
        <v>107</v>
      </c>
      <c r="G1407" s="7" t="s">
        <v>10</v>
      </c>
      <c r="H1407" s="7" t="s">
        <v>45</v>
      </c>
      <c r="I1407" s="20" t="s">
        <v>2258</v>
      </c>
      <c r="J1407" s="20" t="s">
        <v>2259</v>
      </c>
      <c r="K1407" s="7" t="s">
        <v>119</v>
      </c>
      <c r="L1407" s="61">
        <v>45789</v>
      </c>
      <c r="M1407" s="7" t="s">
        <v>111</v>
      </c>
      <c r="N1407" s="24">
        <v>45790</v>
      </c>
      <c r="O1407" s="106">
        <v>45790</v>
      </c>
      <c r="P1407" s="59"/>
      <c r="Q1407" s="124" t="e">
        <f>P1407*#REF!</f>
        <v>#REF!</v>
      </c>
      <c r="R1407" s="126">
        <v>45790</v>
      </c>
      <c r="S1407" s="153">
        <f>IF(L1407="","",L1407-B1407)</f>
        <v>7</v>
      </c>
      <c r="T1407" s="153">
        <f>IF(N1407="","",N1407-L1407)</f>
        <v>1</v>
      </c>
      <c r="U1407" s="153">
        <f>IF(O1407="","",O1407-N1407)</f>
        <v>0</v>
      </c>
      <c r="V1407" s="154">
        <f>IF(O1407="","",O1407-B1407)</f>
        <v>8</v>
      </c>
      <c r="W1407" s="154">
        <f>IF(O1407="","",O1407-L1407)</f>
        <v>1</v>
      </c>
      <c r="X1407" s="154">
        <f>IF(R1407="","",R1407-B1407)</f>
        <v>8</v>
      </c>
    </row>
    <row r="1408" spans="2:24" ht="17.25" hidden="1" customHeight="1">
      <c r="B1408" s="23">
        <v>45783</v>
      </c>
      <c r="C1408" s="7">
        <v>2003674750</v>
      </c>
      <c r="D1408" s="20">
        <v>5920709</v>
      </c>
      <c r="E1408" s="27" t="s">
        <v>201</v>
      </c>
      <c r="F1408" s="7" t="s">
        <v>107</v>
      </c>
      <c r="G1408" s="7" t="s">
        <v>10</v>
      </c>
      <c r="H1408" s="7" t="s">
        <v>45</v>
      </c>
      <c r="I1408" s="20" t="s">
        <v>928</v>
      </c>
      <c r="J1408" s="20" t="s">
        <v>2127</v>
      </c>
      <c r="K1408" s="7" t="s">
        <v>119</v>
      </c>
      <c r="L1408" s="61">
        <v>45786</v>
      </c>
      <c r="M1408" s="7" t="s">
        <v>111</v>
      </c>
      <c r="N1408" s="61">
        <v>45786</v>
      </c>
      <c r="O1408" s="61">
        <v>45786</v>
      </c>
      <c r="P1408" s="59"/>
      <c r="Q1408" s="124" t="e">
        <f>P1408*#REF!</f>
        <v>#REF!</v>
      </c>
      <c r="R1408" s="126">
        <v>45789</v>
      </c>
      <c r="S1408" s="153">
        <f>IF(L1408="","",L1408-B1408)</f>
        <v>3</v>
      </c>
      <c r="T1408" s="153">
        <f>IF(N1408="","",N1408-L1408)</f>
        <v>0</v>
      </c>
      <c r="U1408" s="153">
        <f>IF(O1408="","",O1408-N1408)</f>
        <v>0</v>
      </c>
      <c r="V1408" s="154">
        <f>IF(O1408="","",O1408-B1408)</f>
        <v>3</v>
      </c>
      <c r="W1408" s="154">
        <f>IF(O1408="","",O1408-L1408)</f>
        <v>0</v>
      </c>
      <c r="X1408" s="154">
        <f>IF(R1408="","",R1408-B1408)</f>
        <v>6</v>
      </c>
    </row>
    <row r="1409" spans="2:24" ht="17.25" hidden="1" customHeight="1">
      <c r="B1409" s="23">
        <v>45783</v>
      </c>
      <c r="C1409" s="7">
        <v>2003673526</v>
      </c>
      <c r="D1409" s="20">
        <v>5920769</v>
      </c>
      <c r="E1409" s="27" t="s">
        <v>201</v>
      </c>
      <c r="F1409" s="7" t="s">
        <v>107</v>
      </c>
      <c r="G1409" s="7" t="s">
        <v>10</v>
      </c>
      <c r="H1409" s="7" t="s">
        <v>45</v>
      </c>
      <c r="I1409" s="20" t="s">
        <v>2260</v>
      </c>
      <c r="J1409" s="20" t="s">
        <v>2261</v>
      </c>
      <c r="K1409" s="7" t="s">
        <v>110</v>
      </c>
      <c r="L1409" s="61">
        <v>45785</v>
      </c>
      <c r="M1409" s="7" t="s">
        <v>111</v>
      </c>
      <c r="N1409" s="61">
        <v>45785</v>
      </c>
      <c r="O1409" s="23">
        <v>45786</v>
      </c>
      <c r="P1409" s="59"/>
      <c r="Q1409" s="124" t="e">
        <f>P1409*#REF!</f>
        <v>#REF!</v>
      </c>
      <c r="R1409" s="126">
        <v>45786</v>
      </c>
      <c r="S1409" s="153">
        <f>IF(L1409="","",L1409-B1409)</f>
        <v>2</v>
      </c>
      <c r="T1409" s="153">
        <f>IF(N1409="","",N1409-L1409)</f>
        <v>0</v>
      </c>
      <c r="U1409" s="153">
        <f>IF(O1409="","",O1409-N1409)</f>
        <v>1</v>
      </c>
      <c r="V1409" s="154">
        <f>IF(O1409="","",O1409-B1409)</f>
        <v>3</v>
      </c>
      <c r="W1409" s="154">
        <f>IF(O1409="","",O1409-L1409)</f>
        <v>1</v>
      </c>
      <c r="X1409" s="154">
        <f>IF(R1409="","",R1409-B1409)</f>
        <v>3</v>
      </c>
    </row>
    <row r="1410" spans="2:24" ht="17.25" hidden="1" customHeight="1">
      <c r="B1410" s="23">
        <v>45783</v>
      </c>
      <c r="C1410" s="7">
        <v>2003650210</v>
      </c>
      <c r="D1410" s="20">
        <v>5920785</v>
      </c>
      <c r="E1410" s="27" t="s">
        <v>622</v>
      </c>
      <c r="F1410" s="7" t="s">
        <v>107</v>
      </c>
      <c r="G1410" s="7" t="s">
        <v>10</v>
      </c>
      <c r="H1410" s="7" t="s">
        <v>45</v>
      </c>
      <c r="I1410" s="20" t="s">
        <v>1206</v>
      </c>
      <c r="J1410" s="20" t="s">
        <v>1207</v>
      </c>
      <c r="K1410" s="7" t="s">
        <v>110</v>
      </c>
      <c r="L1410" s="61">
        <v>45783</v>
      </c>
      <c r="M1410" s="7" t="s">
        <v>111</v>
      </c>
      <c r="N1410" s="61">
        <v>45783</v>
      </c>
      <c r="O1410" s="23">
        <v>45786</v>
      </c>
      <c r="P1410" s="59"/>
      <c r="Q1410" s="124" t="e">
        <f>P1410*#REF!</f>
        <v>#REF!</v>
      </c>
      <c r="R1410" s="126">
        <v>45786</v>
      </c>
      <c r="S1410" s="153">
        <f>IF(L1410="","",L1410-B1410)</f>
        <v>0</v>
      </c>
      <c r="T1410" s="153">
        <f>IF(N1410="","",N1410-L1410)</f>
        <v>0</v>
      </c>
      <c r="U1410" s="153">
        <f>IF(O1410="","",O1410-N1410)</f>
        <v>3</v>
      </c>
      <c r="V1410" s="154">
        <f>IF(O1410="","",O1410-B1410)</f>
        <v>3</v>
      </c>
      <c r="W1410" s="154">
        <f>IF(O1410="","",O1410-L1410)</f>
        <v>3</v>
      </c>
      <c r="X1410" s="154">
        <f>IF(R1410="","",R1410-B1410)</f>
        <v>3</v>
      </c>
    </row>
    <row r="1411" spans="2:24" ht="17.25" hidden="1" customHeight="1">
      <c r="B1411" s="23">
        <v>45783</v>
      </c>
      <c r="C1411" s="7">
        <v>2003666479</v>
      </c>
      <c r="D1411" s="20">
        <v>5920818</v>
      </c>
      <c r="E1411" s="27" t="s">
        <v>201</v>
      </c>
      <c r="F1411" s="7" t="s">
        <v>107</v>
      </c>
      <c r="G1411" s="7" t="s">
        <v>18</v>
      </c>
      <c r="H1411" s="7" t="s">
        <v>45</v>
      </c>
      <c r="I1411" s="20" t="s">
        <v>2262</v>
      </c>
      <c r="J1411" s="20" t="s">
        <v>593</v>
      </c>
      <c r="K1411" s="7" t="s">
        <v>110</v>
      </c>
      <c r="L1411" s="61">
        <v>45784</v>
      </c>
      <c r="M1411" s="7" t="s">
        <v>111</v>
      </c>
      <c r="N1411" s="61">
        <v>45784</v>
      </c>
      <c r="O1411" s="58">
        <v>45786</v>
      </c>
      <c r="P1411" s="59"/>
      <c r="Q1411" s="124" t="e">
        <f>P1411*#REF!</f>
        <v>#REF!</v>
      </c>
      <c r="R1411" s="126">
        <v>45786</v>
      </c>
      <c r="S1411" s="153">
        <f>IF(L1411="","",L1411-B1411)</f>
        <v>1</v>
      </c>
      <c r="T1411" s="153">
        <f>IF(N1411="","",N1411-L1411)</f>
        <v>0</v>
      </c>
      <c r="U1411" s="153">
        <f>IF(O1411="","",O1411-N1411)</f>
        <v>2</v>
      </c>
      <c r="V1411" s="154">
        <f>IF(O1411="","",O1411-B1411)</f>
        <v>3</v>
      </c>
      <c r="W1411" s="154">
        <f>IF(O1411="","",O1411-L1411)</f>
        <v>2</v>
      </c>
      <c r="X1411" s="154">
        <f>IF(R1411="","",R1411-B1411)</f>
        <v>3</v>
      </c>
    </row>
    <row r="1412" spans="2:24" ht="17.25" hidden="1" customHeight="1">
      <c r="B1412" s="23">
        <v>45783</v>
      </c>
      <c r="C1412" s="7">
        <v>2003668161</v>
      </c>
      <c r="D1412" s="20">
        <v>5920820</v>
      </c>
      <c r="E1412" s="27" t="s">
        <v>106</v>
      </c>
      <c r="F1412" s="7" t="s">
        <v>107</v>
      </c>
      <c r="G1412" s="7" t="s">
        <v>10</v>
      </c>
      <c r="H1412" s="7" t="s">
        <v>45</v>
      </c>
      <c r="I1412" s="20" t="s">
        <v>1159</v>
      </c>
      <c r="J1412" s="20" t="s">
        <v>2263</v>
      </c>
      <c r="K1412" s="7" t="s">
        <v>110</v>
      </c>
      <c r="L1412" s="61">
        <v>45786</v>
      </c>
      <c r="M1412" s="7" t="s">
        <v>111</v>
      </c>
      <c r="N1412" s="24">
        <v>45787</v>
      </c>
      <c r="O1412" s="106">
        <v>45787</v>
      </c>
      <c r="P1412" s="59"/>
      <c r="Q1412" s="124" t="e">
        <f>P1412*#REF!</f>
        <v>#REF!</v>
      </c>
      <c r="R1412" s="126">
        <v>45789</v>
      </c>
      <c r="S1412" s="153">
        <f>IF(L1412="","",L1412-B1412)</f>
        <v>3</v>
      </c>
      <c r="T1412" s="153">
        <f>IF(N1412="","",N1412-L1412)</f>
        <v>1</v>
      </c>
      <c r="U1412" s="153">
        <f>IF(O1412="","",O1412-N1412)</f>
        <v>0</v>
      </c>
      <c r="V1412" s="154">
        <f>IF(O1412="","",O1412-B1412)</f>
        <v>4</v>
      </c>
      <c r="W1412" s="154">
        <f>IF(O1412="","",O1412-L1412)</f>
        <v>1</v>
      </c>
      <c r="X1412" s="154">
        <f>IF(R1412="","",R1412-B1412)</f>
        <v>6</v>
      </c>
    </row>
    <row r="1413" spans="2:24" ht="17.25" hidden="1" customHeight="1">
      <c r="B1413" s="23">
        <v>45783</v>
      </c>
      <c r="C1413" s="7">
        <v>2003665495</v>
      </c>
      <c r="D1413" s="20">
        <v>5935763</v>
      </c>
      <c r="E1413" s="27" t="s">
        <v>201</v>
      </c>
      <c r="F1413" s="7" t="s">
        <v>107</v>
      </c>
      <c r="G1413" s="7" t="s">
        <v>26</v>
      </c>
      <c r="H1413" s="7" t="s">
        <v>45</v>
      </c>
      <c r="I1413" s="20" t="s">
        <v>505</v>
      </c>
      <c r="J1413" s="20" t="s">
        <v>2264</v>
      </c>
      <c r="K1413" s="7" t="s">
        <v>119</v>
      </c>
      <c r="L1413" s="61">
        <v>45800</v>
      </c>
      <c r="M1413" s="7" t="s">
        <v>111</v>
      </c>
      <c r="N1413" s="24">
        <v>45803</v>
      </c>
      <c r="O1413" s="23">
        <v>45803</v>
      </c>
      <c r="P1413" s="59"/>
      <c r="Q1413" s="124" t="e">
        <f>P1413*#REF!</f>
        <v>#REF!</v>
      </c>
      <c r="R1413" s="126">
        <v>45803</v>
      </c>
      <c r="S1413" s="153">
        <f>IF(L1413="","",L1413-B1413)</f>
        <v>17</v>
      </c>
      <c r="T1413" s="153">
        <f>IF(N1413="","",N1413-L1413)</f>
        <v>3</v>
      </c>
      <c r="U1413" s="153">
        <f>IF(O1413="","",O1413-N1413)</f>
        <v>0</v>
      </c>
      <c r="V1413" s="154">
        <f>IF(O1413="","",O1413-B1413)</f>
        <v>20</v>
      </c>
      <c r="W1413" s="154">
        <f>IF(O1413="","",O1413-L1413)</f>
        <v>3</v>
      </c>
      <c r="X1413" s="154">
        <f>IF(R1413="","",R1413-B1413)</f>
        <v>20</v>
      </c>
    </row>
    <row r="1414" spans="2:24" ht="17.25" hidden="1" customHeight="1">
      <c r="B1414" s="23">
        <v>45789</v>
      </c>
      <c r="C1414" s="7">
        <v>2003656605</v>
      </c>
      <c r="D1414" s="20">
        <v>5940313</v>
      </c>
      <c r="E1414" s="27" t="s">
        <v>180</v>
      </c>
      <c r="F1414" s="7" t="s">
        <v>107</v>
      </c>
      <c r="G1414" s="7" t="s">
        <v>18</v>
      </c>
      <c r="H1414" s="7" t="s">
        <v>45</v>
      </c>
      <c r="I1414" s="20" t="s">
        <v>2265</v>
      </c>
      <c r="J1414" s="20" t="s">
        <v>2266</v>
      </c>
      <c r="K1414" s="7" t="s">
        <v>110</v>
      </c>
      <c r="L1414" s="61">
        <v>45805</v>
      </c>
      <c r="M1414" s="7" t="s">
        <v>111</v>
      </c>
      <c r="N1414" s="24">
        <v>45818</v>
      </c>
      <c r="O1414" s="24">
        <v>45818</v>
      </c>
      <c r="P1414" s="59"/>
      <c r="Q1414" s="124" t="e">
        <f>P1414*#REF!</f>
        <v>#REF!</v>
      </c>
      <c r="R1414" s="126">
        <v>45820</v>
      </c>
      <c r="S1414" s="153">
        <f>IF(L1414="","",L1414-B1414)</f>
        <v>16</v>
      </c>
      <c r="T1414" s="153">
        <f>IF(N1414="","",N1414-L1414)</f>
        <v>13</v>
      </c>
      <c r="U1414" s="153">
        <f>IF(O1414="","",O1414-N1414)</f>
        <v>0</v>
      </c>
      <c r="V1414" s="154">
        <f>IF(O1414="","",O1414-B1414)</f>
        <v>29</v>
      </c>
      <c r="W1414" s="154">
        <f>IF(O1414="","",O1414-L1414)</f>
        <v>13</v>
      </c>
      <c r="X1414" s="154">
        <f>IF(R1414="","",R1414-B1414)</f>
        <v>31</v>
      </c>
    </row>
    <row r="1415" spans="2:24" ht="17.25" hidden="1" customHeight="1">
      <c r="B1415" s="23">
        <v>45783</v>
      </c>
      <c r="C1415" s="7">
        <v>2003665486</v>
      </c>
      <c r="D1415" s="20">
        <v>5935774</v>
      </c>
      <c r="E1415" s="27" t="s">
        <v>191</v>
      </c>
      <c r="F1415" s="7" t="s">
        <v>107</v>
      </c>
      <c r="G1415" s="7" t="s">
        <v>10</v>
      </c>
      <c r="H1415" s="7" t="s">
        <v>45</v>
      </c>
      <c r="I1415" s="20" t="s">
        <v>1367</v>
      </c>
      <c r="J1415" s="20" t="s">
        <v>2267</v>
      </c>
      <c r="K1415" s="7" t="s">
        <v>110</v>
      </c>
      <c r="L1415" s="61">
        <v>45790</v>
      </c>
      <c r="M1415" s="7" t="s">
        <v>111</v>
      </c>
      <c r="N1415" s="24">
        <v>45792</v>
      </c>
      <c r="O1415" s="24">
        <v>45792</v>
      </c>
      <c r="P1415" s="59"/>
      <c r="Q1415" s="124" t="e">
        <f>P1415*#REF!</f>
        <v>#REF!</v>
      </c>
      <c r="R1415" s="126">
        <v>45795</v>
      </c>
      <c r="S1415" s="153">
        <f>IF(L1415="","",L1415-B1415)</f>
        <v>7</v>
      </c>
      <c r="T1415" s="153">
        <f>IF(N1415="","",N1415-L1415)</f>
        <v>2</v>
      </c>
      <c r="U1415" s="153">
        <f>IF(O1415="","",O1415-N1415)</f>
        <v>0</v>
      </c>
      <c r="V1415" s="154">
        <f>IF(O1415="","",O1415-B1415)</f>
        <v>9</v>
      </c>
      <c r="W1415" s="154">
        <f>IF(O1415="","",O1415-L1415)</f>
        <v>2</v>
      </c>
      <c r="X1415" s="154">
        <f>IF(R1415="","",R1415-B1415)</f>
        <v>12</v>
      </c>
    </row>
    <row r="1416" spans="2:24" ht="17.25" hidden="1" customHeight="1">
      <c r="B1416" s="23">
        <v>45783</v>
      </c>
      <c r="C1416" s="7">
        <v>2003679075</v>
      </c>
      <c r="D1416" s="20">
        <v>5935991</v>
      </c>
      <c r="E1416" s="27" t="s">
        <v>949</v>
      </c>
      <c r="F1416" s="7" t="s">
        <v>107</v>
      </c>
      <c r="G1416" s="7" t="s">
        <v>10</v>
      </c>
      <c r="H1416" s="7" t="s">
        <v>45</v>
      </c>
      <c r="I1416" s="20" t="s">
        <v>1064</v>
      </c>
      <c r="J1416" s="20" t="s">
        <v>2268</v>
      </c>
      <c r="K1416" s="7" t="s">
        <v>119</v>
      </c>
      <c r="L1416" s="61">
        <v>45785</v>
      </c>
      <c r="M1416" s="7" t="s">
        <v>111</v>
      </c>
      <c r="N1416" s="61">
        <v>45786</v>
      </c>
      <c r="O1416" s="23">
        <v>45789</v>
      </c>
      <c r="P1416" s="59"/>
      <c r="Q1416" s="124" t="e">
        <f>P1416*#REF!</f>
        <v>#REF!</v>
      </c>
      <c r="R1416" s="126">
        <v>45789</v>
      </c>
      <c r="S1416" s="153">
        <f>IF(L1416="","",L1416-B1416)</f>
        <v>2</v>
      </c>
      <c r="T1416" s="153">
        <f>IF(N1416="","",N1416-L1416)</f>
        <v>1</v>
      </c>
      <c r="U1416" s="153">
        <f>IF(O1416="","",O1416-N1416)</f>
        <v>3</v>
      </c>
      <c r="V1416" s="154">
        <f>IF(O1416="","",O1416-B1416)</f>
        <v>6</v>
      </c>
      <c r="W1416" s="154">
        <f>IF(O1416="","",O1416-L1416)</f>
        <v>4</v>
      </c>
      <c r="X1416" s="154">
        <f>IF(R1416="","",R1416-B1416)</f>
        <v>6</v>
      </c>
    </row>
    <row r="1417" spans="2:24" ht="17.25" hidden="1" customHeight="1">
      <c r="B1417" s="23">
        <v>45783</v>
      </c>
      <c r="C1417" s="7">
        <v>2003666453</v>
      </c>
      <c r="D1417" s="20">
        <v>5936003</v>
      </c>
      <c r="E1417" s="27" t="s">
        <v>149</v>
      </c>
      <c r="F1417" s="7" t="s">
        <v>107</v>
      </c>
      <c r="G1417" s="7" t="s">
        <v>10</v>
      </c>
      <c r="H1417" s="7" t="s">
        <v>45</v>
      </c>
      <c r="I1417" s="20" t="s">
        <v>2269</v>
      </c>
      <c r="J1417" s="20" t="s">
        <v>2270</v>
      </c>
      <c r="K1417" s="7" t="s">
        <v>110</v>
      </c>
      <c r="L1417" s="61">
        <v>45785</v>
      </c>
      <c r="M1417" s="7" t="s">
        <v>111</v>
      </c>
      <c r="N1417" s="61">
        <v>45785</v>
      </c>
      <c r="O1417" s="61">
        <v>45785</v>
      </c>
      <c r="P1417" s="59"/>
      <c r="Q1417" s="124" t="e">
        <f>P1417*#REF!</f>
        <v>#REF!</v>
      </c>
      <c r="R1417" s="126">
        <v>45786</v>
      </c>
      <c r="S1417" s="153">
        <f>IF(L1417="","",L1417-B1417)</f>
        <v>2</v>
      </c>
      <c r="T1417" s="153">
        <f>IF(N1417="","",N1417-L1417)</f>
        <v>0</v>
      </c>
      <c r="U1417" s="153">
        <f>IF(O1417="","",O1417-N1417)</f>
        <v>0</v>
      </c>
      <c r="V1417" s="154">
        <f>IF(O1417="","",O1417-B1417)</f>
        <v>2</v>
      </c>
      <c r="W1417" s="154">
        <f>IF(O1417="","",O1417-L1417)</f>
        <v>0</v>
      </c>
      <c r="X1417" s="154">
        <f>IF(R1417="","",R1417-B1417)</f>
        <v>3</v>
      </c>
    </row>
    <row r="1418" spans="2:24" ht="17.25" hidden="1" customHeight="1">
      <c r="B1418" s="23">
        <v>45783</v>
      </c>
      <c r="C1418" s="7">
        <v>2003664735</v>
      </c>
      <c r="D1418" s="20">
        <v>5936025</v>
      </c>
      <c r="E1418" s="27" t="s">
        <v>126</v>
      </c>
      <c r="F1418" s="7" t="s">
        <v>107</v>
      </c>
      <c r="G1418" s="7" t="s">
        <v>10</v>
      </c>
      <c r="H1418" s="7" t="s">
        <v>45</v>
      </c>
      <c r="I1418" s="20" t="s">
        <v>631</v>
      </c>
      <c r="J1418" s="20" t="s">
        <v>2271</v>
      </c>
      <c r="K1418" s="7" t="s">
        <v>110</v>
      </c>
      <c r="L1418" s="61">
        <v>45785</v>
      </c>
      <c r="M1418" s="7" t="s">
        <v>111</v>
      </c>
      <c r="N1418" s="61">
        <v>45785</v>
      </c>
      <c r="O1418" s="61">
        <v>45785</v>
      </c>
      <c r="P1418" s="59"/>
      <c r="Q1418" s="124" t="e">
        <f>P1418*#REF!</f>
        <v>#REF!</v>
      </c>
      <c r="R1418" s="126">
        <v>45786</v>
      </c>
      <c r="S1418" s="153">
        <f>IF(L1418="","",L1418-B1418)</f>
        <v>2</v>
      </c>
      <c r="T1418" s="153">
        <f>IF(N1418="","",N1418-L1418)</f>
        <v>0</v>
      </c>
      <c r="U1418" s="153">
        <f>IF(O1418="","",O1418-N1418)</f>
        <v>0</v>
      </c>
      <c r="V1418" s="154">
        <f>IF(O1418="","",O1418-B1418)</f>
        <v>2</v>
      </c>
      <c r="W1418" s="154">
        <f>IF(O1418="","",O1418-L1418)</f>
        <v>0</v>
      </c>
      <c r="X1418" s="154">
        <f>IF(R1418="","",R1418-B1418)</f>
        <v>3</v>
      </c>
    </row>
    <row r="1419" spans="2:24" ht="17.25" hidden="1" customHeight="1">
      <c r="B1419" s="23">
        <v>45783</v>
      </c>
      <c r="C1419" s="7">
        <v>2003675358</v>
      </c>
      <c r="D1419" s="20">
        <v>5936032</v>
      </c>
      <c r="E1419" s="27" t="s">
        <v>201</v>
      </c>
      <c r="F1419" s="7" t="s">
        <v>107</v>
      </c>
      <c r="G1419" s="7" t="s">
        <v>10</v>
      </c>
      <c r="H1419" s="7" t="s">
        <v>45</v>
      </c>
      <c r="I1419" s="20" t="s">
        <v>2272</v>
      </c>
      <c r="J1419" s="20" t="s">
        <v>2273</v>
      </c>
      <c r="K1419" s="7" t="s">
        <v>110</v>
      </c>
      <c r="L1419" s="61">
        <v>45812</v>
      </c>
      <c r="M1419" s="7" t="s">
        <v>111</v>
      </c>
      <c r="N1419" s="61">
        <v>45785</v>
      </c>
      <c r="O1419" s="61">
        <v>45785</v>
      </c>
      <c r="P1419" s="59"/>
      <c r="Q1419" s="124" t="e">
        <f>P1419*#REF!</f>
        <v>#REF!</v>
      </c>
      <c r="R1419" s="126">
        <v>45786</v>
      </c>
      <c r="S1419" s="153">
        <f>IF(L1419="","",L1419-B1419)</f>
        <v>29</v>
      </c>
      <c r="T1419" s="153">
        <f>IF(N1419="","",N1419-L1419)</f>
        <v>-27</v>
      </c>
      <c r="U1419" s="153">
        <f>IF(O1419="","",O1419-N1419)</f>
        <v>0</v>
      </c>
      <c r="V1419" s="154">
        <f>IF(O1419="","",O1419-B1419)</f>
        <v>2</v>
      </c>
      <c r="W1419" s="154">
        <f>IF(O1419="","",O1419-L1419)</f>
        <v>-27</v>
      </c>
      <c r="X1419" s="154">
        <f>IF(R1419="","",R1419-B1419)</f>
        <v>3</v>
      </c>
    </row>
    <row r="1420" spans="2:24" ht="17.25" hidden="1" customHeight="1">
      <c r="B1420" s="23">
        <v>45783</v>
      </c>
      <c r="C1420" s="7">
        <v>2003672035</v>
      </c>
      <c r="D1420" s="20">
        <v>5936036</v>
      </c>
      <c r="E1420" s="27" t="s">
        <v>201</v>
      </c>
      <c r="F1420" s="7" t="s">
        <v>107</v>
      </c>
      <c r="G1420" s="7" t="s">
        <v>10</v>
      </c>
      <c r="H1420" s="7" t="s">
        <v>45</v>
      </c>
      <c r="I1420" s="20" t="s">
        <v>2274</v>
      </c>
      <c r="J1420" s="20" t="s">
        <v>2275</v>
      </c>
      <c r="K1420" s="7" t="s">
        <v>110</v>
      </c>
      <c r="L1420" s="61">
        <v>45785</v>
      </c>
      <c r="M1420" s="7" t="s">
        <v>111</v>
      </c>
      <c r="N1420" s="61">
        <v>45785</v>
      </c>
      <c r="O1420" s="130">
        <v>45785</v>
      </c>
      <c r="P1420" s="59"/>
      <c r="Q1420" s="124" t="e">
        <f>P1420*#REF!</f>
        <v>#REF!</v>
      </c>
      <c r="R1420" s="126">
        <v>45786</v>
      </c>
      <c r="S1420" s="153">
        <f>IF(L1420="","",L1420-B1420)</f>
        <v>2</v>
      </c>
      <c r="T1420" s="153">
        <f>IF(N1420="","",N1420-L1420)</f>
        <v>0</v>
      </c>
      <c r="U1420" s="153">
        <f>IF(O1420="","",O1420-N1420)</f>
        <v>0</v>
      </c>
      <c r="V1420" s="154">
        <f>IF(O1420="","",O1420-B1420)</f>
        <v>2</v>
      </c>
      <c r="W1420" s="154">
        <f>IF(O1420="","",O1420-L1420)</f>
        <v>0</v>
      </c>
      <c r="X1420" s="154">
        <f>IF(R1420="","",R1420-B1420)</f>
        <v>3</v>
      </c>
    </row>
    <row r="1421" spans="2:24" ht="17.25" hidden="1" customHeight="1">
      <c r="B1421" s="23">
        <v>45783</v>
      </c>
      <c r="C1421" s="7">
        <v>2003680202</v>
      </c>
      <c r="D1421" s="20">
        <v>5936115</v>
      </c>
      <c r="E1421" s="27" t="s">
        <v>201</v>
      </c>
      <c r="F1421" s="7" t="s">
        <v>107</v>
      </c>
      <c r="G1421" s="7" t="s">
        <v>10</v>
      </c>
      <c r="H1421" s="7" t="s">
        <v>45</v>
      </c>
      <c r="I1421" s="20" t="s">
        <v>282</v>
      </c>
      <c r="J1421" s="20" t="s">
        <v>2276</v>
      </c>
      <c r="K1421" s="7" t="s">
        <v>110</v>
      </c>
      <c r="L1421" s="61">
        <v>45786</v>
      </c>
      <c r="M1421" s="7" t="s">
        <v>111</v>
      </c>
      <c r="N1421" s="24">
        <v>45787</v>
      </c>
      <c r="O1421" s="106">
        <v>45791</v>
      </c>
      <c r="P1421" s="59"/>
      <c r="Q1421" s="124" t="e">
        <f>P1421*#REF!</f>
        <v>#REF!</v>
      </c>
      <c r="R1421" s="126">
        <v>45792</v>
      </c>
      <c r="S1421" s="153">
        <f>IF(L1421="","",L1421-B1421)</f>
        <v>3</v>
      </c>
      <c r="T1421" s="153">
        <f>IF(N1421="","",N1421-L1421)</f>
        <v>1</v>
      </c>
      <c r="U1421" s="153">
        <f>IF(O1421="","",O1421-N1421)</f>
        <v>4</v>
      </c>
      <c r="V1421" s="154">
        <f>IF(O1421="","",O1421-B1421)</f>
        <v>8</v>
      </c>
      <c r="W1421" s="154">
        <f>IF(O1421="","",O1421-L1421)</f>
        <v>5</v>
      </c>
      <c r="X1421" s="154">
        <f>IF(R1421="","",R1421-B1421)</f>
        <v>9</v>
      </c>
    </row>
    <row r="1422" spans="2:24" ht="17.25" hidden="1" customHeight="1">
      <c r="B1422" s="23">
        <v>45783</v>
      </c>
      <c r="C1422" s="7">
        <v>2003667987</v>
      </c>
      <c r="D1422" s="20">
        <v>5936231</v>
      </c>
      <c r="E1422" s="27" t="s">
        <v>408</v>
      </c>
      <c r="F1422" s="7" t="s">
        <v>107</v>
      </c>
      <c r="G1422" s="7" t="s">
        <v>10</v>
      </c>
      <c r="H1422" s="7" t="s">
        <v>45</v>
      </c>
      <c r="I1422" s="20" t="s">
        <v>1908</v>
      </c>
      <c r="J1422" s="20" t="s">
        <v>2277</v>
      </c>
      <c r="K1422" s="7" t="s">
        <v>119</v>
      </c>
      <c r="L1422" s="61">
        <v>45785</v>
      </c>
      <c r="M1422" s="7" t="s">
        <v>111</v>
      </c>
      <c r="N1422" s="61">
        <v>45785</v>
      </c>
      <c r="O1422" s="130">
        <v>45785</v>
      </c>
      <c r="P1422" s="59"/>
      <c r="Q1422" s="124" t="e">
        <f>P1422*#REF!</f>
        <v>#REF!</v>
      </c>
      <c r="R1422" s="126">
        <v>45786</v>
      </c>
      <c r="S1422" s="153">
        <f>IF(L1422="","",L1422-B1422)</f>
        <v>2</v>
      </c>
      <c r="T1422" s="153">
        <f>IF(N1422="","",N1422-L1422)</f>
        <v>0</v>
      </c>
      <c r="U1422" s="153">
        <f>IF(O1422="","",O1422-N1422)</f>
        <v>0</v>
      </c>
      <c r="V1422" s="154">
        <f>IF(O1422="","",O1422-B1422)</f>
        <v>2</v>
      </c>
      <c r="W1422" s="154">
        <f>IF(O1422="","",O1422-L1422)</f>
        <v>0</v>
      </c>
      <c r="X1422" s="154">
        <f>IF(R1422="","",R1422-B1422)</f>
        <v>3</v>
      </c>
    </row>
    <row r="1423" spans="2:24" ht="17.25" hidden="1" customHeight="1">
      <c r="B1423" s="23">
        <v>45783</v>
      </c>
      <c r="C1423" s="7">
        <v>2003666052</v>
      </c>
      <c r="D1423" s="20">
        <v>5936340</v>
      </c>
      <c r="E1423" s="27" t="s">
        <v>408</v>
      </c>
      <c r="F1423" s="7" t="s">
        <v>107</v>
      </c>
      <c r="G1423" s="7" t="s">
        <v>10</v>
      </c>
      <c r="H1423" s="7" t="s">
        <v>45</v>
      </c>
      <c r="I1423" s="20" t="s">
        <v>1845</v>
      </c>
      <c r="J1423" s="20" t="s">
        <v>1846</v>
      </c>
      <c r="K1423" s="7" t="s">
        <v>110</v>
      </c>
      <c r="L1423" s="61">
        <v>45786</v>
      </c>
      <c r="M1423" s="7" t="s">
        <v>111</v>
      </c>
      <c r="N1423" s="61">
        <v>45786</v>
      </c>
      <c r="O1423" s="23">
        <v>45793</v>
      </c>
      <c r="P1423" s="59"/>
      <c r="Q1423" s="124" t="e">
        <f>P1423*#REF!</f>
        <v>#REF!</v>
      </c>
      <c r="R1423" s="126">
        <v>45795</v>
      </c>
      <c r="S1423" s="153">
        <f>IF(L1423="","",L1423-B1423)</f>
        <v>3</v>
      </c>
      <c r="T1423" s="153">
        <f>IF(N1423="","",N1423-L1423)</f>
        <v>0</v>
      </c>
      <c r="U1423" s="153">
        <f>IF(O1423="","",O1423-N1423)</f>
        <v>7</v>
      </c>
      <c r="V1423" s="154">
        <f>IF(O1423="","",O1423-B1423)</f>
        <v>10</v>
      </c>
      <c r="W1423" s="154">
        <f>IF(O1423="","",O1423-L1423)</f>
        <v>7</v>
      </c>
      <c r="X1423" s="154">
        <f>IF(R1423="","",R1423-B1423)</f>
        <v>12</v>
      </c>
    </row>
    <row r="1424" spans="2:24" ht="17.25" hidden="1" customHeight="1">
      <c r="B1424" s="23">
        <v>45783</v>
      </c>
      <c r="C1424" s="7">
        <v>2003675586</v>
      </c>
      <c r="D1424" s="20">
        <v>5936350</v>
      </c>
      <c r="E1424" s="27" t="s">
        <v>123</v>
      </c>
      <c r="F1424" s="7" t="s">
        <v>107</v>
      </c>
      <c r="G1424" s="7" t="s">
        <v>10</v>
      </c>
      <c r="H1424" s="7" t="s">
        <v>45</v>
      </c>
      <c r="I1424" s="20" t="s">
        <v>2278</v>
      </c>
      <c r="J1424" s="20" t="s">
        <v>2279</v>
      </c>
      <c r="K1424" s="7" t="s">
        <v>119</v>
      </c>
      <c r="L1424" s="61">
        <v>45790</v>
      </c>
      <c r="M1424" s="7" t="s">
        <v>111</v>
      </c>
      <c r="N1424" s="61">
        <v>45790</v>
      </c>
      <c r="O1424" s="130">
        <v>45790</v>
      </c>
      <c r="P1424" s="59"/>
      <c r="Q1424" s="124" t="e">
        <f>P1424*#REF!</f>
        <v>#REF!</v>
      </c>
      <c r="R1424" s="126">
        <v>45792</v>
      </c>
      <c r="S1424" s="153">
        <f>IF(L1424="","",L1424-B1424)</f>
        <v>7</v>
      </c>
      <c r="T1424" s="153">
        <f>IF(N1424="","",N1424-L1424)</f>
        <v>0</v>
      </c>
      <c r="U1424" s="153">
        <f>IF(O1424="","",O1424-N1424)</f>
        <v>0</v>
      </c>
      <c r="V1424" s="154">
        <f>IF(O1424="","",O1424-B1424)</f>
        <v>7</v>
      </c>
      <c r="W1424" s="154">
        <f>IF(O1424="","",O1424-L1424)</f>
        <v>0</v>
      </c>
      <c r="X1424" s="154">
        <f>IF(R1424="","",R1424-B1424)</f>
        <v>9</v>
      </c>
    </row>
    <row r="1425" spans="2:24" ht="17.25" hidden="1" customHeight="1">
      <c r="B1425" s="23">
        <v>45783</v>
      </c>
      <c r="C1425" s="7">
        <v>2003677126</v>
      </c>
      <c r="D1425" s="20">
        <v>5936397</v>
      </c>
      <c r="E1425" s="27" t="s">
        <v>408</v>
      </c>
      <c r="F1425" s="7" t="s">
        <v>107</v>
      </c>
      <c r="G1425" s="7" t="s">
        <v>10</v>
      </c>
      <c r="H1425" s="7" t="s">
        <v>45</v>
      </c>
      <c r="I1425" s="20" t="s">
        <v>282</v>
      </c>
      <c r="J1425" s="20" t="s">
        <v>2280</v>
      </c>
      <c r="K1425" s="7" t="s">
        <v>110</v>
      </c>
      <c r="L1425" s="61">
        <v>45791</v>
      </c>
      <c r="M1425" s="7" t="s">
        <v>111</v>
      </c>
      <c r="N1425" s="61">
        <v>45791</v>
      </c>
      <c r="O1425" s="130">
        <v>45791</v>
      </c>
      <c r="P1425" s="59"/>
      <c r="Q1425" s="124" t="e">
        <f>P1425*#REF!</f>
        <v>#REF!</v>
      </c>
      <c r="R1425" s="126">
        <v>45792</v>
      </c>
      <c r="S1425" s="153">
        <f>IF(L1425="","",L1425-B1425)</f>
        <v>8</v>
      </c>
      <c r="T1425" s="153">
        <f>IF(N1425="","",N1425-L1425)</f>
        <v>0</v>
      </c>
      <c r="U1425" s="153">
        <f>IF(O1425="","",O1425-N1425)</f>
        <v>0</v>
      </c>
      <c r="V1425" s="154">
        <f>IF(O1425="","",O1425-B1425)</f>
        <v>8</v>
      </c>
      <c r="W1425" s="154">
        <f>IF(O1425="","",O1425-L1425)</f>
        <v>0</v>
      </c>
      <c r="X1425" s="154">
        <f>IF(R1425="","",R1425-B1425)</f>
        <v>9</v>
      </c>
    </row>
    <row r="1426" spans="2:24" ht="17.25" hidden="1" customHeight="1">
      <c r="B1426" s="23">
        <v>45783</v>
      </c>
      <c r="C1426" s="7">
        <v>2003618680</v>
      </c>
      <c r="D1426" s="20">
        <v>5936408</v>
      </c>
      <c r="E1426" s="27" t="s">
        <v>116</v>
      </c>
      <c r="F1426" s="7" t="s">
        <v>107</v>
      </c>
      <c r="G1426" s="7" t="s">
        <v>21</v>
      </c>
      <c r="H1426" s="7" t="s">
        <v>45</v>
      </c>
      <c r="I1426" s="20" t="s">
        <v>932</v>
      </c>
      <c r="J1426" s="20" t="s">
        <v>827</v>
      </c>
      <c r="K1426" s="7" t="s">
        <v>111</v>
      </c>
      <c r="L1426" s="61">
        <v>45784</v>
      </c>
      <c r="M1426" s="7" t="s">
        <v>111</v>
      </c>
      <c r="N1426" s="24">
        <v>45787</v>
      </c>
      <c r="O1426" s="24">
        <v>45787</v>
      </c>
      <c r="P1426" s="59"/>
      <c r="Q1426" s="124" t="e">
        <f>P1426*#REF!</f>
        <v>#REF!</v>
      </c>
      <c r="R1426" s="126">
        <v>45789</v>
      </c>
      <c r="S1426" s="153">
        <f>IF(L1426="","",L1426-B1426)</f>
        <v>1</v>
      </c>
      <c r="T1426" s="153">
        <f>IF(N1426="","",N1426-L1426)</f>
        <v>3</v>
      </c>
      <c r="U1426" s="153">
        <f>IF(O1426="","",O1426-N1426)</f>
        <v>0</v>
      </c>
      <c r="V1426" s="154">
        <f>IF(O1426="","",O1426-B1426)</f>
        <v>4</v>
      </c>
      <c r="W1426" s="154">
        <f>IF(O1426="","",O1426-L1426)</f>
        <v>3</v>
      </c>
      <c r="X1426" s="154">
        <f>IF(R1426="","",R1426-B1426)</f>
        <v>6</v>
      </c>
    </row>
    <row r="1427" spans="2:24" ht="17.25" hidden="1" customHeight="1">
      <c r="B1427" s="23">
        <v>45783</v>
      </c>
      <c r="C1427" s="7">
        <v>2003665549</v>
      </c>
      <c r="D1427" s="20">
        <v>5936413</v>
      </c>
      <c r="E1427" s="27" t="s">
        <v>949</v>
      </c>
      <c r="F1427" s="7" t="s">
        <v>107</v>
      </c>
      <c r="G1427" s="7" t="s">
        <v>10</v>
      </c>
      <c r="H1427" s="7" t="s">
        <v>45</v>
      </c>
      <c r="I1427" s="20" t="s">
        <v>819</v>
      </c>
      <c r="J1427" s="20" t="s">
        <v>2281</v>
      </c>
      <c r="K1427" s="7" t="s">
        <v>119</v>
      </c>
      <c r="L1427" s="61">
        <v>45785</v>
      </c>
      <c r="M1427" s="7" t="s">
        <v>111</v>
      </c>
      <c r="N1427" s="61">
        <v>45785</v>
      </c>
      <c r="O1427" s="61">
        <v>45785</v>
      </c>
      <c r="P1427" s="59"/>
      <c r="Q1427" s="124" t="e">
        <f>P1427*#REF!</f>
        <v>#REF!</v>
      </c>
      <c r="R1427" s="126">
        <v>45786</v>
      </c>
      <c r="S1427" s="153">
        <f>IF(L1427="","",L1427-B1427)</f>
        <v>2</v>
      </c>
      <c r="T1427" s="153">
        <f>IF(N1427="","",N1427-L1427)</f>
        <v>0</v>
      </c>
      <c r="U1427" s="153">
        <f>IF(O1427="","",O1427-N1427)</f>
        <v>0</v>
      </c>
      <c r="V1427" s="154">
        <f>IF(O1427="","",O1427-B1427)</f>
        <v>2</v>
      </c>
      <c r="W1427" s="154">
        <f>IF(O1427="","",O1427-L1427)</f>
        <v>0</v>
      </c>
      <c r="X1427" s="154">
        <f>IF(R1427="","",R1427-B1427)</f>
        <v>3</v>
      </c>
    </row>
    <row r="1428" spans="2:24" ht="17.25" hidden="1" customHeight="1">
      <c r="B1428" s="23">
        <v>45783</v>
      </c>
      <c r="C1428" s="7">
        <v>2003674344</v>
      </c>
      <c r="D1428" s="20">
        <v>5936430</v>
      </c>
      <c r="E1428" s="27" t="s">
        <v>258</v>
      </c>
      <c r="F1428" s="7" t="s">
        <v>107</v>
      </c>
      <c r="G1428" s="7" t="s">
        <v>10</v>
      </c>
      <c r="H1428" s="7" t="s">
        <v>45</v>
      </c>
      <c r="I1428" s="20" t="s">
        <v>2138</v>
      </c>
      <c r="J1428" s="20" t="s">
        <v>2130</v>
      </c>
      <c r="K1428" s="7" t="s">
        <v>119</v>
      </c>
      <c r="L1428" s="61">
        <v>45785</v>
      </c>
      <c r="M1428" s="7" t="s">
        <v>111</v>
      </c>
      <c r="N1428" s="61">
        <v>45785</v>
      </c>
      <c r="O1428" s="61">
        <v>45785</v>
      </c>
      <c r="P1428" s="59"/>
      <c r="Q1428" s="124" t="e">
        <f>P1428*#REF!</f>
        <v>#REF!</v>
      </c>
      <c r="R1428" s="126">
        <v>45786</v>
      </c>
      <c r="S1428" s="153">
        <f>IF(L1428="","",L1428-B1428)</f>
        <v>2</v>
      </c>
      <c r="T1428" s="153">
        <f>IF(N1428="","",N1428-L1428)</f>
        <v>0</v>
      </c>
      <c r="U1428" s="153">
        <f>IF(O1428="","",O1428-N1428)</f>
        <v>0</v>
      </c>
      <c r="V1428" s="154">
        <f>IF(O1428="","",O1428-B1428)</f>
        <v>2</v>
      </c>
      <c r="W1428" s="154">
        <f>IF(O1428="","",O1428-L1428)</f>
        <v>0</v>
      </c>
      <c r="X1428" s="154">
        <f>IF(R1428="","",R1428-B1428)</f>
        <v>3</v>
      </c>
    </row>
    <row r="1429" spans="2:24" ht="17.25" hidden="1" customHeight="1">
      <c r="B1429" s="23">
        <v>45783</v>
      </c>
      <c r="C1429" s="7">
        <v>2003672905</v>
      </c>
      <c r="D1429" s="20">
        <v>5936433</v>
      </c>
      <c r="E1429" s="27" t="s">
        <v>408</v>
      </c>
      <c r="F1429" s="7" t="s">
        <v>107</v>
      </c>
      <c r="G1429" s="7" t="s">
        <v>10</v>
      </c>
      <c r="H1429" s="7" t="s">
        <v>45</v>
      </c>
      <c r="I1429" s="20" t="s">
        <v>1367</v>
      </c>
      <c r="J1429" s="20" t="s">
        <v>2282</v>
      </c>
      <c r="K1429" s="7" t="s">
        <v>110</v>
      </c>
      <c r="L1429" s="61">
        <v>45785</v>
      </c>
      <c r="M1429" s="7" t="s">
        <v>111</v>
      </c>
      <c r="N1429" s="61">
        <v>45785</v>
      </c>
      <c r="O1429" s="61">
        <v>45785</v>
      </c>
      <c r="P1429" s="59"/>
      <c r="Q1429" s="124" t="e">
        <f>P1429*#REF!</f>
        <v>#REF!</v>
      </c>
      <c r="R1429" s="126">
        <v>45786</v>
      </c>
      <c r="S1429" s="153">
        <f>IF(L1429="","",L1429-B1429)</f>
        <v>2</v>
      </c>
      <c r="T1429" s="153">
        <f>IF(N1429="","",N1429-L1429)</f>
        <v>0</v>
      </c>
      <c r="U1429" s="153">
        <f>IF(O1429="","",O1429-N1429)</f>
        <v>0</v>
      </c>
      <c r="V1429" s="154">
        <f>IF(O1429="","",O1429-B1429)</f>
        <v>2</v>
      </c>
      <c r="W1429" s="154">
        <f>IF(O1429="","",O1429-L1429)</f>
        <v>0</v>
      </c>
      <c r="X1429" s="154">
        <f>IF(R1429="","",R1429-B1429)</f>
        <v>3</v>
      </c>
    </row>
    <row r="1430" spans="2:24" ht="17.25" hidden="1" customHeight="1">
      <c r="B1430" s="23">
        <v>45783</v>
      </c>
      <c r="C1430" s="7">
        <v>2003674124</v>
      </c>
      <c r="D1430" s="20">
        <v>5936463</v>
      </c>
      <c r="E1430" s="27" t="s">
        <v>138</v>
      </c>
      <c r="F1430" s="7" t="s">
        <v>107</v>
      </c>
      <c r="G1430" s="7" t="s">
        <v>10</v>
      </c>
      <c r="H1430" s="7" t="s">
        <v>45</v>
      </c>
      <c r="I1430" s="20" t="s">
        <v>249</v>
      </c>
      <c r="J1430" s="20" t="s">
        <v>2283</v>
      </c>
      <c r="K1430" s="7" t="s">
        <v>110</v>
      </c>
      <c r="L1430" s="61">
        <v>45786</v>
      </c>
      <c r="M1430" s="7" t="s">
        <v>111</v>
      </c>
      <c r="N1430" s="24">
        <v>45787</v>
      </c>
      <c r="O1430" s="24">
        <v>45787</v>
      </c>
      <c r="P1430" s="59"/>
      <c r="Q1430" s="124" t="e">
        <f>P1430*#REF!</f>
        <v>#REF!</v>
      </c>
      <c r="R1430" s="126">
        <v>45789</v>
      </c>
      <c r="S1430" s="153">
        <f>IF(L1430="","",L1430-B1430)</f>
        <v>3</v>
      </c>
      <c r="T1430" s="153">
        <f>IF(N1430="","",N1430-L1430)</f>
        <v>1</v>
      </c>
      <c r="U1430" s="153">
        <f>IF(O1430="","",O1430-N1430)</f>
        <v>0</v>
      </c>
      <c r="V1430" s="154">
        <f>IF(O1430="","",O1430-B1430)</f>
        <v>4</v>
      </c>
      <c r="W1430" s="154">
        <f>IF(O1430="","",O1430-L1430)</f>
        <v>1</v>
      </c>
      <c r="X1430" s="154">
        <f>IF(R1430="","",R1430-B1430)</f>
        <v>6</v>
      </c>
    </row>
    <row r="1431" spans="2:24" ht="17.25" hidden="1" customHeight="1">
      <c r="B1431" s="23">
        <v>45783</v>
      </c>
      <c r="C1431" s="7">
        <v>2003669142</v>
      </c>
      <c r="D1431" s="20">
        <v>5936467</v>
      </c>
      <c r="E1431" s="27" t="s">
        <v>198</v>
      </c>
      <c r="F1431" s="7" t="s">
        <v>107</v>
      </c>
      <c r="G1431" s="7" t="s">
        <v>10</v>
      </c>
      <c r="H1431" s="7" t="s">
        <v>45</v>
      </c>
      <c r="I1431" s="20" t="s">
        <v>1673</v>
      </c>
      <c r="J1431" s="20" t="s">
        <v>2284</v>
      </c>
      <c r="K1431" s="7" t="s">
        <v>110</v>
      </c>
      <c r="L1431" s="61">
        <v>45786</v>
      </c>
      <c r="M1431" s="7" t="s">
        <v>111</v>
      </c>
      <c r="N1431" s="24">
        <v>45787</v>
      </c>
      <c r="O1431" s="24">
        <v>45787</v>
      </c>
      <c r="P1431" s="59"/>
      <c r="Q1431" s="124" t="e">
        <f>P1431*#REF!</f>
        <v>#REF!</v>
      </c>
      <c r="R1431" s="126">
        <v>45789</v>
      </c>
      <c r="S1431" s="153">
        <f>IF(L1431="","",L1431-B1431)</f>
        <v>3</v>
      </c>
      <c r="T1431" s="153">
        <f>IF(N1431="","",N1431-L1431)</f>
        <v>1</v>
      </c>
      <c r="U1431" s="153">
        <f>IF(O1431="","",O1431-N1431)</f>
        <v>0</v>
      </c>
      <c r="V1431" s="154">
        <f>IF(O1431="","",O1431-B1431)</f>
        <v>4</v>
      </c>
      <c r="W1431" s="154">
        <f>IF(O1431="","",O1431-L1431)</f>
        <v>1</v>
      </c>
      <c r="X1431" s="154">
        <f>IF(R1431="","",R1431-B1431)</f>
        <v>6</v>
      </c>
    </row>
    <row r="1432" spans="2:24" ht="17.25" hidden="1" customHeight="1">
      <c r="B1432" s="23">
        <v>45784</v>
      </c>
      <c r="C1432" s="7">
        <v>2003674631</v>
      </c>
      <c r="D1432" s="20">
        <v>5936889</v>
      </c>
      <c r="E1432" s="27" t="s">
        <v>123</v>
      </c>
      <c r="F1432" s="7" t="s">
        <v>107</v>
      </c>
      <c r="G1432" s="7" t="s">
        <v>10</v>
      </c>
      <c r="H1432" s="7" t="s">
        <v>45</v>
      </c>
      <c r="I1432" s="20" t="s">
        <v>2285</v>
      </c>
      <c r="J1432" s="20" t="s">
        <v>2286</v>
      </c>
      <c r="K1432" s="7" t="s">
        <v>119</v>
      </c>
      <c r="L1432" s="61">
        <v>45791</v>
      </c>
      <c r="M1432" s="7" t="s">
        <v>111</v>
      </c>
      <c r="N1432" s="24">
        <v>45804</v>
      </c>
      <c r="O1432" s="106">
        <v>45804</v>
      </c>
      <c r="P1432" s="59"/>
      <c r="Q1432" s="124" t="e">
        <f>P1432*#REF!</f>
        <v>#REF!</v>
      </c>
      <c r="R1432" s="126">
        <v>45804</v>
      </c>
      <c r="S1432" s="153">
        <f>IF(L1432="","",L1432-B1432)</f>
        <v>7</v>
      </c>
      <c r="T1432" s="153">
        <f>IF(N1432="","",N1432-L1432)</f>
        <v>13</v>
      </c>
      <c r="U1432" s="153">
        <f>IF(O1432="","",O1432-N1432)</f>
        <v>0</v>
      </c>
      <c r="V1432" s="154">
        <f>IF(O1432="","",O1432-B1432)</f>
        <v>20</v>
      </c>
      <c r="W1432" s="154">
        <f>IF(O1432="","",O1432-L1432)</f>
        <v>13</v>
      </c>
      <c r="X1432" s="154">
        <f>IF(R1432="","",R1432-B1432)</f>
        <v>20</v>
      </c>
    </row>
    <row r="1433" spans="2:24" ht="17.25" hidden="1" customHeight="1">
      <c r="B1433" s="23">
        <v>45784</v>
      </c>
      <c r="C1433" s="7">
        <v>2003667375</v>
      </c>
      <c r="D1433" s="20">
        <v>5936892</v>
      </c>
      <c r="E1433" s="27" t="s">
        <v>123</v>
      </c>
      <c r="F1433" s="7" t="s">
        <v>107</v>
      </c>
      <c r="G1433" s="7" t="s">
        <v>10</v>
      </c>
      <c r="H1433" s="7" t="s">
        <v>45</v>
      </c>
      <c r="I1433" s="20" t="s">
        <v>2285</v>
      </c>
      <c r="J1433" s="20" t="s">
        <v>2286</v>
      </c>
      <c r="K1433" s="7" t="s">
        <v>119</v>
      </c>
      <c r="L1433" s="61">
        <v>45791</v>
      </c>
      <c r="M1433" s="7" t="s">
        <v>111</v>
      </c>
      <c r="N1433" s="61">
        <v>45791</v>
      </c>
      <c r="O1433" s="61">
        <v>45791</v>
      </c>
      <c r="P1433" s="59"/>
      <c r="Q1433" s="124" t="e">
        <f>P1433*#REF!</f>
        <v>#REF!</v>
      </c>
      <c r="R1433" s="126">
        <v>45792</v>
      </c>
      <c r="S1433" s="153">
        <f>IF(L1433="","",L1433-B1433)</f>
        <v>7</v>
      </c>
      <c r="T1433" s="153">
        <f>IF(N1433="","",N1433-L1433)</f>
        <v>0</v>
      </c>
      <c r="U1433" s="153">
        <f>IF(O1433="","",O1433-N1433)</f>
        <v>0</v>
      </c>
      <c r="V1433" s="154">
        <f>IF(O1433="","",O1433-B1433)</f>
        <v>7</v>
      </c>
      <c r="W1433" s="154">
        <f>IF(O1433="","",O1433-L1433)</f>
        <v>0</v>
      </c>
      <c r="X1433" s="154">
        <f>IF(R1433="","",R1433-B1433)</f>
        <v>8</v>
      </c>
    </row>
    <row r="1434" spans="2:24" ht="17.25" hidden="1" customHeight="1">
      <c r="B1434" s="23">
        <v>45784</v>
      </c>
      <c r="C1434" s="7">
        <v>2003678730</v>
      </c>
      <c r="D1434" s="20">
        <v>5936909</v>
      </c>
      <c r="E1434" s="27" t="s">
        <v>123</v>
      </c>
      <c r="F1434" s="7" t="s">
        <v>107</v>
      </c>
      <c r="G1434" s="7" t="s">
        <v>26</v>
      </c>
      <c r="H1434" s="7" t="s">
        <v>45</v>
      </c>
      <c r="I1434" s="20" t="s">
        <v>270</v>
      </c>
      <c r="J1434" s="20" t="s">
        <v>436</v>
      </c>
      <c r="K1434" s="7" t="s">
        <v>119</v>
      </c>
      <c r="L1434" s="61">
        <v>45789</v>
      </c>
      <c r="M1434" s="7" t="s">
        <v>111</v>
      </c>
      <c r="N1434" s="24">
        <v>45790</v>
      </c>
      <c r="O1434" s="23">
        <v>45790</v>
      </c>
      <c r="P1434" s="59"/>
      <c r="Q1434" s="124" t="e">
        <f>P1434*#REF!</f>
        <v>#REF!</v>
      </c>
      <c r="R1434" s="126">
        <v>45790</v>
      </c>
      <c r="S1434" s="153">
        <f>IF(L1434="","",L1434-B1434)</f>
        <v>5</v>
      </c>
      <c r="T1434" s="153">
        <f>IF(N1434="","",N1434-L1434)</f>
        <v>1</v>
      </c>
      <c r="U1434" s="153">
        <f>IF(O1434="","",O1434-N1434)</f>
        <v>0</v>
      </c>
      <c r="V1434" s="154">
        <f>IF(O1434="","",O1434-B1434)</f>
        <v>6</v>
      </c>
      <c r="W1434" s="154">
        <f>IF(O1434="","",O1434-L1434)</f>
        <v>1</v>
      </c>
      <c r="X1434" s="154">
        <f>IF(R1434="","",R1434-B1434)</f>
        <v>6</v>
      </c>
    </row>
    <row r="1435" spans="2:24" ht="17.25" hidden="1" customHeight="1">
      <c r="B1435" s="23">
        <v>45789</v>
      </c>
      <c r="C1435" s="7">
        <v>2003683802</v>
      </c>
      <c r="D1435" s="20">
        <v>163025</v>
      </c>
      <c r="E1435" s="27" t="s">
        <v>198</v>
      </c>
      <c r="F1435" s="7" t="s">
        <v>107</v>
      </c>
      <c r="G1435" s="7" t="s">
        <v>10</v>
      </c>
      <c r="H1435" s="7" t="s">
        <v>47</v>
      </c>
      <c r="I1435" s="20" t="s">
        <v>1171</v>
      </c>
      <c r="J1435" s="20" t="s">
        <v>2287</v>
      </c>
      <c r="K1435" s="7" t="s">
        <v>160</v>
      </c>
      <c r="O1435" s="58">
        <v>45833</v>
      </c>
      <c r="P1435" s="59"/>
      <c r="Q1435" s="124" t="e">
        <f>P1435*#REF!</f>
        <v>#REF!</v>
      </c>
      <c r="S1435" s="153" t="str">
        <f>IF(L1435="","",L1435-B1435)</f>
        <v/>
      </c>
      <c r="T1435" s="153" t="str">
        <f>IF(N1435="","",N1435-L1435)</f>
        <v/>
      </c>
      <c r="U1435" s="153">
        <f>IF(O1435="","",O1435-N1435)</f>
        <v>45833</v>
      </c>
      <c r="V1435" s="154">
        <f>IF(O1435="","",O1435-B1435)</f>
        <v>44</v>
      </c>
      <c r="W1435" s="154">
        <f>IF(O1435="","",O1435-L1435)</f>
        <v>45833</v>
      </c>
      <c r="X1435" s="154" t="str">
        <f>IF(R1435="","",R1435-B1435)</f>
        <v/>
      </c>
    </row>
    <row r="1436" spans="2:24" ht="17.25" hidden="1" customHeight="1">
      <c r="B1436" s="23">
        <v>45784</v>
      </c>
      <c r="C1436" s="7">
        <v>2003629202</v>
      </c>
      <c r="D1436" s="20">
        <v>5936923</v>
      </c>
      <c r="E1436" s="27" t="s">
        <v>191</v>
      </c>
      <c r="F1436" s="7" t="s">
        <v>107</v>
      </c>
      <c r="G1436" s="7" t="s">
        <v>10</v>
      </c>
      <c r="H1436" s="7" t="s">
        <v>45</v>
      </c>
      <c r="I1436" s="20" t="s">
        <v>1954</v>
      </c>
      <c r="J1436" s="20" t="s">
        <v>2288</v>
      </c>
      <c r="K1436" s="7" t="s">
        <v>119</v>
      </c>
      <c r="L1436" s="61">
        <v>45789</v>
      </c>
      <c r="M1436" s="7" t="s">
        <v>111</v>
      </c>
      <c r="N1436" s="61">
        <v>45790</v>
      </c>
      <c r="O1436" s="61">
        <v>45790</v>
      </c>
      <c r="P1436" s="59"/>
      <c r="Q1436" s="124" t="e">
        <f>P1436*#REF!</f>
        <v>#REF!</v>
      </c>
      <c r="R1436" s="126">
        <v>45790</v>
      </c>
      <c r="S1436" s="153">
        <f>IF(L1436="","",L1436-B1436)</f>
        <v>5</v>
      </c>
      <c r="T1436" s="153">
        <f>IF(N1436="","",N1436-L1436)</f>
        <v>1</v>
      </c>
      <c r="U1436" s="153">
        <f>IF(O1436="","",O1436-N1436)</f>
        <v>0</v>
      </c>
      <c r="V1436" s="154">
        <f>IF(O1436="","",O1436-B1436)</f>
        <v>6</v>
      </c>
      <c r="W1436" s="154">
        <f>IF(O1436="","",O1436-L1436)</f>
        <v>1</v>
      </c>
      <c r="X1436" s="154">
        <f>IF(R1436="","",R1436-B1436)</f>
        <v>6</v>
      </c>
    </row>
    <row r="1437" spans="2:24" ht="17.25" hidden="1" customHeight="1">
      <c r="B1437" s="23">
        <v>45784</v>
      </c>
      <c r="C1437" s="7">
        <v>2003672713</v>
      </c>
      <c r="D1437" s="20">
        <v>5936930</v>
      </c>
      <c r="E1437" s="27" t="s">
        <v>949</v>
      </c>
      <c r="F1437" s="7" t="s">
        <v>107</v>
      </c>
      <c r="G1437" s="7" t="s">
        <v>10</v>
      </c>
      <c r="H1437" s="7" t="s">
        <v>45</v>
      </c>
      <c r="I1437" s="20" t="s">
        <v>2289</v>
      </c>
      <c r="J1437" s="20" t="s">
        <v>2290</v>
      </c>
      <c r="K1437" s="7" t="s">
        <v>119</v>
      </c>
      <c r="L1437" s="61">
        <v>45786</v>
      </c>
      <c r="M1437" s="7" t="s">
        <v>111</v>
      </c>
      <c r="N1437" s="61">
        <v>45786</v>
      </c>
      <c r="O1437" s="24">
        <v>45791</v>
      </c>
      <c r="P1437" s="59"/>
      <c r="Q1437" s="124" t="e">
        <f>P1437*#REF!</f>
        <v>#REF!</v>
      </c>
      <c r="R1437" s="126">
        <v>45792</v>
      </c>
      <c r="S1437" s="153">
        <f>IF(L1437="","",L1437-B1437)</f>
        <v>2</v>
      </c>
      <c r="T1437" s="153">
        <f>IF(N1437="","",N1437-L1437)</f>
        <v>0</v>
      </c>
      <c r="U1437" s="153">
        <f>IF(O1437="","",O1437-N1437)</f>
        <v>5</v>
      </c>
      <c r="V1437" s="154">
        <f>IF(O1437="","",O1437-B1437)</f>
        <v>7</v>
      </c>
      <c r="W1437" s="154">
        <f>IF(O1437="","",O1437-L1437)</f>
        <v>5</v>
      </c>
      <c r="X1437" s="154">
        <f>IF(R1437="","",R1437-B1437)</f>
        <v>8</v>
      </c>
    </row>
    <row r="1438" spans="2:24" ht="17.25" hidden="1" customHeight="1">
      <c r="B1438" s="23">
        <v>45784</v>
      </c>
      <c r="C1438" s="7">
        <v>2003677760</v>
      </c>
      <c r="D1438" s="20">
        <v>5936936</v>
      </c>
      <c r="E1438" s="27" t="s">
        <v>622</v>
      </c>
      <c r="F1438" s="7" t="s">
        <v>107</v>
      </c>
      <c r="G1438" s="7" t="s">
        <v>10</v>
      </c>
      <c r="H1438" s="7" t="s">
        <v>45</v>
      </c>
      <c r="I1438" s="20" t="s">
        <v>2291</v>
      </c>
      <c r="J1438" s="20" t="s">
        <v>2292</v>
      </c>
      <c r="K1438" s="7" t="s">
        <v>110</v>
      </c>
      <c r="L1438" s="61">
        <v>45786</v>
      </c>
      <c r="M1438" s="7" t="s">
        <v>111</v>
      </c>
      <c r="N1438" s="24">
        <v>45787</v>
      </c>
      <c r="O1438" s="24">
        <v>45791</v>
      </c>
      <c r="P1438" s="59"/>
      <c r="Q1438" s="124" t="e">
        <f>P1438*#REF!</f>
        <v>#REF!</v>
      </c>
      <c r="R1438" s="126">
        <v>45792</v>
      </c>
      <c r="S1438" s="153">
        <f>IF(L1438="","",L1438-B1438)</f>
        <v>2</v>
      </c>
      <c r="T1438" s="153">
        <f>IF(N1438="","",N1438-L1438)</f>
        <v>1</v>
      </c>
      <c r="U1438" s="153">
        <f>IF(O1438="","",O1438-N1438)</f>
        <v>4</v>
      </c>
      <c r="V1438" s="154">
        <f>IF(O1438="","",O1438-B1438)</f>
        <v>7</v>
      </c>
      <c r="W1438" s="154">
        <f>IF(O1438="","",O1438-L1438)</f>
        <v>5</v>
      </c>
      <c r="X1438" s="154">
        <f>IF(R1438="","",R1438-B1438)</f>
        <v>8</v>
      </c>
    </row>
    <row r="1439" spans="2:24" ht="17.25" hidden="1" customHeight="1">
      <c r="B1439" s="23">
        <v>45784</v>
      </c>
      <c r="C1439" s="7">
        <v>2003661984</v>
      </c>
      <c r="D1439" s="20">
        <v>5936968</v>
      </c>
      <c r="E1439" s="27" t="s">
        <v>265</v>
      </c>
      <c r="F1439" s="7" t="s">
        <v>107</v>
      </c>
      <c r="G1439" s="7" t="s">
        <v>10</v>
      </c>
      <c r="H1439" s="7" t="s">
        <v>45</v>
      </c>
      <c r="I1439" s="20" t="s">
        <v>247</v>
      </c>
      <c r="J1439" s="20" t="s">
        <v>2293</v>
      </c>
      <c r="K1439" s="7" t="s">
        <v>119</v>
      </c>
      <c r="L1439" s="61">
        <v>45789</v>
      </c>
      <c r="M1439" s="7" t="s">
        <v>111</v>
      </c>
      <c r="N1439" s="61">
        <v>45790</v>
      </c>
      <c r="O1439" s="24">
        <v>45791</v>
      </c>
      <c r="P1439" s="59"/>
      <c r="Q1439" s="124" t="e">
        <f>P1439*#REF!</f>
        <v>#REF!</v>
      </c>
      <c r="R1439" s="126">
        <v>45792</v>
      </c>
      <c r="S1439" s="153">
        <f>IF(L1439="","",L1439-B1439)</f>
        <v>5</v>
      </c>
      <c r="T1439" s="153">
        <f>IF(N1439="","",N1439-L1439)</f>
        <v>1</v>
      </c>
      <c r="U1439" s="153">
        <f>IF(O1439="","",O1439-N1439)</f>
        <v>1</v>
      </c>
      <c r="V1439" s="154">
        <f>IF(O1439="","",O1439-B1439)</f>
        <v>7</v>
      </c>
      <c r="W1439" s="154">
        <f>IF(O1439="","",O1439-L1439)</f>
        <v>2</v>
      </c>
      <c r="X1439" s="154">
        <f>IF(R1439="","",R1439-B1439)</f>
        <v>8</v>
      </c>
    </row>
    <row r="1440" spans="2:24" ht="17.25" hidden="1" customHeight="1">
      <c r="B1440" s="23">
        <v>45784</v>
      </c>
      <c r="C1440" s="7">
        <v>2003666948</v>
      </c>
      <c r="D1440" s="20">
        <v>5936983</v>
      </c>
      <c r="E1440" s="27" t="s">
        <v>123</v>
      </c>
      <c r="F1440" s="7" t="s">
        <v>107</v>
      </c>
      <c r="G1440" s="7" t="s">
        <v>21</v>
      </c>
      <c r="H1440" s="7" t="s">
        <v>45</v>
      </c>
      <c r="I1440" s="20" t="s">
        <v>2294</v>
      </c>
      <c r="J1440" s="20" t="s">
        <v>1571</v>
      </c>
      <c r="K1440" s="7" t="s">
        <v>111</v>
      </c>
      <c r="L1440" s="61">
        <v>45785</v>
      </c>
      <c r="M1440" s="7" t="s">
        <v>111</v>
      </c>
      <c r="N1440" s="61">
        <v>45785</v>
      </c>
      <c r="O1440" s="130">
        <v>45785</v>
      </c>
      <c r="P1440" s="59"/>
      <c r="Q1440" s="124" t="e">
        <f>P1440*#REF!</f>
        <v>#REF!</v>
      </c>
      <c r="R1440" s="126">
        <v>45786</v>
      </c>
      <c r="S1440" s="153">
        <f>IF(L1440="","",L1440-B1440)</f>
        <v>1</v>
      </c>
      <c r="T1440" s="153">
        <f>IF(N1440="","",N1440-L1440)</f>
        <v>0</v>
      </c>
      <c r="U1440" s="153">
        <f>IF(O1440="","",O1440-N1440)</f>
        <v>0</v>
      </c>
      <c r="V1440" s="154">
        <f>IF(O1440="","",O1440-B1440)</f>
        <v>1</v>
      </c>
      <c r="W1440" s="154">
        <f>IF(O1440="","",O1440-L1440)</f>
        <v>0</v>
      </c>
      <c r="X1440" s="154">
        <f>IF(R1440="","",R1440-B1440)</f>
        <v>2</v>
      </c>
    </row>
    <row r="1441" spans="2:24" ht="17.25" hidden="1" customHeight="1">
      <c r="B1441" s="23">
        <v>45784</v>
      </c>
      <c r="C1441" s="7">
        <v>2003669602</v>
      </c>
      <c r="D1441" s="20">
        <v>5937019</v>
      </c>
      <c r="E1441" s="27" t="s">
        <v>408</v>
      </c>
      <c r="F1441" s="7" t="s">
        <v>107</v>
      </c>
      <c r="G1441" s="7" t="s">
        <v>10</v>
      </c>
      <c r="H1441" s="7" t="s">
        <v>45</v>
      </c>
      <c r="I1441" s="20" t="s">
        <v>2295</v>
      </c>
      <c r="J1441" s="20" t="s">
        <v>1778</v>
      </c>
      <c r="K1441" s="7" t="s">
        <v>119</v>
      </c>
      <c r="L1441" s="61">
        <v>45785</v>
      </c>
      <c r="M1441" s="7" t="s">
        <v>111</v>
      </c>
      <c r="N1441" s="61">
        <v>45785</v>
      </c>
      <c r="O1441" s="61">
        <v>45785</v>
      </c>
      <c r="P1441" s="59"/>
      <c r="Q1441" s="124" t="e">
        <f>P1441*#REF!</f>
        <v>#REF!</v>
      </c>
      <c r="R1441" s="126">
        <v>45786</v>
      </c>
      <c r="S1441" s="153">
        <f>IF(L1441="","",L1441-B1441)</f>
        <v>1</v>
      </c>
      <c r="T1441" s="153">
        <f>IF(N1441="","",N1441-L1441)</f>
        <v>0</v>
      </c>
      <c r="U1441" s="153">
        <f>IF(O1441="","",O1441-N1441)</f>
        <v>0</v>
      </c>
      <c r="V1441" s="154">
        <f>IF(O1441="","",O1441-B1441)</f>
        <v>1</v>
      </c>
      <c r="W1441" s="154">
        <f>IF(O1441="","",O1441-L1441)</f>
        <v>0</v>
      </c>
      <c r="X1441" s="154">
        <f>IF(R1441="","",R1441-B1441)</f>
        <v>2</v>
      </c>
    </row>
    <row r="1442" spans="2:24" ht="17.25" hidden="1" customHeight="1">
      <c r="B1442" s="23">
        <v>45784</v>
      </c>
      <c r="C1442" s="7">
        <v>2003670798</v>
      </c>
      <c r="D1442" s="20">
        <v>5937047</v>
      </c>
      <c r="E1442" s="27" t="s">
        <v>180</v>
      </c>
      <c r="F1442" s="7" t="s">
        <v>107</v>
      </c>
      <c r="G1442" s="7" t="s">
        <v>30</v>
      </c>
      <c r="H1442" s="7" t="s">
        <v>45</v>
      </c>
      <c r="I1442" s="20" t="s">
        <v>2296</v>
      </c>
      <c r="J1442" s="20" t="s">
        <v>2297</v>
      </c>
      <c r="K1442" s="7" t="s">
        <v>111</v>
      </c>
      <c r="L1442" s="61">
        <v>45793</v>
      </c>
      <c r="M1442" s="7" t="s">
        <v>111</v>
      </c>
      <c r="N1442" s="61">
        <v>45793</v>
      </c>
      <c r="O1442" s="58">
        <v>45800</v>
      </c>
      <c r="P1442" s="59"/>
      <c r="Q1442" s="124" t="e">
        <f>P1442*#REF!</f>
        <v>#REF!</v>
      </c>
      <c r="R1442" s="126">
        <v>45802</v>
      </c>
      <c r="S1442" s="153">
        <f>IF(L1442="","",L1442-B1442)</f>
        <v>9</v>
      </c>
      <c r="T1442" s="153">
        <f>IF(N1442="","",N1442-L1442)</f>
        <v>0</v>
      </c>
      <c r="U1442" s="153">
        <f>IF(O1442="","",O1442-N1442)</f>
        <v>7</v>
      </c>
      <c r="V1442" s="154">
        <f>IF(O1442="","",O1442-B1442)</f>
        <v>16</v>
      </c>
      <c r="W1442" s="154">
        <f>IF(O1442="","",O1442-L1442)</f>
        <v>7</v>
      </c>
      <c r="X1442" s="154">
        <f>IF(R1442="","",R1442-B1442)</f>
        <v>18</v>
      </c>
    </row>
    <row r="1443" spans="2:24" ht="17.25" hidden="1" customHeight="1">
      <c r="B1443" s="23">
        <v>45784</v>
      </c>
      <c r="C1443" s="7">
        <v>2003668963</v>
      </c>
      <c r="D1443" s="20">
        <v>5937066</v>
      </c>
      <c r="E1443" s="27" t="s">
        <v>116</v>
      </c>
      <c r="F1443" s="7" t="s">
        <v>107</v>
      </c>
      <c r="G1443" s="7" t="s">
        <v>10</v>
      </c>
      <c r="H1443" s="7" t="s">
        <v>45</v>
      </c>
      <c r="I1443" s="20" t="s">
        <v>2298</v>
      </c>
      <c r="J1443" s="20" t="s">
        <v>2299</v>
      </c>
      <c r="K1443" s="7" t="s">
        <v>119</v>
      </c>
      <c r="L1443" s="61">
        <v>45790</v>
      </c>
      <c r="M1443" s="7" t="s">
        <v>111</v>
      </c>
      <c r="N1443" s="61">
        <v>45790</v>
      </c>
      <c r="O1443" s="61">
        <v>45790</v>
      </c>
      <c r="P1443" s="59"/>
      <c r="Q1443" s="124" t="e">
        <f>P1443*#REF!</f>
        <v>#REF!</v>
      </c>
      <c r="R1443" s="126">
        <v>45790</v>
      </c>
      <c r="S1443" s="153">
        <f>IF(L1443="","",L1443-B1443)</f>
        <v>6</v>
      </c>
      <c r="T1443" s="153">
        <f>IF(N1443="","",N1443-L1443)</f>
        <v>0</v>
      </c>
      <c r="U1443" s="153">
        <f>IF(O1443="","",O1443-N1443)</f>
        <v>0</v>
      </c>
      <c r="V1443" s="154">
        <f>IF(O1443="","",O1443-B1443)</f>
        <v>6</v>
      </c>
      <c r="W1443" s="154">
        <f>IF(O1443="","",O1443-L1443)</f>
        <v>0</v>
      </c>
      <c r="X1443" s="154">
        <f>IF(R1443="","",R1443-B1443)</f>
        <v>6</v>
      </c>
    </row>
    <row r="1444" spans="2:24" ht="17.25" hidden="1" customHeight="1">
      <c r="B1444" s="23">
        <v>45784</v>
      </c>
      <c r="C1444" s="7">
        <v>2003680179</v>
      </c>
      <c r="D1444" s="20">
        <v>5937335</v>
      </c>
      <c r="E1444" s="27" t="s">
        <v>106</v>
      </c>
      <c r="F1444" s="7" t="s">
        <v>107</v>
      </c>
      <c r="G1444" s="7" t="s">
        <v>18</v>
      </c>
      <c r="H1444" s="7" t="s">
        <v>45</v>
      </c>
      <c r="I1444" s="20" t="s">
        <v>2300</v>
      </c>
      <c r="J1444" s="20" t="s">
        <v>2301</v>
      </c>
      <c r="K1444" s="7" t="s">
        <v>110</v>
      </c>
      <c r="L1444" s="61">
        <v>45786</v>
      </c>
      <c r="M1444" s="7" t="s">
        <v>111</v>
      </c>
      <c r="N1444" s="24">
        <v>45787</v>
      </c>
      <c r="O1444" s="106">
        <v>45791</v>
      </c>
      <c r="P1444" s="59"/>
      <c r="Q1444" s="124" t="e">
        <f>P1444*#REF!</f>
        <v>#REF!</v>
      </c>
      <c r="R1444" s="126">
        <v>45792</v>
      </c>
      <c r="S1444" s="153">
        <f>IF(L1444="","",L1444-B1444)</f>
        <v>2</v>
      </c>
      <c r="T1444" s="153">
        <f>IF(N1444="","",N1444-L1444)</f>
        <v>1</v>
      </c>
      <c r="U1444" s="153">
        <f>IF(O1444="","",O1444-N1444)</f>
        <v>4</v>
      </c>
      <c r="V1444" s="154">
        <f>IF(O1444="","",O1444-B1444)</f>
        <v>7</v>
      </c>
      <c r="W1444" s="154">
        <f>IF(O1444="","",O1444-L1444)</f>
        <v>5</v>
      </c>
      <c r="X1444" s="154">
        <f>IF(R1444="","",R1444-B1444)</f>
        <v>8</v>
      </c>
    </row>
    <row r="1445" spans="2:24" ht="17.25" hidden="1" customHeight="1">
      <c r="B1445" s="23">
        <v>45784</v>
      </c>
      <c r="C1445" s="7">
        <v>2003677236</v>
      </c>
      <c r="D1445" s="20">
        <v>5937342</v>
      </c>
      <c r="E1445" s="27" t="s">
        <v>949</v>
      </c>
      <c r="F1445" s="7" t="s">
        <v>107</v>
      </c>
      <c r="G1445" s="7" t="s">
        <v>18</v>
      </c>
      <c r="H1445" s="7" t="s">
        <v>45</v>
      </c>
      <c r="I1445" s="20" t="s">
        <v>2302</v>
      </c>
      <c r="J1445" s="20" t="s">
        <v>2303</v>
      </c>
      <c r="K1445" s="7" t="s">
        <v>110</v>
      </c>
      <c r="L1445" s="61">
        <v>45785</v>
      </c>
      <c r="M1445" s="7" t="s">
        <v>111</v>
      </c>
      <c r="N1445" s="61">
        <v>45785</v>
      </c>
      <c r="O1445" s="58">
        <v>45786</v>
      </c>
      <c r="P1445" s="59"/>
      <c r="Q1445" s="124" t="e">
        <f>P1445*#REF!</f>
        <v>#REF!</v>
      </c>
      <c r="R1445" s="126">
        <v>45786</v>
      </c>
      <c r="S1445" s="153">
        <f>IF(L1445="","",L1445-B1445)</f>
        <v>1</v>
      </c>
      <c r="T1445" s="153">
        <f>IF(N1445="","",N1445-L1445)</f>
        <v>0</v>
      </c>
      <c r="U1445" s="153">
        <f>IF(O1445="","",O1445-N1445)</f>
        <v>1</v>
      </c>
      <c r="V1445" s="154">
        <f>IF(O1445="","",O1445-B1445)</f>
        <v>2</v>
      </c>
      <c r="W1445" s="154">
        <f>IF(O1445="","",O1445-L1445)</f>
        <v>1</v>
      </c>
      <c r="X1445" s="154">
        <f>IF(R1445="","",R1445-B1445)</f>
        <v>2</v>
      </c>
    </row>
    <row r="1446" spans="2:24" ht="17.25" hidden="1" customHeight="1">
      <c r="B1446" s="23">
        <v>45784</v>
      </c>
      <c r="C1446" s="7">
        <v>2003673798</v>
      </c>
      <c r="D1446" s="20">
        <v>5937352</v>
      </c>
      <c r="E1446" s="27" t="s">
        <v>126</v>
      </c>
      <c r="F1446" s="7" t="s">
        <v>107</v>
      </c>
      <c r="G1446" s="7" t="s">
        <v>10</v>
      </c>
      <c r="H1446" s="7" t="s">
        <v>45</v>
      </c>
      <c r="I1446" s="20" t="s">
        <v>476</v>
      </c>
      <c r="J1446" s="20" t="s">
        <v>2304</v>
      </c>
      <c r="K1446" s="7" t="s">
        <v>110</v>
      </c>
      <c r="L1446" s="61">
        <v>45785</v>
      </c>
      <c r="M1446" s="7" t="s">
        <v>111</v>
      </c>
      <c r="N1446" s="61">
        <v>45785</v>
      </c>
      <c r="O1446" s="23">
        <v>45786</v>
      </c>
      <c r="P1446" s="59"/>
      <c r="Q1446" s="124" t="e">
        <f>P1446*#REF!</f>
        <v>#REF!</v>
      </c>
      <c r="R1446" s="126">
        <v>45786</v>
      </c>
      <c r="S1446" s="153">
        <f>IF(L1446="","",L1446-B1446)</f>
        <v>1</v>
      </c>
      <c r="T1446" s="153">
        <f>IF(N1446="","",N1446-L1446)</f>
        <v>0</v>
      </c>
      <c r="U1446" s="153">
        <f>IF(O1446="","",O1446-N1446)</f>
        <v>1</v>
      </c>
      <c r="V1446" s="154">
        <f>IF(O1446="","",O1446-B1446)</f>
        <v>2</v>
      </c>
      <c r="W1446" s="154">
        <f>IF(O1446="","",O1446-L1446)</f>
        <v>1</v>
      </c>
      <c r="X1446" s="154">
        <f>IF(R1446="","",R1446-B1446)</f>
        <v>2</v>
      </c>
    </row>
    <row r="1447" spans="2:24" ht="17.25" hidden="1" customHeight="1">
      <c r="B1447" s="23">
        <v>45784</v>
      </c>
      <c r="C1447" s="7">
        <v>2003667640</v>
      </c>
      <c r="D1447" s="20">
        <v>5937360</v>
      </c>
      <c r="E1447" s="27" t="s">
        <v>1225</v>
      </c>
      <c r="F1447" s="7" t="s">
        <v>107</v>
      </c>
      <c r="G1447" s="7" t="s">
        <v>10</v>
      </c>
      <c r="H1447" s="7" t="s">
        <v>45</v>
      </c>
      <c r="I1447" s="20" t="s">
        <v>2305</v>
      </c>
      <c r="J1447" s="20" t="s">
        <v>2306</v>
      </c>
      <c r="K1447" s="7" t="s">
        <v>119</v>
      </c>
      <c r="L1447" s="61">
        <v>45786</v>
      </c>
      <c r="M1447" s="7" t="s">
        <v>111</v>
      </c>
      <c r="N1447" s="61">
        <v>45786</v>
      </c>
      <c r="O1447" s="61">
        <v>45786</v>
      </c>
      <c r="P1447" s="59"/>
      <c r="Q1447" s="124" t="e">
        <f>P1447*#REF!</f>
        <v>#REF!</v>
      </c>
      <c r="R1447" s="126">
        <v>45789</v>
      </c>
      <c r="S1447" s="153">
        <f>IF(L1447="","",L1447-B1447)</f>
        <v>2</v>
      </c>
      <c r="T1447" s="153">
        <f>IF(N1447="","",N1447-L1447)</f>
        <v>0</v>
      </c>
      <c r="U1447" s="153">
        <f>IF(O1447="","",O1447-N1447)</f>
        <v>0</v>
      </c>
      <c r="V1447" s="154">
        <f>IF(O1447="","",O1447-B1447)</f>
        <v>2</v>
      </c>
      <c r="W1447" s="154">
        <f>IF(O1447="","",O1447-L1447)</f>
        <v>0</v>
      </c>
      <c r="X1447" s="154">
        <f>IF(R1447="","",R1447-B1447)</f>
        <v>5</v>
      </c>
    </row>
    <row r="1448" spans="2:24" ht="17.25" hidden="1" customHeight="1">
      <c r="B1448" s="23">
        <v>45784</v>
      </c>
      <c r="C1448" s="7">
        <v>2003678041</v>
      </c>
      <c r="D1448" s="20">
        <v>5937369</v>
      </c>
      <c r="E1448" s="27" t="s">
        <v>622</v>
      </c>
      <c r="F1448" s="7" t="s">
        <v>107</v>
      </c>
      <c r="G1448" s="7" t="s">
        <v>10</v>
      </c>
      <c r="H1448" s="7" t="s">
        <v>45</v>
      </c>
      <c r="I1448" s="20" t="s">
        <v>2302</v>
      </c>
      <c r="J1448" s="20" t="s">
        <v>2303</v>
      </c>
      <c r="K1448" s="7" t="s">
        <v>110</v>
      </c>
      <c r="L1448" s="61">
        <v>45785</v>
      </c>
      <c r="M1448" s="7" t="s">
        <v>111</v>
      </c>
      <c r="N1448" s="61">
        <v>45785</v>
      </c>
      <c r="O1448" s="58">
        <v>45786</v>
      </c>
      <c r="P1448" s="59"/>
      <c r="Q1448" s="124" t="e">
        <f>P1448*#REF!</f>
        <v>#REF!</v>
      </c>
      <c r="R1448" s="126">
        <v>45786</v>
      </c>
      <c r="S1448" s="153">
        <f>IF(L1448="","",L1448-B1448)</f>
        <v>1</v>
      </c>
      <c r="T1448" s="153">
        <f>IF(N1448="","",N1448-L1448)</f>
        <v>0</v>
      </c>
      <c r="U1448" s="153">
        <f>IF(O1448="","",O1448-N1448)</f>
        <v>1</v>
      </c>
      <c r="V1448" s="154">
        <f>IF(O1448="","",O1448-B1448)</f>
        <v>2</v>
      </c>
      <c r="W1448" s="154">
        <f>IF(O1448="","",O1448-L1448)</f>
        <v>1</v>
      </c>
      <c r="X1448" s="154">
        <f>IF(R1448="","",R1448-B1448)</f>
        <v>2</v>
      </c>
    </row>
    <row r="1449" spans="2:24" ht="17.25" hidden="1" customHeight="1">
      <c r="B1449" s="23">
        <v>45784</v>
      </c>
      <c r="C1449" s="7">
        <v>2003667734</v>
      </c>
      <c r="D1449" s="20">
        <v>5937379</v>
      </c>
      <c r="E1449" s="27" t="s">
        <v>198</v>
      </c>
      <c r="F1449" s="7" t="s">
        <v>107</v>
      </c>
      <c r="G1449" s="7" t="s">
        <v>10</v>
      </c>
      <c r="H1449" s="7" t="s">
        <v>45</v>
      </c>
      <c r="I1449" s="20" t="s">
        <v>2307</v>
      </c>
      <c r="J1449" s="20" t="s">
        <v>2308</v>
      </c>
      <c r="K1449" s="7" t="s">
        <v>119</v>
      </c>
      <c r="L1449" s="61">
        <v>45785</v>
      </c>
      <c r="M1449" s="7" t="s">
        <v>111</v>
      </c>
      <c r="N1449" s="61">
        <v>45785</v>
      </c>
      <c r="O1449" s="130">
        <v>45785</v>
      </c>
      <c r="P1449" s="59"/>
      <c r="Q1449" s="124" t="e">
        <f>P1449*#REF!</f>
        <v>#REF!</v>
      </c>
      <c r="R1449" s="126">
        <v>45786</v>
      </c>
      <c r="S1449" s="153">
        <f>IF(L1449="","",L1449-B1449)</f>
        <v>1</v>
      </c>
      <c r="T1449" s="153">
        <f>IF(N1449="","",N1449-L1449)</f>
        <v>0</v>
      </c>
      <c r="U1449" s="153">
        <f>IF(O1449="","",O1449-N1449)</f>
        <v>0</v>
      </c>
      <c r="V1449" s="154">
        <f>IF(O1449="","",O1449-B1449)</f>
        <v>1</v>
      </c>
      <c r="W1449" s="154">
        <f>IF(O1449="","",O1449-L1449)</f>
        <v>0</v>
      </c>
      <c r="X1449" s="154">
        <f>IF(R1449="","",R1449-B1449)</f>
        <v>2</v>
      </c>
    </row>
    <row r="1450" spans="2:24" ht="17.25" hidden="1" customHeight="1">
      <c r="B1450" s="23">
        <v>45784</v>
      </c>
      <c r="C1450" s="7">
        <v>2003670995</v>
      </c>
      <c r="D1450" s="20">
        <v>5937449</v>
      </c>
      <c r="E1450" s="27" t="s">
        <v>149</v>
      </c>
      <c r="F1450" s="7" t="s">
        <v>107</v>
      </c>
      <c r="G1450" s="7" t="s">
        <v>10</v>
      </c>
      <c r="H1450" s="7" t="s">
        <v>45</v>
      </c>
      <c r="I1450" s="20" t="s">
        <v>1050</v>
      </c>
      <c r="J1450" s="20" t="s">
        <v>2309</v>
      </c>
      <c r="K1450" s="7" t="s">
        <v>119</v>
      </c>
      <c r="L1450" s="61">
        <v>45786</v>
      </c>
      <c r="M1450" s="7" t="s">
        <v>111</v>
      </c>
      <c r="N1450" s="61">
        <v>45786</v>
      </c>
      <c r="O1450" s="58">
        <v>45789</v>
      </c>
      <c r="P1450" s="59"/>
      <c r="Q1450" s="124" t="e">
        <f>P1450*#REF!</f>
        <v>#REF!</v>
      </c>
      <c r="R1450" s="126">
        <v>45790</v>
      </c>
      <c r="S1450" s="153">
        <f>IF(L1450="","",L1450-B1450)</f>
        <v>2</v>
      </c>
      <c r="T1450" s="153">
        <f>IF(N1450="","",N1450-L1450)</f>
        <v>0</v>
      </c>
      <c r="U1450" s="153">
        <f>IF(O1450="","",O1450-N1450)</f>
        <v>3</v>
      </c>
      <c r="V1450" s="154">
        <f>IF(O1450="","",O1450-B1450)</f>
        <v>5</v>
      </c>
      <c r="W1450" s="154">
        <f>IF(O1450="","",O1450-L1450)</f>
        <v>3</v>
      </c>
      <c r="X1450" s="154">
        <f>IF(R1450="","",R1450-B1450)</f>
        <v>6</v>
      </c>
    </row>
    <row r="1451" spans="2:24" ht="17.25" hidden="1" customHeight="1">
      <c r="B1451" s="23">
        <v>45784</v>
      </c>
      <c r="C1451" s="7">
        <v>2003674910</v>
      </c>
      <c r="D1451" s="20">
        <v>5937502</v>
      </c>
      <c r="E1451" s="27" t="s">
        <v>198</v>
      </c>
      <c r="F1451" s="7" t="s">
        <v>107</v>
      </c>
      <c r="G1451" s="7" t="s">
        <v>18</v>
      </c>
      <c r="H1451" s="7" t="s">
        <v>45</v>
      </c>
      <c r="I1451" s="20" t="s">
        <v>1420</v>
      </c>
      <c r="J1451" s="20" t="s">
        <v>2310</v>
      </c>
      <c r="K1451" s="7" t="s">
        <v>119</v>
      </c>
      <c r="L1451" s="61">
        <v>45789</v>
      </c>
      <c r="M1451" s="7" t="s">
        <v>111</v>
      </c>
      <c r="N1451" s="24">
        <v>45790</v>
      </c>
      <c r="O1451" s="106">
        <v>45791</v>
      </c>
      <c r="P1451" s="59"/>
      <c r="Q1451" s="124" t="e">
        <f>P1451*#REF!</f>
        <v>#REF!</v>
      </c>
      <c r="R1451" s="126">
        <v>45792</v>
      </c>
      <c r="S1451" s="153">
        <f>IF(L1451="","",L1451-B1451)</f>
        <v>5</v>
      </c>
      <c r="T1451" s="153">
        <f>IF(N1451="","",N1451-L1451)</f>
        <v>1</v>
      </c>
      <c r="U1451" s="153">
        <f>IF(O1451="","",O1451-N1451)</f>
        <v>1</v>
      </c>
      <c r="V1451" s="154">
        <f>IF(O1451="","",O1451-B1451)</f>
        <v>7</v>
      </c>
      <c r="W1451" s="154">
        <f>IF(O1451="","",O1451-L1451)</f>
        <v>2</v>
      </c>
      <c r="X1451" s="154">
        <f>IF(R1451="","",R1451-B1451)</f>
        <v>8</v>
      </c>
    </row>
    <row r="1452" spans="2:24" ht="17.25" hidden="1" customHeight="1">
      <c r="B1452" s="23">
        <v>45784</v>
      </c>
      <c r="C1452" s="7">
        <v>2003664809</v>
      </c>
      <c r="D1452" s="20">
        <v>5937514</v>
      </c>
      <c r="E1452" s="27" t="s">
        <v>116</v>
      </c>
      <c r="F1452" s="7" t="s">
        <v>107</v>
      </c>
      <c r="G1452" s="7" t="s">
        <v>10</v>
      </c>
      <c r="H1452" s="7" t="s">
        <v>45</v>
      </c>
      <c r="I1452" s="20" t="s">
        <v>2311</v>
      </c>
      <c r="J1452" s="20" t="s">
        <v>2312</v>
      </c>
      <c r="K1452" s="7" t="s">
        <v>119</v>
      </c>
      <c r="L1452" s="61">
        <v>45791</v>
      </c>
      <c r="M1452" s="7" t="s">
        <v>111</v>
      </c>
      <c r="N1452" s="61">
        <v>45791</v>
      </c>
      <c r="O1452" s="61">
        <v>45791</v>
      </c>
      <c r="P1452" s="59"/>
      <c r="Q1452" s="124" t="e">
        <f>P1452*#REF!</f>
        <v>#REF!</v>
      </c>
      <c r="R1452" s="126">
        <v>45792</v>
      </c>
      <c r="S1452" s="153">
        <f>IF(L1452="","",L1452-B1452)</f>
        <v>7</v>
      </c>
      <c r="T1452" s="153">
        <f>IF(N1452="","",N1452-L1452)</f>
        <v>0</v>
      </c>
      <c r="U1452" s="153">
        <f>IF(O1452="","",O1452-N1452)</f>
        <v>0</v>
      </c>
      <c r="V1452" s="154">
        <f>IF(O1452="","",O1452-B1452)</f>
        <v>7</v>
      </c>
      <c r="W1452" s="154">
        <f>IF(O1452="","",O1452-L1452)</f>
        <v>0</v>
      </c>
      <c r="X1452" s="154">
        <f>IF(R1452="","",R1452-B1452)</f>
        <v>8</v>
      </c>
    </row>
    <row r="1453" spans="2:24" ht="17.25" hidden="1" customHeight="1">
      <c r="B1453" s="23">
        <v>45784</v>
      </c>
      <c r="C1453" s="7">
        <v>2003670215</v>
      </c>
      <c r="D1453" s="20">
        <v>5937530</v>
      </c>
      <c r="E1453" s="27" t="s">
        <v>949</v>
      </c>
      <c r="F1453" s="7" t="s">
        <v>107</v>
      </c>
      <c r="G1453" s="7" t="s">
        <v>10</v>
      </c>
      <c r="H1453" s="7" t="s">
        <v>45</v>
      </c>
      <c r="I1453" s="20" t="s">
        <v>2313</v>
      </c>
      <c r="J1453" s="20" t="s">
        <v>2314</v>
      </c>
      <c r="K1453" s="7" t="s">
        <v>110</v>
      </c>
      <c r="L1453" s="61">
        <v>45785</v>
      </c>
      <c r="M1453" s="7" t="s">
        <v>111</v>
      </c>
      <c r="N1453" s="61">
        <v>45785</v>
      </c>
      <c r="O1453" s="130">
        <v>45785</v>
      </c>
      <c r="P1453" s="59"/>
      <c r="Q1453" s="124" t="e">
        <f>P1453*#REF!</f>
        <v>#REF!</v>
      </c>
      <c r="R1453" s="126">
        <v>45786</v>
      </c>
      <c r="S1453" s="153">
        <f>IF(L1453="","",L1453-B1453)</f>
        <v>1</v>
      </c>
      <c r="T1453" s="153">
        <f>IF(N1453="","",N1453-L1453)</f>
        <v>0</v>
      </c>
      <c r="U1453" s="153">
        <f>IF(O1453="","",O1453-N1453)</f>
        <v>0</v>
      </c>
      <c r="V1453" s="154">
        <f>IF(O1453="","",O1453-B1453)</f>
        <v>1</v>
      </c>
      <c r="W1453" s="154">
        <f>IF(O1453="","",O1453-L1453)</f>
        <v>0</v>
      </c>
      <c r="X1453" s="154">
        <f>IF(R1453="","",R1453-B1453)</f>
        <v>2</v>
      </c>
    </row>
    <row r="1454" spans="2:24" ht="17.25" hidden="1" customHeight="1">
      <c r="B1454" s="23">
        <v>45784</v>
      </c>
      <c r="C1454" s="7">
        <v>2003665855</v>
      </c>
      <c r="D1454" s="20">
        <v>5937554</v>
      </c>
      <c r="E1454" s="27" t="s">
        <v>123</v>
      </c>
      <c r="F1454" s="7" t="s">
        <v>107</v>
      </c>
      <c r="G1454" s="7" t="s">
        <v>10</v>
      </c>
      <c r="H1454" s="7" t="s">
        <v>45</v>
      </c>
      <c r="I1454" s="20" t="s">
        <v>164</v>
      </c>
      <c r="J1454" s="20" t="s">
        <v>2315</v>
      </c>
      <c r="K1454" s="7" t="s">
        <v>119</v>
      </c>
      <c r="L1454" s="61">
        <v>45790</v>
      </c>
      <c r="M1454" s="7" t="s">
        <v>111</v>
      </c>
      <c r="N1454" s="61">
        <v>45790</v>
      </c>
      <c r="O1454" s="61">
        <v>45790</v>
      </c>
      <c r="P1454" s="59"/>
      <c r="Q1454" s="124" t="e">
        <f>P1454*#REF!</f>
        <v>#REF!</v>
      </c>
      <c r="R1454" s="126">
        <v>45792</v>
      </c>
      <c r="S1454" s="153">
        <f>IF(L1454="","",L1454-B1454)</f>
        <v>6</v>
      </c>
      <c r="T1454" s="153">
        <f>IF(N1454="","",N1454-L1454)</f>
        <v>0</v>
      </c>
      <c r="U1454" s="153">
        <f>IF(O1454="","",O1454-N1454)</f>
        <v>0</v>
      </c>
      <c r="V1454" s="154">
        <f>IF(O1454="","",O1454-B1454)</f>
        <v>6</v>
      </c>
      <c r="W1454" s="154">
        <f>IF(O1454="","",O1454-L1454)</f>
        <v>0</v>
      </c>
      <c r="X1454" s="154">
        <f>IF(R1454="","",R1454-B1454)</f>
        <v>8</v>
      </c>
    </row>
    <row r="1455" spans="2:24" ht="17.25" hidden="1" customHeight="1">
      <c r="B1455" s="207">
        <v>45784</v>
      </c>
      <c r="C1455" s="112">
        <v>2003544373</v>
      </c>
      <c r="D1455" s="128">
        <v>5937559</v>
      </c>
      <c r="E1455" s="208" t="s">
        <v>116</v>
      </c>
      <c r="F1455" s="112" t="s">
        <v>107</v>
      </c>
      <c r="G1455" s="112" t="s">
        <v>10</v>
      </c>
      <c r="H1455" s="112" t="s">
        <v>45</v>
      </c>
      <c r="I1455" s="128" t="s">
        <v>2316</v>
      </c>
      <c r="J1455" s="128" t="s">
        <v>2317</v>
      </c>
      <c r="K1455" s="112" t="s">
        <v>119</v>
      </c>
      <c r="L1455" s="209">
        <v>45796</v>
      </c>
      <c r="M1455" s="112" t="s">
        <v>111</v>
      </c>
      <c r="N1455" s="24">
        <v>45797</v>
      </c>
      <c r="O1455" s="58">
        <v>45799</v>
      </c>
      <c r="P1455" s="211"/>
      <c r="Q1455" s="212" t="e">
        <f>P1455*#REF!</f>
        <v>#REF!</v>
      </c>
      <c r="R1455" s="126">
        <v>45800</v>
      </c>
      <c r="S1455" s="153">
        <f>IF(L1455="","",L1455-B1455)</f>
        <v>12</v>
      </c>
      <c r="T1455" s="153">
        <f>IF(N1455="","",N1455-L1455)</f>
        <v>1</v>
      </c>
      <c r="U1455" s="153">
        <f>IF(O1455="","",O1455-N1455)</f>
        <v>2</v>
      </c>
      <c r="V1455" s="154">
        <f>IF(O1455="","",O1455-B1455)</f>
        <v>15</v>
      </c>
      <c r="W1455" s="154">
        <f>IF(O1455="","",O1455-L1455)</f>
        <v>3</v>
      </c>
      <c r="X1455" s="154">
        <f>IF(R1455="","",R1455-B1455)</f>
        <v>16</v>
      </c>
    </row>
    <row r="1456" spans="2:24" ht="17.25" hidden="1" customHeight="1">
      <c r="B1456" s="23">
        <v>45784</v>
      </c>
      <c r="C1456" s="7">
        <v>2003671561</v>
      </c>
      <c r="D1456" s="20">
        <v>5937565</v>
      </c>
      <c r="E1456" s="27" t="s">
        <v>230</v>
      </c>
      <c r="F1456" s="7" t="s">
        <v>107</v>
      </c>
      <c r="G1456" s="7" t="s">
        <v>10</v>
      </c>
      <c r="H1456" s="7" t="s">
        <v>45</v>
      </c>
      <c r="I1456" s="20" t="s">
        <v>2318</v>
      </c>
      <c r="J1456" s="20" t="s">
        <v>2319</v>
      </c>
      <c r="K1456" s="7" t="s">
        <v>119</v>
      </c>
      <c r="L1456" s="61">
        <v>45790</v>
      </c>
      <c r="M1456" s="7" t="s">
        <v>111</v>
      </c>
      <c r="N1456" s="24">
        <v>45791</v>
      </c>
      <c r="O1456" s="24">
        <v>45791</v>
      </c>
      <c r="P1456" s="59"/>
      <c r="Q1456" s="124" t="e">
        <f>P1456*#REF!</f>
        <v>#REF!</v>
      </c>
      <c r="R1456" s="126">
        <v>45792</v>
      </c>
      <c r="S1456" s="153">
        <f>IF(L1456="","",L1456-B1456)</f>
        <v>6</v>
      </c>
      <c r="T1456" s="153">
        <f>IF(N1456="","",N1456-L1456)</f>
        <v>1</v>
      </c>
      <c r="U1456" s="153">
        <f>IF(O1456="","",O1456-N1456)</f>
        <v>0</v>
      </c>
      <c r="V1456" s="154">
        <f>IF(O1456="","",O1456-B1456)</f>
        <v>7</v>
      </c>
      <c r="W1456" s="154">
        <f>IF(O1456="","",O1456-L1456)</f>
        <v>1</v>
      </c>
      <c r="X1456" s="154">
        <f>IF(R1456="","",R1456-B1456)</f>
        <v>8</v>
      </c>
    </row>
    <row r="1457" spans="2:24" ht="17.25" hidden="1" customHeight="1">
      <c r="B1457" s="23">
        <v>45784</v>
      </c>
      <c r="C1457" s="7">
        <v>2003671587</v>
      </c>
      <c r="D1457" s="20">
        <v>5937573</v>
      </c>
      <c r="E1457" s="27" t="s">
        <v>230</v>
      </c>
      <c r="F1457" s="7" t="s">
        <v>107</v>
      </c>
      <c r="G1457" s="7" t="s">
        <v>10</v>
      </c>
      <c r="H1457" s="7" t="s">
        <v>45</v>
      </c>
      <c r="I1457" s="20" t="s">
        <v>2318</v>
      </c>
      <c r="J1457" s="20" t="s">
        <v>2320</v>
      </c>
      <c r="K1457" s="7" t="s">
        <v>119</v>
      </c>
      <c r="L1457" s="61">
        <v>45790</v>
      </c>
      <c r="M1457" s="7" t="s">
        <v>111</v>
      </c>
      <c r="N1457" s="24">
        <v>45791</v>
      </c>
      <c r="O1457" s="106">
        <v>45791</v>
      </c>
      <c r="P1457" s="59"/>
      <c r="Q1457" s="124" t="e">
        <f>P1457*#REF!</f>
        <v>#REF!</v>
      </c>
      <c r="R1457" s="126">
        <v>45792</v>
      </c>
      <c r="S1457" s="153">
        <f>IF(L1457="","",L1457-B1457)</f>
        <v>6</v>
      </c>
      <c r="T1457" s="153">
        <f>IF(N1457="","",N1457-L1457)</f>
        <v>1</v>
      </c>
      <c r="U1457" s="153">
        <f>IF(O1457="","",O1457-N1457)</f>
        <v>0</v>
      </c>
      <c r="V1457" s="154">
        <f>IF(O1457="","",O1457-B1457)</f>
        <v>7</v>
      </c>
      <c r="W1457" s="154">
        <f>IF(O1457="","",O1457-L1457)</f>
        <v>1</v>
      </c>
      <c r="X1457" s="154">
        <f>IF(R1457="","",R1457-B1457)</f>
        <v>8</v>
      </c>
    </row>
    <row r="1458" spans="2:24" ht="17.25" hidden="1" customHeight="1">
      <c r="B1458" s="23">
        <v>45784</v>
      </c>
      <c r="C1458" s="7">
        <v>2003398918</v>
      </c>
      <c r="D1458" s="20">
        <v>5937580</v>
      </c>
      <c r="E1458" s="27" t="s">
        <v>138</v>
      </c>
      <c r="F1458" s="7" t="s">
        <v>107</v>
      </c>
      <c r="G1458" s="7" t="s">
        <v>10</v>
      </c>
      <c r="H1458" s="7" t="s">
        <v>45</v>
      </c>
      <c r="I1458" s="20" t="s">
        <v>2321</v>
      </c>
      <c r="J1458" s="20" t="s">
        <v>2322</v>
      </c>
      <c r="K1458" s="7" t="s">
        <v>110</v>
      </c>
      <c r="L1458" s="61">
        <v>45786</v>
      </c>
      <c r="M1458" s="7" t="s">
        <v>111</v>
      </c>
      <c r="N1458" s="24">
        <v>45787</v>
      </c>
      <c r="O1458" s="24">
        <v>45791</v>
      </c>
      <c r="P1458" s="59"/>
      <c r="Q1458" s="124" t="e">
        <f>P1458*#REF!</f>
        <v>#REF!</v>
      </c>
      <c r="R1458" s="126">
        <v>45792</v>
      </c>
      <c r="S1458" s="153">
        <f>IF(L1458="","",L1458-B1458)</f>
        <v>2</v>
      </c>
      <c r="T1458" s="153">
        <f>IF(N1458="","",N1458-L1458)</f>
        <v>1</v>
      </c>
      <c r="U1458" s="153">
        <f>IF(O1458="","",O1458-N1458)</f>
        <v>4</v>
      </c>
      <c r="V1458" s="154">
        <f>IF(O1458="","",O1458-B1458)</f>
        <v>7</v>
      </c>
      <c r="W1458" s="154">
        <f>IF(O1458="","",O1458-L1458)</f>
        <v>5</v>
      </c>
      <c r="X1458" s="154">
        <f>IF(R1458="","",R1458-B1458)</f>
        <v>8</v>
      </c>
    </row>
    <row r="1459" spans="2:24" ht="17.25" hidden="1" customHeight="1">
      <c r="B1459" s="23">
        <v>45784</v>
      </c>
      <c r="C1459" s="7">
        <v>2003455978</v>
      </c>
      <c r="D1459" s="20">
        <v>5937583</v>
      </c>
      <c r="E1459" s="27" t="s">
        <v>138</v>
      </c>
      <c r="F1459" s="7" t="s">
        <v>107</v>
      </c>
      <c r="G1459" s="7" t="s">
        <v>10</v>
      </c>
      <c r="H1459" s="7" t="s">
        <v>45</v>
      </c>
      <c r="I1459" s="20" t="s">
        <v>2323</v>
      </c>
      <c r="J1459" s="20" t="s">
        <v>2322</v>
      </c>
      <c r="K1459" s="7" t="s">
        <v>110</v>
      </c>
      <c r="L1459" s="61">
        <v>45786</v>
      </c>
      <c r="M1459" s="7" t="s">
        <v>111</v>
      </c>
      <c r="N1459" s="24">
        <v>45787</v>
      </c>
      <c r="O1459" s="106">
        <v>45791</v>
      </c>
      <c r="P1459" s="59"/>
      <c r="Q1459" s="124" t="e">
        <f>P1459*#REF!</f>
        <v>#REF!</v>
      </c>
      <c r="R1459" s="126">
        <v>45792</v>
      </c>
      <c r="S1459" s="153">
        <f>IF(L1459="","",L1459-B1459)</f>
        <v>2</v>
      </c>
      <c r="T1459" s="153">
        <f>IF(N1459="","",N1459-L1459)</f>
        <v>1</v>
      </c>
      <c r="U1459" s="153">
        <f>IF(O1459="","",O1459-N1459)</f>
        <v>4</v>
      </c>
      <c r="V1459" s="154">
        <f>IF(O1459="","",O1459-B1459)</f>
        <v>7</v>
      </c>
      <c r="W1459" s="154">
        <f>IF(O1459="","",O1459-L1459)</f>
        <v>5</v>
      </c>
      <c r="X1459" s="154">
        <f>IF(R1459="","",R1459-B1459)</f>
        <v>8</v>
      </c>
    </row>
    <row r="1460" spans="2:24" ht="17.25" hidden="1" customHeight="1">
      <c r="B1460" s="23">
        <v>45784</v>
      </c>
      <c r="C1460" s="7">
        <v>2003666046</v>
      </c>
      <c r="D1460" s="20">
        <v>5937585</v>
      </c>
      <c r="E1460" s="27" t="s">
        <v>149</v>
      </c>
      <c r="F1460" s="7" t="s">
        <v>107</v>
      </c>
      <c r="G1460" s="7" t="s">
        <v>10</v>
      </c>
      <c r="H1460" s="7" t="s">
        <v>45</v>
      </c>
      <c r="I1460" s="20" t="s">
        <v>2324</v>
      </c>
      <c r="J1460" s="20" t="s">
        <v>2325</v>
      </c>
      <c r="K1460" s="7" t="s">
        <v>110</v>
      </c>
      <c r="L1460" s="61">
        <v>45789</v>
      </c>
      <c r="M1460" s="7" t="s">
        <v>111</v>
      </c>
      <c r="N1460" s="61">
        <v>45789</v>
      </c>
      <c r="O1460" s="61">
        <v>45789</v>
      </c>
      <c r="P1460" s="59"/>
      <c r="Q1460" s="124" t="e">
        <f>P1460*#REF!</f>
        <v>#REF!</v>
      </c>
      <c r="R1460" s="126">
        <v>45789</v>
      </c>
      <c r="S1460" s="153">
        <f>IF(L1460="","",L1460-B1460)</f>
        <v>5</v>
      </c>
      <c r="T1460" s="153">
        <f>IF(N1460="","",N1460-L1460)</f>
        <v>0</v>
      </c>
      <c r="U1460" s="153">
        <f>IF(O1460="","",O1460-N1460)</f>
        <v>0</v>
      </c>
      <c r="V1460" s="154">
        <f>IF(O1460="","",O1460-B1460)</f>
        <v>5</v>
      </c>
      <c r="W1460" s="154">
        <f>IF(O1460="","",O1460-L1460)</f>
        <v>0</v>
      </c>
      <c r="X1460" s="154">
        <f>IF(R1460="","",R1460-B1460)</f>
        <v>5</v>
      </c>
    </row>
    <row r="1461" spans="2:24" ht="17.25" hidden="1" customHeight="1">
      <c r="B1461" s="23">
        <v>45784</v>
      </c>
      <c r="C1461" s="7">
        <v>2003681990</v>
      </c>
      <c r="D1461" s="20">
        <v>5937607</v>
      </c>
      <c r="E1461" s="27" t="s">
        <v>149</v>
      </c>
      <c r="F1461" s="7" t="s">
        <v>107</v>
      </c>
      <c r="G1461" s="7" t="s">
        <v>10</v>
      </c>
      <c r="H1461" s="7" t="s">
        <v>45</v>
      </c>
      <c r="I1461" s="20" t="s">
        <v>1719</v>
      </c>
      <c r="J1461" s="20" t="s">
        <v>2326</v>
      </c>
      <c r="K1461" s="7" t="s">
        <v>119</v>
      </c>
      <c r="L1461" s="61">
        <v>45789</v>
      </c>
      <c r="M1461" s="7" t="s">
        <v>111</v>
      </c>
      <c r="N1461" s="61">
        <v>45790</v>
      </c>
      <c r="O1461" s="61">
        <v>45790</v>
      </c>
      <c r="P1461" s="59"/>
      <c r="Q1461" s="124" t="e">
        <f>P1461*#REF!</f>
        <v>#REF!</v>
      </c>
      <c r="R1461" s="126">
        <v>45790</v>
      </c>
      <c r="S1461" s="153">
        <f>IF(L1461="","",L1461-B1461)</f>
        <v>5</v>
      </c>
      <c r="T1461" s="153">
        <f>IF(N1461="","",N1461-L1461)</f>
        <v>1</v>
      </c>
      <c r="U1461" s="153">
        <f>IF(O1461="","",O1461-N1461)</f>
        <v>0</v>
      </c>
      <c r="V1461" s="154">
        <f>IF(O1461="","",O1461-B1461)</f>
        <v>6</v>
      </c>
      <c r="W1461" s="154">
        <f>IF(O1461="","",O1461-L1461)</f>
        <v>1</v>
      </c>
      <c r="X1461" s="154">
        <f>IF(R1461="","",R1461-B1461)</f>
        <v>6</v>
      </c>
    </row>
    <row r="1462" spans="2:24" ht="17.25" hidden="1" customHeight="1">
      <c r="B1462" s="23">
        <v>45784</v>
      </c>
      <c r="C1462" s="7">
        <v>2003671034</v>
      </c>
      <c r="D1462" s="20">
        <v>5937609</v>
      </c>
      <c r="E1462" s="27" t="s">
        <v>198</v>
      </c>
      <c r="F1462" s="7" t="s">
        <v>107</v>
      </c>
      <c r="G1462" s="7" t="s">
        <v>10</v>
      </c>
      <c r="H1462" s="7" t="s">
        <v>45</v>
      </c>
      <c r="I1462" s="20" t="s">
        <v>2327</v>
      </c>
      <c r="J1462" s="20" t="s">
        <v>2328</v>
      </c>
      <c r="K1462" s="7" t="s">
        <v>119</v>
      </c>
      <c r="L1462" s="61">
        <v>45789</v>
      </c>
      <c r="M1462" s="7" t="s">
        <v>111</v>
      </c>
      <c r="N1462" s="61">
        <v>45790</v>
      </c>
      <c r="O1462" s="61">
        <v>45790</v>
      </c>
      <c r="P1462" s="59"/>
      <c r="Q1462" s="124" t="e">
        <f>P1462*#REF!</f>
        <v>#REF!</v>
      </c>
      <c r="R1462" s="126">
        <v>45790</v>
      </c>
      <c r="S1462" s="153">
        <f>IF(L1462="","",L1462-B1462)</f>
        <v>5</v>
      </c>
      <c r="T1462" s="153">
        <f>IF(N1462="","",N1462-L1462)</f>
        <v>1</v>
      </c>
      <c r="U1462" s="153">
        <f>IF(O1462="","",O1462-N1462)</f>
        <v>0</v>
      </c>
      <c r="V1462" s="154">
        <f>IF(O1462="","",O1462-B1462)</f>
        <v>6</v>
      </c>
      <c r="W1462" s="154">
        <f>IF(O1462="","",O1462-L1462)</f>
        <v>1</v>
      </c>
      <c r="X1462" s="154">
        <f>IF(R1462="","",R1462-B1462)</f>
        <v>6</v>
      </c>
    </row>
    <row r="1463" spans="2:24" ht="17.25" hidden="1" customHeight="1">
      <c r="B1463" s="23">
        <v>45785</v>
      </c>
      <c r="C1463" s="7">
        <v>2003679362</v>
      </c>
      <c r="D1463" s="20">
        <v>5937792</v>
      </c>
      <c r="E1463" s="27" t="s">
        <v>198</v>
      </c>
      <c r="F1463" s="7" t="s">
        <v>107</v>
      </c>
      <c r="G1463" s="7" t="s">
        <v>18</v>
      </c>
      <c r="H1463" s="7" t="s">
        <v>45</v>
      </c>
      <c r="I1463" s="20" t="s">
        <v>2329</v>
      </c>
      <c r="J1463" s="20" t="s">
        <v>2330</v>
      </c>
      <c r="K1463" s="7" t="s">
        <v>119</v>
      </c>
      <c r="L1463" s="61">
        <v>45806</v>
      </c>
      <c r="M1463" s="7" t="s">
        <v>111</v>
      </c>
      <c r="N1463" s="61">
        <v>45806</v>
      </c>
      <c r="O1463" s="61">
        <v>45806</v>
      </c>
      <c r="P1463" s="59"/>
      <c r="Q1463" s="124" t="e">
        <f>P1463*#REF!</f>
        <v>#REF!</v>
      </c>
      <c r="R1463" s="126">
        <v>45807</v>
      </c>
      <c r="S1463" s="153">
        <f>IF(L1463="","",L1463-B1463)</f>
        <v>21</v>
      </c>
      <c r="T1463" s="153">
        <f>IF(N1463="","",N1463-L1463)</f>
        <v>0</v>
      </c>
      <c r="U1463" s="153">
        <f>IF(O1463="","",O1463-N1463)</f>
        <v>0</v>
      </c>
      <c r="V1463" s="154">
        <f>IF(O1463="","",O1463-B1463)</f>
        <v>21</v>
      </c>
      <c r="W1463" s="154">
        <f>IF(O1463="","",O1463-L1463)</f>
        <v>0</v>
      </c>
      <c r="X1463" s="154">
        <f>IF(R1463="","",R1463-B1463)</f>
        <v>22</v>
      </c>
    </row>
    <row r="1464" spans="2:24" ht="17.25" hidden="1" customHeight="1">
      <c r="B1464" s="23">
        <v>45785</v>
      </c>
      <c r="C1464" s="7">
        <v>2003673119</v>
      </c>
      <c r="D1464" s="20">
        <v>5937986</v>
      </c>
      <c r="E1464" s="27" t="s">
        <v>1225</v>
      </c>
      <c r="F1464" s="7" t="s">
        <v>107</v>
      </c>
      <c r="G1464" s="7" t="s">
        <v>10</v>
      </c>
      <c r="H1464" s="7" t="s">
        <v>45</v>
      </c>
      <c r="I1464" s="20" t="s">
        <v>2149</v>
      </c>
      <c r="J1464" s="20" t="s">
        <v>2331</v>
      </c>
      <c r="K1464" s="7" t="s">
        <v>119</v>
      </c>
      <c r="L1464" s="61">
        <v>45790</v>
      </c>
      <c r="M1464" s="7" t="s">
        <v>111</v>
      </c>
      <c r="N1464" s="24">
        <v>45791</v>
      </c>
      <c r="O1464" s="106">
        <v>45791</v>
      </c>
      <c r="P1464" s="59"/>
      <c r="Q1464" s="124" t="e">
        <f>P1464*#REF!</f>
        <v>#REF!</v>
      </c>
      <c r="R1464" s="126">
        <v>45792</v>
      </c>
      <c r="S1464" s="153">
        <f>IF(L1464="","",L1464-B1464)</f>
        <v>5</v>
      </c>
      <c r="T1464" s="153">
        <f>IF(N1464="","",N1464-L1464)</f>
        <v>1</v>
      </c>
      <c r="U1464" s="153">
        <f>IF(O1464="","",O1464-N1464)</f>
        <v>0</v>
      </c>
      <c r="V1464" s="154">
        <f>IF(O1464="","",O1464-B1464)</f>
        <v>6</v>
      </c>
      <c r="W1464" s="154">
        <f>IF(O1464="","",O1464-L1464)</f>
        <v>1</v>
      </c>
      <c r="X1464" s="154">
        <f>IF(R1464="","",R1464-B1464)</f>
        <v>7</v>
      </c>
    </row>
    <row r="1465" spans="2:24" ht="17.25" hidden="1" customHeight="1">
      <c r="B1465" s="23">
        <v>45785</v>
      </c>
      <c r="C1465" s="7">
        <v>2003582038</v>
      </c>
      <c r="D1465" s="20">
        <v>5937993</v>
      </c>
      <c r="E1465" s="27" t="s">
        <v>949</v>
      </c>
      <c r="F1465" s="7" t="s">
        <v>107</v>
      </c>
      <c r="G1465" s="7" t="s">
        <v>18</v>
      </c>
      <c r="H1465" s="7" t="s">
        <v>45</v>
      </c>
      <c r="I1465" s="20" t="s">
        <v>2332</v>
      </c>
      <c r="J1465" s="20" t="s">
        <v>2333</v>
      </c>
      <c r="K1465" s="7" t="s">
        <v>119</v>
      </c>
      <c r="L1465" s="61">
        <v>45806</v>
      </c>
      <c r="M1465" s="7" t="s">
        <v>111</v>
      </c>
      <c r="N1465" s="61">
        <v>45806</v>
      </c>
      <c r="O1465" s="130">
        <v>45806</v>
      </c>
      <c r="P1465" s="59"/>
      <c r="Q1465" s="124" t="e">
        <f>P1465*#REF!</f>
        <v>#REF!</v>
      </c>
      <c r="R1465" s="126">
        <v>45807</v>
      </c>
      <c r="S1465" s="153">
        <f>IF(L1465="","",L1465-B1465)</f>
        <v>21</v>
      </c>
      <c r="T1465" s="153">
        <f>IF(N1465="","",N1465-L1465)</f>
        <v>0</v>
      </c>
      <c r="U1465" s="153">
        <f>IF(O1465="","",O1465-N1465)</f>
        <v>0</v>
      </c>
      <c r="V1465" s="154">
        <f>IF(O1465="","",O1465-B1465)</f>
        <v>21</v>
      </c>
      <c r="W1465" s="154">
        <f>IF(O1465="","",O1465-L1465)</f>
        <v>0</v>
      </c>
      <c r="X1465" s="154">
        <f>IF(R1465="","",R1465-B1465)</f>
        <v>22</v>
      </c>
    </row>
    <row r="1466" spans="2:24" ht="17.25" hidden="1" customHeight="1">
      <c r="B1466" s="23">
        <v>45785</v>
      </c>
      <c r="C1466" s="7">
        <v>2003677472</v>
      </c>
      <c r="D1466" s="20">
        <v>5938030</v>
      </c>
      <c r="E1466" s="27" t="s">
        <v>201</v>
      </c>
      <c r="F1466" s="7" t="s">
        <v>107</v>
      </c>
      <c r="G1466" s="7" t="s">
        <v>10</v>
      </c>
      <c r="H1466" s="7" t="s">
        <v>45</v>
      </c>
      <c r="I1466" s="20" t="s">
        <v>2334</v>
      </c>
      <c r="J1466" s="20" t="s">
        <v>2335</v>
      </c>
      <c r="K1466" s="7" t="s">
        <v>119</v>
      </c>
      <c r="L1466" s="61">
        <v>45805</v>
      </c>
      <c r="M1466" s="7" t="s">
        <v>111</v>
      </c>
      <c r="N1466" s="61">
        <v>45806</v>
      </c>
      <c r="O1466" s="130">
        <v>45806</v>
      </c>
      <c r="P1466" s="59"/>
      <c r="Q1466" s="124" t="e">
        <f>P1466*#REF!</f>
        <v>#REF!</v>
      </c>
      <c r="R1466" s="126">
        <v>45807</v>
      </c>
      <c r="S1466" s="153">
        <f>IF(L1466="","",L1466-B1466)</f>
        <v>20</v>
      </c>
      <c r="T1466" s="153">
        <f>IF(N1466="","",N1466-L1466)</f>
        <v>1</v>
      </c>
      <c r="U1466" s="153">
        <f>IF(O1466="","",O1466-N1466)</f>
        <v>0</v>
      </c>
      <c r="V1466" s="154">
        <f>IF(O1466="","",O1466-B1466)</f>
        <v>21</v>
      </c>
      <c r="W1466" s="154">
        <f>IF(O1466="","",O1466-L1466)</f>
        <v>1</v>
      </c>
      <c r="X1466" s="154">
        <f>IF(R1466="","",R1466-B1466)</f>
        <v>22</v>
      </c>
    </row>
    <row r="1467" spans="2:24" ht="17.25" hidden="1" customHeight="1">
      <c r="B1467" s="23">
        <v>45785</v>
      </c>
      <c r="C1467" s="7">
        <v>2003665102</v>
      </c>
      <c r="D1467" s="20">
        <v>5938055</v>
      </c>
      <c r="E1467" s="27" t="s">
        <v>185</v>
      </c>
      <c r="F1467" s="7" t="s">
        <v>107</v>
      </c>
      <c r="G1467" s="7" t="s">
        <v>10</v>
      </c>
      <c r="H1467" s="7" t="s">
        <v>45</v>
      </c>
      <c r="I1467" s="20" t="s">
        <v>2336</v>
      </c>
      <c r="J1467" s="20" t="s">
        <v>2337</v>
      </c>
      <c r="K1467" s="7" t="s">
        <v>119</v>
      </c>
      <c r="L1467" s="61">
        <v>45791</v>
      </c>
      <c r="M1467" s="7" t="s">
        <v>111</v>
      </c>
      <c r="N1467" s="61">
        <v>45791</v>
      </c>
      <c r="O1467" s="130">
        <v>45791</v>
      </c>
      <c r="P1467" s="59"/>
      <c r="Q1467" s="124" t="e">
        <f>P1467*#REF!</f>
        <v>#REF!</v>
      </c>
      <c r="R1467" s="126">
        <v>45792</v>
      </c>
      <c r="S1467" s="153">
        <f>IF(L1467="","",L1467-B1467)</f>
        <v>6</v>
      </c>
      <c r="T1467" s="153">
        <f>IF(N1467="","",N1467-L1467)</f>
        <v>0</v>
      </c>
      <c r="U1467" s="153">
        <f>IF(O1467="","",O1467-N1467)</f>
        <v>0</v>
      </c>
      <c r="V1467" s="154">
        <f>IF(O1467="","",O1467-B1467)</f>
        <v>6</v>
      </c>
      <c r="W1467" s="154">
        <f>IF(O1467="","",O1467-L1467)</f>
        <v>0</v>
      </c>
      <c r="X1467" s="154">
        <f>IF(R1467="","",R1467-B1467)</f>
        <v>7</v>
      </c>
    </row>
    <row r="1468" spans="2:24" ht="17.25" hidden="1" customHeight="1">
      <c r="B1468" s="23">
        <v>45785</v>
      </c>
      <c r="C1468" s="7">
        <v>2003667780</v>
      </c>
      <c r="D1468" s="20">
        <v>5938118</v>
      </c>
      <c r="E1468" s="27" t="s">
        <v>149</v>
      </c>
      <c r="F1468" s="7" t="s">
        <v>107</v>
      </c>
      <c r="G1468" s="7" t="s">
        <v>18</v>
      </c>
      <c r="H1468" s="7" t="s">
        <v>45</v>
      </c>
      <c r="I1468" s="20" t="s">
        <v>387</v>
      </c>
      <c r="J1468" s="20" t="s">
        <v>2338</v>
      </c>
      <c r="K1468" s="7" t="s">
        <v>110</v>
      </c>
      <c r="L1468" s="61">
        <v>45796</v>
      </c>
      <c r="M1468" s="7" t="s">
        <v>111</v>
      </c>
      <c r="N1468" s="61">
        <v>45796</v>
      </c>
      <c r="O1468" s="61">
        <v>45796</v>
      </c>
      <c r="P1468" s="59"/>
      <c r="Q1468" s="124" t="e">
        <f>P1468*#REF!</f>
        <v>#REF!</v>
      </c>
      <c r="R1468" s="126">
        <v>45798</v>
      </c>
      <c r="S1468" s="153">
        <f>IF(L1468="","",L1468-B1468)</f>
        <v>11</v>
      </c>
      <c r="T1468" s="153">
        <f>IF(N1468="","",N1468-L1468)</f>
        <v>0</v>
      </c>
      <c r="U1468" s="153">
        <f>IF(O1468="","",O1468-N1468)</f>
        <v>0</v>
      </c>
      <c r="V1468" s="154">
        <f>IF(O1468="","",O1468-B1468)</f>
        <v>11</v>
      </c>
      <c r="W1468" s="154">
        <f>IF(O1468="","",O1468-L1468)</f>
        <v>0</v>
      </c>
      <c r="X1468" s="154">
        <f>IF(R1468="","",R1468-B1468)</f>
        <v>13</v>
      </c>
    </row>
    <row r="1469" spans="2:24" ht="17.25" hidden="1" customHeight="1">
      <c r="B1469" s="23">
        <v>45785</v>
      </c>
      <c r="C1469" s="7">
        <v>2003672081</v>
      </c>
      <c r="D1469" s="20">
        <v>5938122</v>
      </c>
      <c r="E1469" s="27" t="s">
        <v>486</v>
      </c>
      <c r="F1469" s="7" t="s">
        <v>107</v>
      </c>
      <c r="G1469" s="7" t="s">
        <v>18</v>
      </c>
      <c r="H1469" s="7" t="s">
        <v>45</v>
      </c>
      <c r="I1469" s="20" t="s">
        <v>1375</v>
      </c>
      <c r="J1469" s="20" t="s">
        <v>2339</v>
      </c>
      <c r="K1469" s="7" t="s">
        <v>119</v>
      </c>
      <c r="L1469" s="61">
        <v>45789</v>
      </c>
      <c r="M1469" s="7" t="s">
        <v>111</v>
      </c>
      <c r="N1469" s="61">
        <v>45790</v>
      </c>
      <c r="O1469" s="58">
        <v>45791</v>
      </c>
      <c r="P1469" s="59"/>
      <c r="Q1469" s="124" t="e">
        <f>P1469*#REF!</f>
        <v>#REF!</v>
      </c>
      <c r="R1469" s="126">
        <v>45792</v>
      </c>
      <c r="S1469" s="153">
        <f>IF(L1469="","",L1469-B1469)</f>
        <v>4</v>
      </c>
      <c r="T1469" s="153">
        <f>IF(N1469="","",N1469-L1469)</f>
        <v>1</v>
      </c>
      <c r="U1469" s="153">
        <f>IF(O1469="","",O1469-N1469)</f>
        <v>1</v>
      </c>
      <c r="V1469" s="154">
        <f>IF(O1469="","",O1469-B1469)</f>
        <v>6</v>
      </c>
      <c r="W1469" s="154">
        <f>IF(O1469="","",O1469-L1469)</f>
        <v>2</v>
      </c>
      <c r="X1469" s="154">
        <f>IF(R1469="","",R1469-B1469)</f>
        <v>7</v>
      </c>
    </row>
    <row r="1470" spans="2:24" ht="17.25" hidden="1" customHeight="1">
      <c r="B1470" s="23">
        <v>45785</v>
      </c>
      <c r="C1470" s="7">
        <v>2003678669</v>
      </c>
      <c r="D1470" s="20">
        <v>5938146</v>
      </c>
      <c r="E1470" s="27" t="s">
        <v>126</v>
      </c>
      <c r="F1470" s="7" t="s">
        <v>107</v>
      </c>
      <c r="G1470" s="7" t="s">
        <v>10</v>
      </c>
      <c r="H1470" s="7" t="s">
        <v>45</v>
      </c>
      <c r="I1470" s="20" t="s">
        <v>124</v>
      </c>
      <c r="J1470" s="20" t="s">
        <v>2340</v>
      </c>
      <c r="K1470" s="7" t="s">
        <v>110</v>
      </c>
      <c r="L1470" s="61">
        <v>45790</v>
      </c>
      <c r="M1470" s="7" t="s">
        <v>111</v>
      </c>
      <c r="N1470" s="61">
        <v>45790</v>
      </c>
      <c r="O1470" s="130">
        <v>45790</v>
      </c>
      <c r="P1470" s="59"/>
      <c r="Q1470" s="124" t="e">
        <f>P1470*#REF!</f>
        <v>#REF!</v>
      </c>
      <c r="R1470" s="126">
        <v>45790</v>
      </c>
      <c r="S1470" s="153">
        <f>IF(L1470="","",L1470-B1470)</f>
        <v>5</v>
      </c>
      <c r="T1470" s="153">
        <f>IF(N1470="","",N1470-L1470)</f>
        <v>0</v>
      </c>
      <c r="U1470" s="153">
        <f>IF(O1470="","",O1470-N1470)</f>
        <v>0</v>
      </c>
      <c r="V1470" s="154">
        <f>IF(O1470="","",O1470-B1470)</f>
        <v>5</v>
      </c>
      <c r="W1470" s="154">
        <f>IF(O1470="","",O1470-L1470)</f>
        <v>0</v>
      </c>
      <c r="X1470" s="154">
        <f>IF(R1470="","",R1470-B1470)</f>
        <v>5</v>
      </c>
    </row>
    <row r="1471" spans="2:24" ht="17.25" hidden="1" customHeight="1">
      <c r="B1471" s="23">
        <v>45785</v>
      </c>
      <c r="C1471" s="7">
        <v>2003618562</v>
      </c>
      <c r="D1471" s="20">
        <v>5938169</v>
      </c>
      <c r="E1471" s="27" t="s">
        <v>201</v>
      </c>
      <c r="F1471" s="7" t="s">
        <v>107</v>
      </c>
      <c r="G1471" s="7" t="s">
        <v>10</v>
      </c>
      <c r="H1471" s="7" t="s">
        <v>45</v>
      </c>
      <c r="I1471" s="20" t="s">
        <v>2240</v>
      </c>
      <c r="J1471" s="20" t="s">
        <v>2341</v>
      </c>
      <c r="K1471" s="7" t="s">
        <v>119</v>
      </c>
      <c r="L1471" s="61">
        <v>45790</v>
      </c>
      <c r="M1471" s="7" t="s">
        <v>111</v>
      </c>
      <c r="N1471" s="61">
        <v>45790</v>
      </c>
      <c r="O1471" s="130">
        <v>45790</v>
      </c>
      <c r="P1471" s="59"/>
      <c r="Q1471" s="124" t="e">
        <f>P1471*#REF!</f>
        <v>#REF!</v>
      </c>
      <c r="R1471" s="126">
        <v>45790</v>
      </c>
      <c r="S1471" s="153">
        <f>IF(L1471="","",L1471-B1471)</f>
        <v>5</v>
      </c>
      <c r="T1471" s="153">
        <f>IF(N1471="","",N1471-L1471)</f>
        <v>0</v>
      </c>
      <c r="U1471" s="153">
        <f>IF(O1471="","",O1471-N1471)</f>
        <v>0</v>
      </c>
      <c r="V1471" s="154">
        <f>IF(O1471="","",O1471-B1471)</f>
        <v>5</v>
      </c>
      <c r="W1471" s="154">
        <f>IF(O1471="","",O1471-L1471)</f>
        <v>0</v>
      </c>
      <c r="X1471" s="154">
        <f>IF(R1471="","",R1471-B1471)</f>
        <v>5</v>
      </c>
    </row>
    <row r="1472" spans="2:24" ht="17.25" hidden="1" customHeight="1">
      <c r="B1472" s="23">
        <v>45785</v>
      </c>
      <c r="C1472" s="7">
        <v>2003660038</v>
      </c>
      <c r="D1472" s="20">
        <v>5938191</v>
      </c>
      <c r="E1472" s="27" t="s">
        <v>143</v>
      </c>
      <c r="F1472" s="7" t="s">
        <v>107</v>
      </c>
      <c r="G1472" s="7" t="s">
        <v>10</v>
      </c>
      <c r="H1472" s="7" t="s">
        <v>45</v>
      </c>
      <c r="I1472" s="20" t="s">
        <v>2342</v>
      </c>
      <c r="J1472" s="20" t="s">
        <v>2343</v>
      </c>
      <c r="K1472" s="7" t="s">
        <v>110</v>
      </c>
      <c r="L1472" s="61">
        <v>45786</v>
      </c>
      <c r="M1472" s="7" t="s">
        <v>111</v>
      </c>
      <c r="N1472" s="24">
        <v>45787</v>
      </c>
      <c r="O1472" s="58">
        <v>45803</v>
      </c>
      <c r="P1472" s="59"/>
      <c r="Q1472" s="124" t="e">
        <f>P1472*#REF!</f>
        <v>#REF!</v>
      </c>
      <c r="R1472" s="126">
        <v>45804</v>
      </c>
      <c r="S1472" s="153">
        <f>IF(L1472="","",L1472-B1472)</f>
        <v>1</v>
      </c>
      <c r="T1472" s="153">
        <f>IF(N1472="","",N1472-L1472)</f>
        <v>1</v>
      </c>
      <c r="U1472" s="153">
        <f>IF(O1472="","",O1472-N1472)</f>
        <v>16</v>
      </c>
      <c r="V1472" s="154">
        <f>IF(O1472="","",O1472-B1472)</f>
        <v>18</v>
      </c>
      <c r="W1472" s="154">
        <f>IF(O1472="","",O1472-L1472)</f>
        <v>17</v>
      </c>
      <c r="X1472" s="154">
        <f>IF(R1472="","",R1472-B1472)</f>
        <v>19</v>
      </c>
    </row>
    <row r="1473" spans="2:24" ht="17.25" hidden="1" customHeight="1">
      <c r="B1473" s="23">
        <v>45785</v>
      </c>
      <c r="C1473" s="7">
        <v>2003674670</v>
      </c>
      <c r="D1473" s="20">
        <v>5938210</v>
      </c>
      <c r="E1473" s="27" t="s">
        <v>201</v>
      </c>
      <c r="F1473" s="7" t="s">
        <v>107</v>
      </c>
      <c r="G1473" s="7" t="s">
        <v>26</v>
      </c>
      <c r="H1473" s="7" t="s">
        <v>45</v>
      </c>
      <c r="I1473" s="20" t="s">
        <v>2344</v>
      </c>
      <c r="J1473" s="20" t="s">
        <v>2345</v>
      </c>
      <c r="K1473" s="7" t="s">
        <v>110</v>
      </c>
      <c r="L1473" s="61">
        <v>45789</v>
      </c>
      <c r="M1473" s="7" t="s">
        <v>111</v>
      </c>
      <c r="N1473" s="24">
        <v>45789</v>
      </c>
      <c r="O1473" s="58">
        <v>45789</v>
      </c>
      <c r="P1473" s="59"/>
      <c r="Q1473" s="124" t="e">
        <f>P1473*#REF!</f>
        <v>#REF!</v>
      </c>
      <c r="R1473" s="126">
        <v>45789</v>
      </c>
      <c r="S1473" s="153">
        <f>IF(L1473="","",L1473-B1473)</f>
        <v>4</v>
      </c>
      <c r="T1473" s="153">
        <f>IF(N1473="","",N1473-L1473)</f>
        <v>0</v>
      </c>
      <c r="U1473" s="153">
        <f>IF(O1473="","",O1473-N1473)</f>
        <v>0</v>
      </c>
      <c r="V1473" s="154">
        <f>IF(O1473="","",O1473-B1473)</f>
        <v>4</v>
      </c>
      <c r="W1473" s="154">
        <f>IF(O1473="","",O1473-L1473)</f>
        <v>0</v>
      </c>
      <c r="X1473" s="154">
        <f>IF(R1473="","",R1473-B1473)</f>
        <v>4</v>
      </c>
    </row>
    <row r="1474" spans="2:24" ht="17.25" hidden="1" customHeight="1">
      <c r="B1474" s="23">
        <v>45785</v>
      </c>
      <c r="C1474" s="7">
        <v>2003668793</v>
      </c>
      <c r="D1474" s="20">
        <v>5938382</v>
      </c>
      <c r="E1474" s="27" t="s">
        <v>126</v>
      </c>
      <c r="F1474" s="7" t="s">
        <v>107</v>
      </c>
      <c r="G1474" s="7" t="s">
        <v>10</v>
      </c>
      <c r="H1474" s="7" t="s">
        <v>45</v>
      </c>
      <c r="I1474" s="20" t="s">
        <v>2346</v>
      </c>
      <c r="J1474" s="20" t="s">
        <v>2347</v>
      </c>
      <c r="K1474" s="7" t="s">
        <v>110</v>
      </c>
      <c r="L1474" s="61">
        <v>45790</v>
      </c>
      <c r="M1474" s="7" t="s">
        <v>111</v>
      </c>
      <c r="N1474" s="24">
        <v>45791</v>
      </c>
      <c r="O1474" s="23">
        <v>45793</v>
      </c>
      <c r="P1474" s="59"/>
      <c r="Q1474" s="124" t="e">
        <f>P1474*#REF!</f>
        <v>#REF!</v>
      </c>
      <c r="R1474" s="126">
        <v>45795</v>
      </c>
      <c r="S1474" s="153">
        <f>IF(L1474="","",L1474-B1474)</f>
        <v>5</v>
      </c>
      <c r="T1474" s="153">
        <f>IF(N1474="","",N1474-L1474)</f>
        <v>1</v>
      </c>
      <c r="U1474" s="153">
        <f>IF(O1474="","",O1474-N1474)</f>
        <v>2</v>
      </c>
      <c r="V1474" s="154">
        <f>IF(O1474="","",O1474-B1474)</f>
        <v>8</v>
      </c>
      <c r="W1474" s="154">
        <f>IF(O1474="","",O1474-L1474)</f>
        <v>3</v>
      </c>
      <c r="X1474" s="154">
        <f>IF(R1474="","",R1474-B1474)</f>
        <v>10</v>
      </c>
    </row>
    <row r="1475" spans="2:24" ht="17.25" hidden="1" customHeight="1">
      <c r="B1475" s="23">
        <v>45785</v>
      </c>
      <c r="C1475" s="7">
        <v>2003665378</v>
      </c>
      <c r="D1475" s="20">
        <v>5938394</v>
      </c>
      <c r="E1475" s="27" t="s">
        <v>185</v>
      </c>
      <c r="F1475" s="7" t="s">
        <v>107</v>
      </c>
      <c r="G1475" s="7" t="s">
        <v>10</v>
      </c>
      <c r="H1475" s="7" t="s">
        <v>45</v>
      </c>
      <c r="I1475" s="20" t="s">
        <v>636</v>
      </c>
      <c r="J1475" s="20" t="s">
        <v>2348</v>
      </c>
      <c r="K1475" s="7" t="s">
        <v>119</v>
      </c>
      <c r="L1475" s="61">
        <v>45789</v>
      </c>
      <c r="M1475" s="7" t="s">
        <v>111</v>
      </c>
      <c r="N1475" s="61">
        <v>45790</v>
      </c>
      <c r="O1475" s="61">
        <v>45790</v>
      </c>
      <c r="P1475" s="59"/>
      <c r="Q1475" s="124" t="e">
        <f>P1475*#REF!</f>
        <v>#REF!</v>
      </c>
      <c r="R1475" s="126">
        <v>45790</v>
      </c>
      <c r="S1475" s="153">
        <f>IF(L1475="","",L1475-B1475)</f>
        <v>4</v>
      </c>
      <c r="T1475" s="153">
        <f>IF(N1475="","",N1475-L1475)</f>
        <v>1</v>
      </c>
      <c r="U1475" s="153">
        <f>IF(O1475="","",O1475-N1475)</f>
        <v>0</v>
      </c>
      <c r="V1475" s="154">
        <f>IF(O1475="","",O1475-B1475)</f>
        <v>5</v>
      </c>
      <c r="W1475" s="154">
        <f>IF(O1475="","",O1475-L1475)</f>
        <v>1</v>
      </c>
      <c r="X1475" s="154">
        <f>IF(R1475="","",R1475-B1475)</f>
        <v>5</v>
      </c>
    </row>
    <row r="1476" spans="2:24" ht="17.25" hidden="1" customHeight="1">
      <c r="B1476" s="23">
        <v>45785</v>
      </c>
      <c r="C1476" s="7">
        <v>2003680726</v>
      </c>
      <c r="D1476" s="20">
        <v>5938420</v>
      </c>
      <c r="E1476" s="27" t="s">
        <v>1225</v>
      </c>
      <c r="F1476" s="7" t="s">
        <v>107</v>
      </c>
      <c r="G1476" s="7" t="s">
        <v>18</v>
      </c>
      <c r="H1476" s="7" t="s">
        <v>45</v>
      </c>
      <c r="I1476" s="20" t="s">
        <v>2349</v>
      </c>
      <c r="J1476" s="20" t="s">
        <v>2350</v>
      </c>
      <c r="K1476" s="7" t="s">
        <v>119</v>
      </c>
      <c r="L1476" s="61">
        <v>45790</v>
      </c>
      <c r="M1476" s="7" t="s">
        <v>111</v>
      </c>
      <c r="N1476" s="24">
        <v>45791</v>
      </c>
      <c r="O1476" s="24">
        <v>45791</v>
      </c>
      <c r="P1476" s="59"/>
      <c r="Q1476" s="124" t="e">
        <f>P1476*#REF!</f>
        <v>#REF!</v>
      </c>
      <c r="R1476" s="126">
        <v>45792</v>
      </c>
      <c r="S1476" s="153">
        <f>IF(L1476="","",L1476-B1476)</f>
        <v>5</v>
      </c>
      <c r="T1476" s="153">
        <f>IF(N1476="","",N1476-L1476)</f>
        <v>1</v>
      </c>
      <c r="U1476" s="153">
        <f>IF(O1476="","",O1476-N1476)</f>
        <v>0</v>
      </c>
      <c r="V1476" s="154">
        <f>IF(O1476="","",O1476-B1476)</f>
        <v>6</v>
      </c>
      <c r="W1476" s="154">
        <f>IF(O1476="","",O1476-L1476)</f>
        <v>1</v>
      </c>
      <c r="X1476" s="154">
        <f>IF(R1476="","",R1476-B1476)</f>
        <v>7</v>
      </c>
    </row>
    <row r="1477" spans="2:24" ht="17.25" hidden="1" customHeight="1">
      <c r="B1477" s="23">
        <v>45785</v>
      </c>
      <c r="C1477" s="7">
        <v>2003665951</v>
      </c>
      <c r="D1477" s="20">
        <v>5938422</v>
      </c>
      <c r="E1477" s="27" t="s">
        <v>949</v>
      </c>
      <c r="F1477" s="7" t="s">
        <v>107</v>
      </c>
      <c r="G1477" s="7" t="s">
        <v>26</v>
      </c>
      <c r="H1477" s="7" t="s">
        <v>45</v>
      </c>
      <c r="I1477" s="20" t="s">
        <v>2351</v>
      </c>
      <c r="J1477" s="20" t="s">
        <v>2352</v>
      </c>
      <c r="K1477" s="7" t="s">
        <v>119</v>
      </c>
      <c r="L1477" s="61">
        <v>45789</v>
      </c>
      <c r="M1477" s="7" t="s">
        <v>111</v>
      </c>
      <c r="N1477" s="24">
        <v>45790</v>
      </c>
      <c r="O1477" s="23">
        <v>45790</v>
      </c>
      <c r="P1477" s="59"/>
      <c r="Q1477" s="124" t="e">
        <f>P1477*#REF!</f>
        <v>#REF!</v>
      </c>
      <c r="R1477" s="126">
        <v>45790</v>
      </c>
      <c r="S1477" s="153">
        <f>IF(L1477="","",L1477-B1477)</f>
        <v>4</v>
      </c>
      <c r="T1477" s="153">
        <f>IF(N1477="","",N1477-L1477)</f>
        <v>1</v>
      </c>
      <c r="U1477" s="153">
        <f>IF(O1477="","",O1477-N1477)</f>
        <v>0</v>
      </c>
      <c r="V1477" s="154">
        <f>IF(O1477="","",O1477-B1477)</f>
        <v>5</v>
      </c>
      <c r="W1477" s="154">
        <f>IF(O1477="","",O1477-L1477)</f>
        <v>1</v>
      </c>
      <c r="X1477" s="154">
        <f>IF(R1477="","",R1477-B1477)</f>
        <v>5</v>
      </c>
    </row>
    <row r="1478" spans="2:24" ht="17.25" hidden="1" customHeight="1">
      <c r="B1478" s="23">
        <v>45785</v>
      </c>
      <c r="C1478" s="7">
        <v>2003666026</v>
      </c>
      <c r="D1478" s="20">
        <v>5938447</v>
      </c>
      <c r="E1478" s="27" t="s">
        <v>149</v>
      </c>
      <c r="F1478" s="7" t="s">
        <v>107</v>
      </c>
      <c r="G1478" s="7" t="s">
        <v>18</v>
      </c>
      <c r="H1478" s="7" t="s">
        <v>45</v>
      </c>
      <c r="I1478" s="20" t="s">
        <v>295</v>
      </c>
      <c r="J1478" s="20" t="s">
        <v>2353</v>
      </c>
      <c r="K1478" s="7" t="s">
        <v>119</v>
      </c>
      <c r="L1478" s="61">
        <v>45797</v>
      </c>
      <c r="M1478" s="7" t="s">
        <v>111</v>
      </c>
      <c r="N1478" s="61">
        <v>45797</v>
      </c>
      <c r="O1478" s="61">
        <v>45797</v>
      </c>
      <c r="P1478" s="59"/>
      <c r="Q1478" s="124" t="e">
        <f>P1478*#REF!</f>
        <v>#REF!</v>
      </c>
      <c r="R1478" s="126">
        <v>45798</v>
      </c>
      <c r="S1478" s="153">
        <f>IF(L1478="","",L1478-B1478)</f>
        <v>12</v>
      </c>
      <c r="T1478" s="153">
        <f>IF(N1478="","",N1478-L1478)</f>
        <v>0</v>
      </c>
      <c r="U1478" s="153">
        <f>IF(O1478="","",O1478-N1478)</f>
        <v>0</v>
      </c>
      <c r="V1478" s="154">
        <f>IF(O1478="","",O1478-B1478)</f>
        <v>12</v>
      </c>
      <c r="W1478" s="154">
        <f>IF(O1478="","",O1478-L1478)</f>
        <v>0</v>
      </c>
      <c r="X1478" s="154">
        <f>IF(R1478="","",R1478-B1478)</f>
        <v>13</v>
      </c>
    </row>
    <row r="1479" spans="2:24" ht="17.25" hidden="1" customHeight="1">
      <c r="B1479" s="23">
        <v>45785</v>
      </c>
      <c r="C1479" s="7">
        <v>2003671711</v>
      </c>
      <c r="D1479" s="20">
        <v>5938485</v>
      </c>
      <c r="E1479" s="27" t="s">
        <v>123</v>
      </c>
      <c r="F1479" s="7" t="s">
        <v>107</v>
      </c>
      <c r="G1479" s="7" t="s">
        <v>10</v>
      </c>
      <c r="H1479" s="7" t="s">
        <v>45</v>
      </c>
      <c r="I1479" s="20" t="s">
        <v>2354</v>
      </c>
      <c r="J1479" s="20" t="s">
        <v>2355</v>
      </c>
      <c r="K1479" s="7" t="s">
        <v>119</v>
      </c>
      <c r="L1479" s="61">
        <v>45789</v>
      </c>
      <c r="M1479" s="7" t="s">
        <v>111</v>
      </c>
      <c r="N1479" s="61">
        <v>45790</v>
      </c>
      <c r="O1479" s="58">
        <v>45793</v>
      </c>
      <c r="P1479" s="59"/>
      <c r="Q1479" s="124" t="e">
        <f>P1479*#REF!</f>
        <v>#REF!</v>
      </c>
      <c r="R1479" s="126">
        <v>45795</v>
      </c>
      <c r="S1479" s="153">
        <f>IF(L1479="","",L1479-B1479)</f>
        <v>4</v>
      </c>
      <c r="T1479" s="153">
        <f>IF(N1479="","",N1479-L1479)</f>
        <v>1</v>
      </c>
      <c r="U1479" s="153">
        <f>IF(O1479="","",O1479-N1479)</f>
        <v>3</v>
      </c>
      <c r="V1479" s="154">
        <f>IF(O1479="","",O1479-B1479)</f>
        <v>8</v>
      </c>
      <c r="W1479" s="154">
        <f>IF(O1479="","",O1479-L1479)</f>
        <v>4</v>
      </c>
      <c r="X1479" s="154">
        <f>IF(R1479="","",R1479-B1479)</f>
        <v>10</v>
      </c>
    </row>
    <row r="1480" spans="2:24" ht="17.25" hidden="1" customHeight="1">
      <c r="B1480" s="23">
        <v>45785</v>
      </c>
      <c r="C1480" s="7">
        <v>2003676100</v>
      </c>
      <c r="D1480" s="20">
        <v>5938507</v>
      </c>
      <c r="E1480" s="27" t="s">
        <v>106</v>
      </c>
      <c r="F1480" s="7" t="s">
        <v>107</v>
      </c>
      <c r="G1480" s="7" t="s">
        <v>26</v>
      </c>
      <c r="H1480" s="7" t="s">
        <v>45</v>
      </c>
      <c r="I1480" s="20" t="s">
        <v>2356</v>
      </c>
      <c r="J1480" s="20" t="s">
        <v>2357</v>
      </c>
      <c r="K1480" s="7" t="s">
        <v>110</v>
      </c>
      <c r="L1480" s="61">
        <v>45790</v>
      </c>
      <c r="M1480" s="7" t="s">
        <v>111</v>
      </c>
      <c r="N1480" s="24">
        <v>45790</v>
      </c>
      <c r="O1480" s="58">
        <v>45790</v>
      </c>
      <c r="P1480" s="59"/>
      <c r="Q1480" s="124" t="e">
        <f>P1480*#REF!</f>
        <v>#REF!</v>
      </c>
      <c r="R1480" s="126">
        <v>45790</v>
      </c>
      <c r="S1480" s="153">
        <f>IF(L1480="","",L1480-B1480)</f>
        <v>5</v>
      </c>
      <c r="T1480" s="153">
        <f>IF(N1480="","",N1480-L1480)</f>
        <v>0</v>
      </c>
      <c r="U1480" s="153">
        <f>IF(O1480="","",O1480-N1480)</f>
        <v>0</v>
      </c>
      <c r="V1480" s="154">
        <f>IF(O1480="","",O1480-B1480)</f>
        <v>5</v>
      </c>
      <c r="W1480" s="154">
        <f>IF(O1480="","",O1480-L1480)</f>
        <v>0</v>
      </c>
      <c r="X1480" s="154">
        <f>IF(R1480="","",R1480-B1480)</f>
        <v>5</v>
      </c>
    </row>
    <row r="1481" spans="2:24" ht="17.25" hidden="1" customHeight="1">
      <c r="B1481" s="23">
        <v>45785</v>
      </c>
      <c r="C1481" s="7">
        <v>2003683011</v>
      </c>
      <c r="D1481" s="20">
        <v>5938510</v>
      </c>
      <c r="E1481" s="27" t="s">
        <v>622</v>
      </c>
      <c r="F1481" s="7" t="s">
        <v>107</v>
      </c>
      <c r="G1481" s="7" t="s">
        <v>10</v>
      </c>
      <c r="H1481" s="7" t="s">
        <v>45</v>
      </c>
      <c r="I1481" s="20" t="s">
        <v>2358</v>
      </c>
      <c r="J1481" s="20" t="s">
        <v>2359</v>
      </c>
      <c r="K1481" s="7" t="s">
        <v>111</v>
      </c>
      <c r="L1481" s="61">
        <v>45798</v>
      </c>
      <c r="M1481" s="7" t="s">
        <v>111</v>
      </c>
      <c r="N1481" s="61">
        <v>45798</v>
      </c>
      <c r="O1481" s="130">
        <v>45798</v>
      </c>
      <c r="P1481" s="59"/>
      <c r="Q1481" s="124" t="e">
        <f>P1481*#REF!</f>
        <v>#REF!</v>
      </c>
      <c r="R1481" s="126">
        <v>45798</v>
      </c>
      <c r="S1481" s="153">
        <f>IF(L1481="","",L1481-B1481)</f>
        <v>13</v>
      </c>
      <c r="T1481" s="153">
        <f>IF(N1481="","",N1481-L1481)</f>
        <v>0</v>
      </c>
      <c r="U1481" s="153">
        <f>IF(O1481="","",O1481-N1481)</f>
        <v>0</v>
      </c>
      <c r="V1481" s="154">
        <f>IF(O1481="","",O1481-B1481)</f>
        <v>13</v>
      </c>
      <c r="W1481" s="154">
        <f>IF(O1481="","",O1481-L1481)</f>
        <v>0</v>
      </c>
      <c r="X1481" s="154">
        <f>IF(R1481="","",R1481-B1481)</f>
        <v>13</v>
      </c>
    </row>
    <row r="1482" spans="2:24" ht="17.25" hidden="1" customHeight="1">
      <c r="B1482" s="23">
        <v>45785</v>
      </c>
      <c r="C1482" s="7">
        <v>2003670443</v>
      </c>
      <c r="D1482" s="20">
        <v>5938609</v>
      </c>
      <c r="E1482" s="27" t="s">
        <v>191</v>
      </c>
      <c r="F1482" s="7" t="s">
        <v>107</v>
      </c>
      <c r="G1482" s="7" t="s">
        <v>10</v>
      </c>
      <c r="H1482" s="7" t="s">
        <v>45</v>
      </c>
      <c r="I1482" s="20" t="s">
        <v>2360</v>
      </c>
      <c r="J1482" s="20" t="s">
        <v>2361</v>
      </c>
      <c r="K1482" s="7" t="s">
        <v>111</v>
      </c>
      <c r="L1482" s="61">
        <v>45790</v>
      </c>
      <c r="M1482" s="7" t="s">
        <v>111</v>
      </c>
      <c r="N1482" s="61">
        <v>45790</v>
      </c>
      <c r="O1482" s="23">
        <v>45791</v>
      </c>
      <c r="P1482" s="59"/>
      <c r="Q1482" s="124" t="e">
        <f>P1482*#REF!</f>
        <v>#REF!</v>
      </c>
      <c r="R1482" s="126">
        <v>45792</v>
      </c>
      <c r="S1482" s="153">
        <f>IF(L1482="","",L1482-B1482)</f>
        <v>5</v>
      </c>
      <c r="T1482" s="153">
        <f>IF(N1482="","",N1482-L1482)</f>
        <v>0</v>
      </c>
      <c r="U1482" s="153">
        <f>IF(O1482="","",O1482-N1482)</f>
        <v>1</v>
      </c>
      <c r="V1482" s="154">
        <f>IF(O1482="","",O1482-B1482)</f>
        <v>6</v>
      </c>
      <c r="W1482" s="154">
        <f>IF(O1482="","",O1482-L1482)</f>
        <v>1</v>
      </c>
      <c r="X1482" s="154">
        <f>IF(R1482="","",R1482-B1482)</f>
        <v>7</v>
      </c>
    </row>
    <row r="1483" spans="2:24" ht="17.25" hidden="1" customHeight="1">
      <c r="B1483" s="23">
        <v>45785</v>
      </c>
      <c r="C1483" s="7">
        <v>2003668262</v>
      </c>
      <c r="D1483" s="20">
        <v>5938611</v>
      </c>
      <c r="E1483" s="27" t="s">
        <v>116</v>
      </c>
      <c r="F1483" s="7" t="s">
        <v>107</v>
      </c>
      <c r="G1483" s="7" t="s">
        <v>10</v>
      </c>
      <c r="H1483" s="7" t="s">
        <v>45</v>
      </c>
      <c r="I1483" s="20" t="s">
        <v>282</v>
      </c>
      <c r="J1483" s="20" t="s">
        <v>2362</v>
      </c>
      <c r="K1483" s="7" t="s">
        <v>119</v>
      </c>
      <c r="L1483" s="61">
        <v>45791</v>
      </c>
      <c r="M1483" s="7" t="s">
        <v>111</v>
      </c>
      <c r="N1483" s="61">
        <v>45791</v>
      </c>
      <c r="O1483" s="61">
        <v>45791</v>
      </c>
      <c r="P1483" s="59"/>
      <c r="Q1483" s="124" t="e">
        <f>P1483*#REF!</f>
        <v>#REF!</v>
      </c>
      <c r="R1483" s="126">
        <v>45792</v>
      </c>
      <c r="S1483" s="153">
        <f>IF(L1483="","",L1483-B1483)</f>
        <v>6</v>
      </c>
      <c r="T1483" s="153">
        <f>IF(N1483="","",N1483-L1483)</f>
        <v>0</v>
      </c>
      <c r="U1483" s="153">
        <f>IF(O1483="","",O1483-N1483)</f>
        <v>0</v>
      </c>
      <c r="V1483" s="154">
        <f>IF(O1483="","",O1483-B1483)</f>
        <v>6</v>
      </c>
      <c r="W1483" s="154">
        <f>IF(O1483="","",O1483-L1483)</f>
        <v>0</v>
      </c>
      <c r="X1483" s="154">
        <f>IF(R1483="","",R1483-B1483)</f>
        <v>7</v>
      </c>
    </row>
    <row r="1484" spans="2:24" ht="17.25" hidden="1" customHeight="1">
      <c r="B1484" s="23">
        <v>45785</v>
      </c>
      <c r="C1484" s="7">
        <v>2003665218</v>
      </c>
      <c r="D1484" s="20">
        <v>5938652</v>
      </c>
      <c r="E1484" s="27" t="s">
        <v>191</v>
      </c>
      <c r="F1484" s="7" t="s">
        <v>107</v>
      </c>
      <c r="G1484" s="7" t="s">
        <v>10</v>
      </c>
      <c r="H1484" s="7" t="s">
        <v>45</v>
      </c>
      <c r="I1484" s="20" t="s">
        <v>2363</v>
      </c>
      <c r="J1484" s="20" t="s">
        <v>2364</v>
      </c>
      <c r="K1484" s="7" t="s">
        <v>110</v>
      </c>
      <c r="L1484" s="61">
        <v>45790</v>
      </c>
      <c r="M1484" s="7" t="s">
        <v>111</v>
      </c>
      <c r="N1484" s="61">
        <v>45790</v>
      </c>
      <c r="O1484" s="24">
        <v>45791</v>
      </c>
      <c r="P1484" s="59"/>
      <c r="Q1484" s="124" t="e">
        <f>P1484*#REF!</f>
        <v>#REF!</v>
      </c>
      <c r="R1484" s="126">
        <v>45792</v>
      </c>
      <c r="S1484" s="153">
        <f>IF(L1484="","",L1484-B1484)</f>
        <v>5</v>
      </c>
      <c r="T1484" s="153">
        <f>IF(N1484="","",N1484-L1484)</f>
        <v>0</v>
      </c>
      <c r="U1484" s="153">
        <f>IF(O1484="","",O1484-N1484)</f>
        <v>1</v>
      </c>
      <c r="V1484" s="154">
        <f>IF(O1484="","",O1484-B1484)</f>
        <v>6</v>
      </c>
      <c r="W1484" s="154">
        <f>IF(O1484="","",O1484-L1484)</f>
        <v>1</v>
      </c>
      <c r="X1484" s="154">
        <f>IF(R1484="","",R1484-B1484)</f>
        <v>7</v>
      </c>
    </row>
    <row r="1485" spans="2:24" ht="17.25" hidden="1" customHeight="1">
      <c r="B1485" s="23">
        <v>45786</v>
      </c>
      <c r="C1485" s="7">
        <v>2003645529</v>
      </c>
      <c r="D1485" s="20">
        <v>5938850</v>
      </c>
      <c r="E1485" s="27" t="s">
        <v>106</v>
      </c>
      <c r="F1485" s="7" t="s">
        <v>107</v>
      </c>
      <c r="G1485" s="7" t="s">
        <v>10</v>
      </c>
      <c r="H1485" s="7" t="s">
        <v>45</v>
      </c>
      <c r="I1485" s="20" t="s">
        <v>2140</v>
      </c>
      <c r="J1485" s="20" t="s">
        <v>2365</v>
      </c>
      <c r="K1485" s="7" t="s">
        <v>119</v>
      </c>
      <c r="L1485" s="61">
        <v>45791</v>
      </c>
      <c r="M1485" s="7" t="s">
        <v>111</v>
      </c>
      <c r="N1485" s="61">
        <v>45791</v>
      </c>
      <c r="O1485" s="61">
        <v>45791</v>
      </c>
      <c r="P1485" s="59"/>
      <c r="Q1485" s="124" t="e">
        <f>P1485*#REF!</f>
        <v>#REF!</v>
      </c>
      <c r="R1485" s="126">
        <v>45792</v>
      </c>
      <c r="S1485" s="153">
        <f>IF(L1485="","",L1485-B1485)</f>
        <v>5</v>
      </c>
      <c r="T1485" s="153">
        <f>IF(N1485="","",N1485-L1485)</f>
        <v>0</v>
      </c>
      <c r="U1485" s="153">
        <f>IF(O1485="","",O1485-N1485)</f>
        <v>0</v>
      </c>
      <c r="V1485" s="154">
        <f>IF(O1485="","",O1485-B1485)</f>
        <v>5</v>
      </c>
      <c r="W1485" s="154">
        <f>IF(O1485="","",O1485-L1485)</f>
        <v>0</v>
      </c>
      <c r="X1485" s="154">
        <f>IF(R1485="","",R1485-B1485)</f>
        <v>6</v>
      </c>
    </row>
    <row r="1486" spans="2:24" ht="17.25" hidden="1" customHeight="1">
      <c r="B1486" s="23">
        <v>45786</v>
      </c>
      <c r="C1486" s="7">
        <v>2003680282</v>
      </c>
      <c r="D1486" s="20">
        <v>5938956</v>
      </c>
      <c r="E1486" s="27" t="s">
        <v>123</v>
      </c>
      <c r="F1486" s="7" t="s">
        <v>107</v>
      </c>
      <c r="G1486" s="7" t="s">
        <v>18</v>
      </c>
      <c r="H1486" s="7" t="s">
        <v>45</v>
      </c>
      <c r="I1486" s="20" t="s">
        <v>2366</v>
      </c>
      <c r="J1486" s="20" t="s">
        <v>2367</v>
      </c>
      <c r="K1486" s="7" t="s">
        <v>119</v>
      </c>
      <c r="L1486" s="61">
        <v>45790</v>
      </c>
      <c r="M1486" s="7" t="s">
        <v>111</v>
      </c>
      <c r="N1486" s="24">
        <v>45791</v>
      </c>
      <c r="O1486" s="23">
        <v>45793</v>
      </c>
      <c r="P1486" s="59"/>
      <c r="Q1486" s="124" t="e">
        <f>P1486*#REF!</f>
        <v>#REF!</v>
      </c>
      <c r="R1486" s="126">
        <v>45795</v>
      </c>
      <c r="S1486" s="153">
        <f>IF(L1486="","",L1486-B1486)</f>
        <v>4</v>
      </c>
      <c r="T1486" s="153">
        <f>IF(N1486="","",N1486-L1486)</f>
        <v>1</v>
      </c>
      <c r="U1486" s="153">
        <f>IF(O1486="","",O1486-N1486)</f>
        <v>2</v>
      </c>
      <c r="V1486" s="154">
        <f>IF(O1486="","",O1486-B1486)</f>
        <v>7</v>
      </c>
      <c r="W1486" s="154">
        <f>IF(O1486="","",O1486-L1486)</f>
        <v>3</v>
      </c>
      <c r="X1486" s="154">
        <f>IF(R1486="","",R1486-B1486)</f>
        <v>9</v>
      </c>
    </row>
    <row r="1487" spans="2:24" ht="17.25" hidden="1" customHeight="1">
      <c r="B1487" s="23">
        <v>45786</v>
      </c>
      <c r="C1487" s="7">
        <v>2003666765</v>
      </c>
      <c r="D1487" s="20">
        <v>5939057</v>
      </c>
      <c r="E1487" s="27" t="s">
        <v>230</v>
      </c>
      <c r="F1487" s="7" t="s">
        <v>107</v>
      </c>
      <c r="G1487" s="7" t="s">
        <v>26</v>
      </c>
      <c r="H1487" s="7" t="s">
        <v>45</v>
      </c>
      <c r="I1487" s="20" t="s">
        <v>316</v>
      </c>
      <c r="J1487" s="20" t="s">
        <v>2368</v>
      </c>
      <c r="K1487" s="7" t="s">
        <v>110</v>
      </c>
      <c r="L1487" s="61">
        <v>45790</v>
      </c>
      <c r="M1487" s="7" t="s">
        <v>111</v>
      </c>
      <c r="N1487" s="24">
        <v>45790</v>
      </c>
      <c r="O1487" s="58">
        <v>45790</v>
      </c>
      <c r="P1487" s="59"/>
      <c r="Q1487" s="124" t="e">
        <f>P1487*#REF!</f>
        <v>#REF!</v>
      </c>
      <c r="R1487" s="126">
        <v>45790</v>
      </c>
      <c r="S1487" s="153">
        <f>IF(L1487="","",L1487-B1487)</f>
        <v>4</v>
      </c>
      <c r="T1487" s="153">
        <f>IF(N1487="","",N1487-L1487)</f>
        <v>0</v>
      </c>
      <c r="U1487" s="153">
        <f>IF(O1487="","",O1487-N1487)</f>
        <v>0</v>
      </c>
      <c r="V1487" s="154">
        <f>IF(O1487="","",O1487-B1487)</f>
        <v>4</v>
      </c>
      <c r="W1487" s="154">
        <f>IF(O1487="","",O1487-L1487)</f>
        <v>0</v>
      </c>
      <c r="X1487" s="154">
        <f>IF(R1487="","",R1487-B1487)</f>
        <v>4</v>
      </c>
    </row>
    <row r="1488" spans="2:24" ht="17.25" hidden="1" customHeight="1">
      <c r="B1488" s="23">
        <v>45786</v>
      </c>
      <c r="C1488" s="7">
        <v>2003667757</v>
      </c>
      <c r="D1488" s="20">
        <v>5939061</v>
      </c>
      <c r="E1488" s="27" t="s">
        <v>201</v>
      </c>
      <c r="F1488" s="7" t="s">
        <v>107</v>
      </c>
      <c r="G1488" s="7" t="s">
        <v>10</v>
      </c>
      <c r="H1488" s="7" t="s">
        <v>45</v>
      </c>
      <c r="I1488" s="20" t="s">
        <v>730</v>
      </c>
      <c r="J1488" s="20" t="s">
        <v>2197</v>
      </c>
      <c r="K1488" s="7" t="s">
        <v>110</v>
      </c>
      <c r="L1488" s="61">
        <v>45791</v>
      </c>
      <c r="M1488" s="7" t="s">
        <v>111</v>
      </c>
      <c r="N1488" s="61">
        <v>45791</v>
      </c>
      <c r="O1488" s="61">
        <v>45791</v>
      </c>
      <c r="P1488" s="59"/>
      <c r="Q1488" s="124" t="e">
        <f>P1488*#REF!</f>
        <v>#REF!</v>
      </c>
      <c r="R1488" s="126">
        <v>45792</v>
      </c>
      <c r="S1488" s="153">
        <f>IF(L1488="","",L1488-B1488)</f>
        <v>5</v>
      </c>
      <c r="T1488" s="153">
        <f>IF(N1488="","",N1488-L1488)</f>
        <v>0</v>
      </c>
      <c r="U1488" s="153">
        <f>IF(O1488="","",O1488-N1488)</f>
        <v>0</v>
      </c>
      <c r="V1488" s="154">
        <f>IF(O1488="","",O1488-B1488)</f>
        <v>5</v>
      </c>
      <c r="W1488" s="154">
        <f>IF(O1488="","",O1488-L1488)</f>
        <v>0</v>
      </c>
      <c r="X1488" s="154">
        <f>IF(R1488="","",R1488-B1488)</f>
        <v>6</v>
      </c>
    </row>
    <row r="1489" spans="2:24" ht="17.25" hidden="1" customHeight="1">
      <c r="B1489" s="23">
        <v>45786</v>
      </c>
      <c r="C1489" s="7">
        <v>2003647786</v>
      </c>
      <c r="D1489" s="20">
        <v>5939123</v>
      </c>
      <c r="E1489" s="27" t="s">
        <v>143</v>
      </c>
      <c r="F1489" s="7" t="s">
        <v>107</v>
      </c>
      <c r="G1489" s="7" t="s">
        <v>18</v>
      </c>
      <c r="H1489" s="7" t="s">
        <v>45</v>
      </c>
      <c r="I1489" s="20" t="s">
        <v>2369</v>
      </c>
      <c r="J1489" s="20" t="s">
        <v>2370</v>
      </c>
      <c r="K1489" s="7" t="s">
        <v>111</v>
      </c>
      <c r="L1489" s="61">
        <v>45789</v>
      </c>
      <c r="M1489" s="7" t="s">
        <v>111</v>
      </c>
      <c r="N1489" s="61">
        <v>45789</v>
      </c>
      <c r="O1489" s="58">
        <v>45796</v>
      </c>
      <c r="P1489" s="59"/>
      <c r="Q1489" s="124" t="e">
        <f>P1489*#REF!</f>
        <v>#REF!</v>
      </c>
      <c r="R1489" s="126">
        <v>45798</v>
      </c>
      <c r="S1489" s="153">
        <f>IF(L1489="","",L1489-B1489)</f>
        <v>3</v>
      </c>
      <c r="T1489" s="153">
        <f>IF(N1489="","",N1489-L1489)</f>
        <v>0</v>
      </c>
      <c r="U1489" s="153">
        <f>IF(O1489="","",O1489-N1489)</f>
        <v>7</v>
      </c>
      <c r="V1489" s="154">
        <f>IF(O1489="","",O1489-B1489)</f>
        <v>10</v>
      </c>
      <c r="W1489" s="154">
        <f>IF(O1489="","",O1489-L1489)</f>
        <v>7</v>
      </c>
      <c r="X1489" s="154">
        <f>IF(R1489="","",R1489-B1489)</f>
        <v>12</v>
      </c>
    </row>
    <row r="1490" spans="2:24" ht="17.25" hidden="1" customHeight="1">
      <c r="B1490" s="23">
        <v>45786</v>
      </c>
      <c r="C1490" s="7">
        <v>2003509999</v>
      </c>
      <c r="D1490" s="20">
        <v>5939177</v>
      </c>
      <c r="E1490" s="27" t="s">
        <v>123</v>
      </c>
      <c r="F1490" s="7" t="s">
        <v>107</v>
      </c>
      <c r="G1490" s="7" t="s">
        <v>10</v>
      </c>
      <c r="H1490" s="7" t="s">
        <v>45</v>
      </c>
      <c r="I1490" s="20" t="s">
        <v>2371</v>
      </c>
      <c r="J1490" s="20" t="s">
        <v>424</v>
      </c>
      <c r="K1490" s="7" t="s">
        <v>119</v>
      </c>
      <c r="L1490" s="61">
        <v>45792</v>
      </c>
      <c r="M1490" s="7" t="s">
        <v>111</v>
      </c>
      <c r="N1490" s="24">
        <v>45793</v>
      </c>
      <c r="O1490" s="106">
        <v>45793</v>
      </c>
      <c r="P1490" s="59"/>
      <c r="Q1490" s="124" t="e">
        <f>P1490*#REF!</f>
        <v>#REF!</v>
      </c>
      <c r="R1490" s="126">
        <v>45796</v>
      </c>
      <c r="S1490" s="153">
        <f>IF(L1490="","",L1490-B1490)</f>
        <v>6</v>
      </c>
      <c r="T1490" s="153">
        <f>IF(N1490="","",N1490-L1490)</f>
        <v>1</v>
      </c>
      <c r="U1490" s="153">
        <f>IF(O1490="","",O1490-N1490)</f>
        <v>0</v>
      </c>
      <c r="V1490" s="154">
        <f>IF(O1490="","",O1490-B1490)</f>
        <v>7</v>
      </c>
      <c r="W1490" s="154">
        <f>IF(O1490="","",O1490-L1490)</f>
        <v>1</v>
      </c>
      <c r="X1490" s="154">
        <f>IF(R1490="","",R1490-B1490)</f>
        <v>10</v>
      </c>
    </row>
    <row r="1491" spans="2:24" ht="17.25" hidden="1" customHeight="1">
      <c r="B1491" s="23">
        <v>45791</v>
      </c>
      <c r="C1491" s="7">
        <v>2003667938</v>
      </c>
      <c r="D1491" s="20">
        <v>5942984</v>
      </c>
      <c r="E1491" s="27" t="s">
        <v>185</v>
      </c>
      <c r="F1491" s="7" t="s">
        <v>113</v>
      </c>
      <c r="G1491" s="7" t="s">
        <v>70</v>
      </c>
      <c r="H1491" s="7" t="s">
        <v>47</v>
      </c>
      <c r="I1491" s="20" t="s">
        <v>2372</v>
      </c>
      <c r="J1491" s="20" t="s">
        <v>2373</v>
      </c>
      <c r="K1491" s="7" t="s">
        <v>160</v>
      </c>
      <c r="P1491" s="59"/>
      <c r="Q1491" s="124" t="e">
        <f>P1491*#REF!</f>
        <v>#REF!</v>
      </c>
      <c r="R1491" s="126">
        <v>45793</v>
      </c>
      <c r="S1491" s="153" t="str">
        <f>IF(L1491="","",L1491-B1491)</f>
        <v/>
      </c>
      <c r="T1491" s="153" t="str">
        <f>IF(N1491="","",N1491-L1491)</f>
        <v/>
      </c>
      <c r="U1491" s="153" t="str">
        <f>IF(O1491="","",O1491-N1491)</f>
        <v/>
      </c>
      <c r="V1491" s="154" t="str">
        <f>IF(O1491="","",O1491-B1491)</f>
        <v/>
      </c>
      <c r="W1491" s="154" t="str">
        <f>IF(O1491="","",O1491-L1491)</f>
        <v/>
      </c>
      <c r="X1491" s="154">
        <f>IF(R1491="","",R1491-B1491)</f>
        <v>2</v>
      </c>
    </row>
    <row r="1492" spans="2:24" ht="17.25" hidden="1" customHeight="1">
      <c r="B1492" s="23">
        <v>45786</v>
      </c>
      <c r="C1492" s="7">
        <v>2003570680</v>
      </c>
      <c r="D1492" s="20">
        <v>5939326</v>
      </c>
      <c r="E1492" s="27" t="s">
        <v>180</v>
      </c>
      <c r="F1492" s="7" t="s">
        <v>107</v>
      </c>
      <c r="G1492" s="7" t="s">
        <v>10</v>
      </c>
      <c r="H1492" s="7" t="s">
        <v>45</v>
      </c>
      <c r="I1492" s="20" t="s">
        <v>990</v>
      </c>
      <c r="J1492" s="20" t="s">
        <v>219</v>
      </c>
      <c r="K1492" s="7" t="s">
        <v>119</v>
      </c>
      <c r="L1492" s="61">
        <v>45792</v>
      </c>
      <c r="M1492" s="7" t="s">
        <v>111</v>
      </c>
      <c r="N1492" s="61">
        <v>45792</v>
      </c>
      <c r="O1492" s="130">
        <v>45792</v>
      </c>
      <c r="P1492" s="59"/>
      <c r="Q1492" s="124" t="e">
        <f>P1492*#REF!</f>
        <v>#REF!</v>
      </c>
      <c r="R1492" s="126">
        <v>45796</v>
      </c>
      <c r="S1492" s="153">
        <f>IF(L1492="","",L1492-B1492)</f>
        <v>6</v>
      </c>
      <c r="T1492" s="153">
        <f>IF(N1492="","",N1492-L1492)</f>
        <v>0</v>
      </c>
      <c r="U1492" s="153">
        <f>IF(O1492="","",O1492-N1492)</f>
        <v>0</v>
      </c>
      <c r="V1492" s="154">
        <f>IF(O1492="","",O1492-B1492)</f>
        <v>6</v>
      </c>
      <c r="W1492" s="154">
        <f>IF(O1492="","",O1492-L1492)</f>
        <v>0</v>
      </c>
      <c r="X1492" s="154">
        <f>IF(R1492="","",R1492-B1492)</f>
        <v>10</v>
      </c>
    </row>
    <row r="1493" spans="2:24" ht="17.25" hidden="1" customHeight="1">
      <c r="B1493" s="23">
        <v>45786</v>
      </c>
      <c r="C1493" s="7">
        <v>2003675586</v>
      </c>
      <c r="D1493" s="20">
        <v>5939531</v>
      </c>
      <c r="E1493" s="27" t="s">
        <v>123</v>
      </c>
      <c r="F1493" s="7" t="s">
        <v>107</v>
      </c>
      <c r="G1493" s="7" t="s">
        <v>10</v>
      </c>
      <c r="H1493" s="7" t="s">
        <v>45</v>
      </c>
      <c r="I1493" s="20" t="s">
        <v>2374</v>
      </c>
      <c r="J1493" s="20" t="s">
        <v>2279</v>
      </c>
      <c r="K1493" s="7" t="s">
        <v>119</v>
      </c>
      <c r="L1493" s="61">
        <v>45790</v>
      </c>
      <c r="M1493" s="7" t="s">
        <v>111</v>
      </c>
      <c r="N1493" s="24">
        <v>45791</v>
      </c>
      <c r="O1493" s="24">
        <v>45791</v>
      </c>
      <c r="P1493" s="59"/>
      <c r="Q1493" s="124" t="e">
        <f>P1493*#REF!</f>
        <v>#REF!</v>
      </c>
      <c r="R1493" s="126">
        <v>45792</v>
      </c>
      <c r="S1493" s="153">
        <f>IF(L1493="","",L1493-B1493)</f>
        <v>4</v>
      </c>
      <c r="T1493" s="153">
        <f>IF(N1493="","",N1493-L1493)</f>
        <v>1</v>
      </c>
      <c r="U1493" s="153">
        <f>IF(O1493="","",O1493-N1493)</f>
        <v>0</v>
      </c>
      <c r="V1493" s="154">
        <f>IF(O1493="","",O1493-B1493)</f>
        <v>5</v>
      </c>
      <c r="W1493" s="154">
        <f>IF(O1493="","",O1493-L1493)</f>
        <v>1</v>
      </c>
      <c r="X1493" s="154">
        <f>IF(R1493="","",R1493-B1493)</f>
        <v>6</v>
      </c>
    </row>
    <row r="1494" spans="2:24" ht="17.25" hidden="1" customHeight="1">
      <c r="B1494" s="23">
        <v>45786</v>
      </c>
      <c r="C1494" s="7">
        <v>2003683811</v>
      </c>
      <c r="D1494" s="20">
        <v>5939575</v>
      </c>
      <c r="E1494" s="27" t="s">
        <v>191</v>
      </c>
      <c r="F1494" s="7" t="s">
        <v>107</v>
      </c>
      <c r="G1494" s="7" t="s">
        <v>10</v>
      </c>
      <c r="H1494" s="7" t="s">
        <v>45</v>
      </c>
      <c r="I1494" s="20" t="s">
        <v>2375</v>
      </c>
      <c r="J1494" s="20" t="s">
        <v>2376</v>
      </c>
      <c r="K1494" s="7" t="s">
        <v>110</v>
      </c>
      <c r="L1494" s="61">
        <v>45803</v>
      </c>
      <c r="M1494" s="7" t="s">
        <v>111</v>
      </c>
      <c r="N1494" s="61">
        <v>45803</v>
      </c>
      <c r="O1494" s="24">
        <v>45804</v>
      </c>
      <c r="P1494" s="59"/>
      <c r="Q1494" s="124" t="e">
        <f>P1494*#REF!</f>
        <v>#REF!</v>
      </c>
      <c r="R1494" s="126">
        <v>45804</v>
      </c>
      <c r="S1494" s="153">
        <f>IF(L1494="","",L1494-B1494)</f>
        <v>17</v>
      </c>
      <c r="T1494" s="153">
        <f>IF(N1494="","",N1494-L1494)</f>
        <v>0</v>
      </c>
      <c r="U1494" s="153">
        <f>IF(O1494="","",O1494-N1494)</f>
        <v>1</v>
      </c>
      <c r="V1494" s="154">
        <f>IF(O1494="","",O1494-B1494)</f>
        <v>18</v>
      </c>
      <c r="W1494" s="154">
        <f>IF(O1494="","",O1494-L1494)</f>
        <v>1</v>
      </c>
      <c r="X1494" s="154">
        <f>IF(R1494="","",R1494-B1494)</f>
        <v>18</v>
      </c>
    </row>
    <row r="1495" spans="2:24" ht="17.25" hidden="1" customHeight="1">
      <c r="B1495" s="23">
        <v>45786</v>
      </c>
      <c r="C1495" s="7">
        <v>2003442453</v>
      </c>
      <c r="D1495" s="20">
        <v>5939604</v>
      </c>
      <c r="E1495" s="27" t="s">
        <v>201</v>
      </c>
      <c r="F1495" s="7" t="s">
        <v>107</v>
      </c>
      <c r="G1495" s="7" t="s">
        <v>10</v>
      </c>
      <c r="H1495" s="7" t="s">
        <v>45</v>
      </c>
      <c r="I1495" s="20" t="s">
        <v>2377</v>
      </c>
      <c r="J1495" s="20" t="s">
        <v>2378</v>
      </c>
      <c r="K1495" s="7" t="s">
        <v>110</v>
      </c>
      <c r="L1495" s="61">
        <v>45791</v>
      </c>
      <c r="M1495" s="7" t="s">
        <v>111</v>
      </c>
      <c r="N1495" s="61">
        <v>45791</v>
      </c>
      <c r="O1495" s="58">
        <v>45793</v>
      </c>
      <c r="P1495" s="59"/>
      <c r="Q1495" s="124" t="e">
        <f>P1495*#REF!</f>
        <v>#REF!</v>
      </c>
      <c r="R1495" s="126">
        <v>45795</v>
      </c>
      <c r="S1495" s="153">
        <f>IF(L1495="","",L1495-B1495)</f>
        <v>5</v>
      </c>
      <c r="T1495" s="153">
        <f>IF(N1495="","",N1495-L1495)</f>
        <v>0</v>
      </c>
      <c r="U1495" s="153">
        <f>IF(O1495="","",O1495-N1495)</f>
        <v>2</v>
      </c>
      <c r="V1495" s="154">
        <f>IF(O1495="","",O1495-B1495)</f>
        <v>7</v>
      </c>
      <c r="W1495" s="154">
        <f>IF(O1495="","",O1495-L1495)</f>
        <v>2</v>
      </c>
      <c r="X1495" s="154">
        <f>IF(R1495="","",R1495-B1495)</f>
        <v>9</v>
      </c>
    </row>
    <row r="1496" spans="2:24" ht="17.25" hidden="1" customHeight="1">
      <c r="B1496" s="23">
        <v>45789</v>
      </c>
      <c r="C1496" s="7">
        <v>2003665182</v>
      </c>
      <c r="D1496" s="20">
        <v>5939789</v>
      </c>
      <c r="E1496" s="27" t="s">
        <v>185</v>
      </c>
      <c r="F1496" s="7" t="s">
        <v>107</v>
      </c>
      <c r="G1496" s="7" t="s">
        <v>18</v>
      </c>
      <c r="H1496" s="7" t="s">
        <v>45</v>
      </c>
      <c r="I1496" s="20" t="s">
        <v>2379</v>
      </c>
      <c r="J1496" s="20" t="s">
        <v>2380</v>
      </c>
      <c r="K1496" s="7" t="s">
        <v>119</v>
      </c>
      <c r="L1496" s="61">
        <v>45790</v>
      </c>
      <c r="M1496" s="7" t="s">
        <v>111</v>
      </c>
      <c r="N1496" s="61">
        <v>45790</v>
      </c>
      <c r="O1496" s="24">
        <v>45791</v>
      </c>
      <c r="P1496" s="59"/>
      <c r="Q1496" s="124" t="e">
        <f>P1496*#REF!</f>
        <v>#REF!</v>
      </c>
      <c r="R1496" s="126">
        <v>45792</v>
      </c>
      <c r="S1496" s="153">
        <f>IF(L1496="","",L1496-B1496)</f>
        <v>1</v>
      </c>
      <c r="T1496" s="153">
        <f>IF(N1496="","",N1496-L1496)</f>
        <v>0</v>
      </c>
      <c r="U1496" s="153">
        <f>IF(O1496="","",O1496-N1496)</f>
        <v>1</v>
      </c>
      <c r="V1496" s="154">
        <f>IF(O1496="","",O1496-B1496)</f>
        <v>2</v>
      </c>
      <c r="W1496" s="154">
        <f>IF(O1496="","",O1496-L1496)</f>
        <v>1</v>
      </c>
      <c r="X1496" s="154">
        <f>IF(R1496="","",R1496-B1496)</f>
        <v>3</v>
      </c>
    </row>
    <row r="1497" spans="2:24" ht="17.25" hidden="1" customHeight="1">
      <c r="B1497" s="23">
        <v>45789</v>
      </c>
      <c r="C1497" s="7">
        <v>2003672030</v>
      </c>
      <c r="D1497" s="20">
        <v>5939791</v>
      </c>
      <c r="E1497" s="27" t="s">
        <v>185</v>
      </c>
      <c r="F1497" s="7" t="s">
        <v>107</v>
      </c>
      <c r="G1497" s="7" t="s">
        <v>10</v>
      </c>
      <c r="H1497" s="7" t="s">
        <v>45</v>
      </c>
      <c r="I1497" s="20" t="s">
        <v>2381</v>
      </c>
      <c r="J1497" s="20" t="s">
        <v>2304</v>
      </c>
      <c r="K1497" s="7" t="s">
        <v>110</v>
      </c>
      <c r="L1497" s="61">
        <v>45790</v>
      </c>
      <c r="M1497" s="7" t="s">
        <v>111</v>
      </c>
      <c r="N1497" s="61">
        <v>45790</v>
      </c>
      <c r="O1497" s="130">
        <v>45790</v>
      </c>
      <c r="P1497" s="59"/>
      <c r="Q1497" s="124" t="e">
        <f>P1497*#REF!</f>
        <v>#REF!</v>
      </c>
      <c r="R1497" s="126">
        <v>45790</v>
      </c>
      <c r="S1497" s="153">
        <f>IF(L1497="","",L1497-B1497)</f>
        <v>1</v>
      </c>
      <c r="T1497" s="153">
        <f>IF(N1497="","",N1497-L1497)</f>
        <v>0</v>
      </c>
      <c r="U1497" s="153">
        <f>IF(O1497="","",O1497-N1497)</f>
        <v>0</v>
      </c>
      <c r="V1497" s="154">
        <f>IF(O1497="","",O1497-B1497)</f>
        <v>1</v>
      </c>
      <c r="W1497" s="154">
        <f>IF(O1497="","",O1497-L1497)</f>
        <v>0</v>
      </c>
      <c r="X1497" s="154">
        <f>IF(R1497="","",R1497-B1497)</f>
        <v>1</v>
      </c>
    </row>
    <row r="1498" spans="2:24" ht="17.25" hidden="1" customHeight="1">
      <c r="B1498" s="23">
        <v>45789</v>
      </c>
      <c r="C1498" s="7">
        <v>2003675007</v>
      </c>
      <c r="D1498" s="20">
        <v>5939792</v>
      </c>
      <c r="E1498" s="27" t="s">
        <v>185</v>
      </c>
      <c r="F1498" s="7" t="s">
        <v>107</v>
      </c>
      <c r="G1498" s="7" t="s">
        <v>18</v>
      </c>
      <c r="H1498" s="7" t="s">
        <v>45</v>
      </c>
      <c r="I1498" s="20" t="s">
        <v>2189</v>
      </c>
      <c r="J1498" s="20" t="s">
        <v>2190</v>
      </c>
      <c r="K1498" s="7" t="s">
        <v>110</v>
      </c>
      <c r="L1498" s="61">
        <v>45791</v>
      </c>
      <c r="M1498" s="7" t="s">
        <v>111</v>
      </c>
      <c r="N1498" s="61">
        <v>45791</v>
      </c>
      <c r="O1498" s="58">
        <v>45793</v>
      </c>
      <c r="P1498" s="59"/>
      <c r="Q1498" s="124" t="e">
        <f>P1498*#REF!</f>
        <v>#REF!</v>
      </c>
      <c r="R1498" s="126">
        <v>45795</v>
      </c>
      <c r="S1498" s="153">
        <f>IF(L1498="","",L1498-B1498)</f>
        <v>2</v>
      </c>
      <c r="T1498" s="153">
        <f>IF(N1498="","",N1498-L1498)</f>
        <v>0</v>
      </c>
      <c r="U1498" s="153">
        <f>IF(O1498="","",O1498-N1498)</f>
        <v>2</v>
      </c>
      <c r="V1498" s="154">
        <f>IF(O1498="","",O1498-B1498)</f>
        <v>4</v>
      </c>
      <c r="W1498" s="154">
        <f>IF(O1498="","",O1498-L1498)</f>
        <v>2</v>
      </c>
      <c r="X1498" s="154">
        <f>IF(R1498="","",R1498-B1498)</f>
        <v>6</v>
      </c>
    </row>
    <row r="1499" spans="2:24" ht="17.25" hidden="1" customHeight="1">
      <c r="B1499" s="23">
        <v>45789</v>
      </c>
      <c r="C1499" s="7">
        <v>2003667531</v>
      </c>
      <c r="D1499" s="20">
        <v>5939794</v>
      </c>
      <c r="E1499" s="27" t="s">
        <v>185</v>
      </c>
      <c r="F1499" s="7" t="s">
        <v>107</v>
      </c>
      <c r="G1499" s="7" t="s">
        <v>26</v>
      </c>
      <c r="H1499" s="7" t="s">
        <v>45</v>
      </c>
      <c r="I1499" s="20" t="s">
        <v>1308</v>
      </c>
      <c r="J1499" s="20" t="s">
        <v>2382</v>
      </c>
      <c r="K1499" s="7" t="s">
        <v>110</v>
      </c>
      <c r="L1499" s="61">
        <v>45800</v>
      </c>
      <c r="M1499" s="7" t="s">
        <v>111</v>
      </c>
      <c r="N1499" s="24">
        <v>45803</v>
      </c>
      <c r="O1499" s="58">
        <v>45803</v>
      </c>
      <c r="P1499" s="59"/>
      <c r="Q1499" s="124" t="e">
        <f>P1499*#REF!</f>
        <v>#REF!</v>
      </c>
      <c r="R1499" s="126">
        <v>45803</v>
      </c>
      <c r="S1499" s="153">
        <f>IF(L1499="","",L1499-B1499)</f>
        <v>11</v>
      </c>
      <c r="T1499" s="153">
        <f>IF(N1499="","",N1499-L1499)</f>
        <v>3</v>
      </c>
      <c r="U1499" s="153">
        <f>IF(O1499="","",O1499-N1499)</f>
        <v>0</v>
      </c>
      <c r="V1499" s="154">
        <f>IF(O1499="","",O1499-B1499)</f>
        <v>14</v>
      </c>
      <c r="W1499" s="154">
        <f>IF(O1499="","",O1499-L1499)</f>
        <v>3</v>
      </c>
      <c r="X1499" s="154">
        <f>IF(R1499="","",R1499-B1499)</f>
        <v>14</v>
      </c>
    </row>
    <row r="1500" spans="2:24" ht="17.25" hidden="1" customHeight="1">
      <c r="B1500" s="23">
        <v>45789</v>
      </c>
      <c r="C1500" s="7">
        <v>2003679061</v>
      </c>
      <c r="D1500" s="20">
        <v>5940106</v>
      </c>
      <c r="E1500" s="27" t="s">
        <v>408</v>
      </c>
      <c r="F1500" s="7" t="s">
        <v>107</v>
      </c>
      <c r="G1500" s="7" t="s">
        <v>10</v>
      </c>
      <c r="H1500" s="7" t="s">
        <v>45</v>
      </c>
      <c r="I1500" s="20" t="s">
        <v>2260</v>
      </c>
      <c r="J1500" s="20" t="s">
        <v>2261</v>
      </c>
      <c r="K1500" s="7" t="s">
        <v>111</v>
      </c>
      <c r="L1500" s="61">
        <v>45790</v>
      </c>
      <c r="M1500" s="7" t="s">
        <v>111</v>
      </c>
      <c r="N1500" s="61">
        <v>45790</v>
      </c>
      <c r="O1500" s="61">
        <v>45790</v>
      </c>
      <c r="P1500" s="59"/>
      <c r="Q1500" s="124" t="e">
        <f>P1500*#REF!</f>
        <v>#REF!</v>
      </c>
      <c r="R1500" s="126">
        <v>45792</v>
      </c>
      <c r="S1500" s="153">
        <f>IF(L1500="","",L1500-B1500)</f>
        <v>1</v>
      </c>
      <c r="T1500" s="153">
        <f>IF(N1500="","",N1500-L1500)</f>
        <v>0</v>
      </c>
      <c r="U1500" s="153">
        <f>IF(O1500="","",O1500-N1500)</f>
        <v>0</v>
      </c>
      <c r="V1500" s="154">
        <f>IF(O1500="","",O1500-B1500)</f>
        <v>1</v>
      </c>
      <c r="W1500" s="154">
        <f>IF(O1500="","",O1500-L1500)</f>
        <v>0</v>
      </c>
      <c r="X1500" s="154">
        <f>IF(R1500="","",R1500-B1500)</f>
        <v>3</v>
      </c>
    </row>
    <row r="1501" spans="2:24" ht="17.25" hidden="1" customHeight="1">
      <c r="B1501" s="23">
        <v>45789</v>
      </c>
      <c r="C1501" s="7">
        <v>2003685189</v>
      </c>
      <c r="D1501" s="20">
        <v>5940317</v>
      </c>
      <c r="E1501" s="27" t="s">
        <v>622</v>
      </c>
      <c r="F1501" s="7" t="s">
        <v>107</v>
      </c>
      <c r="G1501" s="7" t="s">
        <v>10</v>
      </c>
      <c r="H1501" s="7" t="s">
        <v>45</v>
      </c>
      <c r="I1501" s="20" t="s">
        <v>2383</v>
      </c>
      <c r="J1501" s="20" t="s">
        <v>2384</v>
      </c>
      <c r="K1501" s="7" t="s">
        <v>110</v>
      </c>
      <c r="L1501" s="61">
        <v>45790</v>
      </c>
      <c r="M1501" s="7" t="s">
        <v>111</v>
      </c>
      <c r="N1501" s="61">
        <v>45790</v>
      </c>
      <c r="O1501" s="130">
        <v>45790</v>
      </c>
      <c r="P1501" s="59"/>
      <c r="Q1501" s="124" t="e">
        <f>P1501*#REF!</f>
        <v>#REF!</v>
      </c>
      <c r="R1501" s="126">
        <v>45790</v>
      </c>
      <c r="S1501" s="153">
        <f>IF(L1501="","",L1501-B1501)</f>
        <v>1</v>
      </c>
      <c r="T1501" s="153">
        <f>IF(N1501="","",N1501-L1501)</f>
        <v>0</v>
      </c>
      <c r="U1501" s="153">
        <f>IF(O1501="","",O1501-N1501)</f>
        <v>0</v>
      </c>
      <c r="V1501" s="154">
        <f>IF(O1501="","",O1501-B1501)</f>
        <v>1</v>
      </c>
      <c r="W1501" s="154">
        <f>IF(O1501="","",O1501-L1501)</f>
        <v>0</v>
      </c>
      <c r="X1501" s="154">
        <f>IF(R1501="","",R1501-B1501)</f>
        <v>1</v>
      </c>
    </row>
    <row r="1502" spans="2:24" ht="17.25" hidden="1" customHeight="1">
      <c r="B1502" s="23">
        <v>45789</v>
      </c>
      <c r="C1502" s="7">
        <v>2003665739</v>
      </c>
      <c r="D1502" s="20">
        <v>5940482</v>
      </c>
      <c r="E1502" s="27" t="s">
        <v>180</v>
      </c>
      <c r="F1502" s="7" t="s">
        <v>107</v>
      </c>
      <c r="G1502" s="7" t="s">
        <v>10</v>
      </c>
      <c r="H1502" s="7" t="s">
        <v>45</v>
      </c>
      <c r="I1502" s="20" t="s">
        <v>1458</v>
      </c>
      <c r="J1502" s="20" t="s">
        <v>1459</v>
      </c>
      <c r="K1502" s="7" t="s">
        <v>110</v>
      </c>
      <c r="L1502" s="61">
        <v>45790</v>
      </c>
      <c r="M1502" s="7" t="s">
        <v>111</v>
      </c>
      <c r="N1502" s="61">
        <v>45790</v>
      </c>
      <c r="O1502" s="130">
        <v>45790</v>
      </c>
      <c r="P1502" s="59"/>
      <c r="Q1502" s="124" t="e">
        <f>P1502*#REF!</f>
        <v>#REF!</v>
      </c>
      <c r="R1502" s="126">
        <v>45792</v>
      </c>
      <c r="S1502" s="153">
        <f>IF(L1502="","",L1502-B1502)</f>
        <v>1</v>
      </c>
      <c r="T1502" s="153">
        <f>IF(N1502="","",N1502-L1502)</f>
        <v>0</v>
      </c>
      <c r="U1502" s="153">
        <f>IF(O1502="","",O1502-N1502)</f>
        <v>0</v>
      </c>
      <c r="V1502" s="154">
        <f>IF(O1502="","",O1502-B1502)</f>
        <v>1</v>
      </c>
      <c r="W1502" s="154">
        <f>IF(O1502="","",O1502-L1502)</f>
        <v>0</v>
      </c>
      <c r="X1502" s="154">
        <f>IF(R1502="","",R1502-B1502)</f>
        <v>3</v>
      </c>
    </row>
    <row r="1503" spans="2:24" ht="17.25" hidden="1" customHeight="1">
      <c r="B1503" s="23">
        <v>45791</v>
      </c>
      <c r="C1503" s="7">
        <v>2003669077</v>
      </c>
      <c r="D1503" s="20">
        <v>165332</v>
      </c>
      <c r="E1503" s="27" t="s">
        <v>191</v>
      </c>
      <c r="F1503" s="7" t="s">
        <v>107</v>
      </c>
      <c r="G1503" s="7" t="s">
        <v>21</v>
      </c>
      <c r="H1503" s="7" t="s">
        <v>47</v>
      </c>
      <c r="I1503" s="20" t="s">
        <v>540</v>
      </c>
      <c r="J1503" s="20" t="s">
        <v>2385</v>
      </c>
      <c r="K1503" s="7" t="s">
        <v>160</v>
      </c>
      <c r="O1503" s="58">
        <v>45833</v>
      </c>
      <c r="P1503" s="59"/>
      <c r="Q1503" s="124" t="e">
        <f>P1503*#REF!</f>
        <v>#REF!</v>
      </c>
      <c r="S1503" s="153" t="str">
        <f>IF(L1503="","",L1503-B1503)</f>
        <v/>
      </c>
      <c r="T1503" s="153" t="str">
        <f>IF(N1503="","",N1503-L1503)</f>
        <v/>
      </c>
      <c r="U1503" s="153">
        <f>IF(O1503="","",O1503-N1503)</f>
        <v>45833</v>
      </c>
      <c r="V1503" s="154">
        <f>IF(O1503="","",O1503-B1503)</f>
        <v>42</v>
      </c>
      <c r="W1503" s="154">
        <f>IF(O1503="","",O1503-L1503)</f>
        <v>45833</v>
      </c>
      <c r="X1503" s="154" t="str">
        <f>IF(R1503="","",R1503-B1503)</f>
        <v/>
      </c>
    </row>
    <row r="1504" spans="2:24" ht="17.25" hidden="1" customHeight="1">
      <c r="B1504" s="23">
        <v>45789</v>
      </c>
      <c r="C1504" s="7">
        <v>2003655430</v>
      </c>
      <c r="D1504" s="20">
        <v>5940510</v>
      </c>
      <c r="E1504" s="27" t="s">
        <v>191</v>
      </c>
      <c r="F1504" s="7" t="s">
        <v>107</v>
      </c>
      <c r="G1504" s="7" t="s">
        <v>21</v>
      </c>
      <c r="H1504" s="7" t="s">
        <v>45</v>
      </c>
      <c r="I1504" s="20" t="s">
        <v>1262</v>
      </c>
      <c r="J1504" s="20" t="s">
        <v>1263</v>
      </c>
      <c r="K1504" s="7" t="s">
        <v>119</v>
      </c>
      <c r="L1504" s="61">
        <v>45791</v>
      </c>
      <c r="M1504" s="7" t="s">
        <v>111</v>
      </c>
      <c r="N1504" s="61">
        <v>45791</v>
      </c>
      <c r="O1504" s="130">
        <v>45791</v>
      </c>
      <c r="P1504" s="59"/>
      <c r="Q1504" s="124" t="e">
        <f>P1504*#REF!</f>
        <v>#REF!</v>
      </c>
      <c r="R1504" s="126">
        <v>45792</v>
      </c>
      <c r="S1504" s="153">
        <f>IF(L1504="","",L1504-B1504)</f>
        <v>2</v>
      </c>
      <c r="T1504" s="153">
        <f>IF(N1504="","",N1504-L1504)</f>
        <v>0</v>
      </c>
      <c r="U1504" s="153">
        <f>IF(O1504="","",O1504-N1504)</f>
        <v>0</v>
      </c>
      <c r="V1504" s="154">
        <f>IF(O1504="","",O1504-B1504)</f>
        <v>2</v>
      </c>
      <c r="W1504" s="154">
        <f>IF(O1504="","",O1504-L1504)</f>
        <v>0</v>
      </c>
      <c r="X1504" s="154">
        <f>IF(R1504="","",R1504-B1504)</f>
        <v>3</v>
      </c>
    </row>
    <row r="1505" spans="2:24" ht="17.25" hidden="1" customHeight="1">
      <c r="B1505" s="23">
        <v>45789</v>
      </c>
      <c r="C1505" s="7">
        <v>2003667852</v>
      </c>
      <c r="D1505" s="20">
        <v>5940519</v>
      </c>
      <c r="E1505" s="27" t="s">
        <v>408</v>
      </c>
      <c r="F1505" s="7" t="s">
        <v>107</v>
      </c>
      <c r="G1505" s="7" t="s">
        <v>10</v>
      </c>
      <c r="H1505" s="7" t="s">
        <v>45</v>
      </c>
      <c r="I1505" s="20" t="s">
        <v>1474</v>
      </c>
      <c r="J1505" s="20" t="s">
        <v>2386</v>
      </c>
      <c r="K1505" s="7" t="s">
        <v>119</v>
      </c>
      <c r="L1505" s="61">
        <v>45791</v>
      </c>
      <c r="M1505" s="7" t="s">
        <v>111</v>
      </c>
      <c r="N1505" s="61">
        <v>45791</v>
      </c>
      <c r="O1505" s="61">
        <v>45791</v>
      </c>
      <c r="P1505" s="59"/>
      <c r="Q1505" s="124" t="e">
        <f>P1505*#REF!</f>
        <v>#REF!</v>
      </c>
      <c r="R1505" s="126">
        <v>45792</v>
      </c>
      <c r="S1505" s="153">
        <f>IF(L1505="","",L1505-B1505)</f>
        <v>2</v>
      </c>
      <c r="T1505" s="153">
        <f>IF(N1505="","",N1505-L1505)</f>
        <v>0</v>
      </c>
      <c r="U1505" s="153">
        <f>IF(O1505="","",O1505-N1505)</f>
        <v>0</v>
      </c>
      <c r="V1505" s="154">
        <f>IF(O1505="","",O1505-B1505)</f>
        <v>2</v>
      </c>
      <c r="W1505" s="154">
        <f>IF(O1505="","",O1505-L1505)</f>
        <v>0</v>
      </c>
      <c r="X1505" s="154">
        <f>IF(R1505="","",R1505-B1505)</f>
        <v>3</v>
      </c>
    </row>
    <row r="1506" spans="2:24" ht="17.25" hidden="1" customHeight="1">
      <c r="B1506" s="23">
        <v>45789</v>
      </c>
      <c r="C1506" s="7">
        <v>2003671679</v>
      </c>
      <c r="D1506" s="20">
        <v>5940600</v>
      </c>
      <c r="E1506" s="27" t="s">
        <v>198</v>
      </c>
      <c r="F1506" s="7" t="s">
        <v>107</v>
      </c>
      <c r="G1506" s="7" t="s">
        <v>10</v>
      </c>
      <c r="H1506" s="7" t="s">
        <v>45</v>
      </c>
      <c r="I1506" s="20" t="s">
        <v>2387</v>
      </c>
      <c r="J1506" s="20" t="s">
        <v>2388</v>
      </c>
      <c r="K1506" s="7" t="s">
        <v>119</v>
      </c>
      <c r="L1506" s="61">
        <v>45791</v>
      </c>
      <c r="M1506" s="7" t="s">
        <v>111</v>
      </c>
      <c r="N1506" s="24">
        <v>45793</v>
      </c>
      <c r="O1506" s="106">
        <v>45793</v>
      </c>
      <c r="P1506" s="59"/>
      <c r="Q1506" s="124" t="e">
        <f>P1506*#REF!</f>
        <v>#REF!</v>
      </c>
      <c r="R1506" s="126">
        <v>45795</v>
      </c>
      <c r="S1506" s="153">
        <f>IF(L1506="","",L1506-B1506)</f>
        <v>2</v>
      </c>
      <c r="T1506" s="153">
        <f>IF(N1506="","",N1506-L1506)</f>
        <v>2</v>
      </c>
      <c r="U1506" s="153">
        <f>IF(O1506="","",O1506-N1506)</f>
        <v>0</v>
      </c>
      <c r="V1506" s="154">
        <f>IF(O1506="","",O1506-B1506)</f>
        <v>4</v>
      </c>
      <c r="W1506" s="154">
        <f>IF(O1506="","",O1506-L1506)</f>
        <v>2</v>
      </c>
      <c r="X1506" s="154">
        <f>IF(R1506="","",R1506-B1506)</f>
        <v>6</v>
      </c>
    </row>
    <row r="1507" spans="2:24" ht="17.25" hidden="1" customHeight="1">
      <c r="B1507" s="23">
        <v>45789</v>
      </c>
      <c r="C1507" s="7">
        <v>2003665636</v>
      </c>
      <c r="D1507" s="20">
        <v>5940703</v>
      </c>
      <c r="E1507" s="27" t="s">
        <v>198</v>
      </c>
      <c r="F1507" s="7" t="s">
        <v>107</v>
      </c>
      <c r="G1507" s="7" t="s">
        <v>26</v>
      </c>
      <c r="H1507" s="7" t="s">
        <v>45</v>
      </c>
      <c r="I1507" s="20" t="s">
        <v>2211</v>
      </c>
      <c r="J1507" s="20" t="s">
        <v>2389</v>
      </c>
      <c r="K1507" s="7" t="s">
        <v>119</v>
      </c>
      <c r="L1507" s="61">
        <v>45791</v>
      </c>
      <c r="M1507" s="7" t="s">
        <v>111</v>
      </c>
      <c r="N1507" s="24">
        <v>45792</v>
      </c>
      <c r="O1507" s="58">
        <v>45792</v>
      </c>
      <c r="P1507" s="59"/>
      <c r="Q1507" s="124" t="e">
        <f>P1507*#REF!</f>
        <v>#REF!</v>
      </c>
      <c r="R1507" s="126">
        <v>45792</v>
      </c>
      <c r="S1507" s="153">
        <f>IF(L1507="","",L1507-B1507)</f>
        <v>2</v>
      </c>
      <c r="T1507" s="153">
        <f>IF(N1507="","",N1507-L1507)</f>
        <v>1</v>
      </c>
      <c r="U1507" s="153">
        <f>IF(O1507="","",O1507-N1507)</f>
        <v>0</v>
      </c>
      <c r="V1507" s="154">
        <f>IF(O1507="","",O1507-B1507)</f>
        <v>3</v>
      </c>
      <c r="W1507" s="154">
        <f>IF(O1507="","",O1507-L1507)</f>
        <v>1</v>
      </c>
      <c r="X1507" s="154">
        <f>IF(R1507="","",R1507-B1507)</f>
        <v>3</v>
      </c>
    </row>
    <row r="1508" spans="2:24" ht="17.25" hidden="1" customHeight="1">
      <c r="B1508" s="23">
        <v>45791</v>
      </c>
      <c r="C1508" s="7">
        <v>2003686180</v>
      </c>
      <c r="D1508" s="20">
        <v>165221</v>
      </c>
      <c r="E1508" s="27" t="s">
        <v>116</v>
      </c>
      <c r="F1508" s="7" t="s">
        <v>107</v>
      </c>
      <c r="G1508" s="7" t="s">
        <v>10</v>
      </c>
      <c r="H1508" s="7" t="s">
        <v>45</v>
      </c>
      <c r="I1508" s="20" t="s">
        <v>2390</v>
      </c>
      <c r="J1508" s="20" t="s">
        <v>2391</v>
      </c>
      <c r="K1508" s="7" t="s">
        <v>119</v>
      </c>
      <c r="L1508" s="61">
        <v>45798</v>
      </c>
      <c r="M1508" s="7" t="s">
        <v>111</v>
      </c>
      <c r="N1508" s="24">
        <v>45812</v>
      </c>
      <c r="O1508" s="24">
        <v>45812</v>
      </c>
      <c r="P1508" s="59"/>
      <c r="Q1508" s="124" t="e">
        <f>P1508*#REF!</f>
        <v>#REF!</v>
      </c>
      <c r="R1508" s="126">
        <v>45814</v>
      </c>
      <c r="S1508" s="153">
        <f>IF(L1508="","",L1508-B1508)</f>
        <v>7</v>
      </c>
      <c r="T1508" s="153">
        <f>IF(N1508="","",N1508-L1508)</f>
        <v>14</v>
      </c>
      <c r="U1508" s="153">
        <f>IF(O1508="","",O1508-N1508)</f>
        <v>0</v>
      </c>
      <c r="V1508" s="154">
        <f>IF(O1508="","",O1508-B1508)</f>
        <v>21</v>
      </c>
      <c r="W1508" s="154">
        <f>IF(O1508="","",O1508-L1508)</f>
        <v>14</v>
      </c>
      <c r="X1508" s="154">
        <f>IF(R1508="","",R1508-B1508)</f>
        <v>23</v>
      </c>
    </row>
    <row r="1509" spans="2:24" ht="17.25" hidden="1" customHeight="1">
      <c r="B1509" s="23">
        <v>45789</v>
      </c>
      <c r="C1509" s="7">
        <v>2003684312</v>
      </c>
      <c r="D1509" s="20">
        <v>5940728</v>
      </c>
      <c r="E1509" s="27" t="s">
        <v>180</v>
      </c>
      <c r="F1509" s="7" t="s">
        <v>107</v>
      </c>
      <c r="G1509" s="7" t="s">
        <v>18</v>
      </c>
      <c r="H1509" s="7" t="s">
        <v>45</v>
      </c>
      <c r="I1509" s="20" t="s">
        <v>2392</v>
      </c>
      <c r="J1509" s="20" t="s">
        <v>2393</v>
      </c>
      <c r="K1509" s="7" t="s">
        <v>110</v>
      </c>
      <c r="L1509" s="61">
        <v>45791</v>
      </c>
      <c r="M1509" s="7" t="s">
        <v>111</v>
      </c>
      <c r="N1509" s="61">
        <v>45791</v>
      </c>
      <c r="O1509" s="23">
        <v>45800</v>
      </c>
      <c r="P1509" s="59"/>
      <c r="Q1509" s="124" t="e">
        <f>P1509*#REF!</f>
        <v>#REF!</v>
      </c>
      <c r="R1509" s="126">
        <v>45802</v>
      </c>
      <c r="S1509" s="153">
        <f>IF(L1509="","",L1509-B1509)</f>
        <v>2</v>
      </c>
      <c r="T1509" s="153">
        <f>IF(N1509="","",N1509-L1509)</f>
        <v>0</v>
      </c>
      <c r="U1509" s="153">
        <f>IF(O1509="","",O1509-N1509)</f>
        <v>9</v>
      </c>
      <c r="V1509" s="154">
        <f>IF(O1509="","",O1509-B1509)</f>
        <v>11</v>
      </c>
      <c r="W1509" s="154">
        <f>IF(O1509="","",O1509-L1509)</f>
        <v>9</v>
      </c>
      <c r="X1509" s="154">
        <f>IF(R1509="","",R1509-B1509)</f>
        <v>13</v>
      </c>
    </row>
    <row r="1510" spans="2:24" ht="17.25" hidden="1" customHeight="1">
      <c r="B1510" s="23">
        <v>45789</v>
      </c>
      <c r="C1510" s="7">
        <v>2003656304</v>
      </c>
      <c r="D1510" s="20">
        <v>5940748</v>
      </c>
      <c r="E1510" s="27" t="s">
        <v>198</v>
      </c>
      <c r="F1510" s="7" t="s">
        <v>107</v>
      </c>
      <c r="G1510" s="7" t="s">
        <v>26</v>
      </c>
      <c r="H1510" s="7" t="s">
        <v>45</v>
      </c>
      <c r="I1510" s="20" t="s">
        <v>243</v>
      </c>
      <c r="J1510" s="20" t="s">
        <v>2394</v>
      </c>
      <c r="K1510" s="7" t="s">
        <v>119</v>
      </c>
      <c r="L1510" s="61">
        <v>45790</v>
      </c>
      <c r="M1510" s="7" t="s">
        <v>111</v>
      </c>
      <c r="N1510" s="24">
        <v>45792</v>
      </c>
      <c r="O1510" s="58">
        <v>45792</v>
      </c>
      <c r="P1510" s="59"/>
      <c r="Q1510" s="124" t="e">
        <f>P1510*#REF!</f>
        <v>#REF!</v>
      </c>
      <c r="R1510" s="126">
        <v>45792</v>
      </c>
      <c r="S1510" s="153">
        <f>IF(L1510="","",L1510-B1510)</f>
        <v>1</v>
      </c>
      <c r="T1510" s="153">
        <f>IF(N1510="","",N1510-L1510)</f>
        <v>2</v>
      </c>
      <c r="U1510" s="153">
        <f>IF(O1510="","",O1510-N1510)</f>
        <v>0</v>
      </c>
      <c r="V1510" s="154">
        <f>IF(O1510="","",O1510-B1510)</f>
        <v>3</v>
      </c>
      <c r="W1510" s="154">
        <f>IF(O1510="","",O1510-L1510)</f>
        <v>2</v>
      </c>
      <c r="X1510" s="154">
        <f>IF(R1510="","",R1510-B1510)</f>
        <v>3</v>
      </c>
    </row>
    <row r="1511" spans="2:24" ht="17.25" hidden="1" customHeight="1">
      <c r="B1511" s="23">
        <v>45789</v>
      </c>
      <c r="C1511" s="7">
        <v>2003662145</v>
      </c>
      <c r="D1511" s="20">
        <v>5940785</v>
      </c>
      <c r="E1511" s="27" t="s">
        <v>106</v>
      </c>
      <c r="F1511" s="7" t="s">
        <v>107</v>
      </c>
      <c r="G1511" s="7" t="s">
        <v>18</v>
      </c>
      <c r="H1511" s="7" t="s">
        <v>45</v>
      </c>
      <c r="I1511" s="20" t="s">
        <v>2395</v>
      </c>
      <c r="J1511" s="20" t="s">
        <v>2396</v>
      </c>
      <c r="K1511" s="7" t="s">
        <v>111</v>
      </c>
      <c r="L1511" s="61">
        <v>45790</v>
      </c>
      <c r="M1511" s="7" t="s">
        <v>111</v>
      </c>
      <c r="N1511" s="61">
        <v>45790</v>
      </c>
      <c r="O1511" s="24">
        <v>45791</v>
      </c>
      <c r="P1511" s="59"/>
      <c r="Q1511" s="124" t="e">
        <f>P1511*#REF!</f>
        <v>#REF!</v>
      </c>
      <c r="R1511" s="126">
        <v>45792</v>
      </c>
      <c r="S1511" s="153">
        <f>IF(L1511="","",L1511-B1511)</f>
        <v>1</v>
      </c>
      <c r="T1511" s="153">
        <f>IF(N1511="","",N1511-L1511)</f>
        <v>0</v>
      </c>
      <c r="U1511" s="153">
        <f>IF(O1511="","",O1511-N1511)</f>
        <v>1</v>
      </c>
      <c r="V1511" s="154">
        <f>IF(O1511="","",O1511-B1511)</f>
        <v>2</v>
      </c>
      <c r="W1511" s="154">
        <f>IF(O1511="","",O1511-L1511)</f>
        <v>1</v>
      </c>
      <c r="X1511" s="154">
        <f>IF(R1511="","",R1511-B1511)</f>
        <v>3</v>
      </c>
    </row>
    <row r="1512" spans="2:24" ht="17.25" hidden="1" customHeight="1">
      <c r="B1512" s="23">
        <v>45789</v>
      </c>
      <c r="C1512" s="7">
        <v>2003664970</v>
      </c>
      <c r="D1512" s="20">
        <v>5940803</v>
      </c>
      <c r="E1512" s="27" t="s">
        <v>185</v>
      </c>
      <c r="F1512" s="7" t="s">
        <v>107</v>
      </c>
      <c r="G1512" s="7" t="s">
        <v>26</v>
      </c>
      <c r="H1512" s="7" t="s">
        <v>45</v>
      </c>
      <c r="I1512" s="20" t="s">
        <v>466</v>
      </c>
      <c r="J1512" s="20" t="s">
        <v>2196</v>
      </c>
      <c r="K1512" s="7" t="s">
        <v>110</v>
      </c>
      <c r="L1512" s="61">
        <v>45791</v>
      </c>
      <c r="M1512" s="7" t="s">
        <v>111</v>
      </c>
      <c r="N1512" s="24">
        <v>45792</v>
      </c>
      <c r="O1512" s="58">
        <v>45792</v>
      </c>
      <c r="P1512" s="59"/>
      <c r="Q1512" s="124" t="e">
        <f>P1512*#REF!</f>
        <v>#REF!</v>
      </c>
      <c r="R1512" s="126">
        <v>45792</v>
      </c>
      <c r="S1512" s="153">
        <f>IF(L1512="","",L1512-B1512)</f>
        <v>2</v>
      </c>
      <c r="T1512" s="153">
        <f>IF(N1512="","",N1512-L1512)</f>
        <v>1</v>
      </c>
      <c r="U1512" s="153">
        <f>IF(O1512="","",O1512-N1512)</f>
        <v>0</v>
      </c>
      <c r="V1512" s="154">
        <f>IF(O1512="","",O1512-B1512)</f>
        <v>3</v>
      </c>
      <c r="W1512" s="154">
        <f>IF(O1512="","",O1512-L1512)</f>
        <v>1</v>
      </c>
      <c r="X1512" s="154">
        <f>IF(R1512="","",R1512-B1512)</f>
        <v>3</v>
      </c>
    </row>
    <row r="1513" spans="2:24" ht="17.25" hidden="1" customHeight="1">
      <c r="B1513" s="23">
        <v>45789</v>
      </c>
      <c r="C1513" s="7">
        <v>2003681371</v>
      </c>
      <c r="D1513" s="20">
        <v>5940831</v>
      </c>
      <c r="E1513" s="27" t="s">
        <v>198</v>
      </c>
      <c r="F1513" s="7" t="s">
        <v>107</v>
      </c>
      <c r="G1513" s="7" t="s">
        <v>10</v>
      </c>
      <c r="H1513" s="7" t="s">
        <v>45</v>
      </c>
      <c r="I1513" s="20" t="s">
        <v>618</v>
      </c>
      <c r="J1513" s="20" t="s">
        <v>2397</v>
      </c>
      <c r="K1513" s="7" t="s">
        <v>119</v>
      </c>
      <c r="L1513" s="61">
        <v>45791</v>
      </c>
      <c r="M1513" s="7" t="s">
        <v>111</v>
      </c>
      <c r="N1513" s="61">
        <v>45791</v>
      </c>
      <c r="O1513" s="58">
        <v>45793</v>
      </c>
      <c r="P1513" s="59"/>
      <c r="Q1513" s="124" t="e">
        <f>P1513*#REF!</f>
        <v>#REF!</v>
      </c>
      <c r="R1513" s="126">
        <v>45795</v>
      </c>
      <c r="S1513" s="153">
        <f>IF(L1513="","",L1513-B1513)</f>
        <v>2</v>
      </c>
      <c r="T1513" s="153">
        <f>IF(N1513="","",N1513-L1513)</f>
        <v>0</v>
      </c>
      <c r="U1513" s="153">
        <f>IF(O1513="","",O1513-N1513)</f>
        <v>2</v>
      </c>
      <c r="V1513" s="154">
        <f>IF(O1513="","",O1513-B1513)</f>
        <v>4</v>
      </c>
      <c r="W1513" s="154">
        <f>IF(O1513="","",O1513-L1513)</f>
        <v>2</v>
      </c>
      <c r="X1513" s="154">
        <f>IF(R1513="","",R1513-B1513)</f>
        <v>6</v>
      </c>
    </row>
    <row r="1514" spans="2:24" ht="17.25" hidden="1" customHeight="1">
      <c r="B1514" s="23">
        <v>45789</v>
      </c>
      <c r="C1514" s="7">
        <v>2003611421</v>
      </c>
      <c r="D1514" s="20">
        <v>5940849</v>
      </c>
      <c r="E1514" s="27" t="s">
        <v>106</v>
      </c>
      <c r="F1514" s="7" t="s">
        <v>107</v>
      </c>
      <c r="G1514" s="7" t="s">
        <v>21</v>
      </c>
      <c r="H1514" s="7" t="s">
        <v>45</v>
      </c>
      <c r="I1514" s="20" t="s">
        <v>1104</v>
      </c>
      <c r="J1514" s="20" t="s">
        <v>1105</v>
      </c>
      <c r="K1514" s="7" t="s">
        <v>119</v>
      </c>
      <c r="L1514" s="61">
        <v>45790</v>
      </c>
      <c r="M1514" s="7" t="s">
        <v>111</v>
      </c>
      <c r="N1514" s="24">
        <v>45801</v>
      </c>
      <c r="O1514" s="24">
        <v>45801</v>
      </c>
      <c r="P1514" s="59"/>
      <c r="Q1514" s="124" t="e">
        <f>P1514*#REF!</f>
        <v>#REF!</v>
      </c>
      <c r="R1514" s="126">
        <v>45802</v>
      </c>
      <c r="S1514" s="153">
        <f>IF(L1514="","",L1514-B1514)</f>
        <v>1</v>
      </c>
      <c r="T1514" s="153">
        <f>IF(N1514="","",N1514-L1514)</f>
        <v>11</v>
      </c>
      <c r="U1514" s="153">
        <f>IF(O1514="","",O1514-N1514)</f>
        <v>0</v>
      </c>
      <c r="V1514" s="154">
        <f>IF(O1514="","",O1514-B1514)</f>
        <v>12</v>
      </c>
      <c r="W1514" s="154">
        <f>IF(O1514="","",O1514-L1514)</f>
        <v>11</v>
      </c>
      <c r="X1514" s="154">
        <f>IF(R1514="","",R1514-B1514)</f>
        <v>13</v>
      </c>
    </row>
    <row r="1515" spans="2:24" ht="17.25" hidden="1" customHeight="1">
      <c r="B1515" s="23">
        <v>45789</v>
      </c>
      <c r="C1515" s="7">
        <v>2003665641</v>
      </c>
      <c r="D1515" s="20">
        <v>5940882</v>
      </c>
      <c r="E1515" s="27" t="s">
        <v>138</v>
      </c>
      <c r="F1515" s="7" t="s">
        <v>107</v>
      </c>
      <c r="G1515" s="7" t="s">
        <v>10</v>
      </c>
      <c r="H1515" s="7" t="s">
        <v>45</v>
      </c>
      <c r="I1515" s="20" t="s">
        <v>1334</v>
      </c>
      <c r="J1515" s="20" t="s">
        <v>2398</v>
      </c>
      <c r="K1515" s="7" t="s">
        <v>119</v>
      </c>
      <c r="L1515" s="61">
        <v>45791</v>
      </c>
      <c r="M1515" s="7" t="s">
        <v>111</v>
      </c>
      <c r="N1515" s="61">
        <v>45791</v>
      </c>
      <c r="O1515" s="61">
        <v>45791</v>
      </c>
      <c r="P1515" s="59"/>
      <c r="Q1515" s="124" t="e">
        <f>P1515*#REF!</f>
        <v>#REF!</v>
      </c>
      <c r="R1515" s="126">
        <v>45792</v>
      </c>
      <c r="S1515" s="153">
        <f>IF(L1515="","",L1515-B1515)</f>
        <v>2</v>
      </c>
      <c r="T1515" s="153">
        <f>IF(N1515="","",N1515-L1515)</f>
        <v>0</v>
      </c>
      <c r="U1515" s="153">
        <f>IF(O1515="","",O1515-N1515)</f>
        <v>0</v>
      </c>
      <c r="V1515" s="154">
        <f>IF(O1515="","",O1515-B1515)</f>
        <v>2</v>
      </c>
      <c r="W1515" s="154">
        <f>IF(O1515="","",O1515-L1515)</f>
        <v>0</v>
      </c>
      <c r="X1515" s="154">
        <f>IF(R1515="","",R1515-B1515)</f>
        <v>3</v>
      </c>
    </row>
    <row r="1516" spans="2:24" ht="17.25" hidden="1" customHeight="1">
      <c r="B1516" s="23">
        <v>45789</v>
      </c>
      <c r="C1516" s="7">
        <v>2003666957</v>
      </c>
      <c r="D1516" s="20">
        <v>5940889</v>
      </c>
      <c r="E1516" s="27" t="s">
        <v>106</v>
      </c>
      <c r="F1516" s="7" t="s">
        <v>107</v>
      </c>
      <c r="G1516" s="7" t="s">
        <v>10</v>
      </c>
      <c r="H1516" s="7" t="s">
        <v>45</v>
      </c>
      <c r="I1516" s="20" t="s">
        <v>2399</v>
      </c>
      <c r="J1516" s="20" t="s">
        <v>2400</v>
      </c>
      <c r="K1516" s="7" t="s">
        <v>110</v>
      </c>
      <c r="L1516" s="61">
        <v>45791</v>
      </c>
      <c r="M1516" s="7" t="s">
        <v>111</v>
      </c>
      <c r="N1516" s="61">
        <v>45791</v>
      </c>
      <c r="O1516" s="130">
        <v>45791</v>
      </c>
      <c r="P1516" s="59"/>
      <c r="Q1516" s="124" t="e">
        <f>P1516*#REF!</f>
        <v>#REF!</v>
      </c>
      <c r="R1516" s="126">
        <v>45792</v>
      </c>
      <c r="S1516" s="153">
        <f>IF(L1516="","",L1516-B1516)</f>
        <v>2</v>
      </c>
      <c r="T1516" s="153">
        <f>IF(N1516="","",N1516-L1516)</f>
        <v>0</v>
      </c>
      <c r="U1516" s="153">
        <f>IF(O1516="","",O1516-N1516)</f>
        <v>0</v>
      </c>
      <c r="V1516" s="154">
        <f>IF(O1516="","",O1516-B1516)</f>
        <v>2</v>
      </c>
      <c r="W1516" s="154">
        <f>IF(O1516="","",O1516-L1516)</f>
        <v>0</v>
      </c>
      <c r="X1516" s="154">
        <f>IF(R1516="","",R1516-B1516)</f>
        <v>3</v>
      </c>
    </row>
    <row r="1517" spans="2:24" ht="17.25" hidden="1" customHeight="1">
      <c r="B1517" s="23">
        <v>45789</v>
      </c>
      <c r="C1517" s="7">
        <v>2003672140</v>
      </c>
      <c r="D1517" s="20">
        <v>5940932</v>
      </c>
      <c r="E1517" s="27" t="s">
        <v>185</v>
      </c>
      <c r="F1517" s="7" t="s">
        <v>107</v>
      </c>
      <c r="G1517" s="7" t="s">
        <v>18</v>
      </c>
      <c r="H1517" s="7" t="s">
        <v>45</v>
      </c>
      <c r="I1517" s="20" t="s">
        <v>2401</v>
      </c>
      <c r="J1517" s="20" t="s">
        <v>2402</v>
      </c>
      <c r="K1517" s="7" t="s">
        <v>110</v>
      </c>
      <c r="L1517" s="61">
        <v>45793</v>
      </c>
      <c r="M1517" s="7" t="s">
        <v>111</v>
      </c>
      <c r="N1517" s="61">
        <v>45793</v>
      </c>
      <c r="O1517" s="61">
        <v>45793</v>
      </c>
      <c r="P1517" s="59"/>
      <c r="Q1517" s="124" t="e">
        <f>P1517*#REF!</f>
        <v>#REF!</v>
      </c>
      <c r="R1517" s="126">
        <v>45796</v>
      </c>
      <c r="S1517" s="153">
        <f>IF(L1517="","",L1517-B1517)</f>
        <v>4</v>
      </c>
      <c r="T1517" s="153">
        <f>IF(N1517="","",N1517-L1517)</f>
        <v>0</v>
      </c>
      <c r="U1517" s="153">
        <f>IF(O1517="","",O1517-N1517)</f>
        <v>0</v>
      </c>
      <c r="V1517" s="154">
        <f>IF(O1517="","",O1517-B1517)</f>
        <v>4</v>
      </c>
      <c r="W1517" s="154">
        <f>IF(O1517="","",O1517-L1517)</f>
        <v>0</v>
      </c>
      <c r="X1517" s="154">
        <f>IF(R1517="","",R1517-B1517)</f>
        <v>7</v>
      </c>
    </row>
    <row r="1518" spans="2:24" ht="17.25" hidden="1" customHeight="1">
      <c r="B1518" s="23">
        <v>45789</v>
      </c>
      <c r="C1518" s="7">
        <v>2003665173</v>
      </c>
      <c r="D1518" s="20">
        <v>5940974</v>
      </c>
      <c r="E1518" s="27" t="s">
        <v>201</v>
      </c>
      <c r="F1518" s="7" t="s">
        <v>107</v>
      </c>
      <c r="G1518" s="7" t="s">
        <v>10</v>
      </c>
      <c r="H1518" s="7" t="s">
        <v>45</v>
      </c>
      <c r="I1518" s="20" t="s">
        <v>2403</v>
      </c>
      <c r="J1518" s="20" t="s">
        <v>2404</v>
      </c>
      <c r="K1518" s="7" t="s">
        <v>110</v>
      </c>
      <c r="L1518" s="61">
        <v>45792</v>
      </c>
      <c r="M1518" s="7" t="s">
        <v>111</v>
      </c>
      <c r="N1518" s="24">
        <v>45793</v>
      </c>
      <c r="O1518" s="106">
        <v>45793</v>
      </c>
      <c r="P1518" s="59"/>
      <c r="Q1518" s="124" t="e">
        <f>P1518*#REF!</f>
        <v>#REF!</v>
      </c>
      <c r="R1518" s="126">
        <v>45796</v>
      </c>
      <c r="S1518" s="153">
        <f>IF(L1518="","",L1518-B1518)</f>
        <v>3</v>
      </c>
      <c r="T1518" s="153">
        <f>IF(N1518="","",N1518-L1518)</f>
        <v>1</v>
      </c>
      <c r="U1518" s="153">
        <f>IF(O1518="","",O1518-N1518)</f>
        <v>0</v>
      </c>
      <c r="V1518" s="154">
        <f>IF(O1518="","",O1518-B1518)</f>
        <v>4</v>
      </c>
      <c r="W1518" s="154">
        <f>IF(O1518="","",O1518-L1518)</f>
        <v>1</v>
      </c>
      <c r="X1518" s="154">
        <f>IF(R1518="","",R1518-B1518)</f>
        <v>7</v>
      </c>
    </row>
    <row r="1519" spans="2:24" ht="17.25" hidden="1" customHeight="1">
      <c r="B1519" s="23">
        <v>45789</v>
      </c>
      <c r="C1519" s="7">
        <v>2003676339</v>
      </c>
      <c r="D1519" s="20">
        <v>5941029</v>
      </c>
      <c r="E1519" s="27" t="s">
        <v>185</v>
      </c>
      <c r="F1519" s="7" t="s">
        <v>107</v>
      </c>
      <c r="G1519" s="7" t="s">
        <v>10</v>
      </c>
      <c r="H1519" s="7" t="s">
        <v>45</v>
      </c>
      <c r="I1519" s="20" t="s">
        <v>1200</v>
      </c>
      <c r="J1519" s="20" t="s">
        <v>2185</v>
      </c>
      <c r="K1519" s="7" t="s">
        <v>110</v>
      </c>
      <c r="L1519" s="61">
        <v>45797</v>
      </c>
      <c r="M1519" s="7" t="s">
        <v>111</v>
      </c>
      <c r="N1519" s="61">
        <v>45797</v>
      </c>
      <c r="O1519" s="130">
        <v>45797</v>
      </c>
      <c r="P1519" s="59"/>
      <c r="Q1519" s="124" t="e">
        <f>P1519*#REF!</f>
        <v>#REF!</v>
      </c>
      <c r="R1519" s="126">
        <v>45798</v>
      </c>
      <c r="S1519" s="153">
        <f>IF(L1519="","",L1519-B1519)</f>
        <v>8</v>
      </c>
      <c r="T1519" s="153">
        <f>IF(N1519="","",N1519-L1519)</f>
        <v>0</v>
      </c>
      <c r="U1519" s="153">
        <f>IF(O1519="","",O1519-N1519)</f>
        <v>0</v>
      </c>
      <c r="V1519" s="154">
        <f>IF(O1519="","",O1519-B1519)</f>
        <v>8</v>
      </c>
      <c r="W1519" s="154">
        <f>IF(O1519="","",O1519-L1519)</f>
        <v>0</v>
      </c>
      <c r="X1519" s="154">
        <f>IF(R1519="","",R1519-B1519)</f>
        <v>9</v>
      </c>
    </row>
    <row r="1520" spans="2:24" ht="17.25" hidden="1" customHeight="1">
      <c r="B1520" s="23">
        <v>45789</v>
      </c>
      <c r="C1520" s="7">
        <v>2003665896</v>
      </c>
      <c r="D1520" s="20">
        <v>5941036</v>
      </c>
      <c r="E1520" s="27" t="s">
        <v>408</v>
      </c>
      <c r="F1520" s="7" t="s">
        <v>107</v>
      </c>
      <c r="G1520" s="7" t="s">
        <v>26</v>
      </c>
      <c r="H1520" s="7" t="s">
        <v>45</v>
      </c>
      <c r="I1520" s="20" t="s">
        <v>2405</v>
      </c>
      <c r="J1520" s="20" t="s">
        <v>2406</v>
      </c>
      <c r="K1520" s="7" t="s">
        <v>110</v>
      </c>
      <c r="L1520" s="61">
        <v>45791</v>
      </c>
      <c r="M1520" s="7" t="s">
        <v>111</v>
      </c>
      <c r="N1520" s="61">
        <v>45792</v>
      </c>
      <c r="O1520" s="58">
        <v>45792</v>
      </c>
      <c r="P1520" s="59"/>
      <c r="Q1520" s="124" t="e">
        <f>P1520*#REF!</f>
        <v>#REF!</v>
      </c>
      <c r="R1520" s="126">
        <v>45792</v>
      </c>
      <c r="S1520" s="153">
        <f>IF(L1520="","",L1520-B1520)</f>
        <v>2</v>
      </c>
      <c r="T1520" s="153">
        <f>IF(N1520="","",N1520-L1520)</f>
        <v>1</v>
      </c>
      <c r="U1520" s="153">
        <f>IF(O1520="","",O1520-N1520)</f>
        <v>0</v>
      </c>
      <c r="V1520" s="154">
        <f>IF(O1520="","",O1520-B1520)</f>
        <v>3</v>
      </c>
      <c r="W1520" s="154">
        <f>IF(O1520="","",O1520-L1520)</f>
        <v>1</v>
      </c>
      <c r="X1520" s="154">
        <f>IF(R1520="","",R1520-B1520)</f>
        <v>3</v>
      </c>
    </row>
    <row r="1521" spans="2:24" ht="17.25" hidden="1" customHeight="1">
      <c r="B1521" s="23">
        <v>45789</v>
      </c>
      <c r="C1521" s="7">
        <v>2003681189</v>
      </c>
      <c r="D1521" s="20">
        <v>5941045</v>
      </c>
      <c r="E1521" s="27" t="s">
        <v>1225</v>
      </c>
      <c r="F1521" s="7" t="s">
        <v>107</v>
      </c>
      <c r="G1521" s="7" t="s">
        <v>10</v>
      </c>
      <c r="H1521" s="7" t="s">
        <v>45</v>
      </c>
      <c r="I1521" s="20" t="s">
        <v>2407</v>
      </c>
      <c r="J1521" s="20" t="s">
        <v>2408</v>
      </c>
      <c r="K1521" s="7" t="s">
        <v>119</v>
      </c>
      <c r="L1521" s="61">
        <v>45791</v>
      </c>
      <c r="M1521" s="7" t="s">
        <v>111</v>
      </c>
      <c r="N1521" s="61">
        <v>45791</v>
      </c>
      <c r="O1521" s="130">
        <v>45791</v>
      </c>
      <c r="P1521" s="59"/>
      <c r="Q1521" s="124" t="e">
        <f>P1521*#REF!</f>
        <v>#REF!</v>
      </c>
      <c r="R1521" s="126">
        <v>45792</v>
      </c>
      <c r="S1521" s="153">
        <f>IF(L1521="","",L1521-B1521)</f>
        <v>2</v>
      </c>
      <c r="T1521" s="153">
        <f>IF(N1521="","",N1521-L1521)</f>
        <v>0</v>
      </c>
      <c r="U1521" s="153">
        <f>IF(O1521="","",O1521-N1521)</f>
        <v>0</v>
      </c>
      <c r="V1521" s="154">
        <f>IF(O1521="","",O1521-B1521)</f>
        <v>2</v>
      </c>
      <c r="W1521" s="154">
        <f>IF(O1521="","",O1521-L1521)</f>
        <v>0</v>
      </c>
      <c r="X1521" s="154">
        <f>IF(R1521="","",R1521-B1521)</f>
        <v>3</v>
      </c>
    </row>
    <row r="1522" spans="2:24" ht="17.25" hidden="1" customHeight="1">
      <c r="B1522" s="23">
        <v>45790</v>
      </c>
      <c r="C1522" s="7">
        <v>2003676484</v>
      </c>
      <c r="D1522" s="20">
        <v>5941250</v>
      </c>
      <c r="E1522" s="27" t="s">
        <v>198</v>
      </c>
      <c r="F1522" s="7" t="s">
        <v>107</v>
      </c>
      <c r="G1522" s="7" t="s">
        <v>10</v>
      </c>
      <c r="H1522" s="7" t="s">
        <v>45</v>
      </c>
      <c r="I1522" s="20" t="s">
        <v>1200</v>
      </c>
      <c r="J1522" s="20" t="s">
        <v>2409</v>
      </c>
      <c r="K1522" s="7" t="s">
        <v>111</v>
      </c>
      <c r="L1522" s="61">
        <v>45806</v>
      </c>
      <c r="M1522" s="7" t="s">
        <v>111</v>
      </c>
      <c r="N1522" s="61">
        <v>45806</v>
      </c>
      <c r="O1522" s="130">
        <v>45806</v>
      </c>
      <c r="P1522" s="59"/>
      <c r="Q1522" s="124" t="e">
        <f>P1522*#REF!</f>
        <v>#REF!</v>
      </c>
      <c r="R1522" s="126">
        <v>45807</v>
      </c>
      <c r="S1522" s="153">
        <f>IF(L1522="","",L1522-B1522)</f>
        <v>16</v>
      </c>
      <c r="T1522" s="153">
        <f>IF(N1522="","",N1522-L1522)</f>
        <v>0</v>
      </c>
      <c r="U1522" s="153">
        <f>IF(O1522="","",O1522-N1522)</f>
        <v>0</v>
      </c>
      <c r="V1522" s="154">
        <f>IF(O1522="","",O1522-B1522)</f>
        <v>16</v>
      </c>
      <c r="W1522" s="154">
        <f>IF(O1522="","",O1522-L1522)</f>
        <v>0</v>
      </c>
      <c r="X1522" s="154">
        <f>IF(R1522="","",R1522-B1522)</f>
        <v>17</v>
      </c>
    </row>
    <row r="1523" spans="2:24" ht="17.25" hidden="1" customHeight="1">
      <c r="B1523" s="23">
        <v>45790</v>
      </c>
      <c r="C1523" s="7">
        <v>2003681014</v>
      </c>
      <c r="D1523" s="20">
        <v>5941266</v>
      </c>
      <c r="E1523" s="27" t="s">
        <v>123</v>
      </c>
      <c r="F1523" s="7" t="s">
        <v>107</v>
      </c>
      <c r="G1523" s="7" t="s">
        <v>18</v>
      </c>
      <c r="H1523" s="7" t="s">
        <v>45</v>
      </c>
      <c r="I1523" s="20" t="s">
        <v>354</v>
      </c>
      <c r="J1523" s="20" t="s">
        <v>2410</v>
      </c>
      <c r="K1523" s="7" t="s">
        <v>111</v>
      </c>
      <c r="L1523" s="61">
        <v>45792</v>
      </c>
      <c r="M1523" s="7" t="s">
        <v>111</v>
      </c>
      <c r="N1523" s="61">
        <v>45792</v>
      </c>
      <c r="O1523" s="23">
        <v>45793</v>
      </c>
      <c r="P1523" s="59"/>
      <c r="Q1523" s="124" t="e">
        <f>P1523*#REF!</f>
        <v>#REF!</v>
      </c>
      <c r="R1523" s="126">
        <v>45796</v>
      </c>
      <c r="S1523" s="153">
        <f>IF(L1523="","",L1523-B1523)</f>
        <v>2</v>
      </c>
      <c r="T1523" s="153">
        <f>IF(N1523="","",N1523-L1523)</f>
        <v>0</v>
      </c>
      <c r="U1523" s="153">
        <f>IF(O1523="","",O1523-N1523)</f>
        <v>1</v>
      </c>
      <c r="V1523" s="154">
        <f>IF(O1523="","",O1523-B1523)</f>
        <v>3</v>
      </c>
      <c r="W1523" s="154">
        <f>IF(O1523="","",O1523-L1523)</f>
        <v>1</v>
      </c>
      <c r="X1523" s="154">
        <f>IF(R1523="","",R1523-B1523)</f>
        <v>6</v>
      </c>
    </row>
    <row r="1524" spans="2:24" ht="17.25" hidden="1" customHeight="1">
      <c r="B1524" s="23">
        <v>45790</v>
      </c>
      <c r="C1524" s="7">
        <v>2003667790</v>
      </c>
      <c r="D1524" s="20">
        <v>5941388</v>
      </c>
      <c r="E1524" s="27" t="s">
        <v>123</v>
      </c>
      <c r="F1524" s="7" t="s">
        <v>107</v>
      </c>
      <c r="G1524" s="7" t="s">
        <v>10</v>
      </c>
      <c r="H1524" s="7" t="s">
        <v>45</v>
      </c>
      <c r="I1524" s="20" t="s">
        <v>2411</v>
      </c>
      <c r="J1524" s="20" t="s">
        <v>2412</v>
      </c>
      <c r="K1524" s="7" t="s">
        <v>119</v>
      </c>
      <c r="L1524" s="61">
        <v>45792</v>
      </c>
      <c r="M1524" s="7" t="s">
        <v>111</v>
      </c>
      <c r="N1524" s="61">
        <v>45792</v>
      </c>
      <c r="O1524" s="130">
        <v>45792</v>
      </c>
      <c r="P1524" s="59"/>
      <c r="Q1524" s="124" t="e">
        <f>P1524*#REF!</f>
        <v>#REF!</v>
      </c>
      <c r="R1524" s="126">
        <v>45796</v>
      </c>
      <c r="S1524" s="153">
        <f>IF(L1524="","",L1524-B1524)</f>
        <v>2</v>
      </c>
      <c r="T1524" s="153">
        <f>IF(N1524="","",N1524-L1524)</f>
        <v>0</v>
      </c>
      <c r="U1524" s="153">
        <f>IF(O1524="","",O1524-N1524)</f>
        <v>0</v>
      </c>
      <c r="V1524" s="154">
        <f>IF(O1524="","",O1524-B1524)</f>
        <v>2</v>
      </c>
      <c r="W1524" s="154">
        <f>IF(O1524="","",O1524-L1524)</f>
        <v>0</v>
      </c>
      <c r="X1524" s="154">
        <f>IF(R1524="","",R1524-B1524)</f>
        <v>6</v>
      </c>
    </row>
    <row r="1525" spans="2:24" ht="17.25" hidden="1" customHeight="1">
      <c r="B1525" s="23">
        <v>45790</v>
      </c>
      <c r="C1525" s="7">
        <v>2003683916</v>
      </c>
      <c r="D1525" s="20">
        <v>5941480</v>
      </c>
      <c r="E1525" s="27" t="s">
        <v>198</v>
      </c>
      <c r="F1525" s="7" t="s">
        <v>107</v>
      </c>
      <c r="G1525" s="7" t="s">
        <v>10</v>
      </c>
      <c r="H1525" s="7" t="s">
        <v>45</v>
      </c>
      <c r="I1525" s="20" t="s">
        <v>2413</v>
      </c>
      <c r="J1525" s="20" t="s">
        <v>2414</v>
      </c>
      <c r="K1525" s="7" t="s">
        <v>110</v>
      </c>
      <c r="L1525" s="61">
        <v>45792</v>
      </c>
      <c r="M1525" s="7" t="s">
        <v>111</v>
      </c>
      <c r="N1525" s="24">
        <v>45793</v>
      </c>
      <c r="O1525" s="106">
        <v>45793</v>
      </c>
      <c r="P1525" s="59"/>
      <c r="Q1525" s="124" t="e">
        <f>P1525*#REF!</f>
        <v>#REF!</v>
      </c>
      <c r="R1525" s="126">
        <v>45796</v>
      </c>
      <c r="S1525" s="153">
        <f>IF(L1525="","",L1525-B1525)</f>
        <v>2</v>
      </c>
      <c r="T1525" s="153">
        <f>IF(N1525="","",N1525-L1525)</f>
        <v>1</v>
      </c>
      <c r="U1525" s="153">
        <f>IF(O1525="","",O1525-N1525)</f>
        <v>0</v>
      </c>
      <c r="V1525" s="154">
        <f>IF(O1525="","",O1525-B1525)</f>
        <v>3</v>
      </c>
      <c r="W1525" s="154">
        <f>IF(O1525="","",O1525-L1525)</f>
        <v>1</v>
      </c>
      <c r="X1525" s="154">
        <f>IF(R1525="","",R1525-B1525)</f>
        <v>6</v>
      </c>
    </row>
    <row r="1526" spans="2:24" ht="17.25" hidden="1" customHeight="1">
      <c r="B1526" s="23">
        <v>45790</v>
      </c>
      <c r="C1526" s="7">
        <v>2003667185</v>
      </c>
      <c r="D1526" s="20">
        <v>5941511</v>
      </c>
      <c r="E1526" s="27" t="s">
        <v>230</v>
      </c>
      <c r="F1526" s="7" t="s">
        <v>107</v>
      </c>
      <c r="G1526" s="7" t="s">
        <v>10</v>
      </c>
      <c r="H1526" s="7" t="s">
        <v>45</v>
      </c>
      <c r="I1526" s="20" t="s">
        <v>2415</v>
      </c>
      <c r="J1526" s="20" t="s">
        <v>2416</v>
      </c>
      <c r="K1526" s="7" t="s">
        <v>110</v>
      </c>
      <c r="L1526" s="61">
        <v>45793</v>
      </c>
      <c r="M1526" s="7" t="s">
        <v>111</v>
      </c>
      <c r="N1526" s="61">
        <v>45796</v>
      </c>
      <c r="O1526" s="130">
        <v>45796</v>
      </c>
      <c r="P1526" s="59"/>
      <c r="Q1526" s="124" t="e">
        <f>P1526*#REF!</f>
        <v>#REF!</v>
      </c>
      <c r="R1526" s="126">
        <v>45798</v>
      </c>
      <c r="S1526" s="153">
        <f>IF(L1526="","",L1526-B1526)</f>
        <v>3</v>
      </c>
      <c r="T1526" s="153">
        <f>IF(N1526="","",N1526-L1526)</f>
        <v>3</v>
      </c>
      <c r="U1526" s="153">
        <f>IF(O1526="","",O1526-N1526)</f>
        <v>0</v>
      </c>
      <c r="V1526" s="154">
        <f>IF(O1526="","",O1526-B1526)</f>
        <v>6</v>
      </c>
      <c r="W1526" s="154">
        <f>IF(O1526="","",O1526-L1526)</f>
        <v>3</v>
      </c>
      <c r="X1526" s="154">
        <f>IF(R1526="","",R1526-B1526)</f>
        <v>8</v>
      </c>
    </row>
    <row r="1527" spans="2:24" ht="17.25" hidden="1" customHeight="1">
      <c r="B1527" s="23">
        <v>45790</v>
      </c>
      <c r="C1527" s="7">
        <v>2003678938</v>
      </c>
      <c r="D1527" s="20">
        <v>5941644</v>
      </c>
      <c r="E1527" s="27" t="s">
        <v>185</v>
      </c>
      <c r="F1527" s="7" t="s">
        <v>107</v>
      </c>
      <c r="G1527" s="7" t="s">
        <v>10</v>
      </c>
      <c r="H1527" s="7" t="s">
        <v>45</v>
      </c>
      <c r="I1527" s="20" t="s">
        <v>932</v>
      </c>
      <c r="J1527" s="20" t="s">
        <v>1351</v>
      </c>
      <c r="K1527" s="7" t="s">
        <v>111</v>
      </c>
      <c r="L1527" s="61">
        <v>45791</v>
      </c>
      <c r="M1527" s="7" t="s">
        <v>111</v>
      </c>
      <c r="N1527" s="61">
        <v>45791</v>
      </c>
      <c r="O1527" s="61">
        <v>45791</v>
      </c>
      <c r="P1527" s="59"/>
      <c r="Q1527" s="124" t="e">
        <f>P1527*#REF!</f>
        <v>#REF!</v>
      </c>
      <c r="R1527" s="126">
        <v>45792</v>
      </c>
      <c r="S1527" s="153">
        <f>IF(L1527="","",L1527-B1527)</f>
        <v>1</v>
      </c>
      <c r="T1527" s="153">
        <f>IF(N1527="","",N1527-L1527)</f>
        <v>0</v>
      </c>
      <c r="U1527" s="153">
        <f>IF(O1527="","",O1527-N1527)</f>
        <v>0</v>
      </c>
      <c r="V1527" s="154">
        <f>IF(O1527="","",O1527-B1527)</f>
        <v>1</v>
      </c>
      <c r="W1527" s="154">
        <f>IF(O1527="","",O1527-L1527)</f>
        <v>0</v>
      </c>
      <c r="X1527" s="154">
        <f>IF(R1527="","",R1527-B1527)</f>
        <v>2</v>
      </c>
    </row>
    <row r="1528" spans="2:24" ht="17.25" hidden="1" customHeight="1">
      <c r="B1528" s="23">
        <v>45790</v>
      </c>
      <c r="C1528" s="7">
        <v>2003609020</v>
      </c>
      <c r="D1528" s="20">
        <v>5941770</v>
      </c>
      <c r="E1528" s="27" t="s">
        <v>568</v>
      </c>
      <c r="F1528" s="7" t="s">
        <v>107</v>
      </c>
      <c r="G1528" s="7" t="s">
        <v>10</v>
      </c>
      <c r="H1528" s="7" t="s">
        <v>45</v>
      </c>
      <c r="I1528" s="20" t="s">
        <v>2417</v>
      </c>
      <c r="J1528" s="20" t="s">
        <v>2212</v>
      </c>
      <c r="K1528" s="7" t="s">
        <v>110</v>
      </c>
      <c r="L1528" s="61">
        <v>45792</v>
      </c>
      <c r="M1528" s="7" t="s">
        <v>111</v>
      </c>
      <c r="N1528" s="24">
        <v>45796</v>
      </c>
      <c r="O1528" s="58">
        <v>45799</v>
      </c>
      <c r="P1528" s="59"/>
      <c r="Q1528" s="124" t="e">
        <f>P1528*#REF!</f>
        <v>#REF!</v>
      </c>
      <c r="R1528" s="126">
        <v>45802</v>
      </c>
      <c r="S1528" s="153">
        <f>IF(L1528="","",L1528-B1528)</f>
        <v>2</v>
      </c>
      <c r="T1528" s="153">
        <f>IF(N1528="","",N1528-L1528)</f>
        <v>4</v>
      </c>
      <c r="U1528" s="153">
        <f>IF(O1528="","",O1528-N1528)</f>
        <v>3</v>
      </c>
      <c r="V1528" s="154">
        <f>IF(O1528="","",O1528-B1528)</f>
        <v>9</v>
      </c>
      <c r="W1528" s="154">
        <f>IF(O1528="","",O1528-L1528)</f>
        <v>7</v>
      </c>
      <c r="X1528" s="154">
        <f>IF(R1528="","",R1528-B1528)</f>
        <v>12</v>
      </c>
    </row>
    <row r="1529" spans="2:24" ht="17.25" hidden="1" customHeight="1">
      <c r="B1529" s="23">
        <v>45790</v>
      </c>
      <c r="C1529" s="7">
        <v>2003651717</v>
      </c>
      <c r="D1529" s="20">
        <v>5941829</v>
      </c>
      <c r="E1529" s="27" t="s">
        <v>143</v>
      </c>
      <c r="F1529" s="7" t="s">
        <v>107</v>
      </c>
      <c r="G1529" s="7" t="s">
        <v>30</v>
      </c>
      <c r="H1529" s="7" t="s">
        <v>45</v>
      </c>
      <c r="I1529" s="20" t="s">
        <v>268</v>
      </c>
      <c r="J1529" s="20" t="s">
        <v>2418</v>
      </c>
      <c r="K1529" s="7" t="s">
        <v>111</v>
      </c>
      <c r="L1529" s="61">
        <v>45791</v>
      </c>
      <c r="M1529" s="7" t="s">
        <v>111</v>
      </c>
      <c r="N1529" s="61">
        <v>45791</v>
      </c>
      <c r="O1529" s="23" t="s">
        <v>1898</v>
      </c>
      <c r="P1529" s="59"/>
      <c r="Q1529" s="124" t="e">
        <f>P1529*#REF!</f>
        <v>#REF!</v>
      </c>
      <c r="R1529" s="126">
        <v>45798</v>
      </c>
      <c r="S1529" s="153">
        <f>IF(L1529="","",L1529-B1529)</f>
        <v>1</v>
      </c>
      <c r="T1529" s="153">
        <f>IF(N1529="","",N1529-L1529)</f>
        <v>0</v>
      </c>
      <c r="U1529" s="153">
        <f>IF(O1529="","",O1529-N1529)</f>
        <v>6</v>
      </c>
      <c r="V1529" s="154">
        <f>IF(O1529="","",O1529-B1529)</f>
        <v>7</v>
      </c>
      <c r="W1529" s="154">
        <f>IF(O1529="","",O1529-L1529)</f>
        <v>6</v>
      </c>
      <c r="X1529" s="154">
        <f>IF(R1529="","",R1529-B1529)</f>
        <v>8</v>
      </c>
    </row>
    <row r="1530" spans="2:24" ht="17.25" hidden="1" customHeight="1">
      <c r="B1530" s="23">
        <v>45792</v>
      </c>
      <c r="C1530" s="7">
        <v>2003679678</v>
      </c>
      <c r="D1530" s="20">
        <v>5943902</v>
      </c>
      <c r="E1530" s="27" t="s">
        <v>157</v>
      </c>
      <c r="F1530" s="7" t="s">
        <v>113</v>
      </c>
      <c r="G1530" s="7" t="s">
        <v>70</v>
      </c>
      <c r="H1530" s="7" t="s">
        <v>47</v>
      </c>
      <c r="I1530" s="20" t="s">
        <v>2395</v>
      </c>
      <c r="J1530" s="20" t="s">
        <v>2419</v>
      </c>
      <c r="K1530" s="7" t="s">
        <v>160</v>
      </c>
      <c r="P1530" s="59"/>
      <c r="Q1530" s="124" t="e">
        <f>P1530*#REF!</f>
        <v>#REF!</v>
      </c>
      <c r="R1530" s="126">
        <v>45805</v>
      </c>
      <c r="S1530" s="153" t="str">
        <f>IF(L1530="","",L1530-B1530)</f>
        <v/>
      </c>
      <c r="T1530" s="153" t="str">
        <f>IF(N1530="","",N1530-L1530)</f>
        <v/>
      </c>
      <c r="U1530" s="153" t="str">
        <f>IF(O1530="","",O1530-N1530)</f>
        <v/>
      </c>
      <c r="V1530" s="154" t="str">
        <f>IF(O1530="","",O1530-B1530)</f>
        <v/>
      </c>
      <c r="W1530" s="154" t="str">
        <f>IF(O1530="","",O1530-L1530)</f>
        <v/>
      </c>
      <c r="X1530" s="154">
        <f>IF(R1530="","",R1530-B1530)</f>
        <v>13</v>
      </c>
    </row>
    <row r="1531" spans="2:24" ht="17.25" hidden="1" customHeight="1">
      <c r="B1531" s="23">
        <v>45790</v>
      </c>
      <c r="C1531" s="7">
        <v>2003682371</v>
      </c>
      <c r="D1531" s="20">
        <v>5941914</v>
      </c>
      <c r="E1531" s="27" t="s">
        <v>106</v>
      </c>
      <c r="F1531" s="7" t="s">
        <v>107</v>
      </c>
      <c r="G1531" s="7" t="s">
        <v>26</v>
      </c>
      <c r="H1531" s="7" t="s">
        <v>45</v>
      </c>
      <c r="I1531" s="20" t="s">
        <v>2420</v>
      </c>
      <c r="J1531" s="20" t="s">
        <v>2421</v>
      </c>
      <c r="K1531" s="7" t="s">
        <v>119</v>
      </c>
      <c r="L1531" s="61">
        <v>45797</v>
      </c>
      <c r="M1531" s="7" t="s">
        <v>111</v>
      </c>
      <c r="N1531" s="24">
        <v>45798</v>
      </c>
      <c r="O1531" s="23">
        <v>45798</v>
      </c>
      <c r="P1531" s="59"/>
      <c r="Q1531" s="124" t="e">
        <f>P1531*#REF!</f>
        <v>#REF!</v>
      </c>
      <c r="R1531" s="126">
        <v>45798</v>
      </c>
      <c r="S1531" s="153">
        <f>IF(L1531="","",L1531-B1531)</f>
        <v>7</v>
      </c>
      <c r="T1531" s="153">
        <f>IF(N1531="","",N1531-L1531)</f>
        <v>1</v>
      </c>
      <c r="U1531" s="153">
        <f>IF(O1531="","",O1531-N1531)</f>
        <v>0</v>
      </c>
      <c r="V1531" s="154">
        <f>IF(O1531="","",O1531-B1531)</f>
        <v>8</v>
      </c>
      <c r="W1531" s="154">
        <f>IF(O1531="","",O1531-L1531)</f>
        <v>1</v>
      </c>
      <c r="X1531" s="154">
        <f>IF(R1531="","",R1531-B1531)</f>
        <v>8</v>
      </c>
    </row>
    <row r="1532" spans="2:24" ht="17.25" hidden="1" customHeight="1">
      <c r="B1532" s="23">
        <v>45790</v>
      </c>
      <c r="C1532" s="7">
        <v>2003685386</v>
      </c>
      <c r="D1532" s="20">
        <v>5941948</v>
      </c>
      <c r="E1532" s="27" t="s">
        <v>126</v>
      </c>
      <c r="F1532" s="7" t="s">
        <v>107</v>
      </c>
      <c r="G1532" s="7" t="s">
        <v>26</v>
      </c>
      <c r="H1532" s="7" t="s">
        <v>45</v>
      </c>
      <c r="I1532" s="20" t="s">
        <v>2422</v>
      </c>
      <c r="J1532" s="20" t="s">
        <v>2423</v>
      </c>
      <c r="K1532" s="7" t="s">
        <v>110</v>
      </c>
      <c r="L1532" s="61">
        <v>45797</v>
      </c>
      <c r="M1532" s="7" t="s">
        <v>111</v>
      </c>
      <c r="N1532" s="24">
        <v>45798</v>
      </c>
      <c r="O1532" s="23">
        <v>45798</v>
      </c>
      <c r="P1532" s="59"/>
      <c r="Q1532" s="124" t="e">
        <f>P1532*#REF!</f>
        <v>#REF!</v>
      </c>
      <c r="R1532" s="126">
        <v>45798</v>
      </c>
      <c r="S1532" s="153">
        <f>IF(L1532="","",L1532-B1532)</f>
        <v>7</v>
      </c>
      <c r="T1532" s="153">
        <f>IF(N1532="","",N1532-L1532)</f>
        <v>1</v>
      </c>
      <c r="U1532" s="153">
        <f>IF(O1532="","",O1532-N1532)</f>
        <v>0</v>
      </c>
      <c r="V1532" s="154">
        <f>IF(O1532="","",O1532-B1532)</f>
        <v>8</v>
      </c>
      <c r="W1532" s="154">
        <f>IF(O1532="","",O1532-L1532)</f>
        <v>1</v>
      </c>
      <c r="X1532" s="154">
        <f>IF(R1532="","",R1532-B1532)</f>
        <v>8</v>
      </c>
    </row>
    <row r="1533" spans="2:24" ht="17.25" hidden="1" customHeight="1">
      <c r="B1533" s="23">
        <v>45790</v>
      </c>
      <c r="C1533" s="7">
        <v>2003667583</v>
      </c>
      <c r="D1533" s="20">
        <v>5941967</v>
      </c>
      <c r="E1533" s="27" t="s">
        <v>126</v>
      </c>
      <c r="F1533" s="7" t="s">
        <v>107</v>
      </c>
      <c r="G1533" s="7" t="s">
        <v>10</v>
      </c>
      <c r="H1533" s="7" t="s">
        <v>45</v>
      </c>
      <c r="I1533" s="20" t="s">
        <v>415</v>
      </c>
      <c r="J1533" s="20" t="s">
        <v>2424</v>
      </c>
      <c r="K1533" s="7" t="s">
        <v>110</v>
      </c>
      <c r="L1533" s="61">
        <v>45797</v>
      </c>
      <c r="M1533" s="7" t="s">
        <v>111</v>
      </c>
      <c r="N1533" s="61">
        <v>45797</v>
      </c>
      <c r="O1533" s="61">
        <v>45797</v>
      </c>
      <c r="P1533" s="59"/>
      <c r="Q1533" s="124" t="e">
        <f>P1533*#REF!</f>
        <v>#REF!</v>
      </c>
      <c r="R1533" s="126">
        <v>45798</v>
      </c>
      <c r="S1533" s="153">
        <f>IF(L1533="","",L1533-B1533)</f>
        <v>7</v>
      </c>
      <c r="T1533" s="153">
        <f>IF(N1533="","",N1533-L1533)</f>
        <v>0</v>
      </c>
      <c r="U1533" s="153">
        <f>IF(O1533="","",O1533-N1533)</f>
        <v>0</v>
      </c>
      <c r="V1533" s="154">
        <f>IF(O1533="","",O1533-B1533)</f>
        <v>7</v>
      </c>
      <c r="W1533" s="154">
        <f>IF(O1533="","",O1533-L1533)</f>
        <v>0</v>
      </c>
      <c r="X1533" s="154">
        <f>IF(R1533="","",R1533-B1533)</f>
        <v>8</v>
      </c>
    </row>
    <row r="1534" spans="2:24" ht="17.25" hidden="1" customHeight="1">
      <c r="B1534" s="23">
        <v>45792</v>
      </c>
      <c r="C1534" s="7">
        <v>2003647886</v>
      </c>
      <c r="D1534" s="20">
        <v>5943975</v>
      </c>
      <c r="E1534" s="27" t="s">
        <v>138</v>
      </c>
      <c r="F1534" s="7" t="s">
        <v>113</v>
      </c>
      <c r="G1534" s="7" t="s">
        <v>70</v>
      </c>
      <c r="H1534" s="7" t="s">
        <v>47</v>
      </c>
      <c r="I1534" s="20" t="s">
        <v>2425</v>
      </c>
      <c r="J1534" s="20" t="s">
        <v>2426</v>
      </c>
      <c r="K1534" s="7" t="s">
        <v>111</v>
      </c>
      <c r="L1534" s="61">
        <v>45800</v>
      </c>
      <c r="M1534" s="7" t="s">
        <v>111</v>
      </c>
      <c r="N1534" s="24">
        <v>45800</v>
      </c>
      <c r="O1534" s="58">
        <v>45800</v>
      </c>
      <c r="P1534" s="59"/>
      <c r="Q1534" s="124" t="e">
        <f>P1534*#REF!</f>
        <v>#REF!</v>
      </c>
      <c r="R1534" s="126">
        <v>45800</v>
      </c>
      <c r="S1534" s="153">
        <f>IF(L1534="","",L1534-B1534)</f>
        <v>8</v>
      </c>
      <c r="T1534" s="153">
        <f>IF(N1534="","",N1534-L1534)</f>
        <v>0</v>
      </c>
      <c r="U1534" s="153">
        <f>IF(O1534="","",O1534-N1534)</f>
        <v>0</v>
      </c>
      <c r="V1534" s="154">
        <f>IF(O1534="","",O1534-B1534)</f>
        <v>8</v>
      </c>
      <c r="W1534" s="154">
        <f>IF(O1534="","",O1534-L1534)</f>
        <v>0</v>
      </c>
      <c r="X1534" s="154">
        <f>IF(R1534="","",R1534-B1534)</f>
        <v>8</v>
      </c>
    </row>
    <row r="1535" spans="2:24" ht="17.25" hidden="1" customHeight="1">
      <c r="B1535" s="23">
        <v>45790</v>
      </c>
      <c r="C1535" s="7">
        <v>2003684288</v>
      </c>
      <c r="D1535" s="20">
        <v>5941970</v>
      </c>
      <c r="E1535" s="27" t="s">
        <v>949</v>
      </c>
      <c r="F1535" s="7" t="s">
        <v>107</v>
      </c>
      <c r="G1535" s="7" t="s">
        <v>18</v>
      </c>
      <c r="H1535" s="7" t="s">
        <v>45</v>
      </c>
      <c r="I1535" s="20" t="s">
        <v>2427</v>
      </c>
      <c r="J1535" s="20" t="s">
        <v>2428</v>
      </c>
      <c r="K1535" s="7" t="s">
        <v>111</v>
      </c>
      <c r="L1535" s="61">
        <v>45793</v>
      </c>
      <c r="M1535" s="7" t="s">
        <v>111</v>
      </c>
      <c r="N1535" s="61">
        <v>45793</v>
      </c>
      <c r="O1535" s="58">
        <v>45797</v>
      </c>
      <c r="P1535" s="59"/>
      <c r="Q1535" s="124" t="e">
        <f>P1535*#REF!</f>
        <v>#REF!</v>
      </c>
      <c r="R1535" s="126">
        <v>45798</v>
      </c>
      <c r="S1535" s="153">
        <f>IF(L1535="","",L1535-B1535)</f>
        <v>3</v>
      </c>
      <c r="T1535" s="153">
        <f>IF(N1535="","",N1535-L1535)</f>
        <v>0</v>
      </c>
      <c r="U1535" s="153">
        <f>IF(O1535="","",O1535-N1535)</f>
        <v>4</v>
      </c>
      <c r="V1535" s="154">
        <f>IF(O1535="","",O1535-B1535)</f>
        <v>7</v>
      </c>
      <c r="W1535" s="154">
        <f>IF(O1535="","",O1535-L1535)</f>
        <v>4</v>
      </c>
      <c r="X1535" s="154">
        <f>IF(R1535="","",R1535-B1535)</f>
        <v>8</v>
      </c>
    </row>
    <row r="1536" spans="2:24" ht="17.25" hidden="1" customHeight="1">
      <c r="B1536" s="23">
        <v>45790</v>
      </c>
      <c r="C1536" s="7">
        <v>2003680697</v>
      </c>
      <c r="D1536" s="20">
        <v>5941979</v>
      </c>
      <c r="E1536" s="27" t="s">
        <v>138</v>
      </c>
      <c r="F1536" s="7" t="s">
        <v>107</v>
      </c>
      <c r="G1536" s="7" t="s">
        <v>10</v>
      </c>
      <c r="H1536" s="7" t="s">
        <v>45</v>
      </c>
      <c r="I1536" s="20" t="s">
        <v>2429</v>
      </c>
      <c r="J1536" s="20" t="s">
        <v>2430</v>
      </c>
      <c r="K1536" s="7" t="s">
        <v>119</v>
      </c>
      <c r="L1536" s="61">
        <v>45798</v>
      </c>
      <c r="M1536" s="7" t="s">
        <v>111</v>
      </c>
      <c r="N1536" s="24">
        <v>45801</v>
      </c>
      <c r="O1536" s="23">
        <v>45803</v>
      </c>
      <c r="P1536" s="59"/>
      <c r="Q1536" s="124" t="e">
        <f>P1536*#REF!</f>
        <v>#REF!</v>
      </c>
      <c r="R1536" s="126">
        <v>45804</v>
      </c>
      <c r="S1536" s="153">
        <f>IF(L1536="","",L1536-B1536)</f>
        <v>8</v>
      </c>
      <c r="T1536" s="153">
        <f>IF(N1536="","",N1536-L1536)</f>
        <v>3</v>
      </c>
      <c r="U1536" s="153">
        <f>IF(O1536="","",O1536-N1536)</f>
        <v>2</v>
      </c>
      <c r="V1536" s="154">
        <f>IF(O1536="","",O1536-B1536)</f>
        <v>13</v>
      </c>
      <c r="W1536" s="154">
        <f>IF(O1536="","",O1536-L1536)</f>
        <v>5</v>
      </c>
      <c r="X1536" s="154">
        <f>IF(R1536="","",R1536-B1536)</f>
        <v>14</v>
      </c>
    </row>
    <row r="1537" spans="2:24" ht="17.25" hidden="1" customHeight="1">
      <c r="B1537" s="23">
        <v>45790</v>
      </c>
      <c r="C1537" s="7">
        <v>2003683302</v>
      </c>
      <c r="D1537" s="20">
        <v>5941980</v>
      </c>
      <c r="E1537" s="27" t="s">
        <v>230</v>
      </c>
      <c r="F1537" s="7" t="s">
        <v>107</v>
      </c>
      <c r="G1537" s="7" t="s">
        <v>10</v>
      </c>
      <c r="H1537" s="7" t="s">
        <v>45</v>
      </c>
      <c r="I1537" s="20" t="s">
        <v>431</v>
      </c>
      <c r="J1537" s="20" t="s">
        <v>2431</v>
      </c>
      <c r="K1537" s="7" t="s">
        <v>119</v>
      </c>
      <c r="L1537" s="61">
        <v>45792</v>
      </c>
      <c r="M1537" s="7" t="s">
        <v>111</v>
      </c>
      <c r="N1537" s="61">
        <v>45792</v>
      </c>
      <c r="O1537" s="58">
        <v>45793</v>
      </c>
      <c r="P1537" s="59"/>
      <c r="Q1537" s="124" t="e">
        <f>P1537*#REF!</f>
        <v>#REF!</v>
      </c>
      <c r="R1537" s="126">
        <v>45798</v>
      </c>
      <c r="S1537" s="153">
        <f>IF(L1537="","",L1537-B1537)</f>
        <v>2</v>
      </c>
      <c r="T1537" s="153">
        <f>IF(N1537="","",N1537-L1537)</f>
        <v>0</v>
      </c>
      <c r="U1537" s="153">
        <f>IF(O1537="","",O1537-N1537)</f>
        <v>1</v>
      </c>
      <c r="V1537" s="154">
        <f>IF(O1537="","",O1537-B1537)</f>
        <v>3</v>
      </c>
      <c r="W1537" s="154">
        <f>IF(O1537="","",O1537-L1537)</f>
        <v>1</v>
      </c>
      <c r="X1537" s="154">
        <f>IF(R1537="","",R1537-B1537)</f>
        <v>8</v>
      </c>
    </row>
    <row r="1538" spans="2:24" ht="17.25" hidden="1" customHeight="1">
      <c r="B1538" s="23">
        <v>45790</v>
      </c>
      <c r="C1538" s="7">
        <v>2003626839</v>
      </c>
      <c r="D1538" s="20">
        <v>5941984</v>
      </c>
      <c r="E1538" s="27" t="s">
        <v>152</v>
      </c>
      <c r="F1538" s="7" t="s">
        <v>107</v>
      </c>
      <c r="G1538" s="7" t="s">
        <v>18</v>
      </c>
      <c r="H1538" s="7" t="s">
        <v>45</v>
      </c>
      <c r="I1538" s="20" t="s">
        <v>2417</v>
      </c>
      <c r="J1538" s="20" t="s">
        <v>2212</v>
      </c>
      <c r="K1538" s="7" t="s">
        <v>110</v>
      </c>
      <c r="L1538" s="61">
        <v>45792</v>
      </c>
      <c r="M1538" s="7" t="s">
        <v>111</v>
      </c>
      <c r="N1538" s="24">
        <v>45796</v>
      </c>
      <c r="O1538" s="58">
        <v>45799</v>
      </c>
      <c r="P1538" s="59"/>
      <c r="Q1538" s="124" t="e">
        <f>P1538*#REF!</f>
        <v>#REF!</v>
      </c>
      <c r="R1538" s="126">
        <v>45802</v>
      </c>
      <c r="S1538" s="153">
        <f>IF(L1538="","",L1538-B1538)</f>
        <v>2</v>
      </c>
      <c r="T1538" s="153">
        <f>IF(N1538="","",N1538-L1538)</f>
        <v>4</v>
      </c>
      <c r="U1538" s="153">
        <f>IF(O1538="","",O1538-N1538)</f>
        <v>3</v>
      </c>
      <c r="V1538" s="154">
        <f>IF(O1538="","",O1538-B1538)</f>
        <v>9</v>
      </c>
      <c r="W1538" s="154">
        <f>IF(O1538="","",O1538-L1538)</f>
        <v>7</v>
      </c>
      <c r="X1538" s="154">
        <f>IF(R1538="","",R1538-B1538)</f>
        <v>12</v>
      </c>
    </row>
    <row r="1539" spans="2:24" ht="17.25" hidden="1" customHeight="1">
      <c r="B1539" s="23">
        <v>45790</v>
      </c>
      <c r="C1539" s="7">
        <v>2003685391</v>
      </c>
      <c r="D1539" s="20">
        <v>5941988</v>
      </c>
      <c r="E1539" s="27" t="s">
        <v>185</v>
      </c>
      <c r="F1539" s="7" t="s">
        <v>107</v>
      </c>
      <c r="G1539" s="7" t="s">
        <v>18</v>
      </c>
      <c r="H1539" s="7" t="s">
        <v>45</v>
      </c>
      <c r="I1539" s="20" t="s">
        <v>2432</v>
      </c>
      <c r="J1539" s="20" t="s">
        <v>2433</v>
      </c>
      <c r="K1539" s="7" t="s">
        <v>119</v>
      </c>
      <c r="L1539" s="61">
        <v>45792</v>
      </c>
      <c r="M1539" s="7" t="s">
        <v>111</v>
      </c>
      <c r="N1539" s="61">
        <v>45792</v>
      </c>
      <c r="O1539" s="58">
        <v>45793</v>
      </c>
      <c r="P1539" s="59"/>
      <c r="Q1539" s="124" t="e">
        <f>P1539*#REF!</f>
        <v>#REF!</v>
      </c>
      <c r="R1539" s="126">
        <v>45796</v>
      </c>
      <c r="S1539" s="153">
        <f>IF(L1539="","",L1539-B1539)</f>
        <v>2</v>
      </c>
      <c r="T1539" s="153">
        <f>IF(N1539="","",N1539-L1539)</f>
        <v>0</v>
      </c>
      <c r="U1539" s="153">
        <f>IF(O1539="","",O1539-N1539)</f>
        <v>1</v>
      </c>
      <c r="V1539" s="154">
        <f>IF(O1539="","",O1539-B1539)</f>
        <v>3</v>
      </c>
      <c r="W1539" s="154">
        <f>IF(O1539="","",O1539-L1539)</f>
        <v>1</v>
      </c>
      <c r="X1539" s="154">
        <f>IF(R1539="","",R1539-B1539)</f>
        <v>6</v>
      </c>
    </row>
    <row r="1540" spans="2:24" ht="17.25" hidden="1" customHeight="1">
      <c r="B1540" s="23">
        <v>45790</v>
      </c>
      <c r="C1540" s="7">
        <v>2003668347</v>
      </c>
      <c r="D1540" s="20">
        <v>5942012</v>
      </c>
      <c r="E1540" s="27" t="s">
        <v>201</v>
      </c>
      <c r="F1540" s="7" t="s">
        <v>107</v>
      </c>
      <c r="G1540" s="7" t="s">
        <v>10</v>
      </c>
      <c r="H1540" s="7" t="s">
        <v>45</v>
      </c>
      <c r="I1540" s="20" t="s">
        <v>2434</v>
      </c>
      <c r="J1540" s="20" t="s">
        <v>2435</v>
      </c>
      <c r="K1540" s="7" t="s">
        <v>110</v>
      </c>
      <c r="L1540" s="61">
        <v>45798</v>
      </c>
      <c r="M1540" s="7" t="s">
        <v>111</v>
      </c>
      <c r="N1540" s="61">
        <v>45798</v>
      </c>
      <c r="O1540" s="130">
        <v>45798</v>
      </c>
      <c r="P1540" s="59"/>
      <c r="Q1540" s="124" t="e">
        <f>P1540*#REF!</f>
        <v>#REF!</v>
      </c>
      <c r="R1540" s="126">
        <v>45798</v>
      </c>
      <c r="S1540" s="153">
        <f>IF(L1540="","",L1540-B1540)</f>
        <v>8</v>
      </c>
      <c r="T1540" s="153">
        <f>IF(N1540="","",N1540-L1540)</f>
        <v>0</v>
      </c>
      <c r="U1540" s="153">
        <f>IF(O1540="","",O1540-N1540)</f>
        <v>0</v>
      </c>
      <c r="V1540" s="154">
        <f>IF(O1540="","",O1540-B1540)</f>
        <v>8</v>
      </c>
      <c r="W1540" s="154">
        <f>IF(O1540="","",O1540-L1540)</f>
        <v>0</v>
      </c>
      <c r="X1540" s="154">
        <f>IF(R1540="","",R1540-B1540)</f>
        <v>8</v>
      </c>
    </row>
    <row r="1541" spans="2:24" ht="17.25" hidden="1" customHeight="1">
      <c r="B1541" s="23">
        <v>45790</v>
      </c>
      <c r="C1541" s="7">
        <v>2003679497</v>
      </c>
      <c r="D1541" s="20">
        <v>5942019</v>
      </c>
      <c r="E1541" s="27" t="s">
        <v>123</v>
      </c>
      <c r="F1541" s="7" t="s">
        <v>107</v>
      </c>
      <c r="G1541" s="7" t="s">
        <v>10</v>
      </c>
      <c r="H1541" s="7" t="s">
        <v>45</v>
      </c>
      <c r="I1541" s="20" t="s">
        <v>2436</v>
      </c>
      <c r="J1541" s="20" t="s">
        <v>2437</v>
      </c>
      <c r="K1541" s="7" t="s">
        <v>119</v>
      </c>
      <c r="L1541" s="61">
        <v>45796</v>
      </c>
      <c r="M1541" s="7" t="s">
        <v>111</v>
      </c>
      <c r="N1541" s="24">
        <v>45801</v>
      </c>
      <c r="O1541" s="106">
        <v>45801</v>
      </c>
      <c r="P1541" s="59"/>
      <c r="Q1541" s="124" t="e">
        <f>P1541*#REF!</f>
        <v>#REF!</v>
      </c>
      <c r="R1541" s="126">
        <v>45800</v>
      </c>
      <c r="S1541" s="153">
        <f>IF(L1541="","",L1541-B1541)</f>
        <v>6</v>
      </c>
      <c r="T1541" s="153">
        <f>IF(N1541="","",N1541-L1541)</f>
        <v>5</v>
      </c>
      <c r="U1541" s="153">
        <f>IF(O1541="","",O1541-N1541)</f>
        <v>0</v>
      </c>
      <c r="V1541" s="154">
        <f>IF(O1541="","",O1541-B1541)</f>
        <v>11</v>
      </c>
      <c r="W1541" s="154">
        <f>IF(O1541="","",O1541-L1541)</f>
        <v>5</v>
      </c>
      <c r="X1541" s="154">
        <f>IF(R1541="","",R1541-B1541)</f>
        <v>10</v>
      </c>
    </row>
    <row r="1542" spans="2:24" ht="17.25" hidden="1" customHeight="1">
      <c r="B1542" s="23">
        <v>45790</v>
      </c>
      <c r="C1542" s="7">
        <v>2003523121</v>
      </c>
      <c r="D1542" s="20">
        <v>5942038</v>
      </c>
      <c r="E1542" s="27" t="s">
        <v>180</v>
      </c>
      <c r="F1542" s="7" t="s">
        <v>107</v>
      </c>
      <c r="G1542" s="7" t="s">
        <v>166</v>
      </c>
      <c r="H1542" s="7" t="s">
        <v>45</v>
      </c>
      <c r="I1542" s="20" t="s">
        <v>487</v>
      </c>
      <c r="J1542" s="20" t="s">
        <v>674</v>
      </c>
      <c r="K1542" s="7" t="s">
        <v>119</v>
      </c>
      <c r="L1542" s="61">
        <v>45793</v>
      </c>
      <c r="M1542" s="7" t="s">
        <v>111</v>
      </c>
      <c r="N1542" s="24">
        <v>45794</v>
      </c>
      <c r="O1542" s="106">
        <v>45794</v>
      </c>
      <c r="P1542" s="59"/>
      <c r="Q1542" s="124" t="e">
        <f>P1542*#REF!</f>
        <v>#REF!</v>
      </c>
      <c r="R1542" s="126">
        <v>45796</v>
      </c>
      <c r="S1542" s="153">
        <f>IF(L1542="","",L1542-B1542)</f>
        <v>3</v>
      </c>
      <c r="T1542" s="153">
        <f>IF(N1542="","",N1542-L1542)</f>
        <v>1</v>
      </c>
      <c r="U1542" s="153">
        <f>IF(O1542="","",O1542-N1542)</f>
        <v>0</v>
      </c>
      <c r="V1542" s="154">
        <f>IF(O1542="","",O1542-B1542)</f>
        <v>4</v>
      </c>
      <c r="W1542" s="154">
        <f>IF(O1542="","",O1542-L1542)</f>
        <v>1</v>
      </c>
      <c r="X1542" s="154">
        <f>IF(R1542="","",R1542-B1542)</f>
        <v>6</v>
      </c>
    </row>
    <row r="1543" spans="2:24" ht="17.25" hidden="1" customHeight="1">
      <c r="B1543" s="23">
        <v>45790</v>
      </c>
      <c r="C1543" s="7">
        <v>2003666738</v>
      </c>
      <c r="D1543" s="20">
        <v>5942049</v>
      </c>
      <c r="E1543" s="27" t="s">
        <v>408</v>
      </c>
      <c r="F1543" s="7" t="s">
        <v>107</v>
      </c>
      <c r="G1543" s="7" t="s">
        <v>10</v>
      </c>
      <c r="H1543" s="7" t="s">
        <v>45</v>
      </c>
      <c r="I1543" s="20" t="s">
        <v>2438</v>
      </c>
      <c r="J1543" s="20" t="s">
        <v>2439</v>
      </c>
      <c r="K1543" s="7" t="s">
        <v>110</v>
      </c>
      <c r="L1543" s="61">
        <v>45792</v>
      </c>
      <c r="M1543" s="7" t="s">
        <v>111</v>
      </c>
      <c r="N1543" s="24">
        <v>45797</v>
      </c>
      <c r="O1543" s="106">
        <v>45797</v>
      </c>
      <c r="P1543" s="59"/>
      <c r="Q1543" s="124" t="e">
        <f>P1543*#REF!</f>
        <v>#REF!</v>
      </c>
      <c r="R1543" s="126">
        <v>45798</v>
      </c>
      <c r="S1543" s="153">
        <f>IF(L1543="","",L1543-B1543)</f>
        <v>2</v>
      </c>
      <c r="T1543" s="153">
        <f>IF(N1543="","",N1543-L1543)</f>
        <v>5</v>
      </c>
      <c r="U1543" s="153">
        <f>IF(O1543="","",O1543-N1543)</f>
        <v>0</v>
      </c>
      <c r="V1543" s="154">
        <f>IF(O1543="","",O1543-B1543)</f>
        <v>7</v>
      </c>
      <c r="W1543" s="154">
        <f>IF(O1543="","",O1543-L1543)</f>
        <v>5</v>
      </c>
      <c r="X1543" s="154">
        <f>IF(R1543="","",R1543-B1543)</f>
        <v>8</v>
      </c>
    </row>
    <row r="1544" spans="2:24" ht="17.25" hidden="1" customHeight="1">
      <c r="B1544" s="23">
        <v>45790</v>
      </c>
      <c r="C1544" s="7">
        <v>2003667598</v>
      </c>
      <c r="D1544" s="20">
        <v>5942054</v>
      </c>
      <c r="E1544" s="27" t="s">
        <v>112</v>
      </c>
      <c r="F1544" s="7" t="s">
        <v>107</v>
      </c>
      <c r="G1544" s="7" t="s">
        <v>15</v>
      </c>
      <c r="H1544" s="7" t="s">
        <v>45</v>
      </c>
      <c r="I1544" s="20" t="s">
        <v>2440</v>
      </c>
      <c r="J1544" s="20" t="s">
        <v>2441</v>
      </c>
      <c r="K1544" s="7" t="s">
        <v>110</v>
      </c>
      <c r="L1544" s="61">
        <v>45797</v>
      </c>
      <c r="M1544" s="7" t="s">
        <v>111</v>
      </c>
      <c r="N1544" s="61">
        <v>45798</v>
      </c>
      <c r="O1544" s="130">
        <v>45798</v>
      </c>
      <c r="P1544" s="59"/>
      <c r="Q1544" s="124" t="e">
        <f>P1544*#REF!</f>
        <v>#REF!</v>
      </c>
      <c r="R1544" s="126">
        <v>45798</v>
      </c>
      <c r="S1544" s="153">
        <f>IF(L1544="","",L1544-B1544)</f>
        <v>7</v>
      </c>
      <c r="T1544" s="153">
        <f>IF(N1544="","",N1544-L1544)</f>
        <v>1</v>
      </c>
      <c r="U1544" s="153">
        <f>IF(O1544="","",O1544-N1544)</f>
        <v>0</v>
      </c>
      <c r="V1544" s="154">
        <f>IF(O1544="","",O1544-B1544)</f>
        <v>8</v>
      </c>
      <c r="W1544" s="154">
        <f>IF(O1544="","",O1544-L1544)</f>
        <v>1</v>
      </c>
      <c r="X1544" s="154">
        <f>IF(R1544="","",R1544-B1544)</f>
        <v>8</v>
      </c>
    </row>
    <row r="1545" spans="2:24" ht="17.25" hidden="1" customHeight="1">
      <c r="B1545" s="23">
        <v>45791</v>
      </c>
      <c r="C1545" s="7">
        <v>2003678730</v>
      </c>
      <c r="D1545" s="20">
        <v>5942311</v>
      </c>
      <c r="E1545" s="27" t="s">
        <v>123</v>
      </c>
      <c r="F1545" s="7" t="s">
        <v>107</v>
      </c>
      <c r="G1545" s="7" t="s">
        <v>26</v>
      </c>
      <c r="H1545" s="7" t="s">
        <v>45</v>
      </c>
      <c r="I1545" s="20" t="s">
        <v>270</v>
      </c>
      <c r="J1545" s="20" t="s">
        <v>436</v>
      </c>
      <c r="K1545" s="7" t="s">
        <v>119</v>
      </c>
      <c r="L1545" s="61">
        <v>45793</v>
      </c>
      <c r="M1545" s="7" t="s">
        <v>111</v>
      </c>
      <c r="N1545" s="24">
        <v>45796</v>
      </c>
      <c r="O1545" s="23">
        <v>45796</v>
      </c>
      <c r="P1545" s="59"/>
      <c r="Q1545" s="124" t="e">
        <f>P1545*#REF!</f>
        <v>#REF!</v>
      </c>
      <c r="R1545" s="126">
        <v>45796</v>
      </c>
      <c r="S1545" s="153">
        <f>IF(L1545="","",L1545-B1545)</f>
        <v>2</v>
      </c>
      <c r="T1545" s="153">
        <f>IF(N1545="","",N1545-L1545)</f>
        <v>3</v>
      </c>
      <c r="U1545" s="153">
        <f>IF(O1545="","",O1545-N1545)</f>
        <v>0</v>
      </c>
      <c r="V1545" s="154">
        <f>IF(O1545="","",O1545-B1545)</f>
        <v>5</v>
      </c>
      <c r="W1545" s="154">
        <f>IF(O1545="","",O1545-L1545)</f>
        <v>3</v>
      </c>
      <c r="X1545" s="154">
        <f>IF(R1545="","",R1545-B1545)</f>
        <v>5</v>
      </c>
    </row>
    <row r="1546" spans="2:24" ht="17.25" hidden="1" customHeight="1">
      <c r="B1546" s="23">
        <v>45791</v>
      </c>
      <c r="C1546" s="7">
        <v>2003667457</v>
      </c>
      <c r="D1546" s="20">
        <v>5942335</v>
      </c>
      <c r="E1546" s="27" t="s">
        <v>129</v>
      </c>
      <c r="F1546" s="7" t="s">
        <v>107</v>
      </c>
      <c r="G1546" s="7" t="s">
        <v>10</v>
      </c>
      <c r="H1546" s="7" t="s">
        <v>45</v>
      </c>
      <c r="I1546" s="20" t="s">
        <v>636</v>
      </c>
      <c r="J1546" s="20" t="s">
        <v>2442</v>
      </c>
      <c r="K1546" s="7" t="s">
        <v>110</v>
      </c>
      <c r="L1546" s="61">
        <v>45796</v>
      </c>
      <c r="M1546" s="7" t="s">
        <v>111</v>
      </c>
      <c r="N1546" s="61">
        <v>45796</v>
      </c>
      <c r="O1546" s="130">
        <v>45796</v>
      </c>
      <c r="P1546" s="59"/>
      <c r="Q1546" s="124" t="e">
        <f>P1546*#REF!</f>
        <v>#REF!</v>
      </c>
      <c r="R1546" s="126">
        <v>45798</v>
      </c>
      <c r="S1546" s="153">
        <f>IF(L1546="","",L1546-B1546)</f>
        <v>5</v>
      </c>
      <c r="T1546" s="153">
        <f>IF(N1546="","",N1546-L1546)</f>
        <v>0</v>
      </c>
      <c r="U1546" s="153">
        <f>IF(O1546="","",O1546-N1546)</f>
        <v>0</v>
      </c>
      <c r="V1546" s="154">
        <f>IF(O1546="","",O1546-B1546)</f>
        <v>5</v>
      </c>
      <c r="W1546" s="154">
        <f>IF(O1546="","",O1546-L1546)</f>
        <v>0</v>
      </c>
      <c r="X1546" s="154">
        <f>IF(R1546="","",R1546-B1546)</f>
        <v>7</v>
      </c>
    </row>
    <row r="1547" spans="2:24" ht="17.25" hidden="1" customHeight="1">
      <c r="B1547" s="23">
        <v>45791</v>
      </c>
      <c r="C1547" s="7">
        <v>2003676515</v>
      </c>
      <c r="D1547" s="20">
        <v>5942342</v>
      </c>
      <c r="E1547" s="27" t="s">
        <v>230</v>
      </c>
      <c r="F1547" s="7" t="s">
        <v>107</v>
      </c>
      <c r="G1547" s="7" t="s">
        <v>10</v>
      </c>
      <c r="H1547" s="7" t="s">
        <v>45</v>
      </c>
      <c r="I1547" s="20" t="s">
        <v>2443</v>
      </c>
      <c r="J1547" s="20" t="s">
        <v>2444</v>
      </c>
      <c r="K1547" s="7" t="s">
        <v>110</v>
      </c>
      <c r="L1547" s="61">
        <v>45793</v>
      </c>
      <c r="M1547" s="7" t="s">
        <v>111</v>
      </c>
      <c r="N1547" s="61">
        <v>45793</v>
      </c>
      <c r="O1547" s="130">
        <v>45793</v>
      </c>
      <c r="P1547" s="59"/>
      <c r="Q1547" s="124" t="e">
        <f>P1547*#REF!</f>
        <v>#REF!</v>
      </c>
      <c r="R1547" s="126">
        <v>45796</v>
      </c>
      <c r="S1547" s="153">
        <f>IF(L1547="","",L1547-B1547)</f>
        <v>2</v>
      </c>
      <c r="T1547" s="153">
        <f>IF(N1547="","",N1547-L1547)</f>
        <v>0</v>
      </c>
      <c r="U1547" s="153">
        <f>IF(O1547="","",O1547-N1547)</f>
        <v>0</v>
      </c>
      <c r="V1547" s="154">
        <f>IF(O1547="","",O1547-B1547)</f>
        <v>2</v>
      </c>
      <c r="W1547" s="154">
        <f>IF(O1547="","",O1547-L1547)</f>
        <v>0</v>
      </c>
      <c r="X1547" s="154">
        <f>IF(R1547="","",R1547-B1547)</f>
        <v>5</v>
      </c>
    </row>
    <row r="1548" spans="2:24" ht="17.25" hidden="1" customHeight="1">
      <c r="B1548" s="23">
        <v>45791</v>
      </c>
      <c r="C1548" s="7">
        <v>2003630991</v>
      </c>
      <c r="D1548" s="20">
        <v>5942389</v>
      </c>
      <c r="E1548" s="27" t="s">
        <v>568</v>
      </c>
      <c r="F1548" s="7" t="s">
        <v>107</v>
      </c>
      <c r="G1548" s="7" t="s">
        <v>18</v>
      </c>
      <c r="H1548" s="7" t="s">
        <v>45</v>
      </c>
      <c r="I1548" s="20" t="s">
        <v>2329</v>
      </c>
      <c r="J1548" s="20" t="s">
        <v>2445</v>
      </c>
      <c r="K1548" s="7" t="s">
        <v>110</v>
      </c>
      <c r="L1548" s="61">
        <v>45797</v>
      </c>
      <c r="M1548" s="7" t="s">
        <v>111</v>
      </c>
      <c r="N1548" s="61">
        <v>45797</v>
      </c>
      <c r="O1548" s="61">
        <v>45797</v>
      </c>
      <c r="P1548" s="59"/>
      <c r="Q1548" s="124" t="e">
        <f>P1548*#REF!</f>
        <v>#REF!</v>
      </c>
      <c r="R1548" s="126">
        <v>45798</v>
      </c>
      <c r="S1548" s="153">
        <f>IF(L1548="","",L1548-B1548)</f>
        <v>6</v>
      </c>
      <c r="T1548" s="153">
        <f>IF(N1548="","",N1548-L1548)</f>
        <v>0</v>
      </c>
      <c r="U1548" s="153">
        <f>IF(O1548="","",O1548-N1548)</f>
        <v>0</v>
      </c>
      <c r="V1548" s="154">
        <f>IF(O1548="","",O1548-B1548)</f>
        <v>6</v>
      </c>
      <c r="W1548" s="154">
        <f>IF(O1548="","",O1548-L1548)</f>
        <v>0</v>
      </c>
      <c r="X1548" s="154">
        <f>IF(R1548="","",R1548-B1548)</f>
        <v>7</v>
      </c>
    </row>
    <row r="1549" spans="2:24" ht="17.25" hidden="1" customHeight="1">
      <c r="B1549" s="23">
        <v>45791</v>
      </c>
      <c r="C1549" s="7">
        <v>2003678076</v>
      </c>
      <c r="D1549" s="20">
        <v>5942653</v>
      </c>
      <c r="E1549" s="27" t="s">
        <v>198</v>
      </c>
      <c r="F1549" s="7" t="s">
        <v>107</v>
      </c>
      <c r="G1549" s="7" t="s">
        <v>10</v>
      </c>
      <c r="H1549" s="7" t="s">
        <v>45</v>
      </c>
      <c r="I1549" s="20" t="s">
        <v>2446</v>
      </c>
      <c r="J1549" s="20" t="s">
        <v>2447</v>
      </c>
      <c r="K1549" s="7" t="s">
        <v>119</v>
      </c>
      <c r="L1549" s="61">
        <v>45792</v>
      </c>
      <c r="M1549" s="7" t="s">
        <v>111</v>
      </c>
      <c r="N1549" s="24">
        <v>45796</v>
      </c>
      <c r="O1549" s="106">
        <v>45796</v>
      </c>
      <c r="P1549" s="59"/>
      <c r="Q1549" s="124" t="e">
        <f>P1549*#REF!</f>
        <v>#REF!</v>
      </c>
      <c r="R1549" s="126">
        <v>45796</v>
      </c>
      <c r="S1549" s="153">
        <f>IF(L1549="","",L1549-B1549)</f>
        <v>1</v>
      </c>
      <c r="T1549" s="153">
        <f>IF(N1549="","",N1549-L1549)</f>
        <v>4</v>
      </c>
      <c r="U1549" s="153">
        <f>IF(O1549="","",O1549-N1549)</f>
        <v>0</v>
      </c>
      <c r="V1549" s="154">
        <f>IF(O1549="","",O1549-B1549)</f>
        <v>5</v>
      </c>
      <c r="W1549" s="154">
        <f>IF(O1549="","",O1549-L1549)</f>
        <v>4</v>
      </c>
      <c r="X1549" s="154">
        <f>IF(R1549="","",R1549-B1549)</f>
        <v>5</v>
      </c>
    </row>
    <row r="1550" spans="2:24" ht="17.25" hidden="1" customHeight="1">
      <c r="B1550" s="23">
        <v>45791</v>
      </c>
      <c r="C1550" s="7">
        <v>2003666144</v>
      </c>
      <c r="D1550" s="20">
        <v>5942672</v>
      </c>
      <c r="E1550" s="27" t="s">
        <v>106</v>
      </c>
      <c r="F1550" s="7" t="s">
        <v>107</v>
      </c>
      <c r="G1550" s="7" t="s">
        <v>10</v>
      </c>
      <c r="H1550" s="7" t="s">
        <v>45</v>
      </c>
      <c r="I1550" s="20" t="s">
        <v>2448</v>
      </c>
      <c r="J1550" s="20" t="s">
        <v>2449</v>
      </c>
      <c r="K1550" s="7" t="s">
        <v>119</v>
      </c>
      <c r="L1550" s="61">
        <v>45799</v>
      </c>
      <c r="M1550" s="7" t="s">
        <v>111</v>
      </c>
      <c r="N1550" s="24">
        <v>45801</v>
      </c>
      <c r="O1550" s="106">
        <v>45801</v>
      </c>
      <c r="P1550" s="59"/>
      <c r="Q1550" s="124" t="e">
        <f>P1550*#REF!</f>
        <v>#REF!</v>
      </c>
      <c r="R1550" s="126">
        <v>45803</v>
      </c>
      <c r="S1550" s="153">
        <f>IF(L1550="","",L1550-B1550)</f>
        <v>8</v>
      </c>
      <c r="T1550" s="153">
        <f>IF(N1550="","",N1550-L1550)</f>
        <v>2</v>
      </c>
      <c r="U1550" s="153">
        <f>IF(O1550="","",O1550-N1550)</f>
        <v>0</v>
      </c>
      <c r="V1550" s="154">
        <f>IF(O1550="","",O1550-B1550)</f>
        <v>10</v>
      </c>
      <c r="W1550" s="154">
        <f>IF(O1550="","",O1550-L1550)</f>
        <v>2</v>
      </c>
      <c r="X1550" s="154">
        <f>IF(R1550="","",R1550-B1550)</f>
        <v>12</v>
      </c>
    </row>
    <row r="1551" spans="2:24" ht="17.25" hidden="1" customHeight="1">
      <c r="B1551" s="23">
        <v>45791</v>
      </c>
      <c r="C1551" s="7">
        <v>2003570707</v>
      </c>
      <c r="D1551" s="20">
        <v>5942686</v>
      </c>
      <c r="E1551" s="27" t="s">
        <v>116</v>
      </c>
      <c r="F1551" s="7" t="s">
        <v>107</v>
      </c>
      <c r="G1551" s="7" t="s">
        <v>21</v>
      </c>
      <c r="H1551" s="7" t="s">
        <v>45</v>
      </c>
      <c r="I1551" s="20" t="s">
        <v>2450</v>
      </c>
      <c r="J1551" s="20" t="s">
        <v>558</v>
      </c>
      <c r="K1551" s="7" t="s">
        <v>111</v>
      </c>
      <c r="L1551" s="61">
        <v>45793</v>
      </c>
      <c r="M1551" s="7" t="s">
        <v>111</v>
      </c>
      <c r="N1551" s="61">
        <v>45793</v>
      </c>
      <c r="O1551" s="23">
        <v>45796</v>
      </c>
      <c r="P1551" s="59"/>
      <c r="Q1551" s="124" t="e">
        <f>P1551*#REF!</f>
        <v>#REF!</v>
      </c>
      <c r="R1551" s="126">
        <v>45802</v>
      </c>
      <c r="S1551" s="153">
        <f>IF(L1551="","",L1551-B1551)</f>
        <v>2</v>
      </c>
      <c r="T1551" s="153">
        <f>IF(N1551="","",N1551-L1551)</f>
        <v>0</v>
      </c>
      <c r="U1551" s="153">
        <f>IF(O1551="","",O1551-N1551)</f>
        <v>3</v>
      </c>
      <c r="V1551" s="154">
        <f>IF(O1551="","",O1551-B1551)</f>
        <v>5</v>
      </c>
      <c r="W1551" s="154">
        <f>IF(O1551="","",O1551-L1551)</f>
        <v>3</v>
      </c>
      <c r="X1551" s="154">
        <f>IF(R1551="","",R1551-B1551)</f>
        <v>11</v>
      </c>
    </row>
    <row r="1552" spans="2:24" ht="17.25" hidden="1" customHeight="1">
      <c r="B1552" s="23">
        <v>45791</v>
      </c>
      <c r="C1552" s="7">
        <v>2003667631</v>
      </c>
      <c r="D1552" s="20">
        <v>5942758</v>
      </c>
      <c r="E1552" s="27" t="s">
        <v>126</v>
      </c>
      <c r="F1552" s="7" t="s">
        <v>107</v>
      </c>
      <c r="G1552" s="7" t="s">
        <v>10</v>
      </c>
      <c r="H1552" s="7" t="s">
        <v>45</v>
      </c>
      <c r="I1552" s="20" t="s">
        <v>2451</v>
      </c>
      <c r="J1552" s="20" t="s">
        <v>2452</v>
      </c>
      <c r="K1552" s="7" t="s">
        <v>110</v>
      </c>
      <c r="L1552" s="61">
        <v>45796</v>
      </c>
      <c r="M1552" s="7" t="s">
        <v>111</v>
      </c>
      <c r="N1552" s="24">
        <v>45797</v>
      </c>
      <c r="O1552" s="106">
        <v>45797</v>
      </c>
      <c r="P1552" s="59"/>
      <c r="Q1552" s="124" t="e">
        <f>P1552*#REF!</f>
        <v>#REF!</v>
      </c>
      <c r="R1552" s="126">
        <v>45798</v>
      </c>
      <c r="S1552" s="153">
        <f>IF(L1552="","",L1552-B1552)</f>
        <v>5</v>
      </c>
      <c r="T1552" s="153">
        <f>IF(N1552="","",N1552-L1552)</f>
        <v>1</v>
      </c>
      <c r="U1552" s="153">
        <f>IF(O1552="","",O1552-N1552)</f>
        <v>0</v>
      </c>
      <c r="V1552" s="154">
        <f>IF(O1552="","",O1552-B1552)</f>
        <v>6</v>
      </c>
      <c r="W1552" s="154">
        <f>IF(O1552="","",O1552-L1552)</f>
        <v>1</v>
      </c>
      <c r="X1552" s="154">
        <f>IF(R1552="","",R1552-B1552)</f>
        <v>7</v>
      </c>
    </row>
    <row r="1553" spans="2:24" ht="17.25" hidden="1" customHeight="1">
      <c r="B1553" s="23">
        <v>45791</v>
      </c>
      <c r="C1553" s="7">
        <v>2003683421</v>
      </c>
      <c r="D1553" s="20">
        <v>5942765</v>
      </c>
      <c r="E1553" s="27" t="s">
        <v>126</v>
      </c>
      <c r="F1553" s="7" t="s">
        <v>107</v>
      </c>
      <c r="G1553" s="7" t="s">
        <v>18</v>
      </c>
      <c r="H1553" s="7" t="s">
        <v>45</v>
      </c>
      <c r="I1553" s="20" t="s">
        <v>1343</v>
      </c>
      <c r="J1553" s="20" t="s">
        <v>2453</v>
      </c>
      <c r="K1553" s="7" t="s">
        <v>119</v>
      </c>
      <c r="L1553" s="61">
        <v>45798</v>
      </c>
      <c r="M1553" s="7" t="s">
        <v>111</v>
      </c>
      <c r="N1553" s="24">
        <v>45800</v>
      </c>
      <c r="O1553" s="58">
        <v>45803</v>
      </c>
      <c r="P1553" s="59"/>
      <c r="Q1553" s="124" t="e">
        <f>P1553*#REF!</f>
        <v>#REF!</v>
      </c>
      <c r="R1553" s="126">
        <v>45804</v>
      </c>
      <c r="S1553" s="153">
        <f>IF(L1553="","",L1553-B1553)</f>
        <v>7</v>
      </c>
      <c r="T1553" s="153">
        <f>IF(N1553="","",N1553-L1553)</f>
        <v>2</v>
      </c>
      <c r="U1553" s="153">
        <f>IF(O1553="","",O1553-N1553)</f>
        <v>3</v>
      </c>
      <c r="V1553" s="154">
        <f>IF(O1553="","",O1553-B1553)</f>
        <v>12</v>
      </c>
      <c r="W1553" s="154">
        <f>IF(O1553="","",O1553-L1553)</f>
        <v>5</v>
      </c>
      <c r="X1553" s="154">
        <f>IF(R1553="","",R1553-B1553)</f>
        <v>13</v>
      </c>
    </row>
    <row r="1554" spans="2:24" ht="17.25" hidden="1" customHeight="1">
      <c r="B1554" s="23">
        <v>45791</v>
      </c>
      <c r="C1554" s="7">
        <v>2003685452</v>
      </c>
      <c r="D1554" s="20">
        <v>5942848</v>
      </c>
      <c r="E1554" s="27" t="s">
        <v>123</v>
      </c>
      <c r="F1554" s="7" t="s">
        <v>107</v>
      </c>
      <c r="G1554" s="7" t="s">
        <v>10</v>
      </c>
      <c r="H1554" s="7" t="s">
        <v>45</v>
      </c>
      <c r="I1554" s="20" t="s">
        <v>2454</v>
      </c>
      <c r="J1554" s="20" t="s">
        <v>2455</v>
      </c>
      <c r="K1554" s="7" t="s">
        <v>111</v>
      </c>
      <c r="L1554" s="61">
        <v>45793</v>
      </c>
      <c r="M1554" s="7" t="s">
        <v>111</v>
      </c>
      <c r="N1554" s="61">
        <v>45793</v>
      </c>
      <c r="O1554" s="58">
        <v>45797</v>
      </c>
      <c r="P1554" s="59"/>
      <c r="Q1554" s="124" t="e">
        <f>P1554*#REF!</f>
        <v>#REF!</v>
      </c>
      <c r="R1554" s="126">
        <v>45798</v>
      </c>
      <c r="S1554" s="153">
        <f>IF(L1554="","",L1554-B1554)</f>
        <v>2</v>
      </c>
      <c r="T1554" s="153">
        <f>IF(N1554="","",N1554-L1554)</f>
        <v>0</v>
      </c>
      <c r="U1554" s="153">
        <f>IF(O1554="","",O1554-N1554)</f>
        <v>4</v>
      </c>
      <c r="V1554" s="154">
        <f>IF(O1554="","",O1554-B1554)</f>
        <v>6</v>
      </c>
      <c r="W1554" s="154">
        <f>IF(O1554="","",O1554-L1554)</f>
        <v>4</v>
      </c>
      <c r="X1554" s="154">
        <f>IF(R1554="","",R1554-B1554)</f>
        <v>7</v>
      </c>
    </row>
    <row r="1555" spans="2:24" ht="17.25" hidden="1" customHeight="1">
      <c r="B1555" s="23">
        <v>45791</v>
      </c>
      <c r="C1555" s="7">
        <v>2003666762</v>
      </c>
      <c r="D1555" s="20">
        <v>5942994</v>
      </c>
      <c r="E1555" s="27" t="s">
        <v>198</v>
      </c>
      <c r="F1555" s="7" t="s">
        <v>107</v>
      </c>
      <c r="G1555" s="7" t="s">
        <v>10</v>
      </c>
      <c r="H1555" s="7" t="s">
        <v>45</v>
      </c>
      <c r="I1555" s="20" t="s">
        <v>2456</v>
      </c>
      <c r="J1555" s="20" t="s">
        <v>2457</v>
      </c>
      <c r="K1555" s="7" t="s">
        <v>110</v>
      </c>
      <c r="L1555" s="61">
        <v>45793</v>
      </c>
      <c r="M1555" s="7" t="s">
        <v>111</v>
      </c>
      <c r="N1555" s="61">
        <v>45793</v>
      </c>
      <c r="O1555" s="58">
        <v>45797</v>
      </c>
      <c r="P1555" s="59"/>
      <c r="Q1555" s="124" t="e">
        <f>P1555*#REF!</f>
        <v>#REF!</v>
      </c>
      <c r="R1555" s="126">
        <v>45798</v>
      </c>
      <c r="S1555" s="153">
        <f>IF(L1555="","",L1555-B1555)</f>
        <v>2</v>
      </c>
      <c r="T1555" s="153">
        <f>IF(N1555="","",N1555-L1555)</f>
        <v>0</v>
      </c>
      <c r="U1555" s="153">
        <f>IF(O1555="","",O1555-N1555)</f>
        <v>4</v>
      </c>
      <c r="V1555" s="154">
        <f>IF(O1555="","",O1555-B1555)</f>
        <v>6</v>
      </c>
      <c r="W1555" s="154">
        <f>IF(O1555="","",O1555-L1555)</f>
        <v>4</v>
      </c>
      <c r="X1555" s="154">
        <f>IF(R1555="","",R1555-B1555)</f>
        <v>7</v>
      </c>
    </row>
    <row r="1556" spans="2:24" ht="17.25" hidden="1" customHeight="1">
      <c r="B1556" s="23">
        <v>45791</v>
      </c>
      <c r="C1556" s="7">
        <v>2003686355</v>
      </c>
      <c r="D1556" s="20">
        <v>5942997</v>
      </c>
      <c r="E1556" s="27" t="s">
        <v>152</v>
      </c>
      <c r="F1556" s="7" t="s">
        <v>107</v>
      </c>
      <c r="G1556" s="7" t="s">
        <v>10</v>
      </c>
      <c r="H1556" s="7" t="s">
        <v>45</v>
      </c>
      <c r="I1556" s="20" t="s">
        <v>2062</v>
      </c>
      <c r="J1556" s="20" t="s">
        <v>2458</v>
      </c>
      <c r="K1556" s="7" t="s">
        <v>119</v>
      </c>
      <c r="L1556" s="61">
        <v>45793</v>
      </c>
      <c r="M1556" s="7" t="s">
        <v>111</v>
      </c>
      <c r="N1556" s="24">
        <v>45794</v>
      </c>
      <c r="O1556" s="24">
        <v>45794</v>
      </c>
      <c r="P1556" s="59"/>
      <c r="Q1556" s="124" t="e">
        <f>P1556*#REF!</f>
        <v>#REF!</v>
      </c>
      <c r="R1556" s="126">
        <v>45796</v>
      </c>
      <c r="S1556" s="153">
        <f>IF(L1556="","",L1556-B1556)</f>
        <v>2</v>
      </c>
      <c r="T1556" s="153">
        <f>IF(N1556="","",N1556-L1556)</f>
        <v>1</v>
      </c>
      <c r="U1556" s="153">
        <f>IF(O1556="","",O1556-N1556)</f>
        <v>0</v>
      </c>
      <c r="V1556" s="154">
        <f>IF(O1556="","",O1556-B1556)</f>
        <v>3</v>
      </c>
      <c r="W1556" s="154">
        <f>IF(O1556="","",O1556-L1556)</f>
        <v>1</v>
      </c>
      <c r="X1556" s="154">
        <f>IF(R1556="","",R1556-B1556)</f>
        <v>5</v>
      </c>
    </row>
    <row r="1557" spans="2:24" ht="17.25" hidden="1" customHeight="1">
      <c r="B1557" s="23">
        <v>45791</v>
      </c>
      <c r="C1557" s="7">
        <v>2003568849</v>
      </c>
      <c r="D1557" s="20">
        <v>5943011</v>
      </c>
      <c r="E1557" s="27" t="s">
        <v>138</v>
      </c>
      <c r="F1557" s="7" t="s">
        <v>107</v>
      </c>
      <c r="G1557" s="7" t="s">
        <v>21</v>
      </c>
      <c r="H1557" s="7" t="s">
        <v>45</v>
      </c>
      <c r="I1557" s="20" t="s">
        <v>2459</v>
      </c>
      <c r="J1557" s="20" t="s">
        <v>656</v>
      </c>
      <c r="K1557" s="7" t="s">
        <v>119</v>
      </c>
      <c r="L1557" s="61">
        <v>45792</v>
      </c>
      <c r="M1557" s="7" t="s">
        <v>111</v>
      </c>
      <c r="N1557" s="61">
        <v>45792</v>
      </c>
      <c r="O1557" s="61">
        <v>45792</v>
      </c>
      <c r="P1557" s="59"/>
      <c r="Q1557" s="124" t="e">
        <f>P1557*#REF!</f>
        <v>#REF!</v>
      </c>
      <c r="R1557" s="126">
        <v>45796</v>
      </c>
      <c r="S1557" s="153">
        <f>IF(L1557="","",L1557-B1557)</f>
        <v>1</v>
      </c>
      <c r="T1557" s="153">
        <f>IF(N1557="","",N1557-L1557)</f>
        <v>0</v>
      </c>
      <c r="U1557" s="153">
        <f>IF(O1557="","",O1557-N1557)</f>
        <v>0</v>
      </c>
      <c r="V1557" s="154">
        <f>IF(O1557="","",O1557-B1557)</f>
        <v>1</v>
      </c>
      <c r="W1557" s="154">
        <f>IF(O1557="","",O1557-L1557)</f>
        <v>0</v>
      </c>
      <c r="X1557" s="154">
        <f>IF(R1557="","",R1557-B1557)</f>
        <v>5</v>
      </c>
    </row>
    <row r="1558" spans="2:24" ht="17.25" hidden="1" customHeight="1">
      <c r="B1558" s="23">
        <v>45791</v>
      </c>
      <c r="C1558" s="7">
        <v>2003586127</v>
      </c>
      <c r="D1558" s="20">
        <v>5943024</v>
      </c>
      <c r="E1558" s="27" t="s">
        <v>152</v>
      </c>
      <c r="F1558" s="7" t="s">
        <v>107</v>
      </c>
      <c r="G1558" s="7" t="s">
        <v>18</v>
      </c>
      <c r="H1558" s="7" t="s">
        <v>45</v>
      </c>
      <c r="I1558" s="20" t="s">
        <v>2460</v>
      </c>
      <c r="J1558" s="20" t="s">
        <v>1301</v>
      </c>
      <c r="K1558" s="7" t="s">
        <v>110</v>
      </c>
      <c r="L1558" s="61">
        <v>45796</v>
      </c>
      <c r="M1558" s="7" t="s">
        <v>111</v>
      </c>
      <c r="N1558" s="61">
        <v>45796</v>
      </c>
      <c r="O1558" s="23">
        <v>45799</v>
      </c>
      <c r="P1558" s="59"/>
      <c r="Q1558" s="124" t="e">
        <f>P1558*#REF!</f>
        <v>#REF!</v>
      </c>
      <c r="R1558" s="126">
        <v>45800</v>
      </c>
      <c r="S1558" s="153">
        <f>IF(L1558="","",L1558-B1558)</f>
        <v>5</v>
      </c>
      <c r="T1558" s="153">
        <f>IF(N1558="","",N1558-L1558)</f>
        <v>0</v>
      </c>
      <c r="U1558" s="153">
        <f>IF(O1558="","",O1558-N1558)</f>
        <v>3</v>
      </c>
      <c r="V1558" s="154">
        <f>IF(O1558="","",O1558-B1558)</f>
        <v>8</v>
      </c>
      <c r="W1558" s="154">
        <f>IF(O1558="","",O1558-L1558)</f>
        <v>3</v>
      </c>
      <c r="X1558" s="154">
        <f>IF(R1558="","",R1558-B1558)</f>
        <v>9</v>
      </c>
    </row>
    <row r="1559" spans="2:24" ht="17.25" hidden="1" customHeight="1">
      <c r="B1559" s="23">
        <v>45791</v>
      </c>
      <c r="C1559" s="7">
        <v>2003665343</v>
      </c>
      <c r="D1559" s="20">
        <v>5943068</v>
      </c>
      <c r="E1559" s="27" t="s">
        <v>185</v>
      </c>
      <c r="F1559" s="7" t="s">
        <v>107</v>
      </c>
      <c r="G1559" s="7" t="s">
        <v>10</v>
      </c>
      <c r="H1559" s="7" t="s">
        <v>45</v>
      </c>
      <c r="I1559" s="20" t="s">
        <v>2461</v>
      </c>
      <c r="J1559" s="20" t="s">
        <v>2462</v>
      </c>
      <c r="K1559" s="7" t="s">
        <v>110</v>
      </c>
      <c r="L1559" s="61">
        <v>45797</v>
      </c>
      <c r="M1559" s="7" t="s">
        <v>111</v>
      </c>
      <c r="N1559" s="61">
        <v>45797</v>
      </c>
      <c r="O1559" s="130">
        <v>45797</v>
      </c>
      <c r="P1559" s="59"/>
      <c r="Q1559" s="124" t="e">
        <f>P1559*#REF!</f>
        <v>#REF!</v>
      </c>
      <c r="R1559" s="126">
        <v>45798</v>
      </c>
      <c r="S1559" s="153">
        <f>IF(L1559="","",L1559-B1559)</f>
        <v>6</v>
      </c>
      <c r="T1559" s="153">
        <f>IF(N1559="","",N1559-L1559)</f>
        <v>0</v>
      </c>
      <c r="U1559" s="153">
        <f>IF(O1559="","",O1559-N1559)</f>
        <v>0</v>
      </c>
      <c r="V1559" s="154">
        <f>IF(O1559="","",O1559-B1559)</f>
        <v>6</v>
      </c>
      <c r="W1559" s="154">
        <f>IF(O1559="","",O1559-L1559)</f>
        <v>0</v>
      </c>
      <c r="X1559" s="154">
        <f>IF(R1559="","",R1559-B1559)</f>
        <v>7</v>
      </c>
    </row>
    <row r="1560" spans="2:24" ht="17.25" hidden="1" customHeight="1">
      <c r="B1560" s="23">
        <v>45791</v>
      </c>
      <c r="C1560" s="7">
        <v>2003665124</v>
      </c>
      <c r="D1560" s="20">
        <v>5943073</v>
      </c>
      <c r="E1560" s="27" t="s">
        <v>201</v>
      </c>
      <c r="F1560" s="7" t="s">
        <v>107</v>
      </c>
      <c r="G1560" s="7" t="s">
        <v>10</v>
      </c>
      <c r="H1560" s="7" t="s">
        <v>45</v>
      </c>
      <c r="I1560" s="20" t="s">
        <v>1317</v>
      </c>
      <c r="J1560" s="20" t="s">
        <v>2463</v>
      </c>
      <c r="K1560" s="7" t="s">
        <v>110</v>
      </c>
      <c r="L1560" s="61">
        <v>45796</v>
      </c>
      <c r="M1560" s="7" t="s">
        <v>111</v>
      </c>
      <c r="N1560" s="61">
        <v>45796</v>
      </c>
      <c r="O1560" s="58">
        <v>45799</v>
      </c>
      <c r="P1560" s="59"/>
      <c r="Q1560" s="124" t="e">
        <f>P1560*#REF!</f>
        <v>#REF!</v>
      </c>
      <c r="R1560" s="126">
        <v>45800</v>
      </c>
      <c r="S1560" s="153">
        <f>IF(L1560="","",L1560-B1560)</f>
        <v>5</v>
      </c>
      <c r="T1560" s="153">
        <f>IF(N1560="","",N1560-L1560)</f>
        <v>0</v>
      </c>
      <c r="U1560" s="153">
        <f>IF(O1560="","",O1560-N1560)</f>
        <v>3</v>
      </c>
      <c r="V1560" s="154">
        <f>IF(O1560="","",O1560-B1560)</f>
        <v>8</v>
      </c>
      <c r="W1560" s="154">
        <f>IF(O1560="","",O1560-L1560)</f>
        <v>3</v>
      </c>
      <c r="X1560" s="154">
        <f>IF(R1560="","",R1560-B1560)</f>
        <v>9</v>
      </c>
    </row>
    <row r="1561" spans="2:24" ht="17.25" hidden="1" customHeight="1">
      <c r="B1561" s="23">
        <v>45791</v>
      </c>
      <c r="C1561" s="7">
        <v>2003674900</v>
      </c>
      <c r="D1561" s="20">
        <v>5943078</v>
      </c>
      <c r="E1561" s="27" t="s">
        <v>201</v>
      </c>
      <c r="F1561" s="7" t="s">
        <v>107</v>
      </c>
      <c r="G1561" s="7" t="s">
        <v>26</v>
      </c>
      <c r="H1561" s="7" t="s">
        <v>45</v>
      </c>
      <c r="I1561" s="20" t="s">
        <v>2464</v>
      </c>
      <c r="J1561" s="20" t="s">
        <v>2465</v>
      </c>
      <c r="K1561" s="7" t="s">
        <v>110</v>
      </c>
      <c r="L1561" s="61">
        <v>45797</v>
      </c>
      <c r="M1561" s="7" t="s">
        <v>111</v>
      </c>
      <c r="N1561" s="24">
        <v>45798</v>
      </c>
      <c r="O1561" s="58">
        <v>45798</v>
      </c>
      <c r="P1561" s="59"/>
      <c r="Q1561" s="124" t="e">
        <f>P1561*#REF!</f>
        <v>#REF!</v>
      </c>
      <c r="R1561" s="126">
        <v>45798</v>
      </c>
      <c r="S1561" s="153">
        <f>IF(L1561="","",L1561-B1561)</f>
        <v>6</v>
      </c>
      <c r="T1561" s="153">
        <f>IF(N1561="","",N1561-L1561)</f>
        <v>1</v>
      </c>
      <c r="U1561" s="153">
        <f>IF(O1561="","",O1561-N1561)</f>
        <v>0</v>
      </c>
      <c r="V1561" s="154">
        <f>IF(O1561="","",O1561-B1561)</f>
        <v>7</v>
      </c>
      <c r="W1561" s="154">
        <f>IF(O1561="","",O1561-L1561)</f>
        <v>1</v>
      </c>
      <c r="X1561" s="154">
        <f>IF(R1561="","",R1561-B1561)</f>
        <v>7</v>
      </c>
    </row>
    <row r="1562" spans="2:24" ht="17.25" hidden="1" customHeight="1">
      <c r="B1562" s="23">
        <v>45791</v>
      </c>
      <c r="C1562" s="7">
        <v>2003651816</v>
      </c>
      <c r="D1562" s="20">
        <v>5943083</v>
      </c>
      <c r="E1562" s="27" t="s">
        <v>191</v>
      </c>
      <c r="F1562" s="7" t="s">
        <v>107</v>
      </c>
      <c r="G1562" s="7" t="s">
        <v>18</v>
      </c>
      <c r="H1562" s="7" t="s">
        <v>45</v>
      </c>
      <c r="I1562" s="20" t="s">
        <v>322</v>
      </c>
      <c r="J1562" s="20" t="s">
        <v>2466</v>
      </c>
      <c r="K1562" s="7" t="s">
        <v>119</v>
      </c>
      <c r="L1562" s="61">
        <v>45799</v>
      </c>
      <c r="M1562" s="7" t="s">
        <v>111</v>
      </c>
      <c r="N1562" s="24">
        <v>45801</v>
      </c>
      <c r="O1562" s="58">
        <v>45803</v>
      </c>
      <c r="P1562" s="59"/>
      <c r="Q1562" s="124" t="e">
        <f>P1562*#REF!</f>
        <v>#REF!</v>
      </c>
      <c r="R1562" s="126">
        <v>45804</v>
      </c>
      <c r="S1562" s="153">
        <f>IF(L1562="","",L1562-B1562)</f>
        <v>8</v>
      </c>
      <c r="T1562" s="153">
        <f>IF(N1562="","",N1562-L1562)</f>
        <v>2</v>
      </c>
      <c r="U1562" s="153">
        <f>IF(O1562="","",O1562-N1562)</f>
        <v>2</v>
      </c>
      <c r="V1562" s="154">
        <f>IF(O1562="","",O1562-B1562)</f>
        <v>12</v>
      </c>
      <c r="W1562" s="154">
        <f>IF(O1562="","",O1562-L1562)</f>
        <v>4</v>
      </c>
      <c r="X1562" s="154">
        <f>IF(R1562="","",R1562-B1562)</f>
        <v>13</v>
      </c>
    </row>
    <row r="1563" spans="2:24" ht="17.25" hidden="1" customHeight="1">
      <c r="B1563" s="23">
        <v>45791</v>
      </c>
      <c r="C1563" s="7">
        <v>2003667499</v>
      </c>
      <c r="D1563" s="20">
        <v>5943101</v>
      </c>
      <c r="E1563" s="27" t="s">
        <v>1225</v>
      </c>
      <c r="F1563" s="7" t="s">
        <v>107</v>
      </c>
      <c r="G1563" s="7" t="s">
        <v>10</v>
      </c>
      <c r="H1563" s="7" t="s">
        <v>45</v>
      </c>
      <c r="I1563" s="20" t="s">
        <v>489</v>
      </c>
      <c r="J1563" s="20" t="s">
        <v>2467</v>
      </c>
      <c r="K1563" s="7" t="s">
        <v>119</v>
      </c>
      <c r="L1563" s="61">
        <v>45793</v>
      </c>
      <c r="M1563" s="7" t="s">
        <v>111</v>
      </c>
      <c r="N1563" s="24">
        <v>45794</v>
      </c>
      <c r="O1563" s="24">
        <v>45794</v>
      </c>
      <c r="P1563" s="59"/>
      <c r="Q1563" s="124" t="e">
        <f>P1563*#REF!</f>
        <v>#REF!</v>
      </c>
      <c r="R1563" s="126">
        <v>45796</v>
      </c>
      <c r="S1563" s="153">
        <f>IF(L1563="","",L1563-B1563)</f>
        <v>2</v>
      </c>
      <c r="T1563" s="153">
        <f>IF(N1563="","",N1563-L1563)</f>
        <v>1</v>
      </c>
      <c r="U1563" s="153">
        <f>IF(O1563="","",O1563-N1563)</f>
        <v>0</v>
      </c>
      <c r="V1563" s="154">
        <f>IF(O1563="","",O1563-B1563)</f>
        <v>3</v>
      </c>
      <c r="W1563" s="154">
        <f>IF(O1563="","",O1563-L1563)</f>
        <v>1</v>
      </c>
      <c r="X1563" s="154">
        <f>IF(R1563="","",R1563-B1563)</f>
        <v>5</v>
      </c>
    </row>
    <row r="1564" spans="2:24" ht="17.25" hidden="1" customHeight="1">
      <c r="B1564" s="23">
        <v>45796</v>
      </c>
      <c r="C1564" s="7">
        <v>2003660838</v>
      </c>
      <c r="D1564" s="20">
        <v>5945457</v>
      </c>
      <c r="E1564" s="27" t="s">
        <v>486</v>
      </c>
      <c r="F1564" s="7" t="s">
        <v>113</v>
      </c>
      <c r="G1564" s="7" t="s">
        <v>70</v>
      </c>
      <c r="H1564" s="7" t="s">
        <v>47</v>
      </c>
      <c r="I1564" s="20" t="s">
        <v>702</v>
      </c>
      <c r="J1564" s="20" t="s">
        <v>2468</v>
      </c>
      <c r="K1564" s="7" t="s">
        <v>160</v>
      </c>
      <c r="P1564" s="59"/>
      <c r="Q1564" s="124" t="e">
        <f>P1564*#REF!</f>
        <v>#REF!</v>
      </c>
      <c r="R1564" s="126">
        <v>45805</v>
      </c>
      <c r="S1564" s="153" t="str">
        <f>IF(L1564="","",L1564-B1564)</f>
        <v/>
      </c>
      <c r="T1564" s="153" t="str">
        <f>IF(N1564="","",N1564-L1564)</f>
        <v/>
      </c>
      <c r="U1564" s="153" t="str">
        <f>IF(O1564="","",O1564-N1564)</f>
        <v/>
      </c>
      <c r="V1564" s="154" t="str">
        <f>IF(O1564="","",O1564-B1564)</f>
        <v/>
      </c>
      <c r="W1564" s="154" t="str">
        <f>IF(O1564="","",O1564-L1564)</f>
        <v/>
      </c>
      <c r="X1564" s="154">
        <f>IF(R1564="","",R1564-B1564)</f>
        <v>9</v>
      </c>
    </row>
    <row r="1565" spans="2:24" ht="17.25" hidden="1" customHeight="1">
      <c r="B1565" s="23">
        <v>45791</v>
      </c>
      <c r="C1565" s="7">
        <v>2003688119</v>
      </c>
      <c r="D1565" s="20">
        <v>5943104</v>
      </c>
      <c r="E1565" s="27" t="s">
        <v>1225</v>
      </c>
      <c r="F1565" s="7" t="s">
        <v>107</v>
      </c>
      <c r="G1565" s="7" t="s">
        <v>10</v>
      </c>
      <c r="H1565" s="7" t="s">
        <v>45</v>
      </c>
      <c r="I1565" s="20" t="s">
        <v>2469</v>
      </c>
      <c r="J1565" s="20" t="s">
        <v>2470</v>
      </c>
      <c r="K1565" s="7" t="s">
        <v>111</v>
      </c>
      <c r="L1565" s="61">
        <v>45796</v>
      </c>
      <c r="M1565" s="7" t="s">
        <v>111</v>
      </c>
      <c r="N1565" s="24">
        <v>45798</v>
      </c>
      <c r="O1565" s="58">
        <v>45798</v>
      </c>
      <c r="P1565" s="59"/>
      <c r="Q1565" s="124" t="e">
        <f>P1565*#REF!</f>
        <v>#REF!</v>
      </c>
      <c r="R1565" s="126">
        <v>45798</v>
      </c>
      <c r="S1565" s="153">
        <f>IF(L1565="","",L1565-B1565)</f>
        <v>5</v>
      </c>
      <c r="T1565" s="153">
        <f>IF(N1565="","",N1565-L1565)</f>
        <v>2</v>
      </c>
      <c r="U1565" s="153">
        <f>IF(O1565="","",O1565-N1565)</f>
        <v>0</v>
      </c>
      <c r="V1565" s="154">
        <f>IF(O1565="","",O1565-B1565)</f>
        <v>7</v>
      </c>
      <c r="W1565" s="154">
        <f>IF(O1565="","",O1565-L1565)</f>
        <v>2</v>
      </c>
      <c r="X1565" s="154">
        <f>IF(R1565="","",R1565-B1565)</f>
        <v>7</v>
      </c>
    </row>
    <row r="1566" spans="2:24" ht="17.25" hidden="1" customHeight="1">
      <c r="B1566" s="23">
        <v>45796</v>
      </c>
      <c r="C1566" s="7">
        <v>2003689664</v>
      </c>
      <c r="D1566" s="20">
        <v>5945566</v>
      </c>
      <c r="E1566" s="27" t="s">
        <v>143</v>
      </c>
      <c r="F1566" s="7" t="s">
        <v>107</v>
      </c>
      <c r="G1566" s="7" t="s">
        <v>10</v>
      </c>
      <c r="H1566" s="7" t="s">
        <v>45</v>
      </c>
      <c r="I1566" s="20" t="s">
        <v>1113</v>
      </c>
      <c r="J1566" s="20" t="s">
        <v>2471</v>
      </c>
      <c r="K1566" s="7" t="s">
        <v>119</v>
      </c>
      <c r="L1566" s="61">
        <v>45810</v>
      </c>
      <c r="M1566" s="7" t="s">
        <v>111</v>
      </c>
      <c r="N1566" s="61">
        <v>45811</v>
      </c>
      <c r="O1566" s="61">
        <v>45811</v>
      </c>
      <c r="P1566" s="59"/>
      <c r="Q1566" s="124" t="e">
        <f>P1566*#REF!</f>
        <v>#REF!</v>
      </c>
      <c r="R1566" s="126">
        <v>45812</v>
      </c>
      <c r="S1566" s="153">
        <f>IF(L1566="","",L1566-B1566)</f>
        <v>14</v>
      </c>
      <c r="T1566" s="153">
        <f>IF(N1566="","",N1566-L1566)</f>
        <v>1</v>
      </c>
      <c r="U1566" s="153">
        <f>IF(O1566="","",O1566-N1566)</f>
        <v>0</v>
      </c>
      <c r="V1566" s="154">
        <f>IF(O1566="","",O1566-B1566)</f>
        <v>15</v>
      </c>
      <c r="W1566" s="154">
        <f>IF(O1566="","",O1566-L1566)</f>
        <v>1</v>
      </c>
      <c r="X1566" s="154">
        <f>IF(R1566="","",R1566-B1566)</f>
        <v>16</v>
      </c>
    </row>
    <row r="1567" spans="2:24" ht="17.25" hidden="1" customHeight="1">
      <c r="B1567" s="23">
        <v>45796</v>
      </c>
      <c r="C1567" s="7">
        <v>2003629132</v>
      </c>
      <c r="D1567" s="20">
        <v>5945657</v>
      </c>
      <c r="E1567" s="27" t="s">
        <v>2472</v>
      </c>
      <c r="F1567" s="7" t="s">
        <v>107</v>
      </c>
      <c r="G1567" s="7" t="s">
        <v>21</v>
      </c>
      <c r="H1567" s="7" t="s">
        <v>45</v>
      </c>
      <c r="I1567" s="20" t="s">
        <v>1017</v>
      </c>
      <c r="J1567" s="20" t="s">
        <v>1018</v>
      </c>
      <c r="K1567" s="7" t="s">
        <v>111</v>
      </c>
      <c r="L1567" s="61">
        <v>45797</v>
      </c>
      <c r="M1567" s="7" t="s">
        <v>111</v>
      </c>
      <c r="N1567" s="61">
        <v>45797</v>
      </c>
      <c r="O1567" s="58">
        <v>45799</v>
      </c>
      <c r="P1567" s="59"/>
      <c r="Q1567" s="124" t="e">
        <f>P1567*#REF!</f>
        <v>#REF!</v>
      </c>
      <c r="R1567" s="126">
        <v>45802</v>
      </c>
      <c r="S1567" s="153">
        <f>IF(L1567="","",L1567-B1567)</f>
        <v>1</v>
      </c>
      <c r="T1567" s="153">
        <f>IF(N1567="","",N1567-L1567)</f>
        <v>0</v>
      </c>
      <c r="U1567" s="153">
        <f>IF(O1567="","",O1567-N1567)</f>
        <v>2</v>
      </c>
      <c r="V1567" s="154">
        <f>IF(O1567="","",O1567-B1567)</f>
        <v>3</v>
      </c>
      <c r="W1567" s="154">
        <f>IF(O1567="","",O1567-L1567)</f>
        <v>2</v>
      </c>
      <c r="X1567" s="154">
        <f>IF(R1567="","",R1567-B1567)</f>
        <v>6</v>
      </c>
    </row>
    <row r="1568" spans="2:24" ht="17.25" hidden="1" customHeight="1">
      <c r="B1568" s="23">
        <v>45792</v>
      </c>
      <c r="C1568" s="7">
        <v>2003623202</v>
      </c>
      <c r="D1568" s="20">
        <v>5943232</v>
      </c>
      <c r="E1568" s="27" t="s">
        <v>116</v>
      </c>
      <c r="F1568" s="7" t="s">
        <v>107</v>
      </c>
      <c r="G1568" s="7" t="s">
        <v>166</v>
      </c>
      <c r="H1568" s="7" t="s">
        <v>45</v>
      </c>
      <c r="I1568" s="20" t="s">
        <v>874</v>
      </c>
      <c r="J1568" s="20" t="s">
        <v>875</v>
      </c>
      <c r="K1568" s="7" t="s">
        <v>119</v>
      </c>
      <c r="L1568" s="61">
        <v>45796</v>
      </c>
      <c r="M1568" s="7" t="s">
        <v>111</v>
      </c>
      <c r="N1568" s="24">
        <v>45800</v>
      </c>
      <c r="O1568" s="58">
        <v>45800</v>
      </c>
      <c r="P1568" s="59"/>
      <c r="Q1568" s="124" t="e">
        <f>P1568*#REF!</f>
        <v>#REF!</v>
      </c>
      <c r="R1568" s="126">
        <v>45800</v>
      </c>
      <c r="S1568" s="153">
        <f>IF(L1568="","",L1568-B1568)</f>
        <v>4</v>
      </c>
      <c r="T1568" s="153">
        <f>IF(N1568="","",N1568-L1568)</f>
        <v>4</v>
      </c>
      <c r="U1568" s="153">
        <f>IF(O1568="","",O1568-N1568)</f>
        <v>0</v>
      </c>
      <c r="V1568" s="154">
        <f>IF(O1568="","",O1568-B1568)</f>
        <v>8</v>
      </c>
      <c r="W1568" s="154">
        <f>IF(O1568="","",O1568-L1568)</f>
        <v>4</v>
      </c>
      <c r="X1568" s="154">
        <f>IF(R1568="","",R1568-B1568)</f>
        <v>8</v>
      </c>
    </row>
    <row r="1569" spans="2:24" ht="17.25" hidden="1" customHeight="1">
      <c r="B1569" s="23">
        <v>45796</v>
      </c>
      <c r="C1569" s="7">
        <v>2003669120</v>
      </c>
      <c r="D1569" s="20">
        <v>5945690</v>
      </c>
      <c r="E1569" s="27" t="s">
        <v>1225</v>
      </c>
      <c r="F1569" s="7" t="s">
        <v>113</v>
      </c>
      <c r="G1569" s="7" t="s">
        <v>70</v>
      </c>
      <c r="H1569" s="7" t="s">
        <v>47</v>
      </c>
      <c r="I1569" s="20" t="s">
        <v>2473</v>
      </c>
      <c r="J1569" s="20" t="s">
        <v>2474</v>
      </c>
      <c r="K1569" s="7" t="s">
        <v>160</v>
      </c>
      <c r="P1569" s="59"/>
      <c r="Q1569" s="124" t="e">
        <f>P1569*#REF!</f>
        <v>#REF!</v>
      </c>
      <c r="R1569" s="126">
        <v>45817</v>
      </c>
      <c r="S1569" s="153" t="str">
        <f>IF(L1569="","",L1569-B1569)</f>
        <v/>
      </c>
      <c r="T1569" s="153" t="str">
        <f>IF(N1569="","",N1569-L1569)</f>
        <v/>
      </c>
      <c r="U1569" s="153" t="str">
        <f>IF(O1569="","",O1569-N1569)</f>
        <v/>
      </c>
      <c r="V1569" s="154" t="str">
        <f>IF(O1569="","",O1569-B1569)</f>
        <v/>
      </c>
      <c r="W1569" s="154" t="str">
        <f>IF(O1569="","",O1569-L1569)</f>
        <v/>
      </c>
      <c r="X1569" s="154">
        <f>IF(R1569="","",R1569-B1569)</f>
        <v>21</v>
      </c>
    </row>
    <row r="1570" spans="2:24" ht="17.25" hidden="1" customHeight="1">
      <c r="B1570" s="23">
        <v>45792</v>
      </c>
      <c r="C1570" s="7">
        <v>2003666765</v>
      </c>
      <c r="D1570" s="20">
        <v>5943400</v>
      </c>
      <c r="E1570" s="27" t="s">
        <v>230</v>
      </c>
      <c r="F1570" s="7" t="s">
        <v>107</v>
      </c>
      <c r="G1570" s="7" t="s">
        <v>10</v>
      </c>
      <c r="H1570" s="7" t="s">
        <v>45</v>
      </c>
      <c r="I1570" s="20" t="s">
        <v>316</v>
      </c>
      <c r="J1570" s="20" t="s">
        <v>2368</v>
      </c>
      <c r="K1570" s="7" t="s">
        <v>110</v>
      </c>
      <c r="L1570" s="61">
        <v>45796</v>
      </c>
      <c r="M1570" s="7" t="s">
        <v>111</v>
      </c>
      <c r="N1570" s="61">
        <v>45796</v>
      </c>
      <c r="O1570" s="130">
        <v>45796</v>
      </c>
      <c r="P1570" s="59"/>
      <c r="Q1570" s="124" t="e">
        <f>P1570*#REF!</f>
        <v>#REF!</v>
      </c>
      <c r="R1570" s="126">
        <v>45798</v>
      </c>
      <c r="S1570" s="153">
        <f>IF(L1570="","",L1570-B1570)</f>
        <v>4</v>
      </c>
      <c r="T1570" s="153">
        <f>IF(N1570="","",N1570-L1570)</f>
        <v>0</v>
      </c>
      <c r="U1570" s="153">
        <f>IF(O1570="","",O1570-N1570)</f>
        <v>0</v>
      </c>
      <c r="V1570" s="154">
        <f>IF(O1570="","",O1570-B1570)</f>
        <v>4</v>
      </c>
      <c r="W1570" s="154">
        <f>IF(O1570="","",O1570-L1570)</f>
        <v>0</v>
      </c>
      <c r="X1570" s="154">
        <f>IF(R1570="","",R1570-B1570)</f>
        <v>6</v>
      </c>
    </row>
    <row r="1571" spans="2:24" ht="17.25" hidden="1" customHeight="1">
      <c r="B1571" s="23">
        <v>45792</v>
      </c>
      <c r="C1571" s="7">
        <v>2003687021</v>
      </c>
      <c r="D1571" s="20">
        <v>5943410</v>
      </c>
      <c r="E1571" s="27" t="s">
        <v>230</v>
      </c>
      <c r="F1571" s="7" t="s">
        <v>107</v>
      </c>
      <c r="G1571" s="7" t="s">
        <v>18</v>
      </c>
      <c r="H1571" s="7" t="s">
        <v>45</v>
      </c>
      <c r="I1571" s="20" t="s">
        <v>2475</v>
      </c>
      <c r="J1571" s="20" t="s">
        <v>2476</v>
      </c>
      <c r="K1571" s="7" t="s">
        <v>119</v>
      </c>
      <c r="L1571" s="61">
        <v>45796</v>
      </c>
      <c r="M1571" s="7" t="s">
        <v>111</v>
      </c>
      <c r="N1571" s="61">
        <v>45797</v>
      </c>
      <c r="O1571" s="58">
        <v>45799</v>
      </c>
      <c r="P1571" s="59"/>
      <c r="Q1571" s="124" t="e">
        <f>P1571*#REF!</f>
        <v>#REF!</v>
      </c>
      <c r="R1571" s="126">
        <v>45800</v>
      </c>
      <c r="S1571" s="153">
        <f>IF(L1571="","",L1571-B1571)</f>
        <v>4</v>
      </c>
      <c r="T1571" s="153">
        <f>IF(N1571="","",N1571-L1571)</f>
        <v>1</v>
      </c>
      <c r="U1571" s="153">
        <f>IF(O1571="","",O1571-N1571)</f>
        <v>2</v>
      </c>
      <c r="V1571" s="154">
        <f>IF(O1571="","",O1571-B1571)</f>
        <v>7</v>
      </c>
      <c r="W1571" s="154">
        <f>IF(O1571="","",O1571-L1571)</f>
        <v>3</v>
      </c>
      <c r="X1571" s="154">
        <f>IF(R1571="","",R1571-B1571)</f>
        <v>8</v>
      </c>
    </row>
    <row r="1572" spans="2:24" ht="17.25" hidden="1" customHeight="1">
      <c r="B1572" s="23">
        <v>45792</v>
      </c>
      <c r="C1572" s="7">
        <v>2003686571</v>
      </c>
      <c r="D1572" s="20">
        <v>5943432</v>
      </c>
      <c r="E1572" s="27" t="s">
        <v>230</v>
      </c>
      <c r="F1572" s="7" t="s">
        <v>107</v>
      </c>
      <c r="G1572" s="7" t="s">
        <v>10</v>
      </c>
      <c r="H1572" s="7" t="s">
        <v>45</v>
      </c>
      <c r="I1572" s="20" t="s">
        <v>2477</v>
      </c>
      <c r="J1572" s="20" t="s">
        <v>2478</v>
      </c>
      <c r="K1572" s="7" t="s">
        <v>110</v>
      </c>
      <c r="L1572" s="61">
        <v>45798</v>
      </c>
      <c r="M1572" s="7" t="s">
        <v>111</v>
      </c>
      <c r="N1572" s="24">
        <v>45798</v>
      </c>
      <c r="O1572" s="23">
        <v>45799</v>
      </c>
      <c r="P1572" s="59"/>
      <c r="Q1572" s="124" t="e">
        <f>P1572*#REF!</f>
        <v>#REF!</v>
      </c>
      <c r="R1572" s="126">
        <v>45798</v>
      </c>
      <c r="S1572" s="153">
        <f>IF(L1572="","",L1572-B1572)</f>
        <v>6</v>
      </c>
      <c r="T1572" s="153">
        <f>IF(N1572="","",N1572-L1572)</f>
        <v>0</v>
      </c>
      <c r="U1572" s="153">
        <f>IF(O1572="","",O1572-N1572)</f>
        <v>1</v>
      </c>
      <c r="V1572" s="154">
        <f>IF(O1572="","",O1572-B1572)</f>
        <v>7</v>
      </c>
      <c r="W1572" s="154">
        <f>IF(O1572="","",O1572-L1572)</f>
        <v>1</v>
      </c>
      <c r="X1572" s="154">
        <f>IF(R1572="","",R1572-B1572)</f>
        <v>6</v>
      </c>
    </row>
    <row r="1573" spans="2:24" ht="17.25" hidden="1" customHeight="1">
      <c r="B1573" s="23">
        <v>45792</v>
      </c>
      <c r="C1573" s="7">
        <v>2003679661</v>
      </c>
      <c r="D1573" s="20">
        <v>5943445</v>
      </c>
      <c r="E1573" s="27" t="s">
        <v>622</v>
      </c>
      <c r="F1573" s="7" t="s">
        <v>107</v>
      </c>
      <c r="G1573" s="7" t="s">
        <v>18</v>
      </c>
      <c r="H1573" s="7" t="s">
        <v>45</v>
      </c>
      <c r="I1573" s="20" t="s">
        <v>1670</v>
      </c>
      <c r="J1573" s="20" t="s">
        <v>2479</v>
      </c>
      <c r="K1573" s="7" t="s">
        <v>110</v>
      </c>
      <c r="L1573" s="61">
        <v>45793</v>
      </c>
      <c r="M1573" s="7" t="s">
        <v>111</v>
      </c>
      <c r="N1573" s="61">
        <v>45793</v>
      </c>
      <c r="O1573" s="23">
        <v>45803</v>
      </c>
      <c r="P1573" s="59"/>
      <c r="Q1573" s="124" t="e">
        <f>P1573*#REF!</f>
        <v>#REF!</v>
      </c>
      <c r="R1573" s="126">
        <v>45804</v>
      </c>
      <c r="S1573" s="153">
        <f>IF(L1573="","",L1573-B1573)</f>
        <v>1</v>
      </c>
      <c r="T1573" s="153">
        <f>IF(N1573="","",N1573-L1573)</f>
        <v>0</v>
      </c>
      <c r="U1573" s="153">
        <f>IF(O1573="","",O1573-N1573)</f>
        <v>10</v>
      </c>
      <c r="V1573" s="154">
        <f>IF(O1573="","",O1573-B1573)</f>
        <v>11</v>
      </c>
      <c r="W1573" s="154">
        <f>IF(O1573="","",O1573-L1573)</f>
        <v>10</v>
      </c>
      <c r="X1573" s="154">
        <f>IF(R1573="","",R1573-B1573)</f>
        <v>12</v>
      </c>
    </row>
    <row r="1574" spans="2:24" ht="17.25" hidden="1" customHeight="1">
      <c r="B1574" s="23">
        <v>45792</v>
      </c>
      <c r="C1574" s="7">
        <v>2003666366</v>
      </c>
      <c r="D1574" s="20">
        <v>5943686</v>
      </c>
      <c r="E1574" s="27" t="s">
        <v>1225</v>
      </c>
      <c r="F1574" s="7" t="s">
        <v>107</v>
      </c>
      <c r="G1574" s="7" t="s">
        <v>10</v>
      </c>
      <c r="H1574" s="7" t="s">
        <v>45</v>
      </c>
      <c r="I1574" s="20" t="s">
        <v>1127</v>
      </c>
      <c r="J1574" s="20" t="s">
        <v>2480</v>
      </c>
      <c r="K1574" s="7" t="s">
        <v>119</v>
      </c>
      <c r="L1574" s="61">
        <v>45796</v>
      </c>
      <c r="M1574" s="7" t="s">
        <v>111</v>
      </c>
      <c r="N1574" s="61">
        <v>45796</v>
      </c>
      <c r="O1574" s="130">
        <v>45796</v>
      </c>
      <c r="P1574" s="59"/>
      <c r="Q1574" s="124" t="e">
        <f>P1574*#REF!</f>
        <v>#REF!</v>
      </c>
      <c r="R1574" s="126">
        <v>45798</v>
      </c>
      <c r="S1574" s="153">
        <f>IF(L1574="","",L1574-B1574)</f>
        <v>4</v>
      </c>
      <c r="T1574" s="153">
        <f>IF(N1574="","",N1574-L1574)</f>
        <v>0</v>
      </c>
      <c r="U1574" s="153">
        <f>IF(O1574="","",O1574-N1574)</f>
        <v>0</v>
      </c>
      <c r="V1574" s="154">
        <f>IF(O1574="","",O1574-B1574)</f>
        <v>4</v>
      </c>
      <c r="W1574" s="154">
        <f>IF(O1574="","",O1574-L1574)</f>
        <v>0</v>
      </c>
      <c r="X1574" s="154">
        <f>IF(R1574="","",R1574-B1574)</f>
        <v>6</v>
      </c>
    </row>
    <row r="1575" spans="2:24" ht="17.25" hidden="1" customHeight="1">
      <c r="B1575" s="23">
        <v>45792</v>
      </c>
      <c r="C1575" s="7">
        <v>2003685801</v>
      </c>
      <c r="D1575" s="20">
        <v>5943730</v>
      </c>
      <c r="E1575" s="27" t="s">
        <v>177</v>
      </c>
      <c r="F1575" s="7" t="s">
        <v>107</v>
      </c>
      <c r="G1575" s="7" t="s">
        <v>18</v>
      </c>
      <c r="H1575" s="7" t="s">
        <v>45</v>
      </c>
      <c r="I1575" s="20" t="s">
        <v>2481</v>
      </c>
      <c r="J1575" s="20" t="s">
        <v>2482</v>
      </c>
      <c r="K1575" s="7" t="s">
        <v>111</v>
      </c>
      <c r="L1575" s="61">
        <v>45793</v>
      </c>
      <c r="M1575" s="7" t="s">
        <v>111</v>
      </c>
      <c r="N1575" s="61">
        <v>45793</v>
      </c>
      <c r="O1575" s="23">
        <v>45797</v>
      </c>
      <c r="P1575" s="59"/>
      <c r="Q1575" s="124" t="e">
        <f>P1575*#REF!</f>
        <v>#REF!</v>
      </c>
      <c r="R1575" s="126">
        <v>45798</v>
      </c>
      <c r="S1575" s="153">
        <f>IF(L1575="","",L1575-B1575)</f>
        <v>1</v>
      </c>
      <c r="T1575" s="153">
        <f>IF(N1575="","",N1575-L1575)</f>
        <v>0</v>
      </c>
      <c r="U1575" s="153">
        <f>IF(O1575="","",O1575-N1575)</f>
        <v>4</v>
      </c>
      <c r="V1575" s="154">
        <f>IF(O1575="","",O1575-B1575)</f>
        <v>5</v>
      </c>
      <c r="W1575" s="154">
        <f>IF(O1575="","",O1575-L1575)</f>
        <v>4</v>
      </c>
      <c r="X1575" s="154">
        <f>IF(R1575="","",R1575-B1575)</f>
        <v>6</v>
      </c>
    </row>
    <row r="1576" spans="2:24" ht="17.25" hidden="1" customHeight="1">
      <c r="B1576" s="23">
        <v>45792</v>
      </c>
      <c r="C1576" s="7">
        <v>2003665528</v>
      </c>
      <c r="D1576" s="20">
        <v>5943796</v>
      </c>
      <c r="E1576" s="27" t="s">
        <v>106</v>
      </c>
      <c r="F1576" s="7" t="s">
        <v>107</v>
      </c>
      <c r="G1576" s="7" t="s">
        <v>10</v>
      </c>
      <c r="H1576" s="7" t="s">
        <v>45</v>
      </c>
      <c r="I1576" s="20" t="s">
        <v>943</v>
      </c>
      <c r="J1576" s="20" t="s">
        <v>944</v>
      </c>
      <c r="K1576" s="7" t="s">
        <v>119</v>
      </c>
      <c r="L1576" s="61">
        <v>45796</v>
      </c>
      <c r="M1576" s="7" t="s">
        <v>111</v>
      </c>
      <c r="N1576" s="61">
        <v>45797</v>
      </c>
      <c r="O1576" s="130">
        <v>45797</v>
      </c>
      <c r="P1576" s="59"/>
      <c r="Q1576" s="124" t="e">
        <f>P1576*#REF!</f>
        <v>#REF!</v>
      </c>
      <c r="R1576" s="126">
        <v>45798</v>
      </c>
      <c r="S1576" s="153">
        <f>IF(L1576="","",L1576-B1576)</f>
        <v>4</v>
      </c>
      <c r="T1576" s="153">
        <f>IF(N1576="","",N1576-L1576)</f>
        <v>1</v>
      </c>
      <c r="U1576" s="153">
        <f>IF(O1576="","",O1576-N1576)</f>
        <v>0</v>
      </c>
      <c r="V1576" s="154">
        <f>IF(O1576="","",O1576-B1576)</f>
        <v>5</v>
      </c>
      <c r="W1576" s="154">
        <f>IF(O1576="","",O1576-L1576)</f>
        <v>1</v>
      </c>
      <c r="X1576" s="154">
        <f>IF(R1576="","",R1576-B1576)</f>
        <v>6</v>
      </c>
    </row>
    <row r="1577" spans="2:24" ht="17.25" hidden="1" customHeight="1">
      <c r="B1577" s="23">
        <v>45796</v>
      </c>
      <c r="C1577" s="7">
        <v>2003684003</v>
      </c>
      <c r="D1577" s="20">
        <v>5946343</v>
      </c>
      <c r="E1577" s="27" t="s">
        <v>149</v>
      </c>
      <c r="F1577" s="7" t="s">
        <v>107</v>
      </c>
      <c r="G1577" s="7" t="s">
        <v>10</v>
      </c>
      <c r="H1577" s="7" t="s">
        <v>45</v>
      </c>
      <c r="I1577" s="20" t="s">
        <v>550</v>
      </c>
      <c r="J1577" s="20" t="s">
        <v>2483</v>
      </c>
      <c r="K1577" s="7" t="s">
        <v>119</v>
      </c>
      <c r="L1577" s="61">
        <v>45798</v>
      </c>
      <c r="M1577" s="7" t="s">
        <v>111</v>
      </c>
      <c r="N1577" s="24">
        <v>45807</v>
      </c>
      <c r="O1577" s="61">
        <v>45810</v>
      </c>
      <c r="P1577" s="59"/>
      <c r="Q1577" s="124" t="e">
        <f>P1577*#REF!</f>
        <v>#REF!</v>
      </c>
      <c r="R1577" s="126">
        <v>45812</v>
      </c>
      <c r="S1577" s="153">
        <f>IF(L1577="","",L1577-B1577)</f>
        <v>2</v>
      </c>
      <c r="T1577" s="153">
        <f>IF(N1577="","",N1577-L1577)</f>
        <v>9</v>
      </c>
      <c r="U1577" s="153">
        <f>IF(O1577="","",O1577-N1577)</f>
        <v>3</v>
      </c>
      <c r="V1577" s="154">
        <f>IF(O1577="","",O1577-B1577)</f>
        <v>14</v>
      </c>
      <c r="W1577" s="154">
        <f>IF(O1577="","",O1577-L1577)</f>
        <v>12</v>
      </c>
      <c r="X1577" s="154">
        <f>IF(R1577="","",R1577-B1577)</f>
        <v>16</v>
      </c>
    </row>
    <row r="1578" spans="2:24" ht="17.25" hidden="1" customHeight="1">
      <c r="B1578" s="23">
        <v>45792</v>
      </c>
      <c r="C1578" s="7">
        <v>2003666301</v>
      </c>
      <c r="D1578" s="20">
        <v>5943935</v>
      </c>
      <c r="E1578" s="27" t="s">
        <v>201</v>
      </c>
      <c r="F1578" s="7" t="s">
        <v>107</v>
      </c>
      <c r="G1578" s="7" t="s">
        <v>10</v>
      </c>
      <c r="H1578" s="7" t="s">
        <v>45</v>
      </c>
      <c r="I1578" s="20" t="s">
        <v>2484</v>
      </c>
      <c r="J1578" s="20" t="s">
        <v>2485</v>
      </c>
      <c r="K1578" s="7" t="s">
        <v>110</v>
      </c>
      <c r="L1578" s="61">
        <v>45796</v>
      </c>
      <c r="M1578" s="7" t="s">
        <v>111</v>
      </c>
      <c r="N1578" s="24">
        <v>45797</v>
      </c>
      <c r="O1578" s="106">
        <v>45797</v>
      </c>
      <c r="P1578" s="59"/>
      <c r="Q1578" s="124" t="e">
        <f>P1578*#REF!</f>
        <v>#REF!</v>
      </c>
      <c r="R1578" s="126">
        <v>45798</v>
      </c>
      <c r="S1578" s="153">
        <f>IF(L1578="","",L1578-B1578)</f>
        <v>4</v>
      </c>
      <c r="T1578" s="153">
        <f>IF(N1578="","",N1578-L1578)</f>
        <v>1</v>
      </c>
      <c r="U1578" s="153">
        <f>IF(O1578="","",O1578-N1578)</f>
        <v>0</v>
      </c>
      <c r="V1578" s="154">
        <f>IF(O1578="","",O1578-B1578)</f>
        <v>5</v>
      </c>
      <c r="W1578" s="154">
        <f>IF(O1578="","",O1578-L1578)</f>
        <v>1</v>
      </c>
      <c r="X1578" s="154">
        <f>IF(R1578="","",R1578-B1578)</f>
        <v>6</v>
      </c>
    </row>
    <row r="1579" spans="2:24" ht="17.25" hidden="1" customHeight="1">
      <c r="B1579" s="23">
        <v>45792</v>
      </c>
      <c r="C1579" s="7">
        <v>2003669057</v>
      </c>
      <c r="D1579" s="20">
        <v>5943947</v>
      </c>
      <c r="E1579" s="27" t="s">
        <v>201</v>
      </c>
      <c r="F1579" s="7" t="s">
        <v>107</v>
      </c>
      <c r="G1579" s="7" t="s">
        <v>10</v>
      </c>
      <c r="H1579" s="7" t="s">
        <v>45</v>
      </c>
      <c r="I1579" s="20" t="s">
        <v>2486</v>
      </c>
      <c r="J1579" s="20" t="s">
        <v>2487</v>
      </c>
      <c r="K1579" s="7" t="s">
        <v>110</v>
      </c>
      <c r="L1579" s="61">
        <v>45798</v>
      </c>
      <c r="M1579" s="7" t="s">
        <v>111</v>
      </c>
      <c r="N1579" s="61">
        <v>45798</v>
      </c>
      <c r="O1579" s="61">
        <v>45798</v>
      </c>
      <c r="P1579" s="59"/>
      <c r="Q1579" s="124" t="e">
        <f>P1579*#REF!</f>
        <v>#REF!</v>
      </c>
      <c r="R1579" s="126">
        <v>45798</v>
      </c>
      <c r="S1579" s="153">
        <f>IF(L1579="","",L1579-B1579)</f>
        <v>6</v>
      </c>
      <c r="T1579" s="153">
        <f>IF(N1579="","",N1579-L1579)</f>
        <v>0</v>
      </c>
      <c r="U1579" s="153">
        <f>IF(O1579="","",O1579-N1579)</f>
        <v>0</v>
      </c>
      <c r="V1579" s="154">
        <f>IF(O1579="","",O1579-B1579)</f>
        <v>6</v>
      </c>
      <c r="W1579" s="154">
        <f>IF(O1579="","",O1579-L1579)</f>
        <v>0</v>
      </c>
      <c r="X1579" s="154">
        <f>IF(R1579="","",R1579-B1579)</f>
        <v>6</v>
      </c>
    </row>
    <row r="1580" spans="2:24" ht="17.25" hidden="1" customHeight="1">
      <c r="B1580" s="23">
        <v>45792</v>
      </c>
      <c r="C1580" s="7">
        <v>2003674670</v>
      </c>
      <c r="D1580" s="20">
        <v>5943952</v>
      </c>
      <c r="E1580" s="27" t="s">
        <v>201</v>
      </c>
      <c r="F1580" s="7" t="s">
        <v>107</v>
      </c>
      <c r="G1580" s="7" t="s">
        <v>10</v>
      </c>
      <c r="H1580" s="7" t="s">
        <v>45</v>
      </c>
      <c r="I1580" s="20" t="s">
        <v>2488</v>
      </c>
      <c r="J1580" s="20" t="s">
        <v>2345</v>
      </c>
      <c r="K1580" s="7" t="s">
        <v>110</v>
      </c>
      <c r="L1580" s="61">
        <v>45793</v>
      </c>
      <c r="M1580" s="7" t="s">
        <v>111</v>
      </c>
      <c r="N1580" s="61">
        <v>45793</v>
      </c>
      <c r="O1580" s="61">
        <v>45793</v>
      </c>
      <c r="P1580" s="59"/>
      <c r="Q1580" s="124" t="e">
        <f>P1580*#REF!</f>
        <v>#REF!</v>
      </c>
      <c r="R1580" s="126">
        <v>45796</v>
      </c>
      <c r="S1580" s="153">
        <f>IF(L1580="","",L1580-B1580)</f>
        <v>1</v>
      </c>
      <c r="T1580" s="153">
        <f>IF(N1580="","",N1580-L1580)</f>
        <v>0</v>
      </c>
      <c r="U1580" s="153">
        <f>IF(O1580="","",O1580-N1580)</f>
        <v>0</v>
      </c>
      <c r="V1580" s="154">
        <f>IF(O1580="","",O1580-B1580)</f>
        <v>1</v>
      </c>
      <c r="W1580" s="154">
        <f>IF(O1580="","",O1580-L1580)</f>
        <v>0</v>
      </c>
      <c r="X1580" s="154">
        <f>IF(R1580="","",R1580-B1580)</f>
        <v>4</v>
      </c>
    </row>
    <row r="1581" spans="2:24" ht="17.25" hidden="1" customHeight="1">
      <c r="B1581" s="23">
        <v>45793</v>
      </c>
      <c r="C1581" s="7">
        <v>2003669086</v>
      </c>
      <c r="D1581" s="20">
        <v>5944129</v>
      </c>
      <c r="E1581" s="27" t="s">
        <v>191</v>
      </c>
      <c r="F1581" s="7" t="s">
        <v>107</v>
      </c>
      <c r="G1581" s="7" t="s">
        <v>26</v>
      </c>
      <c r="H1581" s="7" t="s">
        <v>45</v>
      </c>
      <c r="I1581" s="20" t="s">
        <v>2489</v>
      </c>
      <c r="J1581" s="20" t="s">
        <v>2490</v>
      </c>
      <c r="K1581" s="7" t="s">
        <v>110</v>
      </c>
      <c r="L1581" s="61">
        <v>45798</v>
      </c>
      <c r="M1581" s="7" t="s">
        <v>111</v>
      </c>
      <c r="N1581" s="24">
        <v>45798</v>
      </c>
      <c r="O1581" s="58">
        <v>45798</v>
      </c>
      <c r="P1581" s="59"/>
      <c r="Q1581" s="124" t="e">
        <f>P1581*#REF!</f>
        <v>#REF!</v>
      </c>
      <c r="R1581" s="126">
        <v>45798</v>
      </c>
      <c r="S1581" s="153">
        <f>IF(L1581="","",L1581-B1581)</f>
        <v>5</v>
      </c>
      <c r="T1581" s="153">
        <f>IF(N1581="","",N1581-L1581)</f>
        <v>0</v>
      </c>
      <c r="U1581" s="153">
        <f>IF(O1581="","",O1581-N1581)</f>
        <v>0</v>
      </c>
      <c r="V1581" s="154">
        <f>IF(O1581="","",O1581-B1581)</f>
        <v>5</v>
      </c>
      <c r="W1581" s="154">
        <f>IF(O1581="","",O1581-L1581)</f>
        <v>0</v>
      </c>
      <c r="X1581" s="154">
        <f>IF(R1581="","",R1581-B1581)</f>
        <v>5</v>
      </c>
    </row>
    <row r="1582" spans="2:24" ht="17.25" hidden="1" customHeight="1">
      <c r="B1582" s="23">
        <v>45793</v>
      </c>
      <c r="C1582" s="7">
        <v>2003665850</v>
      </c>
      <c r="D1582" s="20">
        <v>5944466</v>
      </c>
      <c r="E1582" s="27" t="s">
        <v>230</v>
      </c>
      <c r="F1582" s="7" t="s">
        <v>107</v>
      </c>
      <c r="G1582" s="7" t="s">
        <v>10</v>
      </c>
      <c r="H1582" s="7" t="s">
        <v>45</v>
      </c>
      <c r="I1582" s="20" t="s">
        <v>2491</v>
      </c>
      <c r="J1582" s="20" t="s">
        <v>2492</v>
      </c>
      <c r="K1582" s="7" t="s">
        <v>110</v>
      </c>
      <c r="L1582" s="61">
        <v>45796</v>
      </c>
      <c r="M1582" s="7" t="s">
        <v>111</v>
      </c>
      <c r="N1582" s="24">
        <v>45797</v>
      </c>
      <c r="O1582" s="106">
        <v>45797</v>
      </c>
      <c r="P1582" s="59"/>
      <c r="Q1582" s="124" t="e">
        <f>P1582*#REF!</f>
        <v>#REF!</v>
      </c>
      <c r="R1582" s="126">
        <v>45798</v>
      </c>
      <c r="S1582" s="153">
        <f>IF(L1582="","",L1582-B1582)</f>
        <v>3</v>
      </c>
      <c r="T1582" s="153">
        <f>IF(N1582="","",N1582-L1582)</f>
        <v>1</v>
      </c>
      <c r="U1582" s="153">
        <f>IF(O1582="","",O1582-N1582)</f>
        <v>0</v>
      </c>
      <c r="V1582" s="154">
        <f>IF(O1582="","",O1582-B1582)</f>
        <v>4</v>
      </c>
      <c r="W1582" s="154">
        <f>IF(O1582="","",O1582-L1582)</f>
        <v>1</v>
      </c>
      <c r="X1582" s="154">
        <f>IF(R1582="","",R1582-B1582)</f>
        <v>5</v>
      </c>
    </row>
    <row r="1583" spans="2:24" ht="17.25" hidden="1" customHeight="1">
      <c r="B1583" s="23">
        <v>45796</v>
      </c>
      <c r="C1583" s="7">
        <v>2003667242</v>
      </c>
      <c r="D1583" s="20">
        <v>5946548</v>
      </c>
      <c r="E1583" s="27" t="s">
        <v>201</v>
      </c>
      <c r="F1583" s="7" t="s">
        <v>113</v>
      </c>
      <c r="G1583" s="7" t="s">
        <v>70</v>
      </c>
      <c r="H1583" s="7" t="s">
        <v>47</v>
      </c>
      <c r="I1583" s="20" t="s">
        <v>2493</v>
      </c>
      <c r="J1583" s="20" t="s">
        <v>2494</v>
      </c>
      <c r="K1583" s="7" t="s">
        <v>160</v>
      </c>
      <c r="P1583" s="59"/>
      <c r="Q1583" s="124" t="e">
        <f>P1583*#REF!</f>
        <v>#REF!</v>
      </c>
      <c r="R1583" s="126">
        <v>45817</v>
      </c>
      <c r="S1583" s="153" t="str">
        <f>IF(L1583="","",L1583-B1583)</f>
        <v/>
      </c>
      <c r="T1583" s="153" t="str">
        <f>IF(N1583="","",N1583-L1583)</f>
        <v/>
      </c>
      <c r="U1583" s="153" t="str">
        <f>IF(O1583="","",O1583-N1583)</f>
        <v/>
      </c>
      <c r="V1583" s="154" t="str">
        <f>IF(O1583="","",O1583-B1583)</f>
        <v/>
      </c>
      <c r="W1583" s="154" t="str">
        <f>IF(O1583="","",O1583-L1583)</f>
        <v/>
      </c>
      <c r="X1583" s="154">
        <f>IF(R1583="","",R1583-B1583)</f>
        <v>21</v>
      </c>
    </row>
    <row r="1584" spans="2:24" ht="17.25" hidden="1" customHeight="1">
      <c r="B1584" s="23">
        <v>45793</v>
      </c>
      <c r="C1584" s="7">
        <v>2003667657</v>
      </c>
      <c r="D1584" s="20">
        <v>5944567</v>
      </c>
      <c r="E1584" s="27" t="s">
        <v>230</v>
      </c>
      <c r="F1584" s="7" t="s">
        <v>107</v>
      </c>
      <c r="G1584" s="7" t="s">
        <v>10</v>
      </c>
      <c r="H1584" s="7" t="s">
        <v>45</v>
      </c>
      <c r="I1584" s="20" t="s">
        <v>2495</v>
      </c>
      <c r="J1584" s="20" t="s">
        <v>2496</v>
      </c>
      <c r="K1584" s="7" t="s">
        <v>119</v>
      </c>
      <c r="L1584" s="61">
        <v>45803</v>
      </c>
      <c r="M1584" s="7" t="s">
        <v>111</v>
      </c>
      <c r="N1584" s="24">
        <v>45807</v>
      </c>
      <c r="O1584" s="23">
        <v>45807</v>
      </c>
      <c r="P1584" s="59"/>
      <c r="Q1584" s="124" t="e">
        <f>P1584*#REF!</f>
        <v>#REF!</v>
      </c>
      <c r="R1584" s="126">
        <v>45807</v>
      </c>
      <c r="S1584" s="153">
        <f>IF(L1584="","",L1584-B1584)</f>
        <v>10</v>
      </c>
      <c r="T1584" s="153">
        <f>IF(N1584="","",N1584-L1584)</f>
        <v>4</v>
      </c>
      <c r="U1584" s="153">
        <f>IF(O1584="","",O1584-N1584)</f>
        <v>0</v>
      </c>
      <c r="V1584" s="154">
        <f>IF(O1584="","",O1584-B1584)</f>
        <v>14</v>
      </c>
      <c r="W1584" s="154">
        <f>IF(O1584="","",O1584-L1584)</f>
        <v>4</v>
      </c>
      <c r="X1584" s="154">
        <f>IF(R1584="","",R1584-B1584)</f>
        <v>14</v>
      </c>
    </row>
    <row r="1585" spans="2:24" ht="17.25" hidden="1" customHeight="1">
      <c r="B1585" s="23">
        <v>45793</v>
      </c>
      <c r="C1585" s="7">
        <v>2003668755</v>
      </c>
      <c r="D1585" s="20">
        <v>5944572</v>
      </c>
      <c r="E1585" s="27" t="s">
        <v>949</v>
      </c>
      <c r="F1585" s="7" t="s">
        <v>107</v>
      </c>
      <c r="G1585" s="7" t="s">
        <v>26</v>
      </c>
      <c r="H1585" s="7" t="s">
        <v>45</v>
      </c>
      <c r="I1585" s="20" t="s">
        <v>2497</v>
      </c>
      <c r="J1585" s="20" t="s">
        <v>2107</v>
      </c>
      <c r="K1585" s="7" t="s">
        <v>110</v>
      </c>
      <c r="L1585" s="61">
        <v>45798</v>
      </c>
      <c r="M1585" s="7" t="s">
        <v>111</v>
      </c>
      <c r="N1585" s="24">
        <v>45798</v>
      </c>
      <c r="O1585" s="23">
        <v>45798</v>
      </c>
      <c r="P1585" s="59"/>
      <c r="Q1585" s="124" t="e">
        <f>P1585*#REF!</f>
        <v>#REF!</v>
      </c>
      <c r="R1585" s="126">
        <v>45798</v>
      </c>
      <c r="S1585" s="153">
        <f>IF(L1585="","",L1585-B1585)</f>
        <v>5</v>
      </c>
      <c r="T1585" s="153">
        <f>IF(N1585="","",N1585-L1585)</f>
        <v>0</v>
      </c>
      <c r="U1585" s="153">
        <f>IF(O1585="","",O1585-N1585)</f>
        <v>0</v>
      </c>
      <c r="V1585" s="154">
        <f>IF(O1585="","",O1585-B1585)</f>
        <v>5</v>
      </c>
      <c r="W1585" s="154">
        <f>IF(O1585="","",O1585-L1585)</f>
        <v>0</v>
      </c>
      <c r="X1585" s="154">
        <f>IF(R1585="","",R1585-B1585)</f>
        <v>5</v>
      </c>
    </row>
    <row r="1586" spans="2:24" ht="17.25" hidden="1" customHeight="1">
      <c r="B1586" s="23">
        <v>45793</v>
      </c>
      <c r="C1586" s="7">
        <v>2003685681</v>
      </c>
      <c r="D1586" s="20">
        <v>5944927</v>
      </c>
      <c r="E1586" s="27" t="s">
        <v>265</v>
      </c>
      <c r="F1586" s="7" t="s">
        <v>107</v>
      </c>
      <c r="G1586" s="7" t="s">
        <v>26</v>
      </c>
      <c r="H1586" s="7" t="s">
        <v>45</v>
      </c>
      <c r="I1586" s="20" t="s">
        <v>2498</v>
      </c>
      <c r="J1586" s="20" t="s">
        <v>2499</v>
      </c>
      <c r="K1586" s="7" t="s">
        <v>119</v>
      </c>
      <c r="L1586" s="61">
        <v>45800</v>
      </c>
      <c r="M1586" s="7" t="s">
        <v>111</v>
      </c>
      <c r="N1586" s="24">
        <v>45803</v>
      </c>
      <c r="O1586" s="58">
        <v>45803</v>
      </c>
      <c r="P1586" s="59"/>
      <c r="Q1586" s="124" t="e">
        <f>P1586*#REF!</f>
        <v>#REF!</v>
      </c>
      <c r="R1586" s="126">
        <v>45803</v>
      </c>
      <c r="S1586" s="153">
        <f>IF(L1586="","",L1586-B1586)</f>
        <v>7</v>
      </c>
      <c r="T1586" s="153">
        <f>IF(N1586="","",N1586-L1586)</f>
        <v>3</v>
      </c>
      <c r="U1586" s="153">
        <f>IF(O1586="","",O1586-N1586)</f>
        <v>0</v>
      </c>
      <c r="V1586" s="154">
        <f>IF(O1586="","",O1586-B1586)</f>
        <v>10</v>
      </c>
      <c r="W1586" s="154">
        <f>IF(O1586="","",O1586-L1586)</f>
        <v>3</v>
      </c>
      <c r="X1586" s="154">
        <f>IF(R1586="","",R1586-B1586)</f>
        <v>10</v>
      </c>
    </row>
    <row r="1587" spans="2:24" ht="17.25" hidden="1" customHeight="1">
      <c r="B1587" s="23">
        <v>45793</v>
      </c>
      <c r="C1587" s="7">
        <v>2003689872</v>
      </c>
      <c r="D1587" s="20">
        <v>5944937</v>
      </c>
      <c r="E1587" s="27" t="s">
        <v>123</v>
      </c>
      <c r="F1587" s="7" t="s">
        <v>107</v>
      </c>
      <c r="G1587" s="7" t="s">
        <v>26</v>
      </c>
      <c r="H1587" s="7" t="s">
        <v>45</v>
      </c>
      <c r="I1587" s="20" t="s">
        <v>2500</v>
      </c>
      <c r="J1587" s="20" t="s">
        <v>118</v>
      </c>
      <c r="K1587" s="7" t="s">
        <v>119</v>
      </c>
      <c r="L1587" s="61">
        <v>45797</v>
      </c>
      <c r="M1587" s="7" t="s">
        <v>111</v>
      </c>
      <c r="N1587" s="24">
        <v>45798</v>
      </c>
      <c r="O1587" s="58">
        <v>45798</v>
      </c>
      <c r="P1587" s="59"/>
      <c r="Q1587" s="124" t="e">
        <f>P1587*#REF!</f>
        <v>#REF!</v>
      </c>
      <c r="R1587" s="126">
        <v>45798</v>
      </c>
      <c r="S1587" s="153">
        <f>IF(L1587="","",L1587-B1587)</f>
        <v>4</v>
      </c>
      <c r="T1587" s="153">
        <f>IF(N1587="","",N1587-L1587)</f>
        <v>1</v>
      </c>
      <c r="U1587" s="153">
        <f>IF(O1587="","",O1587-N1587)</f>
        <v>0</v>
      </c>
      <c r="V1587" s="154">
        <f>IF(O1587="","",O1587-B1587)</f>
        <v>5</v>
      </c>
      <c r="W1587" s="154">
        <f>IF(O1587="","",O1587-L1587)</f>
        <v>1</v>
      </c>
      <c r="X1587" s="154">
        <f>IF(R1587="","",R1587-B1587)</f>
        <v>5</v>
      </c>
    </row>
    <row r="1588" spans="2:24" ht="17.25" hidden="1" customHeight="1">
      <c r="B1588" s="23">
        <v>45797</v>
      </c>
      <c r="C1588" s="7">
        <v>2003668131</v>
      </c>
      <c r="D1588" s="20">
        <v>5946924</v>
      </c>
      <c r="E1588" s="27" t="s">
        <v>1225</v>
      </c>
      <c r="F1588" s="7" t="s">
        <v>113</v>
      </c>
      <c r="G1588" s="7" t="s">
        <v>70</v>
      </c>
      <c r="H1588" s="7" t="s">
        <v>47</v>
      </c>
      <c r="I1588" s="20" t="s">
        <v>2501</v>
      </c>
      <c r="J1588" s="20" t="s">
        <v>2502</v>
      </c>
      <c r="K1588" s="7" t="s">
        <v>160</v>
      </c>
      <c r="P1588" s="59"/>
      <c r="Q1588" s="124" t="e">
        <f>P1588*#REF!</f>
        <v>#REF!</v>
      </c>
      <c r="R1588" s="126">
        <v>45817</v>
      </c>
      <c r="S1588" s="153" t="str">
        <f>IF(L1588="","",L1588-B1588)</f>
        <v/>
      </c>
      <c r="T1588" s="153" t="str">
        <f>IF(N1588="","",N1588-L1588)</f>
        <v/>
      </c>
      <c r="U1588" s="153" t="str">
        <f>IF(O1588="","",O1588-N1588)</f>
        <v/>
      </c>
      <c r="V1588" s="154" t="str">
        <f>IF(O1588="","",O1588-B1588)</f>
        <v/>
      </c>
      <c r="W1588" s="154" t="str">
        <f>IF(O1588="","",O1588-L1588)</f>
        <v/>
      </c>
      <c r="X1588" s="154">
        <f>IF(R1588="","",R1588-B1588)</f>
        <v>20</v>
      </c>
    </row>
    <row r="1589" spans="2:24" ht="17.25" hidden="1" customHeight="1">
      <c r="B1589" s="23">
        <v>45793</v>
      </c>
      <c r="C1589" s="7">
        <v>2003641780</v>
      </c>
      <c r="D1589" s="20">
        <v>5944945</v>
      </c>
      <c r="E1589" s="27" t="s">
        <v>157</v>
      </c>
      <c r="F1589" s="7" t="s">
        <v>107</v>
      </c>
      <c r="G1589" s="7" t="s">
        <v>15</v>
      </c>
      <c r="H1589" s="7" t="s">
        <v>45</v>
      </c>
      <c r="I1589" s="20" t="s">
        <v>2503</v>
      </c>
      <c r="J1589" s="20" t="s">
        <v>2504</v>
      </c>
      <c r="K1589" s="7" t="s">
        <v>110</v>
      </c>
      <c r="L1589" s="61">
        <v>45798</v>
      </c>
      <c r="M1589" s="7" t="s">
        <v>111</v>
      </c>
      <c r="N1589" s="61">
        <v>45798</v>
      </c>
      <c r="O1589" s="58">
        <v>45800</v>
      </c>
      <c r="P1589" s="59"/>
      <c r="Q1589" s="124" t="e">
        <f>P1589*#REF!</f>
        <v>#REF!</v>
      </c>
      <c r="R1589" s="126">
        <v>45803</v>
      </c>
      <c r="S1589" s="153">
        <f>IF(L1589="","",L1589-B1589)</f>
        <v>5</v>
      </c>
      <c r="T1589" s="153">
        <f>IF(N1589="","",N1589-L1589)</f>
        <v>0</v>
      </c>
      <c r="U1589" s="153">
        <f>IF(O1589="","",O1589-N1589)</f>
        <v>2</v>
      </c>
      <c r="V1589" s="154">
        <f>IF(O1589="","",O1589-B1589)</f>
        <v>7</v>
      </c>
      <c r="W1589" s="154">
        <f>IF(O1589="","",O1589-L1589)</f>
        <v>2</v>
      </c>
      <c r="X1589" s="154">
        <f>IF(R1589="","",R1589-B1589)</f>
        <v>10</v>
      </c>
    </row>
    <row r="1590" spans="2:24" ht="17.25" hidden="1" customHeight="1">
      <c r="B1590" s="23">
        <v>45793</v>
      </c>
      <c r="C1590" s="7">
        <v>2003683031</v>
      </c>
      <c r="D1590" s="20">
        <v>5944997</v>
      </c>
      <c r="E1590" s="27" t="s">
        <v>198</v>
      </c>
      <c r="F1590" s="7" t="s">
        <v>107</v>
      </c>
      <c r="G1590" s="7" t="s">
        <v>18</v>
      </c>
      <c r="H1590" s="7" t="s">
        <v>45</v>
      </c>
      <c r="I1590" s="20" t="s">
        <v>2037</v>
      </c>
      <c r="J1590" s="20" t="s">
        <v>2505</v>
      </c>
      <c r="K1590" s="7" t="s">
        <v>119</v>
      </c>
      <c r="L1590" s="61">
        <v>45797</v>
      </c>
      <c r="M1590" s="7" t="s">
        <v>111</v>
      </c>
      <c r="N1590" s="24">
        <v>45801</v>
      </c>
      <c r="O1590" s="58">
        <v>45803</v>
      </c>
      <c r="P1590" s="59"/>
      <c r="Q1590" s="124" t="e">
        <f>P1590*#REF!</f>
        <v>#REF!</v>
      </c>
      <c r="R1590" s="126">
        <v>45804</v>
      </c>
      <c r="S1590" s="153">
        <f>IF(L1590="","",L1590-B1590)</f>
        <v>4</v>
      </c>
      <c r="T1590" s="153">
        <f>IF(N1590="","",N1590-L1590)</f>
        <v>4</v>
      </c>
      <c r="U1590" s="153">
        <f>IF(O1590="","",O1590-N1590)</f>
        <v>2</v>
      </c>
      <c r="V1590" s="154">
        <f>IF(O1590="","",O1590-B1590)</f>
        <v>10</v>
      </c>
      <c r="W1590" s="154">
        <f>IF(O1590="","",O1590-L1590)</f>
        <v>6</v>
      </c>
      <c r="X1590" s="154">
        <f>IF(R1590="","",R1590-B1590)</f>
        <v>11</v>
      </c>
    </row>
    <row r="1591" spans="2:24" ht="17.25" hidden="1" customHeight="1">
      <c r="B1591" s="23">
        <v>45793</v>
      </c>
      <c r="C1591" s="7">
        <v>2003683413</v>
      </c>
      <c r="D1591" s="20">
        <v>5945044</v>
      </c>
      <c r="E1591" s="27" t="s">
        <v>126</v>
      </c>
      <c r="F1591" s="7" t="s">
        <v>107</v>
      </c>
      <c r="G1591" s="7" t="s">
        <v>10</v>
      </c>
      <c r="H1591" s="7" t="s">
        <v>45</v>
      </c>
      <c r="I1591" s="20" t="s">
        <v>2506</v>
      </c>
      <c r="J1591" s="20" t="s">
        <v>2507</v>
      </c>
      <c r="K1591" s="7" t="s">
        <v>111</v>
      </c>
      <c r="L1591" s="61">
        <v>45798</v>
      </c>
      <c r="M1591" s="7" t="s">
        <v>111</v>
      </c>
      <c r="N1591" s="61">
        <v>45798</v>
      </c>
      <c r="O1591" s="23">
        <v>45803</v>
      </c>
      <c r="P1591" s="59"/>
      <c r="Q1591" s="124" t="e">
        <f>P1591*#REF!</f>
        <v>#REF!</v>
      </c>
      <c r="R1591" s="126">
        <v>45804</v>
      </c>
      <c r="S1591" s="153">
        <f>IF(L1591="","",L1591-B1591)</f>
        <v>5</v>
      </c>
      <c r="T1591" s="153">
        <f>IF(N1591="","",N1591-L1591)</f>
        <v>0</v>
      </c>
      <c r="U1591" s="153">
        <f>IF(O1591="","",O1591-N1591)</f>
        <v>5</v>
      </c>
      <c r="V1591" s="154">
        <f>IF(O1591="","",O1591-B1591)</f>
        <v>10</v>
      </c>
      <c r="W1591" s="154">
        <f>IF(O1591="","",O1591-L1591)</f>
        <v>5</v>
      </c>
      <c r="X1591" s="154">
        <f>IF(R1591="","",R1591-B1591)</f>
        <v>11</v>
      </c>
    </row>
    <row r="1592" spans="2:24" ht="17.25" hidden="1" customHeight="1">
      <c r="B1592" s="23">
        <v>45793</v>
      </c>
      <c r="C1592" s="7">
        <v>2003678724</v>
      </c>
      <c r="D1592" s="20">
        <v>5945055</v>
      </c>
      <c r="E1592" s="27" t="s">
        <v>408</v>
      </c>
      <c r="F1592" s="7" t="s">
        <v>107</v>
      </c>
      <c r="G1592" s="7" t="s">
        <v>26</v>
      </c>
      <c r="H1592" s="7" t="s">
        <v>45</v>
      </c>
      <c r="I1592" s="20" t="s">
        <v>2508</v>
      </c>
      <c r="J1592" s="20" t="s">
        <v>2509</v>
      </c>
      <c r="K1592" s="7" t="s">
        <v>110</v>
      </c>
      <c r="L1592" s="61">
        <v>45798</v>
      </c>
      <c r="M1592" s="7" t="s">
        <v>111</v>
      </c>
      <c r="N1592" s="24">
        <v>45798</v>
      </c>
      <c r="O1592" s="23">
        <v>45798</v>
      </c>
      <c r="P1592" s="59"/>
      <c r="Q1592" s="124" t="e">
        <f>P1592*#REF!</f>
        <v>#REF!</v>
      </c>
      <c r="R1592" s="126">
        <v>45798</v>
      </c>
      <c r="S1592" s="153">
        <f>IF(L1592="","",L1592-B1592)</f>
        <v>5</v>
      </c>
      <c r="T1592" s="153">
        <f>IF(N1592="","",N1592-L1592)</f>
        <v>0</v>
      </c>
      <c r="U1592" s="153">
        <f>IF(O1592="","",O1592-N1592)</f>
        <v>0</v>
      </c>
      <c r="V1592" s="154">
        <f>IF(O1592="","",O1592-B1592)</f>
        <v>5</v>
      </c>
      <c r="W1592" s="154">
        <f>IF(O1592="","",O1592-L1592)</f>
        <v>0</v>
      </c>
      <c r="X1592" s="154">
        <f>IF(R1592="","",R1592-B1592)</f>
        <v>5</v>
      </c>
    </row>
    <row r="1593" spans="2:24" ht="17.25" hidden="1" customHeight="1">
      <c r="B1593" s="23">
        <v>45797</v>
      </c>
      <c r="C1593" s="7">
        <v>2003592286</v>
      </c>
      <c r="D1593" s="20">
        <v>5947489</v>
      </c>
      <c r="E1593" s="27" t="s">
        <v>191</v>
      </c>
      <c r="F1593" s="7" t="s">
        <v>107</v>
      </c>
      <c r="G1593" s="7" t="s">
        <v>10</v>
      </c>
      <c r="H1593" s="7" t="s">
        <v>45</v>
      </c>
      <c r="I1593" s="20" t="s">
        <v>1148</v>
      </c>
      <c r="J1593" s="20" t="s">
        <v>740</v>
      </c>
      <c r="K1593" s="7" t="s">
        <v>119</v>
      </c>
      <c r="L1593" s="61">
        <v>45799</v>
      </c>
      <c r="M1593" s="7" t="s">
        <v>111</v>
      </c>
      <c r="N1593" s="24">
        <v>45801</v>
      </c>
      <c r="O1593" s="61">
        <v>45813</v>
      </c>
      <c r="P1593" s="59"/>
      <c r="Q1593" s="124" t="e">
        <f>P1593*#REF!</f>
        <v>#REF!</v>
      </c>
      <c r="R1593" s="126">
        <v>45814</v>
      </c>
      <c r="S1593" s="153">
        <f>IF(L1593="","",L1593-B1593)</f>
        <v>2</v>
      </c>
      <c r="T1593" s="153">
        <f>IF(N1593="","",N1593-L1593)</f>
        <v>2</v>
      </c>
      <c r="U1593" s="153">
        <f>IF(O1593="","",O1593-N1593)</f>
        <v>12</v>
      </c>
      <c r="V1593" s="154">
        <f>IF(O1593="","",O1593-B1593)</f>
        <v>16</v>
      </c>
      <c r="W1593" s="154">
        <f>IF(O1593="","",O1593-L1593)</f>
        <v>14</v>
      </c>
      <c r="X1593" s="154">
        <f>IF(R1593="","",R1593-B1593)</f>
        <v>17</v>
      </c>
    </row>
    <row r="1594" spans="2:24" ht="17.25" hidden="1" customHeight="1">
      <c r="B1594" s="23">
        <v>45793</v>
      </c>
      <c r="C1594" s="7">
        <v>2003689344</v>
      </c>
      <c r="D1594" s="20">
        <v>5945085</v>
      </c>
      <c r="E1594" s="27" t="s">
        <v>408</v>
      </c>
      <c r="F1594" s="7" t="s">
        <v>107</v>
      </c>
      <c r="G1594" s="7" t="s">
        <v>10</v>
      </c>
      <c r="H1594" s="7" t="s">
        <v>45</v>
      </c>
      <c r="I1594" s="20" t="s">
        <v>2510</v>
      </c>
      <c r="J1594" s="20" t="s">
        <v>2511</v>
      </c>
      <c r="K1594" s="7" t="s">
        <v>119</v>
      </c>
      <c r="L1594" s="61">
        <v>45798</v>
      </c>
      <c r="M1594" s="7" t="s">
        <v>111</v>
      </c>
      <c r="N1594" s="61">
        <v>45798</v>
      </c>
      <c r="O1594" s="61">
        <v>45798</v>
      </c>
      <c r="P1594" s="59"/>
      <c r="Q1594" s="124" t="e">
        <f>P1594*#REF!</f>
        <v>#REF!</v>
      </c>
      <c r="R1594" s="126">
        <v>45798</v>
      </c>
      <c r="S1594" s="153">
        <f>IF(L1594="","",L1594-B1594)</f>
        <v>5</v>
      </c>
      <c r="T1594" s="153">
        <f>IF(N1594="","",N1594-L1594)</f>
        <v>0</v>
      </c>
      <c r="U1594" s="153">
        <f>IF(O1594="","",O1594-N1594)</f>
        <v>0</v>
      </c>
      <c r="V1594" s="154">
        <f>IF(O1594="","",O1594-B1594)</f>
        <v>5</v>
      </c>
      <c r="W1594" s="154">
        <f>IF(O1594="","",O1594-L1594)</f>
        <v>0</v>
      </c>
      <c r="X1594" s="154">
        <f>IF(R1594="","",R1594-B1594)</f>
        <v>5</v>
      </c>
    </row>
    <row r="1595" spans="2:24" ht="17.25" hidden="1" customHeight="1">
      <c r="B1595" s="23">
        <v>45793</v>
      </c>
      <c r="C1595" s="7">
        <v>2003678126</v>
      </c>
      <c r="D1595" s="20">
        <v>5945098</v>
      </c>
      <c r="E1595" s="27" t="s">
        <v>116</v>
      </c>
      <c r="F1595" s="7" t="s">
        <v>107</v>
      </c>
      <c r="G1595" s="7" t="s">
        <v>10</v>
      </c>
      <c r="H1595" s="7" t="s">
        <v>45</v>
      </c>
      <c r="I1595" s="20" t="s">
        <v>2512</v>
      </c>
      <c r="J1595" s="20" t="s">
        <v>2513</v>
      </c>
      <c r="K1595" s="7" t="s">
        <v>119</v>
      </c>
      <c r="L1595" s="61">
        <v>45800</v>
      </c>
      <c r="M1595" s="7" t="s">
        <v>111</v>
      </c>
      <c r="N1595" s="24">
        <v>45801</v>
      </c>
      <c r="O1595" s="23">
        <v>45803</v>
      </c>
      <c r="P1595" s="59"/>
      <c r="Q1595" s="124" t="e">
        <f>P1595*#REF!</f>
        <v>#REF!</v>
      </c>
      <c r="R1595" s="126">
        <v>45804</v>
      </c>
      <c r="S1595" s="153">
        <f>IF(L1595="","",L1595-B1595)</f>
        <v>7</v>
      </c>
      <c r="T1595" s="153">
        <f>IF(N1595="","",N1595-L1595)</f>
        <v>1</v>
      </c>
      <c r="U1595" s="153">
        <f>IF(O1595="","",O1595-N1595)</f>
        <v>2</v>
      </c>
      <c r="V1595" s="154">
        <f>IF(O1595="","",O1595-B1595)</f>
        <v>10</v>
      </c>
      <c r="W1595" s="154">
        <f>IF(O1595="","",O1595-L1595)</f>
        <v>3</v>
      </c>
      <c r="X1595" s="154">
        <f>IF(R1595="","",R1595-B1595)</f>
        <v>11</v>
      </c>
    </row>
    <row r="1596" spans="2:24" ht="17.25" hidden="1" customHeight="1">
      <c r="B1596" s="23">
        <v>45793</v>
      </c>
      <c r="C1596" s="7">
        <v>2003675900</v>
      </c>
      <c r="D1596" s="20">
        <v>5945107</v>
      </c>
      <c r="E1596" s="27" t="s">
        <v>116</v>
      </c>
      <c r="F1596" s="7" t="s">
        <v>107</v>
      </c>
      <c r="G1596" s="7" t="s">
        <v>26</v>
      </c>
      <c r="H1596" s="7" t="s">
        <v>45</v>
      </c>
      <c r="I1596" s="20" t="s">
        <v>2514</v>
      </c>
      <c r="J1596" s="20" t="s">
        <v>2515</v>
      </c>
      <c r="K1596" s="7" t="s">
        <v>111</v>
      </c>
      <c r="L1596" s="61">
        <v>45796</v>
      </c>
      <c r="M1596" s="7" t="s">
        <v>111</v>
      </c>
      <c r="N1596" s="24">
        <v>45798</v>
      </c>
      <c r="O1596" s="58">
        <v>45798</v>
      </c>
      <c r="P1596" s="59"/>
      <c r="Q1596" s="124" t="e">
        <f>P1596*#REF!</f>
        <v>#REF!</v>
      </c>
      <c r="R1596" s="126">
        <v>45798</v>
      </c>
      <c r="S1596" s="153">
        <f>IF(L1596="","",L1596-B1596)</f>
        <v>3</v>
      </c>
      <c r="T1596" s="153">
        <f>IF(N1596="","",N1596-L1596)</f>
        <v>2</v>
      </c>
      <c r="U1596" s="153">
        <f>IF(O1596="","",O1596-N1596)</f>
        <v>0</v>
      </c>
      <c r="V1596" s="154">
        <f>IF(O1596="","",O1596-B1596)</f>
        <v>5</v>
      </c>
      <c r="W1596" s="154">
        <f>IF(O1596="","",O1596-L1596)</f>
        <v>2</v>
      </c>
      <c r="X1596" s="154">
        <f>IF(R1596="","",R1596-B1596)</f>
        <v>5</v>
      </c>
    </row>
    <row r="1597" spans="2:24" ht="17.25" hidden="1" customHeight="1">
      <c r="B1597" s="23">
        <v>45793</v>
      </c>
      <c r="C1597" s="7">
        <v>2003681425</v>
      </c>
      <c r="D1597" s="20">
        <v>5945126</v>
      </c>
      <c r="E1597" s="27" t="s">
        <v>191</v>
      </c>
      <c r="F1597" s="7" t="s">
        <v>107</v>
      </c>
      <c r="G1597" s="7" t="s">
        <v>10</v>
      </c>
      <c r="H1597" s="7" t="s">
        <v>45</v>
      </c>
      <c r="I1597" s="20" t="s">
        <v>2516</v>
      </c>
      <c r="J1597" s="20" t="s">
        <v>2517</v>
      </c>
      <c r="K1597" s="7" t="s">
        <v>119</v>
      </c>
      <c r="L1597" s="61">
        <v>45799</v>
      </c>
      <c r="M1597" s="7" t="s">
        <v>111</v>
      </c>
      <c r="N1597" s="24">
        <v>45801</v>
      </c>
      <c r="O1597" s="24">
        <v>45801</v>
      </c>
      <c r="P1597" s="59"/>
      <c r="Q1597" s="124" t="e">
        <f>P1597*#REF!</f>
        <v>#REF!</v>
      </c>
      <c r="R1597" s="126">
        <v>45803</v>
      </c>
      <c r="S1597" s="153">
        <f>IF(L1597="","",L1597-B1597)</f>
        <v>6</v>
      </c>
      <c r="T1597" s="153">
        <f>IF(N1597="","",N1597-L1597)</f>
        <v>2</v>
      </c>
      <c r="U1597" s="153">
        <f>IF(O1597="","",O1597-N1597)</f>
        <v>0</v>
      </c>
      <c r="V1597" s="154">
        <f>IF(O1597="","",O1597-B1597)</f>
        <v>8</v>
      </c>
      <c r="W1597" s="154">
        <f>IF(O1597="","",O1597-L1597)</f>
        <v>2</v>
      </c>
      <c r="X1597" s="154">
        <f>IF(R1597="","",R1597-B1597)</f>
        <v>10</v>
      </c>
    </row>
    <row r="1598" spans="2:24" ht="17.25" hidden="1" customHeight="1">
      <c r="B1598" s="23">
        <v>45793</v>
      </c>
      <c r="C1598" s="7">
        <v>2003664970</v>
      </c>
      <c r="D1598" s="20">
        <v>5945215</v>
      </c>
      <c r="E1598" s="27" t="s">
        <v>185</v>
      </c>
      <c r="F1598" s="7" t="s">
        <v>107</v>
      </c>
      <c r="G1598" s="7" t="s">
        <v>10</v>
      </c>
      <c r="H1598" s="7" t="s">
        <v>45</v>
      </c>
      <c r="I1598" s="20" t="s">
        <v>466</v>
      </c>
      <c r="J1598" s="20" t="s">
        <v>2196</v>
      </c>
      <c r="K1598" s="7" t="s">
        <v>110</v>
      </c>
      <c r="L1598" s="61">
        <v>45796</v>
      </c>
      <c r="M1598" s="7" t="s">
        <v>111</v>
      </c>
      <c r="N1598" s="61">
        <v>45796</v>
      </c>
      <c r="O1598" s="61">
        <v>45796</v>
      </c>
      <c r="P1598" s="59"/>
      <c r="Q1598" s="124" t="e">
        <f>P1598*#REF!</f>
        <v>#REF!</v>
      </c>
      <c r="R1598" s="126">
        <v>45798</v>
      </c>
      <c r="S1598" s="153">
        <f>IF(L1598="","",L1598-B1598)</f>
        <v>3</v>
      </c>
      <c r="T1598" s="153">
        <f>IF(N1598="","",N1598-L1598)</f>
        <v>0</v>
      </c>
      <c r="U1598" s="153">
        <f>IF(O1598="","",O1598-N1598)</f>
        <v>0</v>
      </c>
      <c r="V1598" s="154">
        <f>IF(O1598="","",O1598-B1598)</f>
        <v>3</v>
      </c>
      <c r="W1598" s="154">
        <f>IF(O1598="","",O1598-L1598)</f>
        <v>0</v>
      </c>
      <c r="X1598" s="154">
        <f>IF(R1598="","",R1598-B1598)</f>
        <v>5</v>
      </c>
    </row>
    <row r="1599" spans="2:24" ht="17.25" hidden="1" customHeight="1">
      <c r="B1599" s="23">
        <v>45796</v>
      </c>
      <c r="C1599" s="7">
        <v>2003665636</v>
      </c>
      <c r="D1599" s="20">
        <v>5945461</v>
      </c>
      <c r="E1599" s="27" t="s">
        <v>198</v>
      </c>
      <c r="F1599" s="7" t="s">
        <v>107</v>
      </c>
      <c r="G1599" s="7" t="s">
        <v>26</v>
      </c>
      <c r="H1599" s="7" t="s">
        <v>45</v>
      </c>
      <c r="I1599" s="20" t="s">
        <v>2518</v>
      </c>
      <c r="J1599" s="20" t="s">
        <v>2389</v>
      </c>
      <c r="K1599" s="7" t="s">
        <v>119</v>
      </c>
      <c r="L1599" s="61">
        <v>45798</v>
      </c>
      <c r="M1599" s="7" t="s">
        <v>111</v>
      </c>
      <c r="N1599" s="24">
        <v>45798</v>
      </c>
      <c r="O1599" s="23">
        <v>45798</v>
      </c>
      <c r="P1599" s="59"/>
      <c r="Q1599" s="124" t="e">
        <f>P1599*#REF!</f>
        <v>#REF!</v>
      </c>
      <c r="R1599" s="126">
        <v>45798</v>
      </c>
      <c r="S1599" s="153">
        <f>IF(L1599="","",L1599-B1599)</f>
        <v>2</v>
      </c>
      <c r="T1599" s="153">
        <f>IF(N1599="","",N1599-L1599)</f>
        <v>0</v>
      </c>
      <c r="U1599" s="153">
        <f>IF(O1599="","",O1599-N1599)</f>
        <v>0</v>
      </c>
      <c r="V1599" s="154">
        <f>IF(O1599="","",O1599-B1599)</f>
        <v>2</v>
      </c>
      <c r="W1599" s="154">
        <f>IF(O1599="","",O1599-L1599)</f>
        <v>0</v>
      </c>
      <c r="X1599" s="154">
        <f>IF(R1599="","",R1599-B1599)</f>
        <v>2</v>
      </c>
    </row>
    <row r="1600" spans="2:24" ht="17.25" hidden="1" customHeight="1">
      <c r="B1600" s="23">
        <v>45796</v>
      </c>
      <c r="C1600" s="7">
        <v>2003674367</v>
      </c>
      <c r="D1600" s="20">
        <v>5945680</v>
      </c>
      <c r="E1600" s="27" t="s">
        <v>116</v>
      </c>
      <c r="F1600" s="7" t="s">
        <v>107</v>
      </c>
      <c r="G1600" s="7" t="s">
        <v>26</v>
      </c>
      <c r="H1600" s="7" t="s">
        <v>45</v>
      </c>
      <c r="I1600" s="20" t="s">
        <v>2519</v>
      </c>
      <c r="J1600" s="20" t="s">
        <v>2520</v>
      </c>
      <c r="K1600" s="7" t="s">
        <v>119</v>
      </c>
      <c r="L1600" s="61">
        <v>45800</v>
      </c>
      <c r="M1600" s="7" t="s">
        <v>111</v>
      </c>
      <c r="N1600" s="24">
        <v>45803</v>
      </c>
      <c r="O1600" s="58">
        <v>45803</v>
      </c>
      <c r="P1600" s="59"/>
      <c r="Q1600" s="124" t="e">
        <f>P1600*#REF!</f>
        <v>#REF!</v>
      </c>
      <c r="R1600" s="126">
        <v>45803</v>
      </c>
      <c r="S1600" s="153">
        <f>IF(L1600="","",L1600-B1600)</f>
        <v>4</v>
      </c>
      <c r="T1600" s="153">
        <f>IF(N1600="","",N1600-L1600)</f>
        <v>3</v>
      </c>
      <c r="U1600" s="153">
        <f>IF(O1600="","",O1600-N1600)</f>
        <v>0</v>
      </c>
      <c r="V1600" s="154">
        <f>IF(O1600="","",O1600-B1600)</f>
        <v>7</v>
      </c>
      <c r="W1600" s="154">
        <f>IF(O1600="","",O1600-L1600)</f>
        <v>3</v>
      </c>
      <c r="X1600" s="154">
        <f>IF(R1600="","",R1600-B1600)</f>
        <v>7</v>
      </c>
    </row>
    <row r="1601" spans="2:24" ht="17.25" hidden="1" customHeight="1">
      <c r="B1601" s="23">
        <v>45796</v>
      </c>
      <c r="C1601" s="7">
        <v>2003683373</v>
      </c>
      <c r="D1601" s="20">
        <v>5945857</v>
      </c>
      <c r="E1601" s="27" t="s">
        <v>622</v>
      </c>
      <c r="F1601" s="7" t="s">
        <v>107</v>
      </c>
      <c r="G1601" s="7" t="s">
        <v>18</v>
      </c>
      <c r="H1601" s="7" t="s">
        <v>45</v>
      </c>
      <c r="I1601" s="20" t="s">
        <v>2521</v>
      </c>
      <c r="J1601" s="20" t="s">
        <v>601</v>
      </c>
      <c r="K1601" s="7" t="s">
        <v>111</v>
      </c>
      <c r="L1601" s="61">
        <v>45799</v>
      </c>
      <c r="M1601" s="7" t="s">
        <v>111</v>
      </c>
      <c r="N1601" s="24">
        <v>45800</v>
      </c>
      <c r="O1601" s="23">
        <v>45803</v>
      </c>
      <c r="P1601" s="59"/>
      <c r="Q1601" s="124" t="e">
        <f>P1601*#REF!</f>
        <v>#REF!</v>
      </c>
      <c r="R1601" s="126">
        <v>45804</v>
      </c>
      <c r="S1601" s="153">
        <f>IF(L1601="","",L1601-B1601)</f>
        <v>3</v>
      </c>
      <c r="T1601" s="153">
        <f>IF(N1601="","",N1601-L1601)</f>
        <v>1</v>
      </c>
      <c r="U1601" s="153">
        <f>IF(O1601="","",O1601-N1601)</f>
        <v>3</v>
      </c>
      <c r="V1601" s="154">
        <f>IF(O1601="","",O1601-B1601)</f>
        <v>7</v>
      </c>
      <c r="W1601" s="154">
        <f>IF(O1601="","",O1601-L1601)</f>
        <v>4</v>
      </c>
      <c r="X1601" s="154">
        <f>IF(R1601="","",R1601-B1601)</f>
        <v>8</v>
      </c>
    </row>
    <row r="1602" spans="2:24" ht="17.25" hidden="1" customHeight="1">
      <c r="B1602" s="23">
        <v>45796</v>
      </c>
      <c r="C1602" s="7">
        <v>2003689872</v>
      </c>
      <c r="D1602" s="20">
        <v>5945912</v>
      </c>
      <c r="E1602" s="27" t="s">
        <v>123</v>
      </c>
      <c r="F1602" s="7" t="s">
        <v>107</v>
      </c>
      <c r="G1602" s="7" t="s">
        <v>10</v>
      </c>
      <c r="H1602" s="7" t="s">
        <v>45</v>
      </c>
      <c r="I1602" s="20" t="s">
        <v>2500</v>
      </c>
      <c r="J1602" s="20" t="s">
        <v>118</v>
      </c>
      <c r="K1602" s="7" t="s">
        <v>119</v>
      </c>
      <c r="L1602" s="61">
        <v>45800</v>
      </c>
      <c r="M1602" s="7" t="s">
        <v>111</v>
      </c>
      <c r="N1602" s="24">
        <v>45801</v>
      </c>
      <c r="O1602" s="23">
        <v>45803</v>
      </c>
      <c r="P1602" s="59"/>
      <c r="Q1602" s="124" t="e">
        <f>P1602*#REF!</f>
        <v>#REF!</v>
      </c>
      <c r="R1602" s="126">
        <v>45807</v>
      </c>
      <c r="S1602" s="153">
        <f>IF(L1602="","",L1602-B1602)</f>
        <v>4</v>
      </c>
      <c r="T1602" s="153">
        <f>IF(N1602="","",N1602-L1602)</f>
        <v>1</v>
      </c>
      <c r="U1602" s="153">
        <f>IF(O1602="","",O1602-N1602)</f>
        <v>2</v>
      </c>
      <c r="V1602" s="154">
        <f>IF(O1602="","",O1602-B1602)</f>
        <v>7</v>
      </c>
      <c r="W1602" s="154">
        <f>IF(O1602="","",O1602-L1602)</f>
        <v>3</v>
      </c>
      <c r="X1602" s="154">
        <f>IF(R1602="","",R1602-B1602)</f>
        <v>11</v>
      </c>
    </row>
    <row r="1603" spans="2:24" ht="17.25" hidden="1" customHeight="1">
      <c r="B1603" s="23">
        <v>45796</v>
      </c>
      <c r="C1603" s="7">
        <v>2003689015</v>
      </c>
      <c r="D1603" s="20">
        <v>5946161</v>
      </c>
      <c r="E1603" s="27" t="s">
        <v>622</v>
      </c>
      <c r="F1603" s="7" t="s">
        <v>107</v>
      </c>
      <c r="G1603" s="7" t="s">
        <v>10</v>
      </c>
      <c r="H1603" s="7" t="s">
        <v>45</v>
      </c>
      <c r="I1603" s="20" t="s">
        <v>2522</v>
      </c>
      <c r="J1603" s="20" t="s">
        <v>2523</v>
      </c>
      <c r="K1603" s="7" t="s">
        <v>119</v>
      </c>
      <c r="L1603" s="61">
        <v>45799</v>
      </c>
      <c r="M1603" s="7" t="s">
        <v>111</v>
      </c>
      <c r="N1603" s="24">
        <v>45801</v>
      </c>
      <c r="O1603" s="130">
        <v>45804</v>
      </c>
      <c r="P1603" s="59"/>
      <c r="Q1603" s="124" t="e">
        <f>P1603*#REF!</f>
        <v>#REF!</v>
      </c>
      <c r="R1603" s="126">
        <v>45804</v>
      </c>
      <c r="S1603" s="153">
        <f>IF(L1603="","",L1603-B1603)</f>
        <v>3</v>
      </c>
      <c r="T1603" s="153">
        <f>IF(N1603="","",N1603-L1603)</f>
        <v>2</v>
      </c>
      <c r="U1603" s="153">
        <f>IF(O1603="","",O1603-N1603)</f>
        <v>3</v>
      </c>
      <c r="V1603" s="154">
        <f>IF(O1603="","",O1603-B1603)</f>
        <v>8</v>
      </c>
      <c r="W1603" s="154">
        <f>IF(O1603="","",O1603-L1603)</f>
        <v>5</v>
      </c>
      <c r="X1603" s="154">
        <f>IF(R1603="","",R1603-B1603)</f>
        <v>8</v>
      </c>
    </row>
    <row r="1604" spans="2:24" ht="17.25" hidden="1" customHeight="1">
      <c r="B1604" s="23">
        <v>45796</v>
      </c>
      <c r="C1604" s="7">
        <v>2003645327</v>
      </c>
      <c r="D1604" s="20">
        <v>5946176</v>
      </c>
      <c r="E1604" s="27" t="s">
        <v>138</v>
      </c>
      <c r="F1604" s="7" t="s">
        <v>107</v>
      </c>
      <c r="G1604" s="7" t="s">
        <v>10</v>
      </c>
      <c r="H1604" s="7" t="s">
        <v>45</v>
      </c>
      <c r="I1604" s="20" t="s">
        <v>2524</v>
      </c>
      <c r="J1604" s="20" t="s">
        <v>2525</v>
      </c>
      <c r="K1604" s="7" t="s">
        <v>119</v>
      </c>
      <c r="L1604" s="61">
        <v>45800</v>
      </c>
      <c r="M1604" s="7" t="s">
        <v>111</v>
      </c>
      <c r="N1604" s="24">
        <v>45801</v>
      </c>
      <c r="O1604" s="24">
        <v>45801</v>
      </c>
      <c r="P1604" s="59"/>
      <c r="Q1604" s="124" t="e">
        <f>P1604*#REF!</f>
        <v>#REF!</v>
      </c>
      <c r="R1604" s="126">
        <v>45803</v>
      </c>
      <c r="S1604" s="153">
        <f>IF(L1604="","",L1604-B1604)</f>
        <v>4</v>
      </c>
      <c r="T1604" s="153">
        <f>IF(N1604="","",N1604-L1604)</f>
        <v>1</v>
      </c>
      <c r="U1604" s="153">
        <f>IF(O1604="","",O1604-N1604)</f>
        <v>0</v>
      </c>
      <c r="V1604" s="154">
        <f>IF(O1604="","",O1604-B1604)</f>
        <v>5</v>
      </c>
      <c r="W1604" s="154">
        <f>IF(O1604="","",O1604-L1604)</f>
        <v>1</v>
      </c>
      <c r="X1604" s="154">
        <f>IF(R1604="","",R1604-B1604)</f>
        <v>7</v>
      </c>
    </row>
    <row r="1605" spans="2:24" ht="17.25" hidden="1" customHeight="1">
      <c r="B1605" s="23">
        <v>45796</v>
      </c>
      <c r="C1605" s="7">
        <v>2003683697</v>
      </c>
      <c r="D1605" s="20">
        <v>5946232</v>
      </c>
      <c r="E1605" s="27" t="s">
        <v>185</v>
      </c>
      <c r="F1605" s="7" t="s">
        <v>107</v>
      </c>
      <c r="G1605" s="7" t="s">
        <v>10</v>
      </c>
      <c r="H1605" s="7" t="s">
        <v>45</v>
      </c>
      <c r="I1605" s="20" t="s">
        <v>173</v>
      </c>
      <c r="J1605" s="20" t="s">
        <v>2526</v>
      </c>
      <c r="K1605" s="7" t="s">
        <v>119</v>
      </c>
      <c r="L1605" s="61">
        <v>45797</v>
      </c>
      <c r="M1605" s="7" t="s">
        <v>111</v>
      </c>
      <c r="N1605" s="61">
        <v>45797</v>
      </c>
      <c r="O1605" s="58">
        <v>45799</v>
      </c>
      <c r="P1605" s="59"/>
      <c r="Q1605" s="124" t="e">
        <f>P1605*#REF!</f>
        <v>#REF!</v>
      </c>
      <c r="R1605" s="126">
        <v>45800</v>
      </c>
      <c r="S1605" s="153">
        <f>IF(L1605="","",L1605-B1605)</f>
        <v>1</v>
      </c>
      <c r="T1605" s="153">
        <f>IF(N1605="","",N1605-L1605)</f>
        <v>0</v>
      </c>
      <c r="U1605" s="153">
        <f>IF(O1605="","",O1605-N1605)</f>
        <v>2</v>
      </c>
      <c r="V1605" s="154">
        <f>IF(O1605="","",O1605-B1605)</f>
        <v>3</v>
      </c>
      <c r="W1605" s="154">
        <f>IF(O1605="","",O1605-L1605)</f>
        <v>2</v>
      </c>
      <c r="X1605" s="154">
        <f>IF(R1605="","",R1605-B1605)</f>
        <v>4</v>
      </c>
    </row>
    <row r="1606" spans="2:24" ht="17.25" hidden="1" customHeight="1">
      <c r="B1606" s="23">
        <v>45796</v>
      </c>
      <c r="C1606" s="7">
        <v>2003665351</v>
      </c>
      <c r="D1606" s="20">
        <v>5946239</v>
      </c>
      <c r="E1606" s="27" t="s">
        <v>185</v>
      </c>
      <c r="F1606" s="7" t="s">
        <v>107</v>
      </c>
      <c r="G1606" s="7" t="s">
        <v>10</v>
      </c>
      <c r="H1606" s="7" t="s">
        <v>45</v>
      </c>
      <c r="I1606" s="20" t="s">
        <v>2527</v>
      </c>
      <c r="J1606" s="20" t="s">
        <v>2528</v>
      </c>
      <c r="K1606" s="7" t="s">
        <v>119</v>
      </c>
      <c r="L1606" s="61">
        <v>45798</v>
      </c>
      <c r="M1606" s="7" t="s">
        <v>111</v>
      </c>
      <c r="N1606" s="24">
        <v>45800</v>
      </c>
      <c r="O1606" s="106">
        <v>45800</v>
      </c>
      <c r="P1606" s="59"/>
      <c r="Q1606" s="124" t="e">
        <f>P1606*#REF!</f>
        <v>#REF!</v>
      </c>
      <c r="R1606" s="126">
        <v>45803</v>
      </c>
      <c r="S1606" s="153">
        <f>IF(L1606="","",L1606-B1606)</f>
        <v>2</v>
      </c>
      <c r="T1606" s="153">
        <f>IF(N1606="","",N1606-L1606)</f>
        <v>2</v>
      </c>
      <c r="U1606" s="153">
        <f>IF(O1606="","",O1606-N1606)</f>
        <v>0</v>
      </c>
      <c r="V1606" s="154">
        <f>IF(O1606="","",O1606-B1606)</f>
        <v>4</v>
      </c>
      <c r="W1606" s="154">
        <f>IF(O1606="","",O1606-L1606)</f>
        <v>2</v>
      </c>
      <c r="X1606" s="154">
        <f>IF(R1606="","",R1606-B1606)</f>
        <v>7</v>
      </c>
    </row>
    <row r="1607" spans="2:24" ht="17.25" hidden="1" customHeight="1">
      <c r="B1607" s="23">
        <v>45796</v>
      </c>
      <c r="C1607" s="7">
        <v>2003629777</v>
      </c>
      <c r="D1607" s="20">
        <v>5946269</v>
      </c>
      <c r="E1607" s="27" t="s">
        <v>185</v>
      </c>
      <c r="F1607" s="7" t="s">
        <v>107</v>
      </c>
      <c r="G1607" s="7" t="s">
        <v>10</v>
      </c>
      <c r="H1607" s="7" t="s">
        <v>45</v>
      </c>
      <c r="I1607" s="20" t="s">
        <v>2529</v>
      </c>
      <c r="J1607" s="20" t="s">
        <v>2530</v>
      </c>
      <c r="K1607" s="7" t="s">
        <v>110</v>
      </c>
      <c r="L1607" s="61">
        <v>45800</v>
      </c>
      <c r="M1607" s="7" t="s">
        <v>111</v>
      </c>
      <c r="N1607" s="61">
        <v>45800</v>
      </c>
      <c r="O1607" s="23">
        <v>45803</v>
      </c>
      <c r="P1607" s="59"/>
      <c r="Q1607" s="124" t="e">
        <f>P1607*#REF!</f>
        <v>#REF!</v>
      </c>
      <c r="R1607" s="126">
        <v>45804</v>
      </c>
      <c r="S1607" s="153">
        <f>IF(L1607="","",L1607-B1607)</f>
        <v>4</v>
      </c>
      <c r="T1607" s="153">
        <f>IF(N1607="","",N1607-L1607)</f>
        <v>0</v>
      </c>
      <c r="U1607" s="153">
        <f>IF(O1607="","",O1607-N1607)</f>
        <v>3</v>
      </c>
      <c r="V1607" s="154">
        <f>IF(O1607="","",O1607-B1607)</f>
        <v>7</v>
      </c>
      <c r="W1607" s="154">
        <f>IF(O1607="","",O1607-L1607)</f>
        <v>3</v>
      </c>
      <c r="X1607" s="154">
        <f>IF(R1607="","",R1607-B1607)</f>
        <v>8</v>
      </c>
    </row>
    <row r="1608" spans="2:24" ht="17.25" hidden="1" customHeight="1">
      <c r="B1608" s="23">
        <v>45796</v>
      </c>
      <c r="C1608" s="7">
        <v>2003644109</v>
      </c>
      <c r="D1608" s="20">
        <v>5946407</v>
      </c>
      <c r="E1608" s="27" t="s">
        <v>185</v>
      </c>
      <c r="F1608" s="7" t="s">
        <v>107</v>
      </c>
      <c r="G1608" s="7" t="s">
        <v>26</v>
      </c>
      <c r="H1608" s="7" t="s">
        <v>45</v>
      </c>
      <c r="I1608" s="20" t="s">
        <v>623</v>
      </c>
      <c r="J1608" s="20" t="s">
        <v>2531</v>
      </c>
      <c r="K1608" s="7" t="s">
        <v>119</v>
      </c>
      <c r="L1608" s="61">
        <v>45798</v>
      </c>
      <c r="M1608" s="7" t="s">
        <v>111</v>
      </c>
      <c r="N1608" s="24">
        <v>45803</v>
      </c>
      <c r="O1608" s="23">
        <v>45803</v>
      </c>
      <c r="P1608" s="59"/>
      <c r="Q1608" s="124" t="e">
        <f>P1608*#REF!</f>
        <v>#REF!</v>
      </c>
      <c r="R1608" s="126">
        <v>45803</v>
      </c>
      <c r="S1608" s="153">
        <f>IF(L1608="","",L1608-B1608)</f>
        <v>2</v>
      </c>
      <c r="T1608" s="153">
        <f>IF(N1608="","",N1608-L1608)</f>
        <v>5</v>
      </c>
      <c r="U1608" s="153">
        <f>IF(O1608="","",O1608-N1608)</f>
        <v>0</v>
      </c>
      <c r="V1608" s="154">
        <f>IF(O1608="","",O1608-B1608)</f>
        <v>7</v>
      </c>
      <c r="W1608" s="154">
        <f>IF(O1608="","",O1608-L1608)</f>
        <v>5</v>
      </c>
      <c r="X1608" s="154">
        <f>IF(R1608="","",R1608-B1608)</f>
        <v>7</v>
      </c>
    </row>
    <row r="1609" spans="2:24" ht="17.25" hidden="1" customHeight="1">
      <c r="B1609" s="23">
        <v>45798</v>
      </c>
      <c r="C1609" s="7">
        <v>2003376702</v>
      </c>
      <c r="D1609" s="20">
        <v>5948567</v>
      </c>
      <c r="E1609" s="27" t="s">
        <v>177</v>
      </c>
      <c r="F1609" s="7" t="s">
        <v>113</v>
      </c>
      <c r="G1609" s="7" t="s">
        <v>70</v>
      </c>
      <c r="H1609" s="7" t="s">
        <v>47</v>
      </c>
      <c r="I1609" s="20" t="s">
        <v>2532</v>
      </c>
      <c r="J1609" s="20" t="s">
        <v>2533</v>
      </c>
      <c r="K1609" s="7" t="s">
        <v>119</v>
      </c>
      <c r="L1609" s="61">
        <v>45800</v>
      </c>
      <c r="M1609" s="7" t="s">
        <v>111</v>
      </c>
      <c r="N1609" s="24">
        <v>45803</v>
      </c>
      <c r="O1609" s="58">
        <v>45803</v>
      </c>
      <c r="P1609" s="59"/>
      <c r="Q1609" s="124" t="e">
        <f>P1609*#REF!</f>
        <v>#REF!</v>
      </c>
      <c r="R1609" s="126">
        <v>45803</v>
      </c>
      <c r="S1609" s="153">
        <f>IF(L1609="","",L1609-B1609)</f>
        <v>2</v>
      </c>
      <c r="T1609" s="153">
        <f>IF(N1609="","",N1609-L1609)</f>
        <v>3</v>
      </c>
      <c r="U1609" s="153">
        <f>IF(O1609="","",O1609-N1609)</f>
        <v>0</v>
      </c>
      <c r="V1609" s="154">
        <f>IF(O1609="","",O1609-B1609)</f>
        <v>5</v>
      </c>
      <c r="W1609" s="154">
        <f>IF(O1609="","",O1609-L1609)</f>
        <v>3</v>
      </c>
      <c r="X1609" s="154">
        <f>IF(R1609="","",R1609-B1609)</f>
        <v>5</v>
      </c>
    </row>
    <row r="1610" spans="2:24" ht="17.25" hidden="1" customHeight="1">
      <c r="B1610" s="23">
        <v>45796</v>
      </c>
      <c r="C1610" s="7">
        <v>2003691134</v>
      </c>
      <c r="D1610" s="20">
        <v>5946456</v>
      </c>
      <c r="E1610" s="27" t="s">
        <v>123</v>
      </c>
      <c r="F1610" s="7" t="s">
        <v>107</v>
      </c>
      <c r="G1610" s="7" t="s">
        <v>10</v>
      </c>
      <c r="H1610" s="7" t="s">
        <v>45</v>
      </c>
      <c r="I1610" s="20" t="s">
        <v>2534</v>
      </c>
      <c r="J1610" s="20" t="s">
        <v>2535</v>
      </c>
      <c r="K1610" s="7" t="s">
        <v>119</v>
      </c>
      <c r="L1610" s="61">
        <v>45798</v>
      </c>
      <c r="M1610" s="7" t="s">
        <v>111</v>
      </c>
      <c r="N1610" s="24">
        <v>45800</v>
      </c>
      <c r="O1610" s="61">
        <v>45804</v>
      </c>
      <c r="P1610" s="59"/>
      <c r="Q1610" s="124" t="e">
        <f>P1610*#REF!</f>
        <v>#REF!</v>
      </c>
      <c r="R1610" s="126">
        <v>45804</v>
      </c>
      <c r="S1610" s="153">
        <f>IF(L1610="","",L1610-B1610)</f>
        <v>2</v>
      </c>
      <c r="T1610" s="153">
        <f>IF(N1610="","",N1610-L1610)</f>
        <v>2</v>
      </c>
      <c r="U1610" s="153">
        <f>IF(O1610="","",O1610-N1610)</f>
        <v>4</v>
      </c>
      <c r="V1610" s="154">
        <f>IF(O1610="","",O1610-B1610)</f>
        <v>8</v>
      </c>
      <c r="W1610" s="154">
        <f>IF(O1610="","",O1610-L1610)</f>
        <v>6</v>
      </c>
      <c r="X1610" s="154">
        <f>IF(R1610="","",R1610-B1610)</f>
        <v>8</v>
      </c>
    </row>
    <row r="1611" spans="2:24" ht="17.25" hidden="1" customHeight="1">
      <c r="B1611" s="23">
        <v>45796</v>
      </c>
      <c r="C1611" s="7">
        <v>2003581202</v>
      </c>
      <c r="D1611" s="20">
        <v>5946477</v>
      </c>
      <c r="E1611" s="27" t="s">
        <v>116</v>
      </c>
      <c r="F1611" s="7" t="s">
        <v>107</v>
      </c>
      <c r="G1611" s="7" t="s">
        <v>10</v>
      </c>
      <c r="H1611" s="7" t="s">
        <v>45</v>
      </c>
      <c r="I1611" s="20" t="s">
        <v>579</v>
      </c>
      <c r="J1611" s="20" t="s">
        <v>580</v>
      </c>
      <c r="K1611" s="7" t="s">
        <v>119</v>
      </c>
      <c r="L1611" s="61">
        <v>45797</v>
      </c>
      <c r="M1611" s="7" t="s">
        <v>111</v>
      </c>
      <c r="N1611" s="61">
        <v>45797</v>
      </c>
      <c r="O1611" s="61">
        <v>45797</v>
      </c>
      <c r="P1611" s="59"/>
      <c r="Q1611" s="124" t="e">
        <f>P1611*#REF!</f>
        <v>#REF!</v>
      </c>
      <c r="R1611" s="126">
        <v>45798</v>
      </c>
      <c r="S1611" s="153">
        <f>IF(L1611="","",L1611-B1611)</f>
        <v>1</v>
      </c>
      <c r="T1611" s="153">
        <f>IF(N1611="","",N1611-L1611)</f>
        <v>0</v>
      </c>
      <c r="U1611" s="153">
        <f>IF(O1611="","",O1611-N1611)</f>
        <v>0</v>
      </c>
      <c r="V1611" s="154">
        <f>IF(O1611="","",O1611-B1611)</f>
        <v>1</v>
      </c>
      <c r="W1611" s="154">
        <f>IF(O1611="","",O1611-L1611)</f>
        <v>0</v>
      </c>
      <c r="X1611" s="154">
        <f>IF(R1611="","",R1611-B1611)</f>
        <v>2</v>
      </c>
    </row>
    <row r="1612" spans="2:24" ht="17.25" hidden="1" customHeight="1">
      <c r="B1612" s="23">
        <v>45796</v>
      </c>
      <c r="C1612" s="7">
        <v>2003691491</v>
      </c>
      <c r="D1612" s="20">
        <v>5946517</v>
      </c>
      <c r="E1612" s="27" t="s">
        <v>1225</v>
      </c>
      <c r="F1612" s="7" t="s">
        <v>107</v>
      </c>
      <c r="G1612" s="7" t="s">
        <v>26</v>
      </c>
      <c r="H1612" s="7" t="s">
        <v>45</v>
      </c>
      <c r="I1612" s="20" t="s">
        <v>904</v>
      </c>
      <c r="J1612" s="20" t="s">
        <v>2536</v>
      </c>
      <c r="K1612" s="7" t="s">
        <v>110</v>
      </c>
      <c r="L1612" s="61">
        <v>45799</v>
      </c>
      <c r="M1612" s="7" t="s">
        <v>111</v>
      </c>
      <c r="N1612" s="24">
        <v>45803</v>
      </c>
      <c r="O1612" s="58">
        <v>45803</v>
      </c>
      <c r="P1612" s="59"/>
      <c r="Q1612" s="124" t="e">
        <f>P1612*#REF!</f>
        <v>#REF!</v>
      </c>
      <c r="R1612" s="126">
        <v>45803</v>
      </c>
      <c r="S1612" s="153">
        <f>IF(L1612="","",L1612-B1612)</f>
        <v>3</v>
      </c>
      <c r="T1612" s="153">
        <f>IF(N1612="","",N1612-L1612)</f>
        <v>4</v>
      </c>
      <c r="U1612" s="153">
        <f>IF(O1612="","",O1612-N1612)</f>
        <v>0</v>
      </c>
      <c r="V1612" s="154">
        <f>IF(O1612="","",O1612-B1612)</f>
        <v>7</v>
      </c>
      <c r="W1612" s="154">
        <f>IF(O1612="","",O1612-L1612)</f>
        <v>4</v>
      </c>
      <c r="X1612" s="154">
        <f>IF(R1612="","",R1612-B1612)</f>
        <v>7</v>
      </c>
    </row>
    <row r="1613" spans="2:24" ht="17.25" hidden="1" customHeight="1">
      <c r="B1613" s="23">
        <v>45796</v>
      </c>
      <c r="C1613" s="7">
        <v>2003684439</v>
      </c>
      <c r="D1613" s="20">
        <v>5946534</v>
      </c>
      <c r="E1613" s="27" t="s">
        <v>185</v>
      </c>
      <c r="F1613" s="7" t="s">
        <v>107</v>
      </c>
      <c r="G1613" s="7" t="s">
        <v>10</v>
      </c>
      <c r="H1613" s="7" t="s">
        <v>45</v>
      </c>
      <c r="I1613" s="20" t="s">
        <v>2537</v>
      </c>
      <c r="J1613" s="20" t="s">
        <v>2538</v>
      </c>
      <c r="K1613" s="7" t="s">
        <v>119</v>
      </c>
      <c r="L1613" s="61">
        <v>45797</v>
      </c>
      <c r="M1613" s="7" t="s">
        <v>111</v>
      </c>
      <c r="N1613" s="61">
        <v>45797</v>
      </c>
      <c r="O1613" s="23">
        <v>45799</v>
      </c>
      <c r="P1613" s="59"/>
      <c r="Q1613" s="124" t="e">
        <f>P1613*#REF!</f>
        <v>#REF!</v>
      </c>
      <c r="R1613" s="126">
        <v>45800</v>
      </c>
      <c r="S1613" s="153">
        <f>IF(L1613="","",L1613-B1613)</f>
        <v>1</v>
      </c>
      <c r="T1613" s="153">
        <f>IF(N1613="","",N1613-L1613)</f>
        <v>0</v>
      </c>
      <c r="U1613" s="153">
        <f>IF(O1613="","",O1613-N1613)</f>
        <v>2</v>
      </c>
      <c r="V1613" s="154">
        <f>IF(O1613="","",O1613-B1613)</f>
        <v>3</v>
      </c>
      <c r="W1613" s="154">
        <f>IF(O1613="","",O1613-L1613)</f>
        <v>2</v>
      </c>
      <c r="X1613" s="154">
        <f>IF(R1613="","",R1613-B1613)</f>
        <v>4</v>
      </c>
    </row>
    <row r="1614" spans="2:24" ht="17.25" hidden="1" customHeight="1">
      <c r="B1614" s="23">
        <v>45796</v>
      </c>
      <c r="C1614" s="7">
        <v>2003671684</v>
      </c>
      <c r="D1614" s="20">
        <v>5946550</v>
      </c>
      <c r="E1614" s="27" t="s">
        <v>149</v>
      </c>
      <c r="F1614" s="7" t="s">
        <v>107</v>
      </c>
      <c r="G1614" s="7" t="s">
        <v>10</v>
      </c>
      <c r="H1614" s="7" t="s">
        <v>45</v>
      </c>
      <c r="I1614" s="20" t="s">
        <v>833</v>
      </c>
      <c r="J1614" s="20" t="s">
        <v>2539</v>
      </c>
      <c r="K1614" s="7" t="s">
        <v>110</v>
      </c>
      <c r="L1614" s="61">
        <v>45798</v>
      </c>
      <c r="M1614" s="7" t="s">
        <v>111</v>
      </c>
      <c r="N1614" s="24">
        <v>45804</v>
      </c>
      <c r="O1614" s="24">
        <v>45804</v>
      </c>
      <c r="P1614" s="59"/>
      <c r="Q1614" s="124" t="e">
        <f>P1614*#REF!</f>
        <v>#REF!</v>
      </c>
      <c r="R1614" s="126">
        <v>45804</v>
      </c>
      <c r="S1614" s="153">
        <f>IF(L1614="","",L1614-B1614)</f>
        <v>2</v>
      </c>
      <c r="T1614" s="153">
        <f>IF(N1614="","",N1614-L1614)</f>
        <v>6</v>
      </c>
      <c r="U1614" s="153">
        <f>IF(O1614="","",O1614-N1614)</f>
        <v>0</v>
      </c>
      <c r="V1614" s="154">
        <f>IF(O1614="","",O1614-B1614)</f>
        <v>8</v>
      </c>
      <c r="W1614" s="154">
        <f>IF(O1614="","",O1614-L1614)</f>
        <v>6</v>
      </c>
      <c r="X1614" s="154">
        <f>IF(R1614="","",R1614-B1614)</f>
        <v>8</v>
      </c>
    </row>
    <row r="1615" spans="2:24" ht="17.25" hidden="1" customHeight="1">
      <c r="B1615" s="23">
        <v>45796</v>
      </c>
      <c r="C1615" s="7">
        <v>2003667122</v>
      </c>
      <c r="D1615" s="20">
        <v>5946573</v>
      </c>
      <c r="E1615" s="27" t="s">
        <v>149</v>
      </c>
      <c r="F1615" s="7" t="s">
        <v>107</v>
      </c>
      <c r="G1615" s="7" t="s">
        <v>10</v>
      </c>
      <c r="H1615" s="7" t="s">
        <v>45</v>
      </c>
      <c r="I1615" s="20" t="s">
        <v>2540</v>
      </c>
      <c r="J1615" s="20" t="s">
        <v>2541</v>
      </c>
      <c r="K1615" s="7" t="s">
        <v>110</v>
      </c>
      <c r="L1615" s="61">
        <v>45799</v>
      </c>
      <c r="M1615" s="7" t="s">
        <v>111</v>
      </c>
      <c r="N1615" s="24">
        <v>45800</v>
      </c>
      <c r="O1615" s="106">
        <v>45800</v>
      </c>
      <c r="P1615" s="59"/>
      <c r="Q1615" s="124" t="e">
        <f>P1615*#REF!</f>
        <v>#REF!</v>
      </c>
      <c r="R1615" s="126">
        <v>45803</v>
      </c>
      <c r="S1615" s="153">
        <f>IF(L1615="","",L1615-B1615)</f>
        <v>3</v>
      </c>
      <c r="T1615" s="153">
        <f>IF(N1615="","",N1615-L1615)</f>
        <v>1</v>
      </c>
      <c r="U1615" s="153">
        <f>IF(O1615="","",O1615-N1615)</f>
        <v>0</v>
      </c>
      <c r="V1615" s="154">
        <f>IF(O1615="","",O1615-B1615)</f>
        <v>4</v>
      </c>
      <c r="W1615" s="154">
        <f>IF(O1615="","",O1615-L1615)</f>
        <v>1</v>
      </c>
      <c r="X1615" s="154">
        <f>IF(R1615="","",R1615-B1615)</f>
        <v>7</v>
      </c>
    </row>
    <row r="1616" spans="2:24" ht="17.25" hidden="1" customHeight="1">
      <c r="B1616" s="23">
        <v>45799</v>
      </c>
      <c r="C1616" s="7">
        <v>2003694675</v>
      </c>
      <c r="D1616" s="20">
        <v>5949246</v>
      </c>
      <c r="E1616" s="27" t="s">
        <v>230</v>
      </c>
      <c r="F1616" s="7" t="s">
        <v>107</v>
      </c>
      <c r="G1616" s="7" t="s">
        <v>10</v>
      </c>
      <c r="H1616" s="7" t="s">
        <v>45</v>
      </c>
      <c r="I1616" s="20" t="s">
        <v>2542</v>
      </c>
      <c r="J1616" s="20" t="s">
        <v>2543</v>
      </c>
      <c r="K1616" s="7" t="s">
        <v>119</v>
      </c>
      <c r="L1616" s="61">
        <v>45803</v>
      </c>
      <c r="M1616" s="7" t="s">
        <v>111</v>
      </c>
      <c r="N1616" s="24">
        <v>45810</v>
      </c>
      <c r="O1616" s="24">
        <v>45810</v>
      </c>
      <c r="P1616" s="59"/>
      <c r="Q1616" s="124" t="e">
        <f>P1616*#REF!</f>
        <v>#REF!</v>
      </c>
      <c r="R1616" s="126">
        <v>45812</v>
      </c>
      <c r="S1616" s="153">
        <f>IF(L1616="","",L1616-B1616)</f>
        <v>4</v>
      </c>
      <c r="T1616" s="153">
        <f>IF(N1616="","",N1616-L1616)</f>
        <v>7</v>
      </c>
      <c r="U1616" s="153">
        <f>IF(O1616="","",O1616-N1616)</f>
        <v>0</v>
      </c>
      <c r="V1616" s="154">
        <f>IF(O1616="","",O1616-B1616)</f>
        <v>11</v>
      </c>
      <c r="W1616" s="154">
        <f>IF(O1616="","",O1616-L1616)</f>
        <v>7</v>
      </c>
      <c r="X1616" s="154">
        <f>IF(R1616="","",R1616-B1616)</f>
        <v>13</v>
      </c>
    </row>
    <row r="1617" spans="2:24" ht="17.25" hidden="1" customHeight="1">
      <c r="B1617" s="23">
        <v>45796</v>
      </c>
      <c r="C1617" s="7">
        <v>2003665706</v>
      </c>
      <c r="D1617" s="20">
        <v>5946612</v>
      </c>
      <c r="E1617" s="27" t="s">
        <v>191</v>
      </c>
      <c r="F1617" s="7" t="s">
        <v>107</v>
      </c>
      <c r="G1617" s="7" t="s">
        <v>26</v>
      </c>
      <c r="H1617" s="7" t="s">
        <v>45</v>
      </c>
      <c r="I1617" s="20" t="s">
        <v>2544</v>
      </c>
      <c r="J1617" s="20" t="s">
        <v>2545</v>
      </c>
      <c r="K1617" s="7" t="s">
        <v>111</v>
      </c>
      <c r="L1617" s="61">
        <v>45799</v>
      </c>
      <c r="M1617" s="7" t="s">
        <v>111</v>
      </c>
      <c r="N1617" s="24">
        <v>45803</v>
      </c>
      <c r="O1617" s="58">
        <v>45803</v>
      </c>
      <c r="P1617" s="59"/>
      <c r="Q1617" s="124" t="e">
        <f>P1617*#REF!</f>
        <v>#REF!</v>
      </c>
      <c r="R1617" s="126">
        <v>45803</v>
      </c>
      <c r="S1617" s="153">
        <f>IF(L1617="","",L1617-B1617)</f>
        <v>3</v>
      </c>
      <c r="T1617" s="153">
        <f>IF(N1617="","",N1617-L1617)</f>
        <v>4</v>
      </c>
      <c r="U1617" s="153">
        <f>IF(O1617="","",O1617-N1617)</f>
        <v>0</v>
      </c>
      <c r="V1617" s="154">
        <f>IF(O1617="","",O1617-B1617)</f>
        <v>7</v>
      </c>
      <c r="W1617" s="154">
        <f>IF(O1617="","",O1617-L1617)</f>
        <v>4</v>
      </c>
      <c r="X1617" s="154">
        <f>IF(R1617="","",R1617-B1617)</f>
        <v>7</v>
      </c>
    </row>
    <row r="1618" spans="2:24" ht="17.25" hidden="1" customHeight="1">
      <c r="B1618" s="23">
        <v>45797</v>
      </c>
      <c r="C1618" s="7">
        <v>2003689312</v>
      </c>
      <c r="D1618" s="20">
        <v>5946843</v>
      </c>
      <c r="E1618" s="27" t="s">
        <v>201</v>
      </c>
      <c r="F1618" s="7" t="s">
        <v>107</v>
      </c>
      <c r="G1618" s="7" t="s">
        <v>18</v>
      </c>
      <c r="H1618" s="7" t="s">
        <v>45</v>
      </c>
      <c r="I1618" s="20" t="s">
        <v>2546</v>
      </c>
      <c r="J1618" s="20" t="s">
        <v>2547</v>
      </c>
      <c r="K1618" s="7" t="s">
        <v>111</v>
      </c>
      <c r="L1618" s="61">
        <v>45799</v>
      </c>
      <c r="M1618" s="7" t="s">
        <v>111</v>
      </c>
      <c r="N1618" s="24">
        <v>45800</v>
      </c>
      <c r="O1618" s="58">
        <v>45803</v>
      </c>
      <c r="P1618" s="59"/>
      <c r="Q1618" s="124" t="e">
        <f>P1618*#REF!</f>
        <v>#REF!</v>
      </c>
      <c r="R1618" s="126">
        <v>45804</v>
      </c>
      <c r="S1618" s="153">
        <f>IF(L1618="","",L1618-B1618)</f>
        <v>2</v>
      </c>
      <c r="T1618" s="153">
        <f>IF(N1618="","",N1618-L1618)</f>
        <v>1</v>
      </c>
      <c r="U1618" s="153">
        <f>IF(O1618="","",O1618-N1618)</f>
        <v>3</v>
      </c>
      <c r="V1618" s="154">
        <f>IF(O1618="","",O1618-B1618)</f>
        <v>6</v>
      </c>
      <c r="W1618" s="154">
        <f>IF(O1618="","",O1618-L1618)</f>
        <v>4</v>
      </c>
      <c r="X1618" s="154">
        <f>IF(R1618="","",R1618-B1618)</f>
        <v>7</v>
      </c>
    </row>
    <row r="1619" spans="2:24" ht="17.25" hidden="1" customHeight="1">
      <c r="B1619" s="23">
        <v>45797</v>
      </c>
      <c r="C1619" s="7">
        <v>2003665737</v>
      </c>
      <c r="D1619" s="20">
        <v>5946935</v>
      </c>
      <c r="E1619" s="27" t="s">
        <v>1225</v>
      </c>
      <c r="F1619" s="7" t="s">
        <v>107</v>
      </c>
      <c r="G1619" s="7" t="s">
        <v>18</v>
      </c>
      <c r="H1619" s="7" t="s">
        <v>45</v>
      </c>
      <c r="I1619" s="20" t="s">
        <v>2548</v>
      </c>
      <c r="J1619" s="20" t="s">
        <v>2549</v>
      </c>
      <c r="K1619" s="7" t="s">
        <v>119</v>
      </c>
      <c r="L1619" s="61">
        <v>45799</v>
      </c>
      <c r="M1619" s="7" t="s">
        <v>111</v>
      </c>
      <c r="N1619" s="24">
        <v>45801</v>
      </c>
      <c r="O1619" s="58">
        <v>45803</v>
      </c>
      <c r="P1619" s="59"/>
      <c r="Q1619" s="124" t="e">
        <f>P1619*#REF!</f>
        <v>#REF!</v>
      </c>
      <c r="R1619" s="126">
        <v>45803</v>
      </c>
      <c r="S1619" s="153">
        <f>IF(L1619="","",L1619-B1619)</f>
        <v>2</v>
      </c>
      <c r="T1619" s="153">
        <f>IF(N1619="","",N1619-L1619)</f>
        <v>2</v>
      </c>
      <c r="U1619" s="153">
        <f>IF(O1619="","",O1619-N1619)</f>
        <v>2</v>
      </c>
      <c r="V1619" s="154">
        <f>IF(O1619="","",O1619-B1619)</f>
        <v>6</v>
      </c>
      <c r="W1619" s="154">
        <f>IF(O1619="","",O1619-L1619)</f>
        <v>4</v>
      </c>
      <c r="X1619" s="154">
        <f>IF(R1619="","",R1619-B1619)</f>
        <v>6</v>
      </c>
    </row>
    <row r="1620" spans="2:24" ht="17.25" hidden="1" customHeight="1">
      <c r="B1620" s="23">
        <v>45797</v>
      </c>
      <c r="C1620" s="7">
        <v>2003677760</v>
      </c>
      <c r="D1620" s="20">
        <v>5947366</v>
      </c>
      <c r="E1620" s="27" t="s">
        <v>622</v>
      </c>
      <c r="F1620" s="7" t="s">
        <v>107</v>
      </c>
      <c r="G1620" s="7" t="s">
        <v>21</v>
      </c>
      <c r="H1620" s="7" t="s">
        <v>45</v>
      </c>
      <c r="I1620" s="20" t="s">
        <v>2291</v>
      </c>
      <c r="J1620" s="20" t="s">
        <v>2292</v>
      </c>
      <c r="K1620" s="7" t="s">
        <v>110</v>
      </c>
      <c r="L1620" s="61">
        <v>45798</v>
      </c>
      <c r="M1620" s="7" t="s">
        <v>111</v>
      </c>
      <c r="N1620" s="61">
        <v>45798</v>
      </c>
      <c r="O1620" s="23">
        <v>45799</v>
      </c>
      <c r="P1620" s="59"/>
      <c r="Q1620" s="124" t="e">
        <f>P1620*#REF!</f>
        <v>#REF!</v>
      </c>
      <c r="R1620" s="126">
        <v>45803</v>
      </c>
      <c r="S1620" s="153">
        <f>IF(L1620="","",L1620-B1620)</f>
        <v>1</v>
      </c>
      <c r="T1620" s="153">
        <f>IF(N1620="","",N1620-L1620)</f>
        <v>0</v>
      </c>
      <c r="U1620" s="153">
        <f>IF(O1620="","",O1620-N1620)</f>
        <v>1</v>
      </c>
      <c r="V1620" s="154">
        <f>IF(O1620="","",O1620-B1620)</f>
        <v>2</v>
      </c>
      <c r="W1620" s="154">
        <f>IF(O1620="","",O1620-L1620)</f>
        <v>1</v>
      </c>
      <c r="X1620" s="154">
        <f>IF(R1620="","",R1620-B1620)</f>
        <v>6</v>
      </c>
    </row>
    <row r="1621" spans="2:24" ht="17.25" hidden="1" customHeight="1">
      <c r="B1621" s="23">
        <v>45797</v>
      </c>
      <c r="C1621" s="7">
        <v>2003516273</v>
      </c>
      <c r="D1621" s="20">
        <v>5947420</v>
      </c>
      <c r="E1621" s="27" t="s">
        <v>143</v>
      </c>
      <c r="F1621" s="7" t="s">
        <v>107</v>
      </c>
      <c r="G1621" s="7" t="s">
        <v>21</v>
      </c>
      <c r="H1621" s="7" t="s">
        <v>45</v>
      </c>
      <c r="I1621" s="20" t="s">
        <v>2550</v>
      </c>
      <c r="J1621" s="20" t="s">
        <v>1178</v>
      </c>
      <c r="K1621" s="7" t="s">
        <v>111</v>
      </c>
      <c r="L1621" s="61">
        <v>45799</v>
      </c>
      <c r="M1621" s="7" t="s">
        <v>111</v>
      </c>
      <c r="N1621" s="61">
        <v>45799</v>
      </c>
      <c r="O1621" s="61">
        <v>45799</v>
      </c>
      <c r="P1621" s="59"/>
      <c r="Q1621" s="124" t="e">
        <f>P1621*#REF!</f>
        <v>#REF!</v>
      </c>
      <c r="R1621" s="126">
        <v>45803</v>
      </c>
      <c r="S1621" s="153">
        <f>IF(L1621="","",L1621-B1621)</f>
        <v>2</v>
      </c>
      <c r="T1621" s="153">
        <f>IF(N1621="","",N1621-L1621)</f>
        <v>0</v>
      </c>
      <c r="U1621" s="153">
        <f>IF(O1621="","",O1621-N1621)</f>
        <v>0</v>
      </c>
      <c r="V1621" s="154">
        <f>IF(O1621="","",O1621-B1621)</f>
        <v>2</v>
      </c>
      <c r="W1621" s="154">
        <f>IF(O1621="","",O1621-L1621)</f>
        <v>0</v>
      </c>
      <c r="X1621" s="154">
        <f>IF(R1621="","",R1621-B1621)</f>
        <v>6</v>
      </c>
    </row>
    <row r="1622" spans="2:24" ht="17.25" hidden="1" customHeight="1">
      <c r="B1622" s="23">
        <v>45797</v>
      </c>
      <c r="C1622" s="7">
        <v>2003678185</v>
      </c>
      <c r="D1622" s="20">
        <v>5947455</v>
      </c>
      <c r="E1622" s="27" t="s">
        <v>198</v>
      </c>
      <c r="F1622" s="7" t="s">
        <v>107</v>
      </c>
      <c r="G1622" s="7" t="s">
        <v>10</v>
      </c>
      <c r="H1622" s="7" t="s">
        <v>45</v>
      </c>
      <c r="I1622" s="20" t="s">
        <v>2551</v>
      </c>
      <c r="J1622" s="20" t="s">
        <v>2552</v>
      </c>
      <c r="K1622" s="7" t="s">
        <v>110</v>
      </c>
      <c r="L1622" s="61">
        <v>45798</v>
      </c>
      <c r="M1622" s="7" t="s">
        <v>111</v>
      </c>
      <c r="N1622" s="61">
        <v>45798</v>
      </c>
      <c r="O1622" s="61">
        <v>45798</v>
      </c>
      <c r="P1622" s="59"/>
      <c r="Q1622" s="124" t="e">
        <f>P1622*#REF!</f>
        <v>#REF!</v>
      </c>
      <c r="R1622" s="126">
        <v>45798</v>
      </c>
      <c r="S1622" s="153">
        <f>IF(L1622="","",L1622-B1622)</f>
        <v>1</v>
      </c>
      <c r="T1622" s="153">
        <f>IF(N1622="","",N1622-L1622)</f>
        <v>0</v>
      </c>
      <c r="U1622" s="153">
        <f>IF(O1622="","",O1622-N1622)</f>
        <v>0</v>
      </c>
      <c r="V1622" s="154">
        <f>IF(O1622="","",O1622-B1622)</f>
        <v>1</v>
      </c>
      <c r="W1622" s="154">
        <f>IF(O1622="","",O1622-L1622)</f>
        <v>0</v>
      </c>
      <c r="X1622" s="154">
        <f>IF(R1622="","",R1622-B1622)</f>
        <v>1</v>
      </c>
    </row>
    <row r="1623" spans="2:24" ht="17.25" hidden="1" customHeight="1">
      <c r="B1623" s="23">
        <v>45797</v>
      </c>
      <c r="C1623" s="7">
        <v>2003672140</v>
      </c>
      <c r="D1623" s="20">
        <v>5947573</v>
      </c>
      <c r="E1623" s="27" t="s">
        <v>185</v>
      </c>
      <c r="F1623" s="7" t="s">
        <v>107</v>
      </c>
      <c r="G1623" s="7" t="s">
        <v>10</v>
      </c>
      <c r="H1623" s="7" t="s">
        <v>45</v>
      </c>
      <c r="I1623" s="20" t="s">
        <v>2553</v>
      </c>
      <c r="J1623" s="20" t="s">
        <v>2402</v>
      </c>
      <c r="K1623" s="7" t="s">
        <v>111</v>
      </c>
      <c r="L1623" s="61">
        <v>45798</v>
      </c>
      <c r="M1623" s="7" t="s">
        <v>111</v>
      </c>
      <c r="N1623" s="61">
        <v>45804</v>
      </c>
      <c r="O1623" s="130">
        <v>45804</v>
      </c>
      <c r="P1623" s="59"/>
      <c r="Q1623" s="124" t="e">
        <f>P1623*#REF!</f>
        <v>#REF!</v>
      </c>
      <c r="R1623" s="126">
        <v>45804</v>
      </c>
      <c r="S1623" s="153">
        <f>IF(L1623="","",L1623-B1623)</f>
        <v>1</v>
      </c>
      <c r="T1623" s="153">
        <f>IF(N1623="","",N1623-L1623)</f>
        <v>6</v>
      </c>
      <c r="U1623" s="153">
        <f>IF(O1623="","",O1623-N1623)</f>
        <v>0</v>
      </c>
      <c r="V1623" s="154">
        <f>IF(O1623="","",O1623-B1623)</f>
        <v>7</v>
      </c>
      <c r="W1623" s="154">
        <f>IF(O1623="","",O1623-L1623)</f>
        <v>6</v>
      </c>
      <c r="X1623" s="154">
        <f>IF(R1623="","",R1623-B1623)</f>
        <v>7</v>
      </c>
    </row>
    <row r="1624" spans="2:24" ht="17.25" hidden="1" customHeight="1">
      <c r="B1624" s="23">
        <v>45797</v>
      </c>
      <c r="C1624" s="7">
        <v>2003667717</v>
      </c>
      <c r="D1624" s="20">
        <v>5947607</v>
      </c>
      <c r="E1624" s="27" t="s">
        <v>198</v>
      </c>
      <c r="F1624" s="7" t="s">
        <v>107</v>
      </c>
      <c r="G1624" s="7" t="s">
        <v>10</v>
      </c>
      <c r="H1624" s="7" t="s">
        <v>45</v>
      </c>
      <c r="I1624" s="20" t="s">
        <v>310</v>
      </c>
      <c r="J1624" s="20" t="s">
        <v>2554</v>
      </c>
      <c r="K1624" s="7" t="s">
        <v>110</v>
      </c>
      <c r="L1624" s="61">
        <v>45798</v>
      </c>
      <c r="M1624" s="7" t="s">
        <v>111</v>
      </c>
      <c r="N1624" s="61">
        <v>45798</v>
      </c>
      <c r="O1624" s="61">
        <v>45798</v>
      </c>
      <c r="P1624" s="59"/>
      <c r="Q1624" s="124" t="e">
        <f>P1624*#REF!</f>
        <v>#REF!</v>
      </c>
      <c r="R1624" s="126">
        <v>45804</v>
      </c>
      <c r="S1624" s="153">
        <f>IF(L1624="","",L1624-B1624)</f>
        <v>1</v>
      </c>
      <c r="T1624" s="153">
        <f>IF(N1624="","",N1624-L1624)</f>
        <v>0</v>
      </c>
      <c r="U1624" s="153">
        <f>IF(O1624="","",O1624-N1624)</f>
        <v>0</v>
      </c>
      <c r="V1624" s="154">
        <f>IF(O1624="","",O1624-B1624)</f>
        <v>1</v>
      </c>
      <c r="W1624" s="154">
        <f>IF(O1624="","",O1624-L1624)</f>
        <v>0</v>
      </c>
      <c r="X1624" s="154">
        <f>IF(R1624="","",R1624-B1624)</f>
        <v>7</v>
      </c>
    </row>
    <row r="1625" spans="2:24" ht="17.25" hidden="1" customHeight="1">
      <c r="B1625" s="23">
        <v>45797</v>
      </c>
      <c r="C1625" s="7">
        <v>2003497462</v>
      </c>
      <c r="D1625" s="20">
        <v>5947672</v>
      </c>
      <c r="E1625" s="27" t="s">
        <v>123</v>
      </c>
      <c r="F1625" s="7" t="s">
        <v>107</v>
      </c>
      <c r="G1625" s="7" t="s">
        <v>10</v>
      </c>
      <c r="H1625" s="7" t="s">
        <v>45</v>
      </c>
      <c r="I1625" s="20" t="s">
        <v>2555</v>
      </c>
      <c r="J1625" s="20" t="s">
        <v>2556</v>
      </c>
      <c r="K1625" s="7" t="s">
        <v>119</v>
      </c>
      <c r="L1625" s="61">
        <v>45799</v>
      </c>
      <c r="M1625" s="7" t="s">
        <v>111</v>
      </c>
      <c r="N1625" s="24">
        <v>45801</v>
      </c>
      <c r="O1625" s="23">
        <v>45803</v>
      </c>
      <c r="P1625" s="59"/>
      <c r="Q1625" s="124" t="e">
        <f>P1625*#REF!</f>
        <v>#REF!</v>
      </c>
      <c r="R1625" s="126">
        <v>45804</v>
      </c>
      <c r="S1625" s="153">
        <f>IF(L1625="","",L1625-B1625)</f>
        <v>2</v>
      </c>
      <c r="T1625" s="153">
        <f>IF(N1625="","",N1625-L1625)</f>
        <v>2</v>
      </c>
      <c r="U1625" s="153">
        <f>IF(O1625="","",O1625-N1625)</f>
        <v>2</v>
      </c>
      <c r="V1625" s="154">
        <f>IF(O1625="","",O1625-B1625)</f>
        <v>6</v>
      </c>
      <c r="W1625" s="154">
        <f>IF(O1625="","",O1625-L1625)</f>
        <v>4</v>
      </c>
      <c r="X1625" s="154">
        <f>IF(R1625="","",R1625-B1625)</f>
        <v>7</v>
      </c>
    </row>
    <row r="1626" spans="2:24" ht="17.25" hidden="1" customHeight="1">
      <c r="B1626" s="23">
        <v>45797</v>
      </c>
      <c r="C1626" s="7">
        <v>2003691624</v>
      </c>
      <c r="D1626" s="20">
        <v>5947731</v>
      </c>
      <c r="E1626" s="27" t="s">
        <v>149</v>
      </c>
      <c r="F1626" s="7" t="s">
        <v>107</v>
      </c>
      <c r="G1626" s="7" t="s">
        <v>10</v>
      </c>
      <c r="H1626" s="7" t="s">
        <v>45</v>
      </c>
      <c r="I1626" s="20" t="s">
        <v>2557</v>
      </c>
      <c r="J1626" s="20" t="s">
        <v>2558</v>
      </c>
      <c r="K1626" s="7" t="s">
        <v>110</v>
      </c>
      <c r="L1626" s="61">
        <v>45799</v>
      </c>
      <c r="M1626" s="7" t="s">
        <v>111</v>
      </c>
      <c r="N1626" s="24">
        <v>45800</v>
      </c>
      <c r="O1626" s="24">
        <v>45800</v>
      </c>
      <c r="P1626" s="59"/>
      <c r="Q1626" s="124" t="e">
        <f>P1626*#REF!</f>
        <v>#REF!</v>
      </c>
      <c r="R1626" s="126">
        <v>45803</v>
      </c>
      <c r="S1626" s="153">
        <f>IF(L1626="","",L1626-B1626)</f>
        <v>2</v>
      </c>
      <c r="T1626" s="153">
        <f>IF(N1626="","",N1626-L1626)</f>
        <v>1</v>
      </c>
      <c r="U1626" s="153">
        <f>IF(O1626="","",O1626-N1626)</f>
        <v>0</v>
      </c>
      <c r="V1626" s="154">
        <f>IF(O1626="","",O1626-B1626)</f>
        <v>3</v>
      </c>
      <c r="W1626" s="154">
        <f>IF(O1626="","",O1626-L1626)</f>
        <v>1</v>
      </c>
      <c r="X1626" s="154">
        <f>IF(R1626="","",R1626-B1626)</f>
        <v>6</v>
      </c>
    </row>
    <row r="1627" spans="2:24" ht="17.25" hidden="1" customHeight="1">
      <c r="B1627" s="23">
        <v>45798</v>
      </c>
      <c r="C1627" s="7">
        <v>2003646262</v>
      </c>
      <c r="D1627" s="20">
        <v>5948373</v>
      </c>
      <c r="E1627" s="27" t="s">
        <v>201</v>
      </c>
      <c r="F1627" s="7" t="s">
        <v>107</v>
      </c>
      <c r="G1627" s="7" t="s">
        <v>10</v>
      </c>
      <c r="H1627" s="7" t="s">
        <v>45</v>
      </c>
      <c r="I1627" s="20" t="s">
        <v>2559</v>
      </c>
      <c r="J1627" s="20" t="s">
        <v>2560</v>
      </c>
      <c r="K1627" s="7" t="s">
        <v>119</v>
      </c>
      <c r="L1627" s="61">
        <v>45805</v>
      </c>
      <c r="M1627" s="7" t="s">
        <v>111</v>
      </c>
      <c r="N1627" s="61">
        <v>45806</v>
      </c>
      <c r="O1627" s="61">
        <v>45806</v>
      </c>
      <c r="P1627" s="59"/>
      <c r="Q1627" s="124" t="e">
        <f>P1627*#REF!</f>
        <v>#REF!</v>
      </c>
      <c r="R1627" s="126">
        <v>45807</v>
      </c>
      <c r="S1627" s="153">
        <f>IF(L1627="","",L1627-B1627)</f>
        <v>7</v>
      </c>
      <c r="T1627" s="153">
        <f>IF(N1627="","",N1627-L1627)</f>
        <v>1</v>
      </c>
      <c r="U1627" s="153">
        <f>IF(O1627="","",O1627-N1627)</f>
        <v>0</v>
      </c>
      <c r="V1627" s="154">
        <f>IF(O1627="","",O1627-B1627)</f>
        <v>8</v>
      </c>
      <c r="W1627" s="154">
        <f>IF(O1627="","",O1627-L1627)</f>
        <v>1</v>
      </c>
      <c r="X1627" s="154">
        <f>IF(R1627="","",R1627-B1627)</f>
        <v>9</v>
      </c>
    </row>
    <row r="1628" spans="2:24" ht="17.25" hidden="1" customHeight="1">
      <c r="B1628" s="23">
        <v>45798</v>
      </c>
      <c r="C1628" s="7">
        <v>2003561407</v>
      </c>
      <c r="D1628" s="20">
        <v>5948419</v>
      </c>
      <c r="E1628" s="27" t="s">
        <v>201</v>
      </c>
      <c r="F1628" s="7" t="s">
        <v>107</v>
      </c>
      <c r="G1628" s="7" t="s">
        <v>18</v>
      </c>
      <c r="H1628" s="7" t="s">
        <v>45</v>
      </c>
      <c r="I1628" s="20" t="s">
        <v>2561</v>
      </c>
      <c r="J1628" s="20" t="s">
        <v>2562</v>
      </c>
      <c r="K1628" s="7" t="s">
        <v>110</v>
      </c>
      <c r="L1628" s="61">
        <v>45799</v>
      </c>
      <c r="M1628" s="7" t="s">
        <v>111</v>
      </c>
      <c r="N1628" s="24">
        <v>45800</v>
      </c>
      <c r="O1628" s="23">
        <v>45803</v>
      </c>
      <c r="P1628" s="59"/>
      <c r="Q1628" s="124" t="e">
        <f>P1628*#REF!</f>
        <v>#REF!</v>
      </c>
      <c r="R1628" s="126">
        <v>45804</v>
      </c>
      <c r="S1628" s="153">
        <f>IF(L1628="","",L1628-B1628)</f>
        <v>1</v>
      </c>
      <c r="T1628" s="153">
        <f>IF(N1628="","",N1628-L1628)</f>
        <v>1</v>
      </c>
      <c r="U1628" s="153">
        <f>IF(O1628="","",O1628-N1628)</f>
        <v>3</v>
      </c>
      <c r="V1628" s="154">
        <f>IF(O1628="","",O1628-B1628)</f>
        <v>5</v>
      </c>
      <c r="W1628" s="154">
        <f>IF(O1628="","",O1628-L1628)</f>
        <v>4</v>
      </c>
      <c r="X1628" s="154">
        <f>IF(R1628="","",R1628-B1628)</f>
        <v>6</v>
      </c>
    </row>
    <row r="1629" spans="2:24" ht="17.25" hidden="1" customHeight="1">
      <c r="B1629" s="23">
        <v>45799</v>
      </c>
      <c r="C1629" s="7">
        <v>2003690245</v>
      </c>
      <c r="D1629" s="20">
        <v>5949155</v>
      </c>
      <c r="E1629" s="27" t="s">
        <v>112</v>
      </c>
      <c r="F1629" s="7" t="s">
        <v>113</v>
      </c>
      <c r="G1629" s="7" t="s">
        <v>70</v>
      </c>
      <c r="H1629" s="7" t="s">
        <v>47</v>
      </c>
      <c r="I1629" s="20" t="s">
        <v>2563</v>
      </c>
      <c r="J1629" s="20" t="s">
        <v>2564</v>
      </c>
      <c r="K1629" s="7" t="s">
        <v>160</v>
      </c>
      <c r="P1629" s="59"/>
      <c r="Q1629" s="124" t="e">
        <f>P1629*#REF!</f>
        <v>#REF!</v>
      </c>
      <c r="R1629" s="126">
        <v>45817</v>
      </c>
      <c r="S1629" s="153" t="str">
        <f>IF(L1629="","",L1629-B1629)</f>
        <v/>
      </c>
      <c r="T1629" s="153" t="str">
        <f>IF(N1629="","",N1629-L1629)</f>
        <v/>
      </c>
      <c r="U1629" s="153" t="str">
        <f>IF(O1629="","",O1629-N1629)</f>
        <v/>
      </c>
      <c r="V1629" s="154" t="str">
        <f>IF(O1629="","",O1629-B1629)</f>
        <v/>
      </c>
      <c r="W1629" s="154" t="str">
        <f>IF(O1629="","",O1629-L1629)</f>
        <v/>
      </c>
      <c r="X1629" s="154">
        <f>IF(R1629="","",R1629-B1629)</f>
        <v>18</v>
      </c>
    </row>
    <row r="1630" spans="2:24" ht="17.25" hidden="1" customHeight="1">
      <c r="B1630" s="23">
        <v>45798</v>
      </c>
      <c r="C1630" s="7">
        <v>2003531938</v>
      </c>
      <c r="D1630" s="20">
        <v>5948718</v>
      </c>
      <c r="E1630" s="27" t="s">
        <v>123</v>
      </c>
      <c r="F1630" s="7" t="s">
        <v>107</v>
      </c>
      <c r="G1630" s="7" t="s">
        <v>18</v>
      </c>
      <c r="H1630" s="7" t="s">
        <v>45</v>
      </c>
      <c r="I1630" s="20" t="s">
        <v>214</v>
      </c>
      <c r="J1630" s="20" t="s">
        <v>2565</v>
      </c>
      <c r="K1630" s="7" t="s">
        <v>110</v>
      </c>
      <c r="L1630" s="61">
        <v>45805</v>
      </c>
      <c r="M1630" s="7" t="s">
        <v>111</v>
      </c>
      <c r="N1630" s="61">
        <v>45805</v>
      </c>
      <c r="O1630" s="61">
        <v>45807</v>
      </c>
      <c r="P1630" s="59"/>
      <c r="Q1630" s="124" t="e">
        <f>P1630*#REF!</f>
        <v>#REF!</v>
      </c>
      <c r="R1630" s="126">
        <v>45812</v>
      </c>
      <c r="S1630" s="153">
        <f>IF(L1630="","",L1630-B1630)</f>
        <v>7</v>
      </c>
      <c r="T1630" s="153">
        <f>IF(N1630="","",N1630-L1630)</f>
        <v>0</v>
      </c>
      <c r="U1630" s="153">
        <f>IF(O1630="","",O1630-N1630)</f>
        <v>2</v>
      </c>
      <c r="V1630" s="154">
        <f>IF(O1630="","",O1630-B1630)</f>
        <v>9</v>
      </c>
      <c r="W1630" s="154">
        <f>IF(O1630="","",O1630-L1630)</f>
        <v>2</v>
      </c>
      <c r="X1630" s="154">
        <f>IF(R1630="","",R1630-B1630)</f>
        <v>14</v>
      </c>
    </row>
    <row r="1631" spans="2:24" ht="17.25" hidden="1" customHeight="1">
      <c r="B1631" s="23">
        <v>45798</v>
      </c>
      <c r="C1631" s="7">
        <v>2003692021</v>
      </c>
      <c r="D1631" s="20">
        <v>5948425</v>
      </c>
      <c r="E1631" s="27" t="s">
        <v>123</v>
      </c>
      <c r="F1631" s="7" t="s">
        <v>107</v>
      </c>
      <c r="G1631" s="7" t="s">
        <v>18</v>
      </c>
      <c r="H1631" s="7" t="s">
        <v>45</v>
      </c>
      <c r="I1631" s="20" t="s">
        <v>2566</v>
      </c>
      <c r="J1631" s="20" t="s">
        <v>2567</v>
      </c>
      <c r="K1631" s="7" t="s">
        <v>119</v>
      </c>
      <c r="L1631" s="61">
        <v>45800</v>
      </c>
      <c r="M1631" s="7" t="s">
        <v>111</v>
      </c>
      <c r="N1631" s="24">
        <v>45801</v>
      </c>
      <c r="O1631" s="23">
        <v>45803</v>
      </c>
      <c r="P1631" s="59"/>
      <c r="Q1631" s="124" t="e">
        <f>P1631*#REF!</f>
        <v>#REF!</v>
      </c>
      <c r="R1631" s="126">
        <v>45804</v>
      </c>
      <c r="S1631" s="153">
        <f>IF(L1631="","",L1631-B1631)</f>
        <v>2</v>
      </c>
      <c r="T1631" s="153">
        <f>IF(N1631="","",N1631-L1631)</f>
        <v>1</v>
      </c>
      <c r="U1631" s="153">
        <f>IF(O1631="","",O1631-N1631)</f>
        <v>2</v>
      </c>
      <c r="V1631" s="154">
        <f>IF(O1631="","",O1631-B1631)</f>
        <v>5</v>
      </c>
      <c r="W1631" s="154">
        <f>IF(O1631="","",O1631-L1631)</f>
        <v>3</v>
      </c>
      <c r="X1631" s="154">
        <f>IF(R1631="","",R1631-B1631)</f>
        <v>6</v>
      </c>
    </row>
    <row r="1632" spans="2:24" ht="17.25" hidden="1" customHeight="1">
      <c r="B1632" s="23">
        <v>45799</v>
      </c>
      <c r="C1632" s="7">
        <v>2003595142</v>
      </c>
      <c r="D1632" s="20">
        <v>5949742</v>
      </c>
      <c r="E1632" s="27" t="s">
        <v>123</v>
      </c>
      <c r="F1632" s="7" t="s">
        <v>113</v>
      </c>
      <c r="G1632" s="7" t="s">
        <v>70</v>
      </c>
      <c r="H1632" s="7" t="s">
        <v>47</v>
      </c>
      <c r="I1632" s="20" t="s">
        <v>2568</v>
      </c>
      <c r="J1632" s="20" t="s">
        <v>1328</v>
      </c>
      <c r="K1632" s="7" t="s">
        <v>119</v>
      </c>
      <c r="L1632" s="61">
        <v>45802</v>
      </c>
      <c r="M1632" s="7" t="s">
        <v>111</v>
      </c>
      <c r="N1632" s="24">
        <v>45802</v>
      </c>
      <c r="O1632" s="58">
        <v>45802</v>
      </c>
      <c r="P1632" s="59"/>
      <c r="Q1632" s="124" t="e">
        <f>P1632*#REF!</f>
        <v>#REF!</v>
      </c>
      <c r="R1632" s="126">
        <v>45802</v>
      </c>
      <c r="S1632" s="153">
        <f>IF(L1632="","",L1632-B1632)</f>
        <v>3</v>
      </c>
      <c r="T1632" s="153">
        <f>IF(N1632="","",N1632-L1632)</f>
        <v>0</v>
      </c>
      <c r="U1632" s="153">
        <f>IF(O1632="","",O1632-N1632)</f>
        <v>0</v>
      </c>
      <c r="V1632" s="154">
        <f>IF(O1632="","",O1632-B1632)</f>
        <v>3</v>
      </c>
      <c r="W1632" s="154">
        <f>IF(O1632="","",O1632-L1632)</f>
        <v>0</v>
      </c>
      <c r="X1632" s="154">
        <f>IF(R1632="","",R1632-B1632)</f>
        <v>3</v>
      </c>
    </row>
    <row r="1633" spans="2:24" ht="17.25" hidden="1" customHeight="1">
      <c r="B1633" s="23">
        <v>45799</v>
      </c>
      <c r="C1633" s="7">
        <v>2003695694</v>
      </c>
      <c r="D1633" s="20">
        <v>172907</v>
      </c>
      <c r="E1633" s="27" t="s">
        <v>116</v>
      </c>
      <c r="F1633" s="7" t="s">
        <v>107</v>
      </c>
      <c r="G1633" s="7" t="s">
        <v>10</v>
      </c>
      <c r="H1633" s="7" t="s">
        <v>45</v>
      </c>
      <c r="I1633" s="20" t="s">
        <v>1646</v>
      </c>
      <c r="J1633" s="20" t="s">
        <v>2569</v>
      </c>
      <c r="K1633" s="7" t="s">
        <v>119</v>
      </c>
      <c r="L1633" s="61">
        <v>45805</v>
      </c>
      <c r="M1633" s="7" t="s">
        <v>111</v>
      </c>
      <c r="N1633" s="61">
        <v>45806</v>
      </c>
      <c r="O1633" s="61">
        <v>45807</v>
      </c>
      <c r="P1633" s="59"/>
      <c r="Q1633" s="124" t="e">
        <f>P1633*#REF!</f>
        <v>#REF!</v>
      </c>
      <c r="R1633" s="126">
        <v>45812</v>
      </c>
      <c r="S1633" s="153">
        <f>IF(L1633="","",L1633-B1633)</f>
        <v>6</v>
      </c>
      <c r="T1633" s="153">
        <f>IF(N1633="","",N1633-L1633)</f>
        <v>1</v>
      </c>
      <c r="U1633" s="153">
        <f>IF(O1633="","",O1633-N1633)</f>
        <v>1</v>
      </c>
      <c r="V1633" s="154">
        <f>IF(O1633="","",O1633-B1633)</f>
        <v>8</v>
      </c>
      <c r="W1633" s="154">
        <f>IF(O1633="","",O1633-L1633)</f>
        <v>2</v>
      </c>
      <c r="X1633" s="154">
        <f>IF(R1633="","",R1633-B1633)</f>
        <v>13</v>
      </c>
    </row>
    <row r="1634" spans="2:24" ht="17.25" hidden="1" customHeight="1">
      <c r="B1634" s="23">
        <v>45798</v>
      </c>
      <c r="C1634" s="7">
        <v>2003688265</v>
      </c>
      <c r="D1634" s="20">
        <v>5948504</v>
      </c>
      <c r="E1634" s="27" t="s">
        <v>126</v>
      </c>
      <c r="F1634" s="7" t="s">
        <v>107</v>
      </c>
      <c r="G1634" s="7" t="s">
        <v>10</v>
      </c>
      <c r="H1634" s="7" t="s">
        <v>45</v>
      </c>
      <c r="I1634" s="20" t="s">
        <v>2570</v>
      </c>
      <c r="J1634" s="20" t="s">
        <v>2571</v>
      </c>
      <c r="K1634" s="7" t="s">
        <v>110</v>
      </c>
      <c r="L1634" s="61">
        <v>45803</v>
      </c>
      <c r="M1634" s="7" t="s">
        <v>111</v>
      </c>
      <c r="N1634" s="61">
        <v>45803</v>
      </c>
      <c r="O1634" s="61">
        <v>45804</v>
      </c>
      <c r="P1634" s="59"/>
      <c r="Q1634" s="124" t="e">
        <f>P1634*#REF!</f>
        <v>#REF!</v>
      </c>
      <c r="R1634" s="126">
        <v>45804</v>
      </c>
      <c r="S1634" s="153">
        <f>IF(L1634="","",L1634-B1634)</f>
        <v>5</v>
      </c>
      <c r="T1634" s="153">
        <f>IF(N1634="","",N1634-L1634)</f>
        <v>0</v>
      </c>
      <c r="U1634" s="153">
        <f>IF(O1634="","",O1634-N1634)</f>
        <v>1</v>
      </c>
      <c r="V1634" s="154">
        <f>IF(O1634="","",O1634-B1634)</f>
        <v>6</v>
      </c>
      <c r="W1634" s="154">
        <f>IF(O1634="","",O1634-L1634)</f>
        <v>1</v>
      </c>
      <c r="X1634" s="154">
        <f>IF(R1634="","",R1634-B1634)</f>
        <v>6</v>
      </c>
    </row>
    <row r="1635" spans="2:24" ht="17.25" hidden="1" customHeight="1">
      <c r="B1635" s="23">
        <v>45798</v>
      </c>
      <c r="C1635" s="7">
        <v>2003691532</v>
      </c>
      <c r="D1635" s="20">
        <v>5948566</v>
      </c>
      <c r="E1635" s="27" t="s">
        <v>116</v>
      </c>
      <c r="F1635" s="7" t="s">
        <v>107</v>
      </c>
      <c r="G1635" s="7" t="s">
        <v>18</v>
      </c>
      <c r="H1635" s="7" t="s">
        <v>45</v>
      </c>
      <c r="I1635" s="20" t="s">
        <v>2572</v>
      </c>
      <c r="J1635" s="20" t="s">
        <v>2573</v>
      </c>
      <c r="K1635" s="7" t="s">
        <v>119</v>
      </c>
      <c r="L1635" s="61">
        <v>45800</v>
      </c>
      <c r="M1635" s="7" t="s">
        <v>111</v>
      </c>
      <c r="N1635" s="24">
        <v>45801</v>
      </c>
      <c r="O1635" s="61">
        <v>45804</v>
      </c>
      <c r="P1635" s="59"/>
      <c r="Q1635" s="124" t="e">
        <f>P1635*#REF!</f>
        <v>#REF!</v>
      </c>
      <c r="R1635" s="126">
        <v>45804</v>
      </c>
      <c r="S1635" s="153">
        <f>IF(L1635="","",L1635-B1635)</f>
        <v>2</v>
      </c>
      <c r="T1635" s="153">
        <f>IF(N1635="","",N1635-L1635)</f>
        <v>1</v>
      </c>
      <c r="U1635" s="153">
        <f>IF(O1635="","",O1635-N1635)</f>
        <v>3</v>
      </c>
      <c r="V1635" s="154">
        <f>IF(O1635="","",O1635-B1635)</f>
        <v>6</v>
      </c>
      <c r="W1635" s="154">
        <f>IF(O1635="","",O1635-L1635)</f>
        <v>4</v>
      </c>
      <c r="X1635" s="154">
        <f>IF(R1635="","",R1635-B1635)</f>
        <v>6</v>
      </c>
    </row>
    <row r="1636" spans="2:24" ht="17.25" hidden="1" customHeight="1">
      <c r="B1636" s="23">
        <v>45798</v>
      </c>
      <c r="C1636" s="7">
        <v>2003686571</v>
      </c>
      <c r="D1636" s="20">
        <v>5948585</v>
      </c>
      <c r="E1636" s="27" t="s">
        <v>230</v>
      </c>
      <c r="F1636" s="7" t="s">
        <v>107</v>
      </c>
      <c r="G1636" s="7" t="s">
        <v>10</v>
      </c>
      <c r="H1636" s="7" t="s">
        <v>45</v>
      </c>
      <c r="I1636" s="20" t="s">
        <v>2574</v>
      </c>
      <c r="J1636" s="20" t="s">
        <v>2478</v>
      </c>
      <c r="K1636" s="7" t="s">
        <v>110</v>
      </c>
      <c r="L1636" s="61">
        <v>45799</v>
      </c>
      <c r="M1636" s="7" t="s">
        <v>111</v>
      </c>
      <c r="N1636" s="61">
        <v>45799</v>
      </c>
      <c r="O1636" s="24">
        <v>45800</v>
      </c>
      <c r="P1636" s="59"/>
      <c r="Q1636" s="124" t="e">
        <f>P1636*#REF!</f>
        <v>#REF!</v>
      </c>
      <c r="R1636" s="126">
        <v>45803</v>
      </c>
      <c r="S1636" s="153">
        <f>IF(L1636="","",L1636-B1636)</f>
        <v>1</v>
      </c>
      <c r="T1636" s="153">
        <f>IF(N1636="","",N1636-L1636)</f>
        <v>0</v>
      </c>
      <c r="U1636" s="153">
        <f>IF(O1636="","",O1636-N1636)</f>
        <v>1</v>
      </c>
      <c r="V1636" s="154">
        <f>IF(O1636="","",O1636-B1636)</f>
        <v>2</v>
      </c>
      <c r="W1636" s="154">
        <f>IF(O1636="","",O1636-L1636)</f>
        <v>1</v>
      </c>
      <c r="X1636" s="154">
        <f>IF(R1636="","",R1636-B1636)</f>
        <v>5</v>
      </c>
    </row>
    <row r="1637" spans="2:24" ht="17.25" hidden="1" customHeight="1">
      <c r="B1637" s="23">
        <v>45800</v>
      </c>
      <c r="C1637" s="7">
        <v>2003678730</v>
      </c>
      <c r="D1637" s="20">
        <v>5950079</v>
      </c>
      <c r="E1637" s="27" t="s">
        <v>123</v>
      </c>
      <c r="F1637" s="7" t="s">
        <v>107</v>
      </c>
      <c r="G1637" s="7" t="s">
        <v>10</v>
      </c>
      <c r="H1637" s="7" t="s">
        <v>45</v>
      </c>
      <c r="I1637" s="20" t="s">
        <v>270</v>
      </c>
      <c r="J1637" s="20" t="s">
        <v>436</v>
      </c>
      <c r="K1637" s="7" t="s">
        <v>119</v>
      </c>
      <c r="L1637" s="61">
        <v>45805</v>
      </c>
      <c r="M1637" s="7" t="s">
        <v>111</v>
      </c>
      <c r="N1637" s="61">
        <v>45806</v>
      </c>
      <c r="O1637" s="61">
        <v>45807</v>
      </c>
      <c r="P1637" s="59"/>
      <c r="Q1637" s="124" t="e">
        <f>P1637*#REF!</f>
        <v>#REF!</v>
      </c>
      <c r="R1637" s="126">
        <v>45812</v>
      </c>
      <c r="S1637" s="153">
        <f>IF(L1637="","",L1637-B1637)</f>
        <v>5</v>
      </c>
      <c r="T1637" s="153">
        <f>IF(N1637="","",N1637-L1637)</f>
        <v>1</v>
      </c>
      <c r="U1637" s="153">
        <f>IF(O1637="","",O1637-N1637)</f>
        <v>1</v>
      </c>
      <c r="V1637" s="154">
        <f>IF(O1637="","",O1637-B1637)</f>
        <v>7</v>
      </c>
      <c r="W1637" s="154">
        <f>IF(O1637="","",O1637-L1637)</f>
        <v>2</v>
      </c>
      <c r="X1637" s="154">
        <f>IF(R1637="","",R1637-B1637)</f>
        <v>12</v>
      </c>
    </row>
    <row r="1638" spans="2:24" ht="17.25" hidden="1" customHeight="1">
      <c r="B1638" s="23">
        <v>45799</v>
      </c>
      <c r="C1638" s="7">
        <v>2003695107</v>
      </c>
      <c r="D1638" s="20">
        <v>172771</v>
      </c>
      <c r="E1638" s="27" t="s">
        <v>123</v>
      </c>
      <c r="F1638" s="7" t="s">
        <v>107</v>
      </c>
      <c r="G1638" s="7" t="s">
        <v>18</v>
      </c>
      <c r="H1638" s="7" t="s">
        <v>45</v>
      </c>
      <c r="I1638" s="136" t="s">
        <v>2575</v>
      </c>
      <c r="J1638" s="20" t="s">
        <v>2576</v>
      </c>
      <c r="K1638" s="7" t="s">
        <v>119</v>
      </c>
      <c r="L1638" s="61">
        <v>45807</v>
      </c>
      <c r="M1638" s="7" t="s">
        <v>111</v>
      </c>
      <c r="N1638" s="24">
        <v>45817</v>
      </c>
      <c r="O1638" s="24">
        <v>45817</v>
      </c>
      <c r="P1638" s="59"/>
      <c r="Q1638" s="124" t="e">
        <f>P1638*#REF!</f>
        <v>#REF!</v>
      </c>
      <c r="R1638" s="126">
        <v>45820</v>
      </c>
      <c r="S1638" s="153">
        <f>IF(L1638="","",L1638-B1638)</f>
        <v>8</v>
      </c>
      <c r="T1638" s="153">
        <f>IF(N1638="","",N1638-L1638)</f>
        <v>10</v>
      </c>
      <c r="U1638" s="153">
        <f>IF(O1638="","",O1638-N1638)</f>
        <v>0</v>
      </c>
      <c r="V1638" s="154">
        <f>IF(O1638="","",O1638-B1638)</f>
        <v>18</v>
      </c>
      <c r="W1638" s="154">
        <f>IF(O1638="","",O1638-L1638)</f>
        <v>10</v>
      </c>
      <c r="X1638" s="154">
        <f>IF(R1638="","",R1638-B1638)</f>
        <v>21</v>
      </c>
    </row>
    <row r="1639" spans="2:24" ht="17.25" hidden="1" customHeight="1">
      <c r="B1639" s="23">
        <v>45798</v>
      </c>
      <c r="C1639" s="7">
        <v>2003668355</v>
      </c>
      <c r="D1639" s="20">
        <v>5948606</v>
      </c>
      <c r="E1639" s="27" t="s">
        <v>198</v>
      </c>
      <c r="F1639" s="7" t="s">
        <v>107</v>
      </c>
      <c r="G1639" s="7" t="s">
        <v>18</v>
      </c>
      <c r="H1639" s="7" t="s">
        <v>45</v>
      </c>
      <c r="I1639" s="20" t="s">
        <v>108</v>
      </c>
      <c r="J1639" s="20" t="s">
        <v>2577</v>
      </c>
      <c r="K1639" s="7" t="s">
        <v>110</v>
      </c>
      <c r="L1639" s="61">
        <v>45800</v>
      </c>
      <c r="M1639" s="7" t="s">
        <v>111</v>
      </c>
      <c r="N1639" s="61">
        <v>45800</v>
      </c>
      <c r="O1639" s="61">
        <v>45800</v>
      </c>
      <c r="P1639" s="59"/>
      <c r="Q1639" s="124" t="e">
        <f>P1639*#REF!</f>
        <v>#REF!</v>
      </c>
      <c r="R1639" s="126">
        <v>45803</v>
      </c>
      <c r="S1639" s="153">
        <f>IF(L1639="","",L1639-B1639)</f>
        <v>2</v>
      </c>
      <c r="T1639" s="153">
        <f>IF(N1639="","",N1639-L1639)</f>
        <v>0</v>
      </c>
      <c r="U1639" s="153">
        <f>IF(O1639="","",O1639-N1639)</f>
        <v>0</v>
      </c>
      <c r="V1639" s="154">
        <f>IF(O1639="","",O1639-B1639)</f>
        <v>2</v>
      </c>
      <c r="W1639" s="154">
        <f>IF(O1639="","",O1639-L1639)</f>
        <v>0</v>
      </c>
      <c r="X1639" s="154">
        <f>IF(R1639="","",R1639-B1639)</f>
        <v>5</v>
      </c>
    </row>
    <row r="1640" spans="2:24" ht="17.25" hidden="1" customHeight="1">
      <c r="B1640" s="23">
        <v>45799</v>
      </c>
      <c r="C1640" s="7">
        <v>2003666717</v>
      </c>
      <c r="D1640" s="20">
        <v>172215</v>
      </c>
      <c r="E1640" s="27" t="s">
        <v>129</v>
      </c>
      <c r="F1640" s="7" t="s">
        <v>113</v>
      </c>
      <c r="G1640" s="7" t="s">
        <v>70</v>
      </c>
      <c r="H1640" s="7" t="s">
        <v>47</v>
      </c>
      <c r="I1640" s="20" t="s">
        <v>394</v>
      </c>
      <c r="J1640" s="20" t="s">
        <v>2578</v>
      </c>
      <c r="K1640" s="7" t="s">
        <v>160</v>
      </c>
      <c r="P1640" s="59"/>
      <c r="Q1640" s="124" t="e">
        <f>P1640*#REF!</f>
        <v>#REF!</v>
      </c>
      <c r="R1640" s="126">
        <v>45817</v>
      </c>
      <c r="S1640" s="153" t="str">
        <f>IF(L1640="","",L1640-B1640)</f>
        <v/>
      </c>
      <c r="T1640" s="153" t="str">
        <f>IF(N1640="","",N1640-L1640)</f>
        <v/>
      </c>
      <c r="U1640" s="153" t="str">
        <f>IF(O1640="","",O1640-N1640)</f>
        <v/>
      </c>
      <c r="V1640" s="154" t="str">
        <f>IF(O1640="","",O1640-B1640)</f>
        <v/>
      </c>
      <c r="W1640" s="154" t="str">
        <f>IF(O1640="","",O1640-L1640)</f>
        <v/>
      </c>
      <c r="X1640" s="154">
        <f>IF(R1640="","",R1640-B1640)</f>
        <v>18</v>
      </c>
    </row>
    <row r="1641" spans="2:24" ht="17.25" hidden="1" customHeight="1">
      <c r="B1641" s="23">
        <v>45800</v>
      </c>
      <c r="C1641" s="7">
        <v>2003666995</v>
      </c>
      <c r="D1641" s="20">
        <v>5949880</v>
      </c>
      <c r="E1641" s="27" t="s">
        <v>185</v>
      </c>
      <c r="F1641" s="7" t="s">
        <v>113</v>
      </c>
      <c r="G1641" s="7" t="s">
        <v>70</v>
      </c>
      <c r="H1641" s="7" t="s">
        <v>47</v>
      </c>
      <c r="I1641" s="20" t="s">
        <v>1127</v>
      </c>
      <c r="J1641" s="20" t="s">
        <v>2146</v>
      </c>
      <c r="K1641" s="7" t="s">
        <v>160</v>
      </c>
      <c r="P1641" s="59"/>
      <c r="Q1641" s="124" t="e">
        <f>P1641*#REF!</f>
        <v>#REF!</v>
      </c>
      <c r="R1641" s="126">
        <v>45817</v>
      </c>
      <c r="S1641" s="153" t="str">
        <f>IF(L1641="","",L1641-B1641)</f>
        <v/>
      </c>
      <c r="T1641" s="153" t="str">
        <f>IF(N1641="","",N1641-L1641)</f>
        <v/>
      </c>
      <c r="U1641" s="153" t="str">
        <f>IF(O1641="","",O1641-N1641)</f>
        <v/>
      </c>
      <c r="V1641" s="154" t="str">
        <f>IF(O1641="","",O1641-B1641)</f>
        <v/>
      </c>
      <c r="W1641" s="154" t="str">
        <f>IF(O1641="","",O1641-L1641)</f>
        <v/>
      </c>
      <c r="X1641" s="154">
        <f>IF(R1641="","",R1641-B1641)</f>
        <v>17</v>
      </c>
    </row>
    <row r="1642" spans="2:24" ht="17.25" hidden="1" customHeight="1">
      <c r="B1642" s="23">
        <v>45798</v>
      </c>
      <c r="C1642" s="7">
        <v>2003667036</v>
      </c>
      <c r="D1642" s="20">
        <v>5948635</v>
      </c>
      <c r="E1642" s="27" t="s">
        <v>185</v>
      </c>
      <c r="F1642" s="7" t="s">
        <v>107</v>
      </c>
      <c r="G1642" s="7" t="s">
        <v>10</v>
      </c>
      <c r="H1642" s="7" t="s">
        <v>45</v>
      </c>
      <c r="I1642" s="20" t="s">
        <v>2579</v>
      </c>
      <c r="J1642" s="20" t="s">
        <v>2580</v>
      </c>
      <c r="K1642" s="7" t="s">
        <v>110</v>
      </c>
      <c r="L1642" s="61">
        <v>45800</v>
      </c>
      <c r="M1642" s="7" t="s">
        <v>111</v>
      </c>
      <c r="N1642" s="61">
        <v>45800</v>
      </c>
      <c r="O1642" s="23">
        <v>45803</v>
      </c>
      <c r="P1642" s="59"/>
      <c r="Q1642" s="124" t="e">
        <f>P1642*#REF!</f>
        <v>#REF!</v>
      </c>
      <c r="R1642" s="126">
        <v>45804</v>
      </c>
      <c r="S1642" s="153">
        <f>IF(L1642="","",L1642-B1642)</f>
        <v>2</v>
      </c>
      <c r="T1642" s="153">
        <f>IF(N1642="","",N1642-L1642)</f>
        <v>0</v>
      </c>
      <c r="U1642" s="153">
        <f>IF(O1642="","",O1642-N1642)</f>
        <v>3</v>
      </c>
      <c r="V1642" s="154">
        <f>IF(O1642="","",O1642-B1642)</f>
        <v>5</v>
      </c>
      <c r="W1642" s="154">
        <f>IF(O1642="","",O1642-L1642)</f>
        <v>3</v>
      </c>
      <c r="X1642" s="154">
        <f>IF(R1642="","",R1642-B1642)</f>
        <v>6</v>
      </c>
    </row>
    <row r="1643" spans="2:24" ht="17.25" hidden="1" customHeight="1">
      <c r="B1643" s="23">
        <v>45798</v>
      </c>
      <c r="C1643" s="7">
        <v>2003691876</v>
      </c>
      <c r="D1643" s="20">
        <v>5948651</v>
      </c>
      <c r="E1643" s="27" t="s">
        <v>106</v>
      </c>
      <c r="F1643" s="7" t="s">
        <v>107</v>
      </c>
      <c r="G1643" s="7" t="s">
        <v>10</v>
      </c>
      <c r="H1643" s="7" t="s">
        <v>45</v>
      </c>
      <c r="I1643" s="232" t="s">
        <v>2581</v>
      </c>
      <c r="J1643" s="20" t="s">
        <v>2582</v>
      </c>
      <c r="K1643" s="7" t="s">
        <v>110</v>
      </c>
      <c r="L1643" s="61">
        <v>45803</v>
      </c>
      <c r="M1643" s="7" t="s">
        <v>111</v>
      </c>
      <c r="N1643" s="61">
        <v>45803</v>
      </c>
      <c r="O1643" s="61">
        <v>45804</v>
      </c>
      <c r="P1643" s="59"/>
      <c r="Q1643" s="124" t="e">
        <f>P1643*#REF!</f>
        <v>#REF!</v>
      </c>
      <c r="R1643" s="126">
        <v>45807</v>
      </c>
      <c r="S1643" s="153">
        <f>IF(L1643="","",L1643-B1643)</f>
        <v>5</v>
      </c>
      <c r="T1643" s="153">
        <f>IF(N1643="","",N1643-L1643)</f>
        <v>0</v>
      </c>
      <c r="U1643" s="153">
        <f>IF(O1643="","",O1643-N1643)</f>
        <v>1</v>
      </c>
      <c r="V1643" s="154">
        <f>IF(O1643="","",O1643-B1643)</f>
        <v>6</v>
      </c>
      <c r="W1643" s="154">
        <f>IF(O1643="","",O1643-L1643)</f>
        <v>1</v>
      </c>
      <c r="X1643" s="154">
        <f>IF(R1643="","",R1643-B1643)</f>
        <v>9</v>
      </c>
    </row>
    <row r="1644" spans="2:24" ht="17.25" hidden="1" customHeight="1">
      <c r="B1644" s="23">
        <v>45798</v>
      </c>
      <c r="C1644" s="7">
        <v>2003691284</v>
      </c>
      <c r="D1644" s="20">
        <v>5948653</v>
      </c>
      <c r="E1644" s="27" t="s">
        <v>198</v>
      </c>
      <c r="F1644" s="7" t="s">
        <v>107</v>
      </c>
      <c r="G1644" s="7" t="s">
        <v>10</v>
      </c>
      <c r="H1644" s="7" t="s">
        <v>45</v>
      </c>
      <c r="I1644" s="20" t="s">
        <v>2583</v>
      </c>
      <c r="J1644" s="20" t="s">
        <v>2584</v>
      </c>
      <c r="K1644" s="7" t="s">
        <v>119</v>
      </c>
      <c r="L1644" s="61">
        <v>45800</v>
      </c>
      <c r="M1644" s="7" t="s">
        <v>111</v>
      </c>
      <c r="N1644" s="24">
        <v>45801</v>
      </c>
      <c r="O1644" s="106">
        <v>45801</v>
      </c>
      <c r="P1644" s="59"/>
      <c r="Q1644" s="124" t="e">
        <f>P1644*#REF!</f>
        <v>#REF!</v>
      </c>
      <c r="R1644" s="126">
        <v>45803</v>
      </c>
      <c r="S1644" s="153">
        <f>IF(L1644="","",L1644-B1644)</f>
        <v>2</v>
      </c>
      <c r="T1644" s="153">
        <f>IF(N1644="","",N1644-L1644)</f>
        <v>1</v>
      </c>
      <c r="U1644" s="153">
        <f>IF(O1644="","",O1644-N1644)</f>
        <v>0</v>
      </c>
      <c r="V1644" s="154">
        <f>IF(O1644="","",O1644-B1644)</f>
        <v>3</v>
      </c>
      <c r="W1644" s="154">
        <f>IF(O1644="","",O1644-L1644)</f>
        <v>1</v>
      </c>
      <c r="X1644" s="154">
        <f>IF(R1644="","",R1644-B1644)</f>
        <v>5</v>
      </c>
    </row>
    <row r="1645" spans="2:24" ht="17.25" hidden="1" customHeight="1">
      <c r="B1645" s="23">
        <v>45798</v>
      </c>
      <c r="C1645" s="7">
        <v>2003553967</v>
      </c>
      <c r="D1645" s="20">
        <v>5948717</v>
      </c>
      <c r="E1645" s="27" t="s">
        <v>201</v>
      </c>
      <c r="F1645" s="7" t="s">
        <v>107</v>
      </c>
      <c r="G1645" s="7" t="s">
        <v>21</v>
      </c>
      <c r="H1645" s="7" t="s">
        <v>45</v>
      </c>
      <c r="I1645" s="20" t="s">
        <v>965</v>
      </c>
      <c r="J1645" s="20" t="s">
        <v>2119</v>
      </c>
      <c r="K1645" s="7" t="s">
        <v>110</v>
      </c>
      <c r="L1645" s="61">
        <v>45799</v>
      </c>
      <c r="M1645" s="7" t="s">
        <v>111</v>
      </c>
      <c r="N1645" s="61">
        <v>45800</v>
      </c>
      <c r="O1645" s="23">
        <v>45803</v>
      </c>
      <c r="P1645" s="59"/>
      <c r="Q1645" s="124" t="e">
        <f>P1645*#REF!</f>
        <v>#REF!</v>
      </c>
      <c r="R1645" s="126">
        <v>45803</v>
      </c>
      <c r="S1645" s="153">
        <f>IF(L1645="","",L1645-B1645)</f>
        <v>1</v>
      </c>
      <c r="T1645" s="153">
        <f>IF(N1645="","",N1645-L1645)</f>
        <v>1</v>
      </c>
      <c r="U1645" s="153">
        <f>IF(O1645="","",O1645-N1645)</f>
        <v>3</v>
      </c>
      <c r="V1645" s="154">
        <f>IF(O1645="","",O1645-B1645)</f>
        <v>5</v>
      </c>
      <c r="W1645" s="154">
        <f>IF(O1645="","",O1645-L1645)</f>
        <v>4</v>
      </c>
      <c r="X1645" s="154">
        <f>IF(R1645="","",R1645-B1645)</f>
        <v>5</v>
      </c>
    </row>
    <row r="1646" spans="2:24" ht="17.25" hidden="1" customHeight="1">
      <c r="B1646" s="23">
        <v>45803</v>
      </c>
      <c r="C1646" s="7">
        <v>2003641296</v>
      </c>
      <c r="D1646" s="20">
        <v>5951697</v>
      </c>
      <c r="E1646" s="27" t="s">
        <v>201</v>
      </c>
      <c r="F1646" s="7" t="s">
        <v>107</v>
      </c>
      <c r="G1646" s="7" t="s">
        <v>18</v>
      </c>
      <c r="H1646" s="7" t="s">
        <v>45</v>
      </c>
      <c r="I1646" s="20" t="s">
        <v>2585</v>
      </c>
      <c r="J1646" s="20" t="s">
        <v>2586</v>
      </c>
      <c r="K1646" s="7" t="s">
        <v>110</v>
      </c>
      <c r="L1646" s="61">
        <v>45805</v>
      </c>
      <c r="M1646" s="7" t="s">
        <v>111</v>
      </c>
      <c r="N1646" s="61">
        <v>45805</v>
      </c>
      <c r="O1646" s="61">
        <v>45807</v>
      </c>
      <c r="P1646" s="59"/>
      <c r="Q1646" s="124" t="e">
        <f>P1646*#REF!</f>
        <v>#REF!</v>
      </c>
      <c r="R1646" s="126">
        <v>45812</v>
      </c>
      <c r="S1646" s="153">
        <f>IF(L1646="","",L1646-B1646)</f>
        <v>2</v>
      </c>
      <c r="T1646" s="153">
        <f>IF(N1646="","",N1646-L1646)</f>
        <v>0</v>
      </c>
      <c r="U1646" s="153">
        <f>IF(O1646="","",O1646-N1646)</f>
        <v>2</v>
      </c>
      <c r="V1646" s="154">
        <f>IF(O1646="","",O1646-B1646)</f>
        <v>4</v>
      </c>
      <c r="W1646" s="154">
        <f>IF(O1646="","",O1646-L1646)</f>
        <v>2</v>
      </c>
      <c r="X1646" s="154">
        <f>IF(R1646="","",R1646-B1646)</f>
        <v>9</v>
      </c>
    </row>
    <row r="1647" spans="2:24" ht="17.25" hidden="1" customHeight="1">
      <c r="B1647" s="23">
        <v>45798</v>
      </c>
      <c r="C1647" s="7">
        <v>2003668755</v>
      </c>
      <c r="D1647" s="20">
        <v>5948768</v>
      </c>
      <c r="E1647" s="27" t="s">
        <v>949</v>
      </c>
      <c r="F1647" s="7" t="s">
        <v>107</v>
      </c>
      <c r="G1647" s="7" t="s">
        <v>26</v>
      </c>
      <c r="H1647" s="7" t="s">
        <v>45</v>
      </c>
      <c r="I1647" s="20" t="s">
        <v>1280</v>
      </c>
      <c r="J1647" s="20" t="s">
        <v>2107</v>
      </c>
      <c r="K1647" s="7" t="s">
        <v>110</v>
      </c>
      <c r="L1647" s="61">
        <v>45799</v>
      </c>
      <c r="M1647" s="7" t="s">
        <v>111</v>
      </c>
      <c r="N1647" s="24">
        <v>45804</v>
      </c>
      <c r="O1647" s="23">
        <v>45804</v>
      </c>
      <c r="P1647" s="59"/>
      <c r="Q1647" s="124" t="e">
        <f>P1647*#REF!</f>
        <v>#REF!</v>
      </c>
      <c r="R1647" s="126">
        <v>45804</v>
      </c>
      <c r="S1647" s="153">
        <f>IF(L1647="","",L1647-B1647)</f>
        <v>1</v>
      </c>
      <c r="T1647" s="153">
        <f>IF(N1647="","",N1647-L1647)</f>
        <v>5</v>
      </c>
      <c r="U1647" s="153">
        <f>IF(O1647="","",O1647-N1647)</f>
        <v>0</v>
      </c>
      <c r="V1647" s="154">
        <f>IF(O1647="","",O1647-B1647)</f>
        <v>6</v>
      </c>
      <c r="W1647" s="154">
        <f>IF(O1647="","",O1647-L1647)</f>
        <v>5</v>
      </c>
      <c r="X1647" s="154">
        <f>IF(R1647="","",R1647-B1647)</f>
        <v>6</v>
      </c>
    </row>
    <row r="1648" spans="2:24" ht="17.25" hidden="1" customHeight="1">
      <c r="B1648" s="23">
        <v>45800</v>
      </c>
      <c r="C1648" s="7">
        <v>2003690603</v>
      </c>
      <c r="D1648" s="20">
        <v>5950097</v>
      </c>
      <c r="E1648" s="27" t="s">
        <v>123</v>
      </c>
      <c r="F1648" s="7" t="s">
        <v>107</v>
      </c>
      <c r="G1648" s="7" t="s">
        <v>10</v>
      </c>
      <c r="H1648" s="7" t="s">
        <v>45</v>
      </c>
      <c r="I1648" s="20" t="s">
        <v>2587</v>
      </c>
      <c r="J1648" s="20" t="s">
        <v>2588</v>
      </c>
      <c r="K1648" s="7" t="s">
        <v>119</v>
      </c>
      <c r="L1648" s="61">
        <v>45805</v>
      </c>
      <c r="M1648" s="7" t="s">
        <v>111</v>
      </c>
      <c r="N1648" s="58">
        <v>45820</v>
      </c>
      <c r="O1648" s="58">
        <v>45820</v>
      </c>
      <c r="P1648" s="59"/>
      <c r="Q1648" s="124" t="e">
        <f>P1648*#REF!</f>
        <v>#REF!</v>
      </c>
      <c r="R1648" s="126">
        <v>45825</v>
      </c>
      <c r="S1648" s="153">
        <f>IF(L1648="","",L1648-B1648)</f>
        <v>5</v>
      </c>
      <c r="T1648" s="153">
        <f>IF(N1648="","",N1648-L1648)</f>
        <v>15</v>
      </c>
      <c r="U1648" s="153">
        <f>IF(O1648="","",O1648-N1648)</f>
        <v>0</v>
      </c>
      <c r="V1648" s="154">
        <f>IF(O1648="","",O1648-B1648)</f>
        <v>20</v>
      </c>
      <c r="W1648" s="154">
        <f>IF(O1648="","",O1648-L1648)</f>
        <v>15</v>
      </c>
      <c r="X1648" s="154">
        <f>IF(R1648="","",R1648-B1648)</f>
        <v>25</v>
      </c>
    </row>
    <row r="1649" spans="2:24" ht="17.25" hidden="1" customHeight="1">
      <c r="B1649" s="23">
        <v>45798</v>
      </c>
      <c r="C1649" s="7">
        <v>2003665753</v>
      </c>
      <c r="D1649" s="20">
        <v>5948769</v>
      </c>
      <c r="E1649" s="27" t="s">
        <v>185</v>
      </c>
      <c r="F1649" s="7" t="s">
        <v>107</v>
      </c>
      <c r="G1649" s="7" t="s">
        <v>26</v>
      </c>
      <c r="H1649" s="7" t="s">
        <v>45</v>
      </c>
      <c r="I1649" s="20" t="s">
        <v>385</v>
      </c>
      <c r="J1649" s="20" t="s">
        <v>2589</v>
      </c>
      <c r="K1649" s="7" t="s">
        <v>110</v>
      </c>
      <c r="L1649" s="61">
        <v>45803</v>
      </c>
      <c r="M1649" s="7" t="s">
        <v>111</v>
      </c>
      <c r="N1649" s="24">
        <v>45804</v>
      </c>
      <c r="O1649" s="23">
        <v>45804</v>
      </c>
      <c r="P1649" s="59"/>
      <c r="Q1649" s="124" t="e">
        <f>P1649*#REF!</f>
        <v>#REF!</v>
      </c>
      <c r="R1649" s="126">
        <v>45804</v>
      </c>
      <c r="S1649" s="153">
        <f>IF(L1649="","",L1649-B1649)</f>
        <v>5</v>
      </c>
      <c r="T1649" s="153">
        <f>IF(N1649="","",N1649-L1649)</f>
        <v>1</v>
      </c>
      <c r="U1649" s="153">
        <f>IF(O1649="","",O1649-N1649)</f>
        <v>0</v>
      </c>
      <c r="V1649" s="154">
        <f>IF(O1649="","",O1649-B1649)</f>
        <v>6</v>
      </c>
      <c r="W1649" s="154">
        <f>IF(O1649="","",O1649-L1649)</f>
        <v>1</v>
      </c>
      <c r="X1649" s="154">
        <f>IF(R1649="","",R1649-B1649)</f>
        <v>6</v>
      </c>
    </row>
    <row r="1650" spans="2:24" ht="17.25" hidden="1" customHeight="1">
      <c r="B1650" s="23">
        <v>45803</v>
      </c>
      <c r="C1650" s="7">
        <v>2003692227</v>
      </c>
      <c r="D1650" s="20">
        <v>5952012</v>
      </c>
      <c r="E1650" s="27" t="s">
        <v>185</v>
      </c>
      <c r="F1650" s="7" t="s">
        <v>107</v>
      </c>
      <c r="G1650" s="7" t="s">
        <v>10</v>
      </c>
      <c r="H1650" s="7" t="s">
        <v>45</v>
      </c>
      <c r="I1650" s="20" t="s">
        <v>2590</v>
      </c>
      <c r="J1650" s="20" t="s">
        <v>2591</v>
      </c>
      <c r="K1650" s="7" t="s">
        <v>110</v>
      </c>
      <c r="L1650" s="61">
        <v>45805</v>
      </c>
      <c r="M1650" s="7" t="s">
        <v>111</v>
      </c>
      <c r="N1650" s="61">
        <v>45805</v>
      </c>
      <c r="O1650" s="61">
        <v>45807</v>
      </c>
      <c r="P1650" s="59"/>
      <c r="Q1650" s="124" t="e">
        <f>P1650*#REF!</f>
        <v>#REF!</v>
      </c>
      <c r="R1650" s="126">
        <v>45812</v>
      </c>
      <c r="S1650" s="153">
        <f>IF(L1650="","",L1650-B1650)</f>
        <v>2</v>
      </c>
      <c r="T1650" s="153">
        <f>IF(N1650="","",N1650-L1650)</f>
        <v>0</v>
      </c>
      <c r="U1650" s="153">
        <f>IF(O1650="","",O1650-N1650)</f>
        <v>2</v>
      </c>
      <c r="V1650" s="154">
        <f>IF(O1650="","",O1650-B1650)</f>
        <v>4</v>
      </c>
      <c r="W1650" s="154">
        <f>IF(O1650="","",O1650-L1650)</f>
        <v>2</v>
      </c>
      <c r="X1650" s="154">
        <f>IF(R1650="","",R1650-B1650)</f>
        <v>9</v>
      </c>
    </row>
    <row r="1651" spans="2:24" ht="17.25" hidden="1" customHeight="1">
      <c r="B1651" s="23">
        <v>45798</v>
      </c>
      <c r="C1651" s="7">
        <v>2003668650</v>
      </c>
      <c r="D1651" s="20">
        <v>5948781</v>
      </c>
      <c r="E1651" s="27" t="s">
        <v>123</v>
      </c>
      <c r="F1651" s="7" t="s">
        <v>107</v>
      </c>
      <c r="G1651" s="7" t="s">
        <v>10</v>
      </c>
      <c r="H1651" s="7" t="s">
        <v>45</v>
      </c>
      <c r="I1651" s="20" t="s">
        <v>2592</v>
      </c>
      <c r="J1651" s="20" t="s">
        <v>2593</v>
      </c>
      <c r="K1651" s="7" t="s">
        <v>119</v>
      </c>
      <c r="L1651" s="61">
        <v>45803</v>
      </c>
      <c r="M1651" s="7" t="s">
        <v>111</v>
      </c>
      <c r="N1651" s="61">
        <v>45803</v>
      </c>
      <c r="O1651" s="23">
        <v>45804</v>
      </c>
      <c r="P1651" s="59"/>
      <c r="Q1651" s="124" t="e">
        <f>P1651*#REF!</f>
        <v>#REF!</v>
      </c>
      <c r="R1651" s="126">
        <v>45804</v>
      </c>
      <c r="S1651" s="153">
        <f>IF(L1651="","",L1651-B1651)</f>
        <v>5</v>
      </c>
      <c r="T1651" s="153">
        <f>IF(N1651="","",N1651-L1651)</f>
        <v>0</v>
      </c>
      <c r="U1651" s="153">
        <f>IF(O1651="","",O1651-N1651)</f>
        <v>1</v>
      </c>
      <c r="V1651" s="154">
        <f>IF(O1651="","",O1651-B1651)</f>
        <v>6</v>
      </c>
      <c r="W1651" s="154">
        <f>IF(O1651="","",O1651-L1651)</f>
        <v>1</v>
      </c>
      <c r="X1651" s="154">
        <f>IF(R1651="","",R1651-B1651)</f>
        <v>6</v>
      </c>
    </row>
    <row r="1652" spans="2:24" ht="17.25" hidden="1" customHeight="1">
      <c r="B1652" s="23">
        <v>45798</v>
      </c>
      <c r="C1652" s="7">
        <v>2003682371</v>
      </c>
      <c r="D1652" s="20">
        <v>5948783</v>
      </c>
      <c r="E1652" s="27" t="s">
        <v>106</v>
      </c>
      <c r="F1652" s="7" t="s">
        <v>107</v>
      </c>
      <c r="G1652" s="7" t="s">
        <v>10</v>
      </c>
      <c r="H1652" s="7" t="s">
        <v>45</v>
      </c>
      <c r="I1652" s="20" t="s">
        <v>2594</v>
      </c>
      <c r="J1652" s="20" t="s">
        <v>2421</v>
      </c>
      <c r="K1652" s="7" t="s">
        <v>119</v>
      </c>
      <c r="L1652" s="61">
        <v>45804</v>
      </c>
      <c r="M1652" s="7" t="s">
        <v>111</v>
      </c>
      <c r="N1652" s="61">
        <v>45804</v>
      </c>
      <c r="O1652" s="61">
        <v>45804</v>
      </c>
      <c r="P1652" s="59"/>
      <c r="Q1652" s="124" t="e">
        <f>P1652*#REF!</f>
        <v>#REF!</v>
      </c>
      <c r="R1652" s="126">
        <v>45804</v>
      </c>
      <c r="S1652" s="153">
        <f>IF(L1652="","",L1652-B1652)</f>
        <v>6</v>
      </c>
      <c r="T1652" s="153">
        <f>IF(N1652="","",N1652-L1652)</f>
        <v>0</v>
      </c>
      <c r="U1652" s="153">
        <f>IF(O1652="","",O1652-N1652)</f>
        <v>0</v>
      </c>
      <c r="V1652" s="154">
        <f>IF(O1652="","",O1652-B1652)</f>
        <v>6</v>
      </c>
      <c r="W1652" s="154">
        <f>IF(O1652="","",O1652-L1652)</f>
        <v>0</v>
      </c>
      <c r="X1652" s="154">
        <f>IF(R1652="","",R1652-B1652)</f>
        <v>6</v>
      </c>
    </row>
    <row r="1653" spans="2:24" ht="17.25" hidden="1" customHeight="1">
      <c r="B1653" s="23">
        <v>45798</v>
      </c>
      <c r="C1653" s="7">
        <v>2003657909</v>
      </c>
      <c r="D1653" s="20">
        <v>5948790</v>
      </c>
      <c r="E1653" s="27" t="s">
        <v>191</v>
      </c>
      <c r="F1653" s="7" t="s">
        <v>107</v>
      </c>
      <c r="G1653" s="7" t="s">
        <v>10</v>
      </c>
      <c r="H1653" s="7" t="s">
        <v>45</v>
      </c>
      <c r="I1653" s="20" t="s">
        <v>1302</v>
      </c>
      <c r="J1653" s="20" t="s">
        <v>1303</v>
      </c>
      <c r="K1653" s="7" t="s">
        <v>110</v>
      </c>
      <c r="L1653" s="61">
        <v>45800</v>
      </c>
      <c r="M1653" s="7" t="s">
        <v>111</v>
      </c>
      <c r="N1653" s="24">
        <v>45804</v>
      </c>
      <c r="O1653" s="24">
        <v>45804</v>
      </c>
      <c r="P1653" s="59"/>
      <c r="Q1653" s="124" t="e">
        <f>P1653*#REF!</f>
        <v>#REF!</v>
      </c>
      <c r="R1653" s="126">
        <v>45804</v>
      </c>
      <c r="S1653" s="153">
        <f>IF(L1653="","",L1653-B1653)</f>
        <v>2</v>
      </c>
      <c r="T1653" s="153">
        <f>IF(N1653="","",N1653-L1653)</f>
        <v>4</v>
      </c>
      <c r="U1653" s="153">
        <f>IF(O1653="","",O1653-N1653)</f>
        <v>0</v>
      </c>
      <c r="V1653" s="154">
        <f>IF(O1653="","",O1653-B1653)</f>
        <v>6</v>
      </c>
      <c r="W1653" s="154">
        <f>IF(O1653="","",O1653-L1653)</f>
        <v>4</v>
      </c>
      <c r="X1653" s="154">
        <f>IF(R1653="","",R1653-B1653)</f>
        <v>6</v>
      </c>
    </row>
    <row r="1654" spans="2:24" ht="17.25" hidden="1" customHeight="1">
      <c r="B1654" s="23">
        <v>45798</v>
      </c>
      <c r="C1654" s="7">
        <v>2003693407</v>
      </c>
      <c r="D1654" s="20">
        <v>5948794</v>
      </c>
      <c r="E1654" s="27" t="s">
        <v>138</v>
      </c>
      <c r="F1654" s="7" t="s">
        <v>107</v>
      </c>
      <c r="G1654" s="7" t="s">
        <v>10</v>
      </c>
      <c r="H1654" s="7" t="s">
        <v>45</v>
      </c>
      <c r="I1654" s="20" t="s">
        <v>1831</v>
      </c>
      <c r="J1654" s="20" t="s">
        <v>2128</v>
      </c>
      <c r="K1654" s="7" t="s">
        <v>119</v>
      </c>
      <c r="L1654" s="61">
        <v>45805</v>
      </c>
      <c r="M1654" s="7" t="s">
        <v>111</v>
      </c>
      <c r="N1654" s="61">
        <v>45805</v>
      </c>
      <c r="O1654" s="61">
        <v>45805</v>
      </c>
      <c r="P1654" s="59"/>
      <c r="Q1654" s="124" t="e">
        <f>P1654*#REF!</f>
        <v>#REF!</v>
      </c>
      <c r="R1654" s="126">
        <v>45807</v>
      </c>
      <c r="S1654" s="153">
        <f>IF(L1654="","",L1654-B1654)</f>
        <v>7</v>
      </c>
      <c r="T1654" s="153">
        <f>IF(N1654="","",N1654-L1654)</f>
        <v>0</v>
      </c>
      <c r="U1654" s="153">
        <f>IF(O1654="","",O1654-N1654)</f>
        <v>0</v>
      </c>
      <c r="V1654" s="154">
        <f>IF(O1654="","",O1654-B1654)</f>
        <v>7</v>
      </c>
      <c r="W1654" s="154">
        <f>IF(O1654="","",O1654-L1654)</f>
        <v>0</v>
      </c>
      <c r="X1654" s="154">
        <f>IF(R1654="","",R1654-B1654)</f>
        <v>9</v>
      </c>
    </row>
    <row r="1655" spans="2:24" ht="17.25" hidden="1" customHeight="1">
      <c r="B1655" s="23">
        <v>45804</v>
      </c>
      <c r="C1655" s="7">
        <v>2003696919</v>
      </c>
      <c r="D1655" s="20">
        <v>5952483</v>
      </c>
      <c r="E1655" s="27" t="s">
        <v>1225</v>
      </c>
      <c r="F1655" s="7" t="s">
        <v>107</v>
      </c>
      <c r="G1655" s="7" t="s">
        <v>18</v>
      </c>
      <c r="H1655" s="7" t="s">
        <v>45</v>
      </c>
      <c r="I1655" s="20" t="s">
        <v>2595</v>
      </c>
      <c r="J1655" s="20" t="s">
        <v>2596</v>
      </c>
      <c r="K1655" s="7" t="s">
        <v>119</v>
      </c>
      <c r="L1655" s="61">
        <v>45805</v>
      </c>
      <c r="M1655" s="7" t="s">
        <v>111</v>
      </c>
      <c r="N1655" s="61">
        <v>45806</v>
      </c>
      <c r="O1655" s="61">
        <v>45807</v>
      </c>
      <c r="P1655" s="59"/>
      <c r="Q1655" s="124" t="e">
        <f>P1655*#REF!</f>
        <v>#REF!</v>
      </c>
      <c r="R1655" s="126">
        <v>45812</v>
      </c>
      <c r="S1655" s="153">
        <f>IF(L1655="","",L1655-B1655)</f>
        <v>1</v>
      </c>
      <c r="T1655" s="153">
        <f>IF(N1655="","",N1655-L1655)</f>
        <v>1</v>
      </c>
      <c r="U1655" s="153">
        <f>IF(O1655="","",O1655-N1655)</f>
        <v>1</v>
      </c>
      <c r="V1655" s="154">
        <f>IF(O1655="","",O1655-B1655)</f>
        <v>3</v>
      </c>
      <c r="W1655" s="154">
        <f>IF(O1655="","",O1655-L1655)</f>
        <v>2</v>
      </c>
      <c r="X1655" s="154">
        <f>IF(R1655="","",R1655-B1655)</f>
        <v>8</v>
      </c>
    </row>
    <row r="1656" spans="2:24" ht="17.25" hidden="1" customHeight="1">
      <c r="B1656" s="23">
        <v>45800</v>
      </c>
      <c r="C1656" s="7">
        <v>2003669086</v>
      </c>
      <c r="D1656" s="20">
        <v>5950725</v>
      </c>
      <c r="E1656" s="27" t="s">
        <v>191</v>
      </c>
      <c r="F1656" s="7" t="s">
        <v>107</v>
      </c>
      <c r="G1656" s="7" t="s">
        <v>10</v>
      </c>
      <c r="H1656" s="7" t="s">
        <v>45</v>
      </c>
      <c r="I1656" s="20" t="s">
        <v>2597</v>
      </c>
      <c r="J1656" s="20" t="s">
        <v>2490</v>
      </c>
      <c r="K1656" s="7" t="s">
        <v>110</v>
      </c>
      <c r="L1656" s="61">
        <v>45805</v>
      </c>
      <c r="M1656" s="7" t="s">
        <v>111</v>
      </c>
      <c r="N1656" s="61">
        <v>45805</v>
      </c>
      <c r="O1656" s="61">
        <v>45813</v>
      </c>
      <c r="P1656" s="59"/>
      <c r="Q1656" s="124" t="e">
        <f>P1656*#REF!</f>
        <v>#REF!</v>
      </c>
      <c r="R1656" s="126">
        <v>45814</v>
      </c>
      <c r="S1656" s="153">
        <f>IF(L1656="","",L1656-B1656)</f>
        <v>5</v>
      </c>
      <c r="T1656" s="153">
        <f>IF(N1656="","",N1656-L1656)</f>
        <v>0</v>
      </c>
      <c r="U1656" s="153">
        <f>IF(O1656="","",O1656-N1656)</f>
        <v>8</v>
      </c>
      <c r="V1656" s="154">
        <f>IF(O1656="","",O1656-B1656)</f>
        <v>13</v>
      </c>
      <c r="W1656" s="154">
        <f>IF(O1656="","",O1656-L1656)</f>
        <v>8</v>
      </c>
      <c r="X1656" s="154">
        <f>IF(R1656="","",R1656-B1656)</f>
        <v>14</v>
      </c>
    </row>
    <row r="1657" spans="2:24" ht="17.25" hidden="1" customHeight="1">
      <c r="B1657" s="23">
        <v>45800</v>
      </c>
      <c r="C1657" s="7">
        <v>2003690117</v>
      </c>
      <c r="D1657" s="20">
        <v>5950740</v>
      </c>
      <c r="E1657" s="27" t="s">
        <v>126</v>
      </c>
      <c r="F1657" s="7" t="s">
        <v>107</v>
      </c>
      <c r="G1657" s="7" t="s">
        <v>10</v>
      </c>
      <c r="H1657" s="7" t="s">
        <v>45</v>
      </c>
      <c r="I1657" s="20" t="s">
        <v>2598</v>
      </c>
      <c r="J1657" s="20" t="s">
        <v>2599</v>
      </c>
      <c r="K1657" s="7" t="s">
        <v>110</v>
      </c>
      <c r="L1657" s="61">
        <v>45810</v>
      </c>
      <c r="M1657" s="7" t="s">
        <v>111</v>
      </c>
      <c r="N1657" s="61">
        <v>45810</v>
      </c>
      <c r="O1657" s="61">
        <v>45810</v>
      </c>
      <c r="P1657" s="59"/>
      <c r="Q1657" s="124" t="e">
        <f>P1657*#REF!</f>
        <v>#REF!</v>
      </c>
      <c r="R1657" s="126">
        <v>45812</v>
      </c>
      <c r="S1657" s="153">
        <f>IF(L1657="","",L1657-B1657)</f>
        <v>10</v>
      </c>
      <c r="T1657" s="153">
        <f>IF(N1657="","",N1657-L1657)</f>
        <v>0</v>
      </c>
      <c r="U1657" s="153">
        <f>IF(O1657="","",O1657-N1657)</f>
        <v>0</v>
      </c>
      <c r="V1657" s="154">
        <f>IF(O1657="","",O1657-B1657)</f>
        <v>10</v>
      </c>
      <c r="W1657" s="154">
        <f>IF(O1657="","",O1657-L1657)</f>
        <v>0</v>
      </c>
      <c r="X1657" s="154">
        <f>IF(R1657="","",R1657-B1657)</f>
        <v>12</v>
      </c>
    </row>
    <row r="1658" spans="2:24" ht="17.25" hidden="1" customHeight="1">
      <c r="B1658" s="23">
        <v>45799</v>
      </c>
      <c r="C1658" s="7">
        <v>2003687489</v>
      </c>
      <c r="D1658" s="20">
        <v>5949575</v>
      </c>
      <c r="E1658" s="27" t="s">
        <v>185</v>
      </c>
      <c r="F1658" s="7" t="s">
        <v>107</v>
      </c>
      <c r="G1658" s="7" t="s">
        <v>10</v>
      </c>
      <c r="H1658" s="7" t="s">
        <v>45</v>
      </c>
      <c r="I1658" s="20" t="s">
        <v>2600</v>
      </c>
      <c r="J1658" s="20" t="s">
        <v>2453</v>
      </c>
      <c r="K1658" s="7" t="s">
        <v>119</v>
      </c>
      <c r="L1658" s="61">
        <v>45800</v>
      </c>
      <c r="M1658" s="7" t="s">
        <v>111</v>
      </c>
      <c r="N1658" s="24">
        <v>45801</v>
      </c>
      <c r="O1658" s="106">
        <v>45801</v>
      </c>
      <c r="P1658" s="59"/>
      <c r="Q1658" s="124" t="e">
        <f>P1658*#REF!</f>
        <v>#REF!</v>
      </c>
      <c r="R1658" s="126">
        <v>45803</v>
      </c>
      <c r="S1658" s="153">
        <f>IF(L1658="","",L1658-B1658)</f>
        <v>1</v>
      </c>
      <c r="T1658" s="153">
        <f>IF(N1658="","",N1658-L1658)</f>
        <v>1</v>
      </c>
      <c r="U1658" s="153">
        <f>IF(O1658="","",O1658-N1658)</f>
        <v>0</v>
      </c>
      <c r="V1658" s="154">
        <f>IF(O1658="","",O1658-B1658)</f>
        <v>2</v>
      </c>
      <c r="W1658" s="154">
        <f>IF(O1658="","",O1658-L1658)</f>
        <v>1</v>
      </c>
      <c r="X1658" s="154">
        <f>IF(R1658="","",R1658-B1658)</f>
        <v>4</v>
      </c>
    </row>
    <row r="1659" spans="2:24" ht="17.25" hidden="1" customHeight="1">
      <c r="B1659" s="23">
        <v>45799</v>
      </c>
      <c r="C1659" s="7">
        <v>2003684579</v>
      </c>
      <c r="D1659" s="20">
        <v>5949798</v>
      </c>
      <c r="E1659" s="27" t="s">
        <v>126</v>
      </c>
      <c r="F1659" s="7" t="s">
        <v>107</v>
      </c>
      <c r="G1659" s="7" t="s">
        <v>10</v>
      </c>
      <c r="H1659" s="7" t="s">
        <v>45</v>
      </c>
      <c r="I1659" s="20" t="s">
        <v>604</v>
      </c>
      <c r="J1659" s="20" t="s">
        <v>2601</v>
      </c>
      <c r="K1659" s="7" t="s">
        <v>110</v>
      </c>
      <c r="L1659" s="61">
        <v>45804</v>
      </c>
      <c r="M1659" s="7" t="s">
        <v>111</v>
      </c>
      <c r="N1659" s="61">
        <v>45804</v>
      </c>
      <c r="O1659" s="130">
        <v>45804</v>
      </c>
      <c r="P1659" s="59"/>
      <c r="Q1659" s="124" t="e">
        <f>P1659*#REF!</f>
        <v>#REF!</v>
      </c>
      <c r="R1659" s="126">
        <v>45804</v>
      </c>
      <c r="S1659" s="153">
        <f>IF(L1659="","",L1659-B1659)</f>
        <v>5</v>
      </c>
      <c r="T1659" s="153">
        <f>IF(N1659="","",N1659-L1659)</f>
        <v>0</v>
      </c>
      <c r="U1659" s="153">
        <f>IF(O1659="","",O1659-N1659)</f>
        <v>0</v>
      </c>
      <c r="V1659" s="154">
        <f>IF(O1659="","",O1659-B1659)</f>
        <v>5</v>
      </c>
      <c r="W1659" s="154">
        <f>IF(O1659="","",O1659-L1659)</f>
        <v>0</v>
      </c>
      <c r="X1659" s="154">
        <f>IF(R1659="","",R1659-B1659)</f>
        <v>5</v>
      </c>
    </row>
    <row r="1660" spans="2:24" ht="17.25" hidden="1" customHeight="1">
      <c r="B1660" s="23">
        <v>45800</v>
      </c>
      <c r="C1660" s="7">
        <v>2003667285</v>
      </c>
      <c r="D1660" s="20">
        <v>5950794</v>
      </c>
      <c r="E1660" s="27" t="s">
        <v>185</v>
      </c>
      <c r="F1660" s="7" t="s">
        <v>113</v>
      </c>
      <c r="G1660" s="7" t="s">
        <v>70</v>
      </c>
      <c r="H1660" s="7" t="s">
        <v>47</v>
      </c>
      <c r="I1660" s="20" t="s">
        <v>1367</v>
      </c>
      <c r="J1660" s="20" t="s">
        <v>2602</v>
      </c>
      <c r="K1660" s="7" t="s">
        <v>160</v>
      </c>
      <c r="P1660" s="59"/>
      <c r="Q1660" s="124" t="e">
        <f>P1660*#REF!</f>
        <v>#REF!</v>
      </c>
      <c r="R1660" s="126">
        <v>45817</v>
      </c>
      <c r="S1660" s="153" t="str">
        <f>IF(L1660="","",L1660-B1660)</f>
        <v/>
      </c>
      <c r="T1660" s="153" t="str">
        <f>IF(N1660="","",N1660-L1660)</f>
        <v/>
      </c>
      <c r="U1660" s="153" t="str">
        <f>IF(O1660="","",O1660-N1660)</f>
        <v/>
      </c>
      <c r="V1660" s="154" t="str">
        <f>IF(O1660="","",O1660-B1660)</f>
        <v/>
      </c>
      <c r="W1660" s="154" t="str">
        <f>IF(O1660="","",O1660-L1660)</f>
        <v/>
      </c>
      <c r="X1660" s="154">
        <f>IF(R1660="","",R1660-B1660)</f>
        <v>17</v>
      </c>
    </row>
    <row r="1661" spans="2:24" ht="17.25" hidden="1" customHeight="1">
      <c r="B1661" s="23">
        <v>45799</v>
      </c>
      <c r="C1661" s="7">
        <v>2003665327</v>
      </c>
      <c r="D1661" s="20">
        <v>5949815</v>
      </c>
      <c r="E1661" s="27" t="s">
        <v>230</v>
      </c>
      <c r="F1661" s="7" t="s">
        <v>107</v>
      </c>
      <c r="G1661" s="7" t="s">
        <v>10</v>
      </c>
      <c r="H1661" s="7" t="s">
        <v>45</v>
      </c>
      <c r="I1661" s="20" t="s">
        <v>2603</v>
      </c>
      <c r="J1661" s="20" t="s">
        <v>2604</v>
      </c>
      <c r="K1661" s="7" t="s">
        <v>119</v>
      </c>
      <c r="L1661" s="61">
        <v>45804</v>
      </c>
      <c r="M1661" s="7" t="s">
        <v>111</v>
      </c>
      <c r="N1661" s="61">
        <v>45804</v>
      </c>
      <c r="O1661" s="130">
        <v>45804</v>
      </c>
      <c r="P1661" s="59"/>
      <c r="Q1661" s="124" t="e">
        <f>P1661*#REF!</f>
        <v>#REF!</v>
      </c>
      <c r="R1661" s="126">
        <v>45804</v>
      </c>
      <c r="S1661" s="153">
        <f>IF(L1661="","",L1661-B1661)</f>
        <v>5</v>
      </c>
      <c r="T1661" s="153">
        <f>IF(N1661="","",N1661-L1661)</f>
        <v>0</v>
      </c>
      <c r="U1661" s="153">
        <f>IF(O1661="","",O1661-N1661)</f>
        <v>0</v>
      </c>
      <c r="V1661" s="154">
        <f>IF(O1661="","",O1661-B1661)</f>
        <v>5</v>
      </c>
      <c r="W1661" s="154">
        <f>IF(O1661="","",O1661-L1661)</f>
        <v>0</v>
      </c>
      <c r="X1661" s="154">
        <f>IF(R1661="","",R1661-B1661)</f>
        <v>5</v>
      </c>
    </row>
    <row r="1662" spans="2:24" ht="17.25" hidden="1" customHeight="1">
      <c r="B1662" s="23">
        <v>45800</v>
      </c>
      <c r="C1662" s="7">
        <v>2003688144</v>
      </c>
      <c r="D1662" s="20">
        <v>5949882</v>
      </c>
      <c r="E1662" s="27" t="s">
        <v>185</v>
      </c>
      <c r="F1662" s="7" t="s">
        <v>107</v>
      </c>
      <c r="G1662" s="7" t="s">
        <v>10</v>
      </c>
      <c r="H1662" s="7" t="s">
        <v>45</v>
      </c>
      <c r="I1662" s="20" t="s">
        <v>702</v>
      </c>
      <c r="J1662" s="20" t="s">
        <v>2605</v>
      </c>
      <c r="K1662" s="7" t="s">
        <v>110</v>
      </c>
      <c r="L1662" s="61">
        <v>45804</v>
      </c>
      <c r="M1662" s="7" t="s">
        <v>111</v>
      </c>
      <c r="N1662" s="61">
        <v>45804</v>
      </c>
      <c r="O1662" s="61">
        <v>45805</v>
      </c>
      <c r="P1662" s="59"/>
      <c r="Q1662" s="124" t="e">
        <f>P1662*#REF!</f>
        <v>#REF!</v>
      </c>
      <c r="R1662" s="126">
        <v>45807</v>
      </c>
      <c r="S1662" s="153">
        <f>IF(L1662="","",L1662-B1662)</f>
        <v>4</v>
      </c>
      <c r="T1662" s="153">
        <f>IF(N1662="","",N1662-L1662)</f>
        <v>0</v>
      </c>
      <c r="U1662" s="153">
        <f>IF(O1662="","",O1662-N1662)</f>
        <v>1</v>
      </c>
      <c r="V1662" s="154">
        <f>IF(O1662="","",O1662-B1662)</f>
        <v>5</v>
      </c>
      <c r="W1662" s="154">
        <f>IF(O1662="","",O1662-L1662)</f>
        <v>1</v>
      </c>
      <c r="X1662" s="154">
        <f>IF(R1662="","",R1662-B1662)</f>
        <v>7</v>
      </c>
    </row>
    <row r="1663" spans="2:24" ht="17.25" hidden="1" customHeight="1">
      <c r="B1663" s="23">
        <v>45800</v>
      </c>
      <c r="C1663" s="7">
        <v>2003692436</v>
      </c>
      <c r="D1663" s="20">
        <v>5950015</v>
      </c>
      <c r="E1663" s="27" t="s">
        <v>201</v>
      </c>
      <c r="F1663" s="7" t="s">
        <v>107</v>
      </c>
      <c r="G1663" s="7" t="s">
        <v>18</v>
      </c>
      <c r="H1663" s="7" t="s">
        <v>45</v>
      </c>
      <c r="I1663" s="20" t="s">
        <v>687</v>
      </c>
      <c r="J1663" s="20" t="s">
        <v>2606</v>
      </c>
      <c r="K1663" s="7" t="s">
        <v>110</v>
      </c>
      <c r="L1663" s="61">
        <v>45803</v>
      </c>
      <c r="M1663" s="7" t="s">
        <v>111</v>
      </c>
      <c r="N1663" s="61">
        <v>45803</v>
      </c>
      <c r="O1663" s="61">
        <v>45803</v>
      </c>
      <c r="P1663" s="59"/>
      <c r="Q1663" s="124" t="e">
        <f>P1663*#REF!</f>
        <v>#REF!</v>
      </c>
      <c r="R1663" s="126">
        <v>45804</v>
      </c>
      <c r="S1663" s="153">
        <f>IF(L1663="","",L1663-B1663)</f>
        <v>3</v>
      </c>
      <c r="T1663" s="153">
        <f>IF(N1663="","",N1663-L1663)</f>
        <v>0</v>
      </c>
      <c r="U1663" s="153">
        <f>IF(O1663="","",O1663-N1663)</f>
        <v>0</v>
      </c>
      <c r="V1663" s="154">
        <f>IF(O1663="","",O1663-B1663)</f>
        <v>3</v>
      </c>
      <c r="W1663" s="154">
        <f>IF(O1663="","",O1663-L1663)</f>
        <v>0</v>
      </c>
      <c r="X1663" s="154">
        <f>IF(R1663="","",R1663-B1663)</f>
        <v>4</v>
      </c>
    </row>
    <row r="1664" spans="2:24" ht="17.25" hidden="1" customHeight="1">
      <c r="B1664" s="23">
        <v>45800</v>
      </c>
      <c r="C1664" s="7">
        <v>2003695819</v>
      </c>
      <c r="D1664" s="20">
        <v>5950049</v>
      </c>
      <c r="E1664" s="27" t="s">
        <v>230</v>
      </c>
      <c r="F1664" s="7" t="s">
        <v>107</v>
      </c>
      <c r="G1664" s="7" t="s">
        <v>26</v>
      </c>
      <c r="H1664" s="7" t="s">
        <v>45</v>
      </c>
      <c r="I1664" s="20" t="s">
        <v>1125</v>
      </c>
      <c r="J1664" s="20" t="s">
        <v>2607</v>
      </c>
      <c r="K1664" s="7" t="s">
        <v>119</v>
      </c>
      <c r="L1664" s="61">
        <v>45804</v>
      </c>
      <c r="M1664" s="7" t="s">
        <v>111</v>
      </c>
      <c r="N1664" s="24">
        <v>45804</v>
      </c>
      <c r="O1664" s="23">
        <v>45804</v>
      </c>
      <c r="P1664" s="59"/>
      <c r="Q1664" s="124" t="e">
        <f>P1664*#REF!</f>
        <v>#REF!</v>
      </c>
      <c r="R1664" s="126">
        <v>45804</v>
      </c>
      <c r="S1664" s="153">
        <f>IF(L1664="","",L1664-B1664)</f>
        <v>4</v>
      </c>
      <c r="T1664" s="153">
        <f>IF(N1664="","",N1664-L1664)</f>
        <v>0</v>
      </c>
      <c r="U1664" s="153">
        <f>IF(O1664="","",O1664-N1664)</f>
        <v>0</v>
      </c>
      <c r="V1664" s="154">
        <f>IF(O1664="","",O1664-B1664)</f>
        <v>4</v>
      </c>
      <c r="W1664" s="154">
        <f>IF(O1664="","",O1664-L1664)</f>
        <v>0</v>
      </c>
      <c r="X1664" s="154">
        <f>IF(R1664="","",R1664-B1664)</f>
        <v>4</v>
      </c>
    </row>
    <row r="1665" spans="2:24" ht="17.25" hidden="1" customHeight="1">
      <c r="B1665" s="23">
        <v>45800</v>
      </c>
      <c r="C1665" s="7">
        <v>2003674900</v>
      </c>
      <c r="D1665" s="20">
        <v>5950056</v>
      </c>
      <c r="E1665" s="27" t="s">
        <v>201</v>
      </c>
      <c r="F1665" s="7" t="s">
        <v>107</v>
      </c>
      <c r="G1665" s="7" t="s">
        <v>18</v>
      </c>
      <c r="H1665" s="7" t="s">
        <v>45</v>
      </c>
      <c r="I1665" s="20" t="s">
        <v>2464</v>
      </c>
      <c r="J1665" s="20" t="s">
        <v>2465</v>
      </c>
      <c r="K1665" s="7" t="s">
        <v>110</v>
      </c>
      <c r="L1665" s="61">
        <v>45804</v>
      </c>
      <c r="M1665" s="7" t="s">
        <v>111</v>
      </c>
      <c r="N1665" s="61">
        <v>45804</v>
      </c>
      <c r="O1665" s="61">
        <v>45805</v>
      </c>
      <c r="P1665" s="59"/>
      <c r="Q1665" s="124" t="e">
        <f>P1665*#REF!</f>
        <v>#REF!</v>
      </c>
      <c r="R1665" s="126">
        <v>45807</v>
      </c>
      <c r="S1665" s="153">
        <f>IF(L1665="","",L1665-B1665)</f>
        <v>4</v>
      </c>
      <c r="T1665" s="153">
        <f>IF(N1665="","",N1665-L1665)</f>
        <v>0</v>
      </c>
      <c r="U1665" s="153">
        <f>IF(O1665="","",O1665-N1665)</f>
        <v>1</v>
      </c>
      <c r="V1665" s="154">
        <f>IF(O1665="","",O1665-B1665)</f>
        <v>5</v>
      </c>
      <c r="W1665" s="154">
        <f>IF(O1665="","",O1665-L1665)</f>
        <v>1</v>
      </c>
      <c r="X1665" s="154">
        <f>IF(R1665="","",R1665-B1665)</f>
        <v>7</v>
      </c>
    </row>
    <row r="1666" spans="2:24" ht="17.25" hidden="1" customHeight="1">
      <c r="B1666" s="23">
        <v>45800</v>
      </c>
      <c r="C1666" s="7">
        <v>2003685787</v>
      </c>
      <c r="D1666" s="20">
        <v>5950089</v>
      </c>
      <c r="E1666" s="27" t="s">
        <v>123</v>
      </c>
      <c r="F1666" s="7" t="s">
        <v>107</v>
      </c>
      <c r="G1666" s="7" t="s">
        <v>10</v>
      </c>
      <c r="H1666" s="7" t="s">
        <v>45</v>
      </c>
      <c r="I1666" s="20" t="s">
        <v>1609</v>
      </c>
      <c r="J1666" s="20" t="s">
        <v>2608</v>
      </c>
      <c r="K1666" s="7" t="s">
        <v>110</v>
      </c>
      <c r="L1666" s="61">
        <v>45805</v>
      </c>
      <c r="M1666" s="7" t="s">
        <v>111</v>
      </c>
      <c r="N1666" s="61">
        <v>45805</v>
      </c>
      <c r="O1666" s="61">
        <v>45805</v>
      </c>
      <c r="P1666" s="59"/>
      <c r="Q1666" s="124" t="e">
        <f>P1666*#REF!</f>
        <v>#REF!</v>
      </c>
      <c r="R1666" s="126">
        <v>45807</v>
      </c>
      <c r="S1666" s="153">
        <f>IF(L1666="","",L1666-B1666)</f>
        <v>5</v>
      </c>
      <c r="T1666" s="153">
        <f>IF(N1666="","",N1666-L1666)</f>
        <v>0</v>
      </c>
      <c r="U1666" s="153">
        <f>IF(O1666="","",O1666-N1666)</f>
        <v>0</v>
      </c>
      <c r="V1666" s="154">
        <f>IF(O1666="","",O1666-B1666)</f>
        <v>5</v>
      </c>
      <c r="W1666" s="154">
        <f>IF(O1666="","",O1666-L1666)</f>
        <v>0</v>
      </c>
      <c r="X1666" s="154">
        <f>IF(R1666="","",R1666-B1666)</f>
        <v>7</v>
      </c>
    </row>
    <row r="1667" spans="2:24" ht="17.25" hidden="1" customHeight="1">
      <c r="B1667" s="23">
        <v>45800</v>
      </c>
      <c r="C1667" s="7">
        <v>2003492002</v>
      </c>
      <c r="D1667" s="20">
        <v>5950098</v>
      </c>
      <c r="E1667" s="27" t="s">
        <v>949</v>
      </c>
      <c r="F1667" s="7" t="s">
        <v>107</v>
      </c>
      <c r="G1667" s="7" t="s">
        <v>18</v>
      </c>
      <c r="H1667" s="7" t="s">
        <v>45</v>
      </c>
      <c r="I1667" s="20" t="s">
        <v>618</v>
      </c>
      <c r="J1667" s="20" t="s">
        <v>2609</v>
      </c>
      <c r="K1667" s="7" t="s">
        <v>119</v>
      </c>
      <c r="L1667" s="61">
        <v>45804</v>
      </c>
      <c r="M1667" s="7" t="s">
        <v>111</v>
      </c>
      <c r="N1667" s="61">
        <v>45804</v>
      </c>
      <c r="O1667" s="61">
        <v>45804</v>
      </c>
      <c r="P1667" s="59"/>
      <c r="Q1667" s="124" t="e">
        <f>P1667*#REF!</f>
        <v>#REF!</v>
      </c>
      <c r="R1667" s="126">
        <v>45804</v>
      </c>
      <c r="S1667" s="153">
        <f>IF(L1667="","",L1667-B1667)</f>
        <v>4</v>
      </c>
      <c r="T1667" s="153">
        <f>IF(N1667="","",N1667-L1667)</f>
        <v>0</v>
      </c>
      <c r="U1667" s="153">
        <f>IF(O1667="","",O1667-N1667)</f>
        <v>0</v>
      </c>
      <c r="V1667" s="154">
        <f>IF(O1667="","",O1667-B1667)</f>
        <v>4</v>
      </c>
      <c r="W1667" s="154">
        <f>IF(O1667="","",O1667-L1667)</f>
        <v>0</v>
      </c>
      <c r="X1667" s="154">
        <f>IF(R1667="","",R1667-B1667)</f>
        <v>4</v>
      </c>
    </row>
    <row r="1668" spans="2:24" ht="17.25" hidden="1" customHeight="1">
      <c r="B1668" s="23">
        <v>45800</v>
      </c>
      <c r="C1668" s="7">
        <v>2003696401</v>
      </c>
      <c r="D1668" s="20">
        <v>5950388</v>
      </c>
      <c r="E1668" s="27" t="s">
        <v>622</v>
      </c>
      <c r="F1668" s="7" t="s">
        <v>107</v>
      </c>
      <c r="G1668" s="7" t="s">
        <v>18</v>
      </c>
      <c r="H1668" s="7" t="s">
        <v>45</v>
      </c>
      <c r="I1668" s="20" t="s">
        <v>2610</v>
      </c>
      <c r="J1668" s="20" t="s">
        <v>2611</v>
      </c>
      <c r="K1668" s="7" t="s">
        <v>119</v>
      </c>
      <c r="L1668" s="61">
        <v>45804</v>
      </c>
      <c r="M1668" s="7" t="s">
        <v>111</v>
      </c>
      <c r="N1668" s="61">
        <v>45804</v>
      </c>
      <c r="O1668" s="61">
        <v>45804</v>
      </c>
      <c r="P1668" s="59"/>
      <c r="Q1668" s="124" t="e">
        <f>P1668*#REF!</f>
        <v>#REF!</v>
      </c>
      <c r="R1668" s="126">
        <v>45804</v>
      </c>
      <c r="S1668" s="153">
        <f>IF(L1668="","",L1668-B1668)</f>
        <v>4</v>
      </c>
      <c r="T1668" s="153">
        <f>IF(N1668="","",N1668-L1668)</f>
        <v>0</v>
      </c>
      <c r="U1668" s="153">
        <f>IF(O1668="","",O1668-N1668)</f>
        <v>0</v>
      </c>
      <c r="V1668" s="154">
        <f>IF(O1668="","",O1668-B1668)</f>
        <v>4</v>
      </c>
      <c r="W1668" s="154">
        <f>IF(O1668="","",O1668-L1668)</f>
        <v>0</v>
      </c>
      <c r="X1668" s="154">
        <f>IF(R1668="","",R1668-B1668)</f>
        <v>4</v>
      </c>
    </row>
    <row r="1669" spans="2:24" ht="17.25" hidden="1" customHeight="1">
      <c r="B1669" s="23">
        <v>45800</v>
      </c>
      <c r="C1669" s="7">
        <v>2003669170</v>
      </c>
      <c r="D1669" s="20">
        <v>5950445</v>
      </c>
      <c r="E1669" s="27" t="s">
        <v>191</v>
      </c>
      <c r="F1669" s="7" t="s">
        <v>107</v>
      </c>
      <c r="G1669" s="7" t="s">
        <v>10</v>
      </c>
      <c r="H1669" s="7" t="s">
        <v>45</v>
      </c>
      <c r="I1669" s="20" t="s">
        <v>2004</v>
      </c>
      <c r="J1669" s="20" t="s">
        <v>2005</v>
      </c>
      <c r="K1669" s="7" t="s">
        <v>110</v>
      </c>
      <c r="L1669" s="61">
        <v>45806</v>
      </c>
      <c r="M1669" s="7" t="s">
        <v>111</v>
      </c>
      <c r="N1669" s="61">
        <v>45807</v>
      </c>
      <c r="O1669" s="61">
        <v>45807</v>
      </c>
      <c r="P1669" s="59"/>
      <c r="Q1669" s="124" t="e">
        <f>P1669*#REF!</f>
        <v>#REF!</v>
      </c>
      <c r="R1669" s="126">
        <v>45807</v>
      </c>
      <c r="S1669" s="153">
        <f>IF(L1669="","",L1669-B1669)</f>
        <v>6</v>
      </c>
      <c r="T1669" s="153">
        <f>IF(N1669="","",N1669-L1669)</f>
        <v>1</v>
      </c>
      <c r="U1669" s="153">
        <f>IF(O1669="","",O1669-N1669)</f>
        <v>0</v>
      </c>
      <c r="V1669" s="154">
        <f>IF(O1669="","",O1669-B1669)</f>
        <v>7</v>
      </c>
      <c r="W1669" s="154">
        <f>IF(O1669="","",O1669-L1669)</f>
        <v>1</v>
      </c>
      <c r="X1669" s="154">
        <f>IF(R1669="","",R1669-B1669)</f>
        <v>7</v>
      </c>
    </row>
    <row r="1670" spans="2:24" ht="17.25" hidden="1" customHeight="1">
      <c r="B1670" s="23">
        <v>45800</v>
      </c>
      <c r="C1670" s="7">
        <v>2003678385</v>
      </c>
      <c r="D1670" s="20">
        <v>5950503</v>
      </c>
      <c r="E1670" s="27" t="s">
        <v>138</v>
      </c>
      <c r="F1670" s="7" t="s">
        <v>107</v>
      </c>
      <c r="G1670" s="7" t="s">
        <v>10</v>
      </c>
      <c r="H1670" s="7" t="s">
        <v>45</v>
      </c>
      <c r="I1670" s="20" t="s">
        <v>2612</v>
      </c>
      <c r="J1670" s="20" t="s">
        <v>2613</v>
      </c>
      <c r="K1670" s="7" t="s">
        <v>110</v>
      </c>
      <c r="L1670" s="61">
        <v>45804</v>
      </c>
      <c r="M1670" s="7" t="s">
        <v>111</v>
      </c>
      <c r="N1670" s="61">
        <v>45804</v>
      </c>
      <c r="O1670" s="130">
        <v>45804</v>
      </c>
      <c r="P1670" s="59"/>
      <c r="Q1670" s="124" t="e">
        <f>P1670*#REF!</f>
        <v>#REF!</v>
      </c>
      <c r="R1670" s="126">
        <v>45804</v>
      </c>
      <c r="S1670" s="153">
        <f>IF(L1670="","",L1670-B1670)</f>
        <v>4</v>
      </c>
      <c r="T1670" s="153">
        <f>IF(N1670="","",N1670-L1670)</f>
        <v>0</v>
      </c>
      <c r="U1670" s="153">
        <f>IF(O1670="","",O1670-N1670)</f>
        <v>0</v>
      </c>
      <c r="V1670" s="154">
        <f>IF(O1670="","",O1670-B1670)</f>
        <v>4</v>
      </c>
      <c r="W1670" s="154">
        <f>IF(O1670="","",O1670-L1670)</f>
        <v>0</v>
      </c>
      <c r="X1670" s="154">
        <f>IF(R1670="","",R1670-B1670)</f>
        <v>4</v>
      </c>
    </row>
    <row r="1671" spans="2:24" ht="17.25" hidden="1" customHeight="1">
      <c r="B1671" s="23">
        <v>45803</v>
      </c>
      <c r="C1671" s="7">
        <v>2003689606</v>
      </c>
      <c r="D1671" s="20">
        <v>5951229</v>
      </c>
      <c r="E1671" s="27" t="s">
        <v>408</v>
      </c>
      <c r="F1671" s="7" t="s">
        <v>107</v>
      </c>
      <c r="G1671" s="7" t="s">
        <v>18</v>
      </c>
      <c r="H1671" s="7" t="s">
        <v>45</v>
      </c>
      <c r="I1671" s="20" t="s">
        <v>237</v>
      </c>
      <c r="J1671" s="20" t="s">
        <v>1622</v>
      </c>
      <c r="K1671" s="7" t="s">
        <v>110</v>
      </c>
      <c r="L1671" s="61">
        <v>45805</v>
      </c>
      <c r="M1671" s="7" t="s">
        <v>111</v>
      </c>
      <c r="N1671" s="61">
        <v>45805</v>
      </c>
      <c r="O1671" s="61">
        <v>45813</v>
      </c>
      <c r="P1671" s="59"/>
      <c r="Q1671" s="124" t="e">
        <f>P1671*#REF!</f>
        <v>#REF!</v>
      </c>
      <c r="R1671" s="126">
        <v>45814</v>
      </c>
      <c r="S1671" s="153">
        <f>IF(L1671="","",L1671-B1671)</f>
        <v>2</v>
      </c>
      <c r="T1671" s="153">
        <f>IF(N1671="","",N1671-L1671)</f>
        <v>0</v>
      </c>
      <c r="U1671" s="153">
        <f>IF(O1671="","",O1671-N1671)</f>
        <v>8</v>
      </c>
      <c r="V1671" s="154">
        <f>IF(O1671="","",O1671-B1671)</f>
        <v>10</v>
      </c>
      <c r="W1671" s="154">
        <f>IF(O1671="","",O1671-L1671)</f>
        <v>8</v>
      </c>
      <c r="X1671" s="154">
        <f>IF(R1671="","",R1671-B1671)</f>
        <v>11</v>
      </c>
    </row>
    <row r="1672" spans="2:24" ht="17.25" hidden="1" customHeight="1">
      <c r="B1672" s="23">
        <v>45800</v>
      </c>
      <c r="C1672" s="7">
        <v>2003680547</v>
      </c>
      <c r="D1672" s="20">
        <v>5950603</v>
      </c>
      <c r="E1672" s="27" t="s">
        <v>138</v>
      </c>
      <c r="F1672" s="7" t="s">
        <v>107</v>
      </c>
      <c r="G1672" s="7" t="s">
        <v>10</v>
      </c>
      <c r="H1672" s="7" t="s">
        <v>45</v>
      </c>
      <c r="I1672" s="20" t="s">
        <v>2614</v>
      </c>
      <c r="J1672" s="20" t="s">
        <v>2615</v>
      </c>
      <c r="K1672" s="7" t="s">
        <v>119</v>
      </c>
      <c r="L1672" s="61">
        <v>45803</v>
      </c>
      <c r="M1672" s="7" t="s">
        <v>111</v>
      </c>
      <c r="N1672" s="61">
        <v>45803</v>
      </c>
      <c r="O1672" s="130">
        <v>45803</v>
      </c>
      <c r="P1672" s="59"/>
      <c r="Q1672" s="124" t="e">
        <f>P1672*#REF!</f>
        <v>#REF!</v>
      </c>
      <c r="R1672" s="126">
        <v>45804</v>
      </c>
      <c r="S1672" s="153">
        <f>IF(L1672="","",L1672-B1672)</f>
        <v>3</v>
      </c>
      <c r="T1672" s="153">
        <f>IF(N1672="","",N1672-L1672)</f>
        <v>0</v>
      </c>
      <c r="U1672" s="153">
        <f>IF(O1672="","",O1672-N1672)</f>
        <v>0</v>
      </c>
      <c r="V1672" s="154">
        <f>IF(O1672="","",O1672-B1672)</f>
        <v>3</v>
      </c>
      <c r="W1672" s="154">
        <f>IF(O1672="","",O1672-L1672)</f>
        <v>0</v>
      </c>
      <c r="X1672" s="154">
        <f>IF(R1672="","",R1672-B1672)</f>
        <v>4</v>
      </c>
    </row>
    <row r="1673" spans="2:24" ht="17.25" hidden="1" customHeight="1">
      <c r="B1673" s="23">
        <v>45800</v>
      </c>
      <c r="C1673" s="7">
        <v>2003694691</v>
      </c>
      <c r="D1673" s="20">
        <v>5950771</v>
      </c>
      <c r="E1673" s="27" t="s">
        <v>1225</v>
      </c>
      <c r="F1673" s="7" t="s">
        <v>107</v>
      </c>
      <c r="G1673" s="7" t="s">
        <v>26</v>
      </c>
      <c r="H1673" s="7" t="s">
        <v>45</v>
      </c>
      <c r="I1673" s="20" t="s">
        <v>851</v>
      </c>
      <c r="J1673" s="20" t="s">
        <v>2616</v>
      </c>
      <c r="K1673" s="7" t="s">
        <v>119</v>
      </c>
      <c r="L1673" s="61">
        <v>45805</v>
      </c>
      <c r="M1673" s="7" t="s">
        <v>111</v>
      </c>
      <c r="N1673" s="24">
        <v>45806</v>
      </c>
      <c r="O1673" s="23">
        <v>45806</v>
      </c>
      <c r="P1673" s="59"/>
      <c r="Q1673" s="124" t="e">
        <f>P1673*#REF!</f>
        <v>#REF!</v>
      </c>
      <c r="R1673" s="126">
        <v>45806</v>
      </c>
      <c r="S1673" s="153">
        <f>IF(L1673="","",L1673-B1673)</f>
        <v>5</v>
      </c>
      <c r="T1673" s="153">
        <f>IF(N1673="","",N1673-L1673)</f>
        <v>1</v>
      </c>
      <c r="U1673" s="153">
        <f>IF(O1673="","",O1673-N1673)</f>
        <v>0</v>
      </c>
      <c r="V1673" s="154">
        <f>IF(O1673="","",O1673-B1673)</f>
        <v>6</v>
      </c>
      <c r="W1673" s="154">
        <f>IF(O1673="","",O1673-L1673)</f>
        <v>1</v>
      </c>
      <c r="X1673" s="154">
        <f>IF(R1673="","",R1673-B1673)</f>
        <v>6</v>
      </c>
    </row>
    <row r="1674" spans="2:24" ht="17.25" hidden="1" customHeight="1">
      <c r="B1674" s="23">
        <v>45800</v>
      </c>
      <c r="C1674" s="7">
        <v>2003665896</v>
      </c>
      <c r="D1674" s="20">
        <v>5950793</v>
      </c>
      <c r="E1674" s="27" t="s">
        <v>191</v>
      </c>
      <c r="F1674" s="7" t="s">
        <v>107</v>
      </c>
      <c r="G1674" s="7" t="s">
        <v>10</v>
      </c>
      <c r="H1674" s="7" t="s">
        <v>45</v>
      </c>
      <c r="I1674" s="20" t="s">
        <v>2617</v>
      </c>
      <c r="J1674" s="20" t="s">
        <v>2406</v>
      </c>
      <c r="K1674" s="7" t="s">
        <v>110</v>
      </c>
      <c r="L1674" s="61">
        <v>45804</v>
      </c>
      <c r="M1674" s="7" t="s">
        <v>111</v>
      </c>
      <c r="N1674" s="24">
        <v>45804</v>
      </c>
      <c r="O1674" s="23">
        <v>45804</v>
      </c>
      <c r="P1674" s="59"/>
      <c r="Q1674" s="124" t="e">
        <f>P1674*#REF!</f>
        <v>#REF!</v>
      </c>
      <c r="R1674" s="126">
        <v>45804</v>
      </c>
      <c r="S1674" s="153">
        <f>IF(L1674="","",L1674-B1674)</f>
        <v>4</v>
      </c>
      <c r="T1674" s="153">
        <f>IF(N1674="","",N1674-L1674)</f>
        <v>0</v>
      </c>
      <c r="U1674" s="153">
        <f>IF(O1674="","",O1674-N1674)</f>
        <v>0</v>
      </c>
      <c r="V1674" s="154">
        <f>IF(O1674="","",O1674-B1674)</f>
        <v>4</v>
      </c>
      <c r="W1674" s="154">
        <f>IF(O1674="","",O1674-L1674)</f>
        <v>0</v>
      </c>
      <c r="X1674" s="154">
        <f>IF(R1674="","",R1674-B1674)</f>
        <v>4</v>
      </c>
    </row>
    <row r="1675" spans="2:24" ht="17.25" hidden="1" customHeight="1">
      <c r="B1675" s="23">
        <v>45799</v>
      </c>
      <c r="C1675" s="7">
        <v>2003676052</v>
      </c>
      <c r="D1675" s="20">
        <v>5949771</v>
      </c>
      <c r="E1675" s="27" t="s">
        <v>191</v>
      </c>
      <c r="F1675" s="7" t="s">
        <v>107</v>
      </c>
      <c r="G1675" s="7" t="s">
        <v>10</v>
      </c>
      <c r="H1675" s="7" t="s">
        <v>45</v>
      </c>
      <c r="I1675" s="20" t="s">
        <v>2618</v>
      </c>
      <c r="J1675" s="20" t="s">
        <v>2619</v>
      </c>
      <c r="K1675" s="7" t="s">
        <v>110</v>
      </c>
      <c r="L1675" s="61">
        <v>45806</v>
      </c>
      <c r="M1675" s="7" t="s">
        <v>111</v>
      </c>
      <c r="N1675" s="61">
        <v>45807</v>
      </c>
      <c r="O1675" s="61">
        <v>45807</v>
      </c>
      <c r="P1675" s="59"/>
      <c r="Q1675" s="124" t="e">
        <f>P1675*#REF!</f>
        <v>#REF!</v>
      </c>
      <c r="R1675" s="126">
        <v>45812</v>
      </c>
      <c r="S1675" s="153">
        <f>IF(L1675="","",L1675-B1675)</f>
        <v>7</v>
      </c>
      <c r="T1675" s="153">
        <f>IF(N1675="","",N1675-L1675)</f>
        <v>1</v>
      </c>
      <c r="U1675" s="153">
        <f>IF(O1675="","",O1675-N1675)</f>
        <v>0</v>
      </c>
      <c r="V1675" s="154">
        <f>IF(O1675="","",O1675-B1675)</f>
        <v>8</v>
      </c>
      <c r="W1675" s="154">
        <f>IF(O1675="","",O1675-L1675)</f>
        <v>1</v>
      </c>
      <c r="X1675" s="154">
        <f>IF(R1675="","",R1675-B1675)</f>
        <v>13</v>
      </c>
    </row>
    <row r="1676" spans="2:24" ht="17.25" hidden="1" customHeight="1">
      <c r="B1676" s="23">
        <v>45800</v>
      </c>
      <c r="C1676" s="7">
        <v>2003656304</v>
      </c>
      <c r="D1676" s="20">
        <v>5950925</v>
      </c>
      <c r="E1676" s="27" t="s">
        <v>198</v>
      </c>
      <c r="F1676" s="7" t="s">
        <v>107</v>
      </c>
      <c r="G1676" s="7" t="s">
        <v>26</v>
      </c>
      <c r="H1676" s="7" t="s">
        <v>45</v>
      </c>
      <c r="I1676" s="20" t="s">
        <v>243</v>
      </c>
      <c r="J1676" s="20" t="s">
        <v>2394</v>
      </c>
      <c r="K1676" s="7" t="s">
        <v>119</v>
      </c>
      <c r="L1676" s="61">
        <v>45804</v>
      </c>
      <c r="M1676" s="7" t="s">
        <v>111</v>
      </c>
      <c r="N1676" s="61">
        <v>45804</v>
      </c>
      <c r="O1676" s="23">
        <v>45804</v>
      </c>
      <c r="P1676" s="59"/>
      <c r="Q1676" s="124" t="e">
        <f>P1676*#REF!</f>
        <v>#REF!</v>
      </c>
      <c r="R1676" s="126">
        <v>45804</v>
      </c>
      <c r="S1676" s="153">
        <f>IF(L1676="","",L1676-B1676)</f>
        <v>4</v>
      </c>
      <c r="T1676" s="153">
        <f>IF(N1676="","",N1676-L1676)</f>
        <v>0</v>
      </c>
      <c r="U1676" s="153">
        <f>IF(O1676="","",O1676-N1676)</f>
        <v>0</v>
      </c>
      <c r="V1676" s="154">
        <f>IF(O1676="","",O1676-B1676)</f>
        <v>4</v>
      </c>
      <c r="W1676" s="154">
        <f>IF(O1676="","",O1676-L1676)</f>
        <v>0</v>
      </c>
      <c r="X1676" s="154">
        <f>IF(R1676="","",R1676-B1676)</f>
        <v>4</v>
      </c>
    </row>
    <row r="1677" spans="2:24" ht="17.25" hidden="1" customHeight="1">
      <c r="B1677" s="23">
        <v>45800</v>
      </c>
      <c r="C1677" s="7">
        <v>2003644109</v>
      </c>
      <c r="D1677" s="20">
        <v>5950933</v>
      </c>
      <c r="E1677" s="27" t="s">
        <v>185</v>
      </c>
      <c r="F1677" s="7" t="s">
        <v>107</v>
      </c>
      <c r="G1677" s="7" t="s">
        <v>10</v>
      </c>
      <c r="H1677" s="7" t="s">
        <v>45</v>
      </c>
      <c r="I1677" s="20" t="s">
        <v>623</v>
      </c>
      <c r="J1677" s="20" t="s">
        <v>2531</v>
      </c>
      <c r="K1677" s="7" t="s">
        <v>119</v>
      </c>
      <c r="L1677" s="61">
        <v>45803</v>
      </c>
      <c r="M1677" s="7" t="s">
        <v>111</v>
      </c>
      <c r="N1677" s="61">
        <v>45803</v>
      </c>
      <c r="O1677" s="61">
        <v>45804</v>
      </c>
      <c r="P1677" s="59"/>
      <c r="Q1677" s="124" t="e">
        <f>P1677*#REF!</f>
        <v>#REF!</v>
      </c>
      <c r="R1677" s="126">
        <v>45804</v>
      </c>
      <c r="S1677" s="153">
        <f>IF(L1677="","",L1677-B1677)</f>
        <v>3</v>
      </c>
      <c r="T1677" s="153">
        <f>IF(N1677="","",N1677-L1677)</f>
        <v>0</v>
      </c>
      <c r="U1677" s="153">
        <f>IF(O1677="","",O1677-N1677)</f>
        <v>1</v>
      </c>
      <c r="V1677" s="154">
        <f>IF(O1677="","",O1677-B1677)</f>
        <v>4</v>
      </c>
      <c r="W1677" s="154">
        <f>IF(O1677="","",O1677-L1677)</f>
        <v>1</v>
      </c>
      <c r="X1677" s="154">
        <f>IF(R1677="","",R1677-B1677)</f>
        <v>4</v>
      </c>
    </row>
    <row r="1678" spans="2:24" ht="17.25" hidden="1" customHeight="1">
      <c r="B1678" s="23">
        <v>45803</v>
      </c>
      <c r="C1678" s="7">
        <v>2003665951</v>
      </c>
      <c r="D1678" s="20">
        <v>5951972</v>
      </c>
      <c r="E1678" s="27" t="s">
        <v>949</v>
      </c>
      <c r="F1678" s="7" t="s">
        <v>107</v>
      </c>
      <c r="G1678" s="7" t="s">
        <v>10</v>
      </c>
      <c r="H1678" s="7" t="s">
        <v>45</v>
      </c>
      <c r="I1678" s="20" t="s">
        <v>2620</v>
      </c>
      <c r="J1678" s="20" t="s">
        <v>2352</v>
      </c>
      <c r="K1678" s="7" t="s">
        <v>119</v>
      </c>
      <c r="L1678" s="61">
        <v>45812</v>
      </c>
      <c r="M1678" s="7" t="s">
        <v>111</v>
      </c>
      <c r="N1678" s="61">
        <v>45812</v>
      </c>
      <c r="O1678" s="61">
        <v>45812</v>
      </c>
      <c r="P1678" s="59"/>
      <c r="Q1678" s="124" t="e">
        <f>P1678*#REF!</f>
        <v>#REF!</v>
      </c>
      <c r="R1678" s="126">
        <v>45814</v>
      </c>
      <c r="S1678" s="153">
        <f>IF(L1678="","",L1678-B1678)</f>
        <v>9</v>
      </c>
      <c r="T1678" s="153">
        <f>IF(N1678="","",N1678-L1678)</f>
        <v>0</v>
      </c>
      <c r="U1678" s="153">
        <f>IF(O1678="","",O1678-N1678)</f>
        <v>0</v>
      </c>
      <c r="V1678" s="154">
        <f>IF(O1678="","",O1678-B1678)</f>
        <v>9</v>
      </c>
      <c r="W1678" s="154">
        <f>IF(O1678="","",O1678-L1678)</f>
        <v>0</v>
      </c>
      <c r="X1678" s="154">
        <f>IF(R1678="","",R1678-B1678)</f>
        <v>11</v>
      </c>
    </row>
    <row r="1679" spans="2:24" ht="17.25" hidden="1" customHeight="1">
      <c r="B1679" s="23">
        <v>45800</v>
      </c>
      <c r="C1679" s="7">
        <v>2003690362</v>
      </c>
      <c r="D1679" s="20">
        <v>5950369</v>
      </c>
      <c r="E1679" s="27" t="s">
        <v>198</v>
      </c>
      <c r="F1679" s="7" t="s">
        <v>107</v>
      </c>
      <c r="G1679" s="7" t="s">
        <v>10</v>
      </c>
      <c r="H1679" s="7" t="s">
        <v>45</v>
      </c>
      <c r="I1679" s="20" t="s">
        <v>2621</v>
      </c>
      <c r="J1679" s="20" t="s">
        <v>2622</v>
      </c>
      <c r="K1679" s="7" t="s">
        <v>119</v>
      </c>
      <c r="L1679" s="61">
        <v>45806</v>
      </c>
      <c r="M1679" s="7" t="s">
        <v>111</v>
      </c>
      <c r="N1679" s="61">
        <v>45810</v>
      </c>
      <c r="O1679" s="61">
        <v>45811</v>
      </c>
      <c r="P1679" s="59"/>
      <c r="Q1679" s="124" t="e">
        <f>P1679*#REF!</f>
        <v>#REF!</v>
      </c>
      <c r="R1679" s="126">
        <v>45812</v>
      </c>
      <c r="S1679" s="153">
        <f>IF(L1679="","",L1679-B1679)</f>
        <v>6</v>
      </c>
      <c r="T1679" s="153">
        <f>IF(N1679="","",N1679-L1679)</f>
        <v>4</v>
      </c>
      <c r="U1679" s="153">
        <f>IF(O1679="","",O1679-N1679)</f>
        <v>1</v>
      </c>
      <c r="V1679" s="154">
        <f>IF(O1679="","",O1679-B1679)</f>
        <v>11</v>
      </c>
      <c r="W1679" s="154">
        <f>IF(O1679="","",O1679-L1679)</f>
        <v>5</v>
      </c>
      <c r="X1679" s="154">
        <f>IF(R1679="","",R1679-B1679)</f>
        <v>12</v>
      </c>
    </row>
    <row r="1680" spans="2:24" ht="17.25" hidden="1" customHeight="1">
      <c r="B1680" s="23">
        <v>45803</v>
      </c>
      <c r="C1680" s="7">
        <v>2003683298</v>
      </c>
      <c r="D1680" s="20">
        <v>5950969</v>
      </c>
      <c r="E1680" s="27" t="s">
        <v>185</v>
      </c>
      <c r="F1680" s="7" t="s">
        <v>107</v>
      </c>
      <c r="G1680" s="7" t="s">
        <v>26</v>
      </c>
      <c r="H1680" s="7" t="s">
        <v>45</v>
      </c>
      <c r="I1680" s="20" t="s">
        <v>2623</v>
      </c>
      <c r="J1680" s="20" t="s">
        <v>2624</v>
      </c>
      <c r="K1680" s="7" t="s">
        <v>110</v>
      </c>
      <c r="L1680" s="61">
        <v>45804</v>
      </c>
      <c r="M1680" s="7" t="s">
        <v>111</v>
      </c>
      <c r="N1680" s="24">
        <v>45804</v>
      </c>
      <c r="O1680" s="23">
        <v>45804</v>
      </c>
      <c r="P1680" s="59"/>
      <c r="Q1680" s="124" t="e">
        <f>P1680*#REF!</f>
        <v>#REF!</v>
      </c>
      <c r="R1680" s="126">
        <v>45804</v>
      </c>
      <c r="S1680" s="153">
        <f>IF(L1680="","",L1680-B1680)</f>
        <v>1</v>
      </c>
      <c r="T1680" s="153">
        <f>IF(N1680="","",N1680-L1680)</f>
        <v>0</v>
      </c>
      <c r="U1680" s="153">
        <f>IF(O1680="","",O1680-N1680)</f>
        <v>0</v>
      </c>
      <c r="V1680" s="154">
        <f>IF(O1680="","",O1680-B1680)</f>
        <v>1</v>
      </c>
      <c r="W1680" s="154">
        <f>IF(O1680="","",O1680-L1680)</f>
        <v>0</v>
      </c>
      <c r="X1680" s="154">
        <f>IF(R1680="","",R1680-B1680)</f>
        <v>1</v>
      </c>
    </row>
    <row r="1681" spans="2:24" ht="17.25" hidden="1" customHeight="1">
      <c r="B1681" s="23">
        <v>45800</v>
      </c>
      <c r="C1681" s="7">
        <v>2003691751</v>
      </c>
      <c r="D1681" s="20">
        <v>5950623</v>
      </c>
      <c r="E1681" s="27" t="s">
        <v>138</v>
      </c>
      <c r="F1681" s="7" t="s">
        <v>107</v>
      </c>
      <c r="G1681" s="7" t="s">
        <v>18</v>
      </c>
      <c r="H1681" s="7" t="s">
        <v>45</v>
      </c>
      <c r="I1681" s="20" t="s">
        <v>1257</v>
      </c>
      <c r="J1681" s="20" t="s">
        <v>2625</v>
      </c>
      <c r="K1681" s="7" t="s">
        <v>119</v>
      </c>
      <c r="L1681" s="61">
        <v>45806</v>
      </c>
      <c r="M1681" s="7" t="s">
        <v>111</v>
      </c>
      <c r="N1681" s="61">
        <v>45810</v>
      </c>
      <c r="O1681" s="61">
        <v>45810</v>
      </c>
      <c r="P1681" s="59"/>
      <c r="Q1681" s="124" t="e">
        <f>P1681*#REF!</f>
        <v>#REF!</v>
      </c>
      <c r="R1681" s="126">
        <v>45812</v>
      </c>
      <c r="S1681" s="153">
        <f>IF(L1681="","",L1681-B1681)</f>
        <v>6</v>
      </c>
      <c r="T1681" s="153">
        <f>IF(N1681="","",N1681-L1681)</f>
        <v>4</v>
      </c>
      <c r="U1681" s="153">
        <f>IF(O1681="","",O1681-N1681)</f>
        <v>0</v>
      </c>
      <c r="V1681" s="154">
        <f>IF(O1681="","",O1681-B1681)</f>
        <v>10</v>
      </c>
      <c r="W1681" s="154">
        <f>IF(O1681="","",O1681-L1681)</f>
        <v>4</v>
      </c>
      <c r="X1681" s="154">
        <f>IF(R1681="","",R1681-B1681)</f>
        <v>12</v>
      </c>
    </row>
    <row r="1682" spans="2:24" ht="17.25" hidden="1" customHeight="1">
      <c r="B1682" s="23">
        <v>45803</v>
      </c>
      <c r="C1682" s="7">
        <v>2003690494</v>
      </c>
      <c r="D1682" s="20">
        <v>175535</v>
      </c>
      <c r="E1682" s="27" t="s">
        <v>152</v>
      </c>
      <c r="F1682" s="7" t="s">
        <v>107</v>
      </c>
      <c r="G1682" s="7" t="s">
        <v>10</v>
      </c>
      <c r="H1682" s="7" t="s">
        <v>45</v>
      </c>
      <c r="I1682" s="20" t="s">
        <v>2626</v>
      </c>
      <c r="J1682" s="20" t="s">
        <v>2627</v>
      </c>
      <c r="K1682" s="7" t="s">
        <v>110</v>
      </c>
      <c r="L1682" s="61">
        <v>45806</v>
      </c>
      <c r="M1682" s="7" t="s">
        <v>111</v>
      </c>
      <c r="N1682" s="61">
        <v>45807</v>
      </c>
      <c r="O1682" s="61">
        <v>45810</v>
      </c>
      <c r="P1682" s="59"/>
      <c r="Q1682" s="124" t="e">
        <f>P1682*#REF!</f>
        <v>#REF!</v>
      </c>
      <c r="R1682" s="126">
        <v>45812</v>
      </c>
      <c r="S1682" s="153">
        <f>IF(L1682="","",L1682-B1682)</f>
        <v>3</v>
      </c>
      <c r="T1682" s="153">
        <f>IF(N1682="","",N1682-L1682)</f>
        <v>1</v>
      </c>
      <c r="U1682" s="153">
        <f>IF(O1682="","",O1682-N1682)</f>
        <v>3</v>
      </c>
      <c r="V1682" s="154">
        <f>IF(O1682="","",O1682-B1682)</f>
        <v>7</v>
      </c>
      <c r="W1682" s="154">
        <f>IF(O1682="","",O1682-L1682)</f>
        <v>4</v>
      </c>
      <c r="X1682" s="154">
        <f>IF(R1682="","",R1682-B1682)</f>
        <v>9</v>
      </c>
    </row>
    <row r="1683" spans="2:24" ht="17.25" hidden="1" customHeight="1">
      <c r="B1683" s="23">
        <v>45803</v>
      </c>
      <c r="C1683" s="7">
        <v>2003665636</v>
      </c>
      <c r="D1683" s="20">
        <v>5951361</v>
      </c>
      <c r="E1683" s="27" t="s">
        <v>198</v>
      </c>
      <c r="F1683" s="7" t="s">
        <v>107</v>
      </c>
      <c r="G1683" s="7" t="s">
        <v>26</v>
      </c>
      <c r="H1683" s="7" t="s">
        <v>45</v>
      </c>
      <c r="I1683" s="20" t="s">
        <v>2518</v>
      </c>
      <c r="J1683" s="20" t="s">
        <v>2389</v>
      </c>
      <c r="K1683" s="7" t="s">
        <v>119</v>
      </c>
      <c r="L1683" s="61">
        <v>45804</v>
      </c>
      <c r="M1683" s="7" t="s">
        <v>111</v>
      </c>
      <c r="N1683" s="24">
        <v>45804</v>
      </c>
      <c r="O1683" s="23">
        <v>45804</v>
      </c>
      <c r="P1683" s="59"/>
      <c r="Q1683" s="124" t="e">
        <f>P1683*#REF!</f>
        <v>#REF!</v>
      </c>
      <c r="R1683" s="126">
        <v>45804</v>
      </c>
      <c r="S1683" s="153">
        <f>IF(L1683="","",L1683-B1683)</f>
        <v>1</v>
      </c>
      <c r="T1683" s="153">
        <f>IF(N1683="","",N1683-L1683)</f>
        <v>0</v>
      </c>
      <c r="U1683" s="153">
        <f>IF(O1683="","",O1683-N1683)</f>
        <v>0</v>
      </c>
      <c r="V1683" s="154">
        <f>IF(O1683="","",O1683-B1683)</f>
        <v>1</v>
      </c>
      <c r="W1683" s="154">
        <f>IF(O1683="","",O1683-L1683)</f>
        <v>0</v>
      </c>
      <c r="X1683" s="154">
        <f>IF(R1683="","",R1683-B1683)</f>
        <v>1</v>
      </c>
    </row>
    <row r="1684" spans="2:24" ht="17.25" hidden="1" customHeight="1">
      <c r="B1684" s="23">
        <v>45803</v>
      </c>
      <c r="C1684" s="7">
        <v>2003674367</v>
      </c>
      <c r="D1684" s="20">
        <v>5951404</v>
      </c>
      <c r="E1684" s="27" t="s">
        <v>116</v>
      </c>
      <c r="F1684" s="7" t="s">
        <v>107</v>
      </c>
      <c r="G1684" s="7" t="s">
        <v>18</v>
      </c>
      <c r="H1684" s="7" t="s">
        <v>45</v>
      </c>
      <c r="I1684" s="20" t="s">
        <v>2519</v>
      </c>
      <c r="J1684" s="20" t="s">
        <v>2520</v>
      </c>
      <c r="K1684" s="7" t="s">
        <v>119</v>
      </c>
      <c r="L1684" s="61">
        <v>45804</v>
      </c>
      <c r="M1684" s="7" t="s">
        <v>111</v>
      </c>
      <c r="N1684" s="61">
        <v>45804</v>
      </c>
      <c r="O1684" s="130">
        <v>45805</v>
      </c>
      <c r="P1684" s="59"/>
      <c r="Q1684" s="124" t="e">
        <f>P1684*#REF!</f>
        <v>#REF!</v>
      </c>
      <c r="R1684" s="126">
        <v>45807</v>
      </c>
      <c r="S1684" s="153">
        <f>IF(L1684="","",L1684-B1684)</f>
        <v>1</v>
      </c>
      <c r="T1684" s="153">
        <f>IF(N1684="","",N1684-L1684)</f>
        <v>0</v>
      </c>
      <c r="U1684" s="153">
        <f>IF(O1684="","",O1684-N1684)</f>
        <v>1</v>
      </c>
      <c r="V1684" s="154">
        <f>IF(O1684="","",O1684-B1684)</f>
        <v>2</v>
      </c>
      <c r="W1684" s="154">
        <f>IF(O1684="","",O1684-L1684)</f>
        <v>1</v>
      </c>
      <c r="X1684" s="154">
        <f>IF(R1684="","",R1684-B1684)</f>
        <v>4</v>
      </c>
    </row>
    <row r="1685" spans="2:24" ht="17.25" hidden="1" customHeight="1">
      <c r="B1685" s="23">
        <v>45803</v>
      </c>
      <c r="C1685" s="7">
        <v>2003697825</v>
      </c>
      <c r="D1685" s="20">
        <v>5951559</v>
      </c>
      <c r="E1685" s="27" t="s">
        <v>408</v>
      </c>
      <c r="F1685" s="7" t="s">
        <v>107</v>
      </c>
      <c r="G1685" s="7" t="s">
        <v>10</v>
      </c>
      <c r="H1685" s="7" t="s">
        <v>45</v>
      </c>
      <c r="I1685" s="20" t="s">
        <v>623</v>
      </c>
      <c r="J1685" s="20" t="s">
        <v>2628</v>
      </c>
      <c r="K1685" s="7" t="s">
        <v>119</v>
      </c>
      <c r="L1685" s="61">
        <v>45805</v>
      </c>
      <c r="M1685" s="7" t="s">
        <v>111</v>
      </c>
      <c r="N1685" s="61">
        <v>45806</v>
      </c>
      <c r="O1685" s="61">
        <v>45806</v>
      </c>
      <c r="P1685" s="59"/>
      <c r="Q1685" s="124" t="e">
        <f>P1685*#REF!</f>
        <v>#REF!</v>
      </c>
      <c r="R1685" s="126">
        <v>45807</v>
      </c>
      <c r="S1685" s="153">
        <f>IF(L1685="","",L1685-B1685)</f>
        <v>2</v>
      </c>
      <c r="T1685" s="153">
        <f>IF(N1685="","",N1685-L1685)</f>
        <v>1</v>
      </c>
      <c r="U1685" s="153">
        <f>IF(O1685="","",O1685-N1685)</f>
        <v>0</v>
      </c>
      <c r="V1685" s="154">
        <f>IF(O1685="","",O1685-B1685)</f>
        <v>3</v>
      </c>
      <c r="W1685" s="154">
        <f>IF(O1685="","",O1685-L1685)</f>
        <v>1</v>
      </c>
      <c r="X1685" s="154">
        <f>IF(R1685="","",R1685-B1685)</f>
        <v>4</v>
      </c>
    </row>
    <row r="1686" spans="2:24" ht="17.25" hidden="1" customHeight="1">
      <c r="B1686" s="23">
        <v>45803</v>
      </c>
      <c r="C1686" s="7">
        <v>2003661274</v>
      </c>
      <c r="D1686" s="20">
        <v>175533</v>
      </c>
      <c r="E1686" s="27" t="s">
        <v>408</v>
      </c>
      <c r="F1686" s="7" t="s">
        <v>107</v>
      </c>
      <c r="G1686" s="7" t="s">
        <v>18</v>
      </c>
      <c r="H1686" s="7" t="s">
        <v>45</v>
      </c>
      <c r="I1686" s="20" t="s">
        <v>2629</v>
      </c>
      <c r="J1686" s="20" t="s">
        <v>2630</v>
      </c>
      <c r="K1686" s="7" t="s">
        <v>119</v>
      </c>
      <c r="L1686" s="61">
        <v>45806</v>
      </c>
      <c r="M1686" s="7" t="s">
        <v>111</v>
      </c>
      <c r="N1686" s="61">
        <v>45806</v>
      </c>
      <c r="O1686" s="130">
        <v>45807</v>
      </c>
      <c r="P1686" s="59"/>
      <c r="Q1686" s="124" t="e">
        <f>P1686*#REF!</f>
        <v>#REF!</v>
      </c>
      <c r="R1686" s="126">
        <v>45812</v>
      </c>
      <c r="S1686" s="153">
        <f>IF(L1686="","",L1686-B1686)</f>
        <v>3</v>
      </c>
      <c r="T1686" s="153">
        <f>IF(N1686="","",N1686-L1686)</f>
        <v>0</v>
      </c>
      <c r="U1686" s="153">
        <f>IF(O1686="","",O1686-N1686)</f>
        <v>1</v>
      </c>
      <c r="V1686" s="154">
        <f>IF(O1686="","",O1686-B1686)</f>
        <v>4</v>
      </c>
      <c r="W1686" s="154">
        <f>IF(O1686="","",O1686-L1686)</f>
        <v>1</v>
      </c>
      <c r="X1686" s="154">
        <f>IF(R1686="","",R1686-B1686)</f>
        <v>9</v>
      </c>
    </row>
    <row r="1687" spans="2:24" ht="17.25" hidden="1" customHeight="1">
      <c r="B1687" s="23">
        <v>45803</v>
      </c>
      <c r="C1687" s="7">
        <v>2003678724</v>
      </c>
      <c r="D1687" s="20">
        <v>5951877</v>
      </c>
      <c r="E1687" s="27" t="s">
        <v>408</v>
      </c>
      <c r="F1687" s="7" t="s">
        <v>107</v>
      </c>
      <c r="G1687" s="7" t="s">
        <v>10</v>
      </c>
      <c r="H1687" s="7" t="s">
        <v>45</v>
      </c>
      <c r="I1687" s="20" t="s">
        <v>2508</v>
      </c>
      <c r="J1687" s="20" t="s">
        <v>2509</v>
      </c>
      <c r="K1687" s="7" t="s">
        <v>110</v>
      </c>
      <c r="L1687" s="61">
        <v>45804</v>
      </c>
      <c r="M1687" s="7" t="s">
        <v>111</v>
      </c>
      <c r="N1687" s="61">
        <v>45804</v>
      </c>
      <c r="O1687" s="61">
        <v>45804</v>
      </c>
      <c r="P1687" s="59"/>
      <c r="Q1687" s="124" t="e">
        <f>P1687*#REF!</f>
        <v>#REF!</v>
      </c>
      <c r="R1687" s="126">
        <v>45807</v>
      </c>
      <c r="S1687" s="153">
        <f>IF(L1687="","",L1687-B1687)</f>
        <v>1</v>
      </c>
      <c r="T1687" s="153">
        <f>IF(N1687="","",N1687-L1687)</f>
        <v>0</v>
      </c>
      <c r="U1687" s="153">
        <f>IF(O1687="","",O1687-N1687)</f>
        <v>0</v>
      </c>
      <c r="V1687" s="154">
        <f>IF(O1687="","",O1687-B1687)</f>
        <v>1</v>
      </c>
      <c r="W1687" s="154">
        <f>IF(O1687="","",O1687-L1687)</f>
        <v>0</v>
      </c>
      <c r="X1687" s="154">
        <f>IF(R1687="","",R1687-B1687)</f>
        <v>4</v>
      </c>
    </row>
    <row r="1688" spans="2:24" ht="17.25" hidden="1" customHeight="1">
      <c r="B1688" s="23">
        <v>45804</v>
      </c>
      <c r="C1688" s="7">
        <v>2003669209</v>
      </c>
      <c r="D1688" s="20">
        <v>5952269</v>
      </c>
      <c r="E1688" s="27" t="s">
        <v>486</v>
      </c>
      <c r="F1688" s="7" t="s">
        <v>107</v>
      </c>
      <c r="G1688" s="7" t="s">
        <v>18</v>
      </c>
      <c r="H1688" s="7" t="s">
        <v>45</v>
      </c>
      <c r="I1688" s="20" t="s">
        <v>2631</v>
      </c>
      <c r="J1688" s="20" t="s">
        <v>2632</v>
      </c>
      <c r="K1688" s="7" t="s">
        <v>110</v>
      </c>
      <c r="L1688" s="61">
        <v>45810</v>
      </c>
      <c r="M1688" s="7" t="s">
        <v>111</v>
      </c>
      <c r="N1688" s="61">
        <v>45810</v>
      </c>
      <c r="O1688" s="61">
        <v>45811</v>
      </c>
      <c r="P1688" s="59"/>
      <c r="Q1688" s="124" t="e">
        <f>P1688*#REF!</f>
        <v>#REF!</v>
      </c>
      <c r="R1688" s="126">
        <v>45812</v>
      </c>
      <c r="S1688" s="153">
        <f>IF(L1688="","",L1688-B1688)</f>
        <v>6</v>
      </c>
      <c r="T1688" s="153">
        <f>IF(N1688="","",N1688-L1688)</f>
        <v>0</v>
      </c>
      <c r="U1688" s="153">
        <f>IF(O1688="","",O1688-N1688)</f>
        <v>1</v>
      </c>
      <c r="V1688" s="154">
        <f>IF(O1688="","",O1688-B1688)</f>
        <v>7</v>
      </c>
      <c r="W1688" s="154">
        <f>IF(O1688="","",O1688-L1688)</f>
        <v>1</v>
      </c>
      <c r="X1688" s="154">
        <f>IF(R1688="","",R1688-B1688)</f>
        <v>8</v>
      </c>
    </row>
    <row r="1689" spans="2:24" ht="17.25" hidden="1" customHeight="1">
      <c r="B1689" s="23">
        <v>45804</v>
      </c>
      <c r="C1689" s="7">
        <v>2003682053</v>
      </c>
      <c r="D1689" s="20">
        <v>5952430</v>
      </c>
      <c r="E1689" s="27" t="s">
        <v>265</v>
      </c>
      <c r="F1689" s="7" t="s">
        <v>107</v>
      </c>
      <c r="G1689" s="7" t="s">
        <v>10</v>
      </c>
      <c r="H1689" s="7" t="s">
        <v>45</v>
      </c>
      <c r="I1689" s="20" t="s">
        <v>670</v>
      </c>
      <c r="J1689" s="20" t="s">
        <v>2633</v>
      </c>
      <c r="K1689" s="7" t="s">
        <v>119</v>
      </c>
      <c r="L1689" s="61">
        <v>45805</v>
      </c>
      <c r="M1689" s="7" t="s">
        <v>111</v>
      </c>
      <c r="N1689" s="61">
        <v>45806</v>
      </c>
      <c r="O1689" s="61">
        <v>45813</v>
      </c>
      <c r="P1689" s="59"/>
      <c r="Q1689" s="124" t="e">
        <f>P1689*#REF!</f>
        <v>#REF!</v>
      </c>
      <c r="R1689" s="126">
        <v>45814</v>
      </c>
      <c r="S1689" s="153">
        <f>IF(L1689="","",L1689-B1689)</f>
        <v>1</v>
      </c>
      <c r="T1689" s="153">
        <f>IF(N1689="","",N1689-L1689)</f>
        <v>1</v>
      </c>
      <c r="U1689" s="153">
        <f>IF(O1689="","",O1689-N1689)</f>
        <v>7</v>
      </c>
      <c r="V1689" s="154">
        <f>IF(O1689="","",O1689-B1689)</f>
        <v>9</v>
      </c>
      <c r="W1689" s="154">
        <f>IF(O1689="","",O1689-L1689)</f>
        <v>8</v>
      </c>
      <c r="X1689" s="154">
        <f>IF(R1689="","",R1689-B1689)</f>
        <v>10</v>
      </c>
    </row>
    <row r="1690" spans="2:24" ht="17.25" hidden="1" customHeight="1">
      <c r="B1690" s="23">
        <v>45804</v>
      </c>
      <c r="C1690" s="7">
        <v>2003677663</v>
      </c>
      <c r="D1690" s="20">
        <v>5952468</v>
      </c>
      <c r="E1690" s="27" t="s">
        <v>265</v>
      </c>
      <c r="F1690" s="7" t="s">
        <v>107</v>
      </c>
      <c r="G1690" s="7" t="s">
        <v>18</v>
      </c>
      <c r="H1690" s="7" t="s">
        <v>45</v>
      </c>
      <c r="I1690" s="20" t="s">
        <v>1015</v>
      </c>
      <c r="J1690" s="20">
        <v>1788236</v>
      </c>
      <c r="K1690" s="7" t="s">
        <v>110</v>
      </c>
      <c r="L1690" s="61">
        <v>45805</v>
      </c>
      <c r="M1690" s="7" t="s">
        <v>111</v>
      </c>
      <c r="N1690" s="24">
        <v>45812</v>
      </c>
      <c r="O1690" s="24">
        <v>45812</v>
      </c>
      <c r="P1690" s="59"/>
      <c r="Q1690" s="124" t="e">
        <f>P1690*#REF!</f>
        <v>#REF!</v>
      </c>
      <c r="R1690" s="126">
        <v>45814</v>
      </c>
      <c r="S1690" s="153">
        <f>IF(L1690="","",L1690-B1690)</f>
        <v>1</v>
      </c>
      <c r="T1690" s="153">
        <f>IF(N1690="","",N1690-L1690)</f>
        <v>7</v>
      </c>
      <c r="U1690" s="153">
        <f>IF(O1690="","",O1690-N1690)</f>
        <v>0</v>
      </c>
      <c r="V1690" s="154">
        <f>IF(O1690="","",O1690-B1690)</f>
        <v>8</v>
      </c>
      <c r="W1690" s="154">
        <f>IF(O1690="","",O1690-L1690)</f>
        <v>7</v>
      </c>
      <c r="X1690" s="154">
        <f>IF(R1690="","",R1690-B1690)</f>
        <v>10</v>
      </c>
    </row>
    <row r="1691" spans="2:24" ht="17.25" hidden="1" customHeight="1">
      <c r="B1691" s="23">
        <v>45804</v>
      </c>
      <c r="C1691" s="7">
        <v>2003668954</v>
      </c>
      <c r="D1691" s="20">
        <v>176260</v>
      </c>
      <c r="E1691" s="27" t="s">
        <v>116</v>
      </c>
      <c r="F1691" s="7" t="s">
        <v>107</v>
      </c>
      <c r="G1691" s="7" t="s">
        <v>18</v>
      </c>
      <c r="H1691" s="7" t="s">
        <v>45</v>
      </c>
      <c r="I1691" s="20" t="s">
        <v>973</v>
      </c>
      <c r="J1691" s="20" t="s">
        <v>1995</v>
      </c>
      <c r="K1691" s="7" t="s">
        <v>110</v>
      </c>
      <c r="L1691" s="61">
        <v>45806</v>
      </c>
      <c r="M1691" s="7" t="s">
        <v>111</v>
      </c>
      <c r="N1691" s="61">
        <v>45807</v>
      </c>
      <c r="O1691" s="61">
        <v>45807</v>
      </c>
      <c r="P1691" s="59"/>
      <c r="Q1691" s="124" t="e">
        <f>P1691*#REF!</f>
        <v>#REF!</v>
      </c>
      <c r="R1691" s="126">
        <v>45812</v>
      </c>
      <c r="S1691" s="153">
        <f>IF(L1691="","",L1691-B1691)</f>
        <v>2</v>
      </c>
      <c r="T1691" s="153">
        <f>IF(N1691="","",N1691-L1691)</f>
        <v>1</v>
      </c>
      <c r="U1691" s="153">
        <f>IF(O1691="","",O1691-N1691)</f>
        <v>0</v>
      </c>
      <c r="V1691" s="154">
        <f>IF(O1691="","",O1691-B1691)</f>
        <v>3</v>
      </c>
      <c r="W1691" s="154">
        <f>IF(O1691="","",O1691-L1691)</f>
        <v>1</v>
      </c>
      <c r="X1691" s="154">
        <f>IF(R1691="","",R1691-B1691)</f>
        <v>8</v>
      </c>
    </row>
    <row r="1692" spans="2:24" ht="17.25" hidden="1" customHeight="1">
      <c r="B1692" s="23">
        <v>45803</v>
      </c>
      <c r="C1692" s="7">
        <v>2003665950</v>
      </c>
      <c r="D1692" s="20">
        <v>5951927</v>
      </c>
      <c r="E1692" s="27" t="s">
        <v>191</v>
      </c>
      <c r="F1692" s="7" t="s">
        <v>107</v>
      </c>
      <c r="G1692" s="7" t="s">
        <v>10</v>
      </c>
      <c r="H1692" s="7" t="s">
        <v>45</v>
      </c>
      <c r="I1692" s="20" t="s">
        <v>2634</v>
      </c>
      <c r="J1692" s="20" t="s">
        <v>2635</v>
      </c>
      <c r="K1692" s="7" t="s">
        <v>110</v>
      </c>
      <c r="L1692" s="61">
        <v>45805</v>
      </c>
      <c r="M1692" s="7" t="s">
        <v>111</v>
      </c>
      <c r="N1692" s="61">
        <v>45805</v>
      </c>
      <c r="O1692" s="61">
        <v>45805</v>
      </c>
      <c r="P1692" s="59"/>
      <c r="Q1692" s="124" t="e">
        <f>P1692*#REF!</f>
        <v>#REF!</v>
      </c>
      <c r="R1692" s="126">
        <v>45807</v>
      </c>
      <c r="S1692" s="153">
        <f>IF(L1692="","",L1692-B1692)</f>
        <v>2</v>
      </c>
      <c r="T1692" s="153">
        <f>IF(N1692="","",N1692-L1692)</f>
        <v>0</v>
      </c>
      <c r="U1692" s="153">
        <f>IF(O1692="","",O1692-N1692)</f>
        <v>0</v>
      </c>
      <c r="V1692" s="154">
        <f>IF(O1692="","",O1692-B1692)</f>
        <v>2</v>
      </c>
      <c r="W1692" s="154">
        <f>IF(O1692="","",O1692-L1692)</f>
        <v>0</v>
      </c>
      <c r="X1692" s="154">
        <f>IF(R1692="","",R1692-B1692)</f>
        <v>4</v>
      </c>
    </row>
    <row r="1693" spans="2:24" ht="17.25" hidden="1" customHeight="1">
      <c r="B1693" s="23">
        <v>45804</v>
      </c>
      <c r="C1693" s="7">
        <v>2003665833</v>
      </c>
      <c r="D1693" s="20">
        <v>5952855</v>
      </c>
      <c r="E1693" s="27" t="s">
        <v>1225</v>
      </c>
      <c r="F1693" s="7" t="s">
        <v>107</v>
      </c>
      <c r="G1693" s="7" t="s">
        <v>18</v>
      </c>
      <c r="H1693" s="7" t="s">
        <v>45</v>
      </c>
      <c r="I1693" s="20" t="s">
        <v>387</v>
      </c>
      <c r="J1693" s="20" t="s">
        <v>2636</v>
      </c>
      <c r="K1693" s="7" t="s">
        <v>110</v>
      </c>
      <c r="L1693" s="61">
        <v>45810</v>
      </c>
      <c r="M1693" s="7" t="s">
        <v>111</v>
      </c>
      <c r="N1693" s="61">
        <v>45810</v>
      </c>
      <c r="O1693" s="61">
        <v>45810</v>
      </c>
      <c r="P1693" s="59"/>
      <c r="Q1693" s="124" t="e">
        <f>P1693*#REF!</f>
        <v>#REF!</v>
      </c>
      <c r="R1693" s="126">
        <v>45812</v>
      </c>
      <c r="S1693" s="153">
        <f>IF(L1693="","",L1693-B1693)</f>
        <v>6</v>
      </c>
      <c r="T1693" s="153">
        <f>IF(N1693="","",N1693-L1693)</f>
        <v>0</v>
      </c>
      <c r="U1693" s="153">
        <f>IF(O1693="","",O1693-N1693)</f>
        <v>0</v>
      </c>
      <c r="V1693" s="154">
        <f>IF(O1693="","",O1693-B1693)</f>
        <v>6</v>
      </c>
      <c r="W1693" s="154">
        <f>IF(O1693="","",O1693-L1693)</f>
        <v>0</v>
      </c>
      <c r="X1693" s="154">
        <f>IF(R1693="","",R1693-B1693)</f>
        <v>8</v>
      </c>
    </row>
    <row r="1694" spans="2:24" ht="17.25" hidden="1" customHeight="1">
      <c r="B1694" s="23">
        <v>45804</v>
      </c>
      <c r="C1694" s="7">
        <v>2003665793</v>
      </c>
      <c r="D1694" s="20">
        <v>5952670</v>
      </c>
      <c r="E1694" s="27" t="s">
        <v>185</v>
      </c>
      <c r="F1694" s="7" t="s">
        <v>107</v>
      </c>
      <c r="G1694" s="7" t="s">
        <v>10</v>
      </c>
      <c r="H1694" s="7" t="s">
        <v>45</v>
      </c>
      <c r="I1694" s="20" t="s">
        <v>2637</v>
      </c>
      <c r="J1694" s="20" t="s">
        <v>2638</v>
      </c>
      <c r="K1694" s="7" t="s">
        <v>110</v>
      </c>
      <c r="L1694" s="61">
        <v>45806</v>
      </c>
      <c r="M1694" s="7" t="s">
        <v>111</v>
      </c>
      <c r="N1694" s="61">
        <v>45807</v>
      </c>
      <c r="O1694" s="61">
        <v>45807</v>
      </c>
      <c r="P1694" s="59"/>
      <c r="Q1694" s="124" t="e">
        <f>P1694*#REF!</f>
        <v>#REF!</v>
      </c>
      <c r="R1694" s="126">
        <v>45807</v>
      </c>
      <c r="S1694" s="153">
        <f>IF(L1694="","",L1694-B1694)</f>
        <v>2</v>
      </c>
      <c r="T1694" s="153">
        <f>IF(N1694="","",N1694-L1694)</f>
        <v>1</v>
      </c>
      <c r="U1694" s="153">
        <f>IF(O1694="","",O1694-N1694)</f>
        <v>0</v>
      </c>
      <c r="V1694" s="154">
        <f>IF(O1694="","",O1694-B1694)</f>
        <v>3</v>
      </c>
      <c r="W1694" s="154">
        <f>IF(O1694="","",O1694-L1694)</f>
        <v>1</v>
      </c>
      <c r="X1694" s="154">
        <f>IF(R1694="","",R1694-B1694)</f>
        <v>3</v>
      </c>
    </row>
    <row r="1695" spans="2:24" ht="17.25" hidden="1" customHeight="1">
      <c r="B1695" s="23">
        <v>45804</v>
      </c>
      <c r="C1695" s="7">
        <v>2003697720</v>
      </c>
      <c r="D1695" s="20">
        <v>5952991</v>
      </c>
      <c r="E1695" s="27" t="s">
        <v>157</v>
      </c>
      <c r="F1695" s="7" t="s">
        <v>107</v>
      </c>
      <c r="G1695" s="7" t="s">
        <v>15</v>
      </c>
      <c r="H1695" s="7" t="s">
        <v>45</v>
      </c>
      <c r="I1695" s="20" t="s">
        <v>2639</v>
      </c>
      <c r="J1695" s="20" t="s">
        <v>2640</v>
      </c>
      <c r="K1695" s="7" t="s">
        <v>119</v>
      </c>
      <c r="L1695" s="61">
        <v>45810</v>
      </c>
      <c r="M1695" s="7" t="s">
        <v>111</v>
      </c>
      <c r="N1695" s="61">
        <v>45811</v>
      </c>
      <c r="O1695" s="61">
        <v>45811</v>
      </c>
      <c r="P1695" s="59"/>
      <c r="Q1695" s="124" t="e">
        <f>P1695*#REF!</f>
        <v>#REF!</v>
      </c>
      <c r="R1695" s="126">
        <v>45812</v>
      </c>
      <c r="S1695" s="153">
        <f>IF(L1695="","",L1695-B1695)</f>
        <v>6</v>
      </c>
      <c r="T1695" s="153">
        <f>IF(N1695="","",N1695-L1695)</f>
        <v>1</v>
      </c>
      <c r="U1695" s="153">
        <f>IF(O1695="","",O1695-N1695)</f>
        <v>0</v>
      </c>
      <c r="V1695" s="154">
        <f>IF(O1695="","",O1695-B1695)</f>
        <v>7</v>
      </c>
      <c r="W1695" s="154">
        <f>IF(O1695="","",O1695-L1695)</f>
        <v>1</v>
      </c>
      <c r="X1695" s="154">
        <f>IF(R1695="","",R1695-B1695)</f>
        <v>8</v>
      </c>
    </row>
    <row r="1696" spans="2:24" ht="17.25" hidden="1" customHeight="1">
      <c r="B1696" s="23">
        <v>45804</v>
      </c>
      <c r="C1696" s="7">
        <v>2003668994</v>
      </c>
      <c r="D1696" s="20">
        <v>5953015</v>
      </c>
      <c r="E1696" s="27" t="s">
        <v>185</v>
      </c>
      <c r="F1696" s="7" t="s">
        <v>107</v>
      </c>
      <c r="G1696" s="7" t="s">
        <v>10</v>
      </c>
      <c r="H1696" s="7" t="s">
        <v>45</v>
      </c>
      <c r="I1696" s="20" t="s">
        <v>1877</v>
      </c>
      <c r="J1696" s="20" t="s">
        <v>2641</v>
      </c>
      <c r="K1696" s="7" t="s">
        <v>110</v>
      </c>
      <c r="L1696" s="61">
        <v>45820</v>
      </c>
      <c r="M1696" s="7" t="s">
        <v>111</v>
      </c>
      <c r="N1696" s="61">
        <v>45820</v>
      </c>
      <c r="O1696" s="61">
        <v>45820</v>
      </c>
      <c r="P1696" s="59"/>
      <c r="Q1696" s="124" t="e">
        <f>P1696*#REF!</f>
        <v>#REF!</v>
      </c>
      <c r="R1696" s="126">
        <v>45826</v>
      </c>
      <c r="S1696" s="153">
        <f>IF(L1696="","",L1696-B1696)</f>
        <v>16</v>
      </c>
      <c r="T1696" s="153">
        <f>IF(N1696="","",N1696-L1696)</f>
        <v>0</v>
      </c>
      <c r="U1696" s="153">
        <f>IF(O1696="","",O1696-N1696)</f>
        <v>0</v>
      </c>
      <c r="V1696" s="154">
        <f>IF(O1696="","",O1696-B1696)</f>
        <v>16</v>
      </c>
      <c r="W1696" s="154">
        <f>IF(O1696="","",O1696-L1696)</f>
        <v>0</v>
      </c>
      <c r="X1696" s="154">
        <f>IF(R1696="","",R1696-B1696)</f>
        <v>22</v>
      </c>
    </row>
    <row r="1697" spans="2:24" ht="17.25" hidden="1" customHeight="1">
      <c r="B1697" s="23">
        <v>45804</v>
      </c>
      <c r="C1697" s="7">
        <v>2003698786</v>
      </c>
      <c r="D1697" s="20">
        <v>5953022</v>
      </c>
      <c r="E1697" s="27" t="s">
        <v>126</v>
      </c>
      <c r="F1697" s="7" t="s">
        <v>113</v>
      </c>
      <c r="G1697" s="7" t="s">
        <v>70</v>
      </c>
      <c r="H1697" s="7" t="s">
        <v>47</v>
      </c>
      <c r="I1697" s="20" t="s">
        <v>2642</v>
      </c>
      <c r="J1697" s="20" t="s">
        <v>2643</v>
      </c>
      <c r="K1697" s="7" t="s">
        <v>119</v>
      </c>
      <c r="L1697" s="61">
        <v>45807</v>
      </c>
      <c r="M1697" s="7" t="s">
        <v>111</v>
      </c>
      <c r="P1697" s="59"/>
      <c r="Q1697" s="124" t="e">
        <f>P1697*#REF!</f>
        <v>#REF!</v>
      </c>
      <c r="R1697" s="126">
        <v>45814</v>
      </c>
      <c r="S1697" s="153">
        <f>IF(L1697="","",L1697-B1697)</f>
        <v>3</v>
      </c>
      <c r="T1697" s="153" t="str">
        <f>IF(N1697="","",N1697-L1697)</f>
        <v/>
      </c>
      <c r="U1697" s="153" t="str">
        <f>IF(O1697="","",O1697-N1697)</f>
        <v/>
      </c>
      <c r="V1697" s="154" t="str">
        <f>IF(O1697="","",O1697-B1697)</f>
        <v/>
      </c>
      <c r="W1697" s="154" t="str">
        <f>IF(O1697="","",O1697-L1697)</f>
        <v/>
      </c>
      <c r="X1697" s="154">
        <f>IF(R1697="","",R1697-B1697)</f>
        <v>10</v>
      </c>
    </row>
    <row r="1698" spans="2:24" ht="17.25" hidden="1" customHeight="1">
      <c r="B1698" s="23">
        <v>45804</v>
      </c>
      <c r="C1698" s="7">
        <v>2003673448</v>
      </c>
      <c r="D1698" s="20">
        <v>5952869</v>
      </c>
      <c r="E1698" s="27" t="s">
        <v>198</v>
      </c>
      <c r="F1698" s="7" t="s">
        <v>107</v>
      </c>
      <c r="G1698" s="7" t="s">
        <v>10</v>
      </c>
      <c r="H1698" s="7" t="s">
        <v>45</v>
      </c>
      <c r="I1698" s="20" t="s">
        <v>2240</v>
      </c>
      <c r="J1698" s="20" t="s">
        <v>2241</v>
      </c>
      <c r="K1698" s="7" t="s">
        <v>119</v>
      </c>
      <c r="L1698" s="61">
        <v>45806</v>
      </c>
      <c r="M1698" s="7" t="s">
        <v>111</v>
      </c>
      <c r="N1698" s="61">
        <v>45806</v>
      </c>
      <c r="O1698" s="130">
        <v>45806</v>
      </c>
      <c r="P1698" s="59"/>
      <c r="Q1698" s="124" t="e">
        <f>P1698*#REF!</f>
        <v>#REF!</v>
      </c>
      <c r="R1698" s="126">
        <v>45807</v>
      </c>
      <c r="S1698" s="153">
        <f>IF(L1698="","",L1698-B1698)</f>
        <v>2</v>
      </c>
      <c r="T1698" s="153">
        <f>IF(N1698="","",N1698-L1698)</f>
        <v>0</v>
      </c>
      <c r="U1698" s="153">
        <f>IF(O1698="","",O1698-N1698)</f>
        <v>0</v>
      </c>
      <c r="V1698" s="154">
        <f>IF(O1698="","",O1698-B1698)</f>
        <v>2</v>
      </c>
      <c r="W1698" s="154">
        <f>IF(O1698="","",O1698-L1698)</f>
        <v>0</v>
      </c>
      <c r="X1698" s="154">
        <f>IF(R1698="","",R1698-B1698)</f>
        <v>3</v>
      </c>
    </row>
    <row r="1699" spans="2:24" ht="17.25" hidden="1" customHeight="1">
      <c r="B1699" s="23">
        <v>45805</v>
      </c>
      <c r="C1699" s="7">
        <v>2003667122</v>
      </c>
      <c r="D1699" s="20">
        <v>5953398</v>
      </c>
      <c r="E1699" s="27" t="s">
        <v>149</v>
      </c>
      <c r="F1699" s="7" t="s">
        <v>107</v>
      </c>
      <c r="G1699" s="7" t="s">
        <v>166</v>
      </c>
      <c r="H1699" s="7" t="s">
        <v>45</v>
      </c>
      <c r="I1699" s="20" t="s">
        <v>2540</v>
      </c>
      <c r="J1699" s="20" t="s">
        <v>2541</v>
      </c>
      <c r="K1699" s="7" t="s">
        <v>110</v>
      </c>
      <c r="L1699" s="61">
        <v>45806</v>
      </c>
      <c r="M1699" s="7" t="s">
        <v>111</v>
      </c>
      <c r="N1699" s="61">
        <v>45806</v>
      </c>
      <c r="O1699" s="61">
        <v>45811</v>
      </c>
      <c r="P1699" s="59"/>
      <c r="Q1699" s="124" t="e">
        <f>P1699*#REF!</f>
        <v>#REF!</v>
      </c>
      <c r="R1699" s="126">
        <v>45812</v>
      </c>
      <c r="S1699" s="153">
        <f>IF(L1699="","",L1699-B1699)</f>
        <v>1</v>
      </c>
      <c r="T1699" s="153">
        <f>IF(N1699="","",N1699-L1699)</f>
        <v>0</v>
      </c>
      <c r="U1699" s="153">
        <f>IF(O1699="","",O1699-N1699)</f>
        <v>5</v>
      </c>
      <c r="V1699" s="154">
        <f>IF(O1699="","",O1699-B1699)</f>
        <v>6</v>
      </c>
      <c r="W1699" s="154">
        <f>IF(O1699="","",O1699-L1699)</f>
        <v>5</v>
      </c>
      <c r="X1699" s="154">
        <f>IF(R1699="","",R1699-B1699)</f>
        <v>7</v>
      </c>
    </row>
    <row r="1700" spans="2:24" ht="17.25" hidden="1" customHeight="1">
      <c r="B1700" s="23">
        <v>45804</v>
      </c>
      <c r="C1700" s="7">
        <v>2003697971</v>
      </c>
      <c r="D1700" s="20">
        <v>175973</v>
      </c>
      <c r="E1700" s="27" t="s">
        <v>129</v>
      </c>
      <c r="F1700" s="7" t="s">
        <v>107</v>
      </c>
      <c r="G1700" s="7" t="s">
        <v>10</v>
      </c>
      <c r="H1700" s="7" t="s">
        <v>45</v>
      </c>
      <c r="I1700" s="20" t="s">
        <v>2644</v>
      </c>
      <c r="J1700" s="20" t="s">
        <v>2645</v>
      </c>
      <c r="K1700" s="7" t="s">
        <v>119</v>
      </c>
      <c r="L1700" s="61">
        <v>45819</v>
      </c>
      <c r="M1700" s="7" t="s">
        <v>111</v>
      </c>
      <c r="N1700" s="24">
        <v>45825</v>
      </c>
      <c r="O1700" s="24">
        <v>45825</v>
      </c>
      <c r="P1700" s="59"/>
      <c r="Q1700" s="124" t="e">
        <f>P1700*#REF!</f>
        <v>#REF!</v>
      </c>
      <c r="R1700" s="126">
        <v>45825</v>
      </c>
      <c r="S1700" s="153">
        <f>IF(L1700="","",L1700-B1700)</f>
        <v>15</v>
      </c>
      <c r="T1700" s="153">
        <f>IF(N1700="","",N1700-L1700)</f>
        <v>6</v>
      </c>
      <c r="U1700" s="153">
        <f>IF(O1700="","",O1700-N1700)</f>
        <v>0</v>
      </c>
      <c r="V1700" s="154">
        <f>IF(O1700="","",O1700-B1700)</f>
        <v>21</v>
      </c>
      <c r="W1700" s="154">
        <f>IF(O1700="","",O1700-L1700)</f>
        <v>6</v>
      </c>
      <c r="X1700" s="154">
        <f>IF(R1700="","",R1700-B1700)</f>
        <v>21</v>
      </c>
    </row>
    <row r="1701" spans="2:24" ht="17.25" hidden="1" customHeight="1">
      <c r="B1701" s="23">
        <v>45804</v>
      </c>
      <c r="C1701" s="7">
        <v>2003430650</v>
      </c>
      <c r="D1701" s="20">
        <v>97064</v>
      </c>
      <c r="E1701" s="27" t="s">
        <v>892</v>
      </c>
      <c r="F1701" s="7" t="s">
        <v>107</v>
      </c>
      <c r="G1701" s="7" t="s">
        <v>18</v>
      </c>
      <c r="H1701" s="7" t="s">
        <v>45</v>
      </c>
      <c r="I1701" s="20" t="s">
        <v>2646</v>
      </c>
      <c r="J1701" s="20" t="s">
        <v>2647</v>
      </c>
      <c r="K1701" s="7" t="s">
        <v>119</v>
      </c>
      <c r="L1701" s="61">
        <v>45818</v>
      </c>
      <c r="M1701" s="7" t="s">
        <v>111</v>
      </c>
      <c r="N1701" s="61">
        <v>45819</v>
      </c>
      <c r="O1701" s="61">
        <v>45819</v>
      </c>
      <c r="P1701" s="59"/>
      <c r="Q1701" s="124" t="e">
        <f>P1701*#REF!</f>
        <v>#REF!</v>
      </c>
      <c r="R1701" s="126">
        <v>45820</v>
      </c>
      <c r="S1701" s="153">
        <f>IF(L1701="","",L1701-B1701)</f>
        <v>14</v>
      </c>
      <c r="T1701" s="153">
        <f>IF(N1701="","",N1701-L1701)</f>
        <v>1</v>
      </c>
      <c r="U1701" s="153">
        <f>IF(O1701="","",O1701-N1701)</f>
        <v>0</v>
      </c>
      <c r="V1701" s="154">
        <f>IF(O1701="","",O1701-B1701)</f>
        <v>15</v>
      </c>
      <c r="W1701" s="154">
        <f>IF(O1701="","",O1701-L1701)</f>
        <v>1</v>
      </c>
      <c r="X1701" s="154">
        <f>IF(R1701="","",R1701-B1701)</f>
        <v>16</v>
      </c>
    </row>
    <row r="1702" spans="2:24" ht="17.25" hidden="1" customHeight="1">
      <c r="B1702" s="23">
        <v>45804</v>
      </c>
      <c r="C1702" s="7">
        <v>2003691854</v>
      </c>
      <c r="D1702" s="20">
        <v>5953117</v>
      </c>
      <c r="E1702" s="27" t="s">
        <v>106</v>
      </c>
      <c r="F1702" s="7" t="s">
        <v>107</v>
      </c>
      <c r="G1702" s="7" t="s">
        <v>26</v>
      </c>
      <c r="H1702" s="7" t="s">
        <v>45</v>
      </c>
      <c r="I1702" s="20" t="s">
        <v>2648</v>
      </c>
      <c r="J1702" s="20" t="s">
        <v>2649</v>
      </c>
      <c r="K1702" s="7" t="s">
        <v>119</v>
      </c>
      <c r="L1702" s="61">
        <v>45806</v>
      </c>
      <c r="M1702" s="7" t="s">
        <v>111</v>
      </c>
      <c r="N1702" s="24">
        <v>45807</v>
      </c>
      <c r="O1702" s="23">
        <v>45807</v>
      </c>
      <c r="P1702" s="59"/>
      <c r="Q1702" s="124" t="e">
        <f>P1702*#REF!</f>
        <v>#REF!</v>
      </c>
      <c r="R1702" s="126">
        <v>45807</v>
      </c>
      <c r="S1702" s="153">
        <f>IF(L1702="","",L1702-B1702)</f>
        <v>2</v>
      </c>
      <c r="T1702" s="153">
        <f>IF(N1702="","",N1702-L1702)</f>
        <v>1</v>
      </c>
      <c r="U1702" s="153">
        <f>IF(O1702="","",O1702-N1702)</f>
        <v>0</v>
      </c>
      <c r="V1702" s="154">
        <f>IF(O1702="","",O1702-B1702)</f>
        <v>3</v>
      </c>
      <c r="W1702" s="154">
        <f>IF(O1702="","",O1702-L1702)</f>
        <v>1</v>
      </c>
      <c r="X1702" s="154">
        <f>IF(R1702="","",R1702-B1702)</f>
        <v>3</v>
      </c>
    </row>
    <row r="1703" spans="2:24" ht="17.25" hidden="1" customHeight="1">
      <c r="B1703" s="23">
        <v>45805</v>
      </c>
      <c r="C1703" s="7">
        <v>2003674277</v>
      </c>
      <c r="D1703" s="20">
        <v>5953345</v>
      </c>
      <c r="E1703" s="27" t="s">
        <v>123</v>
      </c>
      <c r="F1703" s="7" t="s">
        <v>107</v>
      </c>
      <c r="G1703" s="7" t="s">
        <v>10</v>
      </c>
      <c r="H1703" s="7" t="s">
        <v>45</v>
      </c>
      <c r="I1703" s="20" t="s">
        <v>2650</v>
      </c>
      <c r="J1703" s="20" t="s">
        <v>2651</v>
      </c>
      <c r="K1703" s="7" t="s">
        <v>110</v>
      </c>
      <c r="L1703" s="61">
        <v>45807</v>
      </c>
      <c r="M1703" s="7" t="s">
        <v>111</v>
      </c>
      <c r="N1703" s="61">
        <v>45807</v>
      </c>
      <c r="O1703" s="61">
        <v>45807</v>
      </c>
      <c r="P1703" s="59"/>
      <c r="Q1703" s="124" t="e">
        <f>P1703*#REF!</f>
        <v>#REF!</v>
      </c>
      <c r="R1703" s="126">
        <v>45807</v>
      </c>
      <c r="S1703" s="153">
        <f>IF(L1703="","",L1703-B1703)</f>
        <v>2</v>
      </c>
      <c r="T1703" s="153">
        <f>IF(N1703="","",N1703-L1703)</f>
        <v>0</v>
      </c>
      <c r="U1703" s="153">
        <f>IF(O1703="","",O1703-N1703)</f>
        <v>0</v>
      </c>
      <c r="V1703" s="154">
        <f>IF(O1703="","",O1703-B1703)</f>
        <v>2</v>
      </c>
      <c r="W1703" s="154">
        <f>IF(O1703="","",O1703-L1703)</f>
        <v>0</v>
      </c>
      <c r="X1703" s="154">
        <f>IF(R1703="","",R1703-B1703)</f>
        <v>2</v>
      </c>
    </row>
    <row r="1704" spans="2:24" ht="17.25" hidden="1" customHeight="1">
      <c r="B1704" s="23">
        <v>45805</v>
      </c>
      <c r="C1704" s="7">
        <v>2003630809</v>
      </c>
      <c r="D1704" s="20">
        <v>5953725</v>
      </c>
      <c r="E1704" s="27" t="s">
        <v>123</v>
      </c>
      <c r="F1704" s="7" t="s">
        <v>107</v>
      </c>
      <c r="G1704" s="7" t="s">
        <v>21</v>
      </c>
      <c r="H1704" s="7" t="s">
        <v>45</v>
      </c>
      <c r="I1704" s="20" t="s">
        <v>2634</v>
      </c>
      <c r="J1704" s="20" t="s">
        <v>1004</v>
      </c>
      <c r="K1704" s="7" t="s">
        <v>110</v>
      </c>
      <c r="L1704" s="61">
        <v>45806</v>
      </c>
      <c r="M1704" s="7" t="s">
        <v>111</v>
      </c>
      <c r="N1704" s="61">
        <v>45806</v>
      </c>
      <c r="O1704" s="61">
        <v>45807</v>
      </c>
      <c r="P1704" s="59"/>
      <c r="Q1704" s="124" t="e">
        <f>P1704*#REF!</f>
        <v>#REF!</v>
      </c>
      <c r="R1704" s="126">
        <v>45812</v>
      </c>
      <c r="S1704" s="153">
        <f>IF(L1704="","",L1704-B1704)</f>
        <v>1</v>
      </c>
      <c r="T1704" s="153">
        <f>IF(N1704="","",N1704-L1704)</f>
        <v>0</v>
      </c>
      <c r="U1704" s="153">
        <f>IF(O1704="","",O1704-N1704)</f>
        <v>1</v>
      </c>
      <c r="V1704" s="154">
        <f>IF(O1704="","",O1704-B1704)</f>
        <v>2</v>
      </c>
      <c r="W1704" s="154">
        <f>IF(O1704="","",O1704-L1704)</f>
        <v>1</v>
      </c>
      <c r="X1704" s="154">
        <f>IF(R1704="","",R1704-B1704)</f>
        <v>7</v>
      </c>
    </row>
    <row r="1705" spans="2:24" ht="17.25" hidden="1" customHeight="1">
      <c r="B1705" s="23">
        <v>45805</v>
      </c>
      <c r="C1705" s="7">
        <v>2003695512</v>
      </c>
      <c r="D1705" s="20">
        <v>5953470</v>
      </c>
      <c r="E1705" s="27" t="s">
        <v>149</v>
      </c>
      <c r="F1705" s="7" t="s">
        <v>107</v>
      </c>
      <c r="G1705" s="7" t="s">
        <v>18</v>
      </c>
      <c r="H1705" s="7" t="s">
        <v>45</v>
      </c>
      <c r="I1705" s="20" t="s">
        <v>2652</v>
      </c>
      <c r="J1705" s="20" t="s">
        <v>2653</v>
      </c>
      <c r="K1705" s="7" t="s">
        <v>110</v>
      </c>
      <c r="L1705" s="61">
        <v>45813</v>
      </c>
      <c r="M1705" s="7" t="s">
        <v>111</v>
      </c>
      <c r="N1705" s="61">
        <v>45813</v>
      </c>
      <c r="O1705" s="58">
        <v>45814</v>
      </c>
      <c r="P1705" s="59"/>
      <c r="Q1705" s="124" t="e">
        <f>P1705*#REF!</f>
        <v>#REF!</v>
      </c>
      <c r="R1705" s="126">
        <v>45814</v>
      </c>
      <c r="S1705" s="153">
        <f>IF(L1705="","",L1705-B1705)</f>
        <v>8</v>
      </c>
      <c r="T1705" s="153">
        <f>IF(N1705="","",N1705-L1705)</f>
        <v>0</v>
      </c>
      <c r="U1705" s="153">
        <f>IF(O1705="","",O1705-N1705)</f>
        <v>1</v>
      </c>
      <c r="V1705" s="154">
        <f>IF(O1705="","",O1705-B1705)</f>
        <v>9</v>
      </c>
      <c r="W1705" s="154">
        <f>IF(O1705="","",O1705-L1705)</f>
        <v>1</v>
      </c>
      <c r="X1705" s="154">
        <f>IF(R1705="","",R1705-B1705)</f>
        <v>9</v>
      </c>
    </row>
    <row r="1706" spans="2:24" ht="17.25" hidden="1" customHeight="1">
      <c r="B1706" s="23">
        <v>45805</v>
      </c>
      <c r="C1706" s="7">
        <v>2003658909</v>
      </c>
      <c r="D1706" s="20">
        <v>177839</v>
      </c>
      <c r="E1706" s="27" t="s">
        <v>198</v>
      </c>
      <c r="F1706" s="7" t="s">
        <v>107</v>
      </c>
      <c r="G1706" s="7" t="s">
        <v>21</v>
      </c>
      <c r="H1706" s="7" t="s">
        <v>45</v>
      </c>
      <c r="I1706" s="20" t="s">
        <v>1420</v>
      </c>
      <c r="J1706" s="20" t="s">
        <v>1421</v>
      </c>
      <c r="K1706" s="7" t="s">
        <v>111</v>
      </c>
      <c r="L1706" s="61">
        <v>45806</v>
      </c>
      <c r="M1706" s="7" t="s">
        <v>111</v>
      </c>
      <c r="N1706" s="61">
        <v>45806</v>
      </c>
      <c r="O1706" s="24">
        <v>45810</v>
      </c>
      <c r="P1706" s="59"/>
      <c r="Q1706" s="124" t="e">
        <f>P1706*#REF!</f>
        <v>#REF!</v>
      </c>
      <c r="R1706" s="126">
        <v>45812</v>
      </c>
      <c r="S1706" s="153">
        <f>IF(L1706="","",L1706-B1706)</f>
        <v>1</v>
      </c>
      <c r="T1706" s="153">
        <f>IF(N1706="","",N1706-L1706)</f>
        <v>0</v>
      </c>
      <c r="U1706" s="153">
        <f>IF(O1706="","",O1706-N1706)</f>
        <v>4</v>
      </c>
      <c r="V1706" s="154">
        <f>IF(O1706="","",O1706-B1706)</f>
        <v>5</v>
      </c>
      <c r="W1706" s="154">
        <f>IF(O1706="","",O1706-L1706)</f>
        <v>4</v>
      </c>
      <c r="X1706" s="154">
        <f>IF(R1706="","",R1706-B1706)</f>
        <v>7</v>
      </c>
    </row>
    <row r="1707" spans="2:24" ht="17.25" hidden="1" customHeight="1">
      <c r="B1707" s="23">
        <v>45805</v>
      </c>
      <c r="C1707" s="7">
        <v>2003665302</v>
      </c>
      <c r="D1707" s="20">
        <v>5953901</v>
      </c>
      <c r="E1707" s="27" t="s">
        <v>126</v>
      </c>
      <c r="F1707" s="7" t="s">
        <v>107</v>
      </c>
      <c r="G1707" s="7" t="s">
        <v>10</v>
      </c>
      <c r="H1707" s="7" t="s">
        <v>45</v>
      </c>
      <c r="I1707" s="20" t="s">
        <v>2654</v>
      </c>
      <c r="J1707" s="20" t="s">
        <v>2655</v>
      </c>
      <c r="K1707" s="7" t="s">
        <v>110</v>
      </c>
      <c r="L1707" s="61">
        <v>45811</v>
      </c>
      <c r="M1707" s="7" t="s">
        <v>111</v>
      </c>
      <c r="N1707" s="61">
        <v>45813</v>
      </c>
      <c r="O1707" s="61">
        <v>45813</v>
      </c>
      <c r="P1707" s="59"/>
      <c r="Q1707" s="124" t="e">
        <f>P1707*#REF!</f>
        <v>#REF!</v>
      </c>
      <c r="R1707" s="126">
        <v>45814</v>
      </c>
      <c r="S1707" s="153">
        <f>IF(L1707="","",L1707-B1707)</f>
        <v>6</v>
      </c>
      <c r="T1707" s="153">
        <f>IF(N1707="","",N1707-L1707)</f>
        <v>2</v>
      </c>
      <c r="U1707" s="153">
        <f>IF(O1707="","",O1707-N1707)</f>
        <v>0</v>
      </c>
      <c r="V1707" s="154">
        <f>IF(O1707="","",O1707-B1707)</f>
        <v>8</v>
      </c>
      <c r="W1707" s="154">
        <f>IF(O1707="","",O1707-L1707)</f>
        <v>2</v>
      </c>
      <c r="X1707" s="154">
        <f>IF(R1707="","",R1707-B1707)</f>
        <v>9</v>
      </c>
    </row>
    <row r="1708" spans="2:24" ht="17.25" hidden="1" customHeight="1">
      <c r="B1708" s="23">
        <v>45805</v>
      </c>
      <c r="C1708" s="7">
        <v>2003696896</v>
      </c>
      <c r="D1708" s="20">
        <v>5953995</v>
      </c>
      <c r="E1708" s="27" t="s">
        <v>143</v>
      </c>
      <c r="F1708" s="7" t="s">
        <v>113</v>
      </c>
      <c r="G1708" s="7" t="s">
        <v>70</v>
      </c>
      <c r="H1708" s="7" t="s">
        <v>47</v>
      </c>
      <c r="I1708" s="20" t="s">
        <v>2656</v>
      </c>
      <c r="J1708" s="20" t="s">
        <v>2657</v>
      </c>
      <c r="K1708" s="7" t="s">
        <v>160</v>
      </c>
      <c r="P1708" s="59"/>
      <c r="Q1708" s="124" t="e">
        <f>P1708*#REF!</f>
        <v>#REF!</v>
      </c>
      <c r="R1708" s="126">
        <v>45817</v>
      </c>
      <c r="S1708" s="153" t="str">
        <f>IF(L1708="","",L1708-B1708)</f>
        <v/>
      </c>
      <c r="T1708" s="153" t="str">
        <f>IF(N1708="","",N1708-L1708)</f>
        <v/>
      </c>
      <c r="U1708" s="153" t="str">
        <f>IF(O1708="","",O1708-N1708)</f>
        <v/>
      </c>
      <c r="V1708" s="154" t="str">
        <f>IF(O1708="","",O1708-B1708)</f>
        <v/>
      </c>
      <c r="W1708" s="154" t="str">
        <f>IF(O1708="","",O1708-L1708)</f>
        <v/>
      </c>
      <c r="X1708" s="154">
        <f>IF(R1708="","",R1708-B1708)</f>
        <v>12</v>
      </c>
    </row>
    <row r="1709" spans="2:24" ht="17.25" hidden="1" customHeight="1">
      <c r="B1709" s="23">
        <v>45805</v>
      </c>
      <c r="C1709" s="7">
        <v>2003665306</v>
      </c>
      <c r="D1709" s="20">
        <v>5954089</v>
      </c>
      <c r="E1709" s="27" t="s">
        <v>116</v>
      </c>
      <c r="F1709" s="7" t="s">
        <v>107</v>
      </c>
      <c r="G1709" s="7" t="s">
        <v>10</v>
      </c>
      <c r="H1709" s="7" t="s">
        <v>45</v>
      </c>
      <c r="I1709" s="20" t="s">
        <v>2658</v>
      </c>
      <c r="J1709" s="20" t="s">
        <v>2659</v>
      </c>
      <c r="K1709" s="7" t="s">
        <v>119</v>
      </c>
      <c r="L1709" s="61">
        <v>45810</v>
      </c>
      <c r="M1709" s="7" t="s">
        <v>111</v>
      </c>
      <c r="N1709" s="61">
        <v>45811</v>
      </c>
      <c r="O1709" s="61">
        <v>45811</v>
      </c>
      <c r="P1709" s="59"/>
      <c r="Q1709" s="124" t="e">
        <f>P1709*#REF!</f>
        <v>#REF!</v>
      </c>
      <c r="R1709" s="126">
        <v>45812</v>
      </c>
      <c r="S1709" s="153">
        <f>IF(L1709="","",L1709-B1709)</f>
        <v>5</v>
      </c>
      <c r="T1709" s="153">
        <f>IF(N1709="","",N1709-L1709)</f>
        <v>1</v>
      </c>
      <c r="U1709" s="153">
        <f>IF(O1709="","",O1709-N1709)</f>
        <v>0</v>
      </c>
      <c r="V1709" s="154">
        <f>IF(O1709="","",O1709-B1709)</f>
        <v>6</v>
      </c>
      <c r="W1709" s="154">
        <f>IF(O1709="","",O1709-L1709)</f>
        <v>1</v>
      </c>
      <c r="X1709" s="154">
        <f>IF(R1709="","",R1709-B1709)</f>
        <v>7</v>
      </c>
    </row>
    <row r="1710" spans="2:24" ht="17.25" hidden="1" customHeight="1">
      <c r="B1710" s="23">
        <v>45805</v>
      </c>
      <c r="C1710" s="7">
        <v>2003695819</v>
      </c>
      <c r="D1710" s="20">
        <v>5954145</v>
      </c>
      <c r="E1710" s="27" t="s">
        <v>230</v>
      </c>
      <c r="F1710" s="7" t="s">
        <v>107</v>
      </c>
      <c r="G1710" s="7" t="s">
        <v>26</v>
      </c>
      <c r="H1710" s="7" t="s">
        <v>45</v>
      </c>
      <c r="I1710" s="20" t="s">
        <v>2660</v>
      </c>
      <c r="J1710" s="20" t="s">
        <v>2607</v>
      </c>
      <c r="K1710" s="7" t="s">
        <v>119</v>
      </c>
      <c r="L1710" s="61">
        <v>45812</v>
      </c>
      <c r="M1710" s="7" t="s">
        <v>111</v>
      </c>
      <c r="N1710" s="24">
        <v>45814</v>
      </c>
      <c r="O1710" s="58">
        <v>45814</v>
      </c>
      <c r="P1710" s="59"/>
      <c r="Q1710" s="124" t="e">
        <f>P1710*#REF!</f>
        <v>#REF!</v>
      </c>
      <c r="R1710" s="126">
        <v>45814</v>
      </c>
      <c r="S1710" s="153">
        <f>IF(L1710="","",L1710-B1710)</f>
        <v>7</v>
      </c>
      <c r="T1710" s="153">
        <f>IF(N1710="","",N1710-L1710)</f>
        <v>2</v>
      </c>
      <c r="U1710" s="153">
        <f>IF(O1710="","",O1710-N1710)</f>
        <v>0</v>
      </c>
      <c r="V1710" s="154">
        <f>IF(O1710="","",O1710-B1710)</f>
        <v>9</v>
      </c>
      <c r="W1710" s="154">
        <f>IF(O1710="","",O1710-L1710)</f>
        <v>2</v>
      </c>
      <c r="X1710" s="154">
        <f>IF(R1710="","",R1710-B1710)</f>
        <v>9</v>
      </c>
    </row>
    <row r="1711" spans="2:24" ht="17.25" hidden="1" customHeight="1">
      <c r="B1711" s="23">
        <v>45805</v>
      </c>
      <c r="C1711" s="7">
        <v>2003679403</v>
      </c>
      <c r="D1711" s="20">
        <v>178121</v>
      </c>
      <c r="E1711" s="27" t="s">
        <v>1225</v>
      </c>
      <c r="F1711" s="7" t="s">
        <v>107</v>
      </c>
      <c r="G1711" s="7" t="s">
        <v>26</v>
      </c>
      <c r="H1711" s="7" t="s">
        <v>45</v>
      </c>
      <c r="I1711" s="20" t="s">
        <v>2661</v>
      </c>
      <c r="J1711" s="20" t="s">
        <v>2662</v>
      </c>
      <c r="K1711" s="7" t="s">
        <v>119</v>
      </c>
      <c r="L1711" s="61">
        <v>45814</v>
      </c>
      <c r="M1711" s="7" t="s">
        <v>111</v>
      </c>
      <c r="N1711" s="24">
        <v>45814</v>
      </c>
      <c r="O1711" s="58">
        <v>45814</v>
      </c>
      <c r="P1711" s="59"/>
      <c r="Q1711" s="124" t="e">
        <f>P1711*#REF!</f>
        <v>#REF!</v>
      </c>
      <c r="R1711" s="126">
        <v>45814</v>
      </c>
      <c r="S1711" s="153">
        <f>IF(L1711="","",L1711-B1711)</f>
        <v>9</v>
      </c>
      <c r="T1711" s="153">
        <f>IF(N1711="","",N1711-L1711)</f>
        <v>0</v>
      </c>
      <c r="U1711" s="153">
        <f>IF(O1711="","",O1711-N1711)</f>
        <v>0</v>
      </c>
      <c r="V1711" s="154">
        <f>IF(O1711="","",O1711-B1711)</f>
        <v>9</v>
      </c>
      <c r="W1711" s="154">
        <f>IF(O1711="","",O1711-L1711)</f>
        <v>0</v>
      </c>
      <c r="X1711" s="154">
        <f>IF(R1711="","",R1711-B1711)</f>
        <v>9</v>
      </c>
    </row>
    <row r="1712" spans="2:24" ht="17.25" hidden="1" customHeight="1">
      <c r="B1712" s="23">
        <v>45805</v>
      </c>
      <c r="C1712" s="7">
        <v>2003699873</v>
      </c>
      <c r="D1712" s="20">
        <v>177997</v>
      </c>
      <c r="E1712" s="27" t="s">
        <v>185</v>
      </c>
      <c r="F1712" s="7" t="s">
        <v>107</v>
      </c>
      <c r="G1712" s="7" t="s">
        <v>10</v>
      </c>
      <c r="H1712" s="7" t="s">
        <v>45</v>
      </c>
      <c r="I1712" s="233" t="s">
        <v>2663</v>
      </c>
      <c r="J1712" s="20" t="s">
        <v>2664</v>
      </c>
      <c r="K1712" s="7" t="s">
        <v>119</v>
      </c>
      <c r="L1712" s="61">
        <v>45807</v>
      </c>
      <c r="M1712" s="7" t="s">
        <v>111</v>
      </c>
      <c r="N1712" s="61">
        <v>45810</v>
      </c>
      <c r="O1712" s="61">
        <v>45811</v>
      </c>
      <c r="P1712" s="59"/>
      <c r="Q1712" s="124" t="e">
        <f>P1712*#REF!</f>
        <v>#REF!</v>
      </c>
      <c r="R1712" s="126">
        <v>45812</v>
      </c>
      <c r="S1712" s="153">
        <f>IF(L1712="","",L1712-B1712)</f>
        <v>2</v>
      </c>
      <c r="T1712" s="153">
        <f>IF(N1712="","",N1712-L1712)</f>
        <v>3</v>
      </c>
      <c r="U1712" s="153">
        <f>IF(O1712="","",O1712-N1712)</f>
        <v>1</v>
      </c>
      <c r="V1712" s="154">
        <f>IF(O1712="","",O1712-B1712)</f>
        <v>6</v>
      </c>
      <c r="W1712" s="154">
        <f>IF(O1712="","",O1712-L1712)</f>
        <v>4</v>
      </c>
      <c r="X1712" s="154">
        <f>IF(R1712="","",R1712-B1712)</f>
        <v>7</v>
      </c>
    </row>
    <row r="1713" spans="2:24" ht="17.25" hidden="1" customHeight="1">
      <c r="B1713" s="23">
        <v>45805</v>
      </c>
      <c r="C1713" s="7">
        <v>2003588265</v>
      </c>
      <c r="D1713" s="20">
        <v>177619</v>
      </c>
      <c r="E1713" s="27" t="s">
        <v>123</v>
      </c>
      <c r="F1713" s="7" t="s">
        <v>107</v>
      </c>
      <c r="G1713" s="7" t="s">
        <v>21</v>
      </c>
      <c r="H1713" s="7" t="s">
        <v>45</v>
      </c>
      <c r="I1713" s="20" t="s">
        <v>489</v>
      </c>
      <c r="J1713" s="20" t="s">
        <v>490</v>
      </c>
      <c r="K1713" s="7" t="s">
        <v>111</v>
      </c>
      <c r="L1713" s="61">
        <v>45806</v>
      </c>
      <c r="M1713" s="7" t="s">
        <v>111</v>
      </c>
      <c r="N1713" s="61">
        <v>45806</v>
      </c>
      <c r="O1713" s="24">
        <v>45810</v>
      </c>
      <c r="P1713" s="59"/>
      <c r="Q1713" s="124" t="e">
        <f>P1713*#REF!</f>
        <v>#REF!</v>
      </c>
      <c r="R1713" s="126">
        <v>45812</v>
      </c>
      <c r="S1713" s="153">
        <f>IF(L1713="","",L1713-B1713)</f>
        <v>1</v>
      </c>
      <c r="T1713" s="153">
        <f>IF(N1713="","",N1713-L1713)</f>
        <v>0</v>
      </c>
      <c r="U1713" s="153">
        <f>IF(O1713="","",O1713-N1713)</f>
        <v>4</v>
      </c>
      <c r="V1713" s="154">
        <f>IF(O1713="","",O1713-B1713)</f>
        <v>5</v>
      </c>
      <c r="W1713" s="154">
        <f>IF(O1713="","",O1713-L1713)</f>
        <v>4</v>
      </c>
      <c r="X1713" s="154">
        <f>IF(R1713="","",R1713-B1713)</f>
        <v>7</v>
      </c>
    </row>
    <row r="1714" spans="2:24" ht="17.25" hidden="1" customHeight="1">
      <c r="B1714" s="23">
        <v>45805</v>
      </c>
      <c r="C1714" s="7">
        <v>2003681168</v>
      </c>
      <c r="D1714" s="20">
        <v>177828</v>
      </c>
      <c r="E1714" s="27" t="s">
        <v>198</v>
      </c>
      <c r="F1714" s="7" t="s">
        <v>107</v>
      </c>
      <c r="G1714" s="7" t="s">
        <v>10</v>
      </c>
      <c r="H1714" s="7" t="s">
        <v>45</v>
      </c>
      <c r="I1714" s="20" t="s">
        <v>1863</v>
      </c>
      <c r="J1714" s="20" t="s">
        <v>1869</v>
      </c>
      <c r="K1714" s="7" t="s">
        <v>119</v>
      </c>
      <c r="L1714" s="61">
        <v>45813</v>
      </c>
      <c r="M1714" s="7" t="s">
        <v>111</v>
      </c>
      <c r="N1714" s="61">
        <v>45813</v>
      </c>
      <c r="O1714" s="61">
        <v>45813</v>
      </c>
      <c r="P1714" s="59"/>
      <c r="Q1714" s="124" t="e">
        <f>P1714*#REF!</f>
        <v>#REF!</v>
      </c>
      <c r="R1714" s="126">
        <v>45814</v>
      </c>
      <c r="S1714" s="153">
        <f>IF(L1714="","",L1714-B1714)</f>
        <v>8</v>
      </c>
      <c r="T1714" s="153">
        <f>IF(N1714="","",N1714-L1714)</f>
        <v>0</v>
      </c>
      <c r="U1714" s="153">
        <f>IF(O1714="","",O1714-N1714)</f>
        <v>0</v>
      </c>
      <c r="V1714" s="154">
        <f>IF(O1714="","",O1714-B1714)</f>
        <v>8</v>
      </c>
      <c r="W1714" s="154">
        <f>IF(O1714="","",O1714-L1714)</f>
        <v>0</v>
      </c>
      <c r="X1714" s="154">
        <f>IF(R1714="","",R1714-B1714)</f>
        <v>9</v>
      </c>
    </row>
    <row r="1715" spans="2:24" ht="17.25" hidden="1" customHeight="1">
      <c r="B1715" s="23">
        <v>45805</v>
      </c>
      <c r="C1715" s="7">
        <v>2003666215</v>
      </c>
      <c r="D1715" s="20">
        <v>5953387</v>
      </c>
      <c r="E1715" s="27" t="s">
        <v>191</v>
      </c>
      <c r="F1715" s="7" t="s">
        <v>107</v>
      </c>
      <c r="G1715" s="7" t="s">
        <v>10</v>
      </c>
      <c r="H1715" s="7" t="s">
        <v>45</v>
      </c>
      <c r="I1715" s="20" t="s">
        <v>618</v>
      </c>
      <c r="J1715" s="20" t="s">
        <v>2665</v>
      </c>
      <c r="K1715" s="7" t="s">
        <v>110</v>
      </c>
      <c r="L1715" s="61">
        <v>45807</v>
      </c>
      <c r="M1715" s="7" t="s">
        <v>111</v>
      </c>
      <c r="N1715" s="61">
        <v>45807</v>
      </c>
      <c r="O1715" s="61">
        <v>45807</v>
      </c>
      <c r="P1715" s="59"/>
      <c r="Q1715" s="124" t="e">
        <f>P1715*#REF!</f>
        <v>#REF!</v>
      </c>
      <c r="R1715" s="126">
        <v>45807</v>
      </c>
      <c r="S1715" s="153">
        <f>IF(L1715="","",L1715-B1715)</f>
        <v>2</v>
      </c>
      <c r="T1715" s="153">
        <f>IF(N1715="","",N1715-L1715)</f>
        <v>0</v>
      </c>
      <c r="U1715" s="153">
        <f>IF(O1715="","",O1715-N1715)</f>
        <v>0</v>
      </c>
      <c r="V1715" s="154">
        <f>IF(O1715="","",O1715-B1715)</f>
        <v>2</v>
      </c>
      <c r="W1715" s="154">
        <f>IF(O1715="","",O1715-L1715)</f>
        <v>0</v>
      </c>
      <c r="X1715" s="154">
        <f>IF(R1715="","",R1715-B1715)</f>
        <v>2</v>
      </c>
    </row>
    <row r="1716" spans="2:24" ht="17.25" hidden="1" customHeight="1">
      <c r="B1716" s="23">
        <v>45803</v>
      </c>
      <c r="C1716" s="7">
        <v>2003695026</v>
      </c>
      <c r="D1716" s="20">
        <v>174773</v>
      </c>
      <c r="E1716" s="27" t="s">
        <v>129</v>
      </c>
      <c r="F1716" s="7" t="s">
        <v>107</v>
      </c>
      <c r="G1716" s="7" t="s">
        <v>26</v>
      </c>
      <c r="H1716" s="7" t="s">
        <v>45</v>
      </c>
      <c r="I1716" s="20" t="s">
        <v>2666</v>
      </c>
      <c r="J1716" s="20" t="s">
        <v>2667</v>
      </c>
      <c r="K1716" s="7" t="s">
        <v>110</v>
      </c>
      <c r="L1716" s="61">
        <v>45813</v>
      </c>
      <c r="M1716" s="7" t="s">
        <v>111</v>
      </c>
      <c r="N1716" s="24">
        <v>45812</v>
      </c>
      <c r="O1716" s="23">
        <v>45812</v>
      </c>
      <c r="P1716" s="59"/>
      <c r="Q1716" s="124" t="e">
        <f>P1716*#REF!</f>
        <v>#REF!</v>
      </c>
      <c r="R1716" s="126">
        <v>45812</v>
      </c>
      <c r="S1716" s="153">
        <f>IF(L1716="","",L1716-B1716)</f>
        <v>10</v>
      </c>
      <c r="T1716" s="153">
        <f>IF(N1716="","",N1716-L1716)</f>
        <v>-1</v>
      </c>
      <c r="U1716" s="153">
        <f>IF(O1716="","",O1716-N1716)</f>
        <v>0</v>
      </c>
      <c r="V1716" s="154">
        <f>IF(O1716="","",O1716-B1716)</f>
        <v>9</v>
      </c>
      <c r="W1716" s="154">
        <f>IF(O1716="","",O1716-L1716)</f>
        <v>-1</v>
      </c>
      <c r="X1716" s="154">
        <f>IF(R1716="","",R1716-B1716)</f>
        <v>9</v>
      </c>
    </row>
    <row r="1717" spans="2:24" ht="17.25" hidden="1" customHeight="1">
      <c r="B1717" s="23">
        <v>45805</v>
      </c>
      <c r="C1717" s="7">
        <v>2003691258</v>
      </c>
      <c r="D1717" s="20">
        <v>177320</v>
      </c>
      <c r="E1717" s="27" t="s">
        <v>123</v>
      </c>
      <c r="F1717" s="7" t="s">
        <v>107</v>
      </c>
      <c r="G1717" s="7" t="s">
        <v>18</v>
      </c>
      <c r="H1717" s="7" t="s">
        <v>45</v>
      </c>
      <c r="I1717" s="20" t="s">
        <v>2668</v>
      </c>
      <c r="J1717" s="20" t="s">
        <v>665</v>
      </c>
      <c r="K1717" s="7" t="s">
        <v>110</v>
      </c>
      <c r="L1717" s="61">
        <v>45807</v>
      </c>
      <c r="M1717" s="7" t="s">
        <v>111</v>
      </c>
      <c r="N1717" s="61">
        <v>45807</v>
      </c>
      <c r="O1717" s="61">
        <v>45817</v>
      </c>
      <c r="P1717" s="59"/>
      <c r="Q1717" s="124" t="e">
        <f>P1717*#REF!</f>
        <v>#REF!</v>
      </c>
      <c r="R1717" s="126">
        <v>45820</v>
      </c>
      <c r="S1717" s="153">
        <f>IF(L1717="","",L1717-B1717)</f>
        <v>2</v>
      </c>
      <c r="T1717" s="153">
        <f>IF(N1717="","",N1717-L1717)</f>
        <v>0</v>
      </c>
      <c r="U1717" s="153">
        <f>IF(O1717="","",O1717-N1717)</f>
        <v>10</v>
      </c>
      <c r="V1717" s="154">
        <f>IF(O1717="","",O1717-B1717)</f>
        <v>12</v>
      </c>
      <c r="W1717" s="154">
        <f>IF(O1717="","",O1717-L1717)</f>
        <v>10</v>
      </c>
      <c r="X1717" s="154">
        <f>IF(R1717="","",R1717-B1717)</f>
        <v>15</v>
      </c>
    </row>
    <row r="1718" spans="2:24" ht="17.25" hidden="1" customHeight="1">
      <c r="B1718" s="23">
        <v>45806</v>
      </c>
      <c r="C1718" s="7">
        <v>2003672231</v>
      </c>
      <c r="D1718" s="20">
        <v>5954327</v>
      </c>
      <c r="E1718" s="27" t="s">
        <v>191</v>
      </c>
      <c r="F1718" s="7" t="s">
        <v>107</v>
      </c>
      <c r="G1718" s="7" t="s">
        <v>10</v>
      </c>
      <c r="H1718" s="7" t="s">
        <v>45</v>
      </c>
      <c r="I1718" s="20" t="s">
        <v>2501</v>
      </c>
      <c r="J1718" s="20" t="s">
        <v>2669</v>
      </c>
      <c r="K1718" s="7" t="s">
        <v>110</v>
      </c>
      <c r="L1718" s="61">
        <v>45811</v>
      </c>
      <c r="M1718" s="7" t="s">
        <v>111</v>
      </c>
      <c r="N1718" s="61">
        <v>45811</v>
      </c>
      <c r="O1718" s="61">
        <v>45811</v>
      </c>
      <c r="P1718" s="59"/>
      <c r="Q1718" s="124" t="e">
        <f>P1718*#REF!</f>
        <v>#REF!</v>
      </c>
      <c r="R1718" s="126">
        <v>45812</v>
      </c>
      <c r="S1718" s="153">
        <f>IF(L1718="","",L1718-B1718)</f>
        <v>5</v>
      </c>
      <c r="T1718" s="153">
        <f>IF(N1718="","",N1718-L1718)</f>
        <v>0</v>
      </c>
      <c r="U1718" s="153">
        <f>IF(O1718="","",O1718-N1718)</f>
        <v>0</v>
      </c>
      <c r="V1718" s="154">
        <f>IF(O1718="","",O1718-B1718)</f>
        <v>5</v>
      </c>
      <c r="W1718" s="154">
        <f>IF(O1718="","",O1718-L1718)</f>
        <v>0</v>
      </c>
      <c r="X1718" s="154">
        <f>IF(R1718="","",R1718-B1718)</f>
        <v>6</v>
      </c>
    </row>
    <row r="1719" spans="2:24" ht="17.25" hidden="1" customHeight="1">
      <c r="B1719" s="23">
        <v>45806</v>
      </c>
      <c r="C1719" s="7">
        <v>2003700859</v>
      </c>
      <c r="D1719" s="20">
        <v>5954435</v>
      </c>
      <c r="E1719" s="27" t="s">
        <v>201</v>
      </c>
      <c r="F1719" s="7" t="s">
        <v>107</v>
      </c>
      <c r="G1719" s="7" t="s">
        <v>10</v>
      </c>
      <c r="H1719" s="7" t="s">
        <v>45</v>
      </c>
      <c r="I1719" s="20" t="s">
        <v>928</v>
      </c>
      <c r="J1719" s="20" t="s">
        <v>2127</v>
      </c>
      <c r="K1719" s="7" t="s">
        <v>119</v>
      </c>
      <c r="L1719" s="61">
        <v>45807</v>
      </c>
      <c r="M1719" s="7" t="s">
        <v>111</v>
      </c>
      <c r="N1719" s="24">
        <v>45810</v>
      </c>
      <c r="O1719" s="61">
        <v>45811</v>
      </c>
      <c r="P1719" s="59"/>
      <c r="Q1719" s="124" t="e">
        <f>P1719*#REF!</f>
        <v>#REF!</v>
      </c>
      <c r="R1719" s="126">
        <v>45812</v>
      </c>
      <c r="S1719" s="153">
        <f>IF(L1719="","",L1719-B1719)</f>
        <v>1</v>
      </c>
      <c r="T1719" s="153">
        <f>IF(N1719="","",N1719-L1719)</f>
        <v>3</v>
      </c>
      <c r="U1719" s="153">
        <f>IF(O1719="","",O1719-N1719)</f>
        <v>1</v>
      </c>
      <c r="V1719" s="154">
        <f>IF(O1719="","",O1719-B1719)</f>
        <v>5</v>
      </c>
      <c r="W1719" s="154">
        <f>IF(O1719="","",O1719-L1719)</f>
        <v>4</v>
      </c>
      <c r="X1719" s="154">
        <f>IF(R1719="","",R1719-B1719)</f>
        <v>6</v>
      </c>
    </row>
    <row r="1720" spans="2:24" ht="17.25" hidden="1" customHeight="1">
      <c r="B1720" s="23">
        <v>45806</v>
      </c>
      <c r="C1720" s="7">
        <v>2003665965</v>
      </c>
      <c r="D1720" s="20">
        <v>5954692</v>
      </c>
      <c r="E1720" s="27" t="s">
        <v>143</v>
      </c>
      <c r="F1720" s="7" t="s">
        <v>107</v>
      </c>
      <c r="G1720" s="7" t="s">
        <v>10</v>
      </c>
      <c r="H1720" s="7" t="s">
        <v>45</v>
      </c>
      <c r="I1720" s="20" t="s">
        <v>2057</v>
      </c>
      <c r="J1720" s="20" t="s">
        <v>2058</v>
      </c>
      <c r="K1720" s="7" t="s">
        <v>119</v>
      </c>
      <c r="L1720" s="61">
        <v>45807</v>
      </c>
      <c r="M1720" s="7" t="s">
        <v>111</v>
      </c>
      <c r="N1720" s="24">
        <v>45810</v>
      </c>
      <c r="O1720" s="24">
        <v>45810</v>
      </c>
      <c r="P1720" s="59"/>
      <c r="Q1720" s="124" t="e">
        <f>P1720*#REF!</f>
        <v>#REF!</v>
      </c>
      <c r="R1720" s="126">
        <v>45812</v>
      </c>
      <c r="S1720" s="153">
        <f>IF(L1720="","",L1720-B1720)</f>
        <v>1</v>
      </c>
      <c r="T1720" s="153">
        <f>IF(N1720="","",N1720-L1720)</f>
        <v>3</v>
      </c>
      <c r="U1720" s="153">
        <f>IF(O1720="","",O1720-N1720)</f>
        <v>0</v>
      </c>
      <c r="V1720" s="154">
        <f>IF(O1720="","",O1720-B1720)</f>
        <v>4</v>
      </c>
      <c r="W1720" s="154">
        <f>IF(O1720="","",O1720-L1720)</f>
        <v>3</v>
      </c>
      <c r="X1720" s="154">
        <f>IF(R1720="","",R1720-B1720)</f>
        <v>6</v>
      </c>
    </row>
    <row r="1721" spans="2:24" ht="17.25" hidden="1" customHeight="1">
      <c r="B1721" s="23">
        <v>45806</v>
      </c>
      <c r="C1721" s="7">
        <v>2003675086</v>
      </c>
      <c r="D1721" s="20">
        <v>5954747</v>
      </c>
      <c r="E1721" s="27" t="s">
        <v>408</v>
      </c>
      <c r="F1721" s="7" t="s">
        <v>107</v>
      </c>
      <c r="G1721" s="7" t="s">
        <v>10</v>
      </c>
      <c r="H1721" s="7" t="s">
        <v>45</v>
      </c>
      <c r="I1721" s="20" t="s">
        <v>912</v>
      </c>
      <c r="J1721" s="20" t="s">
        <v>2670</v>
      </c>
      <c r="K1721" s="7" t="s">
        <v>119</v>
      </c>
      <c r="L1721" s="61">
        <v>45813</v>
      </c>
      <c r="M1721" s="7" t="s">
        <v>111</v>
      </c>
      <c r="N1721" s="61">
        <v>45813</v>
      </c>
      <c r="O1721" s="61">
        <v>45813</v>
      </c>
      <c r="P1721" s="59"/>
      <c r="Q1721" s="124" t="e">
        <f>P1721*#REF!</f>
        <v>#REF!</v>
      </c>
      <c r="R1721" s="126">
        <v>45814</v>
      </c>
      <c r="S1721" s="153">
        <f>IF(L1721="","",L1721-B1721)</f>
        <v>7</v>
      </c>
      <c r="T1721" s="153">
        <f>IF(N1721="","",N1721-L1721)</f>
        <v>0</v>
      </c>
      <c r="U1721" s="153">
        <f>IF(O1721="","",O1721-N1721)</f>
        <v>0</v>
      </c>
      <c r="V1721" s="154">
        <f>IF(O1721="","",O1721-B1721)</f>
        <v>7</v>
      </c>
      <c r="W1721" s="154">
        <f>IF(O1721="","",O1721-L1721)</f>
        <v>0</v>
      </c>
      <c r="X1721" s="154">
        <f>IF(R1721="","",R1721-B1721)</f>
        <v>8</v>
      </c>
    </row>
    <row r="1722" spans="2:24" ht="17.25" hidden="1" customHeight="1">
      <c r="B1722" s="23">
        <v>45806</v>
      </c>
      <c r="C1722" s="7">
        <v>2003665786</v>
      </c>
      <c r="D1722" s="20">
        <v>5954755</v>
      </c>
      <c r="E1722" s="27" t="s">
        <v>123</v>
      </c>
      <c r="F1722" s="7" t="s">
        <v>107</v>
      </c>
      <c r="G1722" s="7" t="s">
        <v>10</v>
      </c>
      <c r="H1722" s="7" t="s">
        <v>45</v>
      </c>
      <c r="I1722" s="20" t="s">
        <v>901</v>
      </c>
      <c r="J1722" s="20" t="s">
        <v>2671</v>
      </c>
      <c r="K1722" s="7" t="s">
        <v>110</v>
      </c>
      <c r="L1722" s="61">
        <v>45810</v>
      </c>
      <c r="M1722" s="7" t="s">
        <v>111</v>
      </c>
      <c r="N1722" s="61">
        <v>45810</v>
      </c>
      <c r="O1722" s="61">
        <v>45810</v>
      </c>
      <c r="P1722" s="59"/>
      <c r="Q1722" s="124" t="e">
        <f>P1722*#REF!</f>
        <v>#REF!</v>
      </c>
      <c r="R1722" s="126">
        <v>45812</v>
      </c>
      <c r="S1722" s="153">
        <f>IF(L1722="","",L1722-B1722)</f>
        <v>4</v>
      </c>
      <c r="T1722" s="153">
        <f>IF(N1722="","",N1722-L1722)</f>
        <v>0</v>
      </c>
      <c r="U1722" s="153">
        <f>IF(O1722="","",O1722-N1722)</f>
        <v>0</v>
      </c>
      <c r="V1722" s="154">
        <f>IF(O1722="","",O1722-B1722)</f>
        <v>4</v>
      </c>
      <c r="W1722" s="154">
        <f>IF(O1722="","",O1722-L1722)</f>
        <v>0</v>
      </c>
      <c r="X1722" s="154">
        <f>IF(R1722="","",R1722-B1722)</f>
        <v>6</v>
      </c>
    </row>
    <row r="1723" spans="2:24" ht="17.25" hidden="1" customHeight="1">
      <c r="B1723" s="23">
        <v>45806</v>
      </c>
      <c r="C1723" s="7">
        <v>2003376702</v>
      </c>
      <c r="D1723" s="20">
        <v>5954775</v>
      </c>
      <c r="E1723" s="27" t="s">
        <v>177</v>
      </c>
      <c r="F1723" s="7" t="s">
        <v>107</v>
      </c>
      <c r="G1723" s="7" t="s">
        <v>18</v>
      </c>
      <c r="H1723" s="7" t="s">
        <v>45</v>
      </c>
      <c r="I1723" s="20" t="s">
        <v>2672</v>
      </c>
      <c r="J1723" s="20" t="s">
        <v>2533</v>
      </c>
      <c r="K1723" s="7" t="s">
        <v>119</v>
      </c>
      <c r="L1723" s="61">
        <v>45807</v>
      </c>
      <c r="M1723" s="7" t="s">
        <v>111</v>
      </c>
      <c r="N1723" s="61">
        <v>45810</v>
      </c>
      <c r="O1723" s="61">
        <v>45811</v>
      </c>
      <c r="P1723" s="59"/>
      <c r="Q1723" s="124" t="e">
        <f>P1723*#REF!</f>
        <v>#REF!</v>
      </c>
      <c r="R1723" s="126">
        <v>45812</v>
      </c>
      <c r="S1723" s="153">
        <f>IF(L1723="","",L1723-B1723)</f>
        <v>1</v>
      </c>
      <c r="T1723" s="153">
        <f>IF(N1723="","",N1723-L1723)</f>
        <v>3</v>
      </c>
      <c r="U1723" s="153">
        <f>IF(O1723="","",O1723-N1723)</f>
        <v>1</v>
      </c>
      <c r="V1723" s="154">
        <f>IF(O1723="","",O1723-B1723)</f>
        <v>5</v>
      </c>
      <c r="W1723" s="154">
        <f>IF(O1723="","",O1723-L1723)</f>
        <v>4</v>
      </c>
      <c r="X1723" s="154">
        <f>IF(R1723="","",R1723-B1723)</f>
        <v>6</v>
      </c>
    </row>
    <row r="1724" spans="2:24" ht="17.25" hidden="1" customHeight="1">
      <c r="B1724" s="23">
        <v>45806</v>
      </c>
      <c r="C1724" s="7">
        <v>2003672388</v>
      </c>
      <c r="D1724" s="20">
        <v>5954778</v>
      </c>
      <c r="E1724" s="27" t="s">
        <v>116</v>
      </c>
      <c r="F1724" s="7" t="s">
        <v>107</v>
      </c>
      <c r="G1724" s="7" t="s">
        <v>10</v>
      </c>
      <c r="H1724" s="7" t="s">
        <v>45</v>
      </c>
      <c r="I1724" s="20" t="s">
        <v>2411</v>
      </c>
      <c r="J1724" s="20" t="s">
        <v>2673</v>
      </c>
      <c r="K1724" s="7" t="s">
        <v>119</v>
      </c>
      <c r="L1724" s="61">
        <v>45810</v>
      </c>
      <c r="M1724" s="7" t="s">
        <v>111</v>
      </c>
      <c r="N1724" s="61">
        <v>45811</v>
      </c>
      <c r="O1724" s="61">
        <v>45811</v>
      </c>
      <c r="P1724" s="59"/>
      <c r="Q1724" s="124" t="e">
        <f>P1724*#REF!</f>
        <v>#REF!</v>
      </c>
      <c r="R1724" s="126">
        <v>45812</v>
      </c>
      <c r="S1724" s="153">
        <f>IF(L1724="","",L1724-B1724)</f>
        <v>4</v>
      </c>
      <c r="T1724" s="153">
        <f>IF(N1724="","",N1724-L1724)</f>
        <v>1</v>
      </c>
      <c r="U1724" s="153">
        <f>IF(O1724="","",O1724-N1724)</f>
        <v>0</v>
      </c>
      <c r="V1724" s="154">
        <f>IF(O1724="","",O1724-B1724)</f>
        <v>5</v>
      </c>
      <c r="W1724" s="154">
        <f>IF(O1724="","",O1724-L1724)</f>
        <v>1</v>
      </c>
      <c r="X1724" s="154">
        <f>IF(R1724="","",R1724-B1724)</f>
        <v>6</v>
      </c>
    </row>
    <row r="1725" spans="2:24" ht="17.25" hidden="1" customHeight="1">
      <c r="B1725" s="23">
        <v>45806</v>
      </c>
      <c r="C1725" s="7">
        <v>2003686280</v>
      </c>
      <c r="D1725" s="20">
        <v>5954848</v>
      </c>
      <c r="E1725" s="27" t="s">
        <v>180</v>
      </c>
      <c r="F1725" s="7" t="s">
        <v>107</v>
      </c>
      <c r="G1725" s="7" t="s">
        <v>18</v>
      </c>
      <c r="H1725" s="7" t="s">
        <v>45</v>
      </c>
      <c r="I1725" s="20" t="s">
        <v>161</v>
      </c>
      <c r="J1725" s="20" t="s">
        <v>2674</v>
      </c>
      <c r="K1725" s="7" t="s">
        <v>110</v>
      </c>
      <c r="L1725" s="61">
        <v>45812</v>
      </c>
      <c r="M1725" s="7" t="s">
        <v>111</v>
      </c>
      <c r="N1725" s="61">
        <v>45812</v>
      </c>
      <c r="O1725" s="61">
        <v>45813</v>
      </c>
      <c r="P1725" s="59"/>
      <c r="Q1725" s="124" t="e">
        <f>P1725*#REF!</f>
        <v>#REF!</v>
      </c>
      <c r="R1725" s="126">
        <v>45814</v>
      </c>
      <c r="S1725" s="153">
        <f>IF(L1725="","",L1725-B1725)</f>
        <v>6</v>
      </c>
      <c r="T1725" s="153">
        <f>IF(N1725="","",N1725-L1725)</f>
        <v>0</v>
      </c>
      <c r="U1725" s="153">
        <f>IF(O1725="","",O1725-N1725)</f>
        <v>1</v>
      </c>
      <c r="V1725" s="154">
        <f>IF(O1725="","",O1725-B1725)</f>
        <v>7</v>
      </c>
      <c r="W1725" s="154">
        <f>IF(O1725="","",O1725-L1725)</f>
        <v>1</v>
      </c>
      <c r="X1725" s="154">
        <f>IF(R1725="","",R1725-B1725)</f>
        <v>8</v>
      </c>
    </row>
    <row r="1726" spans="2:24" ht="17.25" hidden="1" customHeight="1">
      <c r="B1726" s="23">
        <v>45806</v>
      </c>
      <c r="C1726" s="7">
        <v>2003669309</v>
      </c>
      <c r="D1726" s="20">
        <v>5954888</v>
      </c>
      <c r="E1726" s="27" t="s">
        <v>123</v>
      </c>
      <c r="F1726" s="7" t="s">
        <v>107</v>
      </c>
      <c r="G1726" s="7" t="s">
        <v>10</v>
      </c>
      <c r="H1726" s="7" t="s">
        <v>45</v>
      </c>
      <c r="I1726" s="20" t="s">
        <v>2675</v>
      </c>
      <c r="J1726" s="20" t="s">
        <v>2676</v>
      </c>
      <c r="K1726" s="7" t="s">
        <v>119</v>
      </c>
      <c r="L1726" s="61">
        <v>45811</v>
      </c>
      <c r="M1726" s="7" t="s">
        <v>111</v>
      </c>
      <c r="N1726" s="61">
        <v>45812</v>
      </c>
      <c r="O1726" s="58">
        <v>45817</v>
      </c>
      <c r="P1726" s="59"/>
      <c r="Q1726" s="124" t="e">
        <f>P1726*#REF!</f>
        <v>#REF!</v>
      </c>
      <c r="R1726" s="126">
        <v>45820</v>
      </c>
      <c r="S1726" s="153">
        <f>IF(L1726="","",L1726-B1726)</f>
        <v>5</v>
      </c>
      <c r="T1726" s="153">
        <f>IF(N1726="","",N1726-L1726)</f>
        <v>1</v>
      </c>
      <c r="U1726" s="153">
        <f>IF(O1726="","",O1726-N1726)</f>
        <v>5</v>
      </c>
      <c r="V1726" s="154">
        <f>IF(O1726="","",O1726-B1726)</f>
        <v>11</v>
      </c>
      <c r="W1726" s="154">
        <f>IF(O1726="","",O1726-L1726)</f>
        <v>6</v>
      </c>
      <c r="X1726" s="154">
        <f>IF(R1726="","",R1726-B1726)</f>
        <v>14</v>
      </c>
    </row>
    <row r="1727" spans="2:24" ht="17.25" hidden="1" customHeight="1">
      <c r="B1727" s="23">
        <v>45806</v>
      </c>
      <c r="C1727" s="7">
        <v>2003693070</v>
      </c>
      <c r="D1727" s="20">
        <v>5954932</v>
      </c>
      <c r="E1727" s="27" t="s">
        <v>149</v>
      </c>
      <c r="F1727" s="7" t="s">
        <v>107</v>
      </c>
      <c r="G1727" s="7" t="s">
        <v>10</v>
      </c>
      <c r="H1727" s="7" t="s">
        <v>45</v>
      </c>
      <c r="I1727" s="20" t="s">
        <v>2677</v>
      </c>
      <c r="J1727" s="20" t="s">
        <v>2678</v>
      </c>
      <c r="K1727" s="7" t="s">
        <v>110</v>
      </c>
      <c r="L1727" s="61">
        <v>45813</v>
      </c>
      <c r="M1727" s="7" t="s">
        <v>111</v>
      </c>
      <c r="N1727" s="61">
        <v>45813</v>
      </c>
      <c r="O1727" s="61">
        <v>45813</v>
      </c>
      <c r="P1727" s="59"/>
      <c r="Q1727" s="124" t="e">
        <f>P1727*#REF!</f>
        <v>#REF!</v>
      </c>
      <c r="R1727" s="126">
        <v>45814</v>
      </c>
      <c r="S1727" s="153">
        <f>IF(L1727="","",L1727-B1727)</f>
        <v>7</v>
      </c>
      <c r="T1727" s="153">
        <f>IF(N1727="","",N1727-L1727)</f>
        <v>0</v>
      </c>
      <c r="U1727" s="153">
        <f>IF(O1727="","",O1727-N1727)</f>
        <v>0</v>
      </c>
      <c r="V1727" s="154">
        <f>IF(O1727="","",O1727-B1727)</f>
        <v>7</v>
      </c>
      <c r="W1727" s="154">
        <f>IF(O1727="","",O1727-L1727)</f>
        <v>0</v>
      </c>
      <c r="X1727" s="154">
        <f>IF(R1727="","",R1727-B1727)</f>
        <v>8</v>
      </c>
    </row>
    <row r="1728" spans="2:24" ht="17.25" hidden="1" customHeight="1">
      <c r="B1728" s="23">
        <v>45806</v>
      </c>
      <c r="C1728" s="7">
        <v>2003660283</v>
      </c>
      <c r="D1728" s="20">
        <v>5954948</v>
      </c>
      <c r="E1728" s="27" t="s">
        <v>180</v>
      </c>
      <c r="F1728" s="7" t="s">
        <v>107</v>
      </c>
      <c r="G1728" s="7" t="s">
        <v>30</v>
      </c>
      <c r="H1728" s="7" t="s">
        <v>45</v>
      </c>
      <c r="I1728" s="20" t="s">
        <v>2679</v>
      </c>
      <c r="J1728" s="20" t="s">
        <v>2680</v>
      </c>
      <c r="K1728" s="7" t="s">
        <v>111</v>
      </c>
      <c r="L1728" s="61">
        <v>45807</v>
      </c>
      <c r="M1728" s="7" t="s">
        <v>111</v>
      </c>
      <c r="N1728" s="61">
        <v>45807</v>
      </c>
      <c r="O1728" s="58">
        <v>45820</v>
      </c>
      <c r="P1728" s="59"/>
      <c r="Q1728" s="124" t="e">
        <f>P1728*#REF!</f>
        <v>#REF!</v>
      </c>
      <c r="R1728" s="126">
        <v>45825</v>
      </c>
      <c r="S1728" s="153">
        <f>IF(L1728="","",L1728-B1728)</f>
        <v>1</v>
      </c>
      <c r="T1728" s="153">
        <f>IF(N1728="","",N1728-L1728)</f>
        <v>0</v>
      </c>
      <c r="U1728" s="153">
        <f>IF(O1728="","",O1728-N1728)</f>
        <v>13</v>
      </c>
      <c r="V1728" s="154">
        <f>IF(O1728="","",O1728-B1728)</f>
        <v>14</v>
      </c>
      <c r="W1728" s="154">
        <f>IF(O1728="","",O1728-L1728)</f>
        <v>13</v>
      </c>
      <c r="X1728" s="154">
        <f>IF(R1728="","",R1728-B1728)</f>
        <v>19</v>
      </c>
    </row>
    <row r="1729" spans="2:24" ht="17.25" hidden="1" customHeight="1">
      <c r="B1729" s="23">
        <v>45806</v>
      </c>
      <c r="C1729" s="7">
        <v>2003683298</v>
      </c>
      <c r="D1729" s="20">
        <v>5954974</v>
      </c>
      <c r="E1729" s="27" t="s">
        <v>185</v>
      </c>
      <c r="F1729" s="7" t="s">
        <v>107</v>
      </c>
      <c r="G1729" s="7" t="s">
        <v>26</v>
      </c>
      <c r="H1729" s="7" t="s">
        <v>45</v>
      </c>
      <c r="I1729" s="20" t="s">
        <v>667</v>
      </c>
      <c r="J1729" s="20" t="s">
        <v>2624</v>
      </c>
      <c r="K1729" s="7" t="s">
        <v>110</v>
      </c>
      <c r="L1729" s="61">
        <v>45807</v>
      </c>
      <c r="M1729" s="7" t="s">
        <v>111</v>
      </c>
      <c r="N1729" s="24">
        <v>45812</v>
      </c>
      <c r="O1729" s="58">
        <v>45812</v>
      </c>
      <c r="P1729" s="59"/>
      <c r="Q1729" s="124" t="e">
        <f>P1729*#REF!</f>
        <v>#REF!</v>
      </c>
      <c r="R1729" s="126">
        <v>45812</v>
      </c>
      <c r="S1729" s="153">
        <f>IF(L1729="","",L1729-B1729)</f>
        <v>1</v>
      </c>
      <c r="T1729" s="153">
        <f>IF(N1729="","",N1729-L1729)</f>
        <v>5</v>
      </c>
      <c r="U1729" s="153">
        <f>IF(O1729="","",O1729-N1729)</f>
        <v>0</v>
      </c>
      <c r="V1729" s="154">
        <f>IF(O1729="","",O1729-B1729)</f>
        <v>6</v>
      </c>
      <c r="W1729" s="154">
        <f>IF(O1729="","",O1729-L1729)</f>
        <v>5</v>
      </c>
      <c r="X1729" s="154">
        <f>IF(R1729="","",R1729-B1729)</f>
        <v>6</v>
      </c>
    </row>
    <row r="1730" spans="2:24" ht="17.25" hidden="1" customHeight="1">
      <c r="B1730" s="23">
        <v>45806</v>
      </c>
      <c r="C1730" s="7">
        <v>2003695157</v>
      </c>
      <c r="D1730" s="20">
        <v>179322</v>
      </c>
      <c r="E1730" s="27" t="s">
        <v>129</v>
      </c>
      <c r="F1730" s="7" t="s">
        <v>113</v>
      </c>
      <c r="G1730" s="7" t="s">
        <v>70</v>
      </c>
      <c r="H1730" s="7" t="s">
        <v>47</v>
      </c>
      <c r="I1730" s="20" t="s">
        <v>2681</v>
      </c>
      <c r="J1730" s="20" t="s">
        <v>2682</v>
      </c>
      <c r="K1730" s="7" t="s">
        <v>160</v>
      </c>
      <c r="P1730" s="59"/>
      <c r="Q1730" s="124" t="e">
        <f>P1730*#REF!</f>
        <v>#REF!</v>
      </c>
      <c r="R1730" s="126">
        <v>45817</v>
      </c>
      <c r="S1730" s="153" t="str">
        <f>IF(L1730="","",L1730-B1730)</f>
        <v/>
      </c>
      <c r="T1730" s="153" t="str">
        <f>IF(N1730="","",N1730-L1730)</f>
        <v/>
      </c>
      <c r="U1730" s="153" t="str">
        <f>IF(O1730="","",O1730-N1730)</f>
        <v/>
      </c>
      <c r="V1730" s="154" t="str">
        <f>IF(O1730="","",O1730-B1730)</f>
        <v/>
      </c>
      <c r="W1730" s="154" t="str">
        <f>IF(O1730="","",O1730-L1730)</f>
        <v/>
      </c>
      <c r="X1730" s="154">
        <f>IF(R1730="","",R1730-B1730)</f>
        <v>11</v>
      </c>
    </row>
    <row r="1731" spans="2:24" ht="17.25" hidden="1" customHeight="1">
      <c r="B1731" s="23">
        <v>45806</v>
      </c>
      <c r="C1731" s="7">
        <v>2003694645</v>
      </c>
      <c r="D1731" s="20">
        <v>179159</v>
      </c>
      <c r="E1731" s="27" t="s">
        <v>116</v>
      </c>
      <c r="F1731" s="7" t="s">
        <v>107</v>
      </c>
      <c r="G1731" s="7" t="s">
        <v>10</v>
      </c>
      <c r="H1731" s="7" t="s">
        <v>45</v>
      </c>
      <c r="I1731" s="20" t="s">
        <v>704</v>
      </c>
      <c r="J1731" s="20" t="s">
        <v>2683</v>
      </c>
      <c r="K1731" s="7" t="s">
        <v>119</v>
      </c>
      <c r="L1731" s="61">
        <v>45820</v>
      </c>
      <c r="M1731" s="7" t="s">
        <v>111</v>
      </c>
      <c r="N1731" s="61">
        <v>45821</v>
      </c>
      <c r="O1731" s="61">
        <v>45821</v>
      </c>
      <c r="P1731" s="59"/>
      <c r="Q1731" s="124" t="e">
        <f>P1731*#REF!</f>
        <v>#REF!</v>
      </c>
      <c r="R1731" s="126">
        <v>45826</v>
      </c>
      <c r="S1731" s="153">
        <f>IF(L1731="","",L1731-B1731)</f>
        <v>14</v>
      </c>
      <c r="T1731" s="153">
        <f>IF(N1731="","",N1731-L1731)</f>
        <v>1</v>
      </c>
      <c r="U1731" s="153">
        <f>IF(O1731="","",O1731-N1731)</f>
        <v>0</v>
      </c>
      <c r="V1731" s="154">
        <f>IF(O1731="","",O1731-B1731)</f>
        <v>15</v>
      </c>
      <c r="W1731" s="154">
        <f>IF(O1731="","",O1731-L1731)</f>
        <v>1</v>
      </c>
      <c r="X1731" s="154">
        <f>IF(R1731="","",R1731-B1731)</f>
        <v>20</v>
      </c>
    </row>
    <row r="1732" spans="2:24" ht="17.25" hidden="1" customHeight="1">
      <c r="B1732" s="23">
        <v>45806</v>
      </c>
      <c r="C1732" s="7">
        <v>2003655705</v>
      </c>
      <c r="D1732" s="20">
        <v>178903</v>
      </c>
      <c r="E1732" s="27" t="s">
        <v>198</v>
      </c>
      <c r="F1732" s="7" t="s">
        <v>107</v>
      </c>
      <c r="G1732" s="7" t="s">
        <v>10</v>
      </c>
      <c r="H1732" s="7" t="s">
        <v>45</v>
      </c>
      <c r="I1732" s="20" t="s">
        <v>385</v>
      </c>
      <c r="J1732" s="20" t="s">
        <v>2684</v>
      </c>
      <c r="K1732" s="7" t="s">
        <v>119</v>
      </c>
      <c r="L1732" s="61">
        <v>45807</v>
      </c>
      <c r="M1732" s="7" t="s">
        <v>111</v>
      </c>
      <c r="N1732" s="24">
        <v>45810</v>
      </c>
      <c r="O1732" s="61">
        <v>45811</v>
      </c>
      <c r="P1732" s="59"/>
      <c r="Q1732" s="124" t="e">
        <f>P1732*#REF!</f>
        <v>#REF!</v>
      </c>
      <c r="R1732" s="126">
        <v>45812</v>
      </c>
      <c r="S1732" s="153">
        <f>IF(L1732="","",L1732-B1732)</f>
        <v>1</v>
      </c>
      <c r="T1732" s="153">
        <f>IF(N1732="","",N1732-L1732)</f>
        <v>3</v>
      </c>
      <c r="U1732" s="153">
        <f>IF(O1732="","",O1732-N1732)</f>
        <v>1</v>
      </c>
      <c r="V1732" s="154">
        <f>IF(O1732="","",O1732-B1732)</f>
        <v>5</v>
      </c>
      <c r="W1732" s="154">
        <f>IF(O1732="","",O1732-L1732)</f>
        <v>4</v>
      </c>
      <c r="X1732" s="154">
        <f>IF(R1732="","",R1732-B1732)</f>
        <v>6</v>
      </c>
    </row>
    <row r="1733" spans="2:24" ht="17.25" hidden="1" customHeight="1">
      <c r="B1733" s="23">
        <v>45806</v>
      </c>
      <c r="C1733" s="7">
        <v>2003664236</v>
      </c>
      <c r="D1733" s="20">
        <v>178682</v>
      </c>
      <c r="E1733" s="27" t="s">
        <v>949</v>
      </c>
      <c r="F1733" s="7" t="s">
        <v>107</v>
      </c>
      <c r="G1733" s="7" t="s">
        <v>10</v>
      </c>
      <c r="H1733" s="7" t="s">
        <v>45</v>
      </c>
      <c r="I1733" s="20" t="s">
        <v>196</v>
      </c>
      <c r="J1733" s="20" t="s">
        <v>373</v>
      </c>
      <c r="K1733" s="7" t="s">
        <v>110</v>
      </c>
      <c r="L1733" s="61">
        <v>45811</v>
      </c>
      <c r="M1733" s="7" t="s">
        <v>111</v>
      </c>
      <c r="N1733" s="61">
        <v>45813</v>
      </c>
      <c r="O1733" s="61">
        <v>45813</v>
      </c>
      <c r="P1733" s="59"/>
      <c r="Q1733" s="124" t="e">
        <f>P1733*#REF!</f>
        <v>#REF!</v>
      </c>
      <c r="R1733" s="126">
        <v>45814</v>
      </c>
      <c r="S1733" s="153">
        <f>IF(L1733="","",L1733-B1733)</f>
        <v>5</v>
      </c>
      <c r="T1733" s="153">
        <f>IF(N1733="","",N1733-L1733)</f>
        <v>2</v>
      </c>
      <c r="U1733" s="153">
        <f>IF(O1733="","",O1733-N1733)</f>
        <v>0</v>
      </c>
      <c r="V1733" s="154">
        <f>IF(O1733="","",O1733-B1733)</f>
        <v>7</v>
      </c>
      <c r="W1733" s="154">
        <f>IF(O1733="","",O1733-L1733)</f>
        <v>2</v>
      </c>
      <c r="X1733" s="154">
        <f>IF(R1733="","",R1733-B1733)</f>
        <v>8</v>
      </c>
    </row>
    <row r="1734" spans="2:24" ht="17.25" hidden="1" customHeight="1">
      <c r="B1734" s="23">
        <v>45806</v>
      </c>
      <c r="C1734" s="7">
        <v>2003668369</v>
      </c>
      <c r="D1734" s="20">
        <v>178656</v>
      </c>
      <c r="E1734" s="27" t="s">
        <v>123</v>
      </c>
      <c r="F1734" s="7" t="s">
        <v>107</v>
      </c>
      <c r="G1734" s="7" t="s">
        <v>10</v>
      </c>
      <c r="H1734" s="7" t="s">
        <v>45</v>
      </c>
      <c r="I1734" s="20" t="s">
        <v>1892</v>
      </c>
      <c r="J1734" s="20" t="s">
        <v>2685</v>
      </c>
      <c r="K1734" s="7" t="s">
        <v>119</v>
      </c>
      <c r="L1734" s="61">
        <v>45811</v>
      </c>
      <c r="M1734" s="7" t="s">
        <v>111</v>
      </c>
      <c r="N1734" s="61">
        <v>45811</v>
      </c>
      <c r="O1734" s="61">
        <v>45811</v>
      </c>
      <c r="P1734" s="59"/>
      <c r="Q1734" s="124" t="e">
        <f>P1734*#REF!</f>
        <v>#REF!</v>
      </c>
      <c r="R1734" s="126">
        <v>45812</v>
      </c>
      <c r="S1734" s="153">
        <f>IF(L1734="","",L1734-B1734)</f>
        <v>5</v>
      </c>
      <c r="T1734" s="153">
        <f>IF(N1734="","",N1734-L1734)</f>
        <v>0</v>
      </c>
      <c r="U1734" s="153">
        <f>IF(O1734="","",O1734-N1734)</f>
        <v>0</v>
      </c>
      <c r="V1734" s="154">
        <f>IF(O1734="","",O1734-B1734)</f>
        <v>5</v>
      </c>
      <c r="W1734" s="154">
        <f>IF(O1734="","",O1734-L1734)</f>
        <v>0</v>
      </c>
      <c r="X1734" s="154">
        <f>IF(R1734="","",R1734-B1734)</f>
        <v>6</v>
      </c>
    </row>
    <row r="1735" spans="2:24" ht="17.25" hidden="1" customHeight="1">
      <c r="B1735" s="23">
        <v>45806</v>
      </c>
      <c r="C1735" s="7">
        <v>2003672170</v>
      </c>
      <c r="D1735" s="20">
        <v>178630</v>
      </c>
      <c r="E1735" s="27" t="s">
        <v>123</v>
      </c>
      <c r="F1735" s="7" t="s">
        <v>107</v>
      </c>
      <c r="G1735" s="7" t="s">
        <v>21</v>
      </c>
      <c r="H1735" s="7" t="s">
        <v>45</v>
      </c>
      <c r="I1735" s="20" t="s">
        <v>2686</v>
      </c>
      <c r="J1735" s="20" t="s">
        <v>1805</v>
      </c>
      <c r="K1735" s="7" t="s">
        <v>119</v>
      </c>
      <c r="L1735" s="61">
        <v>45810</v>
      </c>
      <c r="M1735" s="7" t="s">
        <v>111</v>
      </c>
      <c r="N1735" s="61">
        <v>45811</v>
      </c>
      <c r="O1735" s="58">
        <v>45813</v>
      </c>
      <c r="P1735" s="59"/>
      <c r="Q1735" s="124" t="e">
        <f>P1735*#REF!</f>
        <v>#REF!</v>
      </c>
      <c r="R1735" s="126">
        <v>45814</v>
      </c>
      <c r="S1735" s="153">
        <f>IF(L1735="","",L1735-B1735)</f>
        <v>4</v>
      </c>
      <c r="T1735" s="153">
        <f>IF(N1735="","",N1735-L1735)</f>
        <v>1</v>
      </c>
      <c r="U1735" s="153">
        <f>IF(O1735="","",O1735-N1735)</f>
        <v>2</v>
      </c>
      <c r="V1735" s="154">
        <f>IF(O1735="","",O1735-B1735)</f>
        <v>7</v>
      </c>
      <c r="W1735" s="154">
        <f>IF(O1735="","",O1735-L1735)</f>
        <v>3</v>
      </c>
      <c r="X1735" s="154">
        <f>IF(R1735="","",R1735-B1735)</f>
        <v>8</v>
      </c>
    </row>
    <row r="1736" spans="2:24" ht="17.25" hidden="1" customHeight="1">
      <c r="B1736" s="23">
        <v>45806</v>
      </c>
      <c r="C1736" s="7">
        <v>2003667803</v>
      </c>
      <c r="D1736" s="20">
        <v>178589</v>
      </c>
      <c r="E1736" s="27" t="s">
        <v>566</v>
      </c>
      <c r="F1736" s="7" t="s">
        <v>107</v>
      </c>
      <c r="G1736" s="7" t="s">
        <v>10</v>
      </c>
      <c r="H1736" s="7" t="s">
        <v>45</v>
      </c>
      <c r="I1736" s="20" t="s">
        <v>2687</v>
      </c>
      <c r="J1736" s="20" t="s">
        <v>2688</v>
      </c>
      <c r="K1736" s="7" t="s">
        <v>110</v>
      </c>
      <c r="L1736" s="61">
        <v>45811</v>
      </c>
      <c r="M1736" s="7" t="s">
        <v>111</v>
      </c>
      <c r="N1736" s="61">
        <v>45811</v>
      </c>
      <c r="O1736" s="61">
        <v>45811</v>
      </c>
      <c r="P1736" s="59"/>
      <c r="Q1736" s="124" t="e">
        <f>P1736*#REF!</f>
        <v>#REF!</v>
      </c>
      <c r="R1736" s="126">
        <v>45812</v>
      </c>
      <c r="S1736" s="153">
        <f>IF(L1736="","",L1736-B1736)</f>
        <v>5</v>
      </c>
      <c r="T1736" s="153">
        <f>IF(N1736="","",N1736-L1736)</f>
        <v>0</v>
      </c>
      <c r="U1736" s="153">
        <f>IF(O1736="","",O1736-N1736)</f>
        <v>0</v>
      </c>
      <c r="V1736" s="154">
        <f>IF(O1736="","",O1736-B1736)</f>
        <v>5</v>
      </c>
      <c r="W1736" s="154">
        <f>IF(O1736="","",O1736-L1736)</f>
        <v>0</v>
      </c>
      <c r="X1736" s="154">
        <f>IF(R1736="","",R1736-B1736)</f>
        <v>6</v>
      </c>
    </row>
    <row r="1737" spans="2:24" ht="17.25" hidden="1" customHeight="1">
      <c r="B1737" s="23">
        <v>45807</v>
      </c>
      <c r="C1737" s="7">
        <v>2003699738</v>
      </c>
      <c r="D1737" s="20">
        <v>5955056</v>
      </c>
      <c r="E1737" s="27" t="s">
        <v>185</v>
      </c>
      <c r="F1737" s="7" t="s">
        <v>107</v>
      </c>
      <c r="G1737" s="7" t="s">
        <v>10</v>
      </c>
      <c r="H1737" s="7" t="s">
        <v>45</v>
      </c>
      <c r="I1737" s="20" t="s">
        <v>2689</v>
      </c>
      <c r="J1737" s="20" t="s">
        <v>2690</v>
      </c>
      <c r="K1737" s="7" t="s">
        <v>119</v>
      </c>
      <c r="L1737" s="61">
        <v>45810</v>
      </c>
      <c r="M1737" s="7" t="s">
        <v>111</v>
      </c>
      <c r="N1737" s="61">
        <v>45811</v>
      </c>
      <c r="O1737" s="58">
        <v>45813</v>
      </c>
      <c r="P1737" s="59"/>
      <c r="Q1737" s="124" t="e">
        <f>P1737*#REF!</f>
        <v>#REF!</v>
      </c>
      <c r="R1737" s="126">
        <v>45814</v>
      </c>
      <c r="S1737" s="153">
        <f>IF(L1737="","",L1737-B1737)</f>
        <v>3</v>
      </c>
      <c r="T1737" s="153">
        <f>IF(N1737="","",N1737-L1737)</f>
        <v>1</v>
      </c>
      <c r="U1737" s="153">
        <f>IF(O1737="","",O1737-N1737)</f>
        <v>2</v>
      </c>
      <c r="V1737" s="154">
        <f>IF(O1737="","",O1737-B1737)</f>
        <v>6</v>
      </c>
      <c r="W1737" s="154">
        <f>IF(O1737="","",O1737-L1737)</f>
        <v>3</v>
      </c>
      <c r="X1737" s="154">
        <f>IF(R1737="","",R1737-B1737)</f>
        <v>7</v>
      </c>
    </row>
    <row r="1738" spans="2:24" ht="17.25" hidden="1" customHeight="1">
      <c r="B1738" s="23">
        <v>45807</v>
      </c>
      <c r="C1738" s="7">
        <v>2003686959</v>
      </c>
      <c r="D1738" s="20">
        <v>5955059</v>
      </c>
      <c r="E1738" s="27" t="s">
        <v>185</v>
      </c>
      <c r="F1738" s="7" t="s">
        <v>107</v>
      </c>
      <c r="G1738" s="7" t="s">
        <v>10</v>
      </c>
      <c r="H1738" s="7" t="s">
        <v>45</v>
      </c>
      <c r="I1738" s="20" t="s">
        <v>2691</v>
      </c>
      <c r="J1738" s="20" t="s">
        <v>2692</v>
      </c>
      <c r="K1738" s="7" t="s">
        <v>119</v>
      </c>
      <c r="L1738" s="61">
        <v>45810</v>
      </c>
      <c r="M1738" s="7" t="s">
        <v>111</v>
      </c>
      <c r="N1738" s="61">
        <v>45811</v>
      </c>
      <c r="O1738" s="61">
        <v>45811</v>
      </c>
      <c r="P1738" s="59"/>
      <c r="Q1738" s="124" t="e">
        <f>P1738*#REF!</f>
        <v>#REF!</v>
      </c>
      <c r="R1738" s="126">
        <v>45812</v>
      </c>
      <c r="S1738" s="153">
        <f>IF(L1738="","",L1738-B1738)</f>
        <v>3</v>
      </c>
      <c r="T1738" s="153">
        <f>IF(N1738="","",N1738-L1738)</f>
        <v>1</v>
      </c>
      <c r="U1738" s="153">
        <f>IF(O1738="","",O1738-N1738)</f>
        <v>0</v>
      </c>
      <c r="V1738" s="154">
        <f>IF(O1738="","",O1738-B1738)</f>
        <v>4</v>
      </c>
      <c r="W1738" s="154">
        <f>IF(O1738="","",O1738-L1738)</f>
        <v>1</v>
      </c>
      <c r="X1738" s="154">
        <f>IF(R1738="","",R1738-B1738)</f>
        <v>5</v>
      </c>
    </row>
    <row r="1739" spans="2:24" ht="17.25" hidden="1" customHeight="1">
      <c r="B1739" s="23">
        <v>45807</v>
      </c>
      <c r="C1739" s="7">
        <v>2003702239</v>
      </c>
      <c r="D1739" s="20">
        <v>5955265</v>
      </c>
      <c r="E1739" s="27" t="s">
        <v>201</v>
      </c>
      <c r="F1739" s="7" t="s">
        <v>107</v>
      </c>
      <c r="G1739" s="7" t="s">
        <v>18</v>
      </c>
      <c r="H1739" s="7" t="s">
        <v>45</v>
      </c>
      <c r="I1739" s="20" t="s">
        <v>108</v>
      </c>
      <c r="J1739" s="20" t="s">
        <v>2693</v>
      </c>
      <c r="K1739" s="7" t="s">
        <v>110</v>
      </c>
      <c r="L1739" s="61">
        <v>45813</v>
      </c>
      <c r="M1739" s="7" t="s">
        <v>111</v>
      </c>
      <c r="N1739" s="61">
        <v>45813</v>
      </c>
      <c r="O1739" s="61">
        <v>45813</v>
      </c>
      <c r="P1739" s="59"/>
      <c r="Q1739" s="124" t="e">
        <f>P1739*#REF!</f>
        <v>#REF!</v>
      </c>
      <c r="R1739" s="126">
        <v>45814</v>
      </c>
      <c r="S1739" s="153">
        <f>IF(L1739="","",L1739-B1739)</f>
        <v>6</v>
      </c>
      <c r="T1739" s="153">
        <f>IF(N1739="","",N1739-L1739)</f>
        <v>0</v>
      </c>
      <c r="U1739" s="153">
        <f>IF(O1739="","",O1739-N1739)</f>
        <v>0</v>
      </c>
      <c r="V1739" s="154">
        <f>IF(O1739="","",O1739-B1739)</f>
        <v>6</v>
      </c>
      <c r="W1739" s="154">
        <f>IF(O1739="","",O1739-L1739)</f>
        <v>0</v>
      </c>
      <c r="X1739" s="154">
        <f>IF(R1739="","",R1739-B1739)</f>
        <v>7</v>
      </c>
    </row>
    <row r="1740" spans="2:24" ht="17.25" hidden="1" customHeight="1">
      <c r="B1740" s="23">
        <v>45807</v>
      </c>
      <c r="C1740" s="7">
        <v>2003693061</v>
      </c>
      <c r="D1740" s="20">
        <v>5955292</v>
      </c>
      <c r="E1740" s="27" t="s">
        <v>191</v>
      </c>
      <c r="F1740" s="7" t="s">
        <v>107</v>
      </c>
      <c r="G1740" s="7" t="s">
        <v>10</v>
      </c>
      <c r="H1740" s="7" t="s">
        <v>45</v>
      </c>
      <c r="I1740" s="20" t="s">
        <v>2694</v>
      </c>
      <c r="J1740" s="20" t="s">
        <v>2695</v>
      </c>
      <c r="K1740" s="7" t="s">
        <v>119</v>
      </c>
      <c r="L1740" s="61">
        <v>45810</v>
      </c>
      <c r="M1740" s="7" t="s">
        <v>111</v>
      </c>
      <c r="N1740" s="61">
        <v>45811</v>
      </c>
      <c r="O1740" s="58">
        <v>45813</v>
      </c>
      <c r="P1740" s="59"/>
      <c r="Q1740" s="124" t="e">
        <f>P1740*#REF!</f>
        <v>#REF!</v>
      </c>
      <c r="R1740" s="126">
        <v>45814</v>
      </c>
      <c r="S1740" s="153">
        <f>IF(L1740="","",L1740-B1740)</f>
        <v>3</v>
      </c>
      <c r="T1740" s="153">
        <f>IF(N1740="","",N1740-L1740)</f>
        <v>1</v>
      </c>
      <c r="U1740" s="153">
        <f>IF(O1740="","",O1740-N1740)</f>
        <v>2</v>
      </c>
      <c r="V1740" s="154">
        <f>IF(O1740="","",O1740-B1740)</f>
        <v>6</v>
      </c>
      <c r="W1740" s="154">
        <f>IF(O1740="","",O1740-L1740)</f>
        <v>3</v>
      </c>
      <c r="X1740" s="154">
        <f>IF(R1740="","",R1740-B1740)</f>
        <v>7</v>
      </c>
    </row>
    <row r="1741" spans="2:24" ht="17.25" hidden="1" customHeight="1">
      <c r="B1741" s="23">
        <v>45807</v>
      </c>
      <c r="C1741" s="7">
        <v>2003694691</v>
      </c>
      <c r="D1741" s="20">
        <v>5955339</v>
      </c>
      <c r="E1741" s="27" t="s">
        <v>1225</v>
      </c>
      <c r="F1741" s="7" t="s">
        <v>107</v>
      </c>
      <c r="G1741" s="7" t="s">
        <v>10</v>
      </c>
      <c r="H1741" s="7" t="s">
        <v>45</v>
      </c>
      <c r="I1741" s="20" t="s">
        <v>851</v>
      </c>
      <c r="J1741" s="20" t="s">
        <v>2616</v>
      </c>
      <c r="K1741" s="7" t="s">
        <v>119</v>
      </c>
      <c r="L1741" s="61">
        <v>45811</v>
      </c>
      <c r="M1741" s="7" t="s">
        <v>111</v>
      </c>
      <c r="N1741" s="61">
        <v>45811</v>
      </c>
      <c r="O1741" s="58">
        <v>45813</v>
      </c>
      <c r="P1741" s="59"/>
      <c r="Q1741" s="124" t="e">
        <f>P1741*#REF!</f>
        <v>#REF!</v>
      </c>
      <c r="R1741" s="126">
        <v>45814</v>
      </c>
      <c r="S1741" s="153">
        <f>IF(L1741="","",L1741-B1741)</f>
        <v>4</v>
      </c>
      <c r="T1741" s="153">
        <f>IF(N1741="","",N1741-L1741)</f>
        <v>0</v>
      </c>
      <c r="U1741" s="153">
        <f>IF(O1741="","",O1741-N1741)</f>
        <v>2</v>
      </c>
      <c r="V1741" s="154">
        <f>IF(O1741="","",O1741-B1741)</f>
        <v>6</v>
      </c>
      <c r="W1741" s="154">
        <f>IF(O1741="","",O1741-L1741)</f>
        <v>2</v>
      </c>
      <c r="X1741" s="154">
        <f>IF(R1741="","",R1741-B1741)</f>
        <v>7</v>
      </c>
    </row>
    <row r="1742" spans="2:24" ht="17.25" hidden="1" customHeight="1">
      <c r="B1742" s="23">
        <v>45807</v>
      </c>
      <c r="C1742" s="7">
        <v>2003701129</v>
      </c>
      <c r="D1742" s="20">
        <v>5955376</v>
      </c>
      <c r="E1742" s="27" t="s">
        <v>123</v>
      </c>
      <c r="F1742" s="7" t="s">
        <v>107</v>
      </c>
      <c r="G1742" s="7" t="s">
        <v>10</v>
      </c>
      <c r="H1742" s="7" t="s">
        <v>45</v>
      </c>
      <c r="I1742" s="20" t="s">
        <v>173</v>
      </c>
      <c r="J1742" s="20" t="s">
        <v>2696</v>
      </c>
      <c r="K1742" s="7" t="s">
        <v>119</v>
      </c>
      <c r="L1742" s="61">
        <v>45810</v>
      </c>
      <c r="M1742" s="7" t="s">
        <v>111</v>
      </c>
      <c r="N1742" s="61">
        <v>45813</v>
      </c>
      <c r="O1742" s="61">
        <v>45813</v>
      </c>
      <c r="P1742" s="59"/>
      <c r="Q1742" s="124" t="e">
        <f>P1742*#REF!</f>
        <v>#REF!</v>
      </c>
      <c r="R1742" s="126">
        <v>45814</v>
      </c>
      <c r="S1742" s="153">
        <f>IF(L1742="","",L1742-B1742)</f>
        <v>3</v>
      </c>
      <c r="T1742" s="153">
        <f>IF(N1742="","",N1742-L1742)</f>
        <v>3</v>
      </c>
      <c r="U1742" s="153">
        <f>IF(O1742="","",O1742-N1742)</f>
        <v>0</v>
      </c>
      <c r="V1742" s="154">
        <f>IF(O1742="","",O1742-B1742)</f>
        <v>6</v>
      </c>
      <c r="W1742" s="154">
        <f>IF(O1742="","",O1742-L1742)</f>
        <v>3</v>
      </c>
      <c r="X1742" s="154">
        <f>IF(R1742="","",R1742-B1742)</f>
        <v>7</v>
      </c>
    </row>
    <row r="1743" spans="2:24" ht="17.25" hidden="1" customHeight="1">
      <c r="B1743" s="23">
        <v>45807</v>
      </c>
      <c r="C1743" s="7">
        <v>2003694720</v>
      </c>
      <c r="D1743" s="20">
        <v>5955512</v>
      </c>
      <c r="E1743" s="27" t="s">
        <v>152</v>
      </c>
      <c r="F1743" s="7" t="s">
        <v>107</v>
      </c>
      <c r="G1743" s="7" t="s">
        <v>10</v>
      </c>
      <c r="H1743" s="7" t="s">
        <v>45</v>
      </c>
      <c r="I1743" s="20" t="s">
        <v>214</v>
      </c>
      <c r="J1743" s="20" t="s">
        <v>2697</v>
      </c>
      <c r="K1743" s="7" t="s">
        <v>119</v>
      </c>
      <c r="L1743" s="61">
        <v>45811</v>
      </c>
      <c r="M1743" s="7" t="s">
        <v>111</v>
      </c>
      <c r="N1743" s="61">
        <v>45811</v>
      </c>
      <c r="O1743" s="58">
        <v>45813</v>
      </c>
      <c r="P1743" s="59"/>
      <c r="Q1743" s="124" t="e">
        <f>P1743*#REF!</f>
        <v>#REF!</v>
      </c>
      <c r="R1743" s="126">
        <v>45814</v>
      </c>
      <c r="S1743" s="153">
        <f>IF(L1743="","",L1743-B1743)</f>
        <v>4</v>
      </c>
      <c r="T1743" s="153">
        <f>IF(N1743="","",N1743-L1743)</f>
        <v>0</v>
      </c>
      <c r="U1743" s="153">
        <f>IF(O1743="","",O1743-N1743)</f>
        <v>2</v>
      </c>
      <c r="V1743" s="154">
        <f>IF(O1743="","",O1743-B1743)</f>
        <v>6</v>
      </c>
      <c r="W1743" s="154">
        <f>IF(O1743="","",O1743-L1743)</f>
        <v>2</v>
      </c>
      <c r="X1743" s="154">
        <f>IF(R1743="","",R1743-B1743)</f>
        <v>7</v>
      </c>
    </row>
    <row r="1744" spans="2:24" ht="17.25" hidden="1" customHeight="1">
      <c r="B1744" s="23">
        <v>45807</v>
      </c>
      <c r="C1744" s="7">
        <v>2003701034</v>
      </c>
      <c r="D1744" s="20">
        <v>5955587</v>
      </c>
      <c r="E1744" s="27" t="s">
        <v>126</v>
      </c>
      <c r="F1744" s="7" t="s">
        <v>107</v>
      </c>
      <c r="G1744" s="7" t="s">
        <v>26</v>
      </c>
      <c r="H1744" s="7" t="s">
        <v>45</v>
      </c>
      <c r="I1744" s="20" t="s">
        <v>2698</v>
      </c>
      <c r="J1744" s="20" t="s">
        <v>2699</v>
      </c>
      <c r="K1744" s="7" t="s">
        <v>119</v>
      </c>
      <c r="L1744" s="61">
        <v>45810</v>
      </c>
      <c r="M1744" s="7" t="s">
        <v>111</v>
      </c>
      <c r="N1744" s="24">
        <v>45814</v>
      </c>
      <c r="O1744" s="58">
        <v>45814</v>
      </c>
      <c r="P1744" s="59"/>
      <c r="Q1744" s="124" t="e">
        <f>P1744*#REF!</f>
        <v>#REF!</v>
      </c>
      <c r="R1744" s="126">
        <v>45814</v>
      </c>
      <c r="S1744" s="153">
        <f>IF(L1744="","",L1744-B1744)</f>
        <v>3</v>
      </c>
      <c r="T1744" s="153">
        <f>IF(N1744="","",N1744-L1744)</f>
        <v>4</v>
      </c>
      <c r="U1744" s="153">
        <f>IF(O1744="","",O1744-N1744)</f>
        <v>0</v>
      </c>
      <c r="V1744" s="154">
        <f>IF(O1744="","",O1744-B1744)</f>
        <v>7</v>
      </c>
      <c r="W1744" s="154">
        <f>IF(O1744="","",O1744-L1744)</f>
        <v>4</v>
      </c>
      <c r="X1744" s="154">
        <f>IF(R1744="","",R1744-B1744)</f>
        <v>7</v>
      </c>
    </row>
    <row r="1745" spans="2:24" ht="17.25" hidden="1" customHeight="1">
      <c r="B1745" s="23">
        <v>45807</v>
      </c>
      <c r="C1745" s="7">
        <v>2003694006</v>
      </c>
      <c r="D1745" s="20">
        <v>5955594</v>
      </c>
      <c r="E1745" s="27" t="s">
        <v>191</v>
      </c>
      <c r="F1745" s="7" t="s">
        <v>107</v>
      </c>
      <c r="G1745" s="7" t="s">
        <v>10</v>
      </c>
      <c r="H1745" s="7" t="s">
        <v>45</v>
      </c>
      <c r="I1745" s="20" t="s">
        <v>2700</v>
      </c>
      <c r="J1745" s="20" t="s">
        <v>2701</v>
      </c>
      <c r="K1745" s="7" t="s">
        <v>119</v>
      </c>
      <c r="L1745" s="61">
        <v>45813</v>
      </c>
      <c r="M1745" s="7" t="s">
        <v>111</v>
      </c>
      <c r="N1745" s="24">
        <v>45817</v>
      </c>
      <c r="O1745" s="24">
        <v>45817</v>
      </c>
      <c r="P1745" s="59"/>
      <c r="Q1745" s="124" t="e">
        <f>P1745*#REF!</f>
        <v>#REF!</v>
      </c>
      <c r="R1745" s="126">
        <v>45820</v>
      </c>
      <c r="S1745" s="153">
        <f>IF(L1745="","",L1745-B1745)</f>
        <v>6</v>
      </c>
      <c r="T1745" s="153">
        <f>IF(N1745="","",N1745-L1745)</f>
        <v>4</v>
      </c>
      <c r="U1745" s="153">
        <f>IF(O1745="","",O1745-N1745)</f>
        <v>0</v>
      </c>
      <c r="V1745" s="154">
        <f>IF(O1745="","",O1745-B1745)</f>
        <v>10</v>
      </c>
      <c r="W1745" s="154">
        <f>IF(O1745="","",O1745-L1745)</f>
        <v>4</v>
      </c>
      <c r="X1745" s="154">
        <f>IF(R1745="","",R1745-B1745)</f>
        <v>13</v>
      </c>
    </row>
    <row r="1746" spans="2:24" ht="17.25" hidden="1" customHeight="1">
      <c r="B1746" s="23">
        <v>45807</v>
      </c>
      <c r="C1746" s="7">
        <v>2003664943</v>
      </c>
      <c r="D1746" s="20">
        <v>5955669</v>
      </c>
      <c r="E1746" s="27" t="s">
        <v>201</v>
      </c>
      <c r="F1746" s="7" t="s">
        <v>107</v>
      </c>
      <c r="G1746" s="7" t="s">
        <v>10</v>
      </c>
      <c r="H1746" s="7" t="s">
        <v>45</v>
      </c>
      <c r="I1746" s="20" t="s">
        <v>2702</v>
      </c>
      <c r="J1746" s="20" t="s">
        <v>2703</v>
      </c>
      <c r="K1746" s="7" t="s">
        <v>119</v>
      </c>
      <c r="L1746" s="61">
        <v>45812</v>
      </c>
      <c r="M1746" s="7" t="s">
        <v>111</v>
      </c>
      <c r="N1746" s="61">
        <v>45813</v>
      </c>
      <c r="O1746" s="61">
        <v>45813</v>
      </c>
      <c r="P1746" s="59"/>
      <c r="Q1746" s="124" t="e">
        <f>P1746*#REF!</f>
        <v>#REF!</v>
      </c>
      <c r="R1746" s="126">
        <v>45814</v>
      </c>
      <c r="S1746" s="153">
        <f>IF(L1746="","",L1746-B1746)</f>
        <v>5</v>
      </c>
      <c r="T1746" s="153">
        <f>IF(N1746="","",N1746-L1746)</f>
        <v>1</v>
      </c>
      <c r="U1746" s="153">
        <f>IF(O1746="","",O1746-N1746)</f>
        <v>0</v>
      </c>
      <c r="V1746" s="154">
        <f>IF(O1746="","",O1746-B1746)</f>
        <v>6</v>
      </c>
      <c r="W1746" s="154">
        <f>IF(O1746="","",O1746-L1746)</f>
        <v>1</v>
      </c>
      <c r="X1746" s="154">
        <f>IF(R1746="","",R1746-B1746)</f>
        <v>7</v>
      </c>
    </row>
    <row r="1747" spans="2:24" ht="17.25" hidden="1" customHeight="1">
      <c r="B1747" s="23">
        <v>45807</v>
      </c>
      <c r="C1747" s="7">
        <v>2003665978</v>
      </c>
      <c r="D1747" s="20">
        <v>5955680</v>
      </c>
      <c r="E1747" s="27" t="s">
        <v>123</v>
      </c>
      <c r="F1747" s="7" t="s">
        <v>107</v>
      </c>
      <c r="G1747" s="7" t="s">
        <v>10</v>
      </c>
      <c r="H1747" s="7" t="s">
        <v>45</v>
      </c>
      <c r="I1747" s="20" t="s">
        <v>2704</v>
      </c>
      <c r="J1747" s="20" t="s">
        <v>2705</v>
      </c>
      <c r="K1747" s="7" t="s">
        <v>119</v>
      </c>
      <c r="L1747" s="61">
        <v>45811</v>
      </c>
      <c r="M1747" s="7" t="s">
        <v>111</v>
      </c>
      <c r="N1747" s="61">
        <v>45812</v>
      </c>
      <c r="O1747" s="61">
        <v>45812</v>
      </c>
      <c r="P1747" s="59"/>
      <c r="Q1747" s="124" t="e">
        <f>P1747*#REF!</f>
        <v>#REF!</v>
      </c>
      <c r="R1747" s="126">
        <v>45814</v>
      </c>
      <c r="S1747" s="153">
        <f>IF(L1747="","",L1747-B1747)</f>
        <v>4</v>
      </c>
      <c r="T1747" s="153">
        <f>IF(N1747="","",N1747-L1747)</f>
        <v>1</v>
      </c>
      <c r="U1747" s="153">
        <f>IF(O1747="","",O1747-N1747)</f>
        <v>0</v>
      </c>
      <c r="V1747" s="154">
        <f>IF(O1747="","",O1747-B1747)</f>
        <v>5</v>
      </c>
      <c r="W1747" s="154">
        <f>IF(O1747="","",O1747-L1747)</f>
        <v>1</v>
      </c>
      <c r="X1747" s="154">
        <f>IF(R1747="","",R1747-B1747)</f>
        <v>7</v>
      </c>
    </row>
    <row r="1748" spans="2:24" ht="17.25" hidden="1" customHeight="1">
      <c r="B1748" s="23">
        <v>45807</v>
      </c>
      <c r="C1748" s="7">
        <v>2003701727</v>
      </c>
      <c r="D1748" s="20">
        <v>5955733</v>
      </c>
      <c r="E1748" s="27" t="s">
        <v>1225</v>
      </c>
      <c r="F1748" s="7" t="s">
        <v>107</v>
      </c>
      <c r="G1748" s="7" t="s">
        <v>10</v>
      </c>
      <c r="H1748" s="7" t="s">
        <v>45</v>
      </c>
      <c r="I1748" s="20" t="s">
        <v>2706</v>
      </c>
      <c r="J1748" s="20" t="s">
        <v>2707</v>
      </c>
      <c r="K1748" s="7" t="s">
        <v>119</v>
      </c>
      <c r="L1748" s="61">
        <v>45812</v>
      </c>
      <c r="M1748" s="7" t="s">
        <v>111</v>
      </c>
      <c r="N1748" s="61">
        <v>45812</v>
      </c>
      <c r="O1748" s="58">
        <v>45813</v>
      </c>
      <c r="P1748" s="59"/>
      <c r="Q1748" s="124" t="e">
        <f>P1748*#REF!</f>
        <v>#REF!</v>
      </c>
      <c r="R1748" s="126">
        <v>45814</v>
      </c>
      <c r="S1748" s="153">
        <f>IF(L1748="","",L1748-B1748)</f>
        <v>5</v>
      </c>
      <c r="T1748" s="153">
        <f>IF(N1748="","",N1748-L1748)</f>
        <v>0</v>
      </c>
      <c r="U1748" s="153">
        <f>IF(O1748="","",O1748-N1748)</f>
        <v>1</v>
      </c>
      <c r="V1748" s="154">
        <f>IF(O1748="","",O1748-B1748)</f>
        <v>6</v>
      </c>
      <c r="W1748" s="154">
        <f>IF(O1748="","",O1748-L1748)</f>
        <v>1</v>
      </c>
      <c r="X1748" s="154">
        <f>IF(R1748="","",R1748-B1748)</f>
        <v>7</v>
      </c>
    </row>
    <row r="1749" spans="2:24" ht="17.25" hidden="1" customHeight="1">
      <c r="B1749" s="23">
        <v>45807</v>
      </c>
      <c r="C1749" s="7">
        <v>2003692295</v>
      </c>
      <c r="D1749" s="20">
        <v>5955749</v>
      </c>
      <c r="E1749" s="27" t="s">
        <v>149</v>
      </c>
      <c r="F1749" s="7" t="s">
        <v>107</v>
      </c>
      <c r="G1749" s="7" t="s">
        <v>10</v>
      </c>
      <c r="H1749" s="7" t="s">
        <v>45</v>
      </c>
      <c r="I1749" s="20" t="s">
        <v>2708</v>
      </c>
      <c r="J1749" s="20" t="s">
        <v>2709</v>
      </c>
      <c r="K1749" s="7" t="s">
        <v>110</v>
      </c>
      <c r="L1749" s="61">
        <v>45812</v>
      </c>
      <c r="M1749" s="7" t="s">
        <v>111</v>
      </c>
      <c r="N1749" s="61">
        <v>45812</v>
      </c>
      <c r="O1749" s="61">
        <v>45812</v>
      </c>
      <c r="P1749" s="59"/>
      <c r="Q1749" s="124" t="e">
        <f>P1749*#REF!</f>
        <v>#REF!</v>
      </c>
      <c r="R1749" s="126">
        <v>45814</v>
      </c>
      <c r="S1749" s="153">
        <f>IF(L1749="","",L1749-B1749)</f>
        <v>5</v>
      </c>
      <c r="T1749" s="153">
        <f>IF(N1749="","",N1749-L1749)</f>
        <v>0</v>
      </c>
      <c r="U1749" s="153">
        <f>IF(O1749="","",O1749-N1749)</f>
        <v>0</v>
      </c>
      <c r="V1749" s="154">
        <f>IF(O1749="","",O1749-B1749)</f>
        <v>5</v>
      </c>
      <c r="W1749" s="154">
        <f>IF(O1749="","",O1749-L1749)</f>
        <v>0</v>
      </c>
      <c r="X1749" s="154">
        <f>IF(R1749="","",R1749-B1749)</f>
        <v>7</v>
      </c>
    </row>
    <row r="1750" spans="2:24" ht="17.25" hidden="1" customHeight="1">
      <c r="B1750" s="23">
        <v>45807</v>
      </c>
      <c r="C1750" s="7">
        <v>2003670372</v>
      </c>
      <c r="D1750" s="20">
        <v>5956080</v>
      </c>
      <c r="E1750" s="27" t="s">
        <v>191</v>
      </c>
      <c r="F1750" s="7" t="s">
        <v>107</v>
      </c>
      <c r="G1750" s="7" t="s">
        <v>10</v>
      </c>
      <c r="H1750" s="7" t="s">
        <v>45</v>
      </c>
      <c r="I1750" s="20" t="s">
        <v>2710</v>
      </c>
      <c r="J1750" s="20" t="s">
        <v>2711</v>
      </c>
      <c r="K1750" s="7" t="s">
        <v>119</v>
      </c>
      <c r="L1750" s="61">
        <v>45812</v>
      </c>
      <c r="M1750" s="7" t="s">
        <v>111</v>
      </c>
      <c r="N1750" s="61">
        <v>45812</v>
      </c>
      <c r="O1750" s="61">
        <v>45812</v>
      </c>
      <c r="P1750" s="59"/>
      <c r="Q1750" s="124" t="e">
        <f>P1750*#REF!</f>
        <v>#REF!</v>
      </c>
      <c r="R1750" s="126">
        <v>45814</v>
      </c>
      <c r="S1750" s="153">
        <f>IF(L1750="","",L1750-B1750)</f>
        <v>5</v>
      </c>
      <c r="T1750" s="153">
        <f>IF(N1750="","",N1750-L1750)</f>
        <v>0</v>
      </c>
      <c r="U1750" s="153">
        <f>IF(O1750="","",O1750-N1750)</f>
        <v>0</v>
      </c>
      <c r="V1750" s="154">
        <f>IF(O1750="","",O1750-B1750)</f>
        <v>5</v>
      </c>
      <c r="W1750" s="154">
        <f>IF(O1750="","",O1750-L1750)</f>
        <v>0</v>
      </c>
      <c r="X1750" s="154">
        <f>IF(R1750="","",R1750-B1750)</f>
        <v>7</v>
      </c>
    </row>
    <row r="1751" spans="2:24" ht="17.25" hidden="1" customHeight="1">
      <c r="B1751" s="23">
        <v>45807</v>
      </c>
      <c r="C1751" s="7">
        <v>2003619919</v>
      </c>
      <c r="D1751" s="20">
        <v>5956122</v>
      </c>
      <c r="E1751" s="27" t="s">
        <v>123</v>
      </c>
      <c r="F1751" s="7" t="s">
        <v>107</v>
      </c>
      <c r="G1751" s="7" t="s">
        <v>10</v>
      </c>
      <c r="H1751" s="7" t="s">
        <v>45</v>
      </c>
      <c r="I1751" s="20" t="s">
        <v>2712</v>
      </c>
      <c r="J1751" s="20" t="s">
        <v>2713</v>
      </c>
      <c r="K1751" s="7" t="s">
        <v>119</v>
      </c>
      <c r="L1751" s="61">
        <v>45810</v>
      </c>
      <c r="M1751" s="7" t="s">
        <v>111</v>
      </c>
      <c r="N1751" s="61">
        <v>45811</v>
      </c>
      <c r="O1751" s="61">
        <v>45811</v>
      </c>
      <c r="P1751" s="59"/>
      <c r="Q1751" s="124" t="e">
        <f>P1751*#REF!</f>
        <v>#REF!</v>
      </c>
      <c r="R1751" s="126">
        <v>45812</v>
      </c>
      <c r="S1751" s="153">
        <f>IF(L1751="","",L1751-B1751)</f>
        <v>3</v>
      </c>
      <c r="T1751" s="153">
        <f>IF(N1751="","",N1751-L1751)</f>
        <v>1</v>
      </c>
      <c r="U1751" s="153">
        <f>IF(O1751="","",O1751-N1751)</f>
        <v>0</v>
      </c>
      <c r="V1751" s="154">
        <f>IF(O1751="","",O1751-B1751)</f>
        <v>4</v>
      </c>
      <c r="W1751" s="154">
        <f>IF(O1751="","",O1751-L1751)</f>
        <v>1</v>
      </c>
      <c r="X1751" s="154">
        <f>IF(R1751="","",R1751-B1751)</f>
        <v>5</v>
      </c>
    </row>
    <row r="1752" spans="2:24" ht="17.25" hidden="1" customHeight="1">
      <c r="B1752" s="23">
        <v>45807</v>
      </c>
      <c r="C1752" s="7">
        <v>2003665636</v>
      </c>
      <c r="D1752" s="20">
        <v>5956296</v>
      </c>
      <c r="E1752" s="27" t="s">
        <v>198</v>
      </c>
      <c r="F1752" s="7" t="s">
        <v>107</v>
      </c>
      <c r="G1752" s="7" t="s">
        <v>18</v>
      </c>
      <c r="H1752" s="7" t="s">
        <v>45</v>
      </c>
      <c r="I1752" s="20" t="s">
        <v>2518</v>
      </c>
      <c r="J1752" s="20" t="s">
        <v>2389</v>
      </c>
      <c r="K1752" s="7" t="s">
        <v>119</v>
      </c>
      <c r="L1752" s="61">
        <v>45812</v>
      </c>
      <c r="M1752" s="7" t="s">
        <v>111</v>
      </c>
      <c r="N1752" s="61">
        <v>45812</v>
      </c>
      <c r="O1752" s="61">
        <v>45812</v>
      </c>
      <c r="P1752" s="59"/>
      <c r="Q1752" s="124" t="e">
        <f>P1752*#REF!</f>
        <v>#REF!</v>
      </c>
      <c r="R1752" s="126">
        <v>45814</v>
      </c>
      <c r="S1752" s="153">
        <f>IF(L1752="","",L1752-B1752)</f>
        <v>5</v>
      </c>
      <c r="T1752" s="153">
        <f>IF(N1752="","",N1752-L1752)</f>
        <v>0</v>
      </c>
      <c r="U1752" s="153">
        <f>IF(O1752="","",O1752-N1752)</f>
        <v>0</v>
      </c>
      <c r="V1752" s="154">
        <f>IF(O1752="","",O1752-B1752)</f>
        <v>5</v>
      </c>
      <c r="W1752" s="154">
        <f>IF(O1752="","",O1752-L1752)</f>
        <v>0</v>
      </c>
      <c r="X1752" s="154">
        <f>IF(R1752="","",R1752-B1752)</f>
        <v>7</v>
      </c>
    </row>
    <row r="1753" spans="2:24" ht="17.25" hidden="1" customHeight="1">
      <c r="B1753" s="23">
        <v>45807</v>
      </c>
      <c r="C1753" s="7">
        <v>2003672318</v>
      </c>
      <c r="D1753" s="20">
        <v>5956300</v>
      </c>
      <c r="E1753" s="27" t="s">
        <v>138</v>
      </c>
      <c r="F1753" s="7" t="s">
        <v>107</v>
      </c>
      <c r="G1753" s="7" t="s">
        <v>21</v>
      </c>
      <c r="H1753" s="7" t="s">
        <v>45</v>
      </c>
      <c r="I1753" s="20" t="s">
        <v>2714</v>
      </c>
      <c r="J1753" s="20" t="s">
        <v>2088</v>
      </c>
      <c r="K1753" s="7" t="s">
        <v>119</v>
      </c>
      <c r="L1753" s="61">
        <v>45810</v>
      </c>
      <c r="M1753" s="7" t="s">
        <v>111</v>
      </c>
      <c r="N1753" s="61">
        <v>45811</v>
      </c>
      <c r="O1753" s="58">
        <v>45813</v>
      </c>
      <c r="P1753" s="59"/>
      <c r="Q1753" s="124" t="e">
        <f>P1753*#REF!</f>
        <v>#REF!</v>
      </c>
      <c r="R1753" s="126">
        <v>45814</v>
      </c>
      <c r="S1753" s="153">
        <f>IF(L1753="","",L1753-B1753)</f>
        <v>3</v>
      </c>
      <c r="T1753" s="153">
        <f>IF(N1753="","",N1753-L1753)</f>
        <v>1</v>
      </c>
      <c r="U1753" s="153">
        <f>IF(O1753="","",O1753-N1753)</f>
        <v>2</v>
      </c>
      <c r="V1753" s="154">
        <f>IF(O1753="","",O1753-B1753)</f>
        <v>6</v>
      </c>
      <c r="W1753" s="154">
        <f>IF(O1753="","",O1753-L1753)</f>
        <v>3</v>
      </c>
      <c r="X1753" s="154">
        <f>IF(R1753="","",R1753-B1753)</f>
        <v>7</v>
      </c>
    </row>
    <row r="1754" spans="2:24" ht="17.25" hidden="1" customHeight="1">
      <c r="B1754" s="23">
        <v>45807</v>
      </c>
      <c r="C1754" s="7">
        <v>2003695260</v>
      </c>
      <c r="D1754" s="20">
        <v>5956310</v>
      </c>
      <c r="E1754" s="27" t="s">
        <v>138</v>
      </c>
      <c r="F1754" s="7" t="s">
        <v>107</v>
      </c>
      <c r="G1754" s="7" t="s">
        <v>10</v>
      </c>
      <c r="H1754" s="7" t="s">
        <v>45</v>
      </c>
      <c r="I1754" s="20" t="s">
        <v>2715</v>
      </c>
      <c r="J1754" s="20" t="s">
        <v>2716</v>
      </c>
      <c r="K1754" s="7" t="s">
        <v>119</v>
      </c>
      <c r="L1754" s="61">
        <v>45812</v>
      </c>
      <c r="M1754" s="7" t="s">
        <v>111</v>
      </c>
      <c r="N1754" s="61">
        <v>45812</v>
      </c>
      <c r="O1754" s="58">
        <v>45813</v>
      </c>
      <c r="P1754" s="59"/>
      <c r="Q1754" s="124" t="e">
        <f>P1754*#REF!</f>
        <v>#REF!</v>
      </c>
      <c r="R1754" s="126">
        <v>45814</v>
      </c>
      <c r="S1754" s="153">
        <f>IF(L1754="","",L1754-B1754)</f>
        <v>5</v>
      </c>
      <c r="T1754" s="153">
        <f>IF(N1754="","",N1754-L1754)</f>
        <v>0</v>
      </c>
      <c r="U1754" s="153">
        <f>IF(O1754="","",O1754-N1754)</f>
        <v>1</v>
      </c>
      <c r="V1754" s="154">
        <f>IF(O1754="","",O1754-B1754)</f>
        <v>6</v>
      </c>
      <c r="W1754" s="154">
        <f>IF(O1754="","",O1754-L1754)</f>
        <v>1</v>
      </c>
      <c r="X1754" s="154">
        <f>IF(R1754="","",R1754-B1754)</f>
        <v>7</v>
      </c>
    </row>
    <row r="1755" spans="2:24" ht="17.25" hidden="1" customHeight="1">
      <c r="B1755" s="23">
        <v>45807</v>
      </c>
      <c r="C1755" s="7">
        <v>2003703080</v>
      </c>
      <c r="D1755" s="20">
        <v>180367</v>
      </c>
      <c r="E1755" s="27" t="s">
        <v>149</v>
      </c>
      <c r="F1755" s="7" t="s">
        <v>107</v>
      </c>
      <c r="G1755" s="7" t="s">
        <v>18</v>
      </c>
      <c r="H1755" s="7" t="s">
        <v>45</v>
      </c>
      <c r="I1755" s="20" t="s">
        <v>214</v>
      </c>
      <c r="J1755" s="20" t="s">
        <v>2717</v>
      </c>
      <c r="K1755" s="7" t="s">
        <v>119</v>
      </c>
      <c r="L1755" s="61">
        <v>45811</v>
      </c>
      <c r="M1755" s="7" t="s">
        <v>111</v>
      </c>
      <c r="N1755" s="61">
        <v>45811</v>
      </c>
      <c r="O1755" s="58">
        <v>45813</v>
      </c>
      <c r="P1755" s="59"/>
      <c r="Q1755" s="124" t="e">
        <f>P1755*#REF!</f>
        <v>#REF!</v>
      </c>
      <c r="R1755" s="126">
        <v>45814</v>
      </c>
      <c r="S1755" s="153">
        <f>IF(L1755="","",L1755-B1755)</f>
        <v>4</v>
      </c>
      <c r="T1755" s="153">
        <f>IF(N1755="","",N1755-L1755)</f>
        <v>0</v>
      </c>
      <c r="U1755" s="153">
        <f>IF(O1755="","",O1755-N1755)</f>
        <v>2</v>
      </c>
      <c r="V1755" s="154">
        <f>IF(O1755="","",O1755-B1755)</f>
        <v>6</v>
      </c>
      <c r="W1755" s="154">
        <f>IF(O1755="","",O1755-L1755)</f>
        <v>2</v>
      </c>
      <c r="X1755" s="154">
        <f>IF(R1755="","",R1755-B1755)</f>
        <v>7</v>
      </c>
    </row>
    <row r="1756" spans="2:24" ht="17.25" hidden="1" customHeight="1">
      <c r="B1756" s="23">
        <v>45807</v>
      </c>
      <c r="C1756" s="7">
        <v>2003648104</v>
      </c>
      <c r="D1756" s="20">
        <v>180470</v>
      </c>
      <c r="E1756" s="27" t="s">
        <v>116</v>
      </c>
      <c r="F1756" s="7" t="s">
        <v>107</v>
      </c>
      <c r="G1756" s="7" t="s">
        <v>18</v>
      </c>
      <c r="H1756" s="7" t="s">
        <v>45</v>
      </c>
      <c r="I1756" s="20" t="s">
        <v>2718</v>
      </c>
      <c r="J1756" s="20" t="s">
        <v>2719</v>
      </c>
      <c r="K1756" s="7" t="s">
        <v>119</v>
      </c>
      <c r="L1756" s="61">
        <v>45813</v>
      </c>
      <c r="M1756" s="7" t="s">
        <v>111</v>
      </c>
      <c r="N1756" s="61">
        <v>45814</v>
      </c>
      <c r="O1756" s="58">
        <v>45817</v>
      </c>
      <c r="P1756" s="59"/>
      <c r="Q1756" s="124" t="e">
        <f>P1756*#REF!</f>
        <v>#REF!</v>
      </c>
      <c r="R1756" s="126">
        <v>45820</v>
      </c>
      <c r="S1756" s="153">
        <f>IF(L1756="","",L1756-B1756)</f>
        <v>6</v>
      </c>
      <c r="T1756" s="153">
        <f>IF(N1756="","",N1756-L1756)</f>
        <v>1</v>
      </c>
      <c r="U1756" s="153">
        <f>IF(O1756="","",O1756-N1756)</f>
        <v>3</v>
      </c>
      <c r="V1756" s="154">
        <f>IF(O1756="","",O1756-B1756)</f>
        <v>10</v>
      </c>
      <c r="W1756" s="154">
        <f>IF(O1756="","",O1756-L1756)</f>
        <v>4</v>
      </c>
      <c r="X1756" s="154">
        <f>IF(R1756="","",R1756-B1756)</f>
        <v>13</v>
      </c>
    </row>
    <row r="1757" spans="2:24" ht="17.25" hidden="1" customHeight="1">
      <c r="B1757" s="23">
        <v>45807</v>
      </c>
      <c r="C1757" s="7">
        <v>2003660634</v>
      </c>
      <c r="D1757" s="20">
        <v>180345</v>
      </c>
      <c r="E1757" s="27" t="s">
        <v>180</v>
      </c>
      <c r="F1757" s="7" t="s">
        <v>107</v>
      </c>
      <c r="G1757" s="7" t="s">
        <v>21</v>
      </c>
      <c r="H1757" s="7" t="s">
        <v>45</v>
      </c>
      <c r="I1757" s="20" t="s">
        <v>1075</v>
      </c>
      <c r="J1757" s="20" t="s">
        <v>1528</v>
      </c>
      <c r="K1757" s="7" t="s">
        <v>111</v>
      </c>
      <c r="L1757" s="61">
        <v>45810</v>
      </c>
      <c r="M1757" s="7" t="s">
        <v>111</v>
      </c>
      <c r="N1757" s="61">
        <v>45810</v>
      </c>
      <c r="O1757" s="61">
        <v>45811</v>
      </c>
      <c r="P1757" s="59"/>
      <c r="Q1757" s="124" t="e">
        <f>P1757*#REF!</f>
        <v>#REF!</v>
      </c>
      <c r="R1757" s="126">
        <v>45812</v>
      </c>
      <c r="S1757" s="153">
        <f>IF(L1757="","",L1757-B1757)</f>
        <v>3</v>
      </c>
      <c r="T1757" s="153">
        <f>IF(N1757="","",N1757-L1757)</f>
        <v>0</v>
      </c>
      <c r="U1757" s="153">
        <f>IF(O1757="","",O1757-N1757)</f>
        <v>1</v>
      </c>
      <c r="V1757" s="154">
        <f>IF(O1757="","",O1757-B1757)</f>
        <v>4</v>
      </c>
      <c r="W1757" s="154">
        <f>IF(O1757="","",O1757-L1757)</f>
        <v>1</v>
      </c>
      <c r="X1757" s="154">
        <f>IF(R1757="","",R1757-B1757)</f>
        <v>5</v>
      </c>
    </row>
    <row r="1758" spans="2:24" ht="17.25" hidden="1" customHeight="1">
      <c r="B1758" s="23">
        <v>45807</v>
      </c>
      <c r="C1758" s="7">
        <v>2003698523</v>
      </c>
      <c r="D1758" s="20">
        <v>180448</v>
      </c>
      <c r="E1758" s="27" t="s">
        <v>123</v>
      </c>
      <c r="F1758" s="7" t="s">
        <v>107</v>
      </c>
      <c r="G1758" s="7" t="s">
        <v>10</v>
      </c>
      <c r="H1758" s="7" t="s">
        <v>45</v>
      </c>
      <c r="I1758" s="20" t="s">
        <v>1843</v>
      </c>
      <c r="J1758" s="20" t="s">
        <v>2720</v>
      </c>
      <c r="K1758" s="7" t="s">
        <v>119</v>
      </c>
      <c r="L1758" s="61">
        <v>45810</v>
      </c>
      <c r="M1758" s="7" t="s">
        <v>111</v>
      </c>
      <c r="N1758" s="61">
        <v>45811</v>
      </c>
      <c r="O1758" s="58">
        <v>45813</v>
      </c>
      <c r="P1758" s="59"/>
      <c r="Q1758" s="124" t="e">
        <f>P1758*#REF!</f>
        <v>#REF!</v>
      </c>
      <c r="R1758" s="126">
        <v>45814</v>
      </c>
      <c r="S1758" s="153">
        <f>IF(L1758="","",L1758-B1758)</f>
        <v>3</v>
      </c>
      <c r="T1758" s="153">
        <f>IF(N1758="","",N1758-L1758)</f>
        <v>1</v>
      </c>
      <c r="U1758" s="153">
        <f>IF(O1758="","",O1758-N1758)</f>
        <v>2</v>
      </c>
      <c r="V1758" s="154">
        <f>IF(O1758="","",O1758-B1758)</f>
        <v>6</v>
      </c>
      <c r="W1758" s="154">
        <f>IF(O1758="","",O1758-L1758)</f>
        <v>3</v>
      </c>
      <c r="X1758" s="154">
        <f>IF(R1758="","",R1758-B1758)</f>
        <v>7</v>
      </c>
    </row>
    <row r="1759" spans="2:24" ht="17.25" hidden="1" customHeight="1">
      <c r="B1759" s="23">
        <v>45807</v>
      </c>
      <c r="C1759" s="7">
        <v>2003695533</v>
      </c>
      <c r="D1759" s="20">
        <v>180441</v>
      </c>
      <c r="E1759" s="27" t="s">
        <v>123</v>
      </c>
      <c r="F1759" s="7" t="s">
        <v>107</v>
      </c>
      <c r="G1759" s="7" t="s">
        <v>10</v>
      </c>
      <c r="H1759" s="7" t="s">
        <v>45</v>
      </c>
      <c r="I1759" s="20" t="s">
        <v>2721</v>
      </c>
      <c r="J1759" s="20" t="s">
        <v>2722</v>
      </c>
      <c r="K1759" s="7" t="s">
        <v>119</v>
      </c>
      <c r="L1759" s="61">
        <v>45811</v>
      </c>
      <c r="M1759" s="7" t="s">
        <v>111</v>
      </c>
      <c r="N1759" s="61">
        <v>45811</v>
      </c>
      <c r="O1759" s="58">
        <v>45813</v>
      </c>
      <c r="P1759" s="59"/>
      <c r="Q1759" s="124" t="e">
        <f>P1759*#REF!</f>
        <v>#REF!</v>
      </c>
      <c r="R1759" s="126">
        <v>45814</v>
      </c>
      <c r="S1759" s="153">
        <f>IF(L1759="","",L1759-B1759)</f>
        <v>4</v>
      </c>
      <c r="T1759" s="153">
        <f>IF(N1759="","",N1759-L1759)</f>
        <v>0</v>
      </c>
      <c r="U1759" s="153">
        <f>IF(O1759="","",O1759-N1759)</f>
        <v>2</v>
      </c>
      <c r="V1759" s="154">
        <f>IF(O1759="","",O1759-B1759)</f>
        <v>6</v>
      </c>
      <c r="W1759" s="154">
        <f>IF(O1759="","",O1759-L1759)</f>
        <v>2</v>
      </c>
      <c r="X1759" s="154">
        <f>IF(R1759="","",R1759-B1759)</f>
        <v>7</v>
      </c>
    </row>
    <row r="1760" spans="2:24" ht="17.25" hidden="1" customHeight="1">
      <c r="B1760" s="23">
        <v>45807</v>
      </c>
      <c r="C1760" s="7">
        <v>2003674271</v>
      </c>
      <c r="D1760" s="20">
        <v>180304</v>
      </c>
      <c r="E1760" s="27" t="s">
        <v>1225</v>
      </c>
      <c r="F1760" s="7" t="s">
        <v>107</v>
      </c>
      <c r="G1760" s="7" t="s">
        <v>10</v>
      </c>
      <c r="H1760" s="7" t="s">
        <v>45</v>
      </c>
      <c r="I1760" s="20" t="s">
        <v>1980</v>
      </c>
      <c r="J1760" s="20" t="s">
        <v>2723</v>
      </c>
      <c r="K1760" s="7" t="s">
        <v>110</v>
      </c>
      <c r="L1760" s="61">
        <v>45813</v>
      </c>
      <c r="M1760" s="7" t="s">
        <v>111</v>
      </c>
      <c r="N1760" s="61">
        <v>45813</v>
      </c>
      <c r="O1760" s="61">
        <v>45813</v>
      </c>
      <c r="P1760" s="59"/>
      <c r="Q1760" s="124" t="e">
        <f>P1760*#REF!</f>
        <v>#REF!</v>
      </c>
      <c r="R1760" s="126">
        <v>45814</v>
      </c>
      <c r="S1760" s="153">
        <f>IF(L1760="","",L1760-B1760)</f>
        <v>6</v>
      </c>
      <c r="T1760" s="153">
        <f>IF(N1760="","",N1760-L1760)</f>
        <v>0</v>
      </c>
      <c r="U1760" s="153">
        <f>IF(O1760="","",O1760-N1760)</f>
        <v>0</v>
      </c>
      <c r="V1760" s="154">
        <f>IF(O1760="","",O1760-B1760)</f>
        <v>6</v>
      </c>
      <c r="W1760" s="154">
        <f>IF(O1760="","",O1760-L1760)</f>
        <v>0</v>
      </c>
      <c r="X1760" s="154">
        <f>IF(R1760="","",R1760-B1760)</f>
        <v>7</v>
      </c>
    </row>
    <row r="1761" spans="2:24" ht="17.25" hidden="1" customHeight="1">
      <c r="B1761" s="23">
        <v>45807</v>
      </c>
      <c r="C1761" s="7">
        <v>2003669556</v>
      </c>
      <c r="D1761" s="20">
        <v>180271</v>
      </c>
      <c r="E1761" s="27" t="s">
        <v>191</v>
      </c>
      <c r="F1761" s="7" t="s">
        <v>107</v>
      </c>
      <c r="G1761" s="7" t="s">
        <v>26</v>
      </c>
      <c r="H1761" s="7" t="s">
        <v>45</v>
      </c>
      <c r="I1761" s="20" t="s">
        <v>587</v>
      </c>
      <c r="J1761" s="20" t="s">
        <v>2724</v>
      </c>
      <c r="K1761" s="7" t="s">
        <v>119</v>
      </c>
      <c r="L1761" s="61">
        <v>45811</v>
      </c>
      <c r="M1761" s="7" t="s">
        <v>111</v>
      </c>
      <c r="N1761" s="24">
        <v>45812</v>
      </c>
      <c r="O1761" s="58">
        <v>45812</v>
      </c>
      <c r="P1761" s="59"/>
      <c r="Q1761" s="124" t="e">
        <f>P1761*#REF!</f>
        <v>#REF!</v>
      </c>
      <c r="R1761" s="126">
        <v>45812</v>
      </c>
      <c r="S1761" s="153">
        <f>IF(L1761="","",L1761-B1761)</f>
        <v>4</v>
      </c>
      <c r="T1761" s="153">
        <f>IF(N1761="","",N1761-L1761)</f>
        <v>1</v>
      </c>
      <c r="U1761" s="153">
        <f>IF(O1761="","",O1761-N1761)</f>
        <v>0</v>
      </c>
      <c r="V1761" s="154">
        <f>IF(O1761="","",O1761-B1761)</f>
        <v>5</v>
      </c>
      <c r="W1761" s="154">
        <f>IF(O1761="","",O1761-L1761)</f>
        <v>1</v>
      </c>
      <c r="X1761" s="154">
        <f>IF(R1761="","",R1761-B1761)</f>
        <v>5</v>
      </c>
    </row>
    <row r="1762" spans="2:24" ht="17.25" hidden="1" customHeight="1">
      <c r="B1762" s="23">
        <v>45807</v>
      </c>
      <c r="C1762" s="7">
        <v>2003698785</v>
      </c>
      <c r="D1762" s="20">
        <v>179959</v>
      </c>
      <c r="E1762" s="27" t="s">
        <v>622</v>
      </c>
      <c r="F1762" s="7" t="s">
        <v>107</v>
      </c>
      <c r="G1762" s="7" t="s">
        <v>10</v>
      </c>
      <c r="H1762" s="7" t="s">
        <v>45</v>
      </c>
      <c r="I1762" s="20" t="s">
        <v>2725</v>
      </c>
      <c r="J1762" s="20" t="s">
        <v>2726</v>
      </c>
      <c r="K1762" s="7" t="s">
        <v>119</v>
      </c>
      <c r="L1762" s="61">
        <v>45811</v>
      </c>
      <c r="M1762" s="7" t="s">
        <v>111</v>
      </c>
      <c r="N1762" s="61">
        <v>45811</v>
      </c>
      <c r="O1762" s="58">
        <v>45813</v>
      </c>
      <c r="P1762" s="59"/>
      <c r="Q1762" s="124" t="e">
        <f>P1762*#REF!</f>
        <v>#REF!</v>
      </c>
      <c r="R1762" s="126">
        <v>45814</v>
      </c>
      <c r="S1762" s="153">
        <f>IF(L1762="","",L1762-B1762)</f>
        <v>4</v>
      </c>
      <c r="T1762" s="153">
        <f>IF(N1762="","",N1762-L1762)</f>
        <v>0</v>
      </c>
      <c r="U1762" s="153">
        <f>IF(O1762="","",O1762-N1762)</f>
        <v>2</v>
      </c>
      <c r="V1762" s="154">
        <f>IF(O1762="","",O1762-B1762)</f>
        <v>6</v>
      </c>
      <c r="W1762" s="154">
        <f>IF(O1762="","",O1762-L1762)</f>
        <v>2</v>
      </c>
      <c r="X1762" s="154">
        <f>IF(R1762="","",R1762-B1762)</f>
        <v>7</v>
      </c>
    </row>
    <row r="1763" spans="2:24" ht="17.25" hidden="1" customHeight="1">
      <c r="B1763" s="23">
        <v>45807</v>
      </c>
      <c r="C1763" s="7">
        <v>2003674559</v>
      </c>
      <c r="D1763" s="20">
        <v>180011</v>
      </c>
      <c r="E1763" s="27" t="s">
        <v>123</v>
      </c>
      <c r="F1763" s="7" t="s">
        <v>107</v>
      </c>
      <c r="G1763" s="7" t="s">
        <v>26</v>
      </c>
      <c r="H1763" s="7" t="s">
        <v>45</v>
      </c>
      <c r="I1763" s="20" t="s">
        <v>2727</v>
      </c>
      <c r="J1763" s="20" t="s">
        <v>2728</v>
      </c>
      <c r="K1763" s="7" t="s">
        <v>110</v>
      </c>
      <c r="L1763" s="61">
        <v>45811</v>
      </c>
      <c r="M1763" s="7" t="s">
        <v>111</v>
      </c>
      <c r="N1763" s="61">
        <v>45812</v>
      </c>
      <c r="O1763" s="58">
        <v>45812</v>
      </c>
      <c r="P1763" s="59"/>
      <c r="Q1763" s="124" t="e">
        <f>P1763*#REF!</f>
        <v>#REF!</v>
      </c>
      <c r="R1763" s="126">
        <v>45812</v>
      </c>
      <c r="S1763" s="153">
        <f>IF(L1763="","",L1763-B1763)</f>
        <v>4</v>
      </c>
      <c r="T1763" s="153">
        <f>IF(N1763="","",N1763-L1763)</f>
        <v>1</v>
      </c>
      <c r="U1763" s="153">
        <f>IF(O1763="","",O1763-N1763)</f>
        <v>0</v>
      </c>
      <c r="V1763" s="154">
        <f>IF(O1763="","",O1763-B1763)</f>
        <v>5</v>
      </c>
      <c r="W1763" s="154">
        <f>IF(O1763="","",O1763-L1763)</f>
        <v>1</v>
      </c>
      <c r="X1763" s="154">
        <f>IF(R1763="","",R1763-B1763)</f>
        <v>5</v>
      </c>
    </row>
    <row r="1764" spans="2:24" ht="17.25" hidden="1" customHeight="1">
      <c r="B1764" s="23">
        <v>45807</v>
      </c>
      <c r="C1764" s="7">
        <v>2003672470</v>
      </c>
      <c r="D1764" s="20">
        <v>180052</v>
      </c>
      <c r="E1764" s="27" t="s">
        <v>185</v>
      </c>
      <c r="F1764" s="7" t="s">
        <v>107</v>
      </c>
      <c r="G1764" s="7" t="s">
        <v>18</v>
      </c>
      <c r="H1764" s="7" t="s">
        <v>45</v>
      </c>
      <c r="I1764" s="20" t="s">
        <v>596</v>
      </c>
      <c r="J1764" s="20" t="s">
        <v>1914</v>
      </c>
      <c r="K1764" s="7" t="s">
        <v>119</v>
      </c>
      <c r="L1764" s="61">
        <v>45810</v>
      </c>
      <c r="M1764" s="7" t="s">
        <v>111</v>
      </c>
      <c r="N1764" s="61">
        <v>45811</v>
      </c>
      <c r="O1764" s="61">
        <v>45811</v>
      </c>
      <c r="P1764" s="59"/>
      <c r="Q1764" s="124" t="e">
        <f>P1764*#REF!</f>
        <v>#REF!</v>
      </c>
      <c r="R1764" s="126">
        <v>45812</v>
      </c>
      <c r="S1764" s="153">
        <f>IF(L1764="","",L1764-B1764)</f>
        <v>3</v>
      </c>
      <c r="T1764" s="153">
        <f>IF(N1764="","",N1764-L1764)</f>
        <v>1</v>
      </c>
      <c r="U1764" s="153">
        <f>IF(O1764="","",O1764-N1764)</f>
        <v>0</v>
      </c>
      <c r="V1764" s="154">
        <f>IF(O1764="","",O1764-B1764)</f>
        <v>4</v>
      </c>
      <c r="W1764" s="154">
        <f>IF(O1764="","",O1764-L1764)</f>
        <v>1</v>
      </c>
      <c r="X1764" s="154">
        <f>IF(R1764="","",R1764-B1764)</f>
        <v>5</v>
      </c>
    </row>
    <row r="1765" spans="2:24" ht="17.25" hidden="1" customHeight="1">
      <c r="B1765" s="23">
        <v>45810</v>
      </c>
      <c r="C1765" s="7">
        <v>2003667283</v>
      </c>
      <c r="D1765" s="20">
        <v>5956845</v>
      </c>
      <c r="E1765" s="27" t="s">
        <v>408</v>
      </c>
      <c r="F1765" s="7" t="s">
        <v>107</v>
      </c>
      <c r="G1765" s="7" t="s">
        <v>10</v>
      </c>
      <c r="H1765" s="7" t="s">
        <v>45</v>
      </c>
      <c r="I1765" s="20" t="s">
        <v>2729</v>
      </c>
      <c r="J1765" s="20" t="s">
        <v>2730</v>
      </c>
      <c r="K1765" s="7" t="s">
        <v>119</v>
      </c>
      <c r="L1765" s="61">
        <v>45813</v>
      </c>
      <c r="M1765" s="7" t="s">
        <v>111</v>
      </c>
      <c r="N1765" s="61">
        <v>45813</v>
      </c>
      <c r="O1765" s="58">
        <v>45814</v>
      </c>
      <c r="P1765" s="59"/>
      <c r="Q1765" s="124" t="e">
        <f>P1765*#REF!</f>
        <v>#REF!</v>
      </c>
      <c r="R1765" s="126">
        <v>45814</v>
      </c>
      <c r="S1765" s="153">
        <f>IF(L1765="","",L1765-B1765)</f>
        <v>3</v>
      </c>
      <c r="T1765" s="153">
        <f>IF(N1765="","",N1765-L1765)</f>
        <v>0</v>
      </c>
      <c r="U1765" s="153">
        <f>IF(O1765="","",O1765-N1765)</f>
        <v>1</v>
      </c>
      <c r="V1765" s="154">
        <f>IF(O1765="","",O1765-B1765)</f>
        <v>4</v>
      </c>
      <c r="W1765" s="154">
        <f>IF(O1765="","",O1765-L1765)</f>
        <v>1</v>
      </c>
      <c r="X1765" s="154">
        <f>IF(R1765="","",R1765-B1765)</f>
        <v>4</v>
      </c>
    </row>
    <row r="1766" spans="2:24" ht="17.25" hidden="1" customHeight="1">
      <c r="B1766" s="23">
        <v>45810</v>
      </c>
      <c r="C1766" s="7">
        <v>2003701975</v>
      </c>
      <c r="D1766" s="20">
        <v>5956879</v>
      </c>
      <c r="E1766" s="27" t="s">
        <v>1225</v>
      </c>
      <c r="F1766" s="7" t="s">
        <v>107</v>
      </c>
      <c r="G1766" s="7" t="s">
        <v>10</v>
      </c>
      <c r="H1766" s="7" t="s">
        <v>45</v>
      </c>
      <c r="I1766" s="20" t="s">
        <v>897</v>
      </c>
      <c r="J1766" s="20" t="s">
        <v>2731</v>
      </c>
      <c r="K1766" s="7" t="s">
        <v>119</v>
      </c>
      <c r="L1766" s="61">
        <v>45812</v>
      </c>
      <c r="M1766" s="7" t="s">
        <v>111</v>
      </c>
      <c r="N1766" s="61">
        <v>45812</v>
      </c>
      <c r="O1766" s="58">
        <v>45813</v>
      </c>
      <c r="P1766" s="59"/>
      <c r="Q1766" s="124" t="e">
        <f>P1766*#REF!</f>
        <v>#REF!</v>
      </c>
      <c r="R1766" s="126">
        <v>45814</v>
      </c>
      <c r="S1766" s="153">
        <f>IF(L1766="","",L1766-B1766)</f>
        <v>2</v>
      </c>
      <c r="T1766" s="153">
        <f>IF(N1766="","",N1766-L1766)</f>
        <v>0</v>
      </c>
      <c r="U1766" s="153">
        <f>IF(O1766="","",O1766-N1766)</f>
        <v>1</v>
      </c>
      <c r="V1766" s="154">
        <f>IF(O1766="","",O1766-B1766)</f>
        <v>3</v>
      </c>
      <c r="W1766" s="154">
        <f>IF(O1766="","",O1766-L1766)</f>
        <v>1</v>
      </c>
      <c r="X1766" s="154">
        <f>IF(R1766="","",R1766-B1766)</f>
        <v>4</v>
      </c>
    </row>
    <row r="1767" spans="2:24" ht="17.25" hidden="1" customHeight="1">
      <c r="B1767" s="23">
        <v>45810</v>
      </c>
      <c r="C1767" s="7">
        <v>2003691854</v>
      </c>
      <c r="D1767" s="20">
        <v>5957038</v>
      </c>
      <c r="E1767" s="27" t="s">
        <v>106</v>
      </c>
      <c r="F1767" s="7" t="s">
        <v>107</v>
      </c>
      <c r="G1767" s="7" t="s">
        <v>10</v>
      </c>
      <c r="H1767" s="7" t="s">
        <v>45</v>
      </c>
      <c r="I1767" s="20" t="s">
        <v>2732</v>
      </c>
      <c r="J1767" s="20" t="s">
        <v>2649</v>
      </c>
      <c r="K1767" s="7" t="s">
        <v>119</v>
      </c>
      <c r="L1767" s="61">
        <v>45812</v>
      </c>
      <c r="M1767" s="7" t="s">
        <v>111</v>
      </c>
      <c r="N1767" s="61">
        <v>45812</v>
      </c>
      <c r="O1767" s="58">
        <v>45813</v>
      </c>
      <c r="P1767" s="59"/>
      <c r="Q1767" s="124" t="e">
        <f>P1767*#REF!</f>
        <v>#REF!</v>
      </c>
      <c r="R1767" s="126">
        <v>45814</v>
      </c>
      <c r="S1767" s="153">
        <f>IF(L1767="","",L1767-B1767)</f>
        <v>2</v>
      </c>
      <c r="T1767" s="153">
        <f>IF(N1767="","",N1767-L1767)</f>
        <v>0</v>
      </c>
      <c r="U1767" s="153">
        <f>IF(O1767="","",O1767-N1767)</f>
        <v>1</v>
      </c>
      <c r="V1767" s="154">
        <f>IF(O1767="","",O1767-B1767)</f>
        <v>3</v>
      </c>
      <c r="W1767" s="154">
        <f>IF(O1767="","",O1767-L1767)</f>
        <v>1</v>
      </c>
      <c r="X1767" s="154">
        <f>IF(R1767="","",R1767-B1767)</f>
        <v>4</v>
      </c>
    </row>
    <row r="1768" spans="2:24" ht="17.25" hidden="1" customHeight="1">
      <c r="B1768" s="23">
        <v>45810</v>
      </c>
      <c r="C1768" s="7">
        <v>2003671196</v>
      </c>
      <c r="D1768" s="20">
        <v>5957072</v>
      </c>
      <c r="E1768" s="27" t="s">
        <v>129</v>
      </c>
      <c r="F1768" s="7" t="s">
        <v>107</v>
      </c>
      <c r="G1768" s="7" t="s">
        <v>30</v>
      </c>
      <c r="H1768" s="7" t="s">
        <v>45</v>
      </c>
      <c r="I1768" s="20" t="s">
        <v>2733</v>
      </c>
      <c r="J1768" s="20" t="s">
        <v>2734</v>
      </c>
      <c r="K1768" s="7" t="s">
        <v>111</v>
      </c>
      <c r="L1768" s="61">
        <v>45811</v>
      </c>
      <c r="M1768" s="7" t="s">
        <v>111</v>
      </c>
      <c r="N1768" s="61">
        <v>45811</v>
      </c>
      <c r="O1768" s="58">
        <v>45833</v>
      </c>
      <c r="P1768" s="59"/>
      <c r="Q1768" s="124" t="e">
        <f>P1768*#REF!</f>
        <v>#REF!</v>
      </c>
      <c r="S1768" s="153">
        <f>IF(L1768="","",L1768-B1768)</f>
        <v>1</v>
      </c>
      <c r="T1768" s="153">
        <f>IF(N1768="","",N1768-L1768)</f>
        <v>0</v>
      </c>
      <c r="U1768" s="153">
        <f>IF(O1768="","",O1768-N1768)</f>
        <v>22</v>
      </c>
      <c r="V1768" s="154">
        <f>IF(O1768="","",O1768-B1768)</f>
        <v>23</v>
      </c>
      <c r="W1768" s="154">
        <f>IF(O1768="","",O1768-L1768)</f>
        <v>22</v>
      </c>
      <c r="X1768" s="154" t="str">
        <f>IF(R1768="","",R1768-B1768)</f>
        <v/>
      </c>
    </row>
    <row r="1769" spans="2:24" ht="17.25" hidden="1" customHeight="1">
      <c r="B1769" s="23">
        <v>45810</v>
      </c>
      <c r="C1769" s="7">
        <v>2003666993</v>
      </c>
      <c r="D1769" s="20">
        <v>5957325</v>
      </c>
      <c r="E1769" s="27" t="s">
        <v>191</v>
      </c>
      <c r="F1769" s="7" t="s">
        <v>107</v>
      </c>
      <c r="G1769" s="7" t="s">
        <v>18</v>
      </c>
      <c r="H1769" s="7" t="s">
        <v>45</v>
      </c>
      <c r="I1769" s="20" t="s">
        <v>2735</v>
      </c>
      <c r="J1769" s="20" t="s">
        <v>2736</v>
      </c>
      <c r="K1769" s="7" t="s">
        <v>110</v>
      </c>
      <c r="L1769" s="61">
        <v>45812</v>
      </c>
      <c r="M1769" s="7" t="s">
        <v>111</v>
      </c>
      <c r="N1769" s="61">
        <v>45812</v>
      </c>
      <c r="O1769" s="58">
        <v>45814</v>
      </c>
      <c r="P1769" s="59"/>
      <c r="Q1769" s="124" t="e">
        <f>P1769*#REF!</f>
        <v>#REF!</v>
      </c>
      <c r="R1769" s="126">
        <v>45814</v>
      </c>
      <c r="S1769" s="153">
        <f>IF(L1769="","",L1769-B1769)</f>
        <v>2</v>
      </c>
      <c r="T1769" s="153">
        <f>IF(N1769="","",N1769-L1769)</f>
        <v>0</v>
      </c>
      <c r="U1769" s="153">
        <f>IF(O1769="","",O1769-N1769)</f>
        <v>2</v>
      </c>
      <c r="V1769" s="154">
        <f>IF(O1769="","",O1769-B1769)</f>
        <v>4</v>
      </c>
      <c r="W1769" s="154">
        <f>IF(O1769="","",O1769-L1769)</f>
        <v>2</v>
      </c>
      <c r="X1769" s="154">
        <f>IF(R1769="","",R1769-B1769)</f>
        <v>4</v>
      </c>
    </row>
    <row r="1770" spans="2:24" ht="17.25" hidden="1" customHeight="1">
      <c r="B1770" s="23">
        <v>45810</v>
      </c>
      <c r="C1770" s="7">
        <v>2003442453</v>
      </c>
      <c r="D1770" s="20">
        <v>5957389</v>
      </c>
      <c r="E1770" s="27" t="s">
        <v>201</v>
      </c>
      <c r="F1770" s="7" t="s">
        <v>107</v>
      </c>
      <c r="G1770" s="7" t="s">
        <v>10</v>
      </c>
      <c r="H1770" s="7" t="s">
        <v>45</v>
      </c>
      <c r="I1770" s="20" t="s">
        <v>540</v>
      </c>
      <c r="J1770" s="20" t="s">
        <v>2378</v>
      </c>
      <c r="K1770" s="7" t="s">
        <v>110</v>
      </c>
      <c r="L1770" s="61">
        <v>45813</v>
      </c>
      <c r="M1770" s="7" t="s">
        <v>111</v>
      </c>
      <c r="N1770" s="61">
        <v>45813</v>
      </c>
      <c r="O1770" s="58">
        <v>45814</v>
      </c>
      <c r="P1770" s="59"/>
      <c r="Q1770" s="124" t="e">
        <f>P1770*#REF!</f>
        <v>#REF!</v>
      </c>
      <c r="R1770" s="126">
        <v>45814</v>
      </c>
      <c r="S1770" s="153">
        <f>IF(L1770="","",L1770-B1770)</f>
        <v>3</v>
      </c>
      <c r="T1770" s="153">
        <f>IF(N1770="","",N1770-L1770)</f>
        <v>0</v>
      </c>
      <c r="U1770" s="153">
        <f>IF(O1770="","",O1770-N1770)</f>
        <v>1</v>
      </c>
      <c r="V1770" s="154">
        <f>IF(O1770="","",O1770-B1770)</f>
        <v>4</v>
      </c>
      <c r="W1770" s="154">
        <f>IF(O1770="","",O1770-L1770)</f>
        <v>1</v>
      </c>
      <c r="X1770" s="154">
        <f>IF(R1770="","",R1770-B1770)</f>
        <v>4</v>
      </c>
    </row>
    <row r="1771" spans="2:24" ht="17.25" hidden="1" customHeight="1">
      <c r="B1771" s="23">
        <v>45810</v>
      </c>
      <c r="C1771" s="7">
        <v>2003697009</v>
      </c>
      <c r="D1771" s="20">
        <v>5957524</v>
      </c>
      <c r="E1771" s="27" t="s">
        <v>149</v>
      </c>
      <c r="F1771" s="7" t="s">
        <v>107</v>
      </c>
      <c r="G1771" s="7" t="s">
        <v>10</v>
      </c>
      <c r="H1771" s="7" t="s">
        <v>45</v>
      </c>
      <c r="I1771" s="20" t="s">
        <v>569</v>
      </c>
      <c r="J1771" s="20" t="s">
        <v>2737</v>
      </c>
      <c r="K1771" s="7" t="s">
        <v>110</v>
      </c>
      <c r="L1771" s="61">
        <v>45812</v>
      </c>
      <c r="M1771" s="7" t="s">
        <v>111</v>
      </c>
      <c r="N1771" s="61">
        <v>45812</v>
      </c>
      <c r="O1771" s="58">
        <v>45813</v>
      </c>
      <c r="P1771" s="59"/>
      <c r="Q1771" s="124" t="e">
        <f>P1771*#REF!</f>
        <v>#REF!</v>
      </c>
      <c r="R1771" s="126">
        <v>45814</v>
      </c>
      <c r="S1771" s="153">
        <f>IF(L1771="","",L1771-B1771)</f>
        <v>2</v>
      </c>
      <c r="T1771" s="153">
        <f>IF(N1771="","",N1771-L1771)</f>
        <v>0</v>
      </c>
      <c r="U1771" s="153">
        <f>IF(O1771="","",O1771-N1771)</f>
        <v>1</v>
      </c>
      <c r="V1771" s="154">
        <f>IF(O1771="","",O1771-B1771)</f>
        <v>3</v>
      </c>
      <c r="W1771" s="154">
        <f>IF(O1771="","",O1771-L1771)</f>
        <v>1</v>
      </c>
      <c r="X1771" s="154">
        <f>IF(R1771="","",R1771-B1771)</f>
        <v>4</v>
      </c>
    </row>
    <row r="1772" spans="2:24" ht="17.25" hidden="1" customHeight="1">
      <c r="B1772" s="23">
        <v>45810</v>
      </c>
      <c r="C1772" s="7">
        <v>2003668053</v>
      </c>
      <c r="D1772" s="20">
        <v>180924</v>
      </c>
      <c r="E1772" s="27" t="s">
        <v>129</v>
      </c>
      <c r="F1772" s="7" t="s">
        <v>107</v>
      </c>
      <c r="G1772" s="7" t="s">
        <v>10</v>
      </c>
      <c r="H1772" s="7" t="s">
        <v>45</v>
      </c>
      <c r="I1772" s="20" t="s">
        <v>524</v>
      </c>
      <c r="J1772" s="20" t="s">
        <v>1741</v>
      </c>
      <c r="K1772" s="7" t="s">
        <v>146</v>
      </c>
      <c r="L1772" s="61">
        <v>45810</v>
      </c>
      <c r="M1772" s="7" t="s">
        <v>146</v>
      </c>
      <c r="N1772" s="24">
        <v>45810</v>
      </c>
      <c r="O1772" s="58">
        <v>45812</v>
      </c>
      <c r="P1772" s="59"/>
      <c r="Q1772" s="124" t="e">
        <f>P1772*#REF!</f>
        <v>#REF!</v>
      </c>
      <c r="R1772" s="126">
        <v>45812</v>
      </c>
      <c r="S1772" s="153">
        <f>IF(L1772="","",L1772-B1772)</f>
        <v>0</v>
      </c>
      <c r="T1772" s="153">
        <f>IF(N1772="","",N1772-L1772)</f>
        <v>0</v>
      </c>
      <c r="U1772" s="153">
        <f>IF(O1772="","",O1772-N1772)</f>
        <v>2</v>
      </c>
      <c r="V1772" s="154">
        <f>IF(O1772="","",O1772-B1772)</f>
        <v>2</v>
      </c>
      <c r="W1772" s="154">
        <f>IF(O1772="","",O1772-L1772)</f>
        <v>2</v>
      </c>
      <c r="X1772" s="154">
        <f>IF(R1772="","",R1772-B1772)</f>
        <v>2</v>
      </c>
    </row>
    <row r="1773" spans="2:24" ht="17.25" hidden="1" customHeight="1">
      <c r="B1773" s="23">
        <v>45810</v>
      </c>
      <c r="C1773" s="7">
        <v>2003683815</v>
      </c>
      <c r="D1773" s="20">
        <v>181796</v>
      </c>
      <c r="E1773" s="27" t="s">
        <v>566</v>
      </c>
      <c r="F1773" s="7" t="s">
        <v>107</v>
      </c>
      <c r="G1773" s="7" t="s">
        <v>10</v>
      </c>
      <c r="H1773" s="7" t="s">
        <v>45</v>
      </c>
      <c r="I1773" s="20" t="s">
        <v>2738</v>
      </c>
      <c r="J1773" s="20" t="s">
        <v>2739</v>
      </c>
      <c r="K1773" s="7" t="s">
        <v>110</v>
      </c>
      <c r="L1773" s="61">
        <v>45813</v>
      </c>
      <c r="M1773" s="7" t="s">
        <v>111</v>
      </c>
      <c r="N1773" s="61">
        <v>45813</v>
      </c>
      <c r="O1773" s="61">
        <v>45813</v>
      </c>
      <c r="P1773" s="59"/>
      <c r="Q1773" s="124" t="e">
        <f>P1773*#REF!</f>
        <v>#REF!</v>
      </c>
      <c r="R1773" s="126">
        <v>45814</v>
      </c>
      <c r="S1773" s="153">
        <f>IF(L1773="","",L1773-B1773)</f>
        <v>3</v>
      </c>
      <c r="T1773" s="153">
        <f>IF(N1773="","",N1773-L1773)</f>
        <v>0</v>
      </c>
      <c r="U1773" s="153">
        <f>IF(O1773="","",O1773-N1773)</f>
        <v>0</v>
      </c>
      <c r="V1773" s="154">
        <f>IF(O1773="","",O1773-B1773)</f>
        <v>3</v>
      </c>
      <c r="W1773" s="154">
        <f>IF(O1773="","",O1773-L1773)</f>
        <v>0</v>
      </c>
      <c r="X1773" s="154">
        <f>IF(R1773="","",R1773-B1773)</f>
        <v>4</v>
      </c>
    </row>
    <row r="1774" spans="2:24" ht="17.25" hidden="1" customHeight="1">
      <c r="B1774" s="23">
        <v>45810</v>
      </c>
      <c r="C1774" s="7">
        <v>2003701622</v>
      </c>
      <c r="D1774" s="20">
        <v>181762</v>
      </c>
      <c r="E1774" s="27" t="s">
        <v>112</v>
      </c>
      <c r="F1774" s="7" t="s">
        <v>107</v>
      </c>
      <c r="G1774" s="7" t="s">
        <v>10</v>
      </c>
      <c r="H1774" s="7" t="s">
        <v>45</v>
      </c>
      <c r="I1774" s="20" t="s">
        <v>2740</v>
      </c>
      <c r="J1774" s="20" t="s">
        <v>2741</v>
      </c>
      <c r="K1774" s="7" t="s">
        <v>119</v>
      </c>
      <c r="L1774" s="61">
        <v>45812</v>
      </c>
      <c r="M1774" s="7" t="s">
        <v>111</v>
      </c>
      <c r="N1774" s="61">
        <v>45819</v>
      </c>
      <c r="O1774" s="61">
        <v>45819</v>
      </c>
      <c r="P1774" s="59"/>
      <c r="Q1774" s="124" t="e">
        <f>P1774*#REF!</f>
        <v>#REF!</v>
      </c>
      <c r="R1774" s="126">
        <v>45820</v>
      </c>
      <c r="S1774" s="153">
        <f>IF(L1774="","",L1774-B1774)</f>
        <v>2</v>
      </c>
      <c r="T1774" s="153">
        <f>IF(N1774="","",N1774-L1774)</f>
        <v>7</v>
      </c>
      <c r="U1774" s="153">
        <f>IF(O1774="","",O1774-N1774)</f>
        <v>0</v>
      </c>
      <c r="V1774" s="154">
        <f>IF(O1774="","",O1774-B1774)</f>
        <v>9</v>
      </c>
      <c r="W1774" s="154">
        <f>IF(O1774="","",O1774-L1774)</f>
        <v>7</v>
      </c>
      <c r="X1774" s="154">
        <f>IF(R1774="","",R1774-B1774)</f>
        <v>10</v>
      </c>
    </row>
    <row r="1775" spans="2:24" ht="17.25" hidden="1" customHeight="1">
      <c r="B1775" s="23">
        <v>45810</v>
      </c>
      <c r="C1775" s="7">
        <v>2003702584</v>
      </c>
      <c r="D1775" s="20">
        <v>181735</v>
      </c>
      <c r="E1775" s="27" t="s">
        <v>126</v>
      </c>
      <c r="F1775" s="7" t="s">
        <v>107</v>
      </c>
      <c r="G1775" s="7" t="s">
        <v>10</v>
      </c>
      <c r="H1775" s="7" t="s">
        <v>45</v>
      </c>
      <c r="I1775" s="20" t="s">
        <v>2742</v>
      </c>
      <c r="J1775" s="20" t="s">
        <v>2743</v>
      </c>
      <c r="K1775" s="7" t="s">
        <v>110</v>
      </c>
      <c r="L1775" s="61">
        <v>45812</v>
      </c>
      <c r="M1775" s="7" t="s">
        <v>111</v>
      </c>
      <c r="N1775" s="61">
        <v>45812</v>
      </c>
      <c r="O1775" s="61">
        <v>45812</v>
      </c>
      <c r="P1775" s="59"/>
      <c r="Q1775" s="124" t="e">
        <f>P1775*#REF!</f>
        <v>#REF!</v>
      </c>
      <c r="R1775" s="126">
        <v>45814</v>
      </c>
      <c r="S1775" s="153">
        <f>IF(L1775="","",L1775-B1775)</f>
        <v>2</v>
      </c>
      <c r="T1775" s="153">
        <f>IF(N1775="","",N1775-L1775)</f>
        <v>0</v>
      </c>
      <c r="U1775" s="153">
        <f>IF(O1775="","",O1775-N1775)</f>
        <v>0</v>
      </c>
      <c r="V1775" s="154">
        <f>IF(O1775="","",O1775-B1775)</f>
        <v>2</v>
      </c>
      <c r="W1775" s="154">
        <f>IF(O1775="","",O1775-L1775)</f>
        <v>0</v>
      </c>
      <c r="X1775" s="154">
        <f>IF(R1775="","",R1775-B1775)</f>
        <v>4</v>
      </c>
    </row>
    <row r="1776" spans="2:24" ht="17.25" hidden="1" customHeight="1">
      <c r="B1776" s="23">
        <v>45810</v>
      </c>
      <c r="C1776" s="7">
        <v>2003678791</v>
      </c>
      <c r="D1776" s="20">
        <v>181600</v>
      </c>
      <c r="E1776" s="27" t="s">
        <v>191</v>
      </c>
      <c r="F1776" s="7" t="s">
        <v>107</v>
      </c>
      <c r="G1776" s="7" t="s">
        <v>26</v>
      </c>
      <c r="H1776" s="7" t="s">
        <v>45</v>
      </c>
      <c r="I1776" s="20" t="s">
        <v>2744</v>
      </c>
      <c r="J1776" s="20" t="s">
        <v>2745</v>
      </c>
      <c r="K1776" s="7" t="s">
        <v>119</v>
      </c>
      <c r="L1776" s="61">
        <v>45812</v>
      </c>
      <c r="M1776" s="7" t="s">
        <v>111</v>
      </c>
      <c r="N1776" s="24">
        <v>45814</v>
      </c>
      <c r="O1776" s="58">
        <v>45814</v>
      </c>
      <c r="P1776" s="59"/>
      <c r="Q1776" s="124" t="e">
        <f>P1776*#REF!</f>
        <v>#REF!</v>
      </c>
      <c r="R1776" s="126">
        <v>45814</v>
      </c>
      <c r="S1776" s="153">
        <f>IF(L1776="","",L1776-B1776)</f>
        <v>2</v>
      </c>
      <c r="T1776" s="153">
        <f>IF(N1776="","",N1776-L1776)</f>
        <v>2</v>
      </c>
      <c r="U1776" s="153">
        <f>IF(O1776="","",O1776-N1776)</f>
        <v>0</v>
      </c>
      <c r="V1776" s="154">
        <f>IF(O1776="","",O1776-B1776)</f>
        <v>4</v>
      </c>
      <c r="W1776" s="154">
        <f>IF(O1776="","",O1776-L1776)</f>
        <v>2</v>
      </c>
      <c r="X1776" s="154">
        <f>IF(R1776="","",R1776-B1776)</f>
        <v>4</v>
      </c>
    </row>
    <row r="1777" spans="2:24" ht="17.25" hidden="1" customHeight="1">
      <c r="B1777" s="23">
        <v>45810</v>
      </c>
      <c r="C1777" s="7">
        <v>2003702141</v>
      </c>
      <c r="D1777" s="20">
        <v>181498</v>
      </c>
      <c r="E1777" s="27" t="s">
        <v>949</v>
      </c>
      <c r="F1777" s="7" t="s">
        <v>107</v>
      </c>
      <c r="G1777" s="7" t="s">
        <v>10</v>
      </c>
      <c r="H1777" s="7" t="s">
        <v>45</v>
      </c>
      <c r="I1777" s="20" t="s">
        <v>2746</v>
      </c>
      <c r="J1777" s="20" t="s">
        <v>2747</v>
      </c>
      <c r="K1777" s="7" t="s">
        <v>110</v>
      </c>
      <c r="L1777" s="61">
        <v>45817</v>
      </c>
      <c r="M1777" s="7" t="s">
        <v>111</v>
      </c>
      <c r="N1777" s="61">
        <v>45817</v>
      </c>
      <c r="O1777" s="58">
        <v>45819</v>
      </c>
      <c r="P1777" s="59"/>
      <c r="Q1777" s="124" t="e">
        <f>P1777*#REF!</f>
        <v>#REF!</v>
      </c>
      <c r="R1777" s="126">
        <v>45820</v>
      </c>
      <c r="S1777" s="153">
        <f>IF(L1777="","",L1777-B1777)</f>
        <v>7</v>
      </c>
      <c r="T1777" s="153">
        <f>IF(N1777="","",N1777-L1777)</f>
        <v>0</v>
      </c>
      <c r="U1777" s="153">
        <f>IF(O1777="","",O1777-N1777)</f>
        <v>2</v>
      </c>
      <c r="V1777" s="154">
        <f>IF(O1777="","",O1777-B1777)</f>
        <v>9</v>
      </c>
      <c r="W1777" s="154">
        <f>IF(O1777="","",O1777-L1777)</f>
        <v>2</v>
      </c>
      <c r="X1777" s="154">
        <f>IF(R1777="","",R1777-B1777)</f>
        <v>10</v>
      </c>
    </row>
    <row r="1778" spans="2:24" ht="17.25" hidden="1" customHeight="1">
      <c r="B1778" s="23">
        <v>45810</v>
      </c>
      <c r="C1778" s="7">
        <v>2003695454</v>
      </c>
      <c r="D1778" s="20">
        <v>181031</v>
      </c>
      <c r="E1778" s="27" t="s">
        <v>157</v>
      </c>
      <c r="F1778" s="7" t="s">
        <v>107</v>
      </c>
      <c r="G1778" s="7" t="s">
        <v>26</v>
      </c>
      <c r="H1778" s="7" t="s">
        <v>45</v>
      </c>
      <c r="I1778" s="20" t="s">
        <v>2748</v>
      </c>
      <c r="J1778" s="20" t="s">
        <v>2749</v>
      </c>
      <c r="K1778" s="7" t="s">
        <v>119</v>
      </c>
      <c r="L1778" s="61">
        <v>45812</v>
      </c>
      <c r="M1778" s="7" t="s">
        <v>111</v>
      </c>
      <c r="N1778" s="24">
        <v>45814</v>
      </c>
      <c r="O1778" s="58">
        <v>45814</v>
      </c>
      <c r="P1778" s="59"/>
      <c r="Q1778" s="124" t="e">
        <f>P1778*#REF!</f>
        <v>#REF!</v>
      </c>
      <c r="R1778" s="126">
        <v>45814</v>
      </c>
      <c r="S1778" s="153">
        <f>IF(L1778="","",L1778-B1778)</f>
        <v>2</v>
      </c>
      <c r="T1778" s="153">
        <f>IF(N1778="","",N1778-L1778)</f>
        <v>2</v>
      </c>
      <c r="U1778" s="153">
        <f>IF(O1778="","",O1778-N1778)</f>
        <v>0</v>
      </c>
      <c r="V1778" s="154">
        <f>IF(O1778="","",O1778-B1778)</f>
        <v>4</v>
      </c>
      <c r="W1778" s="154">
        <f>IF(O1778="","",O1778-L1778)</f>
        <v>2</v>
      </c>
      <c r="X1778" s="154">
        <f>IF(R1778="","",R1778-B1778)</f>
        <v>4</v>
      </c>
    </row>
    <row r="1779" spans="2:24" ht="17.25" hidden="1" customHeight="1">
      <c r="B1779" s="23">
        <v>45810</v>
      </c>
      <c r="C1779" s="7">
        <v>2003701944</v>
      </c>
      <c r="D1779" s="20">
        <v>180976</v>
      </c>
      <c r="E1779" s="27" t="s">
        <v>191</v>
      </c>
      <c r="F1779" s="7" t="s">
        <v>107</v>
      </c>
      <c r="G1779" s="7" t="s">
        <v>10</v>
      </c>
      <c r="H1779" s="7" t="s">
        <v>45</v>
      </c>
      <c r="I1779" s="20" t="s">
        <v>2750</v>
      </c>
      <c r="J1779" s="20" t="s">
        <v>2751</v>
      </c>
      <c r="K1779" s="7" t="s">
        <v>119</v>
      </c>
      <c r="L1779" s="61">
        <v>45813</v>
      </c>
      <c r="M1779" s="7" t="s">
        <v>111</v>
      </c>
      <c r="N1779" s="24">
        <v>45825</v>
      </c>
      <c r="O1779" s="24">
        <v>45825</v>
      </c>
      <c r="P1779" s="59"/>
      <c r="Q1779" s="124" t="e">
        <f>P1779*#REF!</f>
        <v>#REF!</v>
      </c>
      <c r="R1779" s="126">
        <v>45825</v>
      </c>
      <c r="S1779" s="153">
        <f>IF(L1779="","",L1779-B1779)</f>
        <v>3</v>
      </c>
      <c r="T1779" s="153">
        <f>IF(N1779="","",N1779-L1779)</f>
        <v>12</v>
      </c>
      <c r="U1779" s="153">
        <f>IF(O1779="","",O1779-N1779)</f>
        <v>0</v>
      </c>
      <c r="V1779" s="154">
        <f>IF(O1779="","",O1779-B1779)</f>
        <v>15</v>
      </c>
      <c r="W1779" s="154">
        <f>IF(O1779="","",O1779-L1779)</f>
        <v>12</v>
      </c>
      <c r="X1779" s="154">
        <f>IF(R1779="","",R1779-B1779)</f>
        <v>15</v>
      </c>
    </row>
    <row r="1780" spans="2:24" ht="17.25" hidden="1" customHeight="1">
      <c r="B1780" s="23">
        <v>45811</v>
      </c>
      <c r="C1780" s="7">
        <v>2003681223</v>
      </c>
      <c r="D1780" s="20">
        <v>5957614</v>
      </c>
      <c r="E1780" s="27" t="s">
        <v>201</v>
      </c>
      <c r="F1780" s="7" t="s">
        <v>107</v>
      </c>
      <c r="G1780" s="7" t="s">
        <v>26</v>
      </c>
      <c r="H1780" s="7" t="s">
        <v>45</v>
      </c>
      <c r="I1780" s="20" t="s">
        <v>2752</v>
      </c>
      <c r="J1780" s="20" t="s">
        <v>2753</v>
      </c>
      <c r="K1780" s="7" t="s">
        <v>110</v>
      </c>
      <c r="L1780" s="61">
        <v>45817</v>
      </c>
      <c r="M1780" s="7" t="s">
        <v>111</v>
      </c>
      <c r="N1780" s="24">
        <v>45820</v>
      </c>
      <c r="O1780" s="58">
        <v>45820</v>
      </c>
      <c r="P1780" s="59"/>
      <c r="Q1780" s="124" t="e">
        <f>P1780*#REF!</f>
        <v>#REF!</v>
      </c>
      <c r="R1780" s="126">
        <v>45820</v>
      </c>
      <c r="S1780" s="153">
        <f>IF(L1780="","",L1780-B1780)</f>
        <v>6</v>
      </c>
      <c r="T1780" s="153">
        <f>IF(N1780="","",N1780-L1780)</f>
        <v>3</v>
      </c>
      <c r="U1780" s="153">
        <f>IF(O1780="","",O1780-N1780)</f>
        <v>0</v>
      </c>
      <c r="V1780" s="154">
        <f>IF(O1780="","",O1780-B1780)</f>
        <v>9</v>
      </c>
      <c r="W1780" s="154">
        <f>IF(O1780="","",O1780-L1780)</f>
        <v>3</v>
      </c>
      <c r="X1780" s="154">
        <f>IF(R1780="","",R1780-B1780)</f>
        <v>9</v>
      </c>
    </row>
    <row r="1781" spans="2:24" ht="17.25" hidden="1" customHeight="1">
      <c r="B1781" s="23">
        <v>45811</v>
      </c>
      <c r="C1781" s="7">
        <v>2003693509</v>
      </c>
      <c r="D1781" s="20">
        <v>5957787</v>
      </c>
      <c r="E1781" s="27" t="s">
        <v>106</v>
      </c>
      <c r="F1781" s="7" t="s">
        <v>107</v>
      </c>
      <c r="G1781" s="7" t="s">
        <v>18</v>
      </c>
      <c r="H1781" s="7" t="s">
        <v>45</v>
      </c>
      <c r="I1781" s="20" t="s">
        <v>2754</v>
      </c>
      <c r="J1781" s="20" t="s">
        <v>2755</v>
      </c>
      <c r="K1781" s="7" t="s">
        <v>110</v>
      </c>
      <c r="L1781" s="61">
        <v>45813</v>
      </c>
      <c r="M1781" s="7" t="s">
        <v>111</v>
      </c>
      <c r="N1781" s="61">
        <v>45813</v>
      </c>
      <c r="O1781" s="58">
        <v>45814</v>
      </c>
      <c r="P1781" s="59"/>
      <c r="Q1781" s="124" t="e">
        <f>P1781*#REF!</f>
        <v>#REF!</v>
      </c>
      <c r="R1781" s="126">
        <v>45814</v>
      </c>
      <c r="S1781" s="153">
        <f>IF(L1781="","",L1781-B1781)</f>
        <v>2</v>
      </c>
      <c r="T1781" s="153">
        <f>IF(N1781="","",N1781-L1781)</f>
        <v>0</v>
      </c>
      <c r="U1781" s="153">
        <f>IF(O1781="","",O1781-N1781)</f>
        <v>1</v>
      </c>
      <c r="V1781" s="154">
        <f>IF(O1781="","",O1781-B1781)</f>
        <v>3</v>
      </c>
      <c r="W1781" s="154">
        <f>IF(O1781="","",O1781-L1781)</f>
        <v>1</v>
      </c>
      <c r="X1781" s="154">
        <f>IF(R1781="","",R1781-B1781)</f>
        <v>3</v>
      </c>
    </row>
    <row r="1782" spans="2:24" ht="17.25" hidden="1" customHeight="1">
      <c r="B1782" s="23">
        <v>45811</v>
      </c>
      <c r="C1782" s="7">
        <v>2003699564</v>
      </c>
      <c r="D1782" s="20">
        <v>5957943</v>
      </c>
      <c r="E1782" s="27" t="s">
        <v>849</v>
      </c>
      <c r="F1782" s="7" t="s">
        <v>113</v>
      </c>
      <c r="G1782" s="7" t="s">
        <v>70</v>
      </c>
      <c r="H1782" s="7" t="s">
        <v>47</v>
      </c>
      <c r="I1782" s="20" t="s">
        <v>2756</v>
      </c>
      <c r="J1782" s="20" t="s">
        <v>2757</v>
      </c>
      <c r="K1782" s="7" t="s">
        <v>160</v>
      </c>
      <c r="P1782" s="59"/>
      <c r="Q1782" s="124" t="e">
        <f>P1782*#REF!</f>
        <v>#REF!</v>
      </c>
      <c r="R1782" s="126">
        <v>45813</v>
      </c>
      <c r="S1782" s="153" t="str">
        <f>IF(L1782="","",L1782-B1782)</f>
        <v/>
      </c>
      <c r="T1782" s="153" t="str">
        <f>IF(N1782="","",N1782-L1782)</f>
        <v/>
      </c>
      <c r="U1782" s="153" t="str">
        <f>IF(O1782="","",O1782-N1782)</f>
        <v/>
      </c>
      <c r="V1782" s="154" t="str">
        <f>IF(O1782="","",O1782-B1782)</f>
        <v/>
      </c>
      <c r="W1782" s="154" t="str">
        <f>IF(O1782="","",O1782-L1782)</f>
        <v/>
      </c>
      <c r="X1782" s="154">
        <f>IF(R1782="","",R1782-B1782)</f>
        <v>2</v>
      </c>
    </row>
    <row r="1783" spans="2:24" ht="17.25" hidden="1" customHeight="1">
      <c r="B1783" s="23">
        <v>45811</v>
      </c>
      <c r="C1783" s="7">
        <v>2003703087</v>
      </c>
      <c r="D1783" s="20">
        <v>5957970</v>
      </c>
      <c r="E1783" s="27" t="s">
        <v>198</v>
      </c>
      <c r="F1783" s="7" t="s">
        <v>107</v>
      </c>
      <c r="G1783" s="7" t="s">
        <v>10</v>
      </c>
      <c r="H1783" s="7" t="s">
        <v>45</v>
      </c>
      <c r="I1783" s="20" t="s">
        <v>2411</v>
      </c>
      <c r="J1783" s="20" t="s">
        <v>2758</v>
      </c>
      <c r="K1783" s="7" t="s">
        <v>119</v>
      </c>
      <c r="L1783" s="61">
        <v>45813</v>
      </c>
      <c r="M1783" s="7" t="s">
        <v>111</v>
      </c>
      <c r="N1783" s="61">
        <v>45813</v>
      </c>
      <c r="O1783" s="58">
        <v>45814</v>
      </c>
      <c r="P1783" s="59"/>
      <c r="Q1783" s="124" t="e">
        <f>P1783*#REF!</f>
        <v>#REF!</v>
      </c>
      <c r="R1783" s="126">
        <v>45814</v>
      </c>
      <c r="S1783" s="153">
        <f>IF(L1783="","",L1783-B1783)</f>
        <v>2</v>
      </c>
      <c r="T1783" s="153">
        <f>IF(N1783="","",N1783-L1783)</f>
        <v>0</v>
      </c>
      <c r="U1783" s="153">
        <f>IF(O1783="","",O1783-N1783)</f>
        <v>1</v>
      </c>
      <c r="V1783" s="154">
        <f>IF(O1783="","",O1783-B1783)</f>
        <v>3</v>
      </c>
      <c r="W1783" s="154">
        <f>IF(O1783="","",O1783-L1783)</f>
        <v>1</v>
      </c>
      <c r="X1783" s="154">
        <f>IF(R1783="","",R1783-B1783)</f>
        <v>3</v>
      </c>
    </row>
    <row r="1784" spans="2:24" ht="17.25" hidden="1" customHeight="1">
      <c r="B1784" s="23">
        <v>45811</v>
      </c>
      <c r="C1784" s="7">
        <v>2003673324</v>
      </c>
      <c r="D1784" s="20">
        <v>5957974</v>
      </c>
      <c r="E1784" s="27" t="s">
        <v>408</v>
      </c>
      <c r="F1784" s="7" t="s">
        <v>107</v>
      </c>
      <c r="G1784" s="7" t="s">
        <v>10</v>
      </c>
      <c r="H1784" s="7" t="s">
        <v>45</v>
      </c>
      <c r="I1784" s="20" t="s">
        <v>2759</v>
      </c>
      <c r="J1784" s="20" t="s">
        <v>2760</v>
      </c>
      <c r="K1784" s="7" t="s">
        <v>110</v>
      </c>
      <c r="L1784" s="61">
        <v>45812</v>
      </c>
      <c r="M1784" s="7" t="s">
        <v>111</v>
      </c>
      <c r="N1784" s="61">
        <v>45812</v>
      </c>
      <c r="O1784" s="61">
        <v>45812</v>
      </c>
      <c r="P1784" s="59"/>
      <c r="Q1784" s="124" t="e">
        <f>P1784*#REF!</f>
        <v>#REF!</v>
      </c>
      <c r="R1784" s="126">
        <v>45814</v>
      </c>
      <c r="S1784" s="153">
        <f>IF(L1784="","",L1784-B1784)</f>
        <v>1</v>
      </c>
      <c r="T1784" s="153">
        <f>IF(N1784="","",N1784-L1784)</f>
        <v>0</v>
      </c>
      <c r="U1784" s="153">
        <f>IF(O1784="","",O1784-N1784)</f>
        <v>0</v>
      </c>
      <c r="V1784" s="154">
        <f>IF(O1784="","",O1784-B1784)</f>
        <v>1</v>
      </c>
      <c r="W1784" s="154">
        <f>IF(O1784="","",O1784-L1784)</f>
        <v>0</v>
      </c>
      <c r="X1784" s="154">
        <f>IF(R1784="","",R1784-B1784)</f>
        <v>3</v>
      </c>
    </row>
    <row r="1785" spans="2:24" ht="17.25" hidden="1" customHeight="1">
      <c r="B1785" s="23">
        <v>45811</v>
      </c>
      <c r="C1785" s="7">
        <v>2003665140</v>
      </c>
      <c r="D1785" s="20">
        <v>5958557</v>
      </c>
      <c r="E1785" s="27" t="s">
        <v>201</v>
      </c>
      <c r="F1785" s="7" t="s">
        <v>107</v>
      </c>
      <c r="G1785" s="7" t="s">
        <v>10</v>
      </c>
      <c r="H1785" s="7" t="s">
        <v>45</v>
      </c>
      <c r="I1785" s="20" t="s">
        <v>2761</v>
      </c>
      <c r="J1785" s="20" t="s">
        <v>2762</v>
      </c>
      <c r="K1785" s="7" t="s">
        <v>119</v>
      </c>
      <c r="L1785" s="61">
        <v>45817</v>
      </c>
      <c r="M1785" s="7" t="s">
        <v>111</v>
      </c>
      <c r="N1785" s="61">
        <v>45818</v>
      </c>
      <c r="O1785" s="58">
        <v>45819</v>
      </c>
      <c r="P1785" s="59"/>
      <c r="Q1785" s="124" t="e">
        <f>P1785*#REF!</f>
        <v>#REF!</v>
      </c>
      <c r="R1785" s="126">
        <v>45820</v>
      </c>
      <c r="S1785" s="153">
        <f>IF(L1785="","",L1785-B1785)</f>
        <v>6</v>
      </c>
      <c r="T1785" s="153">
        <f>IF(N1785="","",N1785-L1785)</f>
        <v>1</v>
      </c>
      <c r="U1785" s="153">
        <f>IF(O1785="","",O1785-N1785)</f>
        <v>1</v>
      </c>
      <c r="V1785" s="154">
        <f>IF(O1785="","",O1785-B1785)</f>
        <v>8</v>
      </c>
      <c r="W1785" s="154">
        <f>IF(O1785="","",O1785-L1785)</f>
        <v>2</v>
      </c>
      <c r="X1785" s="154">
        <f>IF(R1785="","",R1785-B1785)</f>
        <v>9</v>
      </c>
    </row>
    <row r="1786" spans="2:24" ht="17.25" hidden="1" customHeight="1">
      <c r="B1786" s="23">
        <v>45811</v>
      </c>
      <c r="C1786" s="7">
        <v>2003698667</v>
      </c>
      <c r="D1786" s="20">
        <v>5958667</v>
      </c>
      <c r="E1786" s="27" t="s">
        <v>1225</v>
      </c>
      <c r="F1786" s="7" t="s">
        <v>107</v>
      </c>
      <c r="G1786" s="7" t="s">
        <v>18</v>
      </c>
      <c r="H1786" s="7" t="s">
        <v>45</v>
      </c>
      <c r="I1786" s="20" t="s">
        <v>2763</v>
      </c>
      <c r="J1786" s="20" t="s">
        <v>2764</v>
      </c>
      <c r="K1786" s="7" t="s">
        <v>111</v>
      </c>
      <c r="L1786" s="61">
        <v>45818</v>
      </c>
      <c r="M1786" s="61" t="s">
        <v>111</v>
      </c>
      <c r="N1786" s="61">
        <v>45818</v>
      </c>
      <c r="O1786" s="58">
        <v>45820</v>
      </c>
      <c r="P1786" s="59"/>
      <c r="Q1786" s="124" t="e">
        <f>P1786*#REF!</f>
        <v>#REF!</v>
      </c>
      <c r="R1786" s="126">
        <v>45820</v>
      </c>
      <c r="S1786" s="153">
        <f>IF(L1786="","",L1786-B1786)</f>
        <v>7</v>
      </c>
      <c r="T1786" s="153">
        <f>IF(N1786="","",N1786-L1786)</f>
        <v>0</v>
      </c>
      <c r="U1786" s="153">
        <f>IF(O1786="","",O1786-N1786)</f>
        <v>2</v>
      </c>
      <c r="V1786" s="154">
        <f>IF(O1786="","",O1786-B1786)</f>
        <v>9</v>
      </c>
      <c r="W1786" s="154">
        <f>IF(O1786="","",O1786-L1786)</f>
        <v>2</v>
      </c>
      <c r="X1786" s="154">
        <f>IF(R1786="","",R1786-B1786)</f>
        <v>9</v>
      </c>
    </row>
    <row r="1787" spans="2:24" ht="17.25" hidden="1" customHeight="1">
      <c r="B1787" s="23">
        <v>45811</v>
      </c>
      <c r="C1787" s="7">
        <v>2003703993</v>
      </c>
      <c r="D1787" s="20">
        <v>5958672</v>
      </c>
      <c r="E1787" s="27" t="s">
        <v>123</v>
      </c>
      <c r="F1787" s="7" t="s">
        <v>107</v>
      </c>
      <c r="G1787" s="7" t="s">
        <v>10</v>
      </c>
      <c r="H1787" s="7" t="s">
        <v>45</v>
      </c>
      <c r="I1787" s="20" t="s">
        <v>2765</v>
      </c>
      <c r="J1787" s="20" t="s">
        <v>2766</v>
      </c>
      <c r="K1787" s="7" t="s">
        <v>110</v>
      </c>
      <c r="L1787" s="61">
        <v>45817</v>
      </c>
      <c r="M1787" s="7" t="s">
        <v>111</v>
      </c>
      <c r="N1787" s="61">
        <v>45817</v>
      </c>
      <c r="O1787" s="58">
        <v>45819</v>
      </c>
      <c r="P1787" s="59"/>
      <c r="Q1787" s="124" t="e">
        <f>P1787*#REF!</f>
        <v>#REF!</v>
      </c>
      <c r="R1787" s="126">
        <v>45820</v>
      </c>
      <c r="S1787" s="153">
        <f>IF(L1787="","",L1787-B1787)</f>
        <v>6</v>
      </c>
      <c r="T1787" s="153">
        <f>IF(N1787="","",N1787-L1787)</f>
        <v>0</v>
      </c>
      <c r="U1787" s="153">
        <f>IF(O1787="","",O1787-N1787)</f>
        <v>2</v>
      </c>
      <c r="V1787" s="154">
        <f>IF(O1787="","",O1787-B1787)</f>
        <v>8</v>
      </c>
      <c r="W1787" s="154">
        <f>IF(O1787="","",O1787-L1787)</f>
        <v>2</v>
      </c>
      <c r="X1787" s="154">
        <f>IF(R1787="","",R1787-B1787)</f>
        <v>9</v>
      </c>
    </row>
    <row r="1788" spans="2:24" ht="17.25" hidden="1" customHeight="1">
      <c r="B1788" s="23">
        <v>45811</v>
      </c>
      <c r="C1788" s="7">
        <v>2003705689</v>
      </c>
      <c r="D1788" s="20">
        <v>5958679</v>
      </c>
      <c r="E1788" s="27" t="s">
        <v>123</v>
      </c>
      <c r="F1788" s="7" t="s">
        <v>107</v>
      </c>
      <c r="G1788" s="7" t="s">
        <v>10</v>
      </c>
      <c r="H1788" s="7" t="s">
        <v>45</v>
      </c>
      <c r="I1788" s="20" t="s">
        <v>280</v>
      </c>
      <c r="J1788" s="20" t="s">
        <v>2767</v>
      </c>
      <c r="K1788" s="7" t="s">
        <v>119</v>
      </c>
      <c r="L1788" s="61">
        <v>45813</v>
      </c>
      <c r="M1788" s="7" t="s">
        <v>111</v>
      </c>
      <c r="N1788" s="61">
        <v>45813</v>
      </c>
      <c r="O1788" s="61">
        <v>45813</v>
      </c>
      <c r="P1788" s="59"/>
      <c r="Q1788" s="124" t="e">
        <f>P1788*#REF!</f>
        <v>#REF!</v>
      </c>
      <c r="R1788" s="126">
        <v>45814</v>
      </c>
      <c r="S1788" s="153">
        <f>IF(L1788="","",L1788-B1788)</f>
        <v>2</v>
      </c>
      <c r="T1788" s="153">
        <f>IF(N1788="","",N1788-L1788)</f>
        <v>0</v>
      </c>
      <c r="U1788" s="153">
        <f>IF(O1788="","",O1788-N1788)</f>
        <v>0</v>
      </c>
      <c r="V1788" s="154">
        <f>IF(O1788="","",O1788-B1788)</f>
        <v>2</v>
      </c>
      <c r="W1788" s="154">
        <f>IF(O1788="","",O1788-L1788)</f>
        <v>0</v>
      </c>
      <c r="X1788" s="154">
        <f>IF(R1788="","",R1788-B1788)</f>
        <v>3</v>
      </c>
    </row>
    <row r="1789" spans="2:24" ht="17.25" hidden="1" customHeight="1">
      <c r="B1789" s="23">
        <v>45811</v>
      </c>
      <c r="C1789" s="7">
        <v>2003685962</v>
      </c>
      <c r="D1789" s="20">
        <v>5958712</v>
      </c>
      <c r="E1789" s="27" t="s">
        <v>185</v>
      </c>
      <c r="F1789" s="7" t="s">
        <v>107</v>
      </c>
      <c r="G1789" s="7" t="s">
        <v>10</v>
      </c>
      <c r="H1789" s="7" t="s">
        <v>45</v>
      </c>
      <c r="I1789" s="20" t="s">
        <v>2768</v>
      </c>
      <c r="J1789" s="20" t="s">
        <v>2769</v>
      </c>
      <c r="K1789" s="7" t="s">
        <v>119</v>
      </c>
      <c r="L1789" s="61">
        <v>45817</v>
      </c>
      <c r="M1789" s="7" t="s">
        <v>111</v>
      </c>
      <c r="N1789" s="61">
        <v>45818</v>
      </c>
      <c r="O1789" s="61">
        <v>45818</v>
      </c>
      <c r="P1789" s="59"/>
      <c r="Q1789" s="124" t="e">
        <f>P1789*#REF!</f>
        <v>#REF!</v>
      </c>
      <c r="R1789" s="126">
        <v>45820</v>
      </c>
      <c r="S1789" s="153">
        <f>IF(L1789="","",L1789-B1789)</f>
        <v>6</v>
      </c>
      <c r="T1789" s="153">
        <f>IF(N1789="","",N1789-L1789)</f>
        <v>1</v>
      </c>
      <c r="U1789" s="153">
        <f>IF(O1789="","",O1789-N1789)</f>
        <v>0</v>
      </c>
      <c r="V1789" s="154">
        <f>IF(O1789="","",O1789-B1789)</f>
        <v>7</v>
      </c>
      <c r="W1789" s="154">
        <f>IF(O1789="","",O1789-L1789)</f>
        <v>1</v>
      </c>
      <c r="X1789" s="154">
        <f>IF(R1789="","",R1789-B1789)</f>
        <v>9</v>
      </c>
    </row>
    <row r="1790" spans="2:24" ht="17.25" hidden="1" customHeight="1">
      <c r="B1790" s="23">
        <v>45811</v>
      </c>
      <c r="C1790" s="7">
        <v>2003703820</v>
      </c>
      <c r="D1790" s="20">
        <v>5958754</v>
      </c>
      <c r="E1790" s="27" t="s">
        <v>198</v>
      </c>
      <c r="F1790" s="7" t="s">
        <v>107</v>
      </c>
      <c r="G1790" s="7" t="s">
        <v>18</v>
      </c>
      <c r="H1790" s="7" t="s">
        <v>45</v>
      </c>
      <c r="I1790" s="20" t="s">
        <v>2770</v>
      </c>
      <c r="J1790" s="20" t="s">
        <v>2771</v>
      </c>
      <c r="K1790" s="7" t="s">
        <v>119</v>
      </c>
      <c r="L1790" s="61">
        <v>45814</v>
      </c>
      <c r="M1790" s="7" t="s">
        <v>111</v>
      </c>
      <c r="N1790" s="61">
        <v>45814</v>
      </c>
      <c r="O1790" s="58">
        <v>45817</v>
      </c>
      <c r="P1790" s="59"/>
      <c r="Q1790" s="124" t="e">
        <f>P1790*#REF!</f>
        <v>#REF!</v>
      </c>
      <c r="R1790" s="126">
        <v>45820</v>
      </c>
      <c r="S1790" s="153">
        <f>IF(L1790="","",L1790-B1790)</f>
        <v>3</v>
      </c>
      <c r="T1790" s="153">
        <f>IF(N1790="","",N1790-L1790)</f>
        <v>0</v>
      </c>
      <c r="U1790" s="153">
        <f>IF(O1790="","",O1790-N1790)</f>
        <v>3</v>
      </c>
      <c r="V1790" s="154">
        <f>IF(O1790="","",O1790-B1790)</f>
        <v>6</v>
      </c>
      <c r="W1790" s="154">
        <f>IF(O1790="","",O1790-L1790)</f>
        <v>3</v>
      </c>
      <c r="X1790" s="154">
        <f>IF(R1790="","",R1790-B1790)</f>
        <v>9</v>
      </c>
    </row>
    <row r="1791" spans="2:24" ht="17.25" hidden="1" customHeight="1">
      <c r="B1791" s="23">
        <v>45811</v>
      </c>
      <c r="C1791" s="7">
        <v>2003638786</v>
      </c>
      <c r="D1791" s="20">
        <v>250748</v>
      </c>
      <c r="E1791" s="27" t="s">
        <v>892</v>
      </c>
      <c r="F1791" s="7" t="s">
        <v>107</v>
      </c>
      <c r="G1791" s="7" t="s">
        <v>18</v>
      </c>
      <c r="H1791" s="7" t="s">
        <v>45</v>
      </c>
      <c r="I1791" s="20" t="s">
        <v>2772</v>
      </c>
      <c r="J1791" s="20" t="s">
        <v>2773</v>
      </c>
      <c r="K1791" s="7" t="s">
        <v>119</v>
      </c>
      <c r="L1791" s="61">
        <v>45813</v>
      </c>
      <c r="M1791" s="7" t="s">
        <v>111</v>
      </c>
      <c r="N1791" s="61">
        <v>45827</v>
      </c>
      <c r="O1791" s="58">
        <v>45834</v>
      </c>
      <c r="P1791" s="59"/>
      <c r="Q1791" s="124" t="e">
        <f>P1791*#REF!</f>
        <v>#REF!</v>
      </c>
      <c r="S1791" s="153">
        <f>IF(L1791="","",L1791-B1791)</f>
        <v>2</v>
      </c>
      <c r="T1791" s="153">
        <f>IF(N1791="","",N1791-L1791)</f>
        <v>14</v>
      </c>
      <c r="U1791" s="153">
        <f>IF(O1791="","",O1791-N1791)</f>
        <v>7</v>
      </c>
      <c r="V1791" s="154">
        <f>IF(O1791="","",O1791-B1791)</f>
        <v>23</v>
      </c>
      <c r="W1791" s="154">
        <f>IF(O1791="","",O1791-L1791)</f>
        <v>21</v>
      </c>
      <c r="X1791" s="154" t="str">
        <f>IF(R1791="","",R1791-B1791)</f>
        <v/>
      </c>
    </row>
    <row r="1792" spans="2:24" ht="17.25" hidden="1" customHeight="1">
      <c r="B1792" s="23">
        <v>45811</v>
      </c>
      <c r="C1792" s="7">
        <v>2003694848</v>
      </c>
      <c r="D1792" s="20">
        <v>183134</v>
      </c>
      <c r="E1792" s="27" t="s">
        <v>149</v>
      </c>
      <c r="F1792" s="7" t="s">
        <v>107</v>
      </c>
      <c r="G1792" s="7" t="s">
        <v>18</v>
      </c>
      <c r="H1792" s="7" t="s">
        <v>45</v>
      </c>
      <c r="I1792" s="20" t="s">
        <v>1246</v>
      </c>
      <c r="J1792" s="20" t="s">
        <v>1247</v>
      </c>
      <c r="K1792" s="7" t="s">
        <v>110</v>
      </c>
      <c r="L1792" s="61">
        <v>45814</v>
      </c>
      <c r="M1792" s="7" t="s">
        <v>111</v>
      </c>
      <c r="N1792" s="61">
        <v>45814</v>
      </c>
      <c r="O1792" s="61">
        <v>45814</v>
      </c>
      <c r="P1792" s="59"/>
      <c r="Q1792" s="124" t="e">
        <f>P1792*#REF!</f>
        <v>#REF!</v>
      </c>
      <c r="R1792" s="126">
        <v>45814</v>
      </c>
      <c r="S1792" s="153">
        <f>IF(L1792="","",L1792-B1792)</f>
        <v>3</v>
      </c>
      <c r="T1792" s="153">
        <f>IF(N1792="","",N1792-L1792)</f>
        <v>0</v>
      </c>
      <c r="U1792" s="153">
        <f>IF(O1792="","",O1792-N1792)</f>
        <v>0</v>
      </c>
      <c r="V1792" s="154">
        <f>IF(O1792="","",O1792-B1792)</f>
        <v>3</v>
      </c>
      <c r="W1792" s="154">
        <f>IF(O1792="","",O1792-L1792)</f>
        <v>0</v>
      </c>
      <c r="X1792" s="154">
        <f>IF(R1792="","",R1792-B1792)</f>
        <v>3</v>
      </c>
    </row>
    <row r="1793" spans="2:24" ht="17.25" hidden="1" customHeight="1">
      <c r="B1793" s="23">
        <v>45811</v>
      </c>
      <c r="C1793" s="7">
        <v>2003701596</v>
      </c>
      <c r="D1793" s="20">
        <v>183089</v>
      </c>
      <c r="E1793" s="27" t="s">
        <v>116</v>
      </c>
      <c r="F1793" s="7" t="s">
        <v>107</v>
      </c>
      <c r="G1793" s="7" t="s">
        <v>10</v>
      </c>
      <c r="H1793" s="7" t="s">
        <v>45</v>
      </c>
      <c r="I1793" s="20" t="s">
        <v>2774</v>
      </c>
      <c r="J1793" s="20" t="s">
        <v>2775</v>
      </c>
      <c r="K1793" s="7" t="s">
        <v>119</v>
      </c>
      <c r="L1793" s="61">
        <v>45814</v>
      </c>
      <c r="M1793" s="7" t="s">
        <v>111</v>
      </c>
      <c r="N1793" s="61">
        <v>45814</v>
      </c>
      <c r="O1793" s="61">
        <v>45814</v>
      </c>
      <c r="P1793" s="59"/>
      <c r="Q1793" s="124" t="e">
        <f>P1793*#REF!</f>
        <v>#REF!</v>
      </c>
      <c r="R1793" s="126">
        <v>45814</v>
      </c>
      <c r="S1793" s="153">
        <f>IF(L1793="","",L1793-B1793)</f>
        <v>3</v>
      </c>
      <c r="T1793" s="153">
        <f>IF(N1793="","",N1793-L1793)</f>
        <v>0</v>
      </c>
      <c r="U1793" s="153">
        <f>IF(O1793="","",O1793-N1793)</f>
        <v>0</v>
      </c>
      <c r="V1793" s="154">
        <f>IF(O1793="","",O1793-B1793)</f>
        <v>3</v>
      </c>
      <c r="W1793" s="154">
        <f>IF(O1793="","",O1793-L1793)</f>
        <v>0</v>
      </c>
      <c r="X1793" s="154">
        <f>IF(R1793="","",R1793-B1793)</f>
        <v>3</v>
      </c>
    </row>
    <row r="1794" spans="2:24" ht="17.25" hidden="1" customHeight="1">
      <c r="B1794" s="23">
        <v>45811</v>
      </c>
      <c r="C1794" s="7">
        <v>2003677882</v>
      </c>
      <c r="D1794" s="20">
        <v>183077</v>
      </c>
      <c r="E1794" s="27" t="s">
        <v>408</v>
      </c>
      <c r="F1794" s="7" t="s">
        <v>107</v>
      </c>
      <c r="G1794" s="7" t="s">
        <v>18</v>
      </c>
      <c r="H1794" s="7" t="s">
        <v>45</v>
      </c>
      <c r="I1794" s="20" t="s">
        <v>2776</v>
      </c>
      <c r="J1794" s="20" t="s">
        <v>2013</v>
      </c>
      <c r="K1794" s="7" t="s">
        <v>119</v>
      </c>
      <c r="L1794" s="61">
        <v>45814</v>
      </c>
      <c r="M1794" s="7" t="s">
        <v>111</v>
      </c>
      <c r="N1794" s="61">
        <v>45818</v>
      </c>
      <c r="O1794" s="61">
        <v>45818</v>
      </c>
      <c r="P1794" s="59"/>
      <c r="Q1794" s="124" t="e">
        <f>P1794*#REF!</f>
        <v>#REF!</v>
      </c>
      <c r="R1794" s="126">
        <v>45820</v>
      </c>
      <c r="S1794" s="153">
        <f>IF(L1794="","",L1794-B1794)</f>
        <v>3</v>
      </c>
      <c r="T1794" s="153">
        <f>IF(N1794="","",N1794-L1794)</f>
        <v>4</v>
      </c>
      <c r="U1794" s="153">
        <f>IF(O1794="","",O1794-N1794)</f>
        <v>0</v>
      </c>
      <c r="V1794" s="154">
        <f>IF(O1794="","",O1794-B1794)</f>
        <v>7</v>
      </c>
      <c r="W1794" s="154">
        <f>IF(O1794="","",O1794-L1794)</f>
        <v>4</v>
      </c>
      <c r="X1794" s="154">
        <f>IF(R1794="","",R1794-B1794)</f>
        <v>9</v>
      </c>
    </row>
    <row r="1795" spans="2:24" ht="17.25" hidden="1" customHeight="1">
      <c r="B1795" s="23">
        <v>45811</v>
      </c>
      <c r="C1795" s="7">
        <v>2003694548</v>
      </c>
      <c r="D1795" s="20">
        <v>183070</v>
      </c>
      <c r="E1795" s="27" t="s">
        <v>123</v>
      </c>
      <c r="F1795" s="7" t="s">
        <v>107</v>
      </c>
      <c r="G1795" s="7" t="s">
        <v>10</v>
      </c>
      <c r="H1795" s="7" t="s">
        <v>45</v>
      </c>
      <c r="I1795" s="20" t="s">
        <v>851</v>
      </c>
      <c r="J1795" s="20" t="s">
        <v>2777</v>
      </c>
      <c r="K1795" s="7" t="s">
        <v>119</v>
      </c>
      <c r="L1795" s="61">
        <v>45813</v>
      </c>
      <c r="M1795" s="7" t="s">
        <v>111</v>
      </c>
      <c r="N1795" s="61">
        <v>45813</v>
      </c>
      <c r="O1795" s="58">
        <v>45814</v>
      </c>
      <c r="P1795" s="59"/>
      <c r="Q1795" s="124" t="e">
        <f>P1795*#REF!</f>
        <v>#REF!</v>
      </c>
      <c r="R1795" s="126">
        <v>45814</v>
      </c>
      <c r="S1795" s="153">
        <f>IF(L1795="","",L1795-B1795)</f>
        <v>2</v>
      </c>
      <c r="T1795" s="153">
        <f>IF(N1795="","",N1795-L1795)</f>
        <v>0</v>
      </c>
      <c r="U1795" s="153">
        <f>IF(O1795="","",O1795-N1795)</f>
        <v>1</v>
      </c>
      <c r="V1795" s="154">
        <f>IF(O1795="","",O1795-B1795)</f>
        <v>3</v>
      </c>
      <c r="W1795" s="154">
        <f>IF(O1795="","",O1795-L1795)</f>
        <v>1</v>
      </c>
      <c r="X1795" s="154">
        <f>IF(R1795="","",R1795-B1795)</f>
        <v>3</v>
      </c>
    </row>
    <row r="1796" spans="2:24" ht="17.25" hidden="1" customHeight="1">
      <c r="B1796" s="23">
        <v>45811</v>
      </c>
      <c r="C1796" s="7">
        <v>2003703899</v>
      </c>
      <c r="D1796" s="20">
        <v>183063</v>
      </c>
      <c r="E1796" s="27" t="s">
        <v>123</v>
      </c>
      <c r="F1796" s="7" t="s">
        <v>107</v>
      </c>
      <c r="G1796" s="7" t="s">
        <v>10</v>
      </c>
      <c r="H1796" s="7" t="s">
        <v>45</v>
      </c>
      <c r="I1796" s="20" t="s">
        <v>1746</v>
      </c>
      <c r="J1796" s="20" t="s">
        <v>2778</v>
      </c>
      <c r="K1796" s="7" t="s">
        <v>119</v>
      </c>
      <c r="L1796" s="61">
        <v>45814</v>
      </c>
      <c r="M1796" s="7" t="s">
        <v>111</v>
      </c>
      <c r="N1796" s="61">
        <v>45814</v>
      </c>
      <c r="O1796" s="58">
        <v>45817</v>
      </c>
      <c r="P1796" s="59"/>
      <c r="Q1796" s="124" t="e">
        <f>P1796*#REF!</f>
        <v>#REF!</v>
      </c>
      <c r="R1796" s="126">
        <v>45820</v>
      </c>
      <c r="S1796" s="153">
        <f>IF(L1796="","",L1796-B1796)</f>
        <v>3</v>
      </c>
      <c r="T1796" s="153">
        <f>IF(N1796="","",N1796-L1796)</f>
        <v>0</v>
      </c>
      <c r="U1796" s="153">
        <f>IF(O1796="","",O1796-N1796)</f>
        <v>3</v>
      </c>
      <c r="V1796" s="154">
        <f>IF(O1796="","",O1796-B1796)</f>
        <v>6</v>
      </c>
      <c r="W1796" s="154">
        <f>IF(O1796="","",O1796-L1796)</f>
        <v>3</v>
      </c>
      <c r="X1796" s="154">
        <f>IF(R1796="","",R1796-B1796)</f>
        <v>9</v>
      </c>
    </row>
    <row r="1797" spans="2:24" ht="17.25" hidden="1" customHeight="1">
      <c r="B1797" s="23">
        <v>45811</v>
      </c>
      <c r="C1797" s="7">
        <v>2003705244</v>
      </c>
      <c r="D1797" s="20">
        <v>182942</v>
      </c>
      <c r="E1797" s="27" t="s">
        <v>622</v>
      </c>
      <c r="F1797" s="7" t="s">
        <v>107</v>
      </c>
      <c r="G1797" s="7" t="s">
        <v>10</v>
      </c>
      <c r="H1797" s="7" t="s">
        <v>45</v>
      </c>
      <c r="I1797" s="20" t="s">
        <v>2779</v>
      </c>
      <c r="J1797" s="20" t="s">
        <v>2780</v>
      </c>
      <c r="K1797" s="7" t="s">
        <v>119</v>
      </c>
      <c r="L1797" s="61">
        <v>45814</v>
      </c>
      <c r="M1797" s="7" t="s">
        <v>111</v>
      </c>
      <c r="N1797" s="61">
        <v>45814</v>
      </c>
      <c r="O1797" s="61">
        <v>45814</v>
      </c>
      <c r="P1797" s="59"/>
      <c r="Q1797" s="124" t="e">
        <f>P1797*#REF!</f>
        <v>#REF!</v>
      </c>
      <c r="R1797" s="126">
        <v>45814</v>
      </c>
      <c r="S1797" s="153">
        <f>IF(L1797="","",L1797-B1797)</f>
        <v>3</v>
      </c>
      <c r="T1797" s="153">
        <f>IF(N1797="","",N1797-L1797)</f>
        <v>0</v>
      </c>
      <c r="U1797" s="153">
        <f>IF(O1797="","",O1797-N1797)</f>
        <v>0</v>
      </c>
      <c r="V1797" s="154">
        <f>IF(O1797="","",O1797-B1797)</f>
        <v>3</v>
      </c>
      <c r="W1797" s="154">
        <f>IF(O1797="","",O1797-L1797)</f>
        <v>0</v>
      </c>
      <c r="X1797" s="154">
        <f>IF(R1797="","",R1797-B1797)</f>
        <v>3</v>
      </c>
    </row>
    <row r="1798" spans="2:24" ht="17.25" hidden="1" customHeight="1">
      <c r="B1798" s="23">
        <v>45811</v>
      </c>
      <c r="C1798" s="7">
        <v>2003702424</v>
      </c>
      <c r="D1798" s="20">
        <v>182388</v>
      </c>
      <c r="E1798" s="27" t="s">
        <v>201</v>
      </c>
      <c r="F1798" s="7" t="s">
        <v>107</v>
      </c>
      <c r="G1798" s="7" t="s">
        <v>10</v>
      </c>
      <c r="H1798" s="7" t="s">
        <v>45</v>
      </c>
      <c r="I1798" s="20" t="s">
        <v>417</v>
      </c>
      <c r="J1798" s="20" t="s">
        <v>2781</v>
      </c>
      <c r="K1798" s="7" t="s">
        <v>119</v>
      </c>
      <c r="L1798" s="61">
        <v>45814</v>
      </c>
      <c r="M1798" s="7" t="s">
        <v>111</v>
      </c>
      <c r="N1798" s="61">
        <v>45814</v>
      </c>
      <c r="O1798" s="58">
        <v>45817</v>
      </c>
      <c r="P1798" s="59"/>
      <c r="Q1798" s="124" t="e">
        <f>P1798*#REF!</f>
        <v>#REF!</v>
      </c>
      <c r="R1798" s="126">
        <v>45820</v>
      </c>
      <c r="S1798" s="153">
        <f>IF(L1798="","",L1798-B1798)</f>
        <v>3</v>
      </c>
      <c r="T1798" s="153">
        <f>IF(N1798="","",N1798-L1798)</f>
        <v>0</v>
      </c>
      <c r="U1798" s="153">
        <f>IF(O1798="","",O1798-N1798)</f>
        <v>3</v>
      </c>
      <c r="V1798" s="154">
        <f>IF(O1798="","",O1798-B1798)</f>
        <v>6</v>
      </c>
      <c r="W1798" s="154">
        <f>IF(O1798="","",O1798-L1798)</f>
        <v>3</v>
      </c>
      <c r="X1798" s="154">
        <f>IF(R1798="","",R1798-B1798)</f>
        <v>9</v>
      </c>
    </row>
    <row r="1799" spans="2:24" ht="17.25" hidden="1" customHeight="1">
      <c r="B1799" s="23">
        <v>45811</v>
      </c>
      <c r="C1799" s="7">
        <v>2003700847</v>
      </c>
      <c r="D1799" s="20">
        <v>182440</v>
      </c>
      <c r="E1799" s="27" t="s">
        <v>180</v>
      </c>
      <c r="F1799" s="7" t="s">
        <v>107</v>
      </c>
      <c r="G1799" s="7" t="s">
        <v>10</v>
      </c>
      <c r="H1799" s="7" t="s">
        <v>45</v>
      </c>
      <c r="I1799" s="20" t="s">
        <v>385</v>
      </c>
      <c r="J1799" s="20" t="s">
        <v>1442</v>
      </c>
      <c r="K1799" s="7" t="s">
        <v>110</v>
      </c>
      <c r="L1799" s="61">
        <v>45818</v>
      </c>
      <c r="M1799" s="7" t="s">
        <v>111</v>
      </c>
      <c r="N1799" s="61">
        <v>45818</v>
      </c>
      <c r="O1799" s="58">
        <v>45819</v>
      </c>
      <c r="P1799" s="59"/>
      <c r="Q1799" s="124" t="e">
        <f>P1799*#REF!</f>
        <v>#REF!</v>
      </c>
      <c r="R1799" s="126">
        <v>45820</v>
      </c>
      <c r="S1799" s="153">
        <f>IF(L1799="","",L1799-B1799)</f>
        <v>7</v>
      </c>
      <c r="T1799" s="153">
        <f>IF(N1799="","",N1799-L1799)</f>
        <v>0</v>
      </c>
      <c r="U1799" s="153">
        <f>IF(O1799="","",O1799-N1799)</f>
        <v>1</v>
      </c>
      <c r="V1799" s="154">
        <f>IF(O1799="","",O1799-B1799)</f>
        <v>8</v>
      </c>
      <c r="W1799" s="154">
        <f>IF(O1799="","",O1799-L1799)</f>
        <v>1</v>
      </c>
      <c r="X1799" s="154">
        <f>IF(R1799="","",R1799-B1799)</f>
        <v>9</v>
      </c>
    </row>
    <row r="1800" spans="2:24" ht="17.25" hidden="1" customHeight="1">
      <c r="B1800" s="23">
        <v>45812</v>
      </c>
      <c r="C1800" s="7">
        <v>2003672484</v>
      </c>
      <c r="D1800" s="20">
        <v>5959092</v>
      </c>
      <c r="E1800" s="27" t="s">
        <v>116</v>
      </c>
      <c r="F1800" s="7" t="s">
        <v>107</v>
      </c>
      <c r="G1800" s="7" t="s">
        <v>18</v>
      </c>
      <c r="H1800" s="7" t="s">
        <v>45</v>
      </c>
      <c r="I1800" s="20" t="s">
        <v>2782</v>
      </c>
      <c r="J1800" s="20" t="s">
        <v>2783</v>
      </c>
      <c r="K1800" s="7" t="s">
        <v>119</v>
      </c>
      <c r="L1800" s="61">
        <v>45814</v>
      </c>
      <c r="M1800" s="7" t="s">
        <v>111</v>
      </c>
      <c r="N1800" s="61">
        <v>45818</v>
      </c>
      <c r="O1800" s="61">
        <v>45818</v>
      </c>
      <c r="P1800" s="59"/>
      <c r="Q1800" s="124" t="e">
        <f>P1800*#REF!</f>
        <v>#REF!</v>
      </c>
      <c r="R1800" s="126">
        <v>45820</v>
      </c>
      <c r="S1800" s="153">
        <f>IF(L1800="","",L1800-B1800)</f>
        <v>2</v>
      </c>
      <c r="T1800" s="153">
        <f>IF(N1800="","",N1800-L1800)</f>
        <v>4</v>
      </c>
      <c r="U1800" s="153">
        <f>IF(O1800="","",O1800-N1800)</f>
        <v>0</v>
      </c>
      <c r="V1800" s="154">
        <f>IF(O1800="","",O1800-B1800)</f>
        <v>6</v>
      </c>
      <c r="W1800" s="154">
        <f>IF(O1800="","",O1800-L1800)</f>
        <v>4</v>
      </c>
      <c r="X1800" s="154">
        <f>IF(R1800="","",R1800-B1800)</f>
        <v>8</v>
      </c>
    </row>
    <row r="1801" spans="2:24" ht="17.25" hidden="1" customHeight="1">
      <c r="B1801" s="23">
        <v>45812</v>
      </c>
      <c r="C1801" s="7">
        <v>2003665468</v>
      </c>
      <c r="D1801" s="20">
        <v>5959286</v>
      </c>
      <c r="E1801" s="27" t="s">
        <v>198</v>
      </c>
      <c r="F1801" s="7" t="s">
        <v>107</v>
      </c>
      <c r="G1801" s="7" t="s">
        <v>10</v>
      </c>
      <c r="H1801" s="7" t="s">
        <v>45</v>
      </c>
      <c r="I1801" s="20" t="s">
        <v>2784</v>
      </c>
      <c r="J1801" s="20" t="s">
        <v>2785</v>
      </c>
      <c r="K1801" s="7" t="s">
        <v>110</v>
      </c>
      <c r="L1801" s="61">
        <v>45814</v>
      </c>
      <c r="M1801" s="7" t="s">
        <v>111</v>
      </c>
      <c r="N1801" s="61">
        <v>45817</v>
      </c>
      <c r="O1801" s="61">
        <v>45817</v>
      </c>
      <c r="P1801" s="59"/>
      <c r="Q1801" s="124" t="e">
        <f>P1801*#REF!</f>
        <v>#REF!</v>
      </c>
      <c r="R1801" s="126">
        <v>45820</v>
      </c>
      <c r="S1801" s="153">
        <f>IF(L1801="","",L1801-B1801)</f>
        <v>2</v>
      </c>
      <c r="T1801" s="153">
        <f>IF(N1801="","",N1801-L1801)</f>
        <v>3</v>
      </c>
      <c r="U1801" s="153">
        <f>IF(O1801="","",O1801-N1801)</f>
        <v>0</v>
      </c>
      <c r="V1801" s="154">
        <f>IF(O1801="","",O1801-B1801)</f>
        <v>5</v>
      </c>
      <c r="W1801" s="154">
        <f>IF(O1801="","",O1801-L1801)</f>
        <v>3</v>
      </c>
      <c r="X1801" s="154">
        <f>IF(R1801="","",R1801-B1801)</f>
        <v>8</v>
      </c>
    </row>
    <row r="1802" spans="2:24" ht="17.25" hidden="1" customHeight="1">
      <c r="B1802" s="23">
        <v>45812</v>
      </c>
      <c r="C1802" s="7">
        <v>2003705819</v>
      </c>
      <c r="D1802" s="20">
        <v>5959360</v>
      </c>
      <c r="E1802" s="27" t="s">
        <v>201</v>
      </c>
      <c r="F1802" s="7" t="s">
        <v>107</v>
      </c>
      <c r="G1802" s="7" t="s">
        <v>10</v>
      </c>
      <c r="H1802" s="7" t="s">
        <v>45</v>
      </c>
      <c r="I1802" s="20" t="s">
        <v>623</v>
      </c>
      <c r="J1802" s="20" t="s">
        <v>2786</v>
      </c>
      <c r="K1802" s="7" t="s">
        <v>119</v>
      </c>
      <c r="L1802" s="61">
        <v>45814</v>
      </c>
      <c r="M1802" s="7" t="s">
        <v>111</v>
      </c>
      <c r="N1802" s="61">
        <v>45814</v>
      </c>
      <c r="O1802" s="61">
        <v>45814</v>
      </c>
      <c r="P1802" s="59"/>
      <c r="Q1802" s="124" t="e">
        <f>P1802*#REF!</f>
        <v>#REF!</v>
      </c>
      <c r="R1802" s="126">
        <v>45814</v>
      </c>
      <c r="S1802" s="153">
        <f>IF(L1802="","",L1802-B1802)</f>
        <v>2</v>
      </c>
      <c r="T1802" s="153">
        <f>IF(N1802="","",N1802-L1802)</f>
        <v>0</v>
      </c>
      <c r="U1802" s="153">
        <f>IF(O1802="","",O1802-N1802)</f>
        <v>0</v>
      </c>
      <c r="V1802" s="154">
        <f>IF(O1802="","",O1802-B1802)</f>
        <v>2</v>
      </c>
      <c r="W1802" s="154">
        <f>IF(O1802="","",O1802-L1802)</f>
        <v>0</v>
      </c>
      <c r="X1802" s="154">
        <f>IF(R1802="","",R1802-B1802)</f>
        <v>2</v>
      </c>
    </row>
    <row r="1803" spans="2:24" ht="17.25" hidden="1" customHeight="1">
      <c r="B1803" s="23">
        <v>45812</v>
      </c>
      <c r="C1803" s="7">
        <v>2003701939</v>
      </c>
      <c r="D1803" s="20">
        <v>184121</v>
      </c>
      <c r="E1803" s="27" t="s">
        <v>143</v>
      </c>
      <c r="F1803" s="7" t="s">
        <v>107</v>
      </c>
      <c r="G1803" s="7" t="s">
        <v>10</v>
      </c>
      <c r="H1803" s="7" t="s">
        <v>45</v>
      </c>
      <c r="I1803" s="20" t="s">
        <v>288</v>
      </c>
      <c r="J1803" s="20" t="s">
        <v>2787</v>
      </c>
      <c r="K1803" s="7" t="s">
        <v>119</v>
      </c>
      <c r="L1803" s="61">
        <v>45825</v>
      </c>
      <c r="M1803" s="7" t="s">
        <v>111</v>
      </c>
      <c r="N1803" s="24">
        <v>45826</v>
      </c>
      <c r="O1803" s="58">
        <v>45826</v>
      </c>
      <c r="P1803" s="59"/>
      <c r="Q1803" s="124" t="e">
        <f>P1803*#REF!</f>
        <v>#REF!</v>
      </c>
      <c r="R1803" s="126">
        <v>45826</v>
      </c>
      <c r="S1803" s="153">
        <f>IF(L1803="","",L1803-B1803)</f>
        <v>13</v>
      </c>
      <c r="T1803" s="153">
        <f>IF(N1803="","",N1803-L1803)</f>
        <v>1</v>
      </c>
      <c r="U1803" s="153">
        <f>IF(O1803="","",O1803-N1803)</f>
        <v>0</v>
      </c>
      <c r="V1803" s="154">
        <f>IF(O1803="","",O1803-B1803)</f>
        <v>14</v>
      </c>
      <c r="W1803" s="154">
        <f>IF(O1803="","",O1803-L1803)</f>
        <v>1</v>
      </c>
      <c r="X1803" s="154">
        <f>IF(R1803="","",R1803-B1803)</f>
        <v>14</v>
      </c>
    </row>
    <row r="1804" spans="2:24" ht="17.25" hidden="1" customHeight="1">
      <c r="B1804" s="23">
        <v>45812</v>
      </c>
      <c r="C1804" s="7">
        <v>2003684544</v>
      </c>
      <c r="D1804" s="20">
        <v>183667</v>
      </c>
      <c r="E1804" s="27" t="s">
        <v>949</v>
      </c>
      <c r="F1804" s="7" t="s">
        <v>107</v>
      </c>
      <c r="G1804" s="7" t="s">
        <v>21</v>
      </c>
      <c r="H1804" s="7" t="s">
        <v>45</v>
      </c>
      <c r="I1804" s="20" t="s">
        <v>1933</v>
      </c>
      <c r="J1804" s="20" t="s">
        <v>1934</v>
      </c>
      <c r="K1804" s="7" t="s">
        <v>110</v>
      </c>
      <c r="L1804" s="61">
        <v>45813</v>
      </c>
      <c r="M1804" s="7" t="s">
        <v>111</v>
      </c>
      <c r="N1804" s="61">
        <v>45813</v>
      </c>
      <c r="O1804" s="58">
        <v>45814</v>
      </c>
      <c r="P1804" s="59"/>
      <c r="Q1804" s="124" t="e">
        <f>P1804*#REF!</f>
        <v>#REF!</v>
      </c>
      <c r="R1804" s="126">
        <v>45814</v>
      </c>
      <c r="S1804" s="153">
        <f>IF(L1804="","",L1804-B1804)</f>
        <v>1</v>
      </c>
      <c r="T1804" s="153">
        <f>IF(N1804="","",N1804-L1804)</f>
        <v>0</v>
      </c>
      <c r="U1804" s="153">
        <f>IF(O1804="","",O1804-N1804)</f>
        <v>1</v>
      </c>
      <c r="V1804" s="154">
        <f>IF(O1804="","",O1804-B1804)</f>
        <v>2</v>
      </c>
      <c r="W1804" s="154">
        <f>IF(O1804="","",O1804-L1804)</f>
        <v>1</v>
      </c>
      <c r="X1804" s="154">
        <f>IF(R1804="","",R1804-B1804)</f>
        <v>2</v>
      </c>
    </row>
    <row r="1805" spans="2:24" ht="17.25" hidden="1" customHeight="1">
      <c r="B1805" s="23">
        <v>45812</v>
      </c>
      <c r="C1805" s="7">
        <v>2003664747</v>
      </c>
      <c r="D1805" s="20">
        <v>183605</v>
      </c>
      <c r="E1805" s="27" t="s">
        <v>191</v>
      </c>
      <c r="F1805" s="7" t="s">
        <v>107</v>
      </c>
      <c r="G1805" s="7" t="s">
        <v>21</v>
      </c>
      <c r="H1805" s="7" t="s">
        <v>45</v>
      </c>
      <c r="I1805" s="20" t="s">
        <v>627</v>
      </c>
      <c r="J1805" s="20" t="s">
        <v>1398</v>
      </c>
      <c r="K1805" s="7" t="s">
        <v>110</v>
      </c>
      <c r="L1805" s="61">
        <v>45817</v>
      </c>
      <c r="M1805" s="7" t="s">
        <v>111</v>
      </c>
      <c r="N1805" s="61">
        <v>45817</v>
      </c>
      <c r="O1805" s="58">
        <v>45819</v>
      </c>
      <c r="P1805" s="59"/>
      <c r="Q1805" s="124" t="e">
        <f>P1805*#REF!</f>
        <v>#REF!</v>
      </c>
      <c r="R1805" s="126">
        <v>45820</v>
      </c>
      <c r="S1805" s="153">
        <f>IF(L1805="","",L1805-B1805)</f>
        <v>5</v>
      </c>
      <c r="T1805" s="153">
        <f>IF(N1805="","",N1805-L1805)</f>
        <v>0</v>
      </c>
      <c r="U1805" s="153">
        <f>IF(O1805="","",O1805-N1805)</f>
        <v>2</v>
      </c>
      <c r="V1805" s="154">
        <f>IF(O1805="","",O1805-B1805)</f>
        <v>7</v>
      </c>
      <c r="W1805" s="154">
        <f>IF(O1805="","",O1805-L1805)</f>
        <v>2</v>
      </c>
      <c r="X1805" s="154">
        <f>IF(R1805="","",R1805-B1805)</f>
        <v>8</v>
      </c>
    </row>
    <row r="1806" spans="2:24" ht="17.25" hidden="1" customHeight="1">
      <c r="B1806" s="23">
        <v>45812</v>
      </c>
      <c r="C1806" s="7">
        <v>2003666739</v>
      </c>
      <c r="D1806" s="20">
        <v>183577</v>
      </c>
      <c r="E1806" s="27" t="s">
        <v>138</v>
      </c>
      <c r="F1806" s="7" t="s">
        <v>107</v>
      </c>
      <c r="G1806" s="7" t="s">
        <v>26</v>
      </c>
      <c r="H1806" s="7" t="s">
        <v>45</v>
      </c>
      <c r="I1806" s="20" t="s">
        <v>995</v>
      </c>
      <c r="J1806" s="20" t="s">
        <v>2788</v>
      </c>
      <c r="K1806" s="7" t="s">
        <v>110</v>
      </c>
      <c r="L1806" s="61">
        <v>45814</v>
      </c>
      <c r="M1806" s="7" t="s">
        <v>111</v>
      </c>
      <c r="N1806" s="24">
        <v>45814</v>
      </c>
      <c r="O1806" s="58">
        <v>45814</v>
      </c>
      <c r="P1806" s="59"/>
      <c r="Q1806" s="124" t="e">
        <f>P1806*#REF!</f>
        <v>#REF!</v>
      </c>
      <c r="R1806" s="126">
        <v>45814</v>
      </c>
      <c r="S1806" s="153">
        <f>IF(L1806="","",L1806-B1806)</f>
        <v>2</v>
      </c>
      <c r="T1806" s="153">
        <f>IF(N1806="","",N1806-L1806)</f>
        <v>0</v>
      </c>
      <c r="U1806" s="153">
        <f>IF(O1806="","",O1806-N1806)</f>
        <v>0</v>
      </c>
      <c r="V1806" s="154">
        <f>IF(O1806="","",O1806-B1806)</f>
        <v>2</v>
      </c>
      <c r="W1806" s="154">
        <f>IF(O1806="","",O1806-L1806)</f>
        <v>0</v>
      </c>
      <c r="X1806" s="154">
        <f>IF(R1806="","",R1806-B1806)</f>
        <v>2</v>
      </c>
    </row>
    <row r="1807" spans="2:24" ht="17.25" hidden="1" customHeight="1">
      <c r="B1807" s="23">
        <v>45813</v>
      </c>
      <c r="C1807" s="7">
        <v>2003666568</v>
      </c>
      <c r="D1807" s="20">
        <v>185285</v>
      </c>
      <c r="E1807" s="27" t="s">
        <v>849</v>
      </c>
      <c r="F1807" s="7" t="s">
        <v>107</v>
      </c>
      <c r="G1807" s="7" t="s">
        <v>21</v>
      </c>
      <c r="H1807" s="7" t="s">
        <v>45</v>
      </c>
      <c r="I1807" s="20" t="s">
        <v>1400</v>
      </c>
      <c r="J1807" s="20" t="s">
        <v>1401</v>
      </c>
      <c r="K1807" s="7" t="s">
        <v>111</v>
      </c>
      <c r="L1807" s="61">
        <v>45814</v>
      </c>
      <c r="M1807" s="7" t="s">
        <v>111</v>
      </c>
      <c r="N1807" s="61">
        <v>45814</v>
      </c>
      <c r="O1807" s="58">
        <v>45817</v>
      </c>
      <c r="P1807" s="59"/>
      <c r="Q1807" s="124" t="e">
        <f>P1807*#REF!</f>
        <v>#REF!</v>
      </c>
      <c r="R1807" s="126">
        <v>45820</v>
      </c>
      <c r="S1807" s="153">
        <f>IF(L1807="","",L1807-B1807)</f>
        <v>1</v>
      </c>
      <c r="T1807" s="153">
        <f>IF(N1807="","",N1807-L1807)</f>
        <v>0</v>
      </c>
      <c r="U1807" s="153">
        <f>IF(O1807="","",O1807-N1807)</f>
        <v>3</v>
      </c>
      <c r="V1807" s="154">
        <f>IF(O1807="","",O1807-B1807)</f>
        <v>4</v>
      </c>
      <c r="W1807" s="154">
        <f>IF(O1807="","",O1807-L1807)</f>
        <v>3</v>
      </c>
      <c r="X1807" s="154">
        <f>IF(R1807="","",R1807-B1807)</f>
        <v>7</v>
      </c>
    </row>
    <row r="1808" spans="2:24" ht="17.25" hidden="1" customHeight="1">
      <c r="B1808" s="23">
        <v>45813</v>
      </c>
      <c r="C1808" s="7">
        <v>2003703307</v>
      </c>
      <c r="D1808" s="20">
        <v>185252</v>
      </c>
      <c r="E1808" s="27" t="s">
        <v>138</v>
      </c>
      <c r="F1808" s="7" t="s">
        <v>107</v>
      </c>
      <c r="G1808" s="7" t="s">
        <v>18</v>
      </c>
      <c r="H1808" s="7" t="s">
        <v>45</v>
      </c>
      <c r="I1808" s="20" t="s">
        <v>161</v>
      </c>
      <c r="J1808" s="20" t="s">
        <v>2789</v>
      </c>
      <c r="K1808" s="7" t="s">
        <v>119</v>
      </c>
      <c r="L1808" s="61">
        <v>45818</v>
      </c>
      <c r="M1808" s="7" t="s">
        <v>111</v>
      </c>
      <c r="N1808" s="61">
        <v>45819</v>
      </c>
      <c r="O1808" s="61">
        <v>45819</v>
      </c>
      <c r="P1808" s="59"/>
      <c r="Q1808" s="124" t="e">
        <f>P1808*#REF!</f>
        <v>#REF!</v>
      </c>
      <c r="R1808" s="126">
        <v>45820</v>
      </c>
      <c r="S1808" s="153">
        <f>IF(L1808="","",L1808-B1808)</f>
        <v>5</v>
      </c>
      <c r="T1808" s="153">
        <f>IF(N1808="","",N1808-L1808)</f>
        <v>1</v>
      </c>
      <c r="U1808" s="153">
        <f>IF(O1808="","",O1808-N1808)</f>
        <v>0</v>
      </c>
      <c r="V1808" s="154">
        <f>IF(O1808="","",O1808-B1808)</f>
        <v>6</v>
      </c>
      <c r="W1808" s="154">
        <f>IF(O1808="","",O1808-L1808)</f>
        <v>1</v>
      </c>
      <c r="X1808" s="154">
        <f>IF(R1808="","",R1808-B1808)</f>
        <v>7</v>
      </c>
    </row>
    <row r="1809" spans="2:24" ht="17.25" hidden="1" customHeight="1">
      <c r="B1809" s="23">
        <v>45813</v>
      </c>
      <c r="C1809" s="7">
        <v>2003703710</v>
      </c>
      <c r="D1809" s="20">
        <v>185184</v>
      </c>
      <c r="E1809" s="27" t="s">
        <v>185</v>
      </c>
      <c r="F1809" s="7" t="s">
        <v>107</v>
      </c>
      <c r="G1809" s="7" t="s">
        <v>70</v>
      </c>
      <c r="H1809" s="7" t="s">
        <v>45</v>
      </c>
      <c r="I1809" s="20" t="s">
        <v>496</v>
      </c>
      <c r="J1809" s="20" t="s">
        <v>2790</v>
      </c>
      <c r="K1809" s="7" t="s">
        <v>119</v>
      </c>
      <c r="L1809" s="61">
        <v>45819</v>
      </c>
      <c r="M1809" s="7" t="s">
        <v>111</v>
      </c>
      <c r="N1809" s="61">
        <v>45827</v>
      </c>
      <c r="O1809" s="58">
        <v>45833</v>
      </c>
      <c r="P1809" s="59"/>
      <c r="Q1809" s="124" t="e">
        <f>P1809*#REF!</f>
        <v>#REF!</v>
      </c>
      <c r="S1809" s="153">
        <f>IF(L1809="","",L1809-B1809)</f>
        <v>6</v>
      </c>
      <c r="T1809" s="153">
        <f>IF(N1809="","",N1809-L1809)</f>
        <v>8</v>
      </c>
      <c r="U1809" s="153">
        <f>IF(O1809="","",O1809-N1809)</f>
        <v>6</v>
      </c>
      <c r="V1809" s="154">
        <f>IF(O1809="","",O1809-B1809)</f>
        <v>20</v>
      </c>
      <c r="W1809" s="154">
        <f>IF(O1809="","",O1809-L1809)</f>
        <v>14</v>
      </c>
      <c r="X1809" s="154" t="str">
        <f>IF(R1809="","",R1809-B1809)</f>
        <v/>
      </c>
    </row>
    <row r="1810" spans="2:24" ht="17.25" hidden="1" customHeight="1">
      <c r="B1810" s="23">
        <v>45813</v>
      </c>
      <c r="C1810" s="7">
        <v>2003669996</v>
      </c>
      <c r="D1810" s="20">
        <v>184869</v>
      </c>
      <c r="E1810" s="27" t="s">
        <v>408</v>
      </c>
      <c r="F1810" s="7" t="s">
        <v>107</v>
      </c>
      <c r="G1810" s="7" t="s">
        <v>18</v>
      </c>
      <c r="H1810" s="7" t="s">
        <v>45</v>
      </c>
      <c r="I1810" s="20" t="s">
        <v>2791</v>
      </c>
      <c r="J1810" s="20" t="s">
        <v>2792</v>
      </c>
      <c r="K1810" s="7" t="s">
        <v>110</v>
      </c>
      <c r="L1810" s="61">
        <v>45818</v>
      </c>
      <c r="M1810" s="7" t="s">
        <v>111</v>
      </c>
      <c r="N1810" s="61">
        <v>45818</v>
      </c>
      <c r="O1810" s="61">
        <v>45818</v>
      </c>
      <c r="P1810" s="59"/>
      <c r="Q1810" s="124" t="e">
        <f>P1810*#REF!</f>
        <v>#REF!</v>
      </c>
      <c r="R1810" s="126">
        <v>45820</v>
      </c>
      <c r="S1810" s="153">
        <f>IF(L1810="","",L1810-B1810)</f>
        <v>5</v>
      </c>
      <c r="T1810" s="153">
        <f>IF(N1810="","",N1810-L1810)</f>
        <v>0</v>
      </c>
      <c r="U1810" s="153">
        <f>IF(O1810="","",O1810-N1810)</f>
        <v>0</v>
      </c>
      <c r="V1810" s="154">
        <f>IF(O1810="","",O1810-B1810)</f>
        <v>5</v>
      </c>
      <c r="W1810" s="154">
        <f>IF(O1810="","",O1810-L1810)</f>
        <v>0</v>
      </c>
      <c r="X1810" s="154">
        <f>IF(R1810="","",R1810-B1810)</f>
        <v>7</v>
      </c>
    </row>
    <row r="1811" spans="2:24" ht="17.25" hidden="1" customHeight="1">
      <c r="B1811" s="23">
        <v>45813</v>
      </c>
      <c r="C1811" s="7">
        <v>2003680893</v>
      </c>
      <c r="D1811" s="20">
        <v>184733</v>
      </c>
      <c r="E1811" s="27" t="s">
        <v>123</v>
      </c>
      <c r="F1811" s="7" t="s">
        <v>107</v>
      </c>
      <c r="G1811" s="7" t="s">
        <v>18</v>
      </c>
      <c r="H1811" s="7" t="s">
        <v>45</v>
      </c>
      <c r="I1811" s="20" t="s">
        <v>784</v>
      </c>
      <c r="J1811" s="20" t="s">
        <v>2793</v>
      </c>
      <c r="K1811" s="7" t="s">
        <v>119</v>
      </c>
      <c r="L1811" s="61">
        <v>45818</v>
      </c>
      <c r="M1811" s="7" t="s">
        <v>111</v>
      </c>
      <c r="N1811" s="61">
        <v>45819</v>
      </c>
      <c r="O1811" s="58">
        <v>45820</v>
      </c>
      <c r="P1811" s="59"/>
      <c r="Q1811" s="124" t="e">
        <f>P1811*#REF!</f>
        <v>#REF!</v>
      </c>
      <c r="R1811" s="126">
        <v>45820</v>
      </c>
      <c r="S1811" s="153">
        <f>IF(L1811="","",L1811-B1811)</f>
        <v>5</v>
      </c>
      <c r="T1811" s="153">
        <f>IF(N1811="","",N1811-L1811)</f>
        <v>1</v>
      </c>
      <c r="U1811" s="153">
        <f>IF(O1811="","",O1811-N1811)</f>
        <v>1</v>
      </c>
      <c r="V1811" s="154">
        <f>IF(O1811="","",O1811-B1811)</f>
        <v>7</v>
      </c>
      <c r="W1811" s="154">
        <f>IF(O1811="","",O1811-L1811)</f>
        <v>2</v>
      </c>
      <c r="X1811" s="154">
        <f>IF(R1811="","",R1811-B1811)</f>
        <v>7</v>
      </c>
    </row>
    <row r="1812" spans="2:24" ht="17.25" hidden="1" customHeight="1">
      <c r="B1812" s="23">
        <v>45813</v>
      </c>
      <c r="C1812" s="7">
        <v>2003703180</v>
      </c>
      <c r="D1812" s="20">
        <v>184726</v>
      </c>
      <c r="E1812" s="27" t="s">
        <v>123</v>
      </c>
      <c r="F1812" s="7" t="s">
        <v>107</v>
      </c>
      <c r="G1812" s="7" t="s">
        <v>10</v>
      </c>
      <c r="H1812" s="7" t="s">
        <v>45</v>
      </c>
      <c r="I1812" s="20" t="s">
        <v>2794</v>
      </c>
      <c r="J1812" s="20" t="s">
        <v>2795</v>
      </c>
      <c r="K1812" s="7" t="s">
        <v>119</v>
      </c>
      <c r="L1812" s="61">
        <v>45817</v>
      </c>
      <c r="M1812" s="7" t="s">
        <v>111</v>
      </c>
      <c r="N1812" s="24">
        <v>45818</v>
      </c>
      <c r="O1812" s="58">
        <v>45819</v>
      </c>
      <c r="P1812" s="59"/>
      <c r="Q1812" s="124" t="e">
        <f>P1812*#REF!</f>
        <v>#REF!</v>
      </c>
      <c r="R1812" s="126">
        <v>45820</v>
      </c>
      <c r="S1812" s="153">
        <f>IF(L1812="","",L1812-B1812)</f>
        <v>4</v>
      </c>
      <c r="T1812" s="153">
        <f>IF(N1812="","",N1812-L1812)</f>
        <v>1</v>
      </c>
      <c r="U1812" s="153">
        <f>IF(O1812="","",O1812-N1812)</f>
        <v>1</v>
      </c>
      <c r="V1812" s="154">
        <f>IF(O1812="","",O1812-B1812)</f>
        <v>6</v>
      </c>
      <c r="W1812" s="154">
        <f>IF(O1812="","",O1812-L1812)</f>
        <v>2</v>
      </c>
      <c r="X1812" s="154">
        <f>IF(R1812="","",R1812-B1812)</f>
        <v>7</v>
      </c>
    </row>
    <row r="1813" spans="2:24" ht="17.25" hidden="1" customHeight="1">
      <c r="B1813" s="23">
        <v>45813</v>
      </c>
      <c r="C1813" s="7">
        <v>2003684000</v>
      </c>
      <c r="D1813" s="20">
        <v>184653</v>
      </c>
      <c r="E1813" s="27" t="s">
        <v>180</v>
      </c>
      <c r="F1813" s="7" t="s">
        <v>107</v>
      </c>
      <c r="G1813" s="7" t="s">
        <v>30</v>
      </c>
      <c r="H1813" s="7" t="s">
        <v>45</v>
      </c>
      <c r="I1813" s="20" t="s">
        <v>2796</v>
      </c>
      <c r="J1813" s="20" t="s">
        <v>2797</v>
      </c>
      <c r="K1813" s="7" t="s">
        <v>111</v>
      </c>
      <c r="L1813" s="61">
        <v>45814</v>
      </c>
      <c r="M1813" s="7" t="s">
        <v>111</v>
      </c>
      <c r="N1813" s="61">
        <v>45814</v>
      </c>
      <c r="O1813" s="58">
        <v>45827</v>
      </c>
      <c r="P1813" s="59"/>
      <c r="Q1813" s="124" t="e">
        <f>P1813*#REF!</f>
        <v>#REF!</v>
      </c>
      <c r="R1813" s="126">
        <v>45830</v>
      </c>
      <c r="S1813" s="153">
        <f>IF(L1813="","",L1813-B1813)</f>
        <v>1</v>
      </c>
      <c r="T1813" s="153">
        <f>IF(N1813="","",N1813-L1813)</f>
        <v>0</v>
      </c>
      <c r="U1813" s="153">
        <f>IF(O1813="","",O1813-N1813)</f>
        <v>13</v>
      </c>
      <c r="V1813" s="154">
        <f>IF(O1813="","",O1813-B1813)</f>
        <v>14</v>
      </c>
      <c r="W1813" s="154">
        <f>IF(O1813="","",O1813-L1813)</f>
        <v>13</v>
      </c>
      <c r="X1813" s="154">
        <f>IF(R1813="","",R1813-B1813)</f>
        <v>17</v>
      </c>
    </row>
    <row r="1814" spans="2:24" ht="17.25" hidden="1" customHeight="1">
      <c r="B1814" s="23">
        <v>45813</v>
      </c>
      <c r="C1814" s="7">
        <v>2003665618</v>
      </c>
      <c r="D1814" s="20">
        <v>5975995</v>
      </c>
      <c r="E1814" s="27" t="s">
        <v>1225</v>
      </c>
      <c r="F1814" s="7" t="s">
        <v>107</v>
      </c>
      <c r="G1814" s="7" t="s">
        <v>10</v>
      </c>
      <c r="H1814" s="7" t="s">
        <v>45</v>
      </c>
      <c r="I1814" s="20" t="s">
        <v>2798</v>
      </c>
      <c r="J1814" s="20" t="s">
        <v>2030</v>
      </c>
      <c r="K1814" s="7" t="s">
        <v>119</v>
      </c>
      <c r="L1814" s="61">
        <v>45814</v>
      </c>
      <c r="M1814" s="7" t="s">
        <v>111</v>
      </c>
      <c r="N1814" s="61">
        <v>45817</v>
      </c>
      <c r="O1814" s="61">
        <v>45817</v>
      </c>
      <c r="P1814" s="59"/>
      <c r="Q1814" s="124" t="e">
        <f>P1814*#REF!</f>
        <v>#REF!</v>
      </c>
      <c r="R1814" s="126">
        <v>45820</v>
      </c>
      <c r="S1814" s="153">
        <f>IF(L1814="","",L1814-B1814)</f>
        <v>1</v>
      </c>
      <c r="T1814" s="153">
        <f>IF(N1814="","",N1814-L1814)</f>
        <v>3</v>
      </c>
      <c r="U1814" s="153">
        <f>IF(O1814="","",O1814-N1814)</f>
        <v>0</v>
      </c>
      <c r="V1814" s="154">
        <f>IF(O1814="","",O1814-B1814)</f>
        <v>4</v>
      </c>
      <c r="W1814" s="154">
        <f>IF(O1814="","",O1814-L1814)</f>
        <v>3</v>
      </c>
      <c r="X1814" s="154">
        <f>IF(R1814="","",R1814-B1814)</f>
        <v>7</v>
      </c>
    </row>
    <row r="1815" spans="2:24" ht="17.25" hidden="1" customHeight="1">
      <c r="B1815" s="23">
        <v>45813</v>
      </c>
      <c r="C1815" s="7">
        <v>2003665941</v>
      </c>
      <c r="D1815" s="20">
        <v>5975996</v>
      </c>
      <c r="E1815" s="27" t="s">
        <v>126</v>
      </c>
      <c r="F1815" s="7" t="s">
        <v>107</v>
      </c>
      <c r="G1815" s="7" t="s">
        <v>10</v>
      </c>
      <c r="H1815" s="7" t="s">
        <v>45</v>
      </c>
      <c r="I1815" s="20" t="s">
        <v>2634</v>
      </c>
      <c r="J1815" s="20" t="s">
        <v>2635</v>
      </c>
      <c r="K1815" s="7" t="s">
        <v>110</v>
      </c>
      <c r="L1815" s="61">
        <v>45817</v>
      </c>
      <c r="M1815" s="7" t="s">
        <v>111</v>
      </c>
      <c r="N1815" s="61">
        <v>45817</v>
      </c>
      <c r="O1815" s="58">
        <v>45819</v>
      </c>
      <c r="P1815" s="59"/>
      <c r="Q1815" s="124" t="e">
        <f>P1815*#REF!</f>
        <v>#REF!</v>
      </c>
      <c r="R1815" s="126">
        <v>45820</v>
      </c>
      <c r="S1815" s="153">
        <f>IF(L1815="","",L1815-B1815)</f>
        <v>4</v>
      </c>
      <c r="T1815" s="153">
        <f>IF(N1815="","",N1815-L1815)</f>
        <v>0</v>
      </c>
      <c r="U1815" s="153">
        <f>IF(O1815="","",O1815-N1815)</f>
        <v>2</v>
      </c>
      <c r="V1815" s="154">
        <f>IF(O1815="","",O1815-B1815)</f>
        <v>6</v>
      </c>
      <c r="W1815" s="154">
        <f>IF(O1815="","",O1815-L1815)</f>
        <v>2</v>
      </c>
      <c r="X1815" s="154">
        <f>IF(R1815="","",R1815-B1815)</f>
        <v>7</v>
      </c>
    </row>
    <row r="1816" spans="2:24" ht="17.25" hidden="1" customHeight="1">
      <c r="B1816" s="23">
        <v>45813</v>
      </c>
      <c r="C1816" s="7">
        <v>2003701017</v>
      </c>
      <c r="D1816" s="20">
        <v>5976006</v>
      </c>
      <c r="E1816" s="27" t="s">
        <v>149</v>
      </c>
      <c r="F1816" s="7" t="s">
        <v>107</v>
      </c>
      <c r="G1816" s="7" t="s">
        <v>18</v>
      </c>
      <c r="H1816" s="7" t="s">
        <v>45</v>
      </c>
      <c r="I1816" s="20" t="s">
        <v>2234</v>
      </c>
      <c r="J1816" s="20" t="s">
        <v>2799</v>
      </c>
      <c r="K1816" s="7" t="s">
        <v>110</v>
      </c>
      <c r="L1816" s="61">
        <v>45817</v>
      </c>
      <c r="M1816" s="7" t="s">
        <v>111</v>
      </c>
      <c r="N1816" s="61">
        <v>45817</v>
      </c>
      <c r="O1816" s="58">
        <v>45819</v>
      </c>
      <c r="P1816" s="59"/>
      <c r="Q1816" s="124" t="e">
        <f>P1816*#REF!</f>
        <v>#REF!</v>
      </c>
      <c r="R1816" s="126">
        <v>45820</v>
      </c>
      <c r="S1816" s="153">
        <f>IF(L1816="","",L1816-B1816)</f>
        <v>4</v>
      </c>
      <c r="T1816" s="153">
        <f>IF(N1816="","",N1816-L1816)</f>
        <v>0</v>
      </c>
      <c r="U1816" s="153">
        <f>IF(O1816="","",O1816-N1816)</f>
        <v>2</v>
      </c>
      <c r="V1816" s="154">
        <f>IF(O1816="","",O1816-B1816)</f>
        <v>6</v>
      </c>
      <c r="W1816" s="154">
        <f>IF(O1816="","",O1816-L1816)</f>
        <v>2</v>
      </c>
      <c r="X1816" s="154">
        <f>IF(R1816="","",R1816-B1816)</f>
        <v>7</v>
      </c>
    </row>
    <row r="1817" spans="2:24" ht="17.25" hidden="1" customHeight="1">
      <c r="B1817" s="23">
        <v>45813</v>
      </c>
      <c r="C1817" s="7">
        <v>2003701780</v>
      </c>
      <c r="D1817" s="20">
        <v>5976075</v>
      </c>
      <c r="E1817" s="27" t="s">
        <v>112</v>
      </c>
      <c r="F1817" s="7" t="s">
        <v>107</v>
      </c>
      <c r="G1817" s="7" t="s">
        <v>10</v>
      </c>
      <c r="H1817" s="7" t="s">
        <v>45</v>
      </c>
      <c r="I1817" s="20" t="s">
        <v>385</v>
      </c>
      <c r="J1817" s="20" t="s">
        <v>2800</v>
      </c>
      <c r="K1817" s="7" t="s">
        <v>110</v>
      </c>
      <c r="L1817" s="61">
        <v>45817</v>
      </c>
      <c r="M1817" s="7" t="s">
        <v>111</v>
      </c>
      <c r="N1817" s="61">
        <v>45817</v>
      </c>
      <c r="O1817" s="58">
        <v>45819</v>
      </c>
      <c r="P1817" s="59"/>
      <c r="Q1817" s="124" t="e">
        <f>P1817*#REF!</f>
        <v>#REF!</v>
      </c>
      <c r="R1817" s="126">
        <v>45820</v>
      </c>
      <c r="S1817" s="153">
        <f>IF(L1817="","",L1817-B1817)</f>
        <v>4</v>
      </c>
      <c r="T1817" s="153">
        <f>IF(N1817="","",N1817-L1817)</f>
        <v>0</v>
      </c>
      <c r="U1817" s="153">
        <f>IF(O1817="","",O1817-N1817)</f>
        <v>2</v>
      </c>
      <c r="V1817" s="154">
        <f>IF(O1817="","",O1817-B1817)</f>
        <v>6</v>
      </c>
      <c r="W1817" s="154">
        <f>IF(O1817="","",O1817-L1817)</f>
        <v>2</v>
      </c>
      <c r="X1817" s="154">
        <f>IF(R1817="","",R1817-B1817)</f>
        <v>7</v>
      </c>
    </row>
    <row r="1818" spans="2:24" ht="17.25" hidden="1" customHeight="1">
      <c r="B1818" s="23">
        <v>45813</v>
      </c>
      <c r="C1818" s="7">
        <v>2003701739</v>
      </c>
      <c r="D1818" s="20">
        <v>5976148</v>
      </c>
      <c r="E1818" s="27" t="s">
        <v>191</v>
      </c>
      <c r="F1818" s="7" t="s">
        <v>107</v>
      </c>
      <c r="G1818" s="7" t="s">
        <v>18</v>
      </c>
      <c r="H1818" s="7" t="s">
        <v>45</v>
      </c>
      <c r="I1818" s="20" t="s">
        <v>2801</v>
      </c>
      <c r="J1818" s="20" t="s">
        <v>2802</v>
      </c>
      <c r="K1818" s="7" t="s">
        <v>119</v>
      </c>
      <c r="L1818" s="61">
        <v>45817</v>
      </c>
      <c r="M1818" s="7" t="s">
        <v>111</v>
      </c>
      <c r="N1818" s="24">
        <v>45825</v>
      </c>
      <c r="O1818" s="61">
        <v>45832</v>
      </c>
      <c r="P1818" s="59"/>
      <c r="Q1818" s="124" t="e">
        <f>P1818*#REF!</f>
        <v>#REF!</v>
      </c>
      <c r="S1818" s="153">
        <f>IF(L1818="","",L1818-B1818)</f>
        <v>4</v>
      </c>
      <c r="T1818" s="153">
        <f>IF(N1818="","",N1818-L1818)</f>
        <v>8</v>
      </c>
      <c r="U1818" s="153">
        <f>IF(O1818="","",O1818-N1818)</f>
        <v>7</v>
      </c>
      <c r="V1818" s="154">
        <f>IF(O1818="","",O1818-B1818)</f>
        <v>19</v>
      </c>
      <c r="W1818" s="154">
        <f>IF(O1818="","",O1818-L1818)</f>
        <v>15</v>
      </c>
      <c r="X1818" s="154" t="str">
        <f>IF(R1818="","",R1818-B1818)</f>
        <v/>
      </c>
    </row>
    <row r="1819" spans="2:24" ht="17.25" hidden="1" customHeight="1">
      <c r="B1819" s="23">
        <v>45813</v>
      </c>
      <c r="C1819" s="7">
        <v>2003410660</v>
      </c>
      <c r="D1819" s="20">
        <v>5976157</v>
      </c>
      <c r="E1819" s="27" t="s">
        <v>408</v>
      </c>
      <c r="F1819" s="7" t="s">
        <v>107</v>
      </c>
      <c r="G1819" s="7" t="s">
        <v>10</v>
      </c>
      <c r="H1819" s="7" t="s">
        <v>45</v>
      </c>
      <c r="I1819" s="20" t="s">
        <v>2803</v>
      </c>
      <c r="J1819" s="20" t="s">
        <v>2804</v>
      </c>
      <c r="K1819" s="7" t="s">
        <v>119</v>
      </c>
      <c r="L1819" s="61">
        <v>45817</v>
      </c>
      <c r="M1819" s="7" t="s">
        <v>111</v>
      </c>
      <c r="N1819" s="61">
        <v>45818</v>
      </c>
      <c r="O1819" s="61">
        <v>45821</v>
      </c>
      <c r="P1819" s="59"/>
      <c r="Q1819" s="124" t="e">
        <f>P1819*#REF!</f>
        <v>#REF!</v>
      </c>
      <c r="R1819" s="126">
        <v>45825</v>
      </c>
      <c r="S1819" s="153">
        <f>IF(L1819="","",L1819-B1819)</f>
        <v>4</v>
      </c>
      <c r="T1819" s="153">
        <f>IF(N1819="","",N1819-L1819)</f>
        <v>1</v>
      </c>
      <c r="U1819" s="153">
        <f>IF(O1819="","",O1819-N1819)</f>
        <v>3</v>
      </c>
      <c r="V1819" s="154">
        <f>IF(O1819="","",O1819-B1819)</f>
        <v>8</v>
      </c>
      <c r="W1819" s="154">
        <f>IF(O1819="","",O1819-L1819)</f>
        <v>4</v>
      </c>
      <c r="X1819" s="154">
        <f>IF(R1819="","",R1819-B1819)</f>
        <v>12</v>
      </c>
    </row>
    <row r="1820" spans="2:24" ht="17.25" hidden="1" customHeight="1">
      <c r="B1820" s="23">
        <v>45814</v>
      </c>
      <c r="C1820" s="7">
        <v>2003665055</v>
      </c>
      <c r="D1820" s="20">
        <v>186505</v>
      </c>
      <c r="E1820" s="27" t="s">
        <v>566</v>
      </c>
      <c r="F1820" s="7" t="s">
        <v>107</v>
      </c>
      <c r="G1820" s="7" t="s">
        <v>26</v>
      </c>
      <c r="H1820" s="7" t="s">
        <v>45</v>
      </c>
      <c r="I1820" s="20" t="s">
        <v>437</v>
      </c>
      <c r="J1820" s="20" t="s">
        <v>2805</v>
      </c>
      <c r="K1820" s="7" t="s">
        <v>110</v>
      </c>
      <c r="L1820" s="61">
        <v>45817</v>
      </c>
      <c r="M1820" s="7" t="s">
        <v>111</v>
      </c>
      <c r="N1820" s="24">
        <v>45820</v>
      </c>
      <c r="O1820" s="58">
        <v>45820</v>
      </c>
      <c r="P1820" s="59"/>
      <c r="Q1820" s="124" t="e">
        <f>P1820*#REF!</f>
        <v>#REF!</v>
      </c>
      <c r="R1820" s="126">
        <v>45820</v>
      </c>
      <c r="S1820" s="153">
        <f>IF(L1820="","",L1820-B1820)</f>
        <v>3</v>
      </c>
      <c r="T1820" s="153">
        <f>IF(N1820="","",N1820-L1820)</f>
        <v>3</v>
      </c>
      <c r="U1820" s="153">
        <f>IF(O1820="","",O1820-N1820)</f>
        <v>0</v>
      </c>
      <c r="V1820" s="154">
        <f>IF(O1820="","",O1820-B1820)</f>
        <v>6</v>
      </c>
      <c r="W1820" s="154">
        <f>IF(O1820="","",O1820-L1820)</f>
        <v>3</v>
      </c>
      <c r="X1820" s="154">
        <f>IF(R1820="","",R1820-B1820)</f>
        <v>6</v>
      </c>
    </row>
    <row r="1821" spans="2:24" ht="17.25" hidden="1" customHeight="1">
      <c r="B1821" s="23">
        <v>45814</v>
      </c>
      <c r="C1821" s="7">
        <v>2003667214</v>
      </c>
      <c r="D1821" s="20">
        <v>186360</v>
      </c>
      <c r="E1821" s="27" t="s">
        <v>198</v>
      </c>
      <c r="F1821" s="7" t="s">
        <v>107</v>
      </c>
      <c r="G1821" s="7" t="s">
        <v>10</v>
      </c>
      <c r="H1821" s="7" t="s">
        <v>45</v>
      </c>
      <c r="I1821" s="20" t="s">
        <v>2806</v>
      </c>
      <c r="J1821" s="20" t="s">
        <v>2807</v>
      </c>
      <c r="K1821" s="7" t="s">
        <v>119</v>
      </c>
      <c r="L1821" s="61">
        <v>45817</v>
      </c>
      <c r="M1821" s="7" t="s">
        <v>111</v>
      </c>
      <c r="N1821" s="61">
        <v>45818</v>
      </c>
      <c r="O1821" s="61">
        <v>45818</v>
      </c>
      <c r="P1821" s="59"/>
      <c r="Q1821" s="124" t="e">
        <f>P1821*#REF!</f>
        <v>#REF!</v>
      </c>
      <c r="R1821" s="126">
        <v>45820</v>
      </c>
      <c r="S1821" s="153">
        <f>IF(L1821="","",L1821-B1821)</f>
        <v>3</v>
      </c>
      <c r="T1821" s="153">
        <f>IF(N1821="","",N1821-L1821)</f>
        <v>1</v>
      </c>
      <c r="U1821" s="153">
        <f>IF(O1821="","",O1821-N1821)</f>
        <v>0</v>
      </c>
      <c r="V1821" s="154">
        <f>IF(O1821="","",O1821-B1821)</f>
        <v>4</v>
      </c>
      <c r="W1821" s="154">
        <f>IF(O1821="","",O1821-L1821)</f>
        <v>1</v>
      </c>
      <c r="X1821" s="154">
        <f>IF(R1821="","",R1821-B1821)</f>
        <v>6</v>
      </c>
    </row>
    <row r="1822" spans="2:24" ht="17.25" hidden="1" customHeight="1">
      <c r="B1822" s="23">
        <v>45814</v>
      </c>
      <c r="C1822" s="7">
        <v>2003695026</v>
      </c>
      <c r="D1822" s="20">
        <v>186247</v>
      </c>
      <c r="E1822" s="27" t="s">
        <v>129</v>
      </c>
      <c r="F1822" s="7" t="s">
        <v>107</v>
      </c>
      <c r="G1822" s="7" t="s">
        <v>10</v>
      </c>
      <c r="H1822" s="7" t="s">
        <v>45</v>
      </c>
      <c r="I1822" s="20" t="s">
        <v>2666</v>
      </c>
      <c r="J1822" s="20" t="s">
        <v>2667</v>
      </c>
      <c r="K1822" s="7" t="s">
        <v>110</v>
      </c>
      <c r="L1822" s="61">
        <v>45814</v>
      </c>
      <c r="M1822" s="7" t="s">
        <v>111</v>
      </c>
      <c r="N1822" s="24">
        <v>45814</v>
      </c>
      <c r="O1822" s="58">
        <v>45814</v>
      </c>
      <c r="P1822" s="59"/>
      <c r="Q1822" s="124" t="e">
        <f>P1822*#REF!</f>
        <v>#REF!</v>
      </c>
      <c r="R1822" s="126">
        <v>45820</v>
      </c>
      <c r="S1822" s="153">
        <f>IF(L1822="","",L1822-B1822)</f>
        <v>0</v>
      </c>
      <c r="T1822" s="153">
        <f>IF(N1822="","",N1822-L1822)</f>
        <v>0</v>
      </c>
      <c r="U1822" s="153">
        <f>IF(O1822="","",O1822-N1822)</f>
        <v>0</v>
      </c>
      <c r="V1822" s="154">
        <f>IF(O1822="","",O1822-B1822)</f>
        <v>0</v>
      </c>
      <c r="W1822" s="154">
        <f>IF(O1822="","",O1822-L1822)</f>
        <v>0</v>
      </c>
      <c r="X1822" s="154">
        <f>IF(R1822="","",R1822-B1822)</f>
        <v>6</v>
      </c>
    </row>
    <row r="1823" spans="2:24" ht="17.25" hidden="1" customHeight="1">
      <c r="B1823" s="23">
        <v>45814</v>
      </c>
      <c r="C1823" s="7">
        <v>2003664820</v>
      </c>
      <c r="D1823" s="20">
        <v>186195</v>
      </c>
      <c r="E1823" s="27" t="s">
        <v>201</v>
      </c>
      <c r="F1823" s="7" t="s">
        <v>107</v>
      </c>
      <c r="G1823" s="7" t="s">
        <v>10</v>
      </c>
      <c r="H1823" s="7" t="s">
        <v>45</v>
      </c>
      <c r="I1823" s="20" t="s">
        <v>981</v>
      </c>
      <c r="J1823" s="20" t="s">
        <v>1850</v>
      </c>
      <c r="K1823" s="7" t="s">
        <v>119</v>
      </c>
      <c r="L1823" s="61">
        <v>45818</v>
      </c>
      <c r="M1823" s="7" t="s">
        <v>111</v>
      </c>
      <c r="N1823" s="61">
        <v>45818</v>
      </c>
      <c r="O1823" s="61">
        <v>45818</v>
      </c>
      <c r="P1823" s="59"/>
      <c r="Q1823" s="124" t="e">
        <f>P1823*#REF!</f>
        <v>#REF!</v>
      </c>
      <c r="R1823" s="126">
        <v>45820</v>
      </c>
      <c r="S1823" s="153">
        <f>IF(L1823="","",L1823-B1823)</f>
        <v>4</v>
      </c>
      <c r="T1823" s="153">
        <f>IF(N1823="","",N1823-L1823)</f>
        <v>0</v>
      </c>
      <c r="U1823" s="153">
        <f>IF(O1823="","",O1823-N1823)</f>
        <v>0</v>
      </c>
      <c r="V1823" s="154">
        <f>IF(O1823="","",O1823-B1823)</f>
        <v>4</v>
      </c>
      <c r="W1823" s="154">
        <f>IF(O1823="","",O1823-L1823)</f>
        <v>0</v>
      </c>
      <c r="X1823" s="154">
        <f>IF(R1823="","",R1823-B1823)</f>
        <v>6</v>
      </c>
    </row>
    <row r="1824" spans="2:24" ht="17.25" hidden="1" customHeight="1">
      <c r="B1824" s="23">
        <v>45814</v>
      </c>
      <c r="C1824" s="7">
        <v>2003700782</v>
      </c>
      <c r="D1824" s="20">
        <v>186020</v>
      </c>
      <c r="E1824" s="27" t="s">
        <v>123</v>
      </c>
      <c r="F1824" s="7" t="s">
        <v>107</v>
      </c>
      <c r="G1824" s="7" t="s">
        <v>10</v>
      </c>
      <c r="H1824" s="7" t="s">
        <v>45</v>
      </c>
      <c r="I1824" s="20" t="s">
        <v>2808</v>
      </c>
      <c r="J1824" s="20" t="s">
        <v>2809</v>
      </c>
      <c r="K1824" s="7" t="s">
        <v>119</v>
      </c>
      <c r="L1824" s="61">
        <v>45818</v>
      </c>
      <c r="M1824" s="7" t="s">
        <v>111</v>
      </c>
      <c r="N1824" s="61">
        <v>45818</v>
      </c>
      <c r="O1824" s="58">
        <v>45819</v>
      </c>
      <c r="P1824" s="59"/>
      <c r="Q1824" s="124" t="e">
        <f>P1824*#REF!</f>
        <v>#REF!</v>
      </c>
      <c r="R1824" s="126">
        <v>45820</v>
      </c>
      <c r="S1824" s="153">
        <f>IF(L1824="","",L1824-B1824)</f>
        <v>4</v>
      </c>
      <c r="T1824" s="153">
        <f>IF(N1824="","",N1824-L1824)</f>
        <v>0</v>
      </c>
      <c r="U1824" s="153">
        <f>IF(O1824="","",O1824-N1824)</f>
        <v>1</v>
      </c>
      <c r="V1824" s="154">
        <f>IF(O1824="","",O1824-B1824)</f>
        <v>5</v>
      </c>
      <c r="W1824" s="154">
        <f>IF(O1824="","",O1824-L1824)</f>
        <v>1</v>
      </c>
      <c r="X1824" s="154">
        <f>IF(R1824="","",R1824-B1824)</f>
        <v>6</v>
      </c>
    </row>
    <row r="1825" spans="2:24" ht="17.25" hidden="1" customHeight="1">
      <c r="B1825" s="23">
        <v>45814</v>
      </c>
      <c r="C1825" s="7">
        <v>2003666817</v>
      </c>
      <c r="D1825" s="20">
        <v>5976412</v>
      </c>
      <c r="E1825" s="27" t="s">
        <v>123</v>
      </c>
      <c r="F1825" s="7" t="s">
        <v>107</v>
      </c>
      <c r="G1825" s="7" t="s">
        <v>10</v>
      </c>
      <c r="H1825" s="7" t="s">
        <v>45</v>
      </c>
      <c r="I1825" s="20" t="s">
        <v>919</v>
      </c>
      <c r="J1825" s="20" t="s">
        <v>2810</v>
      </c>
      <c r="K1825" s="7" t="s">
        <v>119</v>
      </c>
      <c r="L1825" s="61">
        <v>45819</v>
      </c>
      <c r="M1825" s="7" t="s">
        <v>111</v>
      </c>
      <c r="N1825" s="61">
        <v>45819</v>
      </c>
      <c r="O1825" s="58">
        <v>45820</v>
      </c>
      <c r="P1825" s="59"/>
      <c r="Q1825" s="124" t="e">
        <f>P1825*#REF!</f>
        <v>#REF!</v>
      </c>
      <c r="R1825" s="126">
        <v>45825</v>
      </c>
      <c r="S1825" s="153">
        <f>IF(L1825="","",L1825-B1825)</f>
        <v>5</v>
      </c>
      <c r="T1825" s="153">
        <f>IF(N1825="","",N1825-L1825)</f>
        <v>0</v>
      </c>
      <c r="U1825" s="153">
        <f>IF(O1825="","",O1825-N1825)</f>
        <v>1</v>
      </c>
      <c r="V1825" s="154">
        <f>IF(O1825="","",O1825-B1825)</f>
        <v>6</v>
      </c>
      <c r="W1825" s="154">
        <f>IF(O1825="","",O1825-L1825)</f>
        <v>1</v>
      </c>
      <c r="X1825" s="154">
        <f>IF(R1825="","",R1825-B1825)</f>
        <v>11</v>
      </c>
    </row>
    <row r="1826" spans="2:24" ht="17.25" hidden="1" customHeight="1">
      <c r="B1826" s="23">
        <v>45814</v>
      </c>
      <c r="C1826" s="7">
        <v>2003656741</v>
      </c>
      <c r="D1826" s="20">
        <v>5976550</v>
      </c>
      <c r="E1826" s="27" t="s">
        <v>116</v>
      </c>
      <c r="F1826" s="7" t="s">
        <v>107</v>
      </c>
      <c r="G1826" s="7" t="s">
        <v>21</v>
      </c>
      <c r="H1826" s="7" t="s">
        <v>45</v>
      </c>
      <c r="I1826" s="20" t="s">
        <v>2811</v>
      </c>
      <c r="J1826" s="20" t="s">
        <v>1287</v>
      </c>
      <c r="K1826" s="7" t="s">
        <v>119</v>
      </c>
      <c r="L1826" s="61">
        <v>45817</v>
      </c>
      <c r="M1826" s="7" t="s">
        <v>111</v>
      </c>
      <c r="N1826" s="24">
        <v>45825</v>
      </c>
      <c r="O1826" s="24">
        <v>45825</v>
      </c>
      <c r="P1826" s="59"/>
      <c r="Q1826" s="124" t="e">
        <f>P1826*#REF!</f>
        <v>#REF!</v>
      </c>
      <c r="R1826" s="126">
        <v>45825</v>
      </c>
      <c r="S1826" s="153">
        <f>IF(L1826="","",L1826-B1826)</f>
        <v>3</v>
      </c>
      <c r="T1826" s="153">
        <f>IF(N1826="","",N1826-L1826)</f>
        <v>8</v>
      </c>
      <c r="U1826" s="153">
        <f>IF(O1826="","",O1826-N1826)</f>
        <v>0</v>
      </c>
      <c r="V1826" s="154">
        <f>IF(O1826="","",O1826-B1826)</f>
        <v>11</v>
      </c>
      <c r="W1826" s="154">
        <f>IF(O1826="","",O1826-L1826)</f>
        <v>8</v>
      </c>
      <c r="X1826" s="154">
        <f>IF(R1826="","",R1826-B1826)</f>
        <v>11</v>
      </c>
    </row>
    <row r="1827" spans="2:24" ht="17.25" hidden="1" customHeight="1">
      <c r="B1827" s="23">
        <v>45814</v>
      </c>
      <c r="C1827" s="7">
        <v>2003665289</v>
      </c>
      <c r="D1827" s="20">
        <v>5976567</v>
      </c>
      <c r="E1827" s="27" t="s">
        <v>106</v>
      </c>
      <c r="F1827" s="7" t="s">
        <v>107</v>
      </c>
      <c r="G1827" s="7" t="s">
        <v>10</v>
      </c>
      <c r="H1827" s="7" t="s">
        <v>45</v>
      </c>
      <c r="I1827" s="20" t="s">
        <v>310</v>
      </c>
      <c r="J1827" s="20" t="s">
        <v>2812</v>
      </c>
      <c r="K1827" s="7" t="s">
        <v>110</v>
      </c>
      <c r="L1827" s="61">
        <v>45818</v>
      </c>
      <c r="M1827" s="7" t="s">
        <v>111</v>
      </c>
      <c r="N1827" s="61">
        <v>45818</v>
      </c>
      <c r="O1827" s="61">
        <v>45818</v>
      </c>
      <c r="P1827" s="59"/>
      <c r="Q1827" s="124" t="e">
        <f>P1827*#REF!</f>
        <v>#REF!</v>
      </c>
      <c r="R1827" s="126">
        <v>45820</v>
      </c>
      <c r="S1827" s="153">
        <f>IF(L1827="","",L1827-B1827)</f>
        <v>4</v>
      </c>
      <c r="T1827" s="153">
        <f>IF(N1827="","",N1827-L1827)</f>
        <v>0</v>
      </c>
      <c r="U1827" s="153">
        <f>IF(O1827="","",O1827-N1827)</f>
        <v>0</v>
      </c>
      <c r="V1827" s="154">
        <f>IF(O1827="","",O1827-B1827)</f>
        <v>4</v>
      </c>
      <c r="W1827" s="154">
        <f>IF(O1827="","",O1827-L1827)</f>
        <v>0</v>
      </c>
      <c r="X1827" s="154">
        <f>IF(R1827="","",R1827-B1827)</f>
        <v>6</v>
      </c>
    </row>
    <row r="1828" spans="2:24" ht="17.25" hidden="1" customHeight="1">
      <c r="B1828" s="23">
        <v>45814</v>
      </c>
      <c r="C1828" s="7">
        <v>2003685681</v>
      </c>
      <c r="D1828" s="20">
        <v>5976670</v>
      </c>
      <c r="E1828" s="27" t="s">
        <v>265</v>
      </c>
      <c r="F1828" s="7" t="s">
        <v>107</v>
      </c>
      <c r="G1828" s="7" t="s">
        <v>15</v>
      </c>
      <c r="H1828" s="7" t="s">
        <v>45</v>
      </c>
      <c r="I1828" s="20" t="s">
        <v>2813</v>
      </c>
      <c r="J1828" s="20" t="s">
        <v>2499</v>
      </c>
      <c r="K1828" s="7" t="s">
        <v>119</v>
      </c>
      <c r="L1828" s="61">
        <v>45817</v>
      </c>
      <c r="M1828" s="7" t="s">
        <v>111</v>
      </c>
      <c r="N1828" s="61">
        <v>45818</v>
      </c>
      <c r="O1828" s="61">
        <v>45818</v>
      </c>
      <c r="P1828" s="59"/>
      <c r="Q1828" s="124" t="e">
        <f>P1828*#REF!</f>
        <v>#REF!</v>
      </c>
      <c r="R1828" s="126">
        <v>45820</v>
      </c>
      <c r="S1828" s="153">
        <f>IF(L1828="","",L1828-B1828)</f>
        <v>3</v>
      </c>
      <c r="T1828" s="153">
        <f>IF(N1828="","",N1828-L1828)</f>
        <v>1</v>
      </c>
      <c r="U1828" s="153">
        <f>IF(O1828="","",O1828-N1828)</f>
        <v>0</v>
      </c>
      <c r="V1828" s="154">
        <f>IF(O1828="","",O1828-B1828)</f>
        <v>4</v>
      </c>
      <c r="W1828" s="154">
        <f>IF(O1828="","",O1828-L1828)</f>
        <v>1</v>
      </c>
      <c r="X1828" s="154">
        <f>IF(R1828="","",R1828-B1828)</f>
        <v>6</v>
      </c>
    </row>
    <row r="1829" spans="2:24" ht="17.25" hidden="1" customHeight="1">
      <c r="B1829" s="23">
        <v>45814</v>
      </c>
      <c r="C1829" s="7">
        <v>2003683272</v>
      </c>
      <c r="D1829" s="20">
        <v>5976685</v>
      </c>
      <c r="E1829" s="27" t="s">
        <v>143</v>
      </c>
      <c r="F1829" s="7" t="s">
        <v>107</v>
      </c>
      <c r="G1829" s="7" t="s">
        <v>30</v>
      </c>
      <c r="H1829" s="7" t="s">
        <v>45</v>
      </c>
      <c r="I1829" s="20" t="s">
        <v>2814</v>
      </c>
      <c r="J1829" s="20" t="s">
        <v>2815</v>
      </c>
      <c r="K1829" s="7" t="s">
        <v>111</v>
      </c>
      <c r="L1829" s="61">
        <v>45817</v>
      </c>
      <c r="M1829" s="7" t="s">
        <v>111</v>
      </c>
      <c r="N1829" s="61">
        <v>45817</v>
      </c>
      <c r="O1829" s="58">
        <v>45825</v>
      </c>
      <c r="P1829" s="59"/>
      <c r="Q1829" s="124" t="e">
        <f>P1829*#REF!</f>
        <v>#REF!</v>
      </c>
      <c r="R1829" s="126">
        <v>45825</v>
      </c>
      <c r="S1829" s="153">
        <f>IF(L1829="","",L1829-B1829)</f>
        <v>3</v>
      </c>
      <c r="T1829" s="153">
        <f>IF(N1829="","",N1829-L1829)</f>
        <v>0</v>
      </c>
      <c r="U1829" s="153">
        <f>IF(O1829="","",O1829-N1829)</f>
        <v>8</v>
      </c>
      <c r="V1829" s="154">
        <f>IF(O1829="","",O1829-B1829)</f>
        <v>11</v>
      </c>
      <c r="W1829" s="154">
        <f>IF(O1829="","",O1829-L1829)</f>
        <v>8</v>
      </c>
      <c r="X1829" s="154">
        <f>IF(R1829="","",R1829-B1829)</f>
        <v>11</v>
      </c>
    </row>
    <row r="1830" spans="2:24" ht="17.25" hidden="1" customHeight="1">
      <c r="B1830" s="23">
        <v>45814</v>
      </c>
      <c r="C1830" s="7">
        <v>2003671152</v>
      </c>
      <c r="D1830" s="20">
        <v>5976745</v>
      </c>
      <c r="E1830" s="27" t="s">
        <v>201</v>
      </c>
      <c r="F1830" s="7" t="s">
        <v>107</v>
      </c>
      <c r="G1830" s="7" t="s">
        <v>10</v>
      </c>
      <c r="H1830" s="7" t="s">
        <v>42</v>
      </c>
      <c r="I1830" s="20" t="s">
        <v>214</v>
      </c>
      <c r="J1830" s="20" t="s">
        <v>2252</v>
      </c>
      <c r="K1830" s="7" t="s">
        <v>160</v>
      </c>
      <c r="L1830" s="61">
        <v>45814</v>
      </c>
      <c r="M1830" s="7" t="s">
        <v>111</v>
      </c>
      <c r="N1830" s="24">
        <v>45814</v>
      </c>
      <c r="O1830" s="58">
        <v>45814</v>
      </c>
      <c r="P1830" s="59"/>
      <c r="Q1830" s="124" t="e">
        <f>P1830*#REF!</f>
        <v>#REF!</v>
      </c>
      <c r="R1830" s="126">
        <v>45814</v>
      </c>
      <c r="S1830" s="153">
        <f>IF(L1830="","",L1830-B1830)</f>
        <v>0</v>
      </c>
      <c r="T1830" s="153">
        <f>IF(N1830="","",N1830-L1830)</f>
        <v>0</v>
      </c>
      <c r="U1830" s="153">
        <f>IF(O1830="","",O1830-N1830)</f>
        <v>0</v>
      </c>
      <c r="V1830" s="154">
        <f>IF(O1830="","",O1830-B1830)</f>
        <v>0</v>
      </c>
      <c r="W1830" s="154">
        <f>IF(O1830="","",O1830-L1830)</f>
        <v>0</v>
      </c>
      <c r="X1830" s="154">
        <f>IF(R1830="","",R1830-B1830)</f>
        <v>0</v>
      </c>
    </row>
    <row r="1831" spans="2:24" ht="17.25" hidden="1" customHeight="1">
      <c r="B1831" s="23">
        <v>45814</v>
      </c>
      <c r="C1831" s="7">
        <v>2003701000</v>
      </c>
      <c r="D1831" s="20">
        <v>5976871</v>
      </c>
      <c r="E1831" s="27" t="s">
        <v>126</v>
      </c>
      <c r="F1831" s="7" t="s">
        <v>107</v>
      </c>
      <c r="G1831" s="7" t="s">
        <v>10</v>
      </c>
      <c r="H1831" s="7" t="s">
        <v>45</v>
      </c>
      <c r="I1831" s="20" t="s">
        <v>2816</v>
      </c>
      <c r="J1831" s="20" t="s">
        <v>2817</v>
      </c>
      <c r="K1831" s="7" t="s">
        <v>110</v>
      </c>
      <c r="L1831" s="61">
        <v>45820</v>
      </c>
      <c r="M1831" s="7" t="s">
        <v>111</v>
      </c>
      <c r="N1831" s="61">
        <v>45820</v>
      </c>
      <c r="O1831" s="61">
        <v>45821</v>
      </c>
      <c r="P1831" s="59"/>
      <c r="Q1831" s="124" t="e">
        <f>P1831*#REF!</f>
        <v>#REF!</v>
      </c>
      <c r="R1831" s="126">
        <v>45826</v>
      </c>
      <c r="S1831" s="153">
        <f>IF(L1831="","",L1831-B1831)</f>
        <v>6</v>
      </c>
      <c r="T1831" s="153">
        <f>IF(N1831="","",N1831-L1831)</f>
        <v>0</v>
      </c>
      <c r="U1831" s="153">
        <f>IF(O1831="","",O1831-N1831)</f>
        <v>1</v>
      </c>
      <c r="V1831" s="154">
        <f>IF(O1831="","",O1831-B1831)</f>
        <v>7</v>
      </c>
      <c r="W1831" s="154">
        <f>IF(O1831="","",O1831-L1831)</f>
        <v>1</v>
      </c>
      <c r="X1831" s="154">
        <f>IF(R1831="","",R1831-B1831)</f>
        <v>12</v>
      </c>
    </row>
    <row r="1832" spans="2:24" ht="17.25" hidden="1" customHeight="1">
      <c r="B1832" s="23">
        <v>45814</v>
      </c>
      <c r="C1832" s="7">
        <v>2003706767</v>
      </c>
      <c r="D1832" s="20">
        <v>5976883</v>
      </c>
      <c r="E1832" s="27" t="s">
        <v>404</v>
      </c>
      <c r="F1832" s="7" t="s">
        <v>107</v>
      </c>
      <c r="G1832" s="7" t="s">
        <v>10</v>
      </c>
      <c r="H1832" s="7" t="s">
        <v>47</v>
      </c>
      <c r="I1832" s="20" t="s">
        <v>2818</v>
      </c>
      <c r="J1832" s="20" t="s">
        <v>2819</v>
      </c>
      <c r="K1832" s="7" t="s">
        <v>160</v>
      </c>
      <c r="O1832" s="58">
        <v>45825</v>
      </c>
      <c r="P1832" s="59"/>
      <c r="Q1832" s="124" t="e">
        <f>P1832*#REF!</f>
        <v>#REF!</v>
      </c>
      <c r="S1832" s="153" t="str">
        <f>IF(L1832="","",L1832-B1832)</f>
        <v/>
      </c>
      <c r="T1832" s="153" t="str">
        <f>IF(N1832="","",N1832-L1832)</f>
        <v/>
      </c>
      <c r="U1832" s="153">
        <f>IF(O1832="","",O1832-N1832)</f>
        <v>45825</v>
      </c>
      <c r="V1832" s="154">
        <f>IF(O1832="","",O1832-B1832)</f>
        <v>11</v>
      </c>
      <c r="W1832" s="154">
        <f>IF(O1832="","",O1832-L1832)</f>
        <v>45825</v>
      </c>
      <c r="X1832" s="154" t="str">
        <f>IF(R1832="","",R1832-B1832)</f>
        <v/>
      </c>
    </row>
    <row r="1833" spans="2:24" ht="17.25" hidden="1" customHeight="1">
      <c r="B1833" s="23">
        <v>45814</v>
      </c>
      <c r="C1833" s="7">
        <v>2003671280</v>
      </c>
      <c r="D1833" s="20">
        <v>5976923</v>
      </c>
      <c r="E1833" s="27" t="s">
        <v>408</v>
      </c>
      <c r="F1833" s="7" t="s">
        <v>107</v>
      </c>
      <c r="G1833" s="7" t="s">
        <v>10</v>
      </c>
      <c r="H1833" s="7" t="s">
        <v>45</v>
      </c>
      <c r="I1833" s="20" t="s">
        <v>2820</v>
      </c>
      <c r="J1833" s="20" t="s">
        <v>2821</v>
      </c>
      <c r="K1833" s="7" t="s">
        <v>119</v>
      </c>
      <c r="L1833" s="61">
        <v>45818</v>
      </c>
      <c r="M1833" s="7" t="s">
        <v>111</v>
      </c>
      <c r="N1833" s="61">
        <v>45818</v>
      </c>
      <c r="O1833" s="61">
        <v>45818</v>
      </c>
      <c r="P1833" s="59"/>
      <c r="Q1833" s="124" t="e">
        <f>P1833*#REF!</f>
        <v>#REF!</v>
      </c>
      <c r="R1833" s="126">
        <v>45820</v>
      </c>
      <c r="S1833" s="153">
        <f>IF(L1833="","",L1833-B1833)</f>
        <v>4</v>
      </c>
      <c r="T1833" s="153">
        <f>IF(N1833="","",N1833-L1833)</f>
        <v>0</v>
      </c>
      <c r="U1833" s="153">
        <f>IF(O1833="","",O1833-N1833)</f>
        <v>0</v>
      </c>
      <c r="V1833" s="154">
        <f>IF(O1833="","",O1833-B1833)</f>
        <v>4</v>
      </c>
      <c r="W1833" s="154">
        <f>IF(O1833="","",O1833-L1833)</f>
        <v>0</v>
      </c>
      <c r="X1833" s="154">
        <f>IF(R1833="","",R1833-B1833)</f>
        <v>6</v>
      </c>
    </row>
    <row r="1834" spans="2:24" ht="17.25" hidden="1" customHeight="1">
      <c r="B1834" s="23">
        <v>45814</v>
      </c>
      <c r="C1834" s="7">
        <v>2003708992</v>
      </c>
      <c r="D1834" s="20">
        <v>5976949</v>
      </c>
      <c r="E1834" s="27" t="s">
        <v>185</v>
      </c>
      <c r="F1834" s="7" t="s">
        <v>107</v>
      </c>
      <c r="G1834" s="7" t="s">
        <v>26</v>
      </c>
      <c r="H1834" s="7" t="s">
        <v>45</v>
      </c>
      <c r="I1834" s="20" t="s">
        <v>1614</v>
      </c>
      <c r="J1834" s="20" t="s">
        <v>2822</v>
      </c>
      <c r="K1834" s="7" t="s">
        <v>110</v>
      </c>
      <c r="L1834" s="61">
        <v>45827</v>
      </c>
      <c r="M1834" s="7" t="s">
        <v>111</v>
      </c>
      <c r="N1834" s="24">
        <v>45830</v>
      </c>
      <c r="O1834" s="58">
        <v>45830</v>
      </c>
      <c r="P1834" s="59"/>
      <c r="Q1834" s="124" t="e">
        <f>P1834*#REF!</f>
        <v>#REF!</v>
      </c>
      <c r="R1834" s="126">
        <v>45830</v>
      </c>
      <c r="S1834" s="153">
        <f>IF(L1834="","",L1834-B1834)</f>
        <v>13</v>
      </c>
      <c r="T1834" s="153">
        <f>IF(N1834="","",N1834-L1834)</f>
        <v>3</v>
      </c>
      <c r="U1834" s="153">
        <f>IF(O1834="","",O1834-N1834)</f>
        <v>0</v>
      </c>
      <c r="V1834" s="154">
        <f>IF(O1834="","",O1834-B1834)</f>
        <v>16</v>
      </c>
      <c r="W1834" s="154">
        <f>IF(O1834="","",O1834-L1834)</f>
        <v>3</v>
      </c>
      <c r="X1834" s="154">
        <f>IF(R1834="","",R1834-B1834)</f>
        <v>16</v>
      </c>
    </row>
    <row r="1835" spans="2:24" ht="17.25" hidden="1" customHeight="1">
      <c r="B1835" s="23">
        <v>45814</v>
      </c>
      <c r="C1835" s="7">
        <v>2003695838</v>
      </c>
      <c r="D1835" s="20">
        <v>5976954</v>
      </c>
      <c r="E1835" s="27" t="s">
        <v>180</v>
      </c>
      <c r="F1835" s="7" t="s">
        <v>107</v>
      </c>
      <c r="G1835" s="7" t="s">
        <v>10</v>
      </c>
      <c r="H1835" s="7" t="s">
        <v>45</v>
      </c>
      <c r="I1835" s="20" t="s">
        <v>2823</v>
      </c>
      <c r="J1835" s="20" t="s">
        <v>2824</v>
      </c>
      <c r="K1835" s="7" t="s">
        <v>110</v>
      </c>
      <c r="L1835" s="61">
        <v>45821</v>
      </c>
      <c r="M1835" s="7" t="s">
        <v>111</v>
      </c>
      <c r="N1835" s="61">
        <v>45821</v>
      </c>
      <c r="O1835" s="61">
        <v>45821</v>
      </c>
      <c r="P1835" s="59"/>
      <c r="Q1835" s="124" t="e">
        <f>P1835*#REF!</f>
        <v>#REF!</v>
      </c>
      <c r="R1835" s="126">
        <v>45826</v>
      </c>
      <c r="S1835" s="153">
        <f>IF(L1835="","",L1835-B1835)</f>
        <v>7</v>
      </c>
      <c r="T1835" s="153">
        <f>IF(N1835="","",N1835-L1835)</f>
        <v>0</v>
      </c>
      <c r="U1835" s="153">
        <f>IF(O1835="","",O1835-N1835)</f>
        <v>0</v>
      </c>
      <c r="V1835" s="154">
        <f>IF(O1835="","",O1835-B1835)</f>
        <v>7</v>
      </c>
      <c r="W1835" s="154">
        <f>IF(O1835="","",O1835-L1835)</f>
        <v>0</v>
      </c>
      <c r="X1835" s="154">
        <f>IF(R1835="","",R1835-B1835)</f>
        <v>12</v>
      </c>
    </row>
    <row r="1836" spans="2:24" ht="17.25" hidden="1" customHeight="1">
      <c r="B1836" s="23">
        <v>45817</v>
      </c>
      <c r="C1836" s="7">
        <v>2003710163</v>
      </c>
      <c r="D1836" s="20">
        <v>187651</v>
      </c>
      <c r="E1836" s="27" t="s">
        <v>143</v>
      </c>
      <c r="F1836" s="7" t="s">
        <v>107</v>
      </c>
      <c r="G1836" s="7" t="s">
        <v>10</v>
      </c>
      <c r="H1836" s="7" t="s">
        <v>47</v>
      </c>
      <c r="I1836" s="20" t="s">
        <v>2825</v>
      </c>
      <c r="J1836" s="20" t="s">
        <v>2826</v>
      </c>
      <c r="K1836" s="7" t="s">
        <v>160</v>
      </c>
      <c r="O1836" s="58">
        <v>45821</v>
      </c>
      <c r="P1836" s="59"/>
      <c r="Q1836" s="124" t="e">
        <f>P1836*#REF!</f>
        <v>#REF!</v>
      </c>
      <c r="S1836" s="153" t="str">
        <f>IF(L1836="","",L1836-B1836)</f>
        <v/>
      </c>
      <c r="T1836" s="153" t="str">
        <f>IF(N1836="","",N1836-L1836)</f>
        <v/>
      </c>
      <c r="U1836" s="153">
        <f>IF(O1836="","",O1836-N1836)</f>
        <v>45821</v>
      </c>
      <c r="V1836" s="154">
        <f>IF(O1836="","",O1836-B1836)</f>
        <v>4</v>
      </c>
      <c r="W1836" s="154">
        <f>IF(O1836="","",O1836-L1836)</f>
        <v>45821</v>
      </c>
      <c r="X1836" s="154" t="str">
        <f>IF(R1836="","",R1836-B1836)</f>
        <v/>
      </c>
    </row>
    <row r="1837" spans="2:24" ht="17.25" hidden="1" customHeight="1">
      <c r="B1837" s="23">
        <v>45817</v>
      </c>
      <c r="C1837" s="7">
        <v>2003653865</v>
      </c>
      <c r="D1837" s="20">
        <v>187640</v>
      </c>
      <c r="E1837" s="27" t="s">
        <v>116</v>
      </c>
      <c r="F1837" s="7" t="s">
        <v>107</v>
      </c>
      <c r="G1837" s="7" t="s">
        <v>21</v>
      </c>
      <c r="H1837" s="7" t="s">
        <v>45</v>
      </c>
      <c r="I1837" s="20" t="s">
        <v>1974</v>
      </c>
      <c r="J1837" s="20" t="s">
        <v>1975</v>
      </c>
      <c r="K1837" s="7" t="s">
        <v>119</v>
      </c>
      <c r="L1837" s="61">
        <v>45818</v>
      </c>
      <c r="M1837" s="7" t="s">
        <v>111</v>
      </c>
      <c r="N1837" s="61">
        <v>45819</v>
      </c>
      <c r="O1837" s="58">
        <v>45820</v>
      </c>
      <c r="P1837" s="59"/>
      <c r="Q1837" s="124" t="e">
        <f>P1837*#REF!</f>
        <v>#REF!</v>
      </c>
      <c r="R1837" s="126">
        <v>45825</v>
      </c>
      <c r="S1837" s="153">
        <f>IF(L1837="","",L1837-B1837)</f>
        <v>1</v>
      </c>
      <c r="T1837" s="153">
        <f>IF(N1837="","",N1837-L1837)</f>
        <v>1</v>
      </c>
      <c r="U1837" s="153">
        <f>IF(O1837="","",O1837-N1837)</f>
        <v>1</v>
      </c>
      <c r="V1837" s="154">
        <f>IF(O1837="","",O1837-B1837)</f>
        <v>3</v>
      </c>
      <c r="W1837" s="154">
        <f>IF(O1837="","",O1837-L1837)</f>
        <v>2</v>
      </c>
      <c r="X1837" s="154">
        <f>IF(R1837="","",R1837-B1837)</f>
        <v>8</v>
      </c>
    </row>
    <row r="1838" spans="2:24" ht="17.25" hidden="1" customHeight="1">
      <c r="B1838" s="23">
        <v>45817</v>
      </c>
      <c r="C1838" s="7">
        <v>2003694392</v>
      </c>
      <c r="D1838" s="20">
        <v>187381</v>
      </c>
      <c r="E1838" s="27" t="s">
        <v>112</v>
      </c>
      <c r="F1838" s="7" t="s">
        <v>107</v>
      </c>
      <c r="G1838" s="7" t="s">
        <v>15</v>
      </c>
      <c r="H1838" s="7" t="s">
        <v>45</v>
      </c>
      <c r="I1838" s="20" t="s">
        <v>868</v>
      </c>
      <c r="J1838" s="20" t="s">
        <v>2827</v>
      </c>
      <c r="K1838" s="7" t="s">
        <v>110</v>
      </c>
      <c r="L1838" s="61">
        <v>45825</v>
      </c>
      <c r="M1838" s="7" t="s">
        <v>111</v>
      </c>
      <c r="N1838" s="61">
        <v>45825</v>
      </c>
      <c r="O1838" s="61">
        <v>45825</v>
      </c>
      <c r="P1838" s="59"/>
      <c r="Q1838" s="124" t="e">
        <f>P1838*#REF!</f>
        <v>#REF!</v>
      </c>
      <c r="R1838" s="126">
        <v>45826</v>
      </c>
      <c r="S1838" s="153">
        <f>IF(L1838="","",L1838-B1838)</f>
        <v>8</v>
      </c>
      <c r="T1838" s="153">
        <f>IF(N1838="","",N1838-L1838)</f>
        <v>0</v>
      </c>
      <c r="U1838" s="153">
        <f>IF(O1838="","",O1838-N1838)</f>
        <v>0</v>
      </c>
      <c r="V1838" s="154">
        <f>IF(O1838="","",O1838-B1838)</f>
        <v>8</v>
      </c>
      <c r="W1838" s="154">
        <f>IF(O1838="","",O1838-L1838)</f>
        <v>0</v>
      </c>
      <c r="X1838" s="154">
        <f>IF(R1838="","",R1838-B1838)</f>
        <v>9</v>
      </c>
    </row>
    <row r="1839" spans="2:24" ht="17.25" hidden="1" customHeight="1">
      <c r="B1839" s="23">
        <v>45817</v>
      </c>
      <c r="C1839" s="7">
        <v>2003679403</v>
      </c>
      <c r="D1839" s="20">
        <v>187250</v>
      </c>
      <c r="E1839" s="27" t="s">
        <v>1225</v>
      </c>
      <c r="F1839" s="7" t="s">
        <v>107</v>
      </c>
      <c r="G1839" s="7" t="s">
        <v>10</v>
      </c>
      <c r="H1839" s="7" t="s">
        <v>45</v>
      </c>
      <c r="I1839" s="20" t="s">
        <v>2661</v>
      </c>
      <c r="J1839" s="20" t="s">
        <v>2662</v>
      </c>
      <c r="K1839" s="7" t="s">
        <v>119</v>
      </c>
      <c r="L1839" s="61">
        <v>45818</v>
      </c>
      <c r="M1839" s="7" t="s">
        <v>111</v>
      </c>
      <c r="N1839" s="61">
        <v>45819</v>
      </c>
      <c r="O1839" s="61">
        <v>45819</v>
      </c>
      <c r="P1839" s="59"/>
      <c r="Q1839" s="124" t="e">
        <f>P1839*#REF!</f>
        <v>#REF!</v>
      </c>
      <c r="R1839" s="126">
        <v>45820</v>
      </c>
      <c r="S1839" s="153">
        <f>IF(L1839="","",L1839-B1839)</f>
        <v>1</v>
      </c>
      <c r="T1839" s="153">
        <f>IF(N1839="","",N1839-L1839)</f>
        <v>1</v>
      </c>
      <c r="U1839" s="153">
        <f>IF(O1839="","",O1839-N1839)</f>
        <v>0</v>
      </c>
      <c r="V1839" s="154">
        <f>IF(O1839="","",O1839-B1839)</f>
        <v>2</v>
      </c>
      <c r="W1839" s="154">
        <f>IF(O1839="","",O1839-L1839)</f>
        <v>1</v>
      </c>
      <c r="X1839" s="154">
        <f>IF(R1839="","",R1839-B1839)</f>
        <v>3</v>
      </c>
    </row>
    <row r="1840" spans="2:24" ht="17.25" hidden="1" customHeight="1">
      <c r="B1840" s="23">
        <v>45817</v>
      </c>
      <c r="C1840" s="7">
        <v>2003695819</v>
      </c>
      <c r="D1840" s="20">
        <v>5977270</v>
      </c>
      <c r="E1840" s="27" t="s">
        <v>230</v>
      </c>
      <c r="F1840" s="7" t="s">
        <v>107</v>
      </c>
      <c r="G1840" s="7" t="s">
        <v>18</v>
      </c>
      <c r="H1840" s="7" t="s">
        <v>45</v>
      </c>
      <c r="I1840" s="20" t="s">
        <v>1125</v>
      </c>
      <c r="J1840" s="20" t="s">
        <v>2607</v>
      </c>
      <c r="K1840" s="7" t="s">
        <v>119</v>
      </c>
      <c r="L1840" s="61">
        <v>45819</v>
      </c>
      <c r="M1840" s="7" t="s">
        <v>111</v>
      </c>
      <c r="N1840" s="61">
        <v>45819</v>
      </c>
      <c r="O1840" s="58">
        <v>45820</v>
      </c>
      <c r="P1840" s="59"/>
      <c r="Q1840" s="124" t="e">
        <f>P1840*#REF!</f>
        <v>#REF!</v>
      </c>
      <c r="R1840" s="126">
        <v>45820</v>
      </c>
      <c r="S1840" s="153">
        <f>IF(L1840="","",L1840-B1840)</f>
        <v>2</v>
      </c>
      <c r="T1840" s="153">
        <f>IF(N1840="","",N1840-L1840)</f>
        <v>0</v>
      </c>
      <c r="U1840" s="153">
        <f>IF(O1840="","",O1840-N1840)</f>
        <v>1</v>
      </c>
      <c r="V1840" s="154">
        <f>IF(O1840="","",O1840-B1840)</f>
        <v>3</v>
      </c>
      <c r="W1840" s="154">
        <f>IF(O1840="","",O1840-L1840)</f>
        <v>1</v>
      </c>
      <c r="X1840" s="154">
        <f>IF(R1840="","",R1840-B1840)</f>
        <v>3</v>
      </c>
    </row>
    <row r="1841" spans="2:24" ht="17.25" hidden="1" customHeight="1">
      <c r="B1841" s="23">
        <v>45817</v>
      </c>
      <c r="C1841" s="7">
        <v>2003682936</v>
      </c>
      <c r="D1841" s="20">
        <v>5977460</v>
      </c>
      <c r="E1841" s="27" t="s">
        <v>180</v>
      </c>
      <c r="F1841" s="7" t="s">
        <v>107</v>
      </c>
      <c r="G1841" s="7" t="s">
        <v>30</v>
      </c>
      <c r="H1841" s="7" t="s">
        <v>45</v>
      </c>
      <c r="I1841" s="20" t="s">
        <v>2828</v>
      </c>
      <c r="J1841" s="20" t="s">
        <v>2829</v>
      </c>
      <c r="K1841" s="7" t="s">
        <v>111</v>
      </c>
      <c r="L1841" s="61">
        <v>45818</v>
      </c>
      <c r="M1841" s="7" t="s">
        <v>111</v>
      </c>
      <c r="N1841" s="61">
        <v>45818</v>
      </c>
      <c r="O1841" s="58">
        <v>45825</v>
      </c>
      <c r="P1841" s="106"/>
      <c r="Q1841" s="124" t="e">
        <f>P1841*#REF!</f>
        <v>#REF!</v>
      </c>
      <c r="R1841" s="126">
        <v>45830</v>
      </c>
      <c r="S1841" s="153">
        <f>IF(L1841="","",L1841-B1841)</f>
        <v>1</v>
      </c>
      <c r="T1841" s="153">
        <f>IF(N1841="","",N1841-L1841)</f>
        <v>0</v>
      </c>
      <c r="U1841" s="153">
        <f>IF(O1841="","",O1841-N1841)</f>
        <v>7</v>
      </c>
      <c r="V1841" s="154">
        <f>IF(O1841="","",O1841-B1841)</f>
        <v>8</v>
      </c>
      <c r="W1841" s="154">
        <f>IF(O1841="","",O1841-L1841)</f>
        <v>7</v>
      </c>
      <c r="X1841" s="154">
        <f>IF(R1841="","",R1841-B1841)</f>
        <v>13</v>
      </c>
    </row>
    <row r="1842" spans="2:24" ht="17.25" hidden="1" customHeight="1">
      <c r="B1842" s="23">
        <v>45817</v>
      </c>
      <c r="C1842" s="7">
        <v>2003665572</v>
      </c>
      <c r="D1842" s="20">
        <v>5977646</v>
      </c>
      <c r="E1842" s="27" t="s">
        <v>568</v>
      </c>
      <c r="F1842" s="7" t="s">
        <v>107</v>
      </c>
      <c r="G1842" s="7" t="s">
        <v>10</v>
      </c>
      <c r="H1842" s="7" t="s">
        <v>45</v>
      </c>
      <c r="I1842" s="20" t="s">
        <v>2830</v>
      </c>
      <c r="J1842" s="20" t="s">
        <v>2831</v>
      </c>
      <c r="K1842" s="7" t="s">
        <v>119</v>
      </c>
      <c r="L1842" s="61">
        <v>45817</v>
      </c>
      <c r="M1842" s="7" t="s">
        <v>111</v>
      </c>
      <c r="N1842" s="61">
        <v>45818</v>
      </c>
      <c r="O1842" s="61">
        <v>45818</v>
      </c>
      <c r="P1842" s="59"/>
      <c r="Q1842" s="124" t="e">
        <f>P1842*#REF!</f>
        <v>#REF!</v>
      </c>
      <c r="R1842" s="126">
        <v>45820</v>
      </c>
      <c r="S1842" s="153">
        <f>IF(L1842="","",L1842-B1842)</f>
        <v>0</v>
      </c>
      <c r="T1842" s="153">
        <f>IF(N1842="","",N1842-L1842)</f>
        <v>1</v>
      </c>
      <c r="U1842" s="153">
        <f>IF(O1842="","",O1842-N1842)</f>
        <v>0</v>
      </c>
      <c r="V1842" s="154">
        <f>IF(O1842="","",O1842-B1842)</f>
        <v>1</v>
      </c>
      <c r="W1842" s="154">
        <f>IF(O1842="","",O1842-L1842)</f>
        <v>1</v>
      </c>
      <c r="X1842" s="154">
        <f>IF(R1842="","",R1842-B1842)</f>
        <v>3</v>
      </c>
    </row>
    <row r="1843" spans="2:24" ht="17.25" hidden="1" customHeight="1">
      <c r="B1843" s="23">
        <v>45817</v>
      </c>
      <c r="C1843" s="7">
        <v>2003710264</v>
      </c>
      <c r="D1843" s="20">
        <v>5977698</v>
      </c>
      <c r="E1843" s="27" t="s">
        <v>126</v>
      </c>
      <c r="F1843" s="7" t="s">
        <v>107</v>
      </c>
      <c r="G1843" s="7" t="s">
        <v>10</v>
      </c>
      <c r="H1843" s="7" t="s">
        <v>45</v>
      </c>
      <c r="I1843" s="20" t="s">
        <v>2832</v>
      </c>
      <c r="J1843" s="20" t="s">
        <v>2833</v>
      </c>
      <c r="K1843" s="7" t="s">
        <v>119</v>
      </c>
      <c r="L1843" s="61">
        <v>45820</v>
      </c>
      <c r="M1843" s="7" t="s">
        <v>111</v>
      </c>
      <c r="N1843" s="61">
        <v>45820</v>
      </c>
      <c r="O1843" s="61">
        <v>45820</v>
      </c>
      <c r="P1843" s="59"/>
      <c r="Q1843" s="124" t="e">
        <f>P1843*#REF!</f>
        <v>#REF!</v>
      </c>
      <c r="R1843" s="126">
        <v>45826</v>
      </c>
      <c r="S1843" s="153">
        <f>IF(L1843="","",L1843-B1843)</f>
        <v>3</v>
      </c>
      <c r="T1843" s="153">
        <f>IF(N1843="","",N1843-L1843)</f>
        <v>0</v>
      </c>
      <c r="U1843" s="153">
        <f>IF(O1843="","",O1843-N1843)</f>
        <v>0</v>
      </c>
      <c r="V1843" s="154">
        <f>IF(O1843="","",O1843-B1843)</f>
        <v>3</v>
      </c>
      <c r="W1843" s="154">
        <f>IF(O1843="","",O1843-L1843)</f>
        <v>0</v>
      </c>
      <c r="X1843" s="154">
        <f>IF(R1843="","",R1843-B1843)</f>
        <v>9</v>
      </c>
    </row>
    <row r="1844" spans="2:24" ht="17.25" hidden="1" customHeight="1">
      <c r="B1844" s="23">
        <v>45817</v>
      </c>
      <c r="C1844" s="7">
        <v>2003708481</v>
      </c>
      <c r="D1844" s="20">
        <v>5977704</v>
      </c>
      <c r="E1844" s="27" t="s">
        <v>126</v>
      </c>
      <c r="F1844" s="7" t="s">
        <v>107</v>
      </c>
      <c r="G1844" s="7" t="s">
        <v>10</v>
      </c>
      <c r="H1844" s="7" t="s">
        <v>45</v>
      </c>
      <c r="I1844" s="20" t="s">
        <v>1246</v>
      </c>
      <c r="J1844" s="20" t="s">
        <v>2834</v>
      </c>
      <c r="K1844" s="7" t="s">
        <v>119</v>
      </c>
      <c r="L1844" s="61">
        <v>45821</v>
      </c>
      <c r="M1844" s="7" t="s">
        <v>111</v>
      </c>
      <c r="N1844" s="61">
        <v>45821</v>
      </c>
      <c r="O1844" s="61">
        <v>45826</v>
      </c>
      <c r="P1844" s="59"/>
      <c r="Q1844" s="124" t="e">
        <f>P1844*#REF!</f>
        <v>#REF!</v>
      </c>
      <c r="R1844" s="126">
        <v>45826</v>
      </c>
      <c r="S1844" s="153">
        <f>IF(L1844="","",L1844-B1844)</f>
        <v>4</v>
      </c>
      <c r="T1844" s="153">
        <f>IF(N1844="","",N1844-L1844)</f>
        <v>0</v>
      </c>
      <c r="U1844" s="153">
        <f>IF(O1844="","",O1844-N1844)</f>
        <v>5</v>
      </c>
      <c r="V1844" s="154">
        <f>IF(O1844="","",O1844-B1844)</f>
        <v>9</v>
      </c>
      <c r="W1844" s="154">
        <f>IF(O1844="","",O1844-L1844)</f>
        <v>5</v>
      </c>
      <c r="X1844" s="154">
        <f>IF(R1844="","",R1844-B1844)</f>
        <v>9</v>
      </c>
    </row>
    <row r="1845" spans="2:24" ht="17.25" hidden="1" customHeight="1">
      <c r="B1845" s="23">
        <v>45817</v>
      </c>
      <c r="C1845" s="7">
        <v>2003667466</v>
      </c>
      <c r="D1845" s="20">
        <v>5978026</v>
      </c>
      <c r="E1845" s="27" t="s">
        <v>116</v>
      </c>
      <c r="F1845" s="7" t="s">
        <v>107</v>
      </c>
      <c r="G1845" s="7" t="s">
        <v>26</v>
      </c>
      <c r="H1845" s="7" t="s">
        <v>45</v>
      </c>
      <c r="I1845" s="20" t="s">
        <v>2835</v>
      </c>
      <c r="J1845" s="20" t="s">
        <v>2836</v>
      </c>
      <c r="K1845" s="7" t="s">
        <v>110</v>
      </c>
      <c r="L1845" s="61">
        <v>45820</v>
      </c>
      <c r="M1845" s="7" t="s">
        <v>111</v>
      </c>
      <c r="N1845" s="24">
        <v>45826</v>
      </c>
      <c r="O1845" s="58">
        <v>45826</v>
      </c>
      <c r="P1845" s="59"/>
      <c r="Q1845" s="124" t="e">
        <f>P1845*#REF!</f>
        <v>#REF!</v>
      </c>
      <c r="R1845" s="126">
        <v>45826</v>
      </c>
      <c r="S1845" s="153">
        <f>IF(L1845="","",L1845-B1845)</f>
        <v>3</v>
      </c>
      <c r="T1845" s="153">
        <f>IF(N1845="","",N1845-L1845)</f>
        <v>6</v>
      </c>
      <c r="U1845" s="153">
        <f>IF(O1845="","",O1845-N1845)</f>
        <v>0</v>
      </c>
      <c r="V1845" s="154">
        <f>IF(O1845="","",O1845-B1845)</f>
        <v>9</v>
      </c>
      <c r="W1845" s="154">
        <f>IF(O1845="","",O1845-L1845)</f>
        <v>6</v>
      </c>
      <c r="X1845" s="154">
        <f>IF(R1845="","",R1845-B1845)</f>
        <v>9</v>
      </c>
    </row>
    <row r="1846" spans="2:24" ht="17.25" hidden="1" customHeight="1">
      <c r="B1846" s="23">
        <v>45817</v>
      </c>
      <c r="C1846" s="7">
        <v>2003664968</v>
      </c>
      <c r="D1846" s="20">
        <v>5978081</v>
      </c>
      <c r="E1846" s="27" t="s">
        <v>116</v>
      </c>
      <c r="F1846" s="7" t="s">
        <v>107</v>
      </c>
      <c r="G1846" s="7" t="s">
        <v>26</v>
      </c>
      <c r="H1846" s="7" t="s">
        <v>45</v>
      </c>
      <c r="I1846" s="20" t="s">
        <v>2837</v>
      </c>
      <c r="J1846" s="20" t="s">
        <v>1674</v>
      </c>
      <c r="K1846" s="7" t="s">
        <v>119</v>
      </c>
      <c r="L1846" s="61">
        <v>45821</v>
      </c>
      <c r="M1846" s="7" t="s">
        <v>111</v>
      </c>
      <c r="N1846" s="24">
        <v>45826</v>
      </c>
      <c r="O1846" s="58">
        <v>45826</v>
      </c>
      <c r="P1846" s="59"/>
      <c r="Q1846" s="124" t="e">
        <f>P1846*#REF!</f>
        <v>#REF!</v>
      </c>
      <c r="R1846" s="126">
        <v>45826</v>
      </c>
      <c r="S1846" s="153">
        <f>IF(L1846="","",L1846-B1846)</f>
        <v>4</v>
      </c>
      <c r="T1846" s="153">
        <f>IF(N1846="","",N1846-L1846)</f>
        <v>5</v>
      </c>
      <c r="U1846" s="153">
        <f>IF(O1846="","",O1846-N1846)</f>
        <v>0</v>
      </c>
      <c r="V1846" s="154">
        <f>IF(O1846="","",O1846-B1846)</f>
        <v>9</v>
      </c>
      <c r="W1846" s="154">
        <f>IF(O1846="","",O1846-L1846)</f>
        <v>5</v>
      </c>
      <c r="X1846" s="154">
        <f>IF(R1846="","",R1846-B1846)</f>
        <v>9</v>
      </c>
    </row>
    <row r="1847" spans="2:24" ht="17.25" hidden="1" customHeight="1">
      <c r="B1847" s="23">
        <v>45818</v>
      </c>
      <c r="C1847" s="7">
        <v>2003666739</v>
      </c>
      <c r="D1847" s="20">
        <v>189016</v>
      </c>
      <c r="E1847" s="27" t="s">
        <v>138</v>
      </c>
      <c r="F1847" s="7" t="s">
        <v>107</v>
      </c>
      <c r="G1847" s="7" t="s">
        <v>26</v>
      </c>
      <c r="H1847" s="7" t="s">
        <v>45</v>
      </c>
      <c r="I1847" s="20" t="s">
        <v>995</v>
      </c>
      <c r="J1847" s="20" t="s">
        <v>2788</v>
      </c>
      <c r="K1847" s="7" t="s">
        <v>110</v>
      </c>
      <c r="L1847" s="61">
        <v>45819</v>
      </c>
      <c r="M1847" s="7" t="s">
        <v>111</v>
      </c>
      <c r="N1847" s="24">
        <v>45820</v>
      </c>
      <c r="O1847" s="58">
        <v>45820</v>
      </c>
      <c r="P1847" s="59"/>
      <c r="Q1847" s="124"/>
      <c r="R1847" s="126">
        <v>45820</v>
      </c>
      <c r="V1847" s="154"/>
      <c r="W1847" s="154"/>
      <c r="X1847" s="154"/>
    </row>
    <row r="1848" spans="2:24" ht="17.25" hidden="1" customHeight="1">
      <c r="B1848" s="23">
        <v>45818</v>
      </c>
      <c r="C1848" s="7">
        <v>2003711518</v>
      </c>
      <c r="D1848" s="20">
        <v>188900</v>
      </c>
      <c r="E1848" s="27" t="s">
        <v>152</v>
      </c>
      <c r="F1848" s="7" t="s">
        <v>107</v>
      </c>
      <c r="G1848" s="7" t="s">
        <v>18</v>
      </c>
      <c r="H1848" s="7" t="s">
        <v>45</v>
      </c>
      <c r="I1848" s="20" t="s">
        <v>2838</v>
      </c>
      <c r="J1848" s="20" t="s">
        <v>2839</v>
      </c>
      <c r="K1848" s="7" t="s">
        <v>119</v>
      </c>
      <c r="L1848" s="61">
        <v>45820</v>
      </c>
      <c r="M1848" s="7" t="s">
        <v>111</v>
      </c>
      <c r="N1848" s="61">
        <v>45821</v>
      </c>
      <c r="O1848" s="61">
        <v>45826</v>
      </c>
      <c r="P1848" s="59"/>
      <c r="Q1848" s="124" t="e">
        <f>P1848*#REF!</f>
        <v>#REF!</v>
      </c>
      <c r="R1848" s="126">
        <v>45826</v>
      </c>
      <c r="S1848" s="153">
        <f>IF(L1848="","",L1848-B1848)</f>
        <v>2</v>
      </c>
      <c r="T1848" s="153">
        <f>IF(N1848="","",N1848-L1848)</f>
        <v>1</v>
      </c>
      <c r="U1848" s="153">
        <f>IF(O1848="","",O1848-N1848)</f>
        <v>5</v>
      </c>
      <c r="V1848" s="154">
        <f>IF(O1848="","",O1848-B1848)</f>
        <v>8</v>
      </c>
      <c r="W1848" s="154">
        <f>IF(O1848="","",O1848-L1848)</f>
        <v>6</v>
      </c>
      <c r="X1848" s="154">
        <f>IF(R1848="","",R1848-B1848)</f>
        <v>8</v>
      </c>
    </row>
    <row r="1849" spans="2:24" ht="17.25" hidden="1" customHeight="1">
      <c r="B1849" s="23">
        <v>45818</v>
      </c>
      <c r="C1849" s="7">
        <v>2003710766</v>
      </c>
      <c r="D1849" s="20">
        <v>188351</v>
      </c>
      <c r="E1849" s="27" t="s">
        <v>566</v>
      </c>
      <c r="F1849" s="7" t="s">
        <v>107</v>
      </c>
      <c r="G1849" s="7" t="s">
        <v>26</v>
      </c>
      <c r="H1849" s="7" t="s">
        <v>45</v>
      </c>
      <c r="I1849" s="20" t="s">
        <v>335</v>
      </c>
      <c r="J1849" s="20" t="s">
        <v>2840</v>
      </c>
      <c r="K1849" s="7" t="s">
        <v>119</v>
      </c>
      <c r="L1849" s="61">
        <v>45819</v>
      </c>
      <c r="M1849" s="7" t="s">
        <v>111</v>
      </c>
      <c r="N1849" s="24">
        <v>45820</v>
      </c>
      <c r="O1849" s="58">
        <v>45820</v>
      </c>
      <c r="P1849" s="59"/>
      <c r="Q1849" s="124" t="e">
        <f>P1849*#REF!</f>
        <v>#REF!</v>
      </c>
      <c r="R1849" s="126">
        <v>45820</v>
      </c>
      <c r="S1849" s="153">
        <f>IF(L1849="","",L1849-B1849)</f>
        <v>1</v>
      </c>
      <c r="T1849" s="153">
        <f>IF(N1849="","",N1849-L1849)</f>
        <v>1</v>
      </c>
      <c r="U1849" s="153">
        <f>IF(O1849="","",O1849-N1849)</f>
        <v>0</v>
      </c>
      <c r="V1849" s="154">
        <f>IF(O1849="","",O1849-B1849)</f>
        <v>2</v>
      </c>
      <c r="W1849" s="154">
        <f>IF(O1849="","",O1849-L1849)</f>
        <v>1</v>
      </c>
      <c r="X1849" s="154">
        <f>IF(R1849="","",R1849-B1849)</f>
        <v>2</v>
      </c>
    </row>
    <row r="1850" spans="2:24" ht="17.25" hidden="1" customHeight="1">
      <c r="B1850" s="23">
        <v>45818</v>
      </c>
      <c r="C1850" s="7">
        <v>2003710750</v>
      </c>
      <c r="D1850" s="20">
        <v>5993607</v>
      </c>
      <c r="E1850" s="27" t="s">
        <v>622</v>
      </c>
      <c r="F1850" s="7" t="s">
        <v>107</v>
      </c>
      <c r="G1850" s="7" t="s">
        <v>10</v>
      </c>
      <c r="H1850" s="7" t="s">
        <v>45</v>
      </c>
      <c r="I1850" s="20" t="s">
        <v>1171</v>
      </c>
      <c r="J1850" s="20" t="s">
        <v>2841</v>
      </c>
      <c r="K1850" s="7" t="s">
        <v>119</v>
      </c>
      <c r="L1850" s="61">
        <v>45820</v>
      </c>
      <c r="M1850" s="7" t="s">
        <v>111</v>
      </c>
      <c r="N1850" s="61">
        <v>45821</v>
      </c>
      <c r="O1850" s="61">
        <v>45826</v>
      </c>
      <c r="P1850" s="59"/>
      <c r="Q1850" s="124" t="e">
        <f>P1850*#REF!</f>
        <v>#REF!</v>
      </c>
      <c r="R1850" s="126">
        <v>45826</v>
      </c>
      <c r="S1850" s="153">
        <f>IF(L1850="","",L1850-B1850)</f>
        <v>2</v>
      </c>
      <c r="T1850" s="153">
        <f>IF(N1850="","",N1850-L1850)</f>
        <v>1</v>
      </c>
      <c r="U1850" s="153">
        <f>IF(O1850="","",O1850-N1850)</f>
        <v>5</v>
      </c>
      <c r="V1850" s="154">
        <f>IF(O1850="","",O1850-B1850)</f>
        <v>8</v>
      </c>
      <c r="W1850" s="154">
        <f>IF(O1850="","",O1850-L1850)</f>
        <v>6</v>
      </c>
      <c r="X1850" s="154">
        <f>IF(R1850="","",R1850-B1850)</f>
        <v>8</v>
      </c>
    </row>
    <row r="1851" spans="2:24" ht="17.25" hidden="1" customHeight="1">
      <c r="B1851" s="23">
        <v>45818</v>
      </c>
      <c r="C1851" s="7">
        <v>2003692573</v>
      </c>
      <c r="D1851" s="20">
        <v>5993872</v>
      </c>
      <c r="E1851" s="27" t="s">
        <v>1225</v>
      </c>
      <c r="F1851" s="7" t="s">
        <v>107</v>
      </c>
      <c r="G1851" s="7" t="s">
        <v>26</v>
      </c>
      <c r="H1851" s="7" t="s">
        <v>45</v>
      </c>
      <c r="I1851" s="20" t="s">
        <v>1417</v>
      </c>
      <c r="J1851" s="20" t="s">
        <v>2842</v>
      </c>
      <c r="K1851" s="7" t="s">
        <v>119</v>
      </c>
      <c r="L1851" s="61">
        <v>45820</v>
      </c>
      <c r="M1851" s="7" t="s">
        <v>111</v>
      </c>
      <c r="N1851" s="24">
        <v>45826</v>
      </c>
      <c r="O1851" s="58">
        <v>45826</v>
      </c>
      <c r="P1851" s="59"/>
      <c r="Q1851" s="124" t="e">
        <f>P1851*#REF!</f>
        <v>#REF!</v>
      </c>
      <c r="R1851" s="126">
        <v>45826</v>
      </c>
      <c r="S1851" s="153">
        <f>IF(L1851="","",L1851-B1851)</f>
        <v>2</v>
      </c>
      <c r="T1851" s="153">
        <f>IF(N1851="","",N1851-L1851)</f>
        <v>6</v>
      </c>
      <c r="U1851" s="153">
        <f>IF(O1851="","",O1851-N1851)</f>
        <v>0</v>
      </c>
      <c r="V1851" s="154">
        <f>IF(O1851="","",O1851-B1851)</f>
        <v>8</v>
      </c>
      <c r="W1851" s="154">
        <f>IF(O1851="","",O1851-L1851)</f>
        <v>6</v>
      </c>
      <c r="X1851" s="154">
        <f>IF(R1851="","",R1851-B1851)</f>
        <v>8</v>
      </c>
    </row>
    <row r="1852" spans="2:24" ht="17.25" hidden="1" customHeight="1">
      <c r="B1852" s="23">
        <v>45818</v>
      </c>
      <c r="C1852" s="7">
        <v>2003668457</v>
      </c>
      <c r="D1852" s="20">
        <v>5993893</v>
      </c>
      <c r="E1852" s="27" t="s">
        <v>116</v>
      </c>
      <c r="F1852" s="7" t="s">
        <v>107</v>
      </c>
      <c r="G1852" s="7" t="s">
        <v>10</v>
      </c>
      <c r="H1852" s="7" t="s">
        <v>45</v>
      </c>
      <c r="I1852" s="20" t="s">
        <v>2843</v>
      </c>
      <c r="J1852" s="20" t="s">
        <v>2844</v>
      </c>
      <c r="K1852" s="7" t="s">
        <v>119</v>
      </c>
      <c r="L1852" s="61">
        <v>45826</v>
      </c>
      <c r="M1852" s="7" t="s">
        <v>111</v>
      </c>
      <c r="N1852" s="61">
        <v>45827</v>
      </c>
      <c r="O1852" s="58">
        <v>45833</v>
      </c>
      <c r="P1852" s="59"/>
      <c r="Q1852" s="124" t="e">
        <f>P1852*#REF!</f>
        <v>#REF!</v>
      </c>
      <c r="S1852" s="153">
        <f>IF(L1852="","",L1852-B1852)</f>
        <v>8</v>
      </c>
      <c r="T1852" s="153">
        <f>IF(N1852="","",N1852-L1852)</f>
        <v>1</v>
      </c>
      <c r="U1852" s="153">
        <f>IF(O1852="","",O1852-N1852)</f>
        <v>6</v>
      </c>
      <c r="V1852" s="154">
        <f>IF(O1852="","",O1852-B1852)</f>
        <v>15</v>
      </c>
      <c r="W1852" s="154">
        <f>IF(O1852="","",O1852-L1852)</f>
        <v>7</v>
      </c>
      <c r="X1852" s="154" t="str">
        <f>IF(R1852="","",R1852-B1852)</f>
        <v/>
      </c>
    </row>
    <row r="1853" spans="2:24" ht="17.25" hidden="1" customHeight="1">
      <c r="B1853" s="23">
        <v>45818</v>
      </c>
      <c r="C1853" s="7">
        <v>2003711536</v>
      </c>
      <c r="D1853" s="20">
        <v>5993895</v>
      </c>
      <c r="E1853" s="27" t="s">
        <v>230</v>
      </c>
      <c r="F1853" s="7" t="s">
        <v>107</v>
      </c>
      <c r="G1853" s="7" t="s">
        <v>10</v>
      </c>
      <c r="H1853" s="7" t="s">
        <v>45</v>
      </c>
      <c r="I1853" s="20" t="s">
        <v>451</v>
      </c>
      <c r="J1853" s="20" t="s">
        <v>2845</v>
      </c>
      <c r="K1853" s="7" t="s">
        <v>110</v>
      </c>
      <c r="L1853" s="61">
        <v>45820</v>
      </c>
      <c r="M1853" s="7" t="s">
        <v>111</v>
      </c>
      <c r="N1853" s="61">
        <v>45820</v>
      </c>
      <c r="O1853" s="61">
        <v>45821</v>
      </c>
      <c r="P1853" s="59"/>
      <c r="Q1853" s="124" t="e">
        <f>P1853*#REF!</f>
        <v>#REF!</v>
      </c>
      <c r="R1853" s="126">
        <v>45826</v>
      </c>
      <c r="S1853" s="153">
        <f>IF(L1853="","",L1853-B1853)</f>
        <v>2</v>
      </c>
      <c r="T1853" s="153">
        <f>IF(N1853="","",N1853-L1853)</f>
        <v>0</v>
      </c>
      <c r="U1853" s="153">
        <f>IF(O1853="","",O1853-N1853)</f>
        <v>1</v>
      </c>
      <c r="V1853" s="154">
        <f>IF(O1853="","",O1853-B1853)</f>
        <v>3</v>
      </c>
      <c r="W1853" s="154">
        <f>IF(O1853="","",O1853-L1853)</f>
        <v>1</v>
      </c>
      <c r="X1853" s="154">
        <f>IF(R1853="","",R1853-B1853)</f>
        <v>8</v>
      </c>
    </row>
    <row r="1854" spans="2:24" ht="17.25" hidden="1" customHeight="1">
      <c r="B1854" s="23">
        <v>45818</v>
      </c>
      <c r="C1854" s="7">
        <v>2003677327</v>
      </c>
      <c r="D1854" s="20">
        <v>5993998</v>
      </c>
      <c r="E1854" s="27" t="s">
        <v>180</v>
      </c>
      <c r="F1854" s="7" t="s">
        <v>107</v>
      </c>
      <c r="G1854" s="7" t="s">
        <v>10</v>
      </c>
      <c r="H1854" s="7" t="s">
        <v>45</v>
      </c>
      <c r="I1854" s="20" t="s">
        <v>577</v>
      </c>
      <c r="J1854" s="20" t="s">
        <v>2235</v>
      </c>
      <c r="K1854" s="7" t="s">
        <v>111</v>
      </c>
      <c r="L1854" s="61">
        <v>45826</v>
      </c>
      <c r="M1854" s="7" t="s">
        <v>111</v>
      </c>
      <c r="N1854" s="24">
        <v>45826</v>
      </c>
      <c r="O1854" s="58">
        <v>45826</v>
      </c>
      <c r="P1854" s="59"/>
      <c r="Q1854" s="124" t="e">
        <f>P1854*#REF!</f>
        <v>#REF!</v>
      </c>
      <c r="R1854" s="126">
        <v>45826</v>
      </c>
      <c r="S1854" s="153">
        <f>IF(L1854="","",L1854-B1854)</f>
        <v>8</v>
      </c>
      <c r="T1854" s="153">
        <f>IF(N1854="","",N1854-L1854)</f>
        <v>0</v>
      </c>
      <c r="U1854" s="153">
        <f>IF(O1854="","",O1854-N1854)</f>
        <v>0</v>
      </c>
      <c r="V1854" s="154">
        <f>IF(O1854="","",O1854-B1854)</f>
        <v>8</v>
      </c>
      <c r="W1854" s="154">
        <f>IF(O1854="","",O1854-L1854)</f>
        <v>0</v>
      </c>
      <c r="X1854" s="154">
        <f>IF(R1854="","",R1854-B1854)</f>
        <v>8</v>
      </c>
    </row>
    <row r="1855" spans="2:24" ht="17.25" hidden="1" customHeight="1">
      <c r="B1855" s="23">
        <v>45818</v>
      </c>
      <c r="C1855" s="7">
        <v>2003545773</v>
      </c>
      <c r="D1855" s="20">
        <v>5994023</v>
      </c>
      <c r="E1855" s="27" t="s">
        <v>116</v>
      </c>
      <c r="F1855" s="7" t="s">
        <v>107</v>
      </c>
      <c r="G1855" s="7" t="s">
        <v>21</v>
      </c>
      <c r="H1855" s="7" t="s">
        <v>45</v>
      </c>
      <c r="I1855" s="20" t="s">
        <v>526</v>
      </c>
      <c r="J1855" s="20" t="s">
        <v>527</v>
      </c>
      <c r="K1855" s="7" t="s">
        <v>119</v>
      </c>
      <c r="L1855" s="61">
        <v>45819</v>
      </c>
      <c r="M1855" s="7" t="s">
        <v>111</v>
      </c>
      <c r="N1855" s="61">
        <v>45819</v>
      </c>
      <c r="O1855" s="61">
        <v>45819</v>
      </c>
      <c r="P1855" s="59"/>
      <c r="Q1855" s="124" t="e">
        <f>P1855*#REF!</f>
        <v>#REF!</v>
      </c>
      <c r="R1855" s="126">
        <v>45820</v>
      </c>
      <c r="S1855" s="153">
        <f>IF(L1855="","",L1855-B1855)</f>
        <v>1</v>
      </c>
      <c r="T1855" s="153">
        <f>IF(N1855="","",N1855-L1855)</f>
        <v>0</v>
      </c>
      <c r="U1855" s="153">
        <f>IF(O1855="","",O1855-N1855)</f>
        <v>0</v>
      </c>
      <c r="V1855" s="154">
        <f>IF(O1855="","",O1855-B1855)</f>
        <v>1</v>
      </c>
      <c r="W1855" s="154">
        <f>IF(O1855="","",O1855-L1855)</f>
        <v>0</v>
      </c>
      <c r="X1855" s="154">
        <f>IF(R1855="","",R1855-B1855)</f>
        <v>2</v>
      </c>
    </row>
    <row r="1856" spans="2:24" ht="17.25" hidden="1" customHeight="1">
      <c r="B1856" s="23">
        <v>45818</v>
      </c>
      <c r="C1856" s="7">
        <v>2003665428</v>
      </c>
      <c r="D1856" s="20">
        <v>5994035</v>
      </c>
      <c r="E1856" s="27" t="s">
        <v>126</v>
      </c>
      <c r="F1856" s="7" t="s">
        <v>107</v>
      </c>
      <c r="G1856" s="7" t="s">
        <v>10</v>
      </c>
      <c r="H1856" s="7" t="s">
        <v>45</v>
      </c>
      <c r="I1856" s="20" t="s">
        <v>2846</v>
      </c>
      <c r="J1856" s="20" t="s">
        <v>2110</v>
      </c>
      <c r="K1856" s="7" t="s">
        <v>119</v>
      </c>
      <c r="L1856" s="61">
        <v>45820</v>
      </c>
      <c r="M1856" s="7" t="s">
        <v>111</v>
      </c>
      <c r="N1856" s="61">
        <v>45820</v>
      </c>
      <c r="O1856" s="61">
        <v>45820</v>
      </c>
      <c r="P1856" s="59"/>
      <c r="Q1856" s="124" t="e">
        <f>P1856*#REF!</f>
        <v>#REF!</v>
      </c>
      <c r="R1856" s="126">
        <v>45826</v>
      </c>
      <c r="S1856" s="153">
        <f>IF(L1856="","",L1856-B1856)</f>
        <v>2</v>
      </c>
      <c r="T1856" s="153">
        <f>IF(N1856="","",N1856-L1856)</f>
        <v>0</v>
      </c>
      <c r="U1856" s="153">
        <f>IF(O1856="","",O1856-N1856)</f>
        <v>0</v>
      </c>
      <c r="V1856" s="154">
        <f>IF(O1856="","",O1856-B1856)</f>
        <v>2</v>
      </c>
      <c r="W1856" s="154">
        <f>IF(O1856="","",O1856-L1856)</f>
        <v>0</v>
      </c>
      <c r="X1856" s="154">
        <f>IF(R1856="","",R1856-B1856)</f>
        <v>8</v>
      </c>
    </row>
    <row r="1857" spans="2:24" ht="17.25" hidden="1" customHeight="1">
      <c r="B1857" s="23">
        <v>45818</v>
      </c>
      <c r="C1857" s="7">
        <v>2003690845</v>
      </c>
      <c r="D1857" s="20">
        <v>5994074</v>
      </c>
      <c r="E1857" s="27" t="s">
        <v>185</v>
      </c>
      <c r="F1857" s="7" t="s">
        <v>107</v>
      </c>
      <c r="G1857" s="7" t="s">
        <v>10</v>
      </c>
      <c r="H1857" s="7" t="s">
        <v>45</v>
      </c>
      <c r="I1857" s="20" t="s">
        <v>2847</v>
      </c>
      <c r="J1857" s="20" t="s">
        <v>2848</v>
      </c>
      <c r="K1857" s="7" t="s">
        <v>119</v>
      </c>
      <c r="L1857" s="61">
        <v>45820</v>
      </c>
      <c r="M1857" s="7" t="s">
        <v>111</v>
      </c>
      <c r="N1857" s="61">
        <v>45825</v>
      </c>
      <c r="O1857" s="61">
        <v>45825</v>
      </c>
      <c r="P1857" s="59"/>
      <c r="Q1857" s="124" t="e">
        <f>P1857*#REF!</f>
        <v>#REF!</v>
      </c>
      <c r="R1857" s="126">
        <v>45826</v>
      </c>
      <c r="S1857" s="153">
        <f>IF(L1857="","",L1857-B1857)</f>
        <v>2</v>
      </c>
      <c r="T1857" s="153">
        <f>IF(N1857="","",N1857-L1857)</f>
        <v>5</v>
      </c>
      <c r="U1857" s="153">
        <f>IF(O1857="","",O1857-N1857)</f>
        <v>0</v>
      </c>
      <c r="V1857" s="154">
        <f>IF(O1857="","",O1857-B1857)</f>
        <v>7</v>
      </c>
      <c r="W1857" s="154">
        <f>IF(O1857="","",O1857-L1857)</f>
        <v>5</v>
      </c>
      <c r="X1857" s="154">
        <f>IF(R1857="","",R1857-B1857)</f>
        <v>8</v>
      </c>
    </row>
    <row r="1858" spans="2:24" ht="17.25" hidden="1" customHeight="1">
      <c r="B1858" s="23">
        <v>45818</v>
      </c>
      <c r="C1858" s="7">
        <v>2003710069</v>
      </c>
      <c r="D1858" s="20">
        <v>5994186</v>
      </c>
      <c r="E1858" s="27" t="s">
        <v>138</v>
      </c>
      <c r="F1858" s="7" t="s">
        <v>107</v>
      </c>
      <c r="G1858" s="7" t="s">
        <v>10</v>
      </c>
      <c r="H1858" s="7" t="s">
        <v>45</v>
      </c>
      <c r="I1858" s="20" t="s">
        <v>419</v>
      </c>
      <c r="J1858" s="20" t="s">
        <v>2849</v>
      </c>
      <c r="K1858" s="7" t="s">
        <v>119</v>
      </c>
      <c r="L1858" s="61">
        <v>45820</v>
      </c>
      <c r="M1858" s="7" t="s">
        <v>111</v>
      </c>
      <c r="N1858" s="61">
        <v>45820</v>
      </c>
      <c r="O1858" s="61">
        <v>45821</v>
      </c>
      <c r="P1858" s="59"/>
      <c r="Q1858" s="124" t="e">
        <f>P1858*#REF!</f>
        <v>#REF!</v>
      </c>
      <c r="R1858" s="126">
        <v>45826</v>
      </c>
      <c r="S1858" s="153">
        <f>IF(L1858="","",L1858-B1858)</f>
        <v>2</v>
      </c>
      <c r="T1858" s="153">
        <f>IF(N1858="","",N1858-L1858)</f>
        <v>0</v>
      </c>
      <c r="U1858" s="153">
        <f>IF(O1858="","",O1858-N1858)</f>
        <v>1</v>
      </c>
      <c r="V1858" s="154">
        <f>IF(O1858="","",O1858-B1858)</f>
        <v>3</v>
      </c>
      <c r="W1858" s="154">
        <f>IF(O1858="","",O1858-L1858)</f>
        <v>1</v>
      </c>
      <c r="X1858" s="154">
        <f>IF(R1858="","",R1858-B1858)</f>
        <v>8</v>
      </c>
    </row>
    <row r="1859" spans="2:24" ht="17.25" hidden="1" customHeight="1">
      <c r="B1859" s="23">
        <v>45819</v>
      </c>
      <c r="C1859" s="7">
        <v>2003555547</v>
      </c>
      <c r="D1859" s="20">
        <v>190097</v>
      </c>
      <c r="E1859" s="27" t="s">
        <v>138</v>
      </c>
      <c r="F1859" s="7" t="s">
        <v>107</v>
      </c>
      <c r="G1859" s="7" t="s">
        <v>21</v>
      </c>
      <c r="H1859" s="7" t="s">
        <v>45</v>
      </c>
      <c r="I1859" s="20" t="s">
        <v>2850</v>
      </c>
      <c r="J1859" s="20" t="s">
        <v>2851</v>
      </c>
      <c r="K1859" s="7" t="s">
        <v>111</v>
      </c>
      <c r="L1859" s="61">
        <v>45819</v>
      </c>
      <c r="M1859" s="7" t="s">
        <v>111</v>
      </c>
      <c r="N1859" s="24">
        <v>45820</v>
      </c>
      <c r="O1859" s="58">
        <v>45820</v>
      </c>
      <c r="P1859" s="59"/>
      <c r="Q1859" s="124" t="e">
        <f>P1859*#REF!</f>
        <v>#REF!</v>
      </c>
      <c r="R1859" s="126">
        <v>45820</v>
      </c>
      <c r="S1859" s="153">
        <f>IF(L1859="","",L1859-B1859)</f>
        <v>0</v>
      </c>
      <c r="T1859" s="153">
        <f>IF(N1859="","",N1859-L1859)</f>
        <v>1</v>
      </c>
      <c r="U1859" s="153">
        <f>IF(O1859="","",O1859-N1859)</f>
        <v>0</v>
      </c>
      <c r="V1859" s="154">
        <f>IF(O1859="","",O1859-B1859)</f>
        <v>1</v>
      </c>
      <c r="W1859" s="154">
        <f>IF(O1859="","",O1859-L1859)</f>
        <v>1</v>
      </c>
      <c r="X1859" s="154">
        <f>IF(R1859="","",R1859-B1859)</f>
        <v>1</v>
      </c>
    </row>
    <row r="1860" spans="2:24" ht="17.25" hidden="1" customHeight="1">
      <c r="B1860" s="23">
        <v>45819</v>
      </c>
      <c r="C1860" s="7">
        <v>2003710683</v>
      </c>
      <c r="D1860" s="20">
        <v>189884</v>
      </c>
      <c r="E1860" s="27" t="s">
        <v>180</v>
      </c>
      <c r="F1860" s="7" t="s">
        <v>107</v>
      </c>
      <c r="G1860" s="7" t="s">
        <v>26</v>
      </c>
      <c r="H1860" s="7" t="s">
        <v>45</v>
      </c>
      <c r="I1860" s="20" t="s">
        <v>335</v>
      </c>
      <c r="J1860" s="20" t="s">
        <v>2852</v>
      </c>
      <c r="K1860" s="7" t="s">
        <v>119</v>
      </c>
      <c r="L1860" s="61">
        <v>45826</v>
      </c>
      <c r="M1860" s="7" t="s">
        <v>111</v>
      </c>
      <c r="N1860" s="24">
        <v>45830</v>
      </c>
      <c r="O1860" s="58">
        <v>45830</v>
      </c>
      <c r="P1860" s="59"/>
      <c r="Q1860" s="124" t="e">
        <f>P1860*#REF!</f>
        <v>#REF!</v>
      </c>
      <c r="R1860" s="126">
        <v>45830</v>
      </c>
      <c r="S1860" s="153">
        <f>IF(L1860="","",L1860-B1860)</f>
        <v>7</v>
      </c>
      <c r="T1860" s="153">
        <f>IF(N1860="","",N1860-L1860)</f>
        <v>4</v>
      </c>
      <c r="U1860" s="153">
        <f>IF(O1860="","",O1860-N1860)</f>
        <v>0</v>
      </c>
      <c r="V1860" s="154">
        <f>IF(O1860="","",O1860-B1860)</f>
        <v>11</v>
      </c>
      <c r="W1860" s="154">
        <f>IF(O1860="","",O1860-L1860)</f>
        <v>4</v>
      </c>
      <c r="X1860" s="154">
        <f>IF(R1860="","",R1860-B1860)</f>
        <v>11</v>
      </c>
    </row>
    <row r="1861" spans="2:24" ht="17.25" hidden="1" customHeight="1">
      <c r="B1861" s="23">
        <v>45819</v>
      </c>
      <c r="C1861" s="7">
        <v>2003654988</v>
      </c>
      <c r="D1861" s="20">
        <v>5994738</v>
      </c>
      <c r="E1861" s="27" t="s">
        <v>230</v>
      </c>
      <c r="F1861" s="7" t="s">
        <v>107</v>
      </c>
      <c r="G1861" s="7" t="s">
        <v>21</v>
      </c>
      <c r="H1861" s="7" t="s">
        <v>45</v>
      </c>
      <c r="I1861" s="20" t="s">
        <v>2853</v>
      </c>
      <c r="J1861" s="20" t="s">
        <v>1209</v>
      </c>
      <c r="K1861" s="7" t="s">
        <v>111</v>
      </c>
      <c r="L1861" s="61">
        <v>45820</v>
      </c>
      <c r="M1861" s="7" t="s">
        <v>111</v>
      </c>
      <c r="N1861" s="24">
        <v>45826</v>
      </c>
      <c r="O1861" s="58">
        <v>45826</v>
      </c>
      <c r="P1861" s="59"/>
      <c r="Q1861" s="124" t="e">
        <f>P1861*#REF!</f>
        <v>#REF!</v>
      </c>
      <c r="R1861" s="126">
        <v>45826</v>
      </c>
      <c r="S1861" s="153">
        <f>IF(L1861="","",L1861-B1861)</f>
        <v>1</v>
      </c>
      <c r="T1861" s="153">
        <f>IF(N1861="","",N1861-L1861)</f>
        <v>6</v>
      </c>
      <c r="U1861" s="153">
        <f>IF(O1861="","",O1861-N1861)</f>
        <v>0</v>
      </c>
      <c r="V1861" s="154">
        <f>IF(O1861="","",O1861-B1861)</f>
        <v>7</v>
      </c>
      <c r="W1861" s="154">
        <f>IF(O1861="","",O1861-L1861)</f>
        <v>6</v>
      </c>
      <c r="X1861" s="154">
        <f>IF(R1861="","",R1861-B1861)</f>
        <v>7</v>
      </c>
    </row>
    <row r="1862" spans="2:24" ht="17.25" hidden="1" customHeight="1">
      <c r="B1862" s="23">
        <v>45819</v>
      </c>
      <c r="C1862" s="7">
        <v>2003549867</v>
      </c>
      <c r="D1862" s="20">
        <v>5994916</v>
      </c>
      <c r="E1862" s="27" t="s">
        <v>106</v>
      </c>
      <c r="F1862" s="7" t="s">
        <v>107</v>
      </c>
      <c r="G1862" s="7" t="s">
        <v>26</v>
      </c>
      <c r="H1862" s="7" t="s">
        <v>45</v>
      </c>
      <c r="I1862" s="20" t="s">
        <v>466</v>
      </c>
      <c r="J1862" s="20" t="s">
        <v>2854</v>
      </c>
      <c r="K1862" s="7" t="s">
        <v>110</v>
      </c>
      <c r="L1862" s="61">
        <v>45833</v>
      </c>
      <c r="M1862" s="7" t="s">
        <v>111</v>
      </c>
      <c r="N1862" s="24">
        <v>45834</v>
      </c>
      <c r="P1862" s="59"/>
      <c r="Q1862" s="124" t="e">
        <f>P1862*#REF!</f>
        <v>#REF!</v>
      </c>
      <c r="S1862" s="153">
        <f>IF(L1862="","",L1862-B1862)</f>
        <v>14</v>
      </c>
      <c r="T1862" s="153">
        <f>IF(N1862="","",N1862-L1862)</f>
        <v>1</v>
      </c>
      <c r="U1862" s="153" t="str">
        <f>IF(O1862="","",O1862-N1862)</f>
        <v/>
      </c>
      <c r="V1862" s="154" t="str">
        <f>IF(O1862="","",O1862-B1862)</f>
        <v/>
      </c>
      <c r="W1862" s="154" t="str">
        <f>IF(O1862="","",O1862-L1862)</f>
        <v/>
      </c>
      <c r="X1862" s="154" t="str">
        <f>IF(R1862="","",R1862-B1862)</f>
        <v/>
      </c>
    </row>
    <row r="1863" spans="2:24" ht="17.25" hidden="1" customHeight="1">
      <c r="B1863" s="23">
        <v>45819</v>
      </c>
      <c r="C1863" s="7">
        <v>2003665089</v>
      </c>
      <c r="D1863" s="20">
        <v>5994940</v>
      </c>
      <c r="E1863" s="27" t="s">
        <v>116</v>
      </c>
      <c r="F1863" s="7" t="s">
        <v>107</v>
      </c>
      <c r="G1863" s="7" t="s">
        <v>10</v>
      </c>
      <c r="H1863" s="7" t="s">
        <v>45</v>
      </c>
      <c r="I1863" s="20" t="s">
        <v>810</v>
      </c>
      <c r="J1863" s="20" t="s">
        <v>1676</v>
      </c>
      <c r="K1863" s="7" t="s">
        <v>119</v>
      </c>
      <c r="L1863" s="61">
        <v>45827</v>
      </c>
      <c r="M1863" s="7" t="s">
        <v>111</v>
      </c>
      <c r="N1863" s="61">
        <v>45827</v>
      </c>
      <c r="O1863" s="61">
        <v>45827</v>
      </c>
      <c r="P1863" s="59"/>
      <c r="Q1863" s="124" t="e">
        <f>P1863*#REF!</f>
        <v>#REF!</v>
      </c>
      <c r="R1863" s="126">
        <v>45830</v>
      </c>
      <c r="S1863" s="153">
        <f>IF(L1863="","",L1863-B1863)</f>
        <v>8</v>
      </c>
      <c r="T1863" s="153">
        <f>IF(N1863="","",N1863-L1863)</f>
        <v>0</v>
      </c>
      <c r="U1863" s="153">
        <f>IF(O1863="","",O1863-N1863)</f>
        <v>0</v>
      </c>
      <c r="V1863" s="154">
        <f>IF(O1863="","",O1863-B1863)</f>
        <v>8</v>
      </c>
      <c r="W1863" s="154">
        <f>IF(O1863="","",O1863-L1863)</f>
        <v>0</v>
      </c>
      <c r="X1863" s="154">
        <f>IF(R1863="","",R1863-B1863)</f>
        <v>11</v>
      </c>
    </row>
    <row r="1864" spans="2:24" ht="17.25" hidden="1" customHeight="1">
      <c r="B1864" s="23">
        <v>45819</v>
      </c>
      <c r="C1864" s="7">
        <v>2003604716</v>
      </c>
      <c r="D1864" s="20">
        <v>5994972</v>
      </c>
      <c r="E1864" s="27" t="s">
        <v>949</v>
      </c>
      <c r="F1864" s="7" t="s">
        <v>107</v>
      </c>
      <c r="G1864" s="7" t="s">
        <v>18</v>
      </c>
      <c r="H1864" s="7" t="s">
        <v>45</v>
      </c>
      <c r="I1864" s="20" t="s">
        <v>2855</v>
      </c>
      <c r="J1864" s="20" t="s">
        <v>2856</v>
      </c>
      <c r="K1864" s="7" t="s">
        <v>110</v>
      </c>
      <c r="L1864" s="61">
        <v>45821</v>
      </c>
      <c r="M1864" s="7" t="s">
        <v>111</v>
      </c>
      <c r="N1864" s="61">
        <v>45821</v>
      </c>
      <c r="O1864" s="61">
        <v>45826</v>
      </c>
      <c r="P1864" s="59"/>
      <c r="Q1864" s="124" t="e">
        <f>P1864*#REF!</f>
        <v>#REF!</v>
      </c>
      <c r="R1864" s="126">
        <v>45826</v>
      </c>
      <c r="S1864" s="153">
        <f>IF(L1864="","",L1864-B1864)</f>
        <v>2</v>
      </c>
      <c r="T1864" s="153">
        <f>IF(N1864="","",N1864-L1864)</f>
        <v>0</v>
      </c>
      <c r="U1864" s="153">
        <f>IF(O1864="","",O1864-N1864)</f>
        <v>5</v>
      </c>
      <c r="V1864" s="154">
        <f>IF(O1864="","",O1864-B1864)</f>
        <v>7</v>
      </c>
      <c r="W1864" s="154">
        <f>IF(O1864="","",O1864-L1864)</f>
        <v>5</v>
      </c>
      <c r="X1864" s="154">
        <f>IF(R1864="","",R1864-B1864)</f>
        <v>7</v>
      </c>
    </row>
    <row r="1865" spans="2:24" ht="17.25" hidden="1" customHeight="1">
      <c r="B1865" s="23">
        <v>45820</v>
      </c>
      <c r="C1865" s="7">
        <v>2003704915</v>
      </c>
      <c r="D1865" s="20">
        <v>5995285</v>
      </c>
      <c r="E1865" s="27" t="s">
        <v>408</v>
      </c>
      <c r="F1865" s="7" t="s">
        <v>107</v>
      </c>
      <c r="G1865" s="7" t="s">
        <v>26</v>
      </c>
      <c r="H1865" s="7" t="s">
        <v>45</v>
      </c>
      <c r="I1865" s="20" t="s">
        <v>2857</v>
      </c>
      <c r="J1865" s="20" t="s">
        <v>2858</v>
      </c>
      <c r="K1865" s="7" t="s">
        <v>110</v>
      </c>
      <c r="L1865" s="61">
        <v>45821</v>
      </c>
      <c r="M1865" s="7" t="s">
        <v>111</v>
      </c>
      <c r="N1865" s="24">
        <v>45826</v>
      </c>
      <c r="O1865" s="58">
        <v>45826</v>
      </c>
      <c r="P1865" s="59"/>
      <c r="Q1865" s="124" t="e">
        <f>P1865*#REF!</f>
        <v>#REF!</v>
      </c>
      <c r="R1865" s="126">
        <v>45826</v>
      </c>
      <c r="S1865" s="153">
        <f>IF(L1865="","",L1865-B1865)</f>
        <v>1</v>
      </c>
      <c r="T1865" s="153">
        <f>IF(N1865="","",N1865-L1865)</f>
        <v>5</v>
      </c>
      <c r="U1865" s="153">
        <f>IF(O1865="","",O1865-N1865)</f>
        <v>0</v>
      </c>
      <c r="V1865" s="154">
        <f>IF(O1865="","",O1865-B1865)</f>
        <v>6</v>
      </c>
      <c r="W1865" s="154">
        <f>IF(O1865="","",O1865-L1865)</f>
        <v>5</v>
      </c>
      <c r="X1865" s="154">
        <f>IF(R1865="","",R1865-B1865)</f>
        <v>6</v>
      </c>
    </row>
    <row r="1866" spans="2:24" ht="17.25" hidden="1" customHeight="1">
      <c r="B1866" s="23">
        <v>45820</v>
      </c>
      <c r="C1866" s="7">
        <v>2003695937</v>
      </c>
      <c r="D1866" s="20">
        <v>5995409</v>
      </c>
      <c r="E1866" s="27" t="s">
        <v>1225</v>
      </c>
      <c r="F1866" s="7" t="s">
        <v>107</v>
      </c>
      <c r="G1866" s="7" t="s">
        <v>10</v>
      </c>
      <c r="H1866" s="7" t="s">
        <v>45</v>
      </c>
      <c r="I1866" s="20" t="s">
        <v>2859</v>
      </c>
      <c r="J1866" s="20" t="s">
        <v>2860</v>
      </c>
      <c r="K1866" s="7" t="s">
        <v>110</v>
      </c>
      <c r="L1866" s="61">
        <v>45825</v>
      </c>
      <c r="M1866" s="7" t="s">
        <v>111</v>
      </c>
      <c r="N1866" s="61">
        <v>45827</v>
      </c>
      <c r="O1866" s="61">
        <v>45827</v>
      </c>
      <c r="P1866" s="59"/>
      <c r="Q1866" s="124" t="e">
        <f>P1866*#REF!</f>
        <v>#REF!</v>
      </c>
      <c r="R1866" s="126">
        <v>45830</v>
      </c>
      <c r="S1866" s="153">
        <f>IF(L1866="","",L1866-B1866)</f>
        <v>5</v>
      </c>
      <c r="T1866" s="153">
        <f>IF(N1866="","",N1866-L1866)</f>
        <v>2</v>
      </c>
      <c r="U1866" s="153">
        <f>IF(O1866="","",O1866-N1866)</f>
        <v>0</v>
      </c>
      <c r="V1866" s="154">
        <f>IF(O1866="","",O1866-B1866)</f>
        <v>7</v>
      </c>
      <c r="W1866" s="154">
        <f>IF(O1866="","",O1866-L1866)</f>
        <v>2</v>
      </c>
      <c r="X1866" s="154">
        <f>IF(R1866="","",R1866-B1866)</f>
        <v>10</v>
      </c>
    </row>
    <row r="1867" spans="2:24" ht="17.25" hidden="1" customHeight="1">
      <c r="B1867" s="23">
        <v>45820</v>
      </c>
      <c r="C1867" s="7">
        <v>2003670055</v>
      </c>
      <c r="D1867" s="20">
        <v>5995477</v>
      </c>
      <c r="E1867" s="27" t="s">
        <v>201</v>
      </c>
      <c r="F1867" s="7" t="s">
        <v>107</v>
      </c>
      <c r="G1867" s="7" t="s">
        <v>21</v>
      </c>
      <c r="H1867" s="7" t="s">
        <v>45</v>
      </c>
      <c r="I1867" s="20" t="s">
        <v>2062</v>
      </c>
      <c r="J1867" s="20" t="s">
        <v>2063</v>
      </c>
      <c r="K1867" s="7" t="s">
        <v>119</v>
      </c>
      <c r="L1867" s="61">
        <v>45821</v>
      </c>
      <c r="M1867" s="7" t="s">
        <v>111</v>
      </c>
      <c r="N1867" s="61">
        <v>45821</v>
      </c>
      <c r="O1867" s="61">
        <v>45821</v>
      </c>
      <c r="P1867" s="59"/>
      <c r="Q1867" s="124" t="e">
        <f>P1867*#REF!</f>
        <v>#REF!</v>
      </c>
      <c r="R1867" s="126">
        <v>45826</v>
      </c>
      <c r="S1867" s="153">
        <f>IF(L1867="","",L1867-B1867)</f>
        <v>1</v>
      </c>
      <c r="T1867" s="153">
        <f>IF(N1867="","",N1867-L1867)</f>
        <v>0</v>
      </c>
      <c r="U1867" s="153">
        <f>IF(O1867="","",O1867-N1867)</f>
        <v>0</v>
      </c>
      <c r="V1867" s="154">
        <f>IF(O1867="","",O1867-B1867)</f>
        <v>1</v>
      </c>
      <c r="W1867" s="154">
        <f>IF(O1867="","",O1867-L1867)</f>
        <v>0</v>
      </c>
      <c r="X1867" s="154">
        <f>IF(R1867="","",R1867-B1867)</f>
        <v>6</v>
      </c>
    </row>
    <row r="1868" spans="2:24" ht="17.25" hidden="1" customHeight="1">
      <c r="B1868" s="23">
        <v>45820</v>
      </c>
      <c r="C1868" s="7">
        <v>2003671060</v>
      </c>
      <c r="D1868" s="20">
        <v>5995492</v>
      </c>
      <c r="E1868" s="27" t="s">
        <v>126</v>
      </c>
      <c r="F1868" s="7" t="s">
        <v>107</v>
      </c>
      <c r="G1868" s="7" t="s">
        <v>10</v>
      </c>
      <c r="H1868" s="7" t="s">
        <v>45</v>
      </c>
      <c r="I1868" s="20" t="s">
        <v>2861</v>
      </c>
      <c r="J1868" s="20" t="s">
        <v>2862</v>
      </c>
      <c r="K1868" s="7" t="s">
        <v>119</v>
      </c>
      <c r="L1868" s="61">
        <v>45825</v>
      </c>
      <c r="M1868" s="7" t="s">
        <v>111</v>
      </c>
      <c r="N1868" s="24">
        <v>45826</v>
      </c>
      <c r="O1868" s="24">
        <v>45826</v>
      </c>
      <c r="P1868" s="59"/>
      <c r="Q1868" s="124" t="e">
        <f>P1868*#REF!</f>
        <v>#REF!</v>
      </c>
      <c r="R1868" s="126">
        <v>45826</v>
      </c>
      <c r="S1868" s="153">
        <f>IF(L1868="","",L1868-B1868)</f>
        <v>5</v>
      </c>
      <c r="T1868" s="153">
        <f>IF(N1868="","",N1868-L1868)</f>
        <v>1</v>
      </c>
      <c r="U1868" s="153">
        <f>IF(O1868="","",O1868-N1868)</f>
        <v>0</v>
      </c>
      <c r="V1868" s="154">
        <f>IF(O1868="","",O1868-B1868)</f>
        <v>6</v>
      </c>
      <c r="W1868" s="154">
        <f>IF(O1868="","",O1868-L1868)</f>
        <v>1</v>
      </c>
      <c r="X1868" s="154">
        <f>IF(R1868="","",R1868-B1868)</f>
        <v>6</v>
      </c>
    </row>
    <row r="1869" spans="2:24" ht="17.25" hidden="1" customHeight="1">
      <c r="B1869" s="23">
        <v>45820</v>
      </c>
      <c r="C1869" s="7">
        <v>2003690338</v>
      </c>
      <c r="D1869" s="20">
        <v>5995664</v>
      </c>
      <c r="E1869" s="27" t="s">
        <v>1225</v>
      </c>
      <c r="F1869" s="7" t="s">
        <v>107</v>
      </c>
      <c r="G1869" s="7" t="s">
        <v>10</v>
      </c>
      <c r="H1869" s="7" t="s">
        <v>45</v>
      </c>
      <c r="I1869" s="20" t="s">
        <v>2863</v>
      </c>
      <c r="J1869" s="20" t="s">
        <v>2864</v>
      </c>
      <c r="K1869" s="7" t="s">
        <v>119</v>
      </c>
      <c r="L1869" s="61">
        <v>45826</v>
      </c>
      <c r="M1869" s="7" t="s">
        <v>111</v>
      </c>
      <c r="N1869" s="61">
        <v>45827</v>
      </c>
      <c r="O1869" s="58">
        <v>45832</v>
      </c>
      <c r="P1869" s="59"/>
      <c r="Q1869" s="124" t="e">
        <f>P1869*#REF!</f>
        <v>#REF!</v>
      </c>
      <c r="S1869" s="153">
        <f>IF(L1869="","",L1869-B1869)</f>
        <v>6</v>
      </c>
      <c r="T1869" s="153">
        <f>IF(N1869="","",N1869-L1869)</f>
        <v>1</v>
      </c>
      <c r="U1869" s="153">
        <f>IF(O1869="","",O1869-N1869)</f>
        <v>5</v>
      </c>
      <c r="V1869" s="154">
        <f>IF(O1869="","",O1869-B1869)</f>
        <v>12</v>
      </c>
      <c r="W1869" s="154">
        <f>IF(O1869="","",O1869-L1869)</f>
        <v>6</v>
      </c>
      <c r="X1869" s="154" t="str">
        <f>IF(R1869="","",R1869-B1869)</f>
        <v/>
      </c>
    </row>
    <row r="1870" spans="2:24" ht="17.25" hidden="1" customHeight="1">
      <c r="B1870" s="23">
        <v>45820</v>
      </c>
      <c r="C1870" s="7">
        <v>2003705733</v>
      </c>
      <c r="D1870" s="20">
        <v>5995688</v>
      </c>
      <c r="E1870" s="27" t="s">
        <v>1225</v>
      </c>
      <c r="F1870" s="7" t="s">
        <v>107</v>
      </c>
      <c r="G1870" s="7" t="s">
        <v>10</v>
      </c>
      <c r="H1870" s="7" t="s">
        <v>45</v>
      </c>
      <c r="I1870" s="20" t="s">
        <v>2429</v>
      </c>
      <c r="J1870" s="20" t="s">
        <v>908</v>
      </c>
      <c r="K1870" s="7" t="s">
        <v>110</v>
      </c>
      <c r="L1870" s="61">
        <v>45827</v>
      </c>
      <c r="M1870" s="7" t="s">
        <v>111</v>
      </c>
      <c r="N1870" s="61">
        <v>45827</v>
      </c>
      <c r="O1870" s="58">
        <v>45832</v>
      </c>
      <c r="P1870" s="59"/>
      <c r="Q1870" s="124" t="e">
        <f>P1870*#REF!</f>
        <v>#REF!</v>
      </c>
      <c r="S1870" s="153">
        <f>IF(L1870="","",L1870-B1870)</f>
        <v>7</v>
      </c>
      <c r="T1870" s="153">
        <f>IF(N1870="","",N1870-L1870)</f>
        <v>0</v>
      </c>
      <c r="U1870" s="153">
        <f>IF(O1870="","",O1870-N1870)</f>
        <v>5</v>
      </c>
      <c r="V1870" s="154">
        <f>IF(O1870="","",O1870-B1870)</f>
        <v>12</v>
      </c>
      <c r="W1870" s="154">
        <f>IF(O1870="","",O1870-L1870)</f>
        <v>5</v>
      </c>
      <c r="X1870" s="154" t="str">
        <f>IF(R1870="","",R1870-B1870)</f>
        <v/>
      </c>
    </row>
    <row r="1871" spans="2:24" ht="17.25" hidden="1" customHeight="1">
      <c r="B1871" s="23">
        <v>45820</v>
      </c>
      <c r="C1871" s="7">
        <v>2003710647</v>
      </c>
      <c r="D1871" s="20">
        <v>5995747</v>
      </c>
      <c r="E1871" s="27" t="s">
        <v>949</v>
      </c>
      <c r="F1871" s="7" t="s">
        <v>107</v>
      </c>
      <c r="G1871" s="7" t="s">
        <v>10</v>
      </c>
      <c r="H1871" s="7" t="s">
        <v>45</v>
      </c>
      <c r="I1871" s="20" t="s">
        <v>2865</v>
      </c>
      <c r="J1871" s="20" t="s">
        <v>2866</v>
      </c>
      <c r="K1871" s="7" t="s">
        <v>110</v>
      </c>
      <c r="L1871" s="61">
        <v>45826</v>
      </c>
      <c r="M1871" s="7" t="s">
        <v>111</v>
      </c>
      <c r="N1871" s="61">
        <v>45826</v>
      </c>
      <c r="O1871" s="61">
        <v>45827</v>
      </c>
      <c r="P1871" s="59"/>
      <c r="Q1871" s="124" t="e">
        <f>P1871*#REF!</f>
        <v>#REF!</v>
      </c>
      <c r="R1871" s="126">
        <v>45830</v>
      </c>
      <c r="S1871" s="153">
        <f>IF(L1871="","",L1871-B1871)</f>
        <v>6</v>
      </c>
      <c r="T1871" s="153">
        <f>IF(N1871="","",N1871-L1871)</f>
        <v>0</v>
      </c>
      <c r="U1871" s="153">
        <f>IF(O1871="","",O1871-N1871)</f>
        <v>1</v>
      </c>
      <c r="V1871" s="154">
        <f>IF(O1871="","",O1871-B1871)</f>
        <v>7</v>
      </c>
      <c r="W1871" s="154">
        <f>IF(O1871="","",O1871-L1871)</f>
        <v>1</v>
      </c>
      <c r="X1871" s="154">
        <f>IF(R1871="","",R1871-B1871)</f>
        <v>10</v>
      </c>
    </row>
    <row r="1872" spans="2:24" ht="17.25" hidden="1" customHeight="1">
      <c r="B1872" s="23">
        <v>45820</v>
      </c>
      <c r="C1872" s="7">
        <v>2003671772</v>
      </c>
      <c r="D1872" s="20">
        <v>5995752</v>
      </c>
      <c r="E1872" s="27" t="s">
        <v>138</v>
      </c>
      <c r="F1872" s="7" t="s">
        <v>107</v>
      </c>
      <c r="G1872" s="7" t="s">
        <v>26</v>
      </c>
      <c r="H1872" s="7" t="s">
        <v>45</v>
      </c>
      <c r="I1872" s="20" t="s">
        <v>2867</v>
      </c>
      <c r="J1872" s="20" t="s">
        <v>2868</v>
      </c>
      <c r="K1872" s="7" t="s">
        <v>119</v>
      </c>
      <c r="L1872" s="61">
        <v>45827</v>
      </c>
      <c r="M1872" s="7" t="s">
        <v>111</v>
      </c>
      <c r="N1872" s="24">
        <v>45830</v>
      </c>
      <c r="O1872" s="58">
        <v>45830</v>
      </c>
      <c r="P1872" s="59"/>
      <c r="Q1872" s="124" t="e">
        <f>P1872*#REF!</f>
        <v>#REF!</v>
      </c>
      <c r="R1872" s="126">
        <v>45830</v>
      </c>
      <c r="S1872" s="153">
        <f>IF(L1872="","",L1872-B1872)</f>
        <v>7</v>
      </c>
      <c r="T1872" s="153">
        <f>IF(N1872="","",N1872-L1872)</f>
        <v>3</v>
      </c>
      <c r="U1872" s="153">
        <f>IF(O1872="","",O1872-N1872)</f>
        <v>0</v>
      </c>
      <c r="V1872" s="154">
        <f>IF(O1872="","",O1872-B1872)</f>
        <v>10</v>
      </c>
      <c r="W1872" s="154">
        <f>IF(O1872="","",O1872-L1872)</f>
        <v>3</v>
      </c>
      <c r="X1872" s="154">
        <f>IF(R1872="","",R1872-B1872)</f>
        <v>10</v>
      </c>
    </row>
    <row r="1873" spans="2:24" ht="17.25" hidden="1" customHeight="1">
      <c r="B1873" s="23">
        <v>45820</v>
      </c>
      <c r="C1873" s="7">
        <v>2003695454</v>
      </c>
      <c r="D1873" s="20">
        <v>191422</v>
      </c>
      <c r="E1873" s="27" t="s">
        <v>157</v>
      </c>
      <c r="F1873" s="7" t="s">
        <v>107</v>
      </c>
      <c r="G1873" s="7" t="s">
        <v>18</v>
      </c>
      <c r="H1873" s="7" t="s">
        <v>45</v>
      </c>
      <c r="I1873" s="20" t="s">
        <v>2748</v>
      </c>
      <c r="J1873" s="20" t="s">
        <v>2749</v>
      </c>
      <c r="K1873" s="7" t="s">
        <v>119</v>
      </c>
      <c r="L1873" s="61">
        <v>45827</v>
      </c>
      <c r="M1873" s="7" t="s">
        <v>111</v>
      </c>
      <c r="N1873" s="61">
        <v>45831</v>
      </c>
      <c r="O1873" s="61">
        <v>45835</v>
      </c>
      <c r="P1873" s="59"/>
      <c r="Q1873" s="124" t="e">
        <f>P1873*#REF!</f>
        <v>#REF!</v>
      </c>
      <c r="S1873" s="153">
        <f>IF(L1873="","",L1873-B1873)</f>
        <v>7</v>
      </c>
      <c r="T1873" s="153">
        <f>IF(N1873="","",N1873-L1873)</f>
        <v>4</v>
      </c>
      <c r="U1873" s="153">
        <f>IF(O1873="","",O1873-N1873)</f>
        <v>4</v>
      </c>
      <c r="V1873" s="154">
        <f>IF(O1873="","",O1873-B1873)</f>
        <v>15</v>
      </c>
      <c r="W1873" s="154">
        <f>IF(O1873="","",O1873-L1873)</f>
        <v>8</v>
      </c>
      <c r="X1873" s="154" t="str">
        <f>IF(R1873="","",R1873-B1873)</f>
        <v/>
      </c>
    </row>
    <row r="1874" spans="2:24" ht="17.25" hidden="1" customHeight="1">
      <c r="B1874" s="23">
        <v>45820</v>
      </c>
      <c r="C1874" s="7">
        <v>2003671767</v>
      </c>
      <c r="D1874" s="20">
        <v>191387</v>
      </c>
      <c r="E1874" s="27" t="s">
        <v>408</v>
      </c>
      <c r="F1874" s="7" t="s">
        <v>107</v>
      </c>
      <c r="G1874" s="7" t="s">
        <v>10</v>
      </c>
      <c r="H1874" s="7" t="s">
        <v>45</v>
      </c>
      <c r="I1874" s="20" t="s">
        <v>2869</v>
      </c>
      <c r="J1874" s="20" t="s">
        <v>2870</v>
      </c>
      <c r="K1874" s="7" t="s">
        <v>119</v>
      </c>
      <c r="L1874" s="61">
        <v>45827</v>
      </c>
      <c r="M1874" s="7" t="s">
        <v>111</v>
      </c>
      <c r="N1874" s="61">
        <v>45827</v>
      </c>
      <c r="O1874" s="61">
        <v>45827</v>
      </c>
      <c r="P1874" s="59"/>
      <c r="Q1874" s="124" t="e">
        <f>P1874*#REF!</f>
        <v>#REF!</v>
      </c>
      <c r="R1874" s="126">
        <v>45830</v>
      </c>
      <c r="S1874" s="153">
        <f>IF(L1874="","",L1874-B1874)</f>
        <v>7</v>
      </c>
      <c r="T1874" s="153">
        <f>IF(N1874="","",N1874-L1874)</f>
        <v>0</v>
      </c>
      <c r="U1874" s="153">
        <f>IF(O1874="","",O1874-N1874)</f>
        <v>0</v>
      </c>
      <c r="V1874" s="154">
        <f>IF(O1874="","",O1874-B1874)</f>
        <v>7</v>
      </c>
      <c r="W1874" s="154">
        <f>IF(O1874="","",O1874-L1874)</f>
        <v>0</v>
      </c>
      <c r="X1874" s="154">
        <f>IF(R1874="","",R1874-B1874)</f>
        <v>10</v>
      </c>
    </row>
    <row r="1875" spans="2:24" ht="17.25" hidden="1" customHeight="1">
      <c r="B1875" s="23">
        <v>45820</v>
      </c>
      <c r="C1875" s="7">
        <v>2003700290</v>
      </c>
      <c r="D1875" s="20">
        <v>191146</v>
      </c>
      <c r="E1875" s="27" t="s">
        <v>185</v>
      </c>
      <c r="F1875" s="7" t="s">
        <v>107</v>
      </c>
      <c r="G1875" s="7" t="s">
        <v>26</v>
      </c>
      <c r="H1875" s="7" t="s">
        <v>45</v>
      </c>
      <c r="I1875" s="20" t="s">
        <v>600</v>
      </c>
      <c r="J1875" s="20" t="s">
        <v>2871</v>
      </c>
      <c r="K1875" s="7" t="s">
        <v>110</v>
      </c>
      <c r="L1875" s="61">
        <v>45832</v>
      </c>
      <c r="M1875" s="7" t="s">
        <v>111</v>
      </c>
      <c r="N1875" s="24">
        <v>45833</v>
      </c>
      <c r="P1875" s="59"/>
      <c r="Q1875" s="124" t="e">
        <f>P1875*#REF!</f>
        <v>#REF!</v>
      </c>
      <c r="S1875" s="153">
        <f>IF(L1875="","",L1875-B1875)</f>
        <v>12</v>
      </c>
      <c r="T1875" s="153">
        <f>IF(N1875="","",N1875-L1875)</f>
        <v>1</v>
      </c>
      <c r="U1875" s="153" t="str">
        <f>IF(O1875="","",O1875-N1875)</f>
        <v/>
      </c>
      <c r="V1875" s="154" t="str">
        <f>IF(O1875="","",O1875-B1875)</f>
        <v/>
      </c>
      <c r="W1875" s="154" t="str">
        <f>IF(O1875="","",O1875-L1875)</f>
        <v/>
      </c>
      <c r="X1875" s="154" t="str">
        <f>IF(R1875="","",R1875-B1875)</f>
        <v/>
      </c>
    </row>
    <row r="1876" spans="2:24" ht="17.25" hidden="1" customHeight="1">
      <c r="B1876" s="23">
        <v>45820</v>
      </c>
      <c r="C1876" s="7">
        <v>2003712018</v>
      </c>
      <c r="D1876" s="20">
        <v>190594</v>
      </c>
      <c r="E1876" s="27" t="s">
        <v>123</v>
      </c>
      <c r="F1876" s="7" t="s">
        <v>107</v>
      </c>
      <c r="G1876" s="7" t="s">
        <v>10</v>
      </c>
      <c r="H1876" s="7" t="s">
        <v>45</v>
      </c>
      <c r="I1876" s="20" t="s">
        <v>784</v>
      </c>
      <c r="J1876" s="20" t="s">
        <v>2793</v>
      </c>
      <c r="K1876" s="7" t="s">
        <v>119</v>
      </c>
      <c r="L1876" s="61">
        <v>45825</v>
      </c>
      <c r="M1876" s="7" t="s">
        <v>111</v>
      </c>
      <c r="N1876" s="24">
        <v>45826</v>
      </c>
      <c r="O1876" s="61">
        <v>45827</v>
      </c>
      <c r="P1876" s="59"/>
      <c r="Q1876" s="124" t="e">
        <f>P1876*#REF!</f>
        <v>#REF!</v>
      </c>
      <c r="R1876" s="126">
        <v>45830</v>
      </c>
      <c r="S1876" s="153">
        <f>IF(L1876="","",L1876-B1876)</f>
        <v>5</v>
      </c>
      <c r="T1876" s="153">
        <f>IF(N1876="","",N1876-L1876)</f>
        <v>1</v>
      </c>
      <c r="U1876" s="153">
        <f>IF(O1876="","",O1876-N1876)</f>
        <v>1</v>
      </c>
      <c r="V1876" s="154">
        <f>IF(O1876="","",O1876-B1876)</f>
        <v>7</v>
      </c>
      <c r="W1876" s="154">
        <f>IF(O1876="","",O1876-L1876)</f>
        <v>2</v>
      </c>
      <c r="X1876" s="154">
        <f>IF(R1876="","",R1876-B1876)</f>
        <v>10</v>
      </c>
    </row>
    <row r="1877" spans="2:24" ht="17.25" hidden="1" customHeight="1">
      <c r="B1877" s="23">
        <v>45820</v>
      </c>
      <c r="C1877" s="7">
        <v>2003710943</v>
      </c>
      <c r="D1877" s="20">
        <v>190587</v>
      </c>
      <c r="E1877" s="27" t="s">
        <v>129</v>
      </c>
      <c r="F1877" s="7" t="s">
        <v>107</v>
      </c>
      <c r="G1877" s="7" t="s">
        <v>10</v>
      </c>
      <c r="H1877" s="7" t="s">
        <v>45</v>
      </c>
      <c r="I1877" s="20" t="s">
        <v>2872</v>
      </c>
      <c r="J1877" s="20" t="s">
        <v>2873</v>
      </c>
      <c r="K1877" s="7" t="s">
        <v>110</v>
      </c>
      <c r="L1877" s="61">
        <v>45827</v>
      </c>
      <c r="M1877" s="7" t="s">
        <v>111</v>
      </c>
      <c r="N1877" s="24">
        <v>45849</v>
      </c>
      <c r="O1877" s="24">
        <v>45849</v>
      </c>
      <c r="P1877" s="59"/>
      <c r="Q1877" s="124" t="e">
        <f>P1877*#REF!</f>
        <v>#REF!</v>
      </c>
      <c r="R1877" s="126">
        <v>45853</v>
      </c>
      <c r="S1877" s="153">
        <f>IF(L1877="","",L1877-B1877)</f>
        <v>7</v>
      </c>
      <c r="T1877" s="153">
        <f>IF(N1877="","",N1877-L1877)</f>
        <v>22</v>
      </c>
      <c r="U1877" s="153">
        <f>IF(O1877="","",O1877-N1877)</f>
        <v>0</v>
      </c>
      <c r="V1877" s="154">
        <f>IF(O1877="","",O1877-B1877)</f>
        <v>29</v>
      </c>
      <c r="W1877" s="154">
        <f>IF(O1877="","",O1877-L1877)</f>
        <v>22</v>
      </c>
      <c r="X1877" s="154">
        <f>IF(R1877="","",R1877-B1877)</f>
        <v>33</v>
      </c>
    </row>
    <row r="1878" spans="2:24" ht="17.25" hidden="1" customHeight="1">
      <c r="B1878" s="23">
        <v>45820</v>
      </c>
      <c r="C1878" s="7">
        <v>2003675912</v>
      </c>
      <c r="D1878" s="20">
        <v>251182</v>
      </c>
      <c r="E1878" s="27" t="s">
        <v>756</v>
      </c>
      <c r="F1878" s="7" t="s">
        <v>107</v>
      </c>
      <c r="G1878" s="7" t="s">
        <v>18</v>
      </c>
      <c r="H1878" s="7" t="s">
        <v>45</v>
      </c>
      <c r="I1878" s="20" t="s">
        <v>2874</v>
      </c>
      <c r="J1878" s="20" t="s">
        <v>2875</v>
      </c>
      <c r="K1878" s="7" t="s">
        <v>119</v>
      </c>
      <c r="L1878" s="61">
        <v>45832</v>
      </c>
      <c r="M1878" s="7" t="s">
        <v>111</v>
      </c>
      <c r="N1878" s="61">
        <v>45835</v>
      </c>
      <c r="O1878" s="61">
        <v>45842</v>
      </c>
      <c r="P1878" s="59"/>
      <c r="Q1878" s="124" t="e">
        <f>P1878*#REF!</f>
        <v>#REF!</v>
      </c>
      <c r="S1878" s="153">
        <f>IF(L1878="","",L1878-B1878)</f>
        <v>12</v>
      </c>
      <c r="T1878" s="153">
        <f>IF(N1878="","",N1878-L1878)</f>
        <v>3</v>
      </c>
      <c r="U1878" s="153">
        <f>IF(O1878="","",O1878-N1878)</f>
        <v>7</v>
      </c>
      <c r="V1878" s="154">
        <f>IF(O1878="","",O1878-B1878)</f>
        <v>22</v>
      </c>
      <c r="W1878" s="154">
        <f>IF(O1878="","",O1878-L1878)</f>
        <v>10</v>
      </c>
      <c r="X1878" s="154" t="str">
        <f>IF(R1878="","",R1878-B1878)</f>
        <v/>
      </c>
    </row>
    <row r="1879" spans="2:24" ht="17.25" hidden="1" customHeight="1">
      <c r="B1879" s="23">
        <v>45821</v>
      </c>
      <c r="C1879" s="7">
        <v>2003714273</v>
      </c>
      <c r="D1879" s="20">
        <v>192671</v>
      </c>
      <c r="E1879" s="27" t="s">
        <v>408</v>
      </c>
      <c r="F1879" s="7" t="s">
        <v>107</v>
      </c>
      <c r="G1879" s="7" t="s">
        <v>10</v>
      </c>
      <c r="H1879" s="7" t="s">
        <v>45</v>
      </c>
      <c r="I1879" s="20" t="s">
        <v>670</v>
      </c>
      <c r="J1879" s="20" t="s">
        <v>2876</v>
      </c>
      <c r="K1879" s="7" t="s">
        <v>119</v>
      </c>
      <c r="L1879" s="61">
        <v>45826</v>
      </c>
      <c r="M1879" s="7" t="s">
        <v>111</v>
      </c>
      <c r="N1879" s="61">
        <v>45827</v>
      </c>
      <c r="O1879" s="61">
        <v>45827</v>
      </c>
      <c r="P1879" s="59"/>
      <c r="Q1879" s="124"/>
      <c r="R1879" s="126">
        <v>45830</v>
      </c>
      <c r="V1879" s="154"/>
      <c r="W1879" s="154"/>
      <c r="X1879" s="154"/>
    </row>
    <row r="1880" spans="2:24" ht="17.25" hidden="1" customHeight="1">
      <c r="B1880" s="23">
        <v>45821</v>
      </c>
      <c r="C1880" s="7">
        <v>2003605478</v>
      </c>
      <c r="D1880" s="20">
        <v>192377</v>
      </c>
      <c r="E1880" s="27" t="s">
        <v>191</v>
      </c>
      <c r="F1880" s="7" t="s">
        <v>107</v>
      </c>
      <c r="G1880" s="7" t="s">
        <v>21</v>
      </c>
      <c r="H1880" s="7" t="s">
        <v>45</v>
      </c>
      <c r="I1880" s="20" t="s">
        <v>2877</v>
      </c>
      <c r="J1880" s="20" t="s">
        <v>686</v>
      </c>
      <c r="K1880" s="7" t="s">
        <v>119</v>
      </c>
      <c r="L1880" s="61">
        <v>45825</v>
      </c>
      <c r="M1880" s="7" t="s">
        <v>111</v>
      </c>
      <c r="N1880" s="24">
        <v>45860</v>
      </c>
      <c r="O1880" s="24">
        <v>45860</v>
      </c>
      <c r="P1880" s="59"/>
      <c r="Q1880" s="124" t="e">
        <f>P1880*#REF!</f>
        <v>#REF!</v>
      </c>
      <c r="R1880" s="126">
        <v>45863</v>
      </c>
      <c r="S1880" s="153">
        <f>IF(L1880="","",L1880-B1880)</f>
        <v>4</v>
      </c>
      <c r="T1880" s="153">
        <f>IF(N1880="","",N1880-L1880)</f>
        <v>35</v>
      </c>
      <c r="U1880" s="153">
        <f>IF(O1880="","",O1880-N1880)</f>
        <v>0</v>
      </c>
      <c r="V1880" s="154">
        <f>IF(O1880="","",O1880-B1880)</f>
        <v>39</v>
      </c>
      <c r="W1880" s="154">
        <f>IF(O1880="","",O1880-L1880)</f>
        <v>35</v>
      </c>
      <c r="X1880" s="154">
        <f>IF(R1880="","",R1880-B1880)</f>
        <v>42</v>
      </c>
    </row>
    <row r="1881" spans="2:24" ht="17.25" hidden="1" customHeight="1">
      <c r="B1881" s="23">
        <v>45821</v>
      </c>
      <c r="C1881" s="7">
        <v>2003703045</v>
      </c>
      <c r="D1881" s="20">
        <v>192418</v>
      </c>
      <c r="E1881" s="27" t="s">
        <v>849</v>
      </c>
      <c r="F1881" s="7" t="s">
        <v>107</v>
      </c>
      <c r="G1881" s="7" t="s">
        <v>10</v>
      </c>
      <c r="H1881" s="7" t="s">
        <v>45</v>
      </c>
      <c r="I1881" s="20" t="s">
        <v>577</v>
      </c>
      <c r="J1881" s="20" t="s">
        <v>2878</v>
      </c>
      <c r="K1881" s="7" t="s">
        <v>110</v>
      </c>
      <c r="L1881" s="61">
        <v>45832</v>
      </c>
      <c r="M1881" s="7" t="s">
        <v>111</v>
      </c>
      <c r="N1881" s="61">
        <v>45832</v>
      </c>
      <c r="O1881" s="61">
        <v>45835</v>
      </c>
      <c r="P1881" s="59"/>
      <c r="Q1881" s="124" t="e">
        <f>P1881*#REF!</f>
        <v>#REF!</v>
      </c>
      <c r="S1881" s="153">
        <f>IF(L1881="","",L1881-B1881)</f>
        <v>11</v>
      </c>
      <c r="T1881" s="153">
        <f>IF(N1881="","",N1881-L1881)</f>
        <v>0</v>
      </c>
      <c r="U1881" s="153">
        <f>IF(O1881="","",O1881-N1881)</f>
        <v>3</v>
      </c>
      <c r="V1881" s="154">
        <f>IF(O1881="","",O1881-B1881)</f>
        <v>14</v>
      </c>
      <c r="W1881" s="154">
        <f>IF(O1881="","",O1881-L1881)</f>
        <v>3</v>
      </c>
      <c r="X1881" s="154" t="str">
        <f>IF(R1881="","",R1881-B1881)</f>
        <v/>
      </c>
    </row>
    <row r="1882" spans="2:24" ht="17.25" hidden="1" customHeight="1">
      <c r="B1882" s="23">
        <v>45821</v>
      </c>
      <c r="C1882" s="7">
        <v>2003713869</v>
      </c>
      <c r="D1882" s="20">
        <v>191993</v>
      </c>
      <c r="E1882" s="27" t="s">
        <v>123</v>
      </c>
      <c r="F1882" s="7" t="s">
        <v>107</v>
      </c>
      <c r="G1882" s="7" t="s">
        <v>18</v>
      </c>
      <c r="H1882" s="7" t="s">
        <v>45</v>
      </c>
      <c r="I1882" s="20" t="s">
        <v>2879</v>
      </c>
      <c r="J1882" s="20" t="s">
        <v>2880</v>
      </c>
      <c r="K1882" s="7" t="s">
        <v>119</v>
      </c>
      <c r="L1882" s="61">
        <v>45825</v>
      </c>
      <c r="M1882" s="7" t="s">
        <v>111</v>
      </c>
      <c r="N1882" s="24">
        <v>45826</v>
      </c>
      <c r="O1882" s="24">
        <v>45826</v>
      </c>
      <c r="P1882" s="59"/>
      <c r="Q1882" s="124" t="e">
        <f>P1882*#REF!</f>
        <v>#REF!</v>
      </c>
      <c r="R1882" s="126">
        <v>45826</v>
      </c>
      <c r="S1882" s="153">
        <f>IF(L1882="","",L1882-B1882)</f>
        <v>4</v>
      </c>
      <c r="T1882" s="153">
        <f>IF(N1882="","",N1882-L1882)</f>
        <v>1</v>
      </c>
      <c r="U1882" s="153">
        <f>IF(O1882="","",O1882-N1882)</f>
        <v>0</v>
      </c>
      <c r="V1882" s="154">
        <f>IF(O1882="","",O1882-B1882)</f>
        <v>5</v>
      </c>
      <c r="W1882" s="154">
        <f>IF(O1882="","",O1882-L1882)</f>
        <v>1</v>
      </c>
      <c r="X1882" s="154">
        <f>IF(R1882="","",R1882-B1882)</f>
        <v>5</v>
      </c>
    </row>
    <row r="1883" spans="2:24" ht="17.25" hidden="1" customHeight="1">
      <c r="B1883" s="23">
        <v>45821</v>
      </c>
      <c r="C1883" s="7">
        <v>2003709974</v>
      </c>
      <c r="D1883" s="20">
        <v>191944</v>
      </c>
      <c r="E1883" s="27" t="s">
        <v>198</v>
      </c>
      <c r="F1883" s="7" t="s">
        <v>107</v>
      </c>
      <c r="G1883" s="7" t="s">
        <v>10</v>
      </c>
      <c r="H1883" s="7" t="s">
        <v>45</v>
      </c>
      <c r="I1883" s="20" t="s">
        <v>1464</v>
      </c>
      <c r="J1883" s="20" t="s">
        <v>1963</v>
      </c>
      <c r="K1883" s="7" t="s">
        <v>110</v>
      </c>
      <c r="L1883" s="61">
        <v>45825</v>
      </c>
      <c r="M1883" s="7" t="s">
        <v>111</v>
      </c>
      <c r="N1883" s="61">
        <v>45825</v>
      </c>
      <c r="O1883" s="61">
        <v>45826</v>
      </c>
      <c r="P1883" s="59"/>
      <c r="Q1883" s="124" t="e">
        <f>P1883*#REF!</f>
        <v>#REF!</v>
      </c>
      <c r="R1883" s="126">
        <v>45826</v>
      </c>
      <c r="S1883" s="153">
        <f>IF(L1883="","",L1883-B1883)</f>
        <v>4</v>
      </c>
      <c r="T1883" s="153">
        <f>IF(N1883="","",N1883-L1883)</f>
        <v>0</v>
      </c>
      <c r="U1883" s="153">
        <f>IF(O1883="","",O1883-N1883)</f>
        <v>1</v>
      </c>
      <c r="V1883" s="154">
        <f>IF(O1883="","",O1883-B1883)</f>
        <v>5</v>
      </c>
      <c r="W1883" s="154">
        <f>IF(O1883="","",O1883-L1883)</f>
        <v>1</v>
      </c>
      <c r="X1883" s="154">
        <f>IF(R1883="","",R1883-B1883)</f>
        <v>5</v>
      </c>
    </row>
    <row r="1884" spans="2:24" ht="17.25" hidden="1" customHeight="1">
      <c r="B1884" s="23">
        <v>45821</v>
      </c>
      <c r="C1884" s="7">
        <v>2003682808</v>
      </c>
      <c r="D1884" s="20">
        <v>5996118</v>
      </c>
      <c r="E1884" s="27" t="s">
        <v>149</v>
      </c>
      <c r="F1884" s="7" t="s">
        <v>107</v>
      </c>
      <c r="G1884" s="7" t="s">
        <v>10</v>
      </c>
      <c r="H1884" s="7" t="s">
        <v>45</v>
      </c>
      <c r="I1884" s="20" t="s">
        <v>901</v>
      </c>
      <c r="J1884" s="20" t="s">
        <v>2881</v>
      </c>
      <c r="K1884" s="7" t="s">
        <v>110</v>
      </c>
      <c r="L1884" s="61">
        <v>45826</v>
      </c>
      <c r="M1884" s="7" t="s">
        <v>111</v>
      </c>
      <c r="N1884" s="61">
        <v>45826</v>
      </c>
      <c r="O1884" s="58">
        <v>45826</v>
      </c>
      <c r="P1884" s="59"/>
      <c r="Q1884" s="124" t="e">
        <f>P1884*#REF!</f>
        <v>#REF!</v>
      </c>
      <c r="R1884" s="126">
        <v>45826</v>
      </c>
      <c r="S1884" s="153">
        <f>IF(L1884="","",L1884-B1884)</f>
        <v>5</v>
      </c>
      <c r="T1884" s="153">
        <f>IF(N1884="","",N1884-L1884)</f>
        <v>0</v>
      </c>
      <c r="U1884" s="153">
        <f>IF(O1884="","",O1884-N1884)</f>
        <v>0</v>
      </c>
      <c r="V1884" s="154">
        <f>IF(O1884="","",O1884-B1884)</f>
        <v>5</v>
      </c>
      <c r="W1884" s="154">
        <f>IF(O1884="","",O1884-L1884)</f>
        <v>0</v>
      </c>
      <c r="X1884" s="154">
        <f>IF(R1884="","",R1884-B1884)</f>
        <v>5</v>
      </c>
    </row>
    <row r="1885" spans="2:24" ht="17.25" hidden="1" customHeight="1">
      <c r="B1885" s="23">
        <v>45821</v>
      </c>
      <c r="C1885" s="7">
        <v>2003707629</v>
      </c>
      <c r="D1885" s="20">
        <v>5996156</v>
      </c>
      <c r="E1885" s="27" t="s">
        <v>112</v>
      </c>
      <c r="F1885" s="7" t="s">
        <v>107</v>
      </c>
      <c r="G1885" s="7" t="s">
        <v>18</v>
      </c>
      <c r="H1885" s="7" t="s">
        <v>45</v>
      </c>
      <c r="I1885" s="20" t="s">
        <v>2882</v>
      </c>
      <c r="J1885" s="20" t="s">
        <v>2883</v>
      </c>
      <c r="K1885" s="7" t="s">
        <v>110</v>
      </c>
      <c r="L1885" s="61">
        <v>45827</v>
      </c>
      <c r="M1885" s="7" t="s">
        <v>111</v>
      </c>
      <c r="N1885" s="24">
        <v>45831</v>
      </c>
      <c r="O1885" s="24">
        <v>45832</v>
      </c>
      <c r="P1885" s="59"/>
      <c r="Q1885" s="124" t="e">
        <f>P1885*#REF!</f>
        <v>#REF!</v>
      </c>
      <c r="S1885" s="153">
        <f>IF(L1885="","",L1885-B1885)</f>
        <v>6</v>
      </c>
      <c r="T1885" s="153">
        <f>IF(N1885="","",N1885-L1885)</f>
        <v>4</v>
      </c>
      <c r="U1885" s="153">
        <f>IF(O1885="","",O1885-N1885)</f>
        <v>1</v>
      </c>
      <c r="V1885" s="154">
        <f>IF(O1885="","",O1885-B1885)</f>
        <v>11</v>
      </c>
      <c r="W1885" s="154">
        <f>IF(O1885="","",O1885-L1885)</f>
        <v>5</v>
      </c>
      <c r="X1885" s="154" t="str">
        <f>IF(R1885="","",R1885-B1885)</f>
        <v/>
      </c>
    </row>
    <row r="1886" spans="2:24" ht="17.25" hidden="1" customHeight="1">
      <c r="B1886" s="23">
        <v>45821</v>
      </c>
      <c r="C1886" s="7">
        <v>2003707753</v>
      </c>
      <c r="D1886" s="20">
        <v>5996158</v>
      </c>
      <c r="E1886" s="27" t="s">
        <v>112</v>
      </c>
      <c r="F1886" s="7" t="s">
        <v>107</v>
      </c>
      <c r="G1886" s="7" t="s">
        <v>15</v>
      </c>
      <c r="H1886" s="7" t="s">
        <v>45</v>
      </c>
      <c r="I1886" s="20" t="s">
        <v>2884</v>
      </c>
      <c r="J1886" s="20" t="s">
        <v>2885</v>
      </c>
      <c r="K1886" s="7" t="s">
        <v>110</v>
      </c>
      <c r="L1886" s="61">
        <v>45827</v>
      </c>
      <c r="M1886" s="7" t="s">
        <v>111</v>
      </c>
      <c r="N1886" s="58">
        <v>45845</v>
      </c>
      <c r="O1886" s="58">
        <v>45845</v>
      </c>
      <c r="P1886" s="59"/>
      <c r="Q1886" s="124" t="e">
        <f>P1886*#REF!</f>
        <v>#REF!</v>
      </c>
      <c r="S1886" s="153">
        <f>IF(L1886="","",L1886-B1886)</f>
        <v>6</v>
      </c>
      <c r="T1886" s="153">
        <f>IF(N1886="","",N1886-L1886)</f>
        <v>18</v>
      </c>
      <c r="U1886" s="153">
        <f>IF(O1886="","",O1886-N1886)</f>
        <v>0</v>
      </c>
      <c r="V1886" s="154">
        <f>IF(O1886="","",O1886-B1886)</f>
        <v>24</v>
      </c>
      <c r="W1886" s="154">
        <f>IF(O1886="","",O1886-L1886)</f>
        <v>18</v>
      </c>
      <c r="X1886" s="154" t="str">
        <f>IF(R1886="","",R1886-B1886)</f>
        <v/>
      </c>
    </row>
    <row r="1887" spans="2:24" ht="17.25" hidden="1" customHeight="1">
      <c r="B1887" s="23">
        <v>45821</v>
      </c>
      <c r="C1887" s="7">
        <v>2003713740</v>
      </c>
      <c r="D1887" s="20">
        <v>5996225</v>
      </c>
      <c r="E1887" s="27" t="s">
        <v>191</v>
      </c>
      <c r="F1887" s="7" t="s">
        <v>107</v>
      </c>
      <c r="G1887" s="7" t="s">
        <v>10</v>
      </c>
      <c r="H1887" s="7" t="s">
        <v>45</v>
      </c>
      <c r="I1887" s="20" t="s">
        <v>2886</v>
      </c>
      <c r="J1887" s="20" t="s">
        <v>2887</v>
      </c>
      <c r="K1887" s="7" t="s">
        <v>119</v>
      </c>
      <c r="L1887" s="61">
        <v>45826</v>
      </c>
      <c r="M1887" s="7" t="s">
        <v>111</v>
      </c>
      <c r="N1887" s="61">
        <v>45827</v>
      </c>
      <c r="O1887" s="61">
        <v>45827</v>
      </c>
      <c r="P1887" s="59"/>
      <c r="Q1887" s="124" t="e">
        <f>P1887*#REF!</f>
        <v>#REF!</v>
      </c>
      <c r="R1887" s="126">
        <v>45830</v>
      </c>
      <c r="S1887" s="153">
        <f>IF(L1887="","",L1887-B1887)</f>
        <v>5</v>
      </c>
      <c r="T1887" s="153">
        <f>IF(N1887="","",N1887-L1887)</f>
        <v>1</v>
      </c>
      <c r="U1887" s="153">
        <f>IF(O1887="","",O1887-N1887)</f>
        <v>0</v>
      </c>
      <c r="V1887" s="154">
        <f>IF(O1887="","",O1887-B1887)</f>
        <v>6</v>
      </c>
      <c r="W1887" s="154">
        <f>IF(O1887="","",O1887-L1887)</f>
        <v>1</v>
      </c>
      <c r="X1887" s="154">
        <f>IF(R1887="","",R1887-B1887)</f>
        <v>9</v>
      </c>
    </row>
    <row r="1888" spans="2:24" ht="17.25" hidden="1" customHeight="1">
      <c r="B1888" s="23">
        <v>45821</v>
      </c>
      <c r="C1888" s="7">
        <v>2003813172</v>
      </c>
      <c r="D1888" s="20">
        <v>5996343</v>
      </c>
      <c r="E1888" s="27" t="s">
        <v>106</v>
      </c>
      <c r="F1888" s="7" t="s">
        <v>107</v>
      </c>
      <c r="G1888" s="7" t="s">
        <v>18</v>
      </c>
      <c r="H1888" s="7" t="s">
        <v>45</v>
      </c>
      <c r="I1888" s="20" t="s">
        <v>2888</v>
      </c>
      <c r="J1888" s="20" t="s">
        <v>2889</v>
      </c>
      <c r="K1888" s="7" t="s">
        <v>110</v>
      </c>
      <c r="L1888" s="61">
        <v>45827</v>
      </c>
      <c r="M1888" s="7" t="s">
        <v>111</v>
      </c>
      <c r="N1888" s="61">
        <v>45827</v>
      </c>
      <c r="O1888" s="24">
        <v>45832</v>
      </c>
      <c r="P1888" s="59"/>
      <c r="Q1888" s="124" t="e">
        <f>P1888*#REF!</f>
        <v>#REF!</v>
      </c>
      <c r="S1888" s="153">
        <f>IF(L1888="","",L1888-B1888)</f>
        <v>6</v>
      </c>
      <c r="T1888" s="153">
        <f>IF(N1888="","",N1888-L1888)</f>
        <v>0</v>
      </c>
      <c r="U1888" s="153">
        <f>IF(O1888="","",O1888-N1888)</f>
        <v>5</v>
      </c>
      <c r="V1888" s="154">
        <f>IF(O1888="","",O1888-B1888)</f>
        <v>11</v>
      </c>
      <c r="W1888" s="154">
        <f>IF(O1888="","",O1888-L1888)</f>
        <v>5</v>
      </c>
      <c r="X1888" s="154" t="str">
        <f>IF(R1888="","",R1888-B1888)</f>
        <v/>
      </c>
    </row>
    <row r="1889" spans="2:24" ht="17.25" hidden="1" customHeight="1">
      <c r="B1889" s="23">
        <v>45821</v>
      </c>
      <c r="C1889" s="7">
        <v>2003669629</v>
      </c>
      <c r="D1889" s="20">
        <v>5996366</v>
      </c>
      <c r="E1889" s="27" t="s">
        <v>126</v>
      </c>
      <c r="F1889" s="7" t="s">
        <v>107</v>
      </c>
      <c r="G1889" s="7" t="s">
        <v>10</v>
      </c>
      <c r="H1889" s="7" t="s">
        <v>45</v>
      </c>
      <c r="I1889" s="20" t="s">
        <v>1996</v>
      </c>
      <c r="J1889" s="20" t="s">
        <v>2890</v>
      </c>
      <c r="K1889" s="7" t="s">
        <v>119</v>
      </c>
      <c r="L1889" s="61">
        <v>45827</v>
      </c>
      <c r="M1889" s="7" t="s">
        <v>111</v>
      </c>
      <c r="N1889" s="61">
        <v>45827</v>
      </c>
      <c r="O1889" s="61">
        <v>45827</v>
      </c>
      <c r="P1889" s="59"/>
      <c r="Q1889" s="124" t="e">
        <f>P1889*#REF!</f>
        <v>#REF!</v>
      </c>
      <c r="R1889" s="126">
        <v>45830</v>
      </c>
      <c r="S1889" s="153">
        <f>IF(L1889="","",L1889-B1889)</f>
        <v>6</v>
      </c>
      <c r="T1889" s="153">
        <f>IF(N1889="","",N1889-L1889)</f>
        <v>0</v>
      </c>
      <c r="U1889" s="153">
        <f>IF(O1889="","",O1889-N1889)</f>
        <v>0</v>
      </c>
      <c r="V1889" s="154">
        <f>IF(O1889="","",O1889-B1889)</f>
        <v>6</v>
      </c>
      <c r="W1889" s="154">
        <f>IF(O1889="","",O1889-L1889)</f>
        <v>0</v>
      </c>
      <c r="X1889" s="154">
        <f>IF(R1889="","",R1889-B1889)</f>
        <v>9</v>
      </c>
    </row>
    <row r="1890" spans="2:24" ht="17.25" hidden="1" customHeight="1">
      <c r="B1890" s="23">
        <v>45821</v>
      </c>
      <c r="C1890" s="7">
        <v>2003684115</v>
      </c>
      <c r="D1890" s="20">
        <v>5996537</v>
      </c>
      <c r="E1890" s="27" t="s">
        <v>180</v>
      </c>
      <c r="F1890" s="7" t="s">
        <v>107</v>
      </c>
      <c r="G1890" s="7" t="s">
        <v>10</v>
      </c>
      <c r="H1890" s="7" t="s">
        <v>45</v>
      </c>
      <c r="I1890" s="20" t="s">
        <v>2891</v>
      </c>
      <c r="J1890" s="20" t="s">
        <v>2674</v>
      </c>
      <c r="K1890" s="7" t="s">
        <v>111</v>
      </c>
      <c r="L1890" s="61">
        <v>45825</v>
      </c>
      <c r="M1890" s="7" t="s">
        <v>111</v>
      </c>
      <c r="N1890" s="61">
        <v>45827</v>
      </c>
      <c r="O1890" s="58">
        <v>45832</v>
      </c>
      <c r="P1890" s="59"/>
      <c r="Q1890" s="124" t="e">
        <f>P1890*#REF!</f>
        <v>#REF!</v>
      </c>
      <c r="S1890" s="153">
        <f>IF(L1890="","",L1890-B1890)</f>
        <v>4</v>
      </c>
      <c r="T1890" s="153">
        <f>IF(N1890="","",N1890-L1890)</f>
        <v>2</v>
      </c>
      <c r="U1890" s="153">
        <f>IF(O1890="","",O1890-N1890)</f>
        <v>5</v>
      </c>
      <c r="V1890" s="154">
        <f>IF(O1890="","",O1890-B1890)</f>
        <v>11</v>
      </c>
      <c r="W1890" s="154">
        <f>IF(O1890="","",O1890-L1890)</f>
        <v>7</v>
      </c>
      <c r="X1890" s="154" t="str">
        <f>IF(R1890="","",R1890-B1890)</f>
        <v/>
      </c>
    </row>
    <row r="1891" spans="2:24" ht="17.25" hidden="1" customHeight="1">
      <c r="B1891" s="23">
        <v>45825</v>
      </c>
      <c r="C1891" s="7">
        <v>2003700895</v>
      </c>
      <c r="D1891" s="20">
        <v>194517</v>
      </c>
      <c r="E1891" s="27" t="s">
        <v>949</v>
      </c>
      <c r="F1891" s="7" t="s">
        <v>107</v>
      </c>
      <c r="G1891" s="7" t="s">
        <v>10</v>
      </c>
      <c r="H1891" s="7" t="s">
        <v>45</v>
      </c>
      <c r="I1891" s="20" t="s">
        <v>2892</v>
      </c>
      <c r="J1891" s="20" t="s">
        <v>2893</v>
      </c>
      <c r="K1891" s="7" t="s">
        <v>119</v>
      </c>
      <c r="L1891" s="61">
        <v>45832</v>
      </c>
      <c r="M1891" s="7" t="s">
        <v>111</v>
      </c>
      <c r="N1891" s="61">
        <v>45833</v>
      </c>
      <c r="O1891" s="58">
        <v>45835</v>
      </c>
      <c r="P1891" s="59"/>
      <c r="Q1891" s="124" t="e">
        <f>P1891*#REF!</f>
        <v>#REF!</v>
      </c>
      <c r="S1891" s="153">
        <f>IF(L1891="","",L1891-B1891)</f>
        <v>7</v>
      </c>
      <c r="T1891" s="153">
        <f>IF(N1891="","",N1891-L1891)</f>
        <v>1</v>
      </c>
      <c r="U1891" s="153">
        <f>IF(O1891="","",O1891-N1891)</f>
        <v>2</v>
      </c>
      <c r="V1891" s="154">
        <f>IF(O1891="","",O1891-B1891)</f>
        <v>10</v>
      </c>
      <c r="W1891" s="154">
        <f>IF(O1891="","",O1891-L1891)</f>
        <v>3</v>
      </c>
      <c r="X1891" s="154" t="str">
        <f>IF(R1891="","",R1891-B1891)</f>
        <v/>
      </c>
    </row>
    <row r="1892" spans="2:24" ht="17.25" hidden="1" customHeight="1">
      <c r="B1892" s="23">
        <v>45825</v>
      </c>
      <c r="C1892" s="7">
        <v>2003643955</v>
      </c>
      <c r="D1892" s="20">
        <v>194232</v>
      </c>
      <c r="E1892" s="27" t="s">
        <v>143</v>
      </c>
      <c r="F1892" s="7" t="s">
        <v>107</v>
      </c>
      <c r="G1892" s="7" t="s">
        <v>18</v>
      </c>
      <c r="H1892" s="7" t="s">
        <v>45</v>
      </c>
      <c r="I1892" s="20" t="s">
        <v>2746</v>
      </c>
      <c r="J1892" s="20" t="s">
        <v>2894</v>
      </c>
      <c r="K1892" s="7" t="s">
        <v>111</v>
      </c>
      <c r="L1892" s="61">
        <v>45826</v>
      </c>
      <c r="M1892" s="7" t="s">
        <v>111</v>
      </c>
      <c r="N1892" s="61">
        <v>45826</v>
      </c>
      <c r="O1892" s="58">
        <v>45840</v>
      </c>
      <c r="P1892" s="59"/>
      <c r="Q1892" s="124" t="e">
        <f>P1892*#REF!</f>
        <v>#REF!</v>
      </c>
      <c r="S1892" s="153">
        <f>IF(L1892="","",L1892-B1892)</f>
        <v>1</v>
      </c>
      <c r="T1892" s="153">
        <f>IF(N1892="","",N1892-L1892)</f>
        <v>0</v>
      </c>
      <c r="U1892" s="153">
        <f>IF(O1892="","",O1892-N1892)</f>
        <v>14</v>
      </c>
      <c r="V1892" s="154">
        <f>IF(O1892="","",O1892-B1892)</f>
        <v>15</v>
      </c>
      <c r="W1892" s="154">
        <f>IF(O1892="","",O1892-L1892)</f>
        <v>14</v>
      </c>
      <c r="X1892" s="154" t="str">
        <f>IF(R1892="","",R1892-B1892)</f>
        <v/>
      </c>
    </row>
    <row r="1893" spans="2:24" ht="17.25" hidden="1" customHeight="1">
      <c r="B1893" s="23">
        <v>45825</v>
      </c>
      <c r="C1893" s="7">
        <v>2003715168</v>
      </c>
      <c r="D1893" s="20">
        <v>193915</v>
      </c>
      <c r="E1893" s="27" t="s">
        <v>568</v>
      </c>
      <c r="F1893" s="7" t="s">
        <v>107</v>
      </c>
      <c r="G1893" s="7" t="s">
        <v>26</v>
      </c>
      <c r="H1893" s="7" t="s">
        <v>45</v>
      </c>
      <c r="I1893" s="20" t="s">
        <v>2895</v>
      </c>
      <c r="J1893" s="20" t="s">
        <v>2896</v>
      </c>
      <c r="K1893" s="7" t="s">
        <v>119</v>
      </c>
      <c r="L1893" s="61">
        <v>45827</v>
      </c>
      <c r="M1893" s="7" t="s">
        <v>111</v>
      </c>
      <c r="N1893" s="24">
        <v>45830</v>
      </c>
      <c r="O1893" s="58">
        <v>45830</v>
      </c>
      <c r="P1893" s="59">
        <v>81.099999999999994</v>
      </c>
      <c r="Q1893" s="124" t="e">
        <f>P1893*#REF!</f>
        <v>#REF!</v>
      </c>
      <c r="R1893" s="126">
        <v>45830</v>
      </c>
      <c r="S1893" s="153">
        <f>IF(L1893="","",L1893-B1893)</f>
        <v>2</v>
      </c>
      <c r="T1893" s="153">
        <f>IF(N1893="","",N1893-L1893)</f>
        <v>3</v>
      </c>
      <c r="U1893" s="153">
        <f>IF(O1893="","",O1893-N1893)</f>
        <v>0</v>
      </c>
      <c r="V1893" s="154">
        <f>IF(O1893="","",O1893-B1893)</f>
        <v>5</v>
      </c>
      <c r="W1893" s="154">
        <f>IF(O1893="","",O1893-L1893)</f>
        <v>3</v>
      </c>
      <c r="X1893" s="154">
        <f>IF(R1893="","",R1893-B1893)</f>
        <v>5</v>
      </c>
    </row>
    <row r="1894" spans="2:24" ht="17.25" hidden="1" customHeight="1">
      <c r="B1894" s="23">
        <v>45825</v>
      </c>
      <c r="C1894" s="7">
        <v>2003710766</v>
      </c>
      <c r="D1894" s="20">
        <v>193343</v>
      </c>
      <c r="E1894" s="27" t="s">
        <v>566</v>
      </c>
      <c r="F1894" s="7" t="s">
        <v>107</v>
      </c>
      <c r="G1894" s="7" t="s">
        <v>18</v>
      </c>
      <c r="H1894" s="7" t="s">
        <v>45</v>
      </c>
      <c r="I1894" s="20" t="s">
        <v>2897</v>
      </c>
      <c r="J1894" s="20" t="s">
        <v>2840</v>
      </c>
      <c r="K1894" s="7" t="s">
        <v>119</v>
      </c>
      <c r="L1894" s="61">
        <v>45827</v>
      </c>
      <c r="M1894" s="7" t="s">
        <v>111</v>
      </c>
      <c r="N1894" s="61">
        <v>45827</v>
      </c>
      <c r="O1894" s="58">
        <v>45833</v>
      </c>
      <c r="P1894" s="59"/>
      <c r="Q1894" s="124" t="e">
        <f>P1894*#REF!</f>
        <v>#REF!</v>
      </c>
      <c r="S1894" s="153">
        <f>IF(L1894="","",L1894-B1894)</f>
        <v>2</v>
      </c>
      <c r="T1894" s="153">
        <f>IF(N1894="","",N1894-L1894)</f>
        <v>0</v>
      </c>
      <c r="U1894" s="153">
        <f>IF(O1894="","",O1894-N1894)</f>
        <v>6</v>
      </c>
      <c r="V1894" s="154">
        <f>IF(O1894="","",O1894-B1894)</f>
        <v>8</v>
      </c>
      <c r="W1894" s="154">
        <f>IF(O1894="","",O1894-L1894)</f>
        <v>6</v>
      </c>
      <c r="X1894" s="154" t="str">
        <f>IF(R1894="","",R1894-B1894)</f>
        <v/>
      </c>
    </row>
    <row r="1895" spans="2:24" ht="17.25" hidden="1" customHeight="1">
      <c r="B1895" s="23">
        <v>45825</v>
      </c>
      <c r="C1895" s="7">
        <v>2003629132</v>
      </c>
      <c r="D1895" s="20">
        <v>5996886</v>
      </c>
      <c r="E1895" s="27" t="s">
        <v>2472</v>
      </c>
      <c r="F1895" s="7" t="s">
        <v>107</v>
      </c>
      <c r="G1895" s="7" t="s">
        <v>10</v>
      </c>
      <c r="H1895" s="7" t="s">
        <v>45</v>
      </c>
      <c r="I1895" s="20" t="s">
        <v>2898</v>
      </c>
      <c r="J1895" s="20" t="s">
        <v>1018</v>
      </c>
      <c r="K1895" s="7" t="s">
        <v>111</v>
      </c>
      <c r="L1895" s="61">
        <v>45825</v>
      </c>
      <c r="M1895" s="7" t="s">
        <v>111</v>
      </c>
      <c r="N1895" s="24">
        <v>45826</v>
      </c>
      <c r="O1895" s="58">
        <v>45826</v>
      </c>
      <c r="P1895" s="59"/>
      <c r="Q1895" s="124" t="e">
        <f>P1895*#REF!</f>
        <v>#REF!</v>
      </c>
      <c r="R1895" s="126">
        <v>45826</v>
      </c>
      <c r="S1895" s="153">
        <f>IF(L1895="","",L1895-B1895)</f>
        <v>0</v>
      </c>
      <c r="T1895" s="153">
        <f>IF(N1895="","",N1895-L1895)</f>
        <v>1</v>
      </c>
      <c r="U1895" s="153">
        <f>IF(O1895="","",O1895-N1895)</f>
        <v>0</v>
      </c>
      <c r="V1895" s="154">
        <f>IF(O1895="","",O1895-B1895)</f>
        <v>1</v>
      </c>
      <c r="W1895" s="154">
        <f>IF(O1895="","",O1895-L1895)</f>
        <v>1</v>
      </c>
      <c r="X1895" s="154">
        <f>IF(R1895="","",R1895-B1895)</f>
        <v>1</v>
      </c>
    </row>
    <row r="1896" spans="2:24" ht="17.25" hidden="1" customHeight="1">
      <c r="B1896" s="23">
        <v>45825</v>
      </c>
      <c r="C1896" s="7">
        <v>2003711837</v>
      </c>
      <c r="D1896" s="20">
        <v>5996908</v>
      </c>
      <c r="E1896" s="27" t="s">
        <v>185</v>
      </c>
      <c r="F1896" s="7" t="s">
        <v>107</v>
      </c>
      <c r="G1896" s="7" t="s">
        <v>10</v>
      </c>
      <c r="H1896" s="7" t="s">
        <v>45</v>
      </c>
      <c r="I1896" s="20" t="s">
        <v>2899</v>
      </c>
      <c r="J1896" s="20" t="s">
        <v>2900</v>
      </c>
      <c r="K1896" s="7" t="s">
        <v>110</v>
      </c>
      <c r="L1896" s="61">
        <v>45827</v>
      </c>
      <c r="M1896" s="7" t="s">
        <v>111</v>
      </c>
      <c r="N1896" s="61">
        <v>45827</v>
      </c>
      <c r="O1896" s="58">
        <v>45832</v>
      </c>
      <c r="P1896" s="59"/>
      <c r="Q1896" s="124" t="e">
        <f>P1896*#REF!</f>
        <v>#REF!</v>
      </c>
      <c r="S1896" s="153">
        <f>IF(L1896="","",L1896-B1896)</f>
        <v>2</v>
      </c>
      <c r="T1896" s="153">
        <f>IF(N1896="","",N1896-L1896)</f>
        <v>0</v>
      </c>
      <c r="U1896" s="153">
        <f>IF(O1896="","",O1896-N1896)</f>
        <v>5</v>
      </c>
      <c r="V1896" s="154">
        <f>IF(O1896="","",O1896-B1896)</f>
        <v>7</v>
      </c>
      <c r="W1896" s="154">
        <f>IF(O1896="","",O1896-L1896)</f>
        <v>5</v>
      </c>
      <c r="X1896" s="154" t="str">
        <f>IF(R1896="","",R1896-B1896)</f>
        <v/>
      </c>
    </row>
    <row r="1897" spans="2:24" ht="17.25" hidden="1" customHeight="1">
      <c r="B1897" s="23">
        <v>45825</v>
      </c>
      <c r="C1897" s="7">
        <v>2003674631</v>
      </c>
      <c r="D1897" s="20">
        <v>5997044</v>
      </c>
      <c r="E1897" s="27" t="s">
        <v>123</v>
      </c>
      <c r="F1897" s="7" t="s">
        <v>107</v>
      </c>
      <c r="G1897" s="7" t="s">
        <v>21</v>
      </c>
      <c r="H1897" s="7" t="s">
        <v>45</v>
      </c>
      <c r="I1897" s="20" t="s">
        <v>2901</v>
      </c>
      <c r="J1897" s="20" t="s">
        <v>2286</v>
      </c>
      <c r="K1897" s="7" t="s">
        <v>119</v>
      </c>
      <c r="L1897" s="61">
        <v>45826</v>
      </c>
      <c r="M1897" s="7" t="s">
        <v>111</v>
      </c>
      <c r="N1897" s="61">
        <v>45827</v>
      </c>
      <c r="O1897" s="61">
        <v>45827</v>
      </c>
      <c r="P1897" s="59"/>
      <c r="Q1897" s="124" t="e">
        <f>P1897*#REF!</f>
        <v>#REF!</v>
      </c>
      <c r="R1897" s="126">
        <v>45830</v>
      </c>
      <c r="S1897" s="153">
        <f>IF(L1897="","",L1897-B1897)</f>
        <v>1</v>
      </c>
      <c r="T1897" s="153">
        <f>IF(N1897="","",N1897-L1897)</f>
        <v>1</v>
      </c>
      <c r="U1897" s="153">
        <f>IF(O1897="","",O1897-N1897)</f>
        <v>0</v>
      </c>
      <c r="V1897" s="154">
        <f>IF(O1897="","",O1897-B1897)</f>
        <v>2</v>
      </c>
      <c r="W1897" s="154">
        <f>IF(O1897="","",O1897-L1897)</f>
        <v>1</v>
      </c>
      <c r="X1897" s="154">
        <f>IF(R1897="","",R1897-B1897)</f>
        <v>5</v>
      </c>
    </row>
    <row r="1898" spans="2:24" ht="17.25" hidden="1" customHeight="1">
      <c r="B1898" s="23">
        <v>45825</v>
      </c>
      <c r="C1898" s="7">
        <v>2003712575</v>
      </c>
      <c r="D1898" s="20">
        <v>5997091</v>
      </c>
      <c r="E1898" s="27" t="s">
        <v>1225</v>
      </c>
      <c r="F1898" s="7" t="s">
        <v>107</v>
      </c>
      <c r="G1898" s="7" t="s">
        <v>10</v>
      </c>
      <c r="H1898" s="7" t="s">
        <v>45</v>
      </c>
      <c r="I1898" s="20" t="s">
        <v>2902</v>
      </c>
      <c r="J1898" s="20" t="s">
        <v>2903</v>
      </c>
      <c r="K1898" s="7" t="s">
        <v>110</v>
      </c>
      <c r="L1898" s="61">
        <v>45826</v>
      </c>
      <c r="M1898" s="7" t="s">
        <v>111</v>
      </c>
      <c r="N1898" s="24">
        <v>45838</v>
      </c>
      <c r="O1898" s="58">
        <v>45838</v>
      </c>
      <c r="P1898" s="59"/>
      <c r="Q1898" s="124" t="e">
        <f>P1898*#REF!</f>
        <v>#REF!</v>
      </c>
      <c r="S1898" s="153">
        <f>IF(L1898="","",L1898-B1898)</f>
        <v>1</v>
      </c>
      <c r="T1898" s="153">
        <f>IF(N1898="","",N1898-L1898)</f>
        <v>12</v>
      </c>
      <c r="U1898" s="153">
        <f>IF(O1898="","",O1898-N1898)</f>
        <v>0</v>
      </c>
      <c r="V1898" s="154">
        <f>IF(O1898="","",O1898-B1898)</f>
        <v>13</v>
      </c>
      <c r="W1898" s="154">
        <f>IF(O1898="","",O1898-L1898)</f>
        <v>12</v>
      </c>
      <c r="X1898" s="154" t="str">
        <f>IF(R1898="","",R1898-B1898)</f>
        <v/>
      </c>
    </row>
    <row r="1899" spans="2:24" ht="17.25" hidden="1" customHeight="1">
      <c r="B1899" s="23">
        <v>45825</v>
      </c>
      <c r="C1899" s="7">
        <v>2003708259</v>
      </c>
      <c r="D1899" s="20">
        <v>5997274</v>
      </c>
      <c r="E1899" s="27" t="s">
        <v>132</v>
      </c>
      <c r="F1899" s="7" t="s">
        <v>107</v>
      </c>
      <c r="G1899" s="7" t="s">
        <v>10</v>
      </c>
      <c r="H1899" s="7" t="s">
        <v>45</v>
      </c>
      <c r="I1899" s="20" t="s">
        <v>1974</v>
      </c>
      <c r="J1899" s="20" t="s">
        <v>2904</v>
      </c>
      <c r="K1899" s="7" t="s">
        <v>119</v>
      </c>
      <c r="L1899" s="61">
        <v>45831</v>
      </c>
      <c r="M1899" s="7" t="s">
        <v>111</v>
      </c>
      <c r="N1899" s="61">
        <v>45831</v>
      </c>
      <c r="O1899" s="58">
        <v>45833</v>
      </c>
      <c r="P1899" s="59"/>
      <c r="Q1899" s="124" t="e">
        <f>P1899*#REF!</f>
        <v>#REF!</v>
      </c>
    </row>
    <row r="1900" spans="2:24" ht="17.25" hidden="1" customHeight="1">
      <c r="B1900" s="23">
        <v>45825</v>
      </c>
      <c r="C1900" s="7">
        <v>2003665173</v>
      </c>
      <c r="D1900" s="20">
        <v>5997597</v>
      </c>
      <c r="E1900" s="27" t="s">
        <v>201</v>
      </c>
      <c r="F1900" s="7" t="s">
        <v>107</v>
      </c>
      <c r="G1900" s="7" t="s">
        <v>26</v>
      </c>
      <c r="H1900" s="7" t="s">
        <v>45</v>
      </c>
      <c r="I1900" s="20" t="s">
        <v>1015</v>
      </c>
      <c r="J1900" s="20" t="s">
        <v>2404</v>
      </c>
      <c r="K1900" s="7" t="s">
        <v>110</v>
      </c>
      <c r="L1900" s="61">
        <v>45827</v>
      </c>
      <c r="M1900" s="7" t="s">
        <v>111</v>
      </c>
      <c r="O1900" s="58">
        <v>45832</v>
      </c>
      <c r="P1900" s="59"/>
      <c r="Q1900" s="124" t="e">
        <f>P1900*#REF!</f>
        <v>#REF!</v>
      </c>
    </row>
    <row r="1901" spans="2:24" ht="17.25" hidden="1" customHeight="1">
      <c r="B1901" s="23">
        <v>45825</v>
      </c>
      <c r="C1901" s="7">
        <v>2003715300</v>
      </c>
      <c r="D1901" s="20">
        <v>5997633</v>
      </c>
      <c r="E1901" s="27" t="s">
        <v>201</v>
      </c>
      <c r="F1901" s="7" t="s">
        <v>113</v>
      </c>
      <c r="G1901" s="7" t="s">
        <v>70</v>
      </c>
      <c r="H1901" s="7" t="s">
        <v>47</v>
      </c>
      <c r="I1901" s="20" t="s">
        <v>108</v>
      </c>
      <c r="J1901" s="20" t="s">
        <v>2905</v>
      </c>
      <c r="K1901" s="7" t="s">
        <v>160</v>
      </c>
      <c r="P1901" s="59"/>
      <c r="Q1901" s="124" t="e">
        <f>P1901*#REF!</f>
        <v>#REF!</v>
      </c>
      <c r="R1901" s="126">
        <v>45826</v>
      </c>
    </row>
    <row r="1902" spans="2:24" ht="17.25" hidden="1" customHeight="1">
      <c r="B1902" s="23">
        <v>45825</v>
      </c>
      <c r="C1902" s="7">
        <v>2003424957</v>
      </c>
      <c r="D1902" s="20">
        <v>5997637</v>
      </c>
      <c r="E1902" s="27" t="s">
        <v>201</v>
      </c>
      <c r="F1902" s="7" t="s">
        <v>113</v>
      </c>
      <c r="G1902" s="7" t="s">
        <v>70</v>
      </c>
      <c r="H1902" s="7" t="s">
        <v>47</v>
      </c>
      <c r="I1902" s="20" t="s">
        <v>108</v>
      </c>
      <c r="J1902" s="20" t="s">
        <v>2905</v>
      </c>
      <c r="K1902" s="7" t="s">
        <v>160</v>
      </c>
      <c r="P1902" s="59"/>
      <c r="Q1902" s="124" t="e">
        <f>P1902*#REF!</f>
        <v>#REF!</v>
      </c>
      <c r="R1902" s="126">
        <v>45826</v>
      </c>
    </row>
    <row r="1903" spans="2:24" ht="17.25" hidden="1" customHeight="1">
      <c r="B1903" s="23">
        <v>45825</v>
      </c>
      <c r="C1903" s="7">
        <v>2003652524</v>
      </c>
      <c r="D1903" s="20">
        <v>5997669</v>
      </c>
      <c r="E1903" s="27" t="s">
        <v>201</v>
      </c>
      <c r="F1903" s="7" t="s">
        <v>107</v>
      </c>
      <c r="G1903" s="7" t="s">
        <v>10</v>
      </c>
      <c r="H1903" s="7" t="s">
        <v>45</v>
      </c>
      <c r="I1903" s="20" t="s">
        <v>2906</v>
      </c>
      <c r="J1903" s="20" t="s">
        <v>2033</v>
      </c>
      <c r="K1903" s="7" t="s">
        <v>119</v>
      </c>
      <c r="L1903" s="61">
        <v>45832</v>
      </c>
      <c r="M1903" s="7" t="s">
        <v>111</v>
      </c>
      <c r="N1903" s="24">
        <v>45838</v>
      </c>
      <c r="O1903" s="24">
        <v>45838</v>
      </c>
      <c r="P1903" s="59"/>
      <c r="Q1903" s="124" t="e">
        <f>P1903*#REF!</f>
        <v>#REF!</v>
      </c>
    </row>
    <row r="1904" spans="2:24" ht="17.25" hidden="1" customHeight="1">
      <c r="B1904" s="23">
        <v>45826</v>
      </c>
      <c r="C1904" s="7">
        <v>2003637196</v>
      </c>
      <c r="D1904" s="20">
        <v>5997907</v>
      </c>
      <c r="E1904" s="27" t="s">
        <v>123</v>
      </c>
      <c r="F1904" s="7" t="s">
        <v>107</v>
      </c>
      <c r="G1904" s="7" t="s">
        <v>10</v>
      </c>
      <c r="H1904" s="7" t="s">
        <v>45</v>
      </c>
      <c r="I1904" s="20" t="s">
        <v>961</v>
      </c>
      <c r="J1904" s="20" t="s">
        <v>2907</v>
      </c>
      <c r="K1904" s="7" t="s">
        <v>119</v>
      </c>
      <c r="L1904" s="61">
        <v>45827</v>
      </c>
      <c r="M1904" s="7" t="s">
        <v>111</v>
      </c>
      <c r="N1904" s="61">
        <v>45831</v>
      </c>
      <c r="O1904" s="58">
        <v>45833</v>
      </c>
      <c r="P1904" s="59"/>
      <c r="Q1904" s="124" t="e">
        <f>P1904*#REF!</f>
        <v>#REF!</v>
      </c>
    </row>
    <row r="1905" spans="2:18" ht="17.25" hidden="1" customHeight="1">
      <c r="B1905" s="23">
        <v>45826</v>
      </c>
      <c r="C1905" s="7">
        <v>2003712192</v>
      </c>
      <c r="D1905" s="20">
        <v>5998059</v>
      </c>
      <c r="E1905" s="27" t="s">
        <v>622</v>
      </c>
      <c r="F1905" s="7" t="s">
        <v>107</v>
      </c>
      <c r="G1905" s="7" t="s">
        <v>18</v>
      </c>
      <c r="H1905" s="7" t="s">
        <v>45</v>
      </c>
      <c r="I1905" s="20" t="s">
        <v>2908</v>
      </c>
      <c r="J1905" s="20" t="s">
        <v>2909</v>
      </c>
      <c r="K1905" s="7" t="s">
        <v>119</v>
      </c>
      <c r="L1905" s="61">
        <v>45831</v>
      </c>
      <c r="M1905" s="7" t="s">
        <v>111</v>
      </c>
      <c r="N1905" s="61">
        <v>45831</v>
      </c>
      <c r="O1905" s="58">
        <v>45833</v>
      </c>
      <c r="P1905" s="59"/>
      <c r="Q1905" s="124" t="e">
        <f>P1905*#REF!</f>
        <v>#REF!</v>
      </c>
    </row>
    <row r="1906" spans="2:18" ht="17.25" hidden="1" customHeight="1">
      <c r="B1906" s="23">
        <v>45826</v>
      </c>
      <c r="C1906" s="7">
        <v>2003572725</v>
      </c>
      <c r="D1906" s="20">
        <v>5998123</v>
      </c>
      <c r="E1906" s="27" t="s">
        <v>152</v>
      </c>
      <c r="F1906" s="7" t="s">
        <v>107</v>
      </c>
      <c r="G1906" s="7" t="s">
        <v>10</v>
      </c>
      <c r="H1906" s="7" t="s">
        <v>45</v>
      </c>
      <c r="I1906" s="20" t="s">
        <v>343</v>
      </c>
      <c r="J1906" s="20" t="s">
        <v>344</v>
      </c>
      <c r="K1906" s="7" t="s">
        <v>110</v>
      </c>
      <c r="L1906" s="61">
        <v>45831</v>
      </c>
      <c r="M1906" s="7" t="s">
        <v>111</v>
      </c>
      <c r="N1906" s="61">
        <v>45831</v>
      </c>
      <c r="O1906" s="58">
        <v>45833</v>
      </c>
      <c r="P1906" s="59"/>
      <c r="Q1906" s="124" t="e">
        <f>P1906*#REF!</f>
        <v>#REF!</v>
      </c>
    </row>
    <row r="1907" spans="2:18" ht="17.25" hidden="1" customHeight="1">
      <c r="B1907" s="23">
        <v>45826</v>
      </c>
      <c r="C1907" s="7">
        <v>2003533846</v>
      </c>
      <c r="D1907" s="20">
        <v>5998358</v>
      </c>
      <c r="E1907" s="27" t="s">
        <v>191</v>
      </c>
      <c r="F1907" s="7" t="s">
        <v>107</v>
      </c>
      <c r="G1907" s="7" t="s">
        <v>10</v>
      </c>
      <c r="H1907" s="7" t="s">
        <v>45</v>
      </c>
      <c r="I1907" s="20" t="s">
        <v>2910</v>
      </c>
      <c r="J1907" s="20" t="s">
        <v>2911</v>
      </c>
      <c r="K1907" s="7" t="s">
        <v>119</v>
      </c>
      <c r="L1907" s="61">
        <v>45831</v>
      </c>
      <c r="M1907" s="7" t="s">
        <v>111</v>
      </c>
      <c r="N1907" s="61">
        <v>45831</v>
      </c>
      <c r="O1907" s="58">
        <v>45833</v>
      </c>
      <c r="P1907" s="59"/>
      <c r="Q1907" s="124" t="e">
        <f>P1907*#REF!</f>
        <v>#REF!</v>
      </c>
    </row>
    <row r="1908" spans="2:18" ht="17.25" hidden="1" customHeight="1">
      <c r="B1908" s="23">
        <v>45826</v>
      </c>
      <c r="C1908" s="7">
        <v>2003717247</v>
      </c>
      <c r="D1908" s="20">
        <v>5998491</v>
      </c>
      <c r="E1908" s="27" t="s">
        <v>185</v>
      </c>
      <c r="F1908" s="7" t="s">
        <v>107</v>
      </c>
      <c r="G1908" s="7" t="s">
        <v>18</v>
      </c>
      <c r="H1908" s="7" t="s">
        <v>45</v>
      </c>
      <c r="I1908" s="20" t="s">
        <v>2912</v>
      </c>
      <c r="J1908" s="20" t="s">
        <v>2913</v>
      </c>
      <c r="K1908" s="7" t="s">
        <v>119</v>
      </c>
      <c r="L1908" s="61">
        <v>45831</v>
      </c>
      <c r="M1908" s="7" t="s">
        <v>111</v>
      </c>
      <c r="N1908" s="61">
        <v>45831</v>
      </c>
      <c r="O1908" s="58">
        <v>45833</v>
      </c>
      <c r="P1908" s="59"/>
      <c r="Q1908" s="124" t="e">
        <f>P1908*#REF!</f>
        <v>#REF!</v>
      </c>
    </row>
    <row r="1909" spans="2:18" ht="17.25" hidden="1" customHeight="1">
      <c r="B1909" s="23">
        <v>45826</v>
      </c>
      <c r="C1909" s="7">
        <v>2003713074</v>
      </c>
      <c r="D1909" s="20">
        <v>5998504</v>
      </c>
      <c r="E1909" s="27" t="s">
        <v>198</v>
      </c>
      <c r="F1909" s="7" t="s">
        <v>107</v>
      </c>
      <c r="G1909" s="7" t="s">
        <v>10</v>
      </c>
      <c r="H1909" s="7" t="s">
        <v>45</v>
      </c>
      <c r="I1909" s="20" t="s">
        <v>2914</v>
      </c>
      <c r="J1909" s="20" t="s">
        <v>2915</v>
      </c>
      <c r="K1909" s="7" t="s">
        <v>119</v>
      </c>
      <c r="L1909" s="61">
        <v>45831</v>
      </c>
      <c r="M1909" s="7" t="s">
        <v>111</v>
      </c>
      <c r="N1909" s="61">
        <v>45831</v>
      </c>
      <c r="O1909" s="58">
        <v>45833</v>
      </c>
      <c r="P1909" s="59"/>
      <c r="Q1909" s="124" t="e">
        <f>P1909*#REF!</f>
        <v>#REF!</v>
      </c>
    </row>
    <row r="1910" spans="2:18" ht="17.25" hidden="1" customHeight="1">
      <c r="B1910" s="23">
        <v>45826</v>
      </c>
      <c r="C1910" s="7">
        <v>2003675601</v>
      </c>
      <c r="D1910" s="20">
        <v>5998538</v>
      </c>
      <c r="E1910" s="27" t="s">
        <v>185</v>
      </c>
      <c r="F1910" s="7" t="s">
        <v>107</v>
      </c>
      <c r="G1910" s="7" t="s">
        <v>10</v>
      </c>
      <c r="H1910" s="7" t="s">
        <v>45</v>
      </c>
      <c r="I1910" s="20" t="s">
        <v>434</v>
      </c>
      <c r="J1910" s="20" t="s">
        <v>2916</v>
      </c>
      <c r="K1910" s="7" t="s">
        <v>110</v>
      </c>
      <c r="L1910" s="61">
        <v>45840</v>
      </c>
      <c r="M1910" s="7" t="s">
        <v>111</v>
      </c>
      <c r="N1910" s="61">
        <v>45840</v>
      </c>
      <c r="O1910" s="61">
        <v>45840</v>
      </c>
      <c r="P1910" s="59"/>
      <c r="Q1910" s="124" t="e">
        <f>P1910*#REF!</f>
        <v>#REF!</v>
      </c>
    </row>
    <row r="1911" spans="2:18" ht="17.25" hidden="1" customHeight="1">
      <c r="B1911" s="23">
        <v>45826</v>
      </c>
      <c r="C1911" s="7">
        <v>2003461849</v>
      </c>
      <c r="D1911" s="20">
        <v>251881</v>
      </c>
      <c r="E1911" s="27" t="s">
        <v>892</v>
      </c>
      <c r="F1911" s="7" t="s">
        <v>107</v>
      </c>
      <c r="G1911" s="7" t="s">
        <v>18</v>
      </c>
      <c r="H1911" s="7" t="s">
        <v>45</v>
      </c>
      <c r="I1911" s="20" t="s">
        <v>2917</v>
      </c>
      <c r="J1911" s="20" t="s">
        <v>2918</v>
      </c>
      <c r="K1911" s="7" t="s">
        <v>110</v>
      </c>
      <c r="L1911" s="61">
        <v>45838</v>
      </c>
      <c r="M1911" s="7" t="s">
        <v>111</v>
      </c>
      <c r="N1911" s="24">
        <v>45839</v>
      </c>
      <c r="O1911" s="61">
        <v>45841</v>
      </c>
      <c r="P1911" s="59"/>
      <c r="Q1911" s="124" t="e">
        <f>P1911*#REF!</f>
        <v>#REF!</v>
      </c>
    </row>
    <row r="1912" spans="2:18" ht="17.25" hidden="1" customHeight="1">
      <c r="B1912" s="23">
        <v>45826</v>
      </c>
      <c r="C1912" s="7">
        <v>2003669556</v>
      </c>
      <c r="D1912" s="20">
        <v>195580</v>
      </c>
      <c r="E1912" s="27" t="s">
        <v>191</v>
      </c>
      <c r="F1912" s="7" t="s">
        <v>107</v>
      </c>
      <c r="G1912" s="7" t="s">
        <v>10</v>
      </c>
      <c r="H1912" s="7" t="s">
        <v>45</v>
      </c>
      <c r="I1912" s="20" t="s">
        <v>2919</v>
      </c>
      <c r="J1912" s="20" t="s">
        <v>2724</v>
      </c>
      <c r="K1912" s="7" t="s">
        <v>119</v>
      </c>
      <c r="L1912" s="61">
        <v>45832</v>
      </c>
      <c r="M1912" s="7" t="s">
        <v>111</v>
      </c>
      <c r="N1912" s="61">
        <v>45839</v>
      </c>
      <c r="O1912" s="61">
        <v>45839</v>
      </c>
      <c r="P1912" s="59"/>
      <c r="Q1912" s="124" t="e">
        <f>P1912*#REF!</f>
        <v>#REF!</v>
      </c>
    </row>
    <row r="1913" spans="2:18" ht="17.25" hidden="1" customHeight="1">
      <c r="B1913" s="23">
        <v>45826</v>
      </c>
      <c r="C1913" s="7">
        <v>2003653443</v>
      </c>
      <c r="D1913" s="20">
        <v>194958</v>
      </c>
      <c r="E1913" s="27" t="s">
        <v>106</v>
      </c>
      <c r="F1913" s="7" t="s">
        <v>107</v>
      </c>
      <c r="G1913" s="7" t="s">
        <v>21</v>
      </c>
      <c r="H1913" s="7" t="s">
        <v>45</v>
      </c>
      <c r="I1913" s="20" t="s">
        <v>778</v>
      </c>
      <c r="J1913" s="20" t="s">
        <v>1277</v>
      </c>
      <c r="K1913" s="7" t="s">
        <v>111</v>
      </c>
      <c r="L1913" s="61">
        <v>45827</v>
      </c>
      <c r="M1913" s="7" t="s">
        <v>111</v>
      </c>
      <c r="N1913" s="61">
        <v>45827</v>
      </c>
      <c r="O1913" s="61">
        <v>45827</v>
      </c>
      <c r="P1913" s="59"/>
      <c r="Q1913" s="124" t="e">
        <f>P1913*#REF!</f>
        <v>#REF!</v>
      </c>
      <c r="R1913" s="126">
        <v>45830</v>
      </c>
    </row>
    <row r="1914" spans="2:18" ht="17.25" hidden="1" customHeight="1">
      <c r="B1914" s="23">
        <v>45826</v>
      </c>
      <c r="C1914" s="7">
        <v>2003707323</v>
      </c>
      <c r="D1914" s="20">
        <v>194849</v>
      </c>
      <c r="E1914" s="27" t="s">
        <v>157</v>
      </c>
      <c r="F1914" s="7" t="s">
        <v>107</v>
      </c>
      <c r="G1914" s="7" t="s">
        <v>15</v>
      </c>
      <c r="H1914" s="7" t="s">
        <v>45</v>
      </c>
      <c r="I1914" s="20" t="s">
        <v>2920</v>
      </c>
      <c r="J1914" s="20" t="s">
        <v>2921</v>
      </c>
      <c r="K1914" s="7" t="s">
        <v>119</v>
      </c>
      <c r="L1914" s="61">
        <v>45834</v>
      </c>
      <c r="M1914" s="7" t="s">
        <v>111</v>
      </c>
      <c r="N1914" s="61">
        <v>45834</v>
      </c>
      <c r="O1914" s="61">
        <v>45835</v>
      </c>
      <c r="P1914" s="59"/>
      <c r="Q1914" s="124" t="e">
        <f>P1914*#REF!</f>
        <v>#REF!</v>
      </c>
    </row>
    <row r="1915" spans="2:18" ht="17.25" hidden="1" customHeight="1">
      <c r="B1915" s="23">
        <v>45827</v>
      </c>
      <c r="C1915" s="7">
        <v>2003696988</v>
      </c>
      <c r="D1915" s="20">
        <v>5998710</v>
      </c>
      <c r="E1915" s="27" t="s">
        <v>198</v>
      </c>
      <c r="F1915" s="7" t="s">
        <v>107</v>
      </c>
      <c r="G1915" s="7" t="s">
        <v>18</v>
      </c>
      <c r="H1915" s="7" t="s">
        <v>45</v>
      </c>
      <c r="I1915" s="20" t="s">
        <v>719</v>
      </c>
      <c r="J1915" s="20" t="s">
        <v>2922</v>
      </c>
      <c r="K1915" s="7" t="s">
        <v>119</v>
      </c>
      <c r="L1915" s="61">
        <v>45832</v>
      </c>
      <c r="M1915" s="7" t="s">
        <v>111</v>
      </c>
      <c r="N1915" s="24">
        <v>45833</v>
      </c>
      <c r="P1915" s="59"/>
      <c r="Q1915" s="124" t="e">
        <f>P1915*#REF!</f>
        <v>#REF!</v>
      </c>
    </row>
    <row r="1916" spans="2:18" ht="17.25" hidden="1" customHeight="1">
      <c r="B1916" s="23">
        <v>45827</v>
      </c>
      <c r="C1916" s="7">
        <v>2003710748</v>
      </c>
      <c r="D1916" s="20">
        <v>5998712</v>
      </c>
      <c r="E1916" s="27" t="s">
        <v>198</v>
      </c>
      <c r="F1916" s="7" t="s">
        <v>107</v>
      </c>
      <c r="G1916" s="7" t="s">
        <v>18</v>
      </c>
      <c r="H1916" s="7" t="s">
        <v>45</v>
      </c>
      <c r="I1916" s="20" t="s">
        <v>719</v>
      </c>
      <c r="J1916" s="20" t="s">
        <v>2922</v>
      </c>
      <c r="K1916" s="7" t="s">
        <v>119</v>
      </c>
      <c r="L1916" s="61">
        <v>45832</v>
      </c>
      <c r="M1916" s="7" t="s">
        <v>111</v>
      </c>
      <c r="N1916" s="24">
        <v>45833</v>
      </c>
      <c r="O1916" s="61">
        <v>45835</v>
      </c>
      <c r="P1916" s="59"/>
      <c r="Q1916" s="124" t="e">
        <f>P1916*#REF!</f>
        <v>#REF!</v>
      </c>
    </row>
    <row r="1917" spans="2:18" ht="17.25" hidden="1" customHeight="1">
      <c r="B1917" s="23">
        <v>45827</v>
      </c>
      <c r="C1917" s="7">
        <v>2003676253</v>
      </c>
      <c r="D1917" s="20">
        <v>5998777</v>
      </c>
      <c r="E1917" s="27" t="s">
        <v>230</v>
      </c>
      <c r="F1917" s="7" t="s">
        <v>107</v>
      </c>
      <c r="G1917" s="7" t="s">
        <v>18</v>
      </c>
      <c r="H1917" s="7" t="s">
        <v>45</v>
      </c>
      <c r="I1917" s="20" t="s">
        <v>2923</v>
      </c>
      <c r="J1917" s="20" t="s">
        <v>2924</v>
      </c>
      <c r="K1917" s="7" t="s">
        <v>110</v>
      </c>
      <c r="L1917" s="61">
        <v>45832</v>
      </c>
      <c r="M1917" s="7" t="s">
        <v>111</v>
      </c>
      <c r="N1917" s="61">
        <v>45832</v>
      </c>
      <c r="O1917" s="58">
        <v>45840</v>
      </c>
      <c r="P1917" s="59"/>
      <c r="Q1917" s="124" t="e">
        <f>P1917*#REF!</f>
        <v>#REF!</v>
      </c>
    </row>
    <row r="1918" spans="2:18" ht="17.25" hidden="1" customHeight="1">
      <c r="B1918" s="23">
        <v>45827</v>
      </c>
      <c r="C1918" s="7">
        <v>2003713481</v>
      </c>
      <c r="D1918" s="20">
        <v>5998838</v>
      </c>
      <c r="E1918" s="27" t="s">
        <v>106</v>
      </c>
      <c r="F1918" s="7" t="s">
        <v>107</v>
      </c>
      <c r="G1918" s="7" t="s">
        <v>10</v>
      </c>
      <c r="H1918" s="7" t="s">
        <v>45</v>
      </c>
      <c r="I1918" s="20" t="s">
        <v>2925</v>
      </c>
      <c r="J1918" s="20" t="s">
        <v>2926</v>
      </c>
      <c r="K1918" s="7" t="s">
        <v>119</v>
      </c>
      <c r="L1918" s="61">
        <v>45834</v>
      </c>
      <c r="M1918" s="7" t="s">
        <v>111</v>
      </c>
      <c r="N1918" s="61">
        <v>45834</v>
      </c>
      <c r="O1918" s="61">
        <v>45835</v>
      </c>
      <c r="P1918" s="59"/>
      <c r="Q1918" s="124" t="e">
        <f>P1918*#REF!</f>
        <v>#REF!</v>
      </c>
    </row>
    <row r="1919" spans="2:18" ht="17.25" hidden="1" customHeight="1">
      <c r="B1919" s="23">
        <v>45827</v>
      </c>
      <c r="C1919" s="7">
        <v>2003683697</v>
      </c>
      <c r="D1919" s="20">
        <v>5999098</v>
      </c>
      <c r="E1919" s="27" t="s">
        <v>185</v>
      </c>
      <c r="F1919" s="7" t="s">
        <v>107</v>
      </c>
      <c r="G1919" s="7" t="s">
        <v>21</v>
      </c>
      <c r="H1919" s="7" t="s">
        <v>45</v>
      </c>
      <c r="I1919" s="20" t="s">
        <v>173</v>
      </c>
      <c r="J1919" s="20" t="s">
        <v>2526</v>
      </c>
      <c r="K1919" s="7" t="s">
        <v>119</v>
      </c>
      <c r="L1919" s="61">
        <v>45832</v>
      </c>
      <c r="M1919" s="7" t="s">
        <v>119</v>
      </c>
      <c r="N1919" s="61">
        <v>45833</v>
      </c>
      <c r="O1919" s="61">
        <v>45835</v>
      </c>
      <c r="P1919" s="59"/>
      <c r="Q1919" s="124" t="e">
        <f>P1919*#REF!</f>
        <v>#REF!</v>
      </c>
    </row>
    <row r="1920" spans="2:18" ht="17.25" hidden="1" customHeight="1">
      <c r="B1920" s="23">
        <v>45827</v>
      </c>
      <c r="C1920" s="7">
        <v>2003626429</v>
      </c>
      <c r="D1920" s="20">
        <v>5999237</v>
      </c>
      <c r="E1920" s="27" t="s">
        <v>404</v>
      </c>
      <c r="F1920" s="7" t="s">
        <v>107</v>
      </c>
      <c r="G1920" s="7" t="s">
        <v>10</v>
      </c>
      <c r="H1920" s="7" t="s">
        <v>45</v>
      </c>
      <c r="I1920" s="20" t="s">
        <v>1532</v>
      </c>
      <c r="J1920" s="20" t="s">
        <v>2927</v>
      </c>
      <c r="K1920" s="7" t="s">
        <v>111</v>
      </c>
      <c r="L1920" s="61">
        <v>45834</v>
      </c>
      <c r="M1920" s="7" t="s">
        <v>111</v>
      </c>
      <c r="N1920" s="24">
        <v>45835</v>
      </c>
      <c r="O1920" s="24">
        <v>45835</v>
      </c>
      <c r="P1920" s="59"/>
      <c r="Q1920" s="124" t="e">
        <f>P1920*#REF!</f>
        <v>#REF!</v>
      </c>
    </row>
    <row r="1921" spans="2:17" ht="17.25" hidden="1" customHeight="1">
      <c r="B1921" s="23">
        <v>45827</v>
      </c>
      <c r="C1921" s="7">
        <v>2003714517</v>
      </c>
      <c r="D1921" s="20">
        <v>5999450</v>
      </c>
      <c r="E1921" s="27" t="s">
        <v>116</v>
      </c>
      <c r="F1921" s="7" t="s">
        <v>107</v>
      </c>
      <c r="G1921" s="7" t="s">
        <v>10</v>
      </c>
      <c r="H1921" s="7" t="s">
        <v>45</v>
      </c>
      <c r="I1921" s="20" t="s">
        <v>2928</v>
      </c>
      <c r="J1921" s="20" t="s">
        <v>2929</v>
      </c>
      <c r="K1921" s="7" t="s">
        <v>119</v>
      </c>
      <c r="L1921" s="61">
        <v>45834</v>
      </c>
      <c r="M1921" s="7" t="s">
        <v>111</v>
      </c>
      <c r="N1921" s="61">
        <v>45834</v>
      </c>
      <c r="O1921" s="61">
        <v>45835</v>
      </c>
      <c r="P1921" s="59"/>
      <c r="Q1921" s="124" t="e">
        <f>P1921*#REF!</f>
        <v>#REF!</v>
      </c>
    </row>
    <row r="1922" spans="2:17" ht="17.25" hidden="1" customHeight="1">
      <c r="B1922" s="23">
        <v>45827</v>
      </c>
      <c r="C1922" s="7">
        <v>2003719266</v>
      </c>
      <c r="D1922" s="20">
        <v>5999466</v>
      </c>
      <c r="E1922" s="27" t="s">
        <v>152</v>
      </c>
      <c r="F1922" s="7" t="s">
        <v>107</v>
      </c>
      <c r="G1922" s="7" t="s">
        <v>10</v>
      </c>
      <c r="H1922" s="7" t="s">
        <v>45</v>
      </c>
      <c r="I1922" s="20" t="s">
        <v>2930</v>
      </c>
      <c r="J1922" s="20" t="s">
        <v>2931</v>
      </c>
      <c r="K1922" s="7" t="s">
        <v>110</v>
      </c>
      <c r="L1922" s="61">
        <v>45831</v>
      </c>
      <c r="M1922" s="7" t="s">
        <v>111</v>
      </c>
      <c r="N1922" s="61">
        <v>45831</v>
      </c>
      <c r="O1922" s="58">
        <v>45833</v>
      </c>
      <c r="P1922" s="59"/>
      <c r="Q1922" s="124" t="e">
        <f>P1922*#REF!</f>
        <v>#REF!</v>
      </c>
    </row>
    <row r="1923" spans="2:17" ht="17.25" hidden="1" customHeight="1">
      <c r="B1923" s="23">
        <v>45827</v>
      </c>
      <c r="C1923" s="7">
        <v>2003718319</v>
      </c>
      <c r="D1923" s="20">
        <v>5999472</v>
      </c>
      <c r="E1923" s="27" t="s">
        <v>185</v>
      </c>
      <c r="F1923" s="7" t="s">
        <v>107</v>
      </c>
      <c r="G1923" s="7" t="s">
        <v>10</v>
      </c>
      <c r="H1923" s="7" t="s">
        <v>45</v>
      </c>
      <c r="I1923" s="20" t="s">
        <v>476</v>
      </c>
      <c r="J1923" s="20" t="s">
        <v>2932</v>
      </c>
      <c r="K1923" s="7" t="s">
        <v>119</v>
      </c>
      <c r="L1923" s="61">
        <v>45831</v>
      </c>
      <c r="M1923" s="7" t="s">
        <v>111</v>
      </c>
      <c r="N1923" s="61">
        <v>45831</v>
      </c>
      <c r="O1923" s="58">
        <v>45833</v>
      </c>
      <c r="P1923" s="59"/>
      <c r="Q1923" s="124" t="e">
        <f>P1923*#REF!</f>
        <v>#REF!</v>
      </c>
    </row>
    <row r="1924" spans="2:17" ht="17.25" hidden="1" customHeight="1">
      <c r="B1924" s="23">
        <v>45827</v>
      </c>
      <c r="C1924" s="7">
        <v>2003695157</v>
      </c>
      <c r="D1924" s="20">
        <v>196958</v>
      </c>
      <c r="E1924" s="27" t="s">
        <v>129</v>
      </c>
      <c r="F1924" s="7" t="s">
        <v>107</v>
      </c>
      <c r="G1924" s="7" t="s">
        <v>26</v>
      </c>
      <c r="H1924" s="7" t="s">
        <v>45</v>
      </c>
      <c r="I1924" s="20" t="s">
        <v>2679</v>
      </c>
      <c r="J1924" s="20" t="s">
        <v>2682</v>
      </c>
      <c r="K1924" s="7" t="s">
        <v>110</v>
      </c>
      <c r="L1924" s="61">
        <v>45831</v>
      </c>
      <c r="M1924" s="7" t="s">
        <v>111</v>
      </c>
      <c r="O1924" s="58">
        <v>45832</v>
      </c>
      <c r="P1924" s="59"/>
      <c r="Q1924" s="124" t="e">
        <f>P1924*#REF!</f>
        <v>#REF!</v>
      </c>
    </row>
    <row r="1925" spans="2:17" ht="17.25" hidden="1" customHeight="1">
      <c r="B1925" s="23">
        <v>45827</v>
      </c>
      <c r="C1925" s="7">
        <v>2003680093</v>
      </c>
      <c r="D1925" s="20">
        <v>196945</v>
      </c>
      <c r="E1925" s="27" t="s">
        <v>112</v>
      </c>
      <c r="F1925" s="7" t="s">
        <v>107</v>
      </c>
      <c r="G1925" s="7" t="s">
        <v>15</v>
      </c>
      <c r="H1925" s="7" t="s">
        <v>45</v>
      </c>
      <c r="I1925" s="20" t="s">
        <v>2933</v>
      </c>
      <c r="J1925" s="20" t="s">
        <v>2934</v>
      </c>
      <c r="K1925" s="7" t="s">
        <v>119</v>
      </c>
      <c r="L1925" s="61">
        <v>45832</v>
      </c>
      <c r="M1925" s="7" t="s">
        <v>111</v>
      </c>
      <c r="N1925" s="61">
        <v>45833</v>
      </c>
      <c r="O1925" s="61">
        <v>45835</v>
      </c>
      <c r="P1925" s="59"/>
      <c r="Q1925" s="124" t="e">
        <f>P1925*#REF!</f>
        <v>#REF!</v>
      </c>
    </row>
    <row r="1926" spans="2:17" ht="17.25" hidden="1" customHeight="1">
      <c r="B1926" s="23">
        <v>45827</v>
      </c>
      <c r="C1926" s="7">
        <v>2003711754</v>
      </c>
      <c r="D1926" s="20">
        <v>196854</v>
      </c>
      <c r="E1926" s="27" t="s">
        <v>185</v>
      </c>
      <c r="F1926" s="7" t="s">
        <v>107</v>
      </c>
      <c r="G1926" s="7" t="s">
        <v>18</v>
      </c>
      <c r="H1926" s="7" t="s">
        <v>45</v>
      </c>
      <c r="I1926" s="20" t="s">
        <v>206</v>
      </c>
      <c r="J1926" s="20" t="s">
        <v>2935</v>
      </c>
      <c r="K1926" s="7" t="s">
        <v>110</v>
      </c>
      <c r="L1926" s="61">
        <v>45832</v>
      </c>
      <c r="M1926" s="7" t="s">
        <v>111</v>
      </c>
      <c r="N1926" s="24">
        <v>45833</v>
      </c>
      <c r="O1926" s="61">
        <v>45835</v>
      </c>
      <c r="P1926" s="59"/>
      <c r="Q1926" s="124" t="e">
        <f>P1926*#REF!</f>
        <v>#REF!</v>
      </c>
    </row>
    <row r="1927" spans="2:17" ht="17.25" hidden="1" customHeight="1">
      <c r="B1927" s="23">
        <v>45827</v>
      </c>
      <c r="C1927" s="7">
        <v>2003707180</v>
      </c>
      <c r="D1927" s="20">
        <v>196696</v>
      </c>
      <c r="E1927" s="27" t="s">
        <v>1225</v>
      </c>
      <c r="F1927" s="7" t="s">
        <v>107</v>
      </c>
      <c r="G1927" s="7" t="s">
        <v>10</v>
      </c>
      <c r="H1927" s="7" t="s">
        <v>45</v>
      </c>
      <c r="I1927" s="20" t="s">
        <v>1751</v>
      </c>
      <c r="J1927" s="20" t="s">
        <v>2936</v>
      </c>
      <c r="K1927" s="7" t="s">
        <v>119</v>
      </c>
      <c r="L1927" s="61">
        <v>45832</v>
      </c>
      <c r="M1927" s="7" t="s">
        <v>111</v>
      </c>
      <c r="N1927" s="24">
        <v>45833</v>
      </c>
      <c r="O1927" s="24">
        <v>45833</v>
      </c>
      <c r="P1927" s="59"/>
      <c r="Q1927" s="124" t="e">
        <f>P1927*#REF!</f>
        <v>#REF!</v>
      </c>
    </row>
    <row r="1928" spans="2:17" ht="17.25" hidden="1" customHeight="1">
      <c r="B1928" s="23">
        <v>45827</v>
      </c>
      <c r="C1928" s="7">
        <v>2003711521</v>
      </c>
      <c r="D1928" s="20">
        <v>196663</v>
      </c>
      <c r="E1928" s="27" t="s">
        <v>180</v>
      </c>
      <c r="F1928" s="7" t="s">
        <v>107</v>
      </c>
      <c r="G1928" s="7" t="s">
        <v>18</v>
      </c>
      <c r="H1928" s="7" t="s">
        <v>45</v>
      </c>
      <c r="I1928" s="20" t="s">
        <v>2937</v>
      </c>
      <c r="J1928" s="20" t="s">
        <v>2938</v>
      </c>
      <c r="K1928" s="7" t="s">
        <v>111</v>
      </c>
      <c r="L1928" s="61">
        <v>45831</v>
      </c>
      <c r="M1928" s="7" t="s">
        <v>111</v>
      </c>
      <c r="N1928" s="61">
        <v>45831</v>
      </c>
      <c r="O1928" s="58">
        <v>45845</v>
      </c>
      <c r="P1928" s="59"/>
      <c r="Q1928" s="124" t="e">
        <f>P1928*#REF!</f>
        <v>#REF!</v>
      </c>
    </row>
    <row r="1929" spans="2:17" ht="17.25" hidden="1" customHeight="1">
      <c r="B1929" s="23">
        <v>45827</v>
      </c>
      <c r="C1929" s="7">
        <v>2003665031</v>
      </c>
      <c r="D1929" s="20">
        <v>196442</v>
      </c>
      <c r="E1929" s="27" t="s">
        <v>180</v>
      </c>
      <c r="F1929" s="7" t="s">
        <v>107</v>
      </c>
      <c r="G1929" s="7" t="s">
        <v>10</v>
      </c>
      <c r="H1929" s="7" t="s">
        <v>45</v>
      </c>
      <c r="I1929" s="20" t="s">
        <v>1171</v>
      </c>
      <c r="J1929" s="20" t="s">
        <v>1424</v>
      </c>
      <c r="K1929" s="7" t="s">
        <v>119</v>
      </c>
      <c r="L1929" s="61">
        <v>45827</v>
      </c>
      <c r="M1929" s="7" t="s">
        <v>111</v>
      </c>
      <c r="N1929" s="61">
        <v>45827</v>
      </c>
      <c r="O1929" s="61">
        <v>45833</v>
      </c>
      <c r="P1929" s="59"/>
      <c r="Q1929" s="124" t="e">
        <f>P1929*#REF!</f>
        <v>#REF!</v>
      </c>
    </row>
    <row r="1930" spans="2:17" ht="17.25" hidden="1" customHeight="1">
      <c r="B1930" s="23">
        <v>45827</v>
      </c>
      <c r="C1930" s="7">
        <v>2003678791</v>
      </c>
      <c r="D1930" s="20">
        <v>196429</v>
      </c>
      <c r="E1930" s="27" t="s">
        <v>191</v>
      </c>
      <c r="F1930" s="7" t="s">
        <v>107</v>
      </c>
      <c r="G1930" s="7" t="s">
        <v>26</v>
      </c>
      <c r="H1930" s="7" t="s">
        <v>45</v>
      </c>
      <c r="I1930" s="20" t="s">
        <v>2744</v>
      </c>
      <c r="J1930" s="20" t="s">
        <v>2745</v>
      </c>
      <c r="K1930" s="7" t="s">
        <v>110</v>
      </c>
      <c r="L1930" s="61">
        <v>45831</v>
      </c>
      <c r="M1930" s="7" t="s">
        <v>111</v>
      </c>
      <c r="O1930" s="58">
        <v>45833</v>
      </c>
      <c r="P1930" s="59"/>
      <c r="Q1930" s="124" t="e">
        <f>P1930*#REF!</f>
        <v>#REF!</v>
      </c>
    </row>
    <row r="1931" spans="2:17" ht="17.25" hidden="1" customHeight="1">
      <c r="B1931" s="23">
        <v>45827</v>
      </c>
      <c r="C1931" s="7">
        <v>2003714570</v>
      </c>
      <c r="D1931" s="20">
        <v>196424</v>
      </c>
      <c r="E1931" s="27" t="s">
        <v>201</v>
      </c>
      <c r="F1931" s="7" t="s">
        <v>107</v>
      </c>
      <c r="G1931" s="7" t="s">
        <v>18</v>
      </c>
      <c r="H1931" s="7" t="s">
        <v>45</v>
      </c>
      <c r="I1931" s="20" t="s">
        <v>2939</v>
      </c>
      <c r="J1931" s="20" t="s">
        <v>2940</v>
      </c>
      <c r="K1931" s="7" t="s">
        <v>110</v>
      </c>
      <c r="L1931" s="61">
        <v>45831</v>
      </c>
      <c r="M1931" s="7" t="s">
        <v>111</v>
      </c>
      <c r="N1931" s="24">
        <v>45834</v>
      </c>
      <c r="O1931" s="24">
        <v>45833</v>
      </c>
      <c r="P1931" s="59"/>
      <c r="Q1931" s="124" t="e">
        <f>P1931*#REF!</f>
        <v>#REF!</v>
      </c>
    </row>
    <row r="1932" spans="2:17" ht="17.25" hidden="1" customHeight="1">
      <c r="B1932" s="23">
        <v>45827</v>
      </c>
      <c r="C1932" s="7">
        <v>2003716122</v>
      </c>
      <c r="D1932" s="20">
        <v>196133</v>
      </c>
      <c r="E1932" s="27" t="s">
        <v>157</v>
      </c>
      <c r="F1932" s="7" t="s">
        <v>107</v>
      </c>
      <c r="G1932" s="7" t="s">
        <v>15</v>
      </c>
      <c r="H1932" s="7" t="s">
        <v>45</v>
      </c>
      <c r="I1932" s="20" t="s">
        <v>2941</v>
      </c>
      <c r="J1932" s="20" t="s">
        <v>2942</v>
      </c>
      <c r="K1932" s="7" t="s">
        <v>110</v>
      </c>
      <c r="L1932" s="61">
        <v>45834</v>
      </c>
      <c r="M1932" s="7" t="s">
        <v>111</v>
      </c>
      <c r="N1932" s="61">
        <v>45834</v>
      </c>
      <c r="O1932" s="58">
        <v>45835</v>
      </c>
      <c r="P1932" s="59"/>
      <c r="Q1932" s="124" t="e">
        <f>P1932*#REF!</f>
        <v>#REF!</v>
      </c>
    </row>
    <row r="1933" spans="2:17" ht="17.25" hidden="1" customHeight="1">
      <c r="B1933" s="23">
        <v>45831</v>
      </c>
      <c r="C1933" s="7">
        <v>2003718686</v>
      </c>
      <c r="D1933" s="20">
        <v>5999954</v>
      </c>
      <c r="E1933" s="27" t="s">
        <v>143</v>
      </c>
      <c r="F1933" s="7" t="s">
        <v>107</v>
      </c>
      <c r="G1933" s="7" t="s">
        <v>18</v>
      </c>
      <c r="H1933" s="7" t="s">
        <v>45</v>
      </c>
      <c r="I1933" s="20" t="s">
        <v>2943</v>
      </c>
      <c r="J1933" s="20" t="s">
        <v>2944</v>
      </c>
      <c r="K1933" s="7" t="s">
        <v>110</v>
      </c>
      <c r="L1933" s="61">
        <v>45833</v>
      </c>
      <c r="M1933" s="7" t="s">
        <v>111</v>
      </c>
      <c r="N1933" s="61">
        <v>45833</v>
      </c>
      <c r="O1933" s="61">
        <v>45835</v>
      </c>
      <c r="P1933" s="59"/>
      <c r="Q1933" s="124" t="e">
        <f>P1933*#REF!</f>
        <v>#REF!</v>
      </c>
    </row>
    <row r="1934" spans="2:17" ht="17.25" hidden="1" customHeight="1">
      <c r="B1934" s="23">
        <v>45831</v>
      </c>
      <c r="C1934" s="7">
        <v>2003715571</v>
      </c>
      <c r="D1934" s="20">
        <v>6000097</v>
      </c>
      <c r="E1934" s="27" t="s">
        <v>198</v>
      </c>
      <c r="F1934" s="7" t="s">
        <v>107</v>
      </c>
      <c r="G1934" s="7" t="s">
        <v>10</v>
      </c>
      <c r="H1934" s="7" t="s">
        <v>45</v>
      </c>
      <c r="I1934" s="20" t="s">
        <v>2945</v>
      </c>
      <c r="J1934" s="20" t="s">
        <v>2946</v>
      </c>
      <c r="K1934" s="7" t="s">
        <v>119</v>
      </c>
      <c r="L1934" s="61">
        <v>45832</v>
      </c>
      <c r="M1934" s="7" t="s">
        <v>111</v>
      </c>
      <c r="N1934" s="24">
        <v>45838</v>
      </c>
      <c r="O1934" s="24">
        <v>45838</v>
      </c>
      <c r="P1934" s="59"/>
      <c r="Q1934" s="124" t="e">
        <f>P1934*#REF!</f>
        <v>#REF!</v>
      </c>
    </row>
    <row r="1935" spans="2:17" ht="17.25" hidden="1" customHeight="1">
      <c r="B1935" s="23">
        <v>45831</v>
      </c>
      <c r="C1935" s="7">
        <v>2003712681</v>
      </c>
      <c r="D1935" s="20">
        <v>6000210</v>
      </c>
      <c r="E1935" s="27" t="s">
        <v>622</v>
      </c>
      <c r="F1935" s="7" t="s">
        <v>107</v>
      </c>
      <c r="G1935" s="7" t="s">
        <v>26</v>
      </c>
      <c r="H1935" s="7" t="s">
        <v>45</v>
      </c>
      <c r="I1935" s="20" t="s">
        <v>2947</v>
      </c>
      <c r="J1935" s="20" t="s">
        <v>2948</v>
      </c>
      <c r="K1935" s="7" t="s">
        <v>119</v>
      </c>
      <c r="L1935" s="61">
        <v>45841</v>
      </c>
      <c r="M1935" s="7" t="s">
        <v>111</v>
      </c>
      <c r="P1935" s="59"/>
      <c r="Q1935" s="124" t="e">
        <f>P1935*#REF!</f>
        <v>#REF!</v>
      </c>
    </row>
    <row r="1936" spans="2:17" ht="17.25" hidden="1" customHeight="1">
      <c r="B1936" s="23">
        <v>45831</v>
      </c>
      <c r="C1936" s="7">
        <v>2003720709</v>
      </c>
      <c r="D1936" s="20">
        <v>6000306</v>
      </c>
      <c r="E1936" s="27" t="s">
        <v>486</v>
      </c>
      <c r="F1936" s="7" t="s">
        <v>107</v>
      </c>
      <c r="G1936" s="7" t="s">
        <v>10</v>
      </c>
      <c r="H1936" s="7" t="s">
        <v>45</v>
      </c>
      <c r="I1936" s="20" t="s">
        <v>1974</v>
      </c>
      <c r="J1936" s="20" t="s">
        <v>2904</v>
      </c>
      <c r="K1936" s="7" t="s">
        <v>119</v>
      </c>
      <c r="L1936" s="61">
        <v>45831</v>
      </c>
      <c r="M1936" s="7" t="s">
        <v>111</v>
      </c>
      <c r="N1936" s="61">
        <v>45831</v>
      </c>
      <c r="O1936" s="61">
        <v>45832</v>
      </c>
      <c r="P1936" s="59"/>
      <c r="Q1936" s="124" t="e">
        <f>P1936*#REF!</f>
        <v>#REF!</v>
      </c>
    </row>
    <row r="1937" spans="2:17" ht="17.25" hidden="1" customHeight="1">
      <c r="B1937" s="23">
        <v>45831</v>
      </c>
      <c r="C1937" s="7">
        <v>2003721133</v>
      </c>
      <c r="D1937" s="20">
        <v>6000431</v>
      </c>
      <c r="E1937" s="27" t="s">
        <v>622</v>
      </c>
      <c r="F1937" s="7" t="s">
        <v>107</v>
      </c>
      <c r="G1937" s="7" t="s">
        <v>10</v>
      </c>
      <c r="H1937" s="7" t="s">
        <v>45</v>
      </c>
      <c r="I1937" s="20" t="s">
        <v>915</v>
      </c>
      <c r="J1937" s="20" t="s">
        <v>2949</v>
      </c>
      <c r="K1937" s="7" t="s">
        <v>119</v>
      </c>
      <c r="L1937" s="61">
        <v>45833</v>
      </c>
      <c r="M1937" s="7" t="s">
        <v>111</v>
      </c>
      <c r="N1937" s="61">
        <v>45834</v>
      </c>
      <c r="P1937" s="59"/>
      <c r="Q1937" s="124" t="e">
        <f>P1937*#REF!</f>
        <v>#REF!</v>
      </c>
    </row>
    <row r="1938" spans="2:17" ht="17.25" hidden="1" customHeight="1">
      <c r="B1938" s="23">
        <v>45831</v>
      </c>
      <c r="C1938" s="7">
        <v>2003660838</v>
      </c>
      <c r="D1938" s="20">
        <v>6000465</v>
      </c>
      <c r="E1938" s="27" t="s">
        <v>486</v>
      </c>
      <c r="F1938" s="7" t="s">
        <v>107</v>
      </c>
      <c r="G1938" s="7" t="s">
        <v>26</v>
      </c>
      <c r="H1938" s="7" t="s">
        <v>45</v>
      </c>
      <c r="I1938" s="20" t="s">
        <v>2950</v>
      </c>
      <c r="J1938" s="20" t="s">
        <v>2468</v>
      </c>
      <c r="K1938" s="7" t="s">
        <v>119</v>
      </c>
      <c r="L1938" s="61">
        <v>45832</v>
      </c>
      <c r="M1938" s="7" t="s">
        <v>111</v>
      </c>
      <c r="N1938" s="24">
        <v>45833</v>
      </c>
      <c r="O1938" s="58">
        <v>45833</v>
      </c>
      <c r="P1938" s="59"/>
      <c r="Q1938" s="124" t="e">
        <f>P1938*#REF!</f>
        <v>#REF!</v>
      </c>
    </row>
    <row r="1939" spans="2:17" ht="17.25" hidden="1" customHeight="1">
      <c r="B1939" s="23">
        <v>45831</v>
      </c>
      <c r="C1939" s="7">
        <v>2003669309</v>
      </c>
      <c r="D1939" s="20">
        <v>6000467</v>
      </c>
      <c r="E1939" s="27" t="s">
        <v>123</v>
      </c>
      <c r="F1939" s="7" t="s">
        <v>107</v>
      </c>
      <c r="G1939" s="7" t="s">
        <v>21</v>
      </c>
      <c r="H1939" s="7" t="s">
        <v>42</v>
      </c>
      <c r="I1939" s="20" t="s">
        <v>878</v>
      </c>
      <c r="J1939" s="20" t="s">
        <v>2676</v>
      </c>
      <c r="K1939" s="7" t="s">
        <v>111</v>
      </c>
      <c r="L1939" s="61">
        <v>45832</v>
      </c>
      <c r="M1939" s="7" t="s">
        <v>111</v>
      </c>
      <c r="N1939" s="24">
        <v>45832</v>
      </c>
      <c r="P1939" s="59"/>
      <c r="Q1939" s="124" t="e">
        <f>P1939*#REF!</f>
        <v>#REF!</v>
      </c>
    </row>
    <row r="1940" spans="2:17" ht="17.25" hidden="1" customHeight="1">
      <c r="B1940" s="23">
        <v>45831</v>
      </c>
      <c r="C1940" s="7">
        <v>2003665512</v>
      </c>
      <c r="D1940" s="20">
        <v>6000499</v>
      </c>
      <c r="E1940" s="27" t="s">
        <v>123</v>
      </c>
      <c r="F1940" s="7" t="s">
        <v>107</v>
      </c>
      <c r="G1940" s="7" t="s">
        <v>10</v>
      </c>
      <c r="H1940" s="7" t="s">
        <v>45</v>
      </c>
      <c r="I1940" s="20" t="s">
        <v>2951</v>
      </c>
      <c r="J1940" s="20" t="s">
        <v>2952</v>
      </c>
      <c r="K1940" s="7" t="s">
        <v>119</v>
      </c>
      <c r="L1940" s="61">
        <v>45834</v>
      </c>
      <c r="M1940" s="7" t="s">
        <v>111</v>
      </c>
      <c r="N1940" s="61">
        <v>45834</v>
      </c>
      <c r="O1940" s="58">
        <v>45835</v>
      </c>
      <c r="P1940" s="59"/>
      <c r="Q1940" s="124" t="e">
        <f>P1940*#REF!</f>
        <v>#REF!</v>
      </c>
    </row>
    <row r="1941" spans="2:17" ht="17.25" hidden="1" customHeight="1">
      <c r="B1941" s="23">
        <v>45831</v>
      </c>
      <c r="C1941" s="7">
        <v>2003665178</v>
      </c>
      <c r="D1941" s="20">
        <v>6000537</v>
      </c>
      <c r="E1941" s="27" t="s">
        <v>408</v>
      </c>
      <c r="F1941" s="7" t="s">
        <v>107</v>
      </c>
      <c r="G1941" s="7" t="s">
        <v>10</v>
      </c>
      <c r="H1941" s="7" t="s">
        <v>45</v>
      </c>
      <c r="I1941" s="20" t="s">
        <v>2953</v>
      </c>
      <c r="J1941" s="20" t="s">
        <v>1606</v>
      </c>
      <c r="K1941" s="7" t="s">
        <v>110</v>
      </c>
      <c r="L1941" s="61">
        <v>45834</v>
      </c>
      <c r="M1941" s="7" t="s">
        <v>111</v>
      </c>
      <c r="N1941" s="61">
        <v>45834</v>
      </c>
      <c r="O1941" s="61">
        <v>45835</v>
      </c>
      <c r="P1941" s="59"/>
      <c r="Q1941" s="124" t="e">
        <f>P1941*#REF!</f>
        <v>#REF!</v>
      </c>
    </row>
    <row r="1942" spans="2:17" ht="17.25" hidden="1" customHeight="1">
      <c r="B1942" s="23">
        <v>45831</v>
      </c>
      <c r="C1942" s="7">
        <v>2003706235</v>
      </c>
      <c r="D1942" s="20">
        <v>198776</v>
      </c>
      <c r="E1942" s="27" t="s">
        <v>185</v>
      </c>
      <c r="F1942" s="7" t="s">
        <v>107</v>
      </c>
      <c r="G1942" s="7" t="s">
        <v>10</v>
      </c>
      <c r="H1942" s="7" t="s">
        <v>45</v>
      </c>
      <c r="I1942" s="20" t="s">
        <v>1841</v>
      </c>
      <c r="J1942" s="20" t="s">
        <v>2954</v>
      </c>
      <c r="K1942" s="7" t="s">
        <v>110</v>
      </c>
      <c r="L1942" s="61">
        <v>45835</v>
      </c>
      <c r="M1942" s="7" t="s">
        <v>111</v>
      </c>
      <c r="N1942" s="61">
        <v>45835</v>
      </c>
      <c r="O1942" s="61">
        <v>45838</v>
      </c>
      <c r="P1942" s="59"/>
      <c r="Q1942" s="124" t="e">
        <f>P1942*#REF!</f>
        <v>#REF!</v>
      </c>
    </row>
    <row r="1943" spans="2:17" ht="17.25" hidden="1" customHeight="1">
      <c r="B1943" s="23">
        <v>45831</v>
      </c>
      <c r="C1943" s="7">
        <v>2003712879</v>
      </c>
      <c r="D1943" s="20">
        <v>198479</v>
      </c>
      <c r="E1943" s="27" t="s">
        <v>568</v>
      </c>
      <c r="F1943" s="7" t="s">
        <v>107</v>
      </c>
      <c r="G1943" s="7" t="s">
        <v>18</v>
      </c>
      <c r="H1943" s="7" t="s">
        <v>45</v>
      </c>
      <c r="I1943" s="20" t="s">
        <v>2955</v>
      </c>
      <c r="J1943" s="20" t="s">
        <v>2956</v>
      </c>
      <c r="K1943" s="7" t="s">
        <v>119</v>
      </c>
      <c r="L1943" s="61">
        <v>45833</v>
      </c>
      <c r="M1943" s="7" t="s">
        <v>111</v>
      </c>
      <c r="N1943" s="61">
        <v>45834</v>
      </c>
      <c r="P1943" s="59"/>
      <c r="Q1943" s="124" t="e">
        <f>P1943*#REF!</f>
        <v>#REF!</v>
      </c>
    </row>
    <row r="1944" spans="2:17" ht="17.25" hidden="1" customHeight="1">
      <c r="B1944" s="23">
        <v>45831</v>
      </c>
      <c r="C1944" s="7">
        <v>2003717905</v>
      </c>
      <c r="D1944" s="20">
        <v>198462</v>
      </c>
      <c r="E1944" s="27" t="s">
        <v>568</v>
      </c>
      <c r="F1944" s="7" t="s">
        <v>107</v>
      </c>
      <c r="G1944" s="7" t="s">
        <v>18</v>
      </c>
      <c r="H1944" s="7" t="s">
        <v>45</v>
      </c>
      <c r="I1944" s="20" t="s">
        <v>2955</v>
      </c>
      <c r="J1944" s="20" t="s">
        <v>2956</v>
      </c>
      <c r="K1944" s="7" t="s">
        <v>119</v>
      </c>
      <c r="L1944" s="61">
        <v>45833</v>
      </c>
      <c r="M1944" s="7" t="s">
        <v>111</v>
      </c>
      <c r="N1944" s="61">
        <v>45834</v>
      </c>
      <c r="P1944" s="59"/>
      <c r="Q1944" s="124" t="e">
        <f>P1944*#REF!</f>
        <v>#REF!</v>
      </c>
    </row>
    <row r="1945" spans="2:17" ht="17.25" hidden="1" customHeight="1">
      <c r="B1945" s="23">
        <v>45831</v>
      </c>
      <c r="C1945" s="7">
        <v>2003666717</v>
      </c>
      <c r="D1945" s="20">
        <v>198390</v>
      </c>
      <c r="E1945" s="27" t="s">
        <v>129</v>
      </c>
      <c r="F1945" s="7" t="s">
        <v>107</v>
      </c>
      <c r="G1945" s="7" t="s">
        <v>10</v>
      </c>
      <c r="H1945" s="7" t="s">
        <v>45</v>
      </c>
      <c r="I1945" s="20" t="s">
        <v>2957</v>
      </c>
      <c r="J1945" s="20" t="s">
        <v>2578</v>
      </c>
      <c r="K1945" s="7" t="s">
        <v>110</v>
      </c>
      <c r="L1945" s="61">
        <v>45833</v>
      </c>
      <c r="M1945" s="7" t="s">
        <v>111</v>
      </c>
      <c r="N1945" s="61">
        <v>45833</v>
      </c>
      <c r="O1945" s="61">
        <v>45835</v>
      </c>
      <c r="P1945" s="59"/>
      <c r="Q1945" s="124" t="e">
        <f>P1945*#REF!</f>
        <v>#REF!</v>
      </c>
    </row>
    <row r="1946" spans="2:17" ht="17.25" hidden="1" customHeight="1">
      <c r="B1946" s="23">
        <v>45831</v>
      </c>
      <c r="C1946" s="7">
        <v>2003715168</v>
      </c>
      <c r="D1946" s="20">
        <v>198019</v>
      </c>
      <c r="E1946" s="27" t="s">
        <v>568</v>
      </c>
      <c r="F1946" s="7" t="s">
        <v>107</v>
      </c>
      <c r="G1946" s="7" t="s">
        <v>10</v>
      </c>
      <c r="H1946" s="7" t="s">
        <v>45</v>
      </c>
      <c r="I1946" s="20" t="s">
        <v>2958</v>
      </c>
      <c r="J1946" s="20" t="s">
        <v>2896</v>
      </c>
      <c r="K1946" s="7" t="s">
        <v>119</v>
      </c>
      <c r="L1946" s="61">
        <v>45833</v>
      </c>
      <c r="M1946" s="7" t="s">
        <v>111</v>
      </c>
      <c r="N1946" s="61">
        <v>45834</v>
      </c>
      <c r="O1946" s="58">
        <v>45835</v>
      </c>
      <c r="P1946" s="59"/>
      <c r="Q1946" s="124" t="e">
        <f>P1946*#REF!</f>
        <v>#REF!</v>
      </c>
    </row>
    <row r="1947" spans="2:17" ht="17.25" hidden="1" customHeight="1">
      <c r="B1947" s="23">
        <v>45832</v>
      </c>
      <c r="C1947" s="7">
        <v>2003689605</v>
      </c>
      <c r="D1947" s="20">
        <v>6001048</v>
      </c>
      <c r="E1947" s="27" t="s">
        <v>2959</v>
      </c>
      <c r="F1947" s="7" t="s">
        <v>107</v>
      </c>
      <c r="G1947" s="7" t="s">
        <v>10</v>
      </c>
      <c r="H1947" s="7" t="s">
        <v>45</v>
      </c>
      <c r="I1947" s="20" t="s">
        <v>141</v>
      </c>
      <c r="J1947" s="20" t="s">
        <v>1881</v>
      </c>
      <c r="K1947" s="7" t="s">
        <v>111</v>
      </c>
      <c r="L1947" s="61">
        <v>45832</v>
      </c>
      <c r="M1947" s="7" t="s">
        <v>111</v>
      </c>
      <c r="N1947" s="24">
        <v>45832</v>
      </c>
      <c r="O1947" s="58">
        <v>45833</v>
      </c>
      <c r="P1947" s="59"/>
      <c r="Q1947" s="124" t="e">
        <f>P1947*#REF!</f>
        <v>#REF!</v>
      </c>
    </row>
    <row r="1948" spans="2:17" ht="17.25" hidden="1" customHeight="1">
      <c r="B1948" s="23">
        <v>45832</v>
      </c>
      <c r="C1948" s="7">
        <v>2003719443</v>
      </c>
      <c r="D1948" s="20">
        <v>6001123</v>
      </c>
      <c r="E1948" s="27" t="s">
        <v>230</v>
      </c>
      <c r="F1948" s="7" t="s">
        <v>107</v>
      </c>
      <c r="G1948" s="7" t="s">
        <v>10</v>
      </c>
      <c r="H1948" s="7" t="s">
        <v>45</v>
      </c>
      <c r="I1948" s="20" t="s">
        <v>2960</v>
      </c>
      <c r="J1948" s="20" t="s">
        <v>2961</v>
      </c>
      <c r="K1948" s="7" t="s">
        <v>119</v>
      </c>
      <c r="L1948" s="61">
        <v>45834</v>
      </c>
      <c r="M1948" s="7" t="s">
        <v>111</v>
      </c>
      <c r="N1948" s="61">
        <v>45834</v>
      </c>
      <c r="O1948" s="58">
        <v>45835</v>
      </c>
      <c r="P1948" s="59"/>
      <c r="Q1948" s="124" t="e">
        <f>P1948*#REF!</f>
        <v>#REF!</v>
      </c>
    </row>
    <row r="1949" spans="2:17" ht="17.25" hidden="1" customHeight="1">
      <c r="B1949" s="23">
        <v>45832</v>
      </c>
      <c r="C1949" s="7">
        <v>2003694954</v>
      </c>
      <c r="D1949" s="20">
        <v>6001376</v>
      </c>
      <c r="E1949" s="27" t="s">
        <v>116</v>
      </c>
      <c r="F1949" s="7" t="s">
        <v>107</v>
      </c>
      <c r="G1949" s="7" t="s">
        <v>10</v>
      </c>
      <c r="H1949" s="7" t="s">
        <v>45</v>
      </c>
      <c r="I1949" s="20" t="s">
        <v>2962</v>
      </c>
      <c r="J1949" s="20" t="s">
        <v>2963</v>
      </c>
      <c r="K1949" s="7" t="s">
        <v>110</v>
      </c>
      <c r="L1949" s="61">
        <v>45840</v>
      </c>
      <c r="M1949" s="7" t="s">
        <v>111</v>
      </c>
      <c r="N1949" s="24">
        <v>45841</v>
      </c>
      <c r="O1949" s="24">
        <v>45841</v>
      </c>
      <c r="P1949" s="59"/>
      <c r="Q1949" s="124" t="e">
        <f>P1949*#REF!</f>
        <v>#REF!</v>
      </c>
    </row>
    <row r="1950" spans="2:17" ht="17.25" hidden="1" customHeight="1">
      <c r="B1950" s="23">
        <v>45832</v>
      </c>
      <c r="C1950" s="7">
        <v>2003687100</v>
      </c>
      <c r="D1950" s="20">
        <v>6001530</v>
      </c>
      <c r="E1950" s="27" t="s">
        <v>1225</v>
      </c>
      <c r="F1950" s="7" t="s">
        <v>107</v>
      </c>
      <c r="G1950" s="7" t="s">
        <v>10</v>
      </c>
      <c r="H1950" s="7" t="s">
        <v>45</v>
      </c>
      <c r="I1950" s="20" t="s">
        <v>2964</v>
      </c>
      <c r="J1950" s="20" t="s">
        <v>2965</v>
      </c>
      <c r="K1950" s="7" t="s">
        <v>119</v>
      </c>
      <c r="L1950" s="61">
        <v>45834</v>
      </c>
      <c r="M1950" s="7" t="s">
        <v>111</v>
      </c>
      <c r="N1950" s="61">
        <v>45835</v>
      </c>
      <c r="O1950" s="61">
        <v>45835</v>
      </c>
      <c r="P1950" s="59"/>
      <c r="Q1950" s="124" t="e">
        <f>P1950*#REF!</f>
        <v>#REF!</v>
      </c>
    </row>
    <row r="1951" spans="2:17" ht="17.25" hidden="1" customHeight="1">
      <c r="B1951" s="23">
        <v>45832</v>
      </c>
      <c r="C1951" s="7">
        <v>2003665803</v>
      </c>
      <c r="D1951" s="20">
        <v>6001713</v>
      </c>
      <c r="E1951" s="27" t="s">
        <v>116</v>
      </c>
      <c r="F1951" s="7" t="s">
        <v>107</v>
      </c>
      <c r="G1951" s="7" t="s">
        <v>10</v>
      </c>
      <c r="H1951" s="7" t="s">
        <v>45</v>
      </c>
      <c r="I1951" s="20" t="s">
        <v>2966</v>
      </c>
      <c r="J1951" s="20" t="s">
        <v>2967</v>
      </c>
      <c r="K1951" s="7" t="s">
        <v>110</v>
      </c>
      <c r="L1951" s="61">
        <v>45838</v>
      </c>
      <c r="M1951" s="7" t="s">
        <v>111</v>
      </c>
      <c r="N1951" s="61">
        <v>45838</v>
      </c>
      <c r="O1951" s="61">
        <v>45838</v>
      </c>
      <c r="P1951" s="59"/>
      <c r="Q1951" s="124" t="e">
        <f>P1951*#REF!</f>
        <v>#REF!</v>
      </c>
    </row>
    <row r="1952" spans="2:17" ht="17.25" hidden="1" customHeight="1">
      <c r="B1952" s="23">
        <v>45832</v>
      </c>
      <c r="C1952" s="7">
        <v>2003704714</v>
      </c>
      <c r="D1952" s="20">
        <v>6001791</v>
      </c>
      <c r="E1952" s="27" t="s">
        <v>185</v>
      </c>
      <c r="F1952" s="7" t="s">
        <v>107</v>
      </c>
      <c r="G1952" s="7" t="s">
        <v>18</v>
      </c>
      <c r="H1952" s="7" t="s">
        <v>45</v>
      </c>
      <c r="I1952" s="20" t="s">
        <v>1410</v>
      </c>
      <c r="J1952" s="20" t="s">
        <v>2968</v>
      </c>
      <c r="K1952" s="7" t="s">
        <v>110</v>
      </c>
      <c r="L1952" s="61">
        <v>45838</v>
      </c>
      <c r="M1952" s="7" t="s">
        <v>111</v>
      </c>
      <c r="N1952" s="61">
        <v>45838</v>
      </c>
      <c r="O1952" s="61">
        <v>45839</v>
      </c>
      <c r="P1952" s="59"/>
      <c r="Q1952" s="124" t="e">
        <f>P1952*#REF!</f>
        <v>#REF!</v>
      </c>
    </row>
    <row r="1953" spans="2:17" ht="17.25" hidden="1" customHeight="1">
      <c r="B1953" s="23">
        <v>45832</v>
      </c>
      <c r="C1953" s="7">
        <v>2003720315</v>
      </c>
      <c r="D1953" s="20">
        <v>6001816</v>
      </c>
      <c r="E1953" s="27" t="s">
        <v>185</v>
      </c>
      <c r="F1953" s="7" t="s">
        <v>107</v>
      </c>
      <c r="G1953" s="7" t="s">
        <v>18</v>
      </c>
      <c r="H1953" s="7" t="s">
        <v>45</v>
      </c>
      <c r="I1953" s="20" t="s">
        <v>2969</v>
      </c>
      <c r="K1953" s="7" t="s">
        <v>110</v>
      </c>
      <c r="L1953" s="61">
        <v>45838</v>
      </c>
      <c r="M1953" s="7" t="s">
        <v>111</v>
      </c>
      <c r="N1953" s="61">
        <v>45838</v>
      </c>
      <c r="O1953" s="58">
        <v>45840</v>
      </c>
      <c r="P1953" s="59"/>
      <c r="Q1953" s="124" t="e">
        <f>P1953*#REF!</f>
        <v>#REF!</v>
      </c>
    </row>
    <row r="1954" spans="2:17" ht="17.25" hidden="1" customHeight="1">
      <c r="B1954" s="23">
        <v>45832</v>
      </c>
      <c r="C1954" s="7">
        <v>2003522378</v>
      </c>
      <c r="D1954" s="20">
        <v>6001843</v>
      </c>
      <c r="E1954" s="27" t="s">
        <v>191</v>
      </c>
      <c r="F1954" s="7" t="s">
        <v>107</v>
      </c>
      <c r="G1954" s="7" t="s">
        <v>18</v>
      </c>
      <c r="H1954" s="7" t="s">
        <v>45</v>
      </c>
      <c r="I1954" s="20" t="s">
        <v>2970</v>
      </c>
      <c r="J1954" s="20" t="s">
        <v>1293</v>
      </c>
      <c r="K1954" s="7" t="s">
        <v>110</v>
      </c>
      <c r="L1954" s="61">
        <v>45835</v>
      </c>
      <c r="M1954" s="7" t="s">
        <v>111</v>
      </c>
      <c r="N1954" s="61">
        <v>45835</v>
      </c>
      <c r="O1954" s="61">
        <v>45838</v>
      </c>
      <c r="P1954" s="59"/>
      <c r="Q1954" s="124" t="e">
        <f>P1954*#REF!</f>
        <v>#REF!</v>
      </c>
    </row>
    <row r="1955" spans="2:17" ht="17.25" hidden="1" customHeight="1">
      <c r="B1955" s="23">
        <v>45832</v>
      </c>
      <c r="C1955" s="7">
        <v>2003695157</v>
      </c>
      <c r="D1955" s="20">
        <v>200316</v>
      </c>
      <c r="E1955" s="27" t="s">
        <v>129</v>
      </c>
      <c r="F1955" s="7" t="s">
        <v>107</v>
      </c>
      <c r="G1955" s="7" t="s">
        <v>18</v>
      </c>
      <c r="H1955" s="7" t="s">
        <v>45</v>
      </c>
      <c r="I1955" s="20" t="s">
        <v>2971</v>
      </c>
      <c r="J1955" s="20" t="s">
        <v>2682</v>
      </c>
      <c r="K1955" s="7" t="s">
        <v>110</v>
      </c>
      <c r="L1955" s="61">
        <v>45835</v>
      </c>
      <c r="M1955" s="7" t="s">
        <v>111</v>
      </c>
      <c r="N1955" s="61">
        <v>45835</v>
      </c>
      <c r="O1955" s="61">
        <v>45838</v>
      </c>
      <c r="P1955" s="59"/>
      <c r="Q1955" s="124" t="e">
        <f>P1955*#REF!</f>
        <v>#REF!</v>
      </c>
    </row>
    <row r="1956" spans="2:17" ht="17.25" hidden="1" customHeight="1">
      <c r="B1956" s="23">
        <v>45832</v>
      </c>
      <c r="C1956" s="7">
        <v>2003708999</v>
      </c>
      <c r="D1956" s="20">
        <v>200264</v>
      </c>
      <c r="E1956" s="27" t="s">
        <v>230</v>
      </c>
      <c r="F1956" s="7" t="s">
        <v>107</v>
      </c>
      <c r="G1956" s="7" t="s">
        <v>10</v>
      </c>
      <c r="H1956" s="7" t="s">
        <v>45</v>
      </c>
      <c r="I1956" s="20" t="s">
        <v>2202</v>
      </c>
      <c r="J1956" s="20" t="s">
        <v>2972</v>
      </c>
      <c r="K1956" s="7" t="s">
        <v>119</v>
      </c>
      <c r="L1956" s="61">
        <v>45842</v>
      </c>
      <c r="M1956" s="7" t="s">
        <v>111</v>
      </c>
      <c r="N1956" s="61">
        <v>45842</v>
      </c>
      <c r="O1956" s="58">
        <v>45845</v>
      </c>
      <c r="P1956" s="59"/>
      <c r="Q1956" s="124" t="e">
        <f>P1956*#REF!</f>
        <v>#REF!</v>
      </c>
    </row>
    <row r="1957" spans="2:17" ht="17.25" hidden="1" customHeight="1">
      <c r="B1957" s="23">
        <v>45832</v>
      </c>
      <c r="C1957" s="7">
        <v>2003667877</v>
      </c>
      <c r="D1957" s="20">
        <v>200209</v>
      </c>
      <c r="E1957" s="27" t="s">
        <v>116</v>
      </c>
      <c r="F1957" s="7" t="s">
        <v>107</v>
      </c>
      <c r="G1957" s="7" t="s">
        <v>10</v>
      </c>
      <c r="H1957" s="7" t="s">
        <v>45</v>
      </c>
      <c r="I1957" s="20" t="s">
        <v>206</v>
      </c>
      <c r="J1957" s="20" t="s">
        <v>2973</v>
      </c>
      <c r="K1957" s="7" t="s">
        <v>119</v>
      </c>
      <c r="L1957" s="61">
        <v>45835</v>
      </c>
      <c r="M1957" s="7" t="s">
        <v>111</v>
      </c>
      <c r="N1957" s="61">
        <v>45835</v>
      </c>
      <c r="O1957" s="61">
        <v>45835</v>
      </c>
      <c r="P1957" s="59"/>
      <c r="Q1957" s="124" t="e">
        <f>P1957*#REF!</f>
        <v>#REF!</v>
      </c>
    </row>
    <row r="1958" spans="2:17" ht="17.25" hidden="1" customHeight="1">
      <c r="B1958" s="23">
        <v>45832</v>
      </c>
      <c r="C1958" s="7">
        <v>2003711825</v>
      </c>
      <c r="D1958" s="20">
        <v>200205</v>
      </c>
      <c r="E1958" s="27" t="s">
        <v>116</v>
      </c>
      <c r="F1958" s="7" t="s">
        <v>107</v>
      </c>
      <c r="G1958" s="7" t="s">
        <v>18</v>
      </c>
      <c r="H1958" s="7" t="s">
        <v>45</v>
      </c>
      <c r="I1958" s="20" t="s">
        <v>2974</v>
      </c>
      <c r="J1958" s="20" t="s">
        <v>2975</v>
      </c>
      <c r="K1958" s="7" t="s">
        <v>119</v>
      </c>
      <c r="L1958" s="61">
        <v>45834</v>
      </c>
      <c r="M1958" s="7" t="s">
        <v>111</v>
      </c>
      <c r="N1958" s="61">
        <v>45834</v>
      </c>
      <c r="O1958" s="58">
        <v>45835</v>
      </c>
      <c r="P1958" s="59"/>
      <c r="Q1958" s="124" t="e">
        <f>P1958*#REF!</f>
        <v>#REF!</v>
      </c>
    </row>
    <row r="1959" spans="2:17" ht="17.25" hidden="1" customHeight="1">
      <c r="B1959" s="23">
        <v>45832</v>
      </c>
      <c r="C1959" s="7">
        <v>2003710683</v>
      </c>
      <c r="D1959" s="20">
        <v>199644</v>
      </c>
      <c r="E1959" s="27" t="s">
        <v>180</v>
      </c>
      <c r="F1959" s="7" t="s">
        <v>107</v>
      </c>
      <c r="G1959" s="7" t="s">
        <v>18</v>
      </c>
      <c r="H1959" s="7" t="s">
        <v>45</v>
      </c>
      <c r="I1959" s="20" t="s">
        <v>702</v>
      </c>
      <c r="J1959" s="20" t="s">
        <v>2852</v>
      </c>
      <c r="K1959" s="7" t="s">
        <v>119</v>
      </c>
      <c r="L1959" s="61">
        <v>45835</v>
      </c>
      <c r="M1959" s="7" t="s">
        <v>111</v>
      </c>
      <c r="N1959" s="61">
        <v>45835</v>
      </c>
      <c r="O1959" s="61">
        <v>45838</v>
      </c>
      <c r="P1959" s="59"/>
      <c r="Q1959" s="124" t="e">
        <f>P1959*#REF!</f>
        <v>#REF!</v>
      </c>
    </row>
    <row r="1960" spans="2:17" ht="17.25" hidden="1" customHeight="1">
      <c r="B1960" s="23">
        <v>45832</v>
      </c>
      <c r="C1960" s="7">
        <v>2003709696</v>
      </c>
      <c r="D1960" s="20">
        <v>199542</v>
      </c>
      <c r="E1960" s="27" t="s">
        <v>135</v>
      </c>
      <c r="F1960" s="7" t="s">
        <v>107</v>
      </c>
      <c r="G1960" s="7" t="s">
        <v>15</v>
      </c>
      <c r="H1960" s="7" t="s">
        <v>45</v>
      </c>
      <c r="I1960" s="20" t="s">
        <v>2976</v>
      </c>
      <c r="J1960" s="20" t="s">
        <v>2977</v>
      </c>
      <c r="K1960" s="7" t="s">
        <v>110</v>
      </c>
      <c r="L1960" s="61">
        <v>45835</v>
      </c>
      <c r="M1960" s="7" t="s">
        <v>111</v>
      </c>
      <c r="N1960" s="61">
        <v>45835</v>
      </c>
      <c r="O1960" s="61">
        <v>45838</v>
      </c>
      <c r="P1960" s="59"/>
      <c r="Q1960" s="124" t="e">
        <f>P1960*#REF!</f>
        <v>#REF!</v>
      </c>
    </row>
    <row r="1961" spans="2:17" ht="17.25" hidden="1" customHeight="1">
      <c r="B1961" s="23">
        <v>45832</v>
      </c>
      <c r="C1961" s="7">
        <v>2003689547</v>
      </c>
      <c r="D1961" s="20">
        <v>6001923</v>
      </c>
      <c r="E1961" s="27" t="s">
        <v>157</v>
      </c>
      <c r="F1961" s="7" t="s">
        <v>107</v>
      </c>
      <c r="G1961" s="7" t="s">
        <v>15</v>
      </c>
      <c r="H1961" s="7" t="s">
        <v>45</v>
      </c>
      <c r="I1961" s="20" t="s">
        <v>2978</v>
      </c>
      <c r="J1961" s="20" t="s">
        <v>2979</v>
      </c>
      <c r="K1961" s="7" t="s">
        <v>111</v>
      </c>
      <c r="L1961" s="61">
        <v>45842</v>
      </c>
      <c r="M1961" s="7" t="s">
        <v>111</v>
      </c>
      <c r="N1961" s="61">
        <v>45842</v>
      </c>
      <c r="O1961" s="61">
        <v>45842</v>
      </c>
      <c r="P1961" s="59"/>
      <c r="Q1961" s="124" t="e">
        <f>P1961*#REF!</f>
        <v>#REF!</v>
      </c>
    </row>
    <row r="1962" spans="2:17" ht="17.25" hidden="1" customHeight="1">
      <c r="B1962" s="23">
        <v>45832</v>
      </c>
      <c r="C1962" s="7">
        <v>2003682810</v>
      </c>
      <c r="D1962" s="20">
        <v>6001929</v>
      </c>
      <c r="E1962" s="27" t="s">
        <v>157</v>
      </c>
      <c r="F1962" s="7" t="s">
        <v>107</v>
      </c>
      <c r="G1962" s="7" t="s">
        <v>15</v>
      </c>
      <c r="H1962" s="7" t="s">
        <v>45</v>
      </c>
      <c r="I1962" s="20" t="s">
        <v>2980</v>
      </c>
      <c r="J1962" s="20" t="s">
        <v>2981</v>
      </c>
      <c r="K1962" s="7" t="s">
        <v>110</v>
      </c>
      <c r="L1962" s="61">
        <v>45834</v>
      </c>
      <c r="M1962" s="7" t="s">
        <v>111</v>
      </c>
      <c r="N1962" s="61">
        <v>45834</v>
      </c>
      <c r="O1962" s="58">
        <v>45835</v>
      </c>
      <c r="P1962" s="59"/>
      <c r="Q1962" s="124" t="e">
        <f>P1962*#REF!</f>
        <v>#REF!</v>
      </c>
    </row>
    <row r="1963" spans="2:17" ht="17.25" hidden="1" customHeight="1">
      <c r="B1963" s="23">
        <v>45833</v>
      </c>
      <c r="C1963" s="7">
        <v>2003719519</v>
      </c>
      <c r="D1963" s="20">
        <v>6002189</v>
      </c>
      <c r="E1963" s="27" t="s">
        <v>486</v>
      </c>
      <c r="F1963" s="7" t="s">
        <v>107</v>
      </c>
      <c r="G1963" s="7" t="s">
        <v>18</v>
      </c>
      <c r="H1963" s="7" t="s">
        <v>45</v>
      </c>
      <c r="I1963" s="20" t="s">
        <v>2982</v>
      </c>
      <c r="J1963" s="20" t="s">
        <v>2983</v>
      </c>
      <c r="K1963" s="7" t="s">
        <v>119</v>
      </c>
      <c r="L1963" s="61">
        <v>45834</v>
      </c>
      <c r="M1963" s="7" t="s">
        <v>111</v>
      </c>
      <c r="N1963" s="61">
        <v>45834</v>
      </c>
      <c r="O1963" s="58">
        <v>45835</v>
      </c>
      <c r="P1963" s="59"/>
      <c r="Q1963" s="124" t="e">
        <f>P1963*#REF!</f>
        <v>#REF!</v>
      </c>
    </row>
    <row r="1964" spans="2:17" ht="17.25" hidden="1" customHeight="1">
      <c r="B1964" s="23">
        <v>45833</v>
      </c>
      <c r="C1964" s="7">
        <v>2003668594</v>
      </c>
      <c r="D1964" s="20">
        <v>6002372</v>
      </c>
      <c r="E1964" s="27" t="s">
        <v>138</v>
      </c>
      <c r="F1964" s="7" t="s">
        <v>107</v>
      </c>
      <c r="G1964" s="7" t="s">
        <v>10</v>
      </c>
      <c r="H1964" s="7" t="s">
        <v>45</v>
      </c>
      <c r="I1964" s="20" t="s">
        <v>2984</v>
      </c>
      <c r="J1964" s="20" t="s">
        <v>2985</v>
      </c>
      <c r="K1964" s="7" t="s">
        <v>110</v>
      </c>
      <c r="L1964" s="61">
        <v>45835</v>
      </c>
      <c r="M1964" s="7" t="s">
        <v>111</v>
      </c>
      <c r="N1964" s="61">
        <v>45835</v>
      </c>
      <c r="O1964" s="61">
        <v>45835</v>
      </c>
      <c r="P1964" s="59"/>
      <c r="Q1964" s="124" t="e">
        <f>P1964*#REF!</f>
        <v>#REF!</v>
      </c>
    </row>
    <row r="1965" spans="2:17" ht="17.25" hidden="1" customHeight="1">
      <c r="B1965" s="23">
        <v>45833</v>
      </c>
      <c r="C1965" s="7">
        <v>2003722876</v>
      </c>
      <c r="D1965" s="20">
        <v>6002394</v>
      </c>
      <c r="E1965" s="27" t="s">
        <v>116</v>
      </c>
      <c r="F1965" s="7" t="s">
        <v>107</v>
      </c>
      <c r="G1965" s="7" t="s">
        <v>10</v>
      </c>
      <c r="H1965" s="7" t="s">
        <v>45</v>
      </c>
      <c r="I1965" s="20" t="s">
        <v>2986</v>
      </c>
      <c r="J1965" s="20" t="s">
        <v>2987</v>
      </c>
      <c r="K1965" s="7" t="s">
        <v>110</v>
      </c>
      <c r="L1965" s="61">
        <v>45838</v>
      </c>
      <c r="M1965" s="7" t="s">
        <v>111</v>
      </c>
      <c r="N1965" s="61">
        <v>45838</v>
      </c>
      <c r="O1965" s="61">
        <v>45841</v>
      </c>
      <c r="P1965" s="59"/>
      <c r="Q1965" s="124" t="e">
        <f>P1965*#REF!</f>
        <v>#REF!</v>
      </c>
    </row>
    <row r="1966" spans="2:17" ht="17.25" hidden="1" customHeight="1">
      <c r="B1966" s="23">
        <v>45833</v>
      </c>
      <c r="C1966" s="7">
        <v>2003683413</v>
      </c>
      <c r="D1966" s="20">
        <v>6002396</v>
      </c>
      <c r="E1966" s="27" t="s">
        <v>126</v>
      </c>
      <c r="F1966" s="7" t="s">
        <v>107</v>
      </c>
      <c r="G1966" s="7" t="s">
        <v>21</v>
      </c>
      <c r="H1966" s="7" t="s">
        <v>45</v>
      </c>
      <c r="I1966" s="20" t="s">
        <v>2988</v>
      </c>
      <c r="J1966" s="20" t="s">
        <v>2507</v>
      </c>
      <c r="K1966" s="7" t="s">
        <v>111</v>
      </c>
      <c r="L1966" s="61">
        <v>45834</v>
      </c>
      <c r="M1966" s="7" t="s">
        <v>111</v>
      </c>
      <c r="N1966" s="61">
        <v>45834</v>
      </c>
      <c r="O1966" s="61">
        <v>45835</v>
      </c>
      <c r="P1966" s="59"/>
      <c r="Q1966" s="124" t="e">
        <f>P1966*#REF!</f>
        <v>#REF!</v>
      </c>
    </row>
    <row r="1967" spans="2:17" ht="17.25" hidden="1" customHeight="1">
      <c r="B1967" s="23">
        <v>45833</v>
      </c>
      <c r="C1967" s="7">
        <v>2003721294</v>
      </c>
      <c r="D1967" s="20">
        <v>6002599</v>
      </c>
      <c r="E1967" s="27" t="s">
        <v>123</v>
      </c>
      <c r="F1967" s="7" t="s">
        <v>107</v>
      </c>
      <c r="G1967" s="7" t="s">
        <v>10</v>
      </c>
      <c r="H1967" s="7" t="s">
        <v>45</v>
      </c>
      <c r="I1967" s="20" t="s">
        <v>878</v>
      </c>
      <c r="J1967" s="20" t="s">
        <v>2676</v>
      </c>
      <c r="K1967" s="7" t="s">
        <v>119</v>
      </c>
      <c r="L1967" s="61">
        <v>45835</v>
      </c>
      <c r="M1967" s="7" t="s">
        <v>111</v>
      </c>
      <c r="N1967" s="61">
        <v>45835</v>
      </c>
      <c r="O1967" s="61">
        <v>45838</v>
      </c>
      <c r="P1967" s="59"/>
      <c r="Q1967" s="124" t="e">
        <f>P1967*#REF!</f>
        <v>#REF!</v>
      </c>
    </row>
    <row r="1968" spans="2:17" ht="17.25" hidden="1" customHeight="1">
      <c r="B1968" s="23">
        <v>45833</v>
      </c>
      <c r="C1968" s="7">
        <v>2003714416</v>
      </c>
      <c r="D1968" s="20">
        <v>201761</v>
      </c>
      <c r="E1968" s="27" t="s">
        <v>143</v>
      </c>
      <c r="F1968" s="7" t="s">
        <v>107</v>
      </c>
      <c r="G1968" s="7" t="s">
        <v>18</v>
      </c>
      <c r="H1968" s="7" t="s">
        <v>45</v>
      </c>
      <c r="I1968" s="20" t="s">
        <v>2989</v>
      </c>
      <c r="J1968" s="20" t="s">
        <v>2990</v>
      </c>
      <c r="K1968" s="7" t="s">
        <v>110</v>
      </c>
      <c r="L1968" s="61">
        <v>45835</v>
      </c>
      <c r="M1968" s="7" t="s">
        <v>111</v>
      </c>
      <c r="N1968" s="61">
        <v>45835</v>
      </c>
      <c r="O1968" s="61">
        <v>45838</v>
      </c>
      <c r="P1968" s="59"/>
      <c r="Q1968" s="124" t="e">
        <f>P1968*#REF!</f>
        <v>#REF!</v>
      </c>
    </row>
    <row r="1969" spans="2:18" ht="17.25" hidden="1" customHeight="1">
      <c r="B1969" s="23">
        <v>45833</v>
      </c>
      <c r="C1969" s="7">
        <v>2003675728</v>
      </c>
      <c r="D1969" s="20">
        <v>201640</v>
      </c>
      <c r="E1969" s="27" t="s">
        <v>198</v>
      </c>
      <c r="F1969" s="7" t="s">
        <v>107</v>
      </c>
      <c r="G1969" s="7" t="s">
        <v>21</v>
      </c>
      <c r="H1969" s="7" t="s">
        <v>45</v>
      </c>
      <c r="I1969" s="20" t="s">
        <v>453</v>
      </c>
      <c r="J1969" s="20" t="s">
        <v>1961</v>
      </c>
      <c r="K1969" s="7" t="s">
        <v>119</v>
      </c>
      <c r="L1969" s="61">
        <v>45835</v>
      </c>
      <c r="M1969" s="7" t="s">
        <v>111</v>
      </c>
      <c r="N1969" s="61">
        <v>45835</v>
      </c>
      <c r="O1969" s="61">
        <v>45838</v>
      </c>
      <c r="P1969" s="59"/>
      <c r="Q1969" s="124" t="e">
        <f>P1969*#REF!</f>
        <v>#REF!</v>
      </c>
    </row>
    <row r="1970" spans="2:18" ht="17.25" hidden="1" customHeight="1">
      <c r="B1970" s="23">
        <v>45833</v>
      </c>
      <c r="C1970" s="7">
        <v>2003665590</v>
      </c>
      <c r="D1970" s="20">
        <v>201382</v>
      </c>
      <c r="E1970" s="27" t="s">
        <v>116</v>
      </c>
      <c r="F1970" s="7" t="s">
        <v>107</v>
      </c>
      <c r="G1970" s="7" t="s">
        <v>10</v>
      </c>
      <c r="H1970" s="7" t="s">
        <v>45</v>
      </c>
      <c r="I1970" s="20" t="s">
        <v>2991</v>
      </c>
      <c r="J1970" s="20" t="s">
        <v>2992</v>
      </c>
      <c r="K1970" s="7" t="s">
        <v>110</v>
      </c>
      <c r="L1970" s="61">
        <v>45840</v>
      </c>
      <c r="M1970" s="7" t="s">
        <v>111</v>
      </c>
      <c r="N1970" s="61">
        <v>45840</v>
      </c>
      <c r="O1970" s="61">
        <v>45840</v>
      </c>
      <c r="P1970" s="59"/>
      <c r="Q1970" s="124" t="e">
        <f>P1970*#REF!</f>
        <v>#REF!</v>
      </c>
    </row>
    <row r="1971" spans="2:18" ht="17.25" hidden="1" customHeight="1">
      <c r="B1971" s="23">
        <v>45833</v>
      </c>
      <c r="C1971" s="7">
        <v>2003700847</v>
      </c>
      <c r="D1971" s="20">
        <v>201282</v>
      </c>
      <c r="E1971" s="27" t="s">
        <v>180</v>
      </c>
      <c r="F1971" s="7" t="s">
        <v>107</v>
      </c>
      <c r="G1971" s="7" t="s">
        <v>21</v>
      </c>
      <c r="H1971" s="7" t="s">
        <v>45</v>
      </c>
      <c r="I1971" s="20" t="s">
        <v>385</v>
      </c>
      <c r="J1971" s="20" t="s">
        <v>1442</v>
      </c>
      <c r="K1971" s="7" t="s">
        <v>111</v>
      </c>
      <c r="L1971" s="61">
        <v>45834</v>
      </c>
      <c r="M1971" s="7" t="s">
        <v>111</v>
      </c>
      <c r="N1971" s="61">
        <v>45834</v>
      </c>
      <c r="O1971" s="61">
        <v>45835</v>
      </c>
      <c r="P1971" s="59"/>
      <c r="Q1971" s="124" t="e">
        <f>P1971*#REF!</f>
        <v>#REF!</v>
      </c>
    </row>
    <row r="1972" spans="2:18" ht="17.25" hidden="1" customHeight="1">
      <c r="B1972" s="23">
        <v>45833</v>
      </c>
      <c r="C1972" s="7">
        <v>2003720184</v>
      </c>
      <c r="D1972" s="20">
        <v>201245</v>
      </c>
      <c r="E1972" s="27" t="s">
        <v>566</v>
      </c>
      <c r="F1972" s="7" t="s">
        <v>107</v>
      </c>
      <c r="G1972" s="7" t="s">
        <v>18</v>
      </c>
      <c r="H1972" s="7" t="s">
        <v>45</v>
      </c>
      <c r="I1972" s="20" t="s">
        <v>2993</v>
      </c>
      <c r="J1972" s="20" t="s">
        <v>2994</v>
      </c>
      <c r="K1972" s="7" t="s">
        <v>119</v>
      </c>
      <c r="L1972" s="61">
        <v>45841</v>
      </c>
      <c r="M1972" s="7" t="s">
        <v>111</v>
      </c>
      <c r="N1972" s="61">
        <v>45842</v>
      </c>
      <c r="O1972" s="61">
        <v>45842</v>
      </c>
      <c r="P1972" s="59"/>
      <c r="Q1972" s="124" t="e">
        <f>P1972*#REF!</f>
        <v>#REF!</v>
      </c>
    </row>
    <row r="1973" spans="2:18" ht="17.25" hidden="1" customHeight="1">
      <c r="B1973" s="23">
        <v>45833</v>
      </c>
      <c r="C1973" s="7">
        <v>2003703007</v>
      </c>
      <c r="D1973" s="20">
        <v>201089</v>
      </c>
      <c r="E1973" s="27" t="s">
        <v>198</v>
      </c>
      <c r="F1973" s="7" t="s">
        <v>107</v>
      </c>
      <c r="G1973" s="7" t="s">
        <v>10</v>
      </c>
      <c r="H1973" s="7" t="s">
        <v>45</v>
      </c>
      <c r="I1973" s="20" t="s">
        <v>2995</v>
      </c>
      <c r="J1973" s="20" t="s">
        <v>2996</v>
      </c>
      <c r="K1973" s="7" t="s">
        <v>110</v>
      </c>
      <c r="L1973" s="61">
        <v>45839</v>
      </c>
      <c r="M1973" s="7" t="s">
        <v>111</v>
      </c>
      <c r="N1973" s="61">
        <v>45839</v>
      </c>
      <c r="O1973" s="58">
        <v>45840</v>
      </c>
      <c r="P1973" s="59"/>
      <c r="Q1973" s="124" t="e">
        <f>P1973*#REF!</f>
        <v>#REF!</v>
      </c>
    </row>
    <row r="1974" spans="2:18" ht="17.25" hidden="1" customHeight="1">
      <c r="B1974" s="23">
        <v>45833</v>
      </c>
      <c r="C1974" s="7">
        <v>2003667356</v>
      </c>
      <c r="D1974" s="20">
        <v>200887</v>
      </c>
      <c r="E1974" s="27" t="s">
        <v>180</v>
      </c>
      <c r="F1974" s="7" t="s">
        <v>113</v>
      </c>
      <c r="G1974" s="7" t="s">
        <v>10</v>
      </c>
      <c r="H1974" s="7" t="s">
        <v>47</v>
      </c>
      <c r="I1974" s="20" t="s">
        <v>2997</v>
      </c>
      <c r="J1974" s="20" t="s">
        <v>2998</v>
      </c>
      <c r="K1974" s="7" t="s">
        <v>160</v>
      </c>
      <c r="M1974" s="7" t="s">
        <v>111</v>
      </c>
      <c r="P1974" s="59"/>
      <c r="Q1974" s="124" t="e">
        <f>P1974*#REF!</f>
        <v>#REF!</v>
      </c>
    </row>
    <row r="1975" spans="2:18" ht="17.25" hidden="1" customHeight="1">
      <c r="B1975" s="23">
        <v>45833</v>
      </c>
      <c r="C1975" s="7">
        <v>2003687957</v>
      </c>
      <c r="D1975" s="20">
        <v>200743</v>
      </c>
      <c r="E1975" s="27" t="s">
        <v>123</v>
      </c>
      <c r="F1975" s="7" t="s">
        <v>107</v>
      </c>
      <c r="G1975" s="7" t="s">
        <v>21</v>
      </c>
      <c r="H1975" s="7" t="s">
        <v>45</v>
      </c>
      <c r="I1975" s="20" t="s">
        <v>239</v>
      </c>
      <c r="J1975" s="20" t="s">
        <v>1971</v>
      </c>
      <c r="K1975" s="7" t="s">
        <v>111</v>
      </c>
      <c r="L1975" s="61">
        <v>45833</v>
      </c>
      <c r="M1975" s="7" t="s">
        <v>111</v>
      </c>
      <c r="N1975" s="24">
        <v>45834</v>
      </c>
      <c r="P1975" s="59"/>
      <c r="Q1975" s="124" t="e">
        <f>P1975*#REF!</f>
        <v>#REF!</v>
      </c>
    </row>
    <row r="1976" spans="2:18" ht="17.25" hidden="1" customHeight="1">
      <c r="B1976" s="23">
        <v>45833</v>
      </c>
      <c r="C1976" s="7">
        <v>2003711163</v>
      </c>
      <c r="D1976" s="20">
        <v>200712</v>
      </c>
      <c r="E1976" s="27" t="s">
        <v>116</v>
      </c>
      <c r="F1976" s="7" t="s">
        <v>107</v>
      </c>
      <c r="G1976" s="7" t="s">
        <v>10</v>
      </c>
      <c r="H1976" s="7" t="s">
        <v>45</v>
      </c>
      <c r="I1976" s="20" t="s">
        <v>2999</v>
      </c>
      <c r="J1976" s="20" t="s">
        <v>3000</v>
      </c>
      <c r="K1976" s="7" t="s">
        <v>119</v>
      </c>
      <c r="L1976" s="61">
        <v>45841</v>
      </c>
      <c r="M1976" s="7" t="s">
        <v>111</v>
      </c>
      <c r="N1976" s="24">
        <v>45853</v>
      </c>
      <c r="O1976" s="24">
        <v>45853</v>
      </c>
      <c r="P1976" s="59"/>
      <c r="Q1976" s="124" t="e">
        <f>P1976*#REF!</f>
        <v>#REF!</v>
      </c>
      <c r="R1976" s="126">
        <v>45853</v>
      </c>
    </row>
    <row r="1977" spans="2:18" ht="17.25" hidden="1" customHeight="1">
      <c r="B1977" s="23">
        <v>45833</v>
      </c>
      <c r="C1977" s="7">
        <v>2003708974</v>
      </c>
      <c r="D1977" s="20">
        <v>200702</v>
      </c>
      <c r="E1977" s="27" t="s">
        <v>116</v>
      </c>
      <c r="F1977" s="7" t="s">
        <v>107</v>
      </c>
      <c r="G1977" s="7" t="s">
        <v>10</v>
      </c>
      <c r="H1977" s="7" t="s">
        <v>45</v>
      </c>
      <c r="I1977" s="20" t="s">
        <v>3001</v>
      </c>
      <c r="J1977" s="20" t="s">
        <v>3002</v>
      </c>
      <c r="K1977" s="7" t="s">
        <v>119</v>
      </c>
      <c r="L1977" s="61">
        <v>45835</v>
      </c>
      <c r="M1977" s="7" t="s">
        <v>111</v>
      </c>
      <c r="N1977" s="24">
        <v>45839</v>
      </c>
      <c r="O1977" s="24">
        <v>45839</v>
      </c>
      <c r="P1977" s="59"/>
      <c r="Q1977" s="124" t="e">
        <f>P1977*#REF!</f>
        <v>#REF!</v>
      </c>
    </row>
    <row r="1978" spans="2:18" ht="17.25" hidden="1" customHeight="1">
      <c r="B1978" s="23">
        <v>45834</v>
      </c>
      <c r="C1978" s="7">
        <v>2003721162</v>
      </c>
      <c r="D1978" s="20">
        <v>6002913</v>
      </c>
      <c r="E1978" s="27" t="s">
        <v>2959</v>
      </c>
      <c r="F1978" s="7" t="s">
        <v>107</v>
      </c>
      <c r="G1978" s="7" t="s">
        <v>10</v>
      </c>
      <c r="H1978" s="7" t="s">
        <v>45</v>
      </c>
      <c r="I1978" s="20" t="s">
        <v>3003</v>
      </c>
      <c r="J1978" s="20" t="s">
        <v>3004</v>
      </c>
      <c r="K1978" s="7" t="s">
        <v>110</v>
      </c>
      <c r="L1978" s="61">
        <v>45838</v>
      </c>
      <c r="M1978" s="7" t="s">
        <v>111</v>
      </c>
      <c r="N1978" s="61">
        <v>45838</v>
      </c>
      <c r="O1978" s="61">
        <v>45839</v>
      </c>
      <c r="P1978" s="59"/>
      <c r="Q1978" s="124" t="e">
        <f>P1978*#REF!</f>
        <v>#REF!</v>
      </c>
    </row>
    <row r="1979" spans="2:18" ht="17.25" hidden="1" customHeight="1">
      <c r="B1979" s="23">
        <v>45834</v>
      </c>
      <c r="C1979" s="7">
        <v>2003710052</v>
      </c>
      <c r="D1979" s="20">
        <v>6003321</v>
      </c>
      <c r="E1979" s="27" t="s">
        <v>1225</v>
      </c>
      <c r="F1979" s="7" t="s">
        <v>107</v>
      </c>
      <c r="G1979" s="7" t="s">
        <v>18</v>
      </c>
      <c r="H1979" s="7" t="s">
        <v>45</v>
      </c>
      <c r="I1979" s="20" t="s">
        <v>3005</v>
      </c>
      <c r="J1979" s="20" t="s">
        <v>3006</v>
      </c>
      <c r="K1979" s="7" t="s">
        <v>110</v>
      </c>
      <c r="L1979" s="61">
        <v>45839</v>
      </c>
      <c r="M1979" s="7" t="s">
        <v>111</v>
      </c>
      <c r="N1979" s="61">
        <v>45839</v>
      </c>
      <c r="O1979" s="61">
        <v>45841</v>
      </c>
      <c r="P1979" s="59"/>
      <c r="Q1979" s="124" t="e">
        <f>P1979*#REF!</f>
        <v>#REF!</v>
      </c>
    </row>
    <row r="1980" spans="2:18" ht="17.25" hidden="1" customHeight="1">
      <c r="B1980" s="23">
        <v>45834</v>
      </c>
      <c r="C1980" s="7">
        <v>2003668963</v>
      </c>
      <c r="D1980" s="20">
        <v>6003587</v>
      </c>
      <c r="E1980" s="27" t="s">
        <v>116</v>
      </c>
      <c r="F1980" s="7" t="s">
        <v>107</v>
      </c>
      <c r="G1980" s="7" t="s">
        <v>10</v>
      </c>
      <c r="H1980" s="7" t="s">
        <v>45</v>
      </c>
      <c r="I1980" s="20" t="s">
        <v>3007</v>
      </c>
      <c r="J1980" s="20" t="s">
        <v>2299</v>
      </c>
      <c r="K1980" s="7" t="s">
        <v>110</v>
      </c>
      <c r="L1980" s="61">
        <v>45835</v>
      </c>
      <c r="M1980" s="7" t="s">
        <v>111</v>
      </c>
      <c r="N1980" s="61">
        <v>45838</v>
      </c>
      <c r="O1980" s="61">
        <v>45838</v>
      </c>
      <c r="P1980" s="59"/>
      <c r="Q1980" s="124" t="e">
        <f>P1980*#REF!</f>
        <v>#REF!</v>
      </c>
    </row>
    <row r="1981" spans="2:18" ht="17.25" hidden="1" customHeight="1">
      <c r="B1981" s="23">
        <v>45834</v>
      </c>
      <c r="C1981" s="7">
        <v>2003722600</v>
      </c>
      <c r="D1981" s="20">
        <v>6003602</v>
      </c>
      <c r="E1981" s="27" t="s">
        <v>126</v>
      </c>
      <c r="F1981" s="7" t="s">
        <v>107</v>
      </c>
      <c r="G1981" s="7" t="s">
        <v>10</v>
      </c>
      <c r="H1981" s="7" t="s">
        <v>45</v>
      </c>
      <c r="I1981" s="20" t="s">
        <v>520</v>
      </c>
      <c r="J1981" s="20" t="s">
        <v>3008</v>
      </c>
      <c r="K1981" s="7" t="s">
        <v>110</v>
      </c>
      <c r="L1981" s="61">
        <v>45838</v>
      </c>
      <c r="M1981" s="7" t="s">
        <v>111</v>
      </c>
      <c r="N1981" s="61">
        <v>45838</v>
      </c>
      <c r="O1981" s="61">
        <v>45839</v>
      </c>
      <c r="P1981" s="59"/>
      <c r="Q1981" s="124" t="e">
        <f>P1981*#REF!</f>
        <v>#REF!</v>
      </c>
    </row>
    <row r="1982" spans="2:18" ht="17.25" hidden="1" customHeight="1">
      <c r="B1982" s="23">
        <v>45834</v>
      </c>
      <c r="C1982" s="7">
        <v>2003707384</v>
      </c>
      <c r="D1982" s="20">
        <v>6003627</v>
      </c>
      <c r="E1982" s="27" t="s">
        <v>126</v>
      </c>
      <c r="F1982" s="7" t="s">
        <v>107</v>
      </c>
      <c r="G1982" s="7" t="s">
        <v>15</v>
      </c>
      <c r="H1982" s="7" t="s">
        <v>45</v>
      </c>
      <c r="I1982" s="20" t="s">
        <v>3009</v>
      </c>
      <c r="J1982" s="20" t="s">
        <v>3010</v>
      </c>
      <c r="K1982" s="7" t="s">
        <v>110</v>
      </c>
      <c r="L1982" s="61">
        <v>45838</v>
      </c>
      <c r="M1982" s="7" t="s">
        <v>111</v>
      </c>
      <c r="N1982" s="61">
        <v>45838</v>
      </c>
      <c r="O1982" s="61">
        <v>45839</v>
      </c>
      <c r="P1982" s="59"/>
      <c r="Q1982" s="124" t="e">
        <f>P1982*#REF!</f>
        <v>#REF!</v>
      </c>
    </row>
    <row r="1983" spans="2:18" ht="17.25" hidden="1" customHeight="1">
      <c r="B1983" s="23">
        <v>45834</v>
      </c>
      <c r="C1983" s="7">
        <v>2003713629</v>
      </c>
      <c r="D1983" s="20">
        <v>6003669</v>
      </c>
      <c r="E1983" s="27" t="s">
        <v>949</v>
      </c>
      <c r="F1983" s="7" t="s">
        <v>107</v>
      </c>
      <c r="G1983" s="7" t="s">
        <v>10</v>
      </c>
      <c r="H1983" s="7" t="s">
        <v>45</v>
      </c>
      <c r="I1983" s="20" t="s">
        <v>3011</v>
      </c>
      <c r="J1983" s="20" t="s">
        <v>3012</v>
      </c>
      <c r="K1983" s="7" t="s">
        <v>110</v>
      </c>
      <c r="L1983" s="61">
        <v>45839</v>
      </c>
      <c r="M1983" s="7" t="s">
        <v>111</v>
      </c>
      <c r="N1983" s="61">
        <v>45839</v>
      </c>
      <c r="O1983" s="58">
        <v>45840</v>
      </c>
      <c r="P1983" s="59"/>
      <c r="Q1983" s="124" t="e">
        <f>P1983*#REF!</f>
        <v>#REF!</v>
      </c>
    </row>
    <row r="1984" spans="2:18" ht="17.25" hidden="1" customHeight="1">
      <c r="B1984" s="23">
        <v>45834</v>
      </c>
      <c r="C1984" s="7">
        <v>2003720235</v>
      </c>
      <c r="D1984" s="20">
        <v>6003729</v>
      </c>
      <c r="E1984" s="27" t="s">
        <v>408</v>
      </c>
      <c r="F1984" s="7" t="s">
        <v>107</v>
      </c>
      <c r="G1984" s="7" t="s">
        <v>10</v>
      </c>
      <c r="H1984" s="7" t="s">
        <v>45</v>
      </c>
      <c r="I1984" s="20" t="s">
        <v>1275</v>
      </c>
      <c r="J1984" s="20" t="s">
        <v>3013</v>
      </c>
      <c r="K1984" s="7" t="s">
        <v>110</v>
      </c>
      <c r="L1984" s="61">
        <v>45838</v>
      </c>
      <c r="M1984" s="7" t="s">
        <v>111</v>
      </c>
      <c r="N1984" s="24">
        <v>45838</v>
      </c>
      <c r="O1984" s="61">
        <v>45839</v>
      </c>
      <c r="P1984" s="59"/>
      <c r="Q1984" s="124" t="e">
        <f>P1984*#REF!</f>
        <v>#REF!</v>
      </c>
    </row>
    <row r="1985" spans="2:18" ht="17.25" hidden="1" customHeight="1">
      <c r="B1985" s="23">
        <v>45834</v>
      </c>
      <c r="C1985" s="7">
        <v>2003722419</v>
      </c>
      <c r="D1985" s="20">
        <v>203091</v>
      </c>
      <c r="E1985" s="27" t="s">
        <v>1225</v>
      </c>
      <c r="F1985" s="7" t="s">
        <v>107</v>
      </c>
      <c r="G1985" s="7" t="s">
        <v>10</v>
      </c>
      <c r="H1985" s="7" t="s">
        <v>45</v>
      </c>
      <c r="I1985" s="20" t="s">
        <v>3014</v>
      </c>
      <c r="J1985" s="20" t="s">
        <v>3015</v>
      </c>
      <c r="K1985" s="7" t="s">
        <v>110</v>
      </c>
      <c r="L1985" s="61">
        <v>45839</v>
      </c>
      <c r="M1985" s="7" t="s">
        <v>111</v>
      </c>
      <c r="N1985" s="61">
        <v>45840</v>
      </c>
      <c r="O1985" s="61">
        <v>45840</v>
      </c>
      <c r="P1985" s="59"/>
      <c r="Q1985" s="124" t="e">
        <f>P1985*#REF!</f>
        <v>#REF!</v>
      </c>
    </row>
    <row r="1986" spans="2:18" ht="17.25" hidden="1" customHeight="1">
      <c r="B1986" s="23">
        <v>45834</v>
      </c>
      <c r="C1986" s="7">
        <v>2003666739</v>
      </c>
      <c r="D1986" s="20">
        <v>202880</v>
      </c>
      <c r="E1986" s="27" t="s">
        <v>138</v>
      </c>
      <c r="F1986" s="7" t="s">
        <v>107</v>
      </c>
      <c r="G1986" s="7" t="s">
        <v>10</v>
      </c>
      <c r="H1986" s="7" t="s">
        <v>45</v>
      </c>
      <c r="I1986" s="20" t="s">
        <v>3016</v>
      </c>
      <c r="J1986" s="20" t="s">
        <v>2788</v>
      </c>
      <c r="K1986" s="7" t="s">
        <v>110</v>
      </c>
      <c r="L1986" s="61">
        <v>45842</v>
      </c>
      <c r="M1986" s="7" t="s">
        <v>111</v>
      </c>
      <c r="N1986" s="61">
        <v>45842</v>
      </c>
      <c r="O1986" s="61">
        <v>45842</v>
      </c>
      <c r="P1986" s="59"/>
      <c r="Q1986" s="124" t="e">
        <f>P1986*#REF!</f>
        <v>#REF!</v>
      </c>
    </row>
    <row r="1987" spans="2:18" ht="17.25" hidden="1" customHeight="1">
      <c r="B1987" s="23">
        <v>45834</v>
      </c>
      <c r="C1987" s="7">
        <v>2003716841</v>
      </c>
      <c r="D1987" s="20">
        <v>202655</v>
      </c>
      <c r="E1987" s="27" t="s">
        <v>112</v>
      </c>
      <c r="F1987" s="7" t="s">
        <v>107</v>
      </c>
      <c r="G1987" s="7" t="s">
        <v>15</v>
      </c>
      <c r="H1987" s="7" t="s">
        <v>45</v>
      </c>
      <c r="I1987" s="20" t="s">
        <v>3017</v>
      </c>
      <c r="J1987" s="20" t="s">
        <v>3018</v>
      </c>
      <c r="K1987" s="7" t="s">
        <v>119</v>
      </c>
      <c r="L1987" s="61">
        <v>45835</v>
      </c>
      <c r="M1987" s="7" t="s">
        <v>111</v>
      </c>
      <c r="N1987" s="61">
        <v>45835</v>
      </c>
      <c r="O1987" s="61">
        <v>45841</v>
      </c>
      <c r="P1987" s="59"/>
      <c r="Q1987" s="124" t="e">
        <f>P1987*#REF!</f>
        <v>#REF!</v>
      </c>
    </row>
    <row r="1988" spans="2:18" ht="17.25" hidden="1" customHeight="1">
      <c r="B1988" s="23">
        <v>45835</v>
      </c>
      <c r="C1988" s="7">
        <v>2003696896</v>
      </c>
      <c r="D1988" s="20">
        <v>6003959</v>
      </c>
      <c r="E1988" s="27" t="s">
        <v>143</v>
      </c>
      <c r="F1988" s="7" t="s">
        <v>113</v>
      </c>
      <c r="G1988" s="7" t="s">
        <v>10</v>
      </c>
      <c r="H1988" s="7" t="s">
        <v>47</v>
      </c>
      <c r="I1988" s="20" t="s">
        <v>2656</v>
      </c>
      <c r="J1988" s="20" t="s">
        <v>2657</v>
      </c>
      <c r="K1988" s="7" t="s">
        <v>160</v>
      </c>
      <c r="P1988" s="59"/>
      <c r="Q1988" s="124" t="e">
        <f>P1988*#REF!</f>
        <v>#REF!</v>
      </c>
    </row>
    <row r="1989" spans="2:18" ht="17.25" hidden="1" customHeight="1">
      <c r="B1989" s="23">
        <v>45835</v>
      </c>
      <c r="C1989" s="7">
        <v>2003672911</v>
      </c>
      <c r="D1989" s="20">
        <v>6004043</v>
      </c>
      <c r="E1989" s="27" t="s">
        <v>198</v>
      </c>
      <c r="F1989" s="7" t="s">
        <v>107</v>
      </c>
      <c r="G1989" s="7" t="s">
        <v>10</v>
      </c>
      <c r="H1989" s="7" t="s">
        <v>45</v>
      </c>
      <c r="I1989" s="20" t="s">
        <v>959</v>
      </c>
      <c r="J1989" s="20" t="s">
        <v>3019</v>
      </c>
      <c r="K1989" s="7" t="s">
        <v>119</v>
      </c>
      <c r="L1989" s="61">
        <v>45842</v>
      </c>
      <c r="M1989" s="7" t="s">
        <v>111</v>
      </c>
      <c r="N1989" s="61">
        <v>45842</v>
      </c>
      <c r="O1989" s="61">
        <v>45842</v>
      </c>
      <c r="P1989" s="59"/>
      <c r="Q1989" s="124" t="e">
        <f>P1989*#REF!</f>
        <v>#REF!</v>
      </c>
    </row>
    <row r="1990" spans="2:18" ht="17.25" hidden="1" customHeight="1">
      <c r="B1990" s="23">
        <v>45835</v>
      </c>
      <c r="C1990" s="7">
        <v>2003713996</v>
      </c>
      <c r="D1990" s="20">
        <v>6004067</v>
      </c>
      <c r="E1990" s="27" t="s">
        <v>198</v>
      </c>
      <c r="F1990" s="7" t="s">
        <v>107</v>
      </c>
      <c r="G1990" s="7" t="s">
        <v>18</v>
      </c>
      <c r="H1990" s="7" t="s">
        <v>45</v>
      </c>
      <c r="I1990" s="20" t="s">
        <v>3020</v>
      </c>
      <c r="J1990" s="20" t="s">
        <v>3021</v>
      </c>
      <c r="K1990" s="7" t="s">
        <v>110</v>
      </c>
      <c r="L1990" s="61">
        <v>45838</v>
      </c>
      <c r="M1990" s="7" t="s">
        <v>111</v>
      </c>
      <c r="N1990" s="61">
        <v>45838</v>
      </c>
      <c r="O1990" s="58">
        <v>45840</v>
      </c>
      <c r="P1990" s="59"/>
      <c r="Q1990" s="124" t="e">
        <f>P1990*#REF!</f>
        <v>#REF!</v>
      </c>
    </row>
    <row r="1991" spans="2:18" ht="17.25" hidden="1" customHeight="1">
      <c r="B1991" s="23">
        <v>45835</v>
      </c>
      <c r="C1991" s="7">
        <v>2003724970</v>
      </c>
      <c r="D1991" s="20">
        <v>6004135</v>
      </c>
      <c r="E1991" s="27" t="s">
        <v>1225</v>
      </c>
      <c r="F1991" s="7" t="s">
        <v>107</v>
      </c>
      <c r="G1991" s="7" t="s">
        <v>18</v>
      </c>
      <c r="H1991" s="7" t="s">
        <v>45</v>
      </c>
      <c r="I1991" s="20" t="s">
        <v>3022</v>
      </c>
      <c r="J1991" s="20" t="s">
        <v>3023</v>
      </c>
      <c r="K1991" s="7" t="s">
        <v>110</v>
      </c>
      <c r="L1991" s="61">
        <v>45839</v>
      </c>
      <c r="M1991" s="7" t="s">
        <v>111</v>
      </c>
      <c r="N1991" s="61">
        <v>45839</v>
      </c>
      <c r="O1991" s="61">
        <v>45841</v>
      </c>
      <c r="P1991" s="59"/>
      <c r="Q1991" s="124" t="e">
        <f>P1991*#REF!</f>
        <v>#REF!</v>
      </c>
    </row>
    <row r="1992" spans="2:18" ht="17.25" hidden="1" customHeight="1">
      <c r="B1992" s="23">
        <v>45835</v>
      </c>
      <c r="C1992" s="7">
        <v>2003668142</v>
      </c>
      <c r="D1992" s="20">
        <v>6004146</v>
      </c>
      <c r="E1992" s="27" t="s">
        <v>149</v>
      </c>
      <c r="F1992" s="7" t="s">
        <v>107</v>
      </c>
      <c r="G1992" s="7" t="s">
        <v>21</v>
      </c>
      <c r="H1992" s="7" t="s">
        <v>45</v>
      </c>
      <c r="I1992" s="20" t="s">
        <v>1455</v>
      </c>
      <c r="J1992" s="20" t="s">
        <v>1456</v>
      </c>
      <c r="K1992" s="7" t="s">
        <v>111</v>
      </c>
      <c r="L1992" s="61">
        <v>45835</v>
      </c>
      <c r="M1992" s="7" t="s">
        <v>111</v>
      </c>
      <c r="P1992" s="59"/>
      <c r="Q1992" s="124" t="e">
        <f>P1992*#REF!</f>
        <v>#REF!</v>
      </c>
    </row>
    <row r="1993" spans="2:18" ht="17.25" hidden="1" customHeight="1">
      <c r="B1993" s="23">
        <v>45835</v>
      </c>
      <c r="C1993" s="7">
        <v>2003680217</v>
      </c>
      <c r="D1993" s="20">
        <v>6004172</v>
      </c>
      <c r="E1993" s="27" t="s">
        <v>198</v>
      </c>
      <c r="F1993" s="7" t="s">
        <v>107</v>
      </c>
      <c r="G1993" s="7" t="s">
        <v>10</v>
      </c>
      <c r="H1993" s="7" t="s">
        <v>45</v>
      </c>
      <c r="I1993" s="20" t="s">
        <v>2253</v>
      </c>
      <c r="J1993" s="20" t="s">
        <v>3024</v>
      </c>
      <c r="K1993" s="7" t="s">
        <v>110</v>
      </c>
      <c r="L1993" s="61">
        <v>45839</v>
      </c>
      <c r="M1993" s="7" t="s">
        <v>111</v>
      </c>
      <c r="N1993" s="61">
        <v>45839</v>
      </c>
      <c r="O1993" s="61">
        <v>45839</v>
      </c>
      <c r="P1993" s="59"/>
      <c r="Q1993" s="124" t="e">
        <f>P1993*#REF!</f>
        <v>#REF!</v>
      </c>
    </row>
    <row r="1994" spans="2:18" ht="17.25" hidden="1" customHeight="1">
      <c r="B1994" s="23">
        <v>45835</v>
      </c>
      <c r="C1994" s="7">
        <v>2003683413</v>
      </c>
      <c r="D1994" s="20">
        <v>6004246</v>
      </c>
      <c r="E1994" s="27" t="s">
        <v>126</v>
      </c>
      <c r="F1994" s="7" t="s">
        <v>113</v>
      </c>
      <c r="G1994" s="7" t="s">
        <v>21</v>
      </c>
      <c r="H1994" s="7" t="s">
        <v>45</v>
      </c>
      <c r="I1994" s="20" t="s">
        <v>1042</v>
      </c>
      <c r="J1994" s="20" t="s">
        <v>2507</v>
      </c>
      <c r="L1994" s="61">
        <v>45835</v>
      </c>
      <c r="P1994" s="59"/>
      <c r="Q1994" s="124" t="e">
        <f>P1994*#REF!</f>
        <v>#REF!</v>
      </c>
    </row>
    <row r="1995" spans="2:18" ht="17.25" hidden="1" customHeight="1">
      <c r="B1995" s="23">
        <v>45835</v>
      </c>
      <c r="C1995" s="7">
        <v>2003724710</v>
      </c>
      <c r="D1995" s="20">
        <v>6004452</v>
      </c>
      <c r="E1995" s="27" t="s">
        <v>622</v>
      </c>
      <c r="F1995" s="7" t="s">
        <v>107</v>
      </c>
      <c r="G1995" s="7" t="s">
        <v>10</v>
      </c>
      <c r="H1995" s="7" t="s">
        <v>45</v>
      </c>
      <c r="I1995" s="20" t="s">
        <v>3025</v>
      </c>
      <c r="J1995" s="20" t="s">
        <v>3026</v>
      </c>
      <c r="K1995" s="7" t="s">
        <v>110</v>
      </c>
      <c r="L1995" s="61">
        <v>45840</v>
      </c>
      <c r="M1995" s="7" t="s">
        <v>111</v>
      </c>
      <c r="N1995" s="61">
        <v>45840</v>
      </c>
      <c r="O1995" s="61">
        <v>45840</v>
      </c>
      <c r="P1995" s="59"/>
      <c r="Q1995" s="124" t="e">
        <f>P1995*#REF!</f>
        <v>#REF!</v>
      </c>
    </row>
    <row r="1996" spans="2:18" ht="17.25" hidden="1" customHeight="1">
      <c r="B1996" s="23">
        <v>45835</v>
      </c>
      <c r="C1996" s="7">
        <v>2003713219</v>
      </c>
      <c r="D1996" s="20">
        <v>6004496</v>
      </c>
      <c r="E1996" s="27" t="s">
        <v>138</v>
      </c>
      <c r="F1996" s="7" t="s">
        <v>107</v>
      </c>
      <c r="G1996" s="7" t="s">
        <v>18</v>
      </c>
      <c r="H1996" s="7" t="s">
        <v>45</v>
      </c>
      <c r="I1996" s="20" t="s">
        <v>3027</v>
      </c>
      <c r="J1996" s="20" t="s">
        <v>3028</v>
      </c>
      <c r="K1996" s="7" t="s">
        <v>110</v>
      </c>
      <c r="L1996" s="61">
        <v>45840</v>
      </c>
      <c r="M1996" s="7" t="s">
        <v>111</v>
      </c>
      <c r="N1996" s="24">
        <v>45842</v>
      </c>
      <c r="O1996" s="24">
        <v>45842</v>
      </c>
      <c r="P1996" s="59"/>
      <c r="Q1996" s="124" t="e">
        <f>P1996*#REF!</f>
        <v>#REF!</v>
      </c>
    </row>
    <row r="1997" spans="2:18" ht="17.25" hidden="1" customHeight="1">
      <c r="B1997" s="23">
        <v>45835</v>
      </c>
      <c r="C1997" s="7">
        <v>2003718946</v>
      </c>
      <c r="D1997" s="20">
        <v>6004508</v>
      </c>
      <c r="E1997" s="27" t="s">
        <v>180</v>
      </c>
      <c r="F1997" s="7" t="s">
        <v>107</v>
      </c>
      <c r="G1997" s="7" t="s">
        <v>10</v>
      </c>
      <c r="H1997" s="7" t="s">
        <v>45</v>
      </c>
      <c r="I1997" s="20" t="s">
        <v>2652</v>
      </c>
      <c r="J1997" s="20" t="s">
        <v>3029</v>
      </c>
      <c r="K1997" s="7" t="s">
        <v>110</v>
      </c>
      <c r="L1997" s="61">
        <v>45852</v>
      </c>
      <c r="M1997" s="7" t="s">
        <v>111</v>
      </c>
      <c r="N1997" s="61">
        <v>45852</v>
      </c>
      <c r="O1997" s="61">
        <v>45853</v>
      </c>
      <c r="P1997" s="59"/>
      <c r="Q1997" s="124" t="e">
        <f>P1997*#REF!</f>
        <v>#REF!</v>
      </c>
      <c r="R1997" s="126">
        <v>45853</v>
      </c>
    </row>
    <row r="1998" spans="2:18" ht="17.25" hidden="1" customHeight="1">
      <c r="B1998" s="23">
        <v>45835</v>
      </c>
      <c r="C1998" s="7">
        <v>2003724674</v>
      </c>
      <c r="D1998" s="20">
        <v>204271</v>
      </c>
      <c r="E1998" s="27" t="s">
        <v>152</v>
      </c>
      <c r="F1998" s="7" t="s">
        <v>107</v>
      </c>
      <c r="G1998" s="7" t="s">
        <v>18</v>
      </c>
      <c r="H1998" s="7" t="s">
        <v>45</v>
      </c>
      <c r="I1998" s="20" t="s">
        <v>415</v>
      </c>
      <c r="J1998" s="20" t="s">
        <v>3030</v>
      </c>
      <c r="K1998" s="7" t="s">
        <v>110</v>
      </c>
      <c r="L1998" s="61">
        <v>45840</v>
      </c>
      <c r="M1998" s="7" t="s">
        <v>111</v>
      </c>
      <c r="N1998" s="61">
        <v>45840</v>
      </c>
      <c r="O1998" s="61">
        <v>45841</v>
      </c>
      <c r="P1998" s="59"/>
      <c r="Q1998" s="124" t="e">
        <f>P1998*#REF!</f>
        <v>#REF!</v>
      </c>
    </row>
    <row r="1999" spans="2:18" ht="17.25" hidden="1" customHeight="1">
      <c r="B1999" s="23">
        <v>45835</v>
      </c>
      <c r="C1999" s="7">
        <v>2003724807</v>
      </c>
      <c r="D1999" s="20">
        <v>203963</v>
      </c>
      <c r="E1999" s="27" t="s">
        <v>258</v>
      </c>
      <c r="F1999" s="7" t="s">
        <v>107</v>
      </c>
      <c r="G1999" s="7" t="s">
        <v>18</v>
      </c>
      <c r="H1999" s="7" t="s">
        <v>45</v>
      </c>
      <c r="I1999" s="20" t="s">
        <v>3031</v>
      </c>
      <c r="J1999" s="20" t="s">
        <v>3032</v>
      </c>
      <c r="K1999" s="7" t="s">
        <v>146</v>
      </c>
      <c r="L1999" s="61">
        <v>45840</v>
      </c>
      <c r="M1999" s="7" t="s">
        <v>111</v>
      </c>
      <c r="N1999" s="61">
        <v>45840</v>
      </c>
      <c r="O1999" s="61">
        <v>45841</v>
      </c>
      <c r="P1999" s="59"/>
      <c r="Q1999" s="124" t="e">
        <f>P1999*#REF!</f>
        <v>#REF!</v>
      </c>
    </row>
    <row r="2000" spans="2:18" ht="17.25" hidden="1" customHeight="1">
      <c r="B2000" s="23">
        <v>45835</v>
      </c>
      <c r="C2000" s="7">
        <v>2003722409</v>
      </c>
      <c r="D2000" s="20">
        <v>203753</v>
      </c>
      <c r="E2000" s="27" t="s">
        <v>123</v>
      </c>
      <c r="F2000" s="7" t="s">
        <v>107</v>
      </c>
      <c r="G2000" s="7" t="s">
        <v>10</v>
      </c>
      <c r="H2000" s="7" t="s">
        <v>45</v>
      </c>
      <c r="I2000" s="20" t="s">
        <v>3033</v>
      </c>
      <c r="J2000" s="20" t="s">
        <v>2720</v>
      </c>
      <c r="K2000" s="7" t="s">
        <v>110</v>
      </c>
      <c r="L2000" s="61">
        <v>45839</v>
      </c>
      <c r="M2000" s="7" t="s">
        <v>111</v>
      </c>
      <c r="N2000" s="61">
        <v>45839</v>
      </c>
      <c r="O2000" s="61">
        <v>45841</v>
      </c>
      <c r="P2000" s="59"/>
      <c r="Q2000" s="124" t="e">
        <f>P2000*#REF!</f>
        <v>#REF!</v>
      </c>
    </row>
    <row r="2001" spans="2:18" ht="17.25" hidden="1" customHeight="1">
      <c r="B2001" s="23">
        <v>45835</v>
      </c>
      <c r="C2001" s="7">
        <v>2003720353</v>
      </c>
      <c r="D2001" s="20">
        <v>203745</v>
      </c>
      <c r="E2001" s="27" t="s">
        <v>123</v>
      </c>
      <c r="F2001" s="7" t="s">
        <v>107</v>
      </c>
      <c r="G2001" s="7" t="s">
        <v>10</v>
      </c>
      <c r="H2001" s="7" t="s">
        <v>45</v>
      </c>
      <c r="I2001" s="20" t="s">
        <v>263</v>
      </c>
      <c r="J2001" s="20" t="s">
        <v>3034</v>
      </c>
      <c r="K2001" s="7" t="s">
        <v>110</v>
      </c>
      <c r="L2001" s="61">
        <v>45840</v>
      </c>
      <c r="M2001" s="7" t="s">
        <v>111</v>
      </c>
      <c r="N2001" s="61">
        <v>45840</v>
      </c>
      <c r="O2001" s="61">
        <v>45841</v>
      </c>
      <c r="P2001" s="59"/>
      <c r="Q2001" s="124" t="e">
        <f>P2001*#REF!</f>
        <v>#REF!</v>
      </c>
    </row>
    <row r="2002" spans="2:18" ht="17.25" hidden="1" customHeight="1">
      <c r="B2002" s="23">
        <v>45838</v>
      </c>
      <c r="C2002" s="7">
        <v>2003726903</v>
      </c>
      <c r="D2002" s="20">
        <v>6004954</v>
      </c>
      <c r="E2002" s="27" t="s">
        <v>566</v>
      </c>
      <c r="F2002" s="7" t="s">
        <v>107</v>
      </c>
      <c r="G2002" s="7" t="s">
        <v>10</v>
      </c>
      <c r="H2002" s="7" t="s">
        <v>45</v>
      </c>
      <c r="I2002" s="20" t="s">
        <v>417</v>
      </c>
      <c r="J2002" s="20" t="s">
        <v>3035</v>
      </c>
      <c r="K2002" s="7" t="s">
        <v>110</v>
      </c>
      <c r="L2002" s="61">
        <v>45845</v>
      </c>
      <c r="M2002" s="7" t="s">
        <v>111</v>
      </c>
      <c r="N2002" s="61">
        <v>45845</v>
      </c>
      <c r="O2002" s="24">
        <v>45846</v>
      </c>
      <c r="P2002" s="59"/>
      <c r="Q2002" s="124" t="e">
        <f>P2002*#REF!</f>
        <v>#REF!</v>
      </c>
    </row>
    <row r="2003" spans="2:18" ht="17.25" hidden="1" customHeight="1">
      <c r="B2003" s="23">
        <v>45838</v>
      </c>
      <c r="C2003" s="7">
        <v>2003723006</v>
      </c>
      <c r="D2003" s="20">
        <v>6005397</v>
      </c>
      <c r="E2003" s="27" t="s">
        <v>408</v>
      </c>
      <c r="F2003" s="7" t="s">
        <v>107</v>
      </c>
      <c r="G2003" s="7" t="s">
        <v>70</v>
      </c>
      <c r="H2003" s="7" t="s">
        <v>47</v>
      </c>
      <c r="I2003" s="20" t="s">
        <v>3036</v>
      </c>
      <c r="J2003" s="20" t="s">
        <v>3037</v>
      </c>
      <c r="K2003" s="7" t="s">
        <v>119</v>
      </c>
      <c r="M2003" s="7" t="s">
        <v>111</v>
      </c>
      <c r="P2003" s="59"/>
      <c r="Q2003" s="124" t="e">
        <f>P2003*#REF!</f>
        <v>#REF!</v>
      </c>
    </row>
    <row r="2004" spans="2:18" ht="17.25" hidden="1" customHeight="1">
      <c r="B2004" s="23">
        <v>45838</v>
      </c>
      <c r="C2004" s="7">
        <v>2003723233</v>
      </c>
      <c r="D2004" s="20">
        <v>6005418</v>
      </c>
      <c r="E2004" s="27" t="s">
        <v>1225</v>
      </c>
      <c r="F2004" s="7" t="s">
        <v>107</v>
      </c>
      <c r="G2004" s="7" t="s">
        <v>26</v>
      </c>
      <c r="H2004" s="7" t="s">
        <v>45</v>
      </c>
      <c r="I2004" s="20" t="s">
        <v>3038</v>
      </c>
      <c r="J2004" s="20" t="s">
        <v>3039</v>
      </c>
      <c r="K2004" s="7" t="s">
        <v>110</v>
      </c>
      <c r="L2004" s="61">
        <v>45840</v>
      </c>
      <c r="O2004" s="58">
        <v>45840</v>
      </c>
      <c r="P2004" s="59"/>
      <c r="Q2004" s="124" t="e">
        <f>P2004*#REF!</f>
        <v>#REF!</v>
      </c>
    </row>
    <row r="2005" spans="2:18" ht="17.25" hidden="1" customHeight="1">
      <c r="B2005" s="23">
        <v>45838</v>
      </c>
      <c r="C2005" s="7">
        <v>2003726377</v>
      </c>
      <c r="D2005" s="20">
        <v>6005426</v>
      </c>
      <c r="E2005" s="27" t="s">
        <v>112</v>
      </c>
      <c r="F2005" s="7" t="s">
        <v>107</v>
      </c>
      <c r="G2005" s="7" t="s">
        <v>15</v>
      </c>
      <c r="H2005" s="7" t="s">
        <v>45</v>
      </c>
      <c r="I2005" s="20" t="s">
        <v>631</v>
      </c>
      <c r="J2005" s="20" t="s">
        <v>3040</v>
      </c>
      <c r="K2005" s="7" t="s">
        <v>110</v>
      </c>
      <c r="L2005" s="61">
        <v>45842</v>
      </c>
      <c r="M2005" s="7" t="s">
        <v>111</v>
      </c>
      <c r="N2005" s="61">
        <v>45842</v>
      </c>
      <c r="O2005" s="58">
        <v>45845</v>
      </c>
      <c r="P2005" s="59"/>
      <c r="Q2005" s="124" t="e">
        <f>P2005*#REF!</f>
        <v>#REF!</v>
      </c>
    </row>
    <row r="2006" spans="2:18" ht="17.25" hidden="1" customHeight="1">
      <c r="B2006" s="23">
        <v>45838</v>
      </c>
      <c r="C2006" s="7">
        <v>2003698773</v>
      </c>
      <c r="D2006" s="20">
        <v>6005431</v>
      </c>
      <c r="E2006" s="27" t="s">
        <v>126</v>
      </c>
      <c r="F2006" s="7" t="s">
        <v>107</v>
      </c>
      <c r="G2006" s="7" t="s">
        <v>10</v>
      </c>
      <c r="H2006" s="7" t="s">
        <v>45</v>
      </c>
      <c r="I2006" s="20" t="s">
        <v>640</v>
      </c>
      <c r="J2006" s="20" t="s">
        <v>3041</v>
      </c>
      <c r="K2006" s="7" t="s">
        <v>119</v>
      </c>
      <c r="L2006" s="61">
        <v>45841</v>
      </c>
      <c r="M2006" s="7" t="s">
        <v>111</v>
      </c>
      <c r="N2006" s="61">
        <v>45842</v>
      </c>
      <c r="O2006" s="61">
        <v>45842</v>
      </c>
      <c r="P2006" s="59"/>
      <c r="Q2006" s="124" t="e">
        <f>P2006*#REF!</f>
        <v>#REF!</v>
      </c>
    </row>
    <row r="2007" spans="2:18" ht="17.25" hidden="1" customHeight="1">
      <c r="B2007" s="23">
        <v>45838</v>
      </c>
      <c r="C2007" s="7">
        <v>2003678081</v>
      </c>
      <c r="D2007" s="20">
        <v>6005497</v>
      </c>
      <c r="E2007" s="27" t="s">
        <v>177</v>
      </c>
      <c r="F2007" s="7" t="s">
        <v>107</v>
      </c>
      <c r="G2007" s="7" t="s">
        <v>15</v>
      </c>
      <c r="H2007" s="7" t="s">
        <v>45</v>
      </c>
      <c r="I2007" s="20" t="s">
        <v>3042</v>
      </c>
      <c r="J2007" s="20" t="s">
        <v>3043</v>
      </c>
      <c r="K2007" s="7" t="s">
        <v>110</v>
      </c>
      <c r="L2007" s="61">
        <v>45840</v>
      </c>
      <c r="M2007" s="7" t="s">
        <v>111</v>
      </c>
      <c r="N2007" s="24">
        <v>45845</v>
      </c>
      <c r="O2007" s="24">
        <v>45845</v>
      </c>
      <c r="P2007" s="59"/>
      <c r="Q2007" s="124" t="e">
        <f>P2007*#REF!</f>
        <v>#REF!</v>
      </c>
    </row>
    <row r="2008" spans="2:18" ht="17.25" hidden="1" customHeight="1">
      <c r="B2008" s="23">
        <v>45838</v>
      </c>
      <c r="C2008" s="7">
        <v>2003718482</v>
      </c>
      <c r="D2008" s="20">
        <v>206092</v>
      </c>
      <c r="E2008" s="27" t="s">
        <v>201</v>
      </c>
      <c r="F2008" s="7" t="s">
        <v>107</v>
      </c>
      <c r="G2008" s="7" t="s">
        <v>10</v>
      </c>
      <c r="H2008" s="7" t="s">
        <v>45</v>
      </c>
      <c r="I2008" s="20" t="s">
        <v>3044</v>
      </c>
      <c r="J2008" s="20" t="s">
        <v>3045</v>
      </c>
      <c r="K2008" s="7" t="s">
        <v>110</v>
      </c>
      <c r="L2008" s="61">
        <v>45840</v>
      </c>
      <c r="M2008" s="7" t="s">
        <v>111</v>
      </c>
      <c r="N2008" s="24">
        <v>45841</v>
      </c>
      <c r="O2008" s="24">
        <v>45841</v>
      </c>
      <c r="P2008" s="59"/>
      <c r="Q2008" s="124" t="e">
        <f>P2008*#REF!</f>
        <v>#REF!</v>
      </c>
    </row>
    <row r="2009" spans="2:18" ht="17.25" hidden="1" customHeight="1">
      <c r="B2009" s="23">
        <v>45838</v>
      </c>
      <c r="C2009" s="7">
        <v>2003727086</v>
      </c>
      <c r="D2009" s="20">
        <v>206075</v>
      </c>
      <c r="E2009" s="27" t="s">
        <v>116</v>
      </c>
      <c r="F2009" s="7" t="s">
        <v>107</v>
      </c>
      <c r="G2009" s="7" t="s">
        <v>10</v>
      </c>
      <c r="H2009" s="7" t="s">
        <v>45</v>
      </c>
      <c r="I2009" s="20" t="s">
        <v>3046</v>
      </c>
      <c r="J2009" s="20" t="s">
        <v>3047</v>
      </c>
      <c r="K2009" s="7" t="s">
        <v>119</v>
      </c>
      <c r="L2009" s="61">
        <v>45841</v>
      </c>
      <c r="M2009" s="7" t="s">
        <v>111</v>
      </c>
      <c r="N2009" s="61">
        <v>45846</v>
      </c>
      <c r="O2009" s="61">
        <v>45846</v>
      </c>
      <c r="P2009" s="59"/>
      <c r="Q2009" s="124" t="e">
        <f>P2009*#REF!</f>
        <v>#REF!</v>
      </c>
    </row>
    <row r="2010" spans="2:18" ht="17.25" hidden="1" customHeight="1">
      <c r="B2010" s="23">
        <v>45838</v>
      </c>
      <c r="C2010" s="7">
        <v>2003716162</v>
      </c>
      <c r="D2010" s="20">
        <v>205399</v>
      </c>
      <c r="E2010" s="27" t="s">
        <v>129</v>
      </c>
      <c r="F2010" s="7" t="s">
        <v>113</v>
      </c>
      <c r="G2010" s="7" t="s">
        <v>70</v>
      </c>
      <c r="H2010" s="7" t="s">
        <v>47</v>
      </c>
      <c r="I2010" s="20" t="s">
        <v>1308</v>
      </c>
      <c r="J2010" s="20" t="s">
        <v>3048</v>
      </c>
      <c r="K2010" s="7" t="s">
        <v>160</v>
      </c>
      <c r="M2010" s="7" t="s">
        <v>111</v>
      </c>
      <c r="P2010" s="59"/>
      <c r="Q2010" s="124" t="e">
        <f>P2010*#REF!</f>
        <v>#REF!</v>
      </c>
      <c r="R2010" s="126">
        <v>45853</v>
      </c>
    </row>
    <row r="2011" spans="2:18" ht="17.25" hidden="1" customHeight="1">
      <c r="B2011" s="23">
        <v>45838</v>
      </c>
      <c r="C2011" s="7">
        <v>2003665961</v>
      </c>
      <c r="D2011" s="20">
        <v>204787</v>
      </c>
      <c r="E2011" s="27" t="s">
        <v>185</v>
      </c>
      <c r="F2011" s="7" t="s">
        <v>107</v>
      </c>
      <c r="G2011" s="7" t="s">
        <v>10</v>
      </c>
      <c r="H2011" s="7" t="s">
        <v>45</v>
      </c>
      <c r="I2011" s="20" t="s">
        <v>3049</v>
      </c>
      <c r="J2011" s="20" t="s">
        <v>3050</v>
      </c>
      <c r="K2011" s="7" t="s">
        <v>110</v>
      </c>
      <c r="L2011" s="61">
        <v>45840</v>
      </c>
      <c r="M2011" s="7" t="s">
        <v>111</v>
      </c>
      <c r="N2011" s="61">
        <v>45840</v>
      </c>
      <c r="O2011" s="61">
        <v>45840</v>
      </c>
      <c r="P2011" s="59"/>
      <c r="Q2011" s="124" t="e">
        <f>P2011*#REF!</f>
        <v>#REF!</v>
      </c>
    </row>
    <row r="2012" spans="2:18" ht="17.25" hidden="1" customHeight="1">
      <c r="B2012" s="23">
        <v>45839</v>
      </c>
      <c r="C2012" s="7">
        <v>2003726346</v>
      </c>
      <c r="D2012" s="20">
        <v>6005826</v>
      </c>
      <c r="E2012" s="27" t="s">
        <v>185</v>
      </c>
      <c r="F2012" s="7" t="s">
        <v>107</v>
      </c>
      <c r="G2012" s="7" t="s">
        <v>18</v>
      </c>
      <c r="H2012" s="7" t="s">
        <v>45</v>
      </c>
      <c r="I2012" s="20" t="s">
        <v>625</v>
      </c>
      <c r="J2012" s="20" t="s">
        <v>3051</v>
      </c>
      <c r="K2012" s="7" t="s">
        <v>110</v>
      </c>
      <c r="L2012" s="61">
        <v>45840</v>
      </c>
      <c r="M2012" s="7" t="s">
        <v>111</v>
      </c>
      <c r="N2012" s="61">
        <v>45840</v>
      </c>
      <c r="O2012" s="58">
        <v>45841</v>
      </c>
      <c r="P2012" s="59"/>
      <c r="Q2012" s="124" t="e">
        <f>P2012*#REF!</f>
        <v>#REF!</v>
      </c>
    </row>
    <row r="2013" spans="2:18" ht="17.25" hidden="1" customHeight="1">
      <c r="B2013" s="23">
        <v>45839</v>
      </c>
      <c r="C2013" s="7">
        <v>2003664769</v>
      </c>
      <c r="D2013" s="20">
        <v>6006100</v>
      </c>
      <c r="E2013" s="27" t="s">
        <v>198</v>
      </c>
      <c r="F2013" s="7" t="s">
        <v>107</v>
      </c>
      <c r="G2013" s="7" t="s">
        <v>21</v>
      </c>
      <c r="H2013" s="7" t="s">
        <v>45</v>
      </c>
      <c r="I2013" s="20" t="s">
        <v>155</v>
      </c>
      <c r="J2013" s="20" t="s">
        <v>1505</v>
      </c>
      <c r="K2013" s="7" t="s">
        <v>111</v>
      </c>
      <c r="L2013" s="61">
        <v>45839</v>
      </c>
      <c r="M2013" s="7" t="s">
        <v>111</v>
      </c>
      <c r="N2013" s="24">
        <v>45839</v>
      </c>
      <c r="O2013" s="58">
        <v>45839</v>
      </c>
      <c r="P2013" s="59"/>
      <c r="Q2013" s="124" t="e">
        <f>P2013*#REF!</f>
        <v>#REF!</v>
      </c>
    </row>
    <row r="2014" spans="2:18" ht="17.25" hidden="1" customHeight="1">
      <c r="B2014" s="23">
        <v>45839</v>
      </c>
      <c r="C2014" s="7">
        <v>2003725595</v>
      </c>
      <c r="D2014" s="20">
        <v>6006102</v>
      </c>
      <c r="E2014" s="27" t="s">
        <v>129</v>
      </c>
      <c r="F2014" s="7" t="s">
        <v>113</v>
      </c>
      <c r="G2014" s="7" t="s">
        <v>70</v>
      </c>
      <c r="H2014" s="7" t="s">
        <v>47</v>
      </c>
      <c r="I2014" s="20" t="s">
        <v>3052</v>
      </c>
      <c r="J2014" s="20" t="s">
        <v>3053</v>
      </c>
      <c r="K2014" s="7" t="s">
        <v>160</v>
      </c>
      <c r="M2014" s="7" t="s">
        <v>111</v>
      </c>
      <c r="P2014" s="59"/>
      <c r="Q2014" s="124" t="e">
        <f>P2014*#REF!</f>
        <v>#REF!</v>
      </c>
      <c r="R2014" s="126">
        <v>45853</v>
      </c>
    </row>
    <row r="2015" spans="2:18" ht="17.25" hidden="1" customHeight="1">
      <c r="B2015" s="23">
        <v>45839</v>
      </c>
      <c r="C2015" s="7">
        <v>2003712575</v>
      </c>
      <c r="D2015" s="20">
        <v>6006102</v>
      </c>
      <c r="E2015" s="27" t="s">
        <v>1225</v>
      </c>
      <c r="F2015" s="7" t="s">
        <v>107</v>
      </c>
      <c r="G2015" s="7" t="s">
        <v>21</v>
      </c>
      <c r="H2015" s="7" t="s">
        <v>45</v>
      </c>
      <c r="I2015" s="20" t="s">
        <v>3054</v>
      </c>
      <c r="J2015" s="20" t="s">
        <v>2903</v>
      </c>
      <c r="K2015" s="7" t="s">
        <v>111</v>
      </c>
      <c r="L2015" s="61">
        <v>45840</v>
      </c>
      <c r="M2015" s="7" t="s">
        <v>111</v>
      </c>
      <c r="N2015" s="61">
        <v>45849</v>
      </c>
      <c r="O2015" s="61">
        <v>45849</v>
      </c>
      <c r="P2015" s="59"/>
      <c r="Q2015" s="124" t="e">
        <f>P2015*#REF!</f>
        <v>#REF!</v>
      </c>
      <c r="R2015" s="126">
        <v>45853</v>
      </c>
    </row>
    <row r="2016" spans="2:18" ht="17.25" hidden="1" customHeight="1">
      <c r="B2016" s="23">
        <v>45839</v>
      </c>
      <c r="C2016" s="7">
        <v>2003620019</v>
      </c>
      <c r="D2016" s="20">
        <v>6006271</v>
      </c>
      <c r="E2016" s="27" t="s">
        <v>129</v>
      </c>
      <c r="F2016" s="7" t="s">
        <v>107</v>
      </c>
      <c r="G2016" s="7" t="s">
        <v>10</v>
      </c>
      <c r="H2016" s="7" t="s">
        <v>45</v>
      </c>
      <c r="I2016" s="20" t="s">
        <v>3055</v>
      </c>
      <c r="J2016" s="20" t="s">
        <v>605</v>
      </c>
      <c r="K2016" s="7" t="s">
        <v>119</v>
      </c>
      <c r="L2016" s="61">
        <v>45848</v>
      </c>
      <c r="M2016" s="7" t="s">
        <v>111</v>
      </c>
      <c r="N2016" s="24">
        <v>45853</v>
      </c>
      <c r="O2016" s="24">
        <v>45853</v>
      </c>
      <c r="P2016" s="59"/>
      <c r="Q2016" s="124" t="e">
        <f>P2016*#REF!</f>
        <v>#REF!</v>
      </c>
      <c r="R2016" s="126">
        <v>45853</v>
      </c>
    </row>
    <row r="2017" spans="2:18" ht="17.25" hidden="1" customHeight="1">
      <c r="B2017" s="23">
        <v>45839</v>
      </c>
      <c r="C2017" s="7">
        <v>2003672318</v>
      </c>
      <c r="D2017" s="20">
        <v>6006333</v>
      </c>
      <c r="E2017" s="27" t="s">
        <v>138</v>
      </c>
      <c r="F2017" s="7" t="s">
        <v>107</v>
      </c>
      <c r="G2017" s="7" t="s">
        <v>21</v>
      </c>
      <c r="H2017" s="7" t="s">
        <v>45</v>
      </c>
      <c r="I2017" s="20" t="s">
        <v>3056</v>
      </c>
      <c r="J2017" s="20" t="s">
        <v>2088</v>
      </c>
      <c r="K2017" s="7" t="s">
        <v>111</v>
      </c>
      <c r="L2017" s="61">
        <v>45840</v>
      </c>
      <c r="M2017" s="7" t="s">
        <v>111</v>
      </c>
      <c r="N2017" s="61">
        <v>45840</v>
      </c>
      <c r="O2017" s="61">
        <v>45841</v>
      </c>
      <c r="P2017" s="59"/>
      <c r="Q2017" s="124" t="e">
        <f>P2017*#REF!</f>
        <v>#REF!</v>
      </c>
    </row>
    <row r="2018" spans="2:18" ht="17.25" hidden="1" customHeight="1">
      <c r="B2018" s="23">
        <v>45839</v>
      </c>
      <c r="C2018" s="7">
        <v>2003727802</v>
      </c>
      <c r="D2018" s="20">
        <v>207406</v>
      </c>
      <c r="E2018" s="27" t="s">
        <v>123</v>
      </c>
      <c r="F2018" s="7" t="s">
        <v>107</v>
      </c>
      <c r="G2018" s="7" t="s">
        <v>10</v>
      </c>
      <c r="H2018" s="7" t="s">
        <v>45</v>
      </c>
      <c r="I2018" s="20" t="s">
        <v>3057</v>
      </c>
      <c r="J2018" s="20" t="s">
        <v>3058</v>
      </c>
      <c r="K2018" s="7" t="s">
        <v>119</v>
      </c>
      <c r="L2018" s="61">
        <v>45842</v>
      </c>
      <c r="M2018" s="7" t="s">
        <v>111</v>
      </c>
      <c r="N2018" s="61">
        <v>45842</v>
      </c>
      <c r="O2018" s="58">
        <v>45845</v>
      </c>
      <c r="P2018" s="59"/>
      <c r="Q2018" s="124" t="e">
        <f>P2018*#REF!</f>
        <v>#REF!</v>
      </c>
    </row>
    <row r="2019" spans="2:18" ht="17.25" hidden="1" customHeight="1">
      <c r="B2019" s="23">
        <v>45839</v>
      </c>
      <c r="C2019" s="7">
        <v>2003671331</v>
      </c>
      <c r="D2019" s="20">
        <v>207337</v>
      </c>
      <c r="E2019" s="27" t="s">
        <v>116</v>
      </c>
      <c r="F2019" s="7" t="s">
        <v>107</v>
      </c>
      <c r="G2019" s="7" t="s">
        <v>10</v>
      </c>
      <c r="H2019" s="7" t="s">
        <v>45</v>
      </c>
      <c r="I2019" s="20" t="s">
        <v>1458</v>
      </c>
      <c r="J2019" s="20" t="s">
        <v>3059</v>
      </c>
      <c r="K2019" s="7" t="s">
        <v>119</v>
      </c>
      <c r="L2019" s="61">
        <v>45841</v>
      </c>
      <c r="M2019" s="7" t="s">
        <v>111</v>
      </c>
      <c r="N2019" s="61">
        <v>45842</v>
      </c>
      <c r="O2019" s="61">
        <v>45842</v>
      </c>
      <c r="P2019" s="59"/>
      <c r="Q2019" s="124" t="e">
        <f>P2019*#REF!</f>
        <v>#REF!</v>
      </c>
    </row>
    <row r="2020" spans="2:18" ht="17.25" hidden="1" customHeight="1">
      <c r="B2020" s="23">
        <v>45839</v>
      </c>
      <c r="C2020" s="7">
        <v>2003698806</v>
      </c>
      <c r="D2020" s="20">
        <v>206851</v>
      </c>
      <c r="E2020" s="27" t="s">
        <v>116</v>
      </c>
      <c r="F2020" s="7" t="s">
        <v>107</v>
      </c>
      <c r="G2020" s="7" t="s">
        <v>18</v>
      </c>
      <c r="H2020" s="7" t="s">
        <v>45</v>
      </c>
      <c r="I2020" s="20" t="s">
        <v>837</v>
      </c>
      <c r="J2020" s="20" t="s">
        <v>838</v>
      </c>
      <c r="K2020" s="7" t="s">
        <v>119</v>
      </c>
      <c r="L2020" s="61">
        <v>45842</v>
      </c>
      <c r="M2020" s="7" t="s">
        <v>111</v>
      </c>
      <c r="N2020" s="61">
        <v>45842</v>
      </c>
      <c r="O2020" s="61">
        <v>45842</v>
      </c>
      <c r="P2020" s="59"/>
      <c r="Q2020" s="124" t="e">
        <f>P2020*#REF!</f>
        <v>#REF!</v>
      </c>
    </row>
    <row r="2021" spans="2:18" ht="17.25" hidden="1" customHeight="1">
      <c r="B2021" s="23">
        <v>45840</v>
      </c>
      <c r="C2021" s="7">
        <v>2003660838</v>
      </c>
      <c r="D2021" s="20">
        <v>6006797</v>
      </c>
      <c r="E2021" s="27" t="s">
        <v>486</v>
      </c>
      <c r="F2021" s="7" t="s">
        <v>107</v>
      </c>
      <c r="G2021" s="7" t="s">
        <v>10</v>
      </c>
      <c r="H2021" s="7" t="s">
        <v>45</v>
      </c>
      <c r="I2021" s="20" t="s">
        <v>3060</v>
      </c>
      <c r="J2021" s="20" t="s">
        <v>2468</v>
      </c>
      <c r="K2021" s="7" t="s">
        <v>119</v>
      </c>
      <c r="L2021" s="61">
        <v>45841</v>
      </c>
      <c r="M2021" s="7" t="s">
        <v>111</v>
      </c>
      <c r="N2021" s="61">
        <v>45842</v>
      </c>
      <c r="O2021" s="58">
        <v>45845</v>
      </c>
      <c r="P2021" s="59"/>
      <c r="Q2021" s="124" t="e">
        <f>P2021*#REF!</f>
        <v>#REF!</v>
      </c>
    </row>
    <row r="2022" spans="2:18" ht="17.25" hidden="1" customHeight="1">
      <c r="B2022" s="23">
        <v>45840</v>
      </c>
      <c r="C2022" s="7">
        <v>2003725498</v>
      </c>
      <c r="D2022" s="20">
        <v>6006964</v>
      </c>
      <c r="E2022" s="27" t="s">
        <v>622</v>
      </c>
      <c r="F2022" s="7" t="s">
        <v>107</v>
      </c>
      <c r="G2022" s="7" t="s">
        <v>10</v>
      </c>
      <c r="H2022" s="7" t="s">
        <v>45</v>
      </c>
      <c r="I2022" s="20" t="s">
        <v>489</v>
      </c>
      <c r="J2022" s="20" t="s">
        <v>3061</v>
      </c>
      <c r="K2022" s="7" t="s">
        <v>119</v>
      </c>
      <c r="L2022" s="61">
        <v>45845</v>
      </c>
      <c r="M2022" s="7" t="s">
        <v>111</v>
      </c>
      <c r="N2022" s="61">
        <v>45845</v>
      </c>
      <c r="O2022" s="61">
        <v>45845</v>
      </c>
      <c r="P2022" s="59"/>
      <c r="Q2022" s="124" t="e">
        <f>P2022*#REF!</f>
        <v>#REF!</v>
      </c>
    </row>
    <row r="2023" spans="2:18" ht="17.25" hidden="1" customHeight="1">
      <c r="B2023" s="23">
        <v>45840</v>
      </c>
      <c r="C2023" s="7">
        <v>2003725390</v>
      </c>
      <c r="D2023" s="20">
        <v>6007019</v>
      </c>
      <c r="E2023" s="27" t="s">
        <v>123</v>
      </c>
      <c r="F2023" s="7" t="s">
        <v>107</v>
      </c>
      <c r="G2023" s="7" t="s">
        <v>10</v>
      </c>
      <c r="H2023" s="7" t="s">
        <v>45</v>
      </c>
      <c r="I2023" s="20" t="s">
        <v>775</v>
      </c>
      <c r="J2023" s="20" t="s">
        <v>937</v>
      </c>
      <c r="K2023" s="7" t="s">
        <v>119</v>
      </c>
      <c r="L2023" s="61">
        <v>45842</v>
      </c>
      <c r="M2023" s="7" t="s">
        <v>111</v>
      </c>
      <c r="N2023" s="61">
        <v>45842</v>
      </c>
      <c r="O2023" s="58">
        <v>45845</v>
      </c>
      <c r="P2023" s="59"/>
      <c r="Q2023" s="124" t="e">
        <f>P2023*#REF!</f>
        <v>#REF!</v>
      </c>
    </row>
    <row r="2024" spans="2:18" ht="17.25" hidden="1" customHeight="1">
      <c r="B2024" s="23">
        <v>45840</v>
      </c>
      <c r="C2024" s="7">
        <v>2003675873</v>
      </c>
      <c r="D2024" s="20">
        <v>6007198</v>
      </c>
      <c r="E2024" s="27" t="s">
        <v>138</v>
      </c>
      <c r="F2024" s="7" t="s">
        <v>107</v>
      </c>
      <c r="G2024" s="7" t="s">
        <v>18</v>
      </c>
      <c r="H2024" s="7" t="s">
        <v>45</v>
      </c>
      <c r="I2024" s="20" t="s">
        <v>3062</v>
      </c>
      <c r="J2024" s="20" t="s">
        <v>3063</v>
      </c>
      <c r="K2024" s="7" t="s">
        <v>110</v>
      </c>
      <c r="L2024" s="61">
        <v>45841</v>
      </c>
      <c r="M2024" s="7" t="s">
        <v>111</v>
      </c>
      <c r="N2024" s="24">
        <v>45853</v>
      </c>
      <c r="O2024" s="24">
        <v>45853</v>
      </c>
      <c r="P2024" s="59"/>
      <c r="Q2024" s="124" t="e">
        <f>P2024*#REF!</f>
        <v>#REF!</v>
      </c>
      <c r="R2024" s="126">
        <v>45853</v>
      </c>
    </row>
    <row r="2025" spans="2:18" ht="17.25" hidden="1" customHeight="1">
      <c r="B2025" s="23">
        <v>45840</v>
      </c>
      <c r="C2025" s="7">
        <v>2003705284</v>
      </c>
      <c r="D2025" s="20">
        <v>6007258</v>
      </c>
      <c r="E2025" s="27" t="s">
        <v>2959</v>
      </c>
      <c r="F2025" s="7" t="s">
        <v>107</v>
      </c>
      <c r="G2025" s="7" t="s">
        <v>10</v>
      </c>
      <c r="H2025" s="7" t="s">
        <v>45</v>
      </c>
      <c r="I2025" s="20" t="s">
        <v>1426</v>
      </c>
      <c r="J2025" s="20" t="s">
        <v>3064</v>
      </c>
      <c r="K2025" s="7" t="s">
        <v>119</v>
      </c>
      <c r="L2025" s="61">
        <v>45846</v>
      </c>
      <c r="M2025" s="7" t="s">
        <v>111</v>
      </c>
      <c r="N2025" s="61">
        <v>45846</v>
      </c>
      <c r="O2025" s="61">
        <v>45846</v>
      </c>
      <c r="P2025" s="59"/>
      <c r="Q2025" s="124" t="e">
        <f>P2025*#REF!</f>
        <v>#REF!</v>
      </c>
    </row>
    <row r="2026" spans="2:18" ht="17.25" hidden="1" customHeight="1">
      <c r="B2026" s="23">
        <v>45840</v>
      </c>
      <c r="C2026" s="7">
        <v>2003714749</v>
      </c>
      <c r="D2026" s="20">
        <v>6007276</v>
      </c>
      <c r="E2026" s="27" t="s">
        <v>106</v>
      </c>
      <c r="F2026" s="7" t="s">
        <v>107</v>
      </c>
      <c r="G2026" s="7" t="s">
        <v>26</v>
      </c>
      <c r="H2026" s="7" t="s">
        <v>45</v>
      </c>
      <c r="I2026" s="20" t="s">
        <v>657</v>
      </c>
      <c r="J2026" s="20" t="s">
        <v>3065</v>
      </c>
      <c r="K2026" s="7" t="s">
        <v>119</v>
      </c>
      <c r="L2026" s="61">
        <v>45841</v>
      </c>
      <c r="O2026" s="58">
        <v>45842</v>
      </c>
      <c r="P2026" s="59"/>
      <c r="Q2026" s="124" t="e">
        <f>P2026*#REF!</f>
        <v>#REF!</v>
      </c>
    </row>
    <row r="2027" spans="2:18" ht="17.25" hidden="1" customHeight="1">
      <c r="B2027" s="23">
        <v>45840</v>
      </c>
      <c r="C2027" s="7">
        <v>2003691532</v>
      </c>
      <c r="D2027" s="20">
        <v>6007285</v>
      </c>
      <c r="E2027" s="27" t="s">
        <v>116</v>
      </c>
      <c r="F2027" s="7" t="s">
        <v>107</v>
      </c>
      <c r="G2027" s="7" t="s">
        <v>21</v>
      </c>
      <c r="H2027" s="7" t="s">
        <v>45</v>
      </c>
      <c r="I2027" s="20" t="s">
        <v>354</v>
      </c>
      <c r="J2027" s="20" t="s">
        <v>2573</v>
      </c>
      <c r="K2027" s="7" t="s">
        <v>119</v>
      </c>
      <c r="L2027" s="61">
        <v>45842</v>
      </c>
      <c r="M2027" s="7" t="s">
        <v>111</v>
      </c>
      <c r="N2027" s="61">
        <v>45842</v>
      </c>
      <c r="O2027" s="58">
        <v>45845</v>
      </c>
      <c r="P2027" s="59"/>
      <c r="Q2027" s="124" t="e">
        <f>P2027*#REF!</f>
        <v>#REF!</v>
      </c>
    </row>
    <row r="2028" spans="2:18" ht="17.25" hidden="1" customHeight="1">
      <c r="B2028" s="23">
        <v>45840</v>
      </c>
      <c r="C2028" s="7">
        <v>2003723051</v>
      </c>
      <c r="D2028" s="20">
        <v>6007321</v>
      </c>
      <c r="E2028" s="27" t="s">
        <v>106</v>
      </c>
      <c r="F2028" s="7" t="s">
        <v>107</v>
      </c>
      <c r="G2028" s="7" t="s">
        <v>10</v>
      </c>
      <c r="H2028" s="7" t="s">
        <v>45</v>
      </c>
      <c r="I2028" s="20" t="s">
        <v>3066</v>
      </c>
      <c r="J2028" s="20" t="s">
        <v>3067</v>
      </c>
      <c r="K2028" s="7" t="s">
        <v>110</v>
      </c>
      <c r="L2028" s="61">
        <v>45841</v>
      </c>
      <c r="M2028" s="7" t="s">
        <v>111</v>
      </c>
      <c r="N2028" s="61">
        <v>45846</v>
      </c>
      <c r="O2028" s="61">
        <v>45846</v>
      </c>
      <c r="P2028" s="59"/>
      <c r="Q2028" s="124" t="e">
        <f>P2028*#REF!</f>
        <v>#REF!</v>
      </c>
    </row>
    <row r="2029" spans="2:18" ht="17.25" hidden="1" customHeight="1">
      <c r="B2029" s="23">
        <v>45840</v>
      </c>
      <c r="C2029" s="7">
        <v>2003725619</v>
      </c>
      <c r="D2029" s="20">
        <v>6007336</v>
      </c>
      <c r="E2029" s="27" t="s">
        <v>408</v>
      </c>
      <c r="F2029" s="7" t="s">
        <v>107</v>
      </c>
      <c r="G2029" s="7" t="s">
        <v>10</v>
      </c>
      <c r="H2029" s="7" t="s">
        <v>45</v>
      </c>
      <c r="I2029" s="20" t="s">
        <v>3068</v>
      </c>
      <c r="J2029" s="20" t="s">
        <v>3069</v>
      </c>
      <c r="K2029" s="7" t="s">
        <v>119</v>
      </c>
      <c r="L2029" s="61">
        <v>45842</v>
      </c>
      <c r="M2029" s="7" t="s">
        <v>111</v>
      </c>
      <c r="N2029" s="61">
        <v>45842</v>
      </c>
      <c r="O2029" s="58">
        <v>45845</v>
      </c>
      <c r="P2029" s="59"/>
      <c r="Q2029" s="124" t="e">
        <f>P2029*#REF!</f>
        <v>#REF!</v>
      </c>
    </row>
    <row r="2030" spans="2:18" ht="17.25" hidden="1" customHeight="1">
      <c r="B2030" s="23">
        <v>45840</v>
      </c>
      <c r="C2030" s="7">
        <v>2003506476</v>
      </c>
      <c r="D2030" s="20">
        <v>6007808</v>
      </c>
      <c r="E2030" s="27" t="s">
        <v>408</v>
      </c>
      <c r="F2030" s="7" t="s">
        <v>107</v>
      </c>
      <c r="G2030" s="7" t="s">
        <v>21</v>
      </c>
      <c r="H2030" s="7" t="s">
        <v>45</v>
      </c>
      <c r="I2030" s="20" t="s">
        <v>1171</v>
      </c>
      <c r="J2030" s="20" t="s">
        <v>3070</v>
      </c>
      <c r="K2030" s="7" t="s">
        <v>110</v>
      </c>
      <c r="L2030" s="61">
        <v>45841</v>
      </c>
      <c r="M2030" s="7" t="s">
        <v>111</v>
      </c>
      <c r="N2030" s="61">
        <v>45841</v>
      </c>
      <c r="O2030" s="58">
        <v>45845</v>
      </c>
      <c r="P2030" s="59"/>
      <c r="Q2030" s="124" t="e">
        <f>P2030*#REF!</f>
        <v>#REF!</v>
      </c>
    </row>
    <row r="2031" spans="2:18" ht="17.25" hidden="1" customHeight="1">
      <c r="B2031" s="23">
        <v>45840</v>
      </c>
      <c r="C2031" s="7">
        <v>2003661972</v>
      </c>
      <c r="D2031" s="20">
        <v>6007812</v>
      </c>
      <c r="E2031" s="27" t="s">
        <v>143</v>
      </c>
      <c r="F2031" s="7" t="s">
        <v>107</v>
      </c>
      <c r="G2031" s="7" t="s">
        <v>18</v>
      </c>
      <c r="H2031" s="7" t="s">
        <v>45</v>
      </c>
      <c r="I2031" s="20" t="s">
        <v>3071</v>
      </c>
      <c r="J2031" s="20" t="s">
        <v>3072</v>
      </c>
      <c r="K2031" s="7" t="s">
        <v>111</v>
      </c>
      <c r="L2031" s="61">
        <v>45841</v>
      </c>
      <c r="M2031" s="7" t="s">
        <v>111</v>
      </c>
      <c r="N2031" s="61">
        <v>45841</v>
      </c>
      <c r="O2031" s="58">
        <v>45859</v>
      </c>
      <c r="P2031" s="59"/>
      <c r="Q2031" s="124" t="e">
        <f>P2031*#REF!</f>
        <v>#REF!</v>
      </c>
      <c r="R2031" s="126">
        <v>45860</v>
      </c>
    </row>
    <row r="2032" spans="2:18" ht="17.25" hidden="1" customHeight="1">
      <c r="B2032" s="23">
        <v>45840</v>
      </c>
      <c r="C2032" s="7">
        <v>2003639757</v>
      </c>
      <c r="D2032" s="20">
        <v>6007840</v>
      </c>
      <c r="E2032" s="27" t="s">
        <v>177</v>
      </c>
      <c r="F2032" s="7" t="s">
        <v>107</v>
      </c>
      <c r="G2032" s="7" t="s">
        <v>18</v>
      </c>
      <c r="H2032" s="7" t="s">
        <v>45</v>
      </c>
      <c r="I2032" s="20" t="s">
        <v>3073</v>
      </c>
      <c r="J2032" s="20" t="s">
        <v>3074</v>
      </c>
      <c r="K2032" s="7" t="s">
        <v>110</v>
      </c>
      <c r="L2032" s="61">
        <v>45842</v>
      </c>
      <c r="M2032" s="7" t="s">
        <v>111</v>
      </c>
      <c r="N2032" s="61">
        <v>45842</v>
      </c>
      <c r="O2032" s="61">
        <v>45842</v>
      </c>
      <c r="P2032" s="59"/>
      <c r="Q2032" s="124" t="e">
        <f>P2032*#REF!</f>
        <v>#REF!</v>
      </c>
    </row>
    <row r="2033" spans="2:18" ht="17.25" hidden="1" customHeight="1">
      <c r="B2033" s="23">
        <v>45840</v>
      </c>
      <c r="C2033" s="7">
        <v>2003706826</v>
      </c>
      <c r="D2033" s="20">
        <v>208969</v>
      </c>
      <c r="E2033" s="27" t="s">
        <v>622</v>
      </c>
      <c r="F2033" s="7" t="s">
        <v>107</v>
      </c>
      <c r="G2033" s="7" t="s">
        <v>18</v>
      </c>
      <c r="H2033" s="7" t="s">
        <v>45</v>
      </c>
      <c r="I2033" s="20" t="s">
        <v>3075</v>
      </c>
      <c r="J2033" s="20" t="s">
        <v>3076</v>
      </c>
      <c r="K2033" s="7" t="s">
        <v>119</v>
      </c>
      <c r="L2033" s="61">
        <v>45848</v>
      </c>
      <c r="M2033" s="7" t="s">
        <v>111</v>
      </c>
      <c r="N2033" s="61">
        <v>45848</v>
      </c>
      <c r="O2033" s="61">
        <v>45849</v>
      </c>
      <c r="P2033" s="59"/>
      <c r="Q2033" s="124" t="e">
        <f>P2033*#REF!</f>
        <v>#REF!</v>
      </c>
      <c r="R2033" s="126">
        <v>45853</v>
      </c>
    </row>
    <row r="2034" spans="2:18" ht="17.25" hidden="1" customHeight="1">
      <c r="B2034" s="23">
        <v>45840</v>
      </c>
      <c r="C2034" s="7">
        <v>2003729822</v>
      </c>
      <c r="D2034" s="20">
        <v>208965</v>
      </c>
      <c r="E2034" s="27" t="s">
        <v>116</v>
      </c>
      <c r="F2034" s="7" t="s">
        <v>113</v>
      </c>
      <c r="G2034" s="7" t="s">
        <v>10</v>
      </c>
      <c r="H2034" s="7" t="s">
        <v>47</v>
      </c>
      <c r="I2034" s="20" t="s">
        <v>889</v>
      </c>
      <c r="J2034" s="20" t="s">
        <v>3077</v>
      </c>
      <c r="K2034" s="7" t="s">
        <v>119</v>
      </c>
      <c r="M2034" s="7" t="s">
        <v>111</v>
      </c>
      <c r="P2034" s="59"/>
      <c r="Q2034" s="124" t="e">
        <f>P2034*#REF!</f>
        <v>#REF!</v>
      </c>
    </row>
    <row r="2035" spans="2:18" ht="17.25" hidden="1" customHeight="1">
      <c r="B2035" s="23">
        <v>45840</v>
      </c>
      <c r="C2035" s="7">
        <v>2003684568</v>
      </c>
      <c r="D2035" s="20">
        <v>208822</v>
      </c>
      <c r="E2035" s="27" t="s">
        <v>258</v>
      </c>
      <c r="F2035" s="7" t="s">
        <v>107</v>
      </c>
      <c r="G2035" s="7" t="s">
        <v>18</v>
      </c>
      <c r="H2035" s="7" t="s">
        <v>45</v>
      </c>
      <c r="I2035" s="20" t="s">
        <v>3078</v>
      </c>
      <c r="J2035" s="20" t="s">
        <v>3032</v>
      </c>
      <c r="K2035" s="7" t="s">
        <v>146</v>
      </c>
      <c r="L2035" s="61">
        <v>45840</v>
      </c>
      <c r="M2035" s="7" t="s">
        <v>111</v>
      </c>
      <c r="N2035" s="61">
        <v>45841</v>
      </c>
      <c r="O2035" s="61">
        <v>45841</v>
      </c>
      <c r="P2035" s="59"/>
      <c r="Q2035" s="124" t="e">
        <f>P2035*#REF!</f>
        <v>#REF!</v>
      </c>
    </row>
    <row r="2036" spans="2:18" ht="17.25" hidden="1" customHeight="1">
      <c r="B2036" s="23">
        <v>45840</v>
      </c>
      <c r="C2036" s="7">
        <v>2003667145</v>
      </c>
      <c r="D2036" s="20">
        <v>208778</v>
      </c>
      <c r="E2036" s="27" t="s">
        <v>116</v>
      </c>
      <c r="F2036" s="7" t="s">
        <v>107</v>
      </c>
      <c r="G2036" s="7" t="s">
        <v>10</v>
      </c>
      <c r="H2036" s="7" t="s">
        <v>45</v>
      </c>
      <c r="I2036" s="20" t="s">
        <v>280</v>
      </c>
      <c r="J2036" s="20" t="s">
        <v>3079</v>
      </c>
      <c r="K2036" s="7" t="s">
        <v>119</v>
      </c>
      <c r="L2036" s="61">
        <v>45842</v>
      </c>
      <c r="M2036" s="7" t="s">
        <v>111</v>
      </c>
      <c r="N2036" s="61">
        <v>45842</v>
      </c>
      <c r="O2036" s="58">
        <v>45845</v>
      </c>
      <c r="P2036" s="59"/>
      <c r="Q2036" s="124" t="e">
        <f>P2036*#REF!</f>
        <v>#REF!</v>
      </c>
    </row>
    <row r="2037" spans="2:18" ht="17.25" hidden="1" customHeight="1">
      <c r="B2037" s="23">
        <v>45840</v>
      </c>
      <c r="C2037" s="7">
        <v>2003729527</v>
      </c>
      <c r="D2037" s="20">
        <v>208584</v>
      </c>
      <c r="E2037" s="27" t="s">
        <v>201</v>
      </c>
      <c r="F2037" s="7" t="s">
        <v>107</v>
      </c>
      <c r="G2037" s="7" t="s">
        <v>18</v>
      </c>
      <c r="H2037" s="7" t="s">
        <v>45</v>
      </c>
      <c r="I2037" s="20" t="s">
        <v>1015</v>
      </c>
      <c r="J2037" s="20" t="s">
        <v>3080</v>
      </c>
      <c r="K2037" s="7" t="s">
        <v>119</v>
      </c>
      <c r="L2037" s="61">
        <v>45845</v>
      </c>
      <c r="M2037" s="7" t="s">
        <v>111</v>
      </c>
      <c r="N2037" s="61">
        <v>45845</v>
      </c>
      <c r="O2037" s="24">
        <v>45846</v>
      </c>
      <c r="P2037" s="59"/>
      <c r="Q2037" s="124" t="e">
        <f>P2037*#REF!</f>
        <v>#REF!</v>
      </c>
    </row>
    <row r="2038" spans="2:18" ht="17.25" hidden="1" customHeight="1">
      <c r="B2038" s="23">
        <v>45840</v>
      </c>
      <c r="C2038" s="7">
        <v>2003728920</v>
      </c>
      <c r="D2038" s="20">
        <v>208230</v>
      </c>
      <c r="E2038" s="27" t="s">
        <v>949</v>
      </c>
      <c r="F2038" s="7" t="s">
        <v>107</v>
      </c>
      <c r="G2038" s="7" t="s">
        <v>10</v>
      </c>
      <c r="H2038" s="7" t="s">
        <v>45</v>
      </c>
      <c r="I2038" s="20" t="s">
        <v>3081</v>
      </c>
      <c r="J2038" s="20" t="s">
        <v>3082</v>
      </c>
      <c r="K2038" s="7" t="s">
        <v>119</v>
      </c>
      <c r="L2038" s="61">
        <v>45842</v>
      </c>
      <c r="M2038" s="7" t="s">
        <v>111</v>
      </c>
      <c r="N2038" s="61">
        <v>45845</v>
      </c>
      <c r="O2038" s="24">
        <v>45846</v>
      </c>
      <c r="P2038" s="59"/>
      <c r="Q2038" s="124" t="e">
        <f>P2038*#REF!</f>
        <v>#REF!</v>
      </c>
    </row>
    <row r="2039" spans="2:18" ht="17.25" hidden="1" customHeight="1">
      <c r="B2039" s="23">
        <v>45841</v>
      </c>
      <c r="C2039" s="7">
        <v>2003710069</v>
      </c>
      <c r="D2039" s="20">
        <v>6021264</v>
      </c>
      <c r="E2039" s="27" t="s">
        <v>138</v>
      </c>
      <c r="F2039" s="7" t="s">
        <v>107</v>
      </c>
      <c r="G2039" s="7" t="s">
        <v>21</v>
      </c>
      <c r="H2039" s="7" t="s">
        <v>45</v>
      </c>
      <c r="I2039" s="20" t="s">
        <v>419</v>
      </c>
      <c r="J2039" s="20" t="s">
        <v>2849</v>
      </c>
      <c r="K2039" s="7" t="s">
        <v>119</v>
      </c>
      <c r="L2039" s="61">
        <v>45842</v>
      </c>
      <c r="M2039" s="7" t="s">
        <v>111</v>
      </c>
      <c r="N2039" s="61">
        <v>45842</v>
      </c>
      <c r="O2039" s="24">
        <v>45846</v>
      </c>
      <c r="P2039" s="59"/>
      <c r="Q2039" s="124" t="e">
        <f>P2039*#REF!</f>
        <v>#REF!</v>
      </c>
    </row>
    <row r="2040" spans="2:18" ht="17.25" hidden="1" customHeight="1">
      <c r="B2040" s="23">
        <v>45841</v>
      </c>
      <c r="C2040" s="7">
        <v>2003675142</v>
      </c>
      <c r="D2040" s="20">
        <v>6021428</v>
      </c>
      <c r="E2040" s="27" t="s">
        <v>126</v>
      </c>
      <c r="F2040" s="7" t="s">
        <v>107</v>
      </c>
      <c r="G2040" s="7" t="s">
        <v>10</v>
      </c>
      <c r="H2040" s="7" t="s">
        <v>45</v>
      </c>
      <c r="I2040" s="20" t="s">
        <v>648</v>
      </c>
      <c r="J2040" s="20" t="s">
        <v>3083</v>
      </c>
      <c r="K2040" s="7" t="s">
        <v>119</v>
      </c>
      <c r="L2040" s="61">
        <v>45845</v>
      </c>
      <c r="M2040" s="7" t="s">
        <v>111</v>
      </c>
      <c r="N2040" s="61">
        <v>45845</v>
      </c>
      <c r="O2040" s="61">
        <v>45845</v>
      </c>
      <c r="P2040" s="59"/>
      <c r="Q2040" s="124" t="e">
        <f>P2040*#REF!</f>
        <v>#REF!</v>
      </c>
    </row>
    <row r="2041" spans="2:18" ht="17.25" hidden="1" customHeight="1">
      <c r="B2041" s="23">
        <v>45841</v>
      </c>
      <c r="C2041" s="7">
        <v>2003727794</v>
      </c>
      <c r="D2041" s="20">
        <v>6021607</v>
      </c>
      <c r="E2041" s="27" t="s">
        <v>408</v>
      </c>
      <c r="F2041" s="7" t="s">
        <v>107</v>
      </c>
      <c r="G2041" s="7" t="s">
        <v>18</v>
      </c>
      <c r="H2041" s="7" t="s">
        <v>45</v>
      </c>
      <c r="I2041" s="20" t="s">
        <v>1616</v>
      </c>
      <c r="J2041" s="20" t="s">
        <v>1874</v>
      </c>
      <c r="K2041" s="7" t="s">
        <v>110</v>
      </c>
      <c r="L2041" s="61">
        <v>45845</v>
      </c>
      <c r="M2041" s="7" t="s">
        <v>111</v>
      </c>
      <c r="N2041" s="61">
        <v>45845</v>
      </c>
      <c r="O2041" s="61">
        <v>45845</v>
      </c>
      <c r="P2041" s="59"/>
      <c r="Q2041" s="124" t="e">
        <f>P2041*#REF!</f>
        <v>#REF!</v>
      </c>
    </row>
    <row r="2042" spans="2:18" ht="17.25" hidden="1" customHeight="1">
      <c r="B2042" s="23">
        <v>45841</v>
      </c>
      <c r="C2042" s="7">
        <v>2003714100</v>
      </c>
      <c r="D2042" s="20">
        <v>6021735</v>
      </c>
      <c r="E2042" s="27" t="s">
        <v>143</v>
      </c>
      <c r="F2042" s="7" t="s">
        <v>113</v>
      </c>
      <c r="G2042" s="7" t="s">
        <v>18</v>
      </c>
      <c r="H2042" s="7" t="s">
        <v>42</v>
      </c>
      <c r="I2042" s="20" t="s">
        <v>3084</v>
      </c>
      <c r="J2042" s="20" t="s">
        <v>3085</v>
      </c>
      <c r="K2042" s="7" t="s">
        <v>110</v>
      </c>
      <c r="M2042" s="7" t="s">
        <v>111</v>
      </c>
      <c r="P2042" s="59"/>
      <c r="Q2042" s="124" t="e">
        <f>P2042*#REF!</f>
        <v>#REF!</v>
      </c>
    </row>
    <row r="2043" spans="2:18" ht="17.25" hidden="1" customHeight="1">
      <c r="B2043" s="23">
        <v>45841</v>
      </c>
      <c r="C2043" s="7">
        <v>2003714246</v>
      </c>
      <c r="D2043" s="20">
        <v>6021760</v>
      </c>
      <c r="E2043" s="27" t="s">
        <v>3086</v>
      </c>
      <c r="F2043" s="7" t="s">
        <v>107</v>
      </c>
      <c r="G2043" s="7" t="s">
        <v>10</v>
      </c>
      <c r="H2043" s="7" t="s">
        <v>45</v>
      </c>
      <c r="I2043" s="20" t="s">
        <v>3087</v>
      </c>
      <c r="J2043" s="20" t="s">
        <v>3088</v>
      </c>
      <c r="K2043" s="7" t="s">
        <v>110</v>
      </c>
      <c r="L2043" s="61">
        <v>45845</v>
      </c>
      <c r="M2043" s="7" t="s">
        <v>111</v>
      </c>
      <c r="N2043" s="61">
        <v>45845</v>
      </c>
      <c r="O2043" s="24">
        <v>45846</v>
      </c>
      <c r="P2043" s="59"/>
      <c r="Q2043" s="124" t="e">
        <f>P2043*#REF!</f>
        <v>#REF!</v>
      </c>
    </row>
    <row r="2044" spans="2:18" ht="17.25" hidden="1" customHeight="1">
      <c r="B2044" s="23">
        <v>45841</v>
      </c>
      <c r="C2044" s="7">
        <v>2003729584</v>
      </c>
      <c r="D2044" s="20">
        <v>6021766</v>
      </c>
      <c r="E2044" s="27" t="s">
        <v>191</v>
      </c>
      <c r="F2044" s="7" t="s">
        <v>107</v>
      </c>
      <c r="G2044" s="7" t="s">
        <v>10</v>
      </c>
      <c r="H2044" s="7" t="s">
        <v>45</v>
      </c>
      <c r="I2044" s="20" t="s">
        <v>1841</v>
      </c>
      <c r="J2044" s="20" t="s">
        <v>2954</v>
      </c>
      <c r="K2044" s="7" t="s">
        <v>110</v>
      </c>
      <c r="L2044" s="61">
        <v>45845</v>
      </c>
      <c r="M2044" s="7" t="s">
        <v>111</v>
      </c>
      <c r="N2044" s="61">
        <v>45845</v>
      </c>
      <c r="O2044" s="61">
        <v>45845</v>
      </c>
      <c r="P2044" s="59"/>
      <c r="Q2044" s="124" t="e">
        <f>P2044*#REF!</f>
        <v>#REF!</v>
      </c>
    </row>
    <row r="2045" spans="2:18" ht="17.25" hidden="1" customHeight="1">
      <c r="B2045" s="23">
        <v>45841</v>
      </c>
      <c r="C2045" s="7">
        <v>2003730537</v>
      </c>
      <c r="D2045" s="20">
        <v>6021772</v>
      </c>
      <c r="E2045" s="27" t="s">
        <v>116</v>
      </c>
      <c r="F2045" s="7" t="s">
        <v>107</v>
      </c>
      <c r="G2045" s="7" t="s">
        <v>10</v>
      </c>
      <c r="H2045" s="7" t="s">
        <v>45</v>
      </c>
      <c r="I2045" s="20" t="s">
        <v>3089</v>
      </c>
      <c r="J2045" s="20" t="s">
        <v>3090</v>
      </c>
      <c r="K2045" s="7" t="s">
        <v>119</v>
      </c>
      <c r="L2045" s="61">
        <v>45852</v>
      </c>
      <c r="M2045" s="7" t="s">
        <v>111</v>
      </c>
      <c r="N2045" s="61">
        <v>45852</v>
      </c>
      <c r="O2045" s="58">
        <v>45854</v>
      </c>
      <c r="P2045" s="59"/>
      <c r="Q2045" s="124" t="e">
        <f>P2045*#REF!</f>
        <v>#REF!</v>
      </c>
      <c r="R2045" s="126">
        <v>45856</v>
      </c>
    </row>
    <row r="2046" spans="2:18" ht="17.25" hidden="1" customHeight="1">
      <c r="B2046" s="23">
        <v>45841</v>
      </c>
      <c r="C2046" s="7">
        <v>2003694539</v>
      </c>
      <c r="D2046" s="20">
        <v>6021785</v>
      </c>
      <c r="E2046" s="27" t="s">
        <v>149</v>
      </c>
      <c r="F2046" s="7" t="s">
        <v>107</v>
      </c>
      <c r="G2046" s="7" t="s">
        <v>10</v>
      </c>
      <c r="H2046" s="7" t="s">
        <v>45</v>
      </c>
      <c r="I2046" s="20" t="s">
        <v>161</v>
      </c>
      <c r="J2046" s="20" t="s">
        <v>3091</v>
      </c>
      <c r="K2046" s="7" t="s">
        <v>110</v>
      </c>
      <c r="L2046" s="61">
        <v>45845</v>
      </c>
      <c r="M2046" s="7" t="s">
        <v>111</v>
      </c>
      <c r="N2046" s="61">
        <v>45845</v>
      </c>
      <c r="O2046" s="61">
        <v>45845</v>
      </c>
      <c r="P2046" s="59"/>
      <c r="Q2046" s="124" t="e">
        <f>P2046*#REF!</f>
        <v>#REF!</v>
      </c>
    </row>
    <row r="2047" spans="2:18" ht="17.25" hidden="1" customHeight="1">
      <c r="B2047" s="23">
        <v>45841</v>
      </c>
      <c r="C2047" s="7">
        <v>2003720235</v>
      </c>
      <c r="D2047" s="20">
        <v>6021812</v>
      </c>
      <c r="E2047" s="27" t="s">
        <v>408</v>
      </c>
      <c r="F2047" s="7" t="s">
        <v>107</v>
      </c>
      <c r="G2047" s="7" t="s">
        <v>21</v>
      </c>
      <c r="H2047" s="7" t="s">
        <v>45</v>
      </c>
      <c r="I2047" s="20" t="s">
        <v>1275</v>
      </c>
      <c r="J2047" s="20" t="s">
        <v>3013</v>
      </c>
      <c r="K2047" s="7" t="s">
        <v>119</v>
      </c>
      <c r="L2047" s="61">
        <v>45842</v>
      </c>
      <c r="M2047" s="7" t="s">
        <v>111</v>
      </c>
      <c r="N2047" s="61">
        <v>45842</v>
      </c>
      <c r="O2047" s="58">
        <v>45845</v>
      </c>
      <c r="P2047" s="59"/>
      <c r="Q2047" s="124" t="e">
        <f>P2047*#REF!</f>
        <v>#REF!</v>
      </c>
    </row>
    <row r="2048" spans="2:18" ht="17.25" hidden="1" customHeight="1">
      <c r="B2048" s="23">
        <v>45841</v>
      </c>
      <c r="C2048" s="7">
        <v>2003730648</v>
      </c>
      <c r="D2048" s="20">
        <v>210225</v>
      </c>
      <c r="E2048" s="27" t="s">
        <v>622</v>
      </c>
      <c r="F2048" s="7" t="s">
        <v>107</v>
      </c>
      <c r="G2048" s="7" t="s">
        <v>10</v>
      </c>
      <c r="H2048" s="7" t="s">
        <v>45</v>
      </c>
      <c r="I2048" s="20" t="s">
        <v>2099</v>
      </c>
      <c r="J2048" s="20" t="s">
        <v>3092</v>
      </c>
      <c r="K2048" s="7" t="s">
        <v>119</v>
      </c>
      <c r="L2048" s="61">
        <v>45845</v>
      </c>
      <c r="M2048" s="7" t="s">
        <v>111</v>
      </c>
      <c r="N2048" s="61">
        <v>45845</v>
      </c>
      <c r="O2048" s="24">
        <v>45846</v>
      </c>
      <c r="P2048" s="59"/>
      <c r="Q2048" s="124" t="e">
        <f>P2048*#REF!</f>
        <v>#REF!</v>
      </c>
    </row>
    <row r="2049" spans="2:18" ht="17.25" hidden="1" customHeight="1">
      <c r="B2049" s="23">
        <v>45841</v>
      </c>
      <c r="C2049" s="7">
        <v>2003669940</v>
      </c>
      <c r="D2049" s="20">
        <v>210194</v>
      </c>
      <c r="E2049" s="27" t="s">
        <v>116</v>
      </c>
      <c r="F2049" s="7" t="s">
        <v>107</v>
      </c>
      <c r="G2049" s="7" t="s">
        <v>26</v>
      </c>
      <c r="H2049" s="7" t="s">
        <v>45</v>
      </c>
      <c r="I2049" s="20" t="s">
        <v>1136</v>
      </c>
      <c r="J2049" s="20" t="s">
        <v>3093</v>
      </c>
      <c r="K2049" s="7" t="s">
        <v>119</v>
      </c>
      <c r="L2049" s="61">
        <v>45848</v>
      </c>
      <c r="M2049" s="7" t="s">
        <v>111</v>
      </c>
      <c r="N2049" s="24">
        <v>45853</v>
      </c>
      <c r="O2049" s="58">
        <v>45853</v>
      </c>
      <c r="P2049" s="59"/>
      <c r="Q2049" s="124" t="e">
        <f>P2049*#REF!</f>
        <v>#REF!</v>
      </c>
      <c r="R2049" s="126">
        <v>45853</v>
      </c>
    </row>
    <row r="2050" spans="2:18" ht="17.25" hidden="1" customHeight="1">
      <c r="B2050" s="23">
        <v>45838</v>
      </c>
      <c r="C2050" s="7">
        <v>2003677663</v>
      </c>
      <c r="D2050" s="20">
        <v>252504</v>
      </c>
      <c r="E2050" s="27" t="s">
        <v>1917</v>
      </c>
      <c r="F2050" s="7" t="s">
        <v>107</v>
      </c>
      <c r="G2050" s="7" t="s">
        <v>18</v>
      </c>
      <c r="H2050" s="7" t="s">
        <v>45</v>
      </c>
      <c r="I2050" s="20" t="s">
        <v>3094</v>
      </c>
      <c r="J2050" s="20" t="s">
        <v>3095</v>
      </c>
      <c r="K2050" s="7" t="s">
        <v>110</v>
      </c>
      <c r="L2050" s="61">
        <v>45853</v>
      </c>
      <c r="M2050" s="7" t="s">
        <v>111</v>
      </c>
      <c r="N2050" s="61">
        <v>45854</v>
      </c>
      <c r="O2050" s="58">
        <v>45855</v>
      </c>
      <c r="P2050" s="59"/>
      <c r="Q2050" s="124" t="e">
        <f>P2050*#REF!</f>
        <v>#REF!</v>
      </c>
      <c r="R2050" s="126">
        <v>45860</v>
      </c>
    </row>
    <row r="2051" spans="2:18" ht="17.25" hidden="1" customHeight="1">
      <c r="B2051" s="23">
        <v>45842</v>
      </c>
      <c r="C2051" s="7">
        <v>2003576908</v>
      </c>
      <c r="D2051" s="20">
        <v>6028386</v>
      </c>
      <c r="E2051" s="27" t="s">
        <v>135</v>
      </c>
      <c r="F2051" s="7" t="s">
        <v>107</v>
      </c>
      <c r="G2051" s="7" t="s">
        <v>15</v>
      </c>
      <c r="H2051" s="7" t="s">
        <v>45</v>
      </c>
      <c r="I2051" s="20" t="s">
        <v>3096</v>
      </c>
      <c r="J2051" s="20" t="s">
        <v>3097</v>
      </c>
      <c r="K2051" s="7" t="s">
        <v>119</v>
      </c>
      <c r="L2051" s="61">
        <v>45852</v>
      </c>
      <c r="M2051" s="7" t="s">
        <v>111</v>
      </c>
      <c r="N2051" s="61">
        <v>45852</v>
      </c>
      <c r="O2051" s="58">
        <v>45854</v>
      </c>
      <c r="P2051" s="59"/>
      <c r="Q2051" s="124" t="e">
        <f>P2051*#REF!</f>
        <v>#REF!</v>
      </c>
      <c r="R2051" s="126">
        <v>45856</v>
      </c>
    </row>
    <row r="2052" spans="2:18" ht="17.25" hidden="1" customHeight="1">
      <c r="B2052" s="23">
        <v>45842</v>
      </c>
      <c r="C2052" s="7">
        <v>2003683298</v>
      </c>
      <c r="D2052" s="20">
        <v>6034955</v>
      </c>
      <c r="E2052" s="27" t="s">
        <v>185</v>
      </c>
      <c r="F2052" s="7" t="s">
        <v>107</v>
      </c>
      <c r="G2052" s="7" t="s">
        <v>10</v>
      </c>
      <c r="H2052" s="7" t="s">
        <v>45</v>
      </c>
      <c r="I2052" s="20" t="s">
        <v>667</v>
      </c>
      <c r="J2052" s="20" t="s">
        <v>2624</v>
      </c>
      <c r="K2052" s="7" t="s">
        <v>110</v>
      </c>
      <c r="L2052" s="61">
        <v>45859</v>
      </c>
      <c r="M2052" s="7" t="s">
        <v>111</v>
      </c>
      <c r="N2052" s="61">
        <v>45859</v>
      </c>
      <c r="O2052" s="61">
        <v>45859</v>
      </c>
      <c r="P2052" s="59"/>
      <c r="Q2052" s="124" t="e">
        <f>P2052*#REF!</f>
        <v>#REF!</v>
      </c>
      <c r="R2052" s="126">
        <v>45860</v>
      </c>
    </row>
    <row r="2053" spans="2:18" ht="17.25" hidden="1" customHeight="1">
      <c r="B2053" s="23">
        <v>45842</v>
      </c>
      <c r="C2053" s="7">
        <v>2003726523</v>
      </c>
      <c r="D2053" s="20">
        <v>6035244</v>
      </c>
      <c r="E2053" s="27" t="s">
        <v>1225</v>
      </c>
      <c r="F2053" s="7" t="s">
        <v>107</v>
      </c>
      <c r="G2053" s="7" t="s">
        <v>10</v>
      </c>
      <c r="H2053" s="7" t="s">
        <v>45</v>
      </c>
      <c r="I2053" s="20" t="s">
        <v>3098</v>
      </c>
      <c r="J2053" s="20" t="s">
        <v>3099</v>
      </c>
      <c r="K2053" s="7" t="s">
        <v>119</v>
      </c>
      <c r="L2053" s="61">
        <v>45848</v>
      </c>
      <c r="M2053" s="7" t="s">
        <v>111</v>
      </c>
      <c r="N2053" s="61">
        <v>45848</v>
      </c>
      <c r="O2053" s="61">
        <v>45853</v>
      </c>
      <c r="P2053" s="59"/>
      <c r="Q2053" s="124" t="e">
        <f>P2053*#REF!</f>
        <v>#REF!</v>
      </c>
      <c r="R2053" s="126">
        <v>45853</v>
      </c>
    </row>
    <row r="2054" spans="2:18" ht="17.25" hidden="1" customHeight="1">
      <c r="B2054" s="23">
        <v>45842</v>
      </c>
      <c r="C2054" s="7">
        <v>2003729803</v>
      </c>
      <c r="D2054" s="20">
        <v>6035292</v>
      </c>
      <c r="E2054" s="27" t="s">
        <v>888</v>
      </c>
      <c r="F2054" s="7" t="s">
        <v>107</v>
      </c>
      <c r="G2054" s="7" t="s">
        <v>10</v>
      </c>
      <c r="H2054" s="7" t="s">
        <v>45</v>
      </c>
      <c r="I2054" s="20" t="s">
        <v>3100</v>
      </c>
      <c r="J2054" s="20" t="s">
        <v>3015</v>
      </c>
      <c r="K2054" s="7" t="s">
        <v>111</v>
      </c>
      <c r="L2054" s="61">
        <v>45845</v>
      </c>
      <c r="M2054" s="7" t="s">
        <v>111</v>
      </c>
      <c r="N2054" s="61">
        <v>45845</v>
      </c>
      <c r="O2054" s="61">
        <v>45845</v>
      </c>
      <c r="P2054" s="59"/>
      <c r="Q2054" s="124" t="e">
        <f>P2054*#REF!</f>
        <v>#REF!</v>
      </c>
    </row>
    <row r="2055" spans="2:18" ht="17.25" hidden="1" customHeight="1">
      <c r="B2055" s="23">
        <v>45842</v>
      </c>
      <c r="C2055" s="7">
        <v>2003716195</v>
      </c>
      <c r="D2055" s="20">
        <v>6035576</v>
      </c>
      <c r="E2055" s="27" t="s">
        <v>106</v>
      </c>
      <c r="F2055" s="7" t="s">
        <v>113</v>
      </c>
      <c r="G2055" s="7" t="s">
        <v>70</v>
      </c>
      <c r="H2055" s="7" t="s">
        <v>47</v>
      </c>
      <c r="I2055" s="20" t="s">
        <v>631</v>
      </c>
      <c r="J2055" s="20" t="s">
        <v>3101</v>
      </c>
      <c r="K2055" s="7" t="s">
        <v>160</v>
      </c>
      <c r="P2055" s="59"/>
      <c r="Q2055" s="124" t="e">
        <f>P2055*#REF!</f>
        <v>#REF!</v>
      </c>
      <c r="R2055" s="126">
        <v>45866</v>
      </c>
    </row>
    <row r="2056" spans="2:18" ht="17.25" hidden="1" customHeight="1">
      <c r="B2056" s="23">
        <v>45842</v>
      </c>
      <c r="C2056" s="7">
        <v>2003726084</v>
      </c>
      <c r="D2056" s="20">
        <v>211698</v>
      </c>
      <c r="E2056" s="27" t="s">
        <v>1225</v>
      </c>
      <c r="F2056" s="7" t="s">
        <v>107</v>
      </c>
      <c r="G2056" s="7" t="s">
        <v>10</v>
      </c>
      <c r="H2056" s="7" t="s">
        <v>45</v>
      </c>
      <c r="I2056" s="20" t="s">
        <v>3102</v>
      </c>
      <c r="J2056" s="20" t="s">
        <v>3103</v>
      </c>
      <c r="K2056" s="7" t="s">
        <v>110</v>
      </c>
      <c r="L2056" s="61">
        <v>45849</v>
      </c>
      <c r="M2056" s="7" t="s">
        <v>111</v>
      </c>
      <c r="N2056" s="61">
        <v>45849</v>
      </c>
      <c r="O2056" s="61">
        <v>45853</v>
      </c>
      <c r="P2056" s="59"/>
      <c r="Q2056" s="124" t="e">
        <f>P2056*#REF!</f>
        <v>#REF!</v>
      </c>
      <c r="R2056" s="126">
        <v>45853</v>
      </c>
    </row>
    <row r="2057" spans="2:18" ht="17.25" hidden="1" customHeight="1">
      <c r="B2057" s="23">
        <v>45842</v>
      </c>
      <c r="C2057" s="7">
        <v>2003729728</v>
      </c>
      <c r="D2057" s="20">
        <v>211645</v>
      </c>
      <c r="E2057" s="27" t="s">
        <v>143</v>
      </c>
      <c r="F2057" s="7" t="s">
        <v>113</v>
      </c>
      <c r="G2057" s="7" t="s">
        <v>70</v>
      </c>
      <c r="H2057" s="7" t="s">
        <v>47</v>
      </c>
      <c r="I2057" s="20" t="s">
        <v>932</v>
      </c>
      <c r="J2057" s="20" t="s">
        <v>3104</v>
      </c>
      <c r="K2057" s="7" t="s">
        <v>160</v>
      </c>
      <c r="P2057" s="59"/>
      <c r="Q2057" s="124" t="e">
        <f>P2057*#REF!</f>
        <v>#REF!</v>
      </c>
      <c r="R2057" s="126">
        <v>45866</v>
      </c>
    </row>
    <row r="2058" spans="2:18" ht="17.25" hidden="1" customHeight="1">
      <c r="B2058" s="23">
        <v>45842</v>
      </c>
      <c r="C2058" s="7">
        <v>2003728918</v>
      </c>
      <c r="D2058" s="20">
        <v>211393</v>
      </c>
      <c r="E2058" s="27" t="s">
        <v>408</v>
      </c>
      <c r="F2058" s="7" t="s">
        <v>107</v>
      </c>
      <c r="G2058" s="7" t="s">
        <v>18</v>
      </c>
      <c r="H2058" s="7" t="s">
        <v>45</v>
      </c>
      <c r="I2058" s="20" t="s">
        <v>3105</v>
      </c>
      <c r="J2058" s="20" t="s">
        <v>3106</v>
      </c>
      <c r="K2058" s="7" t="s">
        <v>110</v>
      </c>
      <c r="L2058" s="61">
        <v>45852</v>
      </c>
      <c r="M2058" s="7" t="s">
        <v>111</v>
      </c>
      <c r="N2058" s="61">
        <v>45852</v>
      </c>
      <c r="O2058" s="61">
        <v>45852</v>
      </c>
      <c r="P2058" s="59"/>
      <c r="Q2058" s="124" t="e">
        <f>P2058*#REF!</f>
        <v>#REF!</v>
      </c>
      <c r="R2058" s="126">
        <v>45853</v>
      </c>
    </row>
    <row r="2059" spans="2:18" ht="17.25" hidden="1" customHeight="1">
      <c r="B2059" s="23">
        <v>45842</v>
      </c>
      <c r="C2059" s="7">
        <v>2003723828</v>
      </c>
      <c r="D2059" s="20">
        <v>211272</v>
      </c>
      <c r="E2059" s="27" t="s">
        <v>116</v>
      </c>
      <c r="F2059" s="7" t="s">
        <v>107</v>
      </c>
      <c r="G2059" s="7" t="s">
        <v>18</v>
      </c>
      <c r="H2059" s="7" t="s">
        <v>45</v>
      </c>
      <c r="I2059" s="20" t="s">
        <v>3107</v>
      </c>
      <c r="J2059" s="20" t="s">
        <v>3108</v>
      </c>
      <c r="K2059" s="7" t="s">
        <v>119</v>
      </c>
      <c r="L2059" s="61">
        <v>45849</v>
      </c>
      <c r="M2059" s="7" t="s">
        <v>111</v>
      </c>
      <c r="N2059" s="61">
        <v>45849</v>
      </c>
      <c r="O2059" s="61">
        <v>45849</v>
      </c>
      <c r="P2059" s="59"/>
      <c r="Q2059" s="124" t="e">
        <f>P2059*#REF!</f>
        <v>#REF!</v>
      </c>
      <c r="R2059" s="126">
        <v>45853</v>
      </c>
    </row>
    <row r="2060" spans="2:18" ht="17.25" hidden="1" customHeight="1">
      <c r="B2060" s="23">
        <v>45842</v>
      </c>
      <c r="C2060" s="7">
        <v>2003665649</v>
      </c>
      <c r="D2060" s="20">
        <v>211241</v>
      </c>
      <c r="E2060" s="27" t="s">
        <v>1225</v>
      </c>
      <c r="F2060" s="7" t="s">
        <v>107</v>
      </c>
      <c r="G2060" s="7" t="s">
        <v>10</v>
      </c>
      <c r="H2060" s="7" t="s">
        <v>45</v>
      </c>
      <c r="I2060" s="20" t="s">
        <v>1966</v>
      </c>
      <c r="J2060" s="20" t="s">
        <v>3109</v>
      </c>
      <c r="K2060" s="7" t="s">
        <v>110</v>
      </c>
      <c r="L2060" s="61">
        <v>45848</v>
      </c>
      <c r="M2060" s="7" t="s">
        <v>111</v>
      </c>
      <c r="N2060" s="61">
        <v>45848</v>
      </c>
      <c r="O2060" s="61">
        <v>45848</v>
      </c>
      <c r="P2060" s="59"/>
      <c r="Q2060" s="124" t="e">
        <f>P2060*#REF!</f>
        <v>#REF!</v>
      </c>
      <c r="R2060" s="126">
        <v>45853</v>
      </c>
    </row>
    <row r="2061" spans="2:18" ht="17.25" hidden="1" customHeight="1">
      <c r="B2061" s="23">
        <v>45842</v>
      </c>
      <c r="C2061" s="7">
        <v>2003692517</v>
      </c>
      <c r="D2061" s="20">
        <v>211050</v>
      </c>
      <c r="E2061" s="27" t="s">
        <v>123</v>
      </c>
      <c r="F2061" s="7" t="s">
        <v>107</v>
      </c>
      <c r="G2061" s="7" t="s">
        <v>10</v>
      </c>
      <c r="H2061" s="7" t="s">
        <v>45</v>
      </c>
      <c r="I2061" s="20" t="s">
        <v>3110</v>
      </c>
      <c r="J2061" s="20" t="s">
        <v>3111</v>
      </c>
      <c r="K2061" s="7" t="s">
        <v>119</v>
      </c>
      <c r="L2061" s="61">
        <v>45846</v>
      </c>
      <c r="M2061" s="7" t="s">
        <v>111</v>
      </c>
      <c r="N2061" s="61">
        <v>45849</v>
      </c>
      <c r="O2061" s="61">
        <v>45849</v>
      </c>
      <c r="P2061" s="59"/>
      <c r="Q2061" s="124" t="e">
        <f>P2061*#REF!</f>
        <v>#REF!</v>
      </c>
      <c r="R2061" s="126">
        <v>45853</v>
      </c>
    </row>
    <row r="2062" spans="2:18" ht="17.25" hidden="1" customHeight="1">
      <c r="B2062" s="23">
        <v>45842</v>
      </c>
      <c r="C2062" s="7">
        <v>2003723306</v>
      </c>
      <c r="D2062" s="20">
        <v>210850</v>
      </c>
      <c r="E2062" s="27" t="s">
        <v>486</v>
      </c>
      <c r="F2062" s="7" t="s">
        <v>107</v>
      </c>
      <c r="G2062" s="7" t="s">
        <v>10</v>
      </c>
      <c r="H2062" s="7" t="s">
        <v>45</v>
      </c>
      <c r="I2062" s="20" t="s">
        <v>466</v>
      </c>
      <c r="J2062" s="20" t="s">
        <v>3112</v>
      </c>
      <c r="K2062" s="7" t="s">
        <v>119</v>
      </c>
      <c r="L2062" s="61">
        <v>45845</v>
      </c>
      <c r="M2062" s="7" t="s">
        <v>111</v>
      </c>
      <c r="N2062" s="61">
        <v>45845</v>
      </c>
      <c r="O2062" s="24">
        <v>45846</v>
      </c>
      <c r="P2062" s="59"/>
      <c r="Q2062" s="124" t="e">
        <f>P2062*#REF!</f>
        <v>#REF!</v>
      </c>
    </row>
    <row r="2063" spans="2:18" ht="17.25" hidden="1" customHeight="1">
      <c r="B2063" s="23">
        <v>45842</v>
      </c>
      <c r="C2063" s="7">
        <v>2003668710</v>
      </c>
      <c r="D2063" s="20">
        <v>210766</v>
      </c>
      <c r="E2063" s="27" t="s">
        <v>486</v>
      </c>
      <c r="F2063" s="7" t="s">
        <v>107</v>
      </c>
      <c r="G2063" s="7" t="s">
        <v>26</v>
      </c>
      <c r="H2063" s="7" t="s">
        <v>45</v>
      </c>
      <c r="I2063" s="20" t="s">
        <v>392</v>
      </c>
      <c r="J2063" s="20" t="s">
        <v>3113</v>
      </c>
      <c r="K2063" s="7" t="s">
        <v>110</v>
      </c>
      <c r="L2063" s="61">
        <v>45849</v>
      </c>
      <c r="M2063" s="7" t="s">
        <v>111</v>
      </c>
      <c r="N2063" s="24">
        <v>45853</v>
      </c>
      <c r="O2063" s="58">
        <v>45853</v>
      </c>
      <c r="P2063" s="59"/>
      <c r="Q2063" s="124" t="e">
        <f>P2063*#REF!</f>
        <v>#REF!</v>
      </c>
      <c r="R2063" s="126">
        <v>45853</v>
      </c>
    </row>
    <row r="2064" spans="2:18" ht="17.25" hidden="1" customHeight="1">
      <c r="B2064" s="23">
        <v>45845</v>
      </c>
      <c r="C2064" s="7">
        <v>2003730985</v>
      </c>
      <c r="D2064" s="20">
        <v>6035946</v>
      </c>
      <c r="E2064" s="27" t="s">
        <v>149</v>
      </c>
      <c r="F2064" s="7" t="s">
        <v>107</v>
      </c>
      <c r="G2064" s="7" t="s">
        <v>10</v>
      </c>
      <c r="H2064" s="7" t="s">
        <v>45</v>
      </c>
      <c r="I2064" s="20" t="s">
        <v>3114</v>
      </c>
      <c r="J2064" s="20" t="s">
        <v>3091</v>
      </c>
      <c r="K2064" s="7" t="s">
        <v>110</v>
      </c>
      <c r="L2064" s="61">
        <v>45845</v>
      </c>
      <c r="M2064" s="7" t="s">
        <v>111</v>
      </c>
      <c r="N2064" s="24">
        <v>45846</v>
      </c>
      <c r="O2064" s="61">
        <v>45849</v>
      </c>
      <c r="P2064" s="59"/>
      <c r="Q2064" s="124" t="e">
        <f>P2064*#REF!</f>
        <v>#REF!</v>
      </c>
      <c r="R2064" s="126">
        <v>45853</v>
      </c>
    </row>
    <row r="2065" spans="2:18" ht="17.25" hidden="1" customHeight="1">
      <c r="B2065" s="23">
        <v>45845</v>
      </c>
      <c r="C2065" s="7">
        <v>2003697610</v>
      </c>
      <c r="D2065" s="20">
        <v>6036433</v>
      </c>
      <c r="E2065" s="27" t="s">
        <v>622</v>
      </c>
      <c r="F2065" s="7" t="s">
        <v>107</v>
      </c>
      <c r="G2065" s="7" t="s">
        <v>10</v>
      </c>
      <c r="H2065" s="7" t="s">
        <v>45</v>
      </c>
      <c r="I2065" s="20" t="s">
        <v>3115</v>
      </c>
      <c r="J2065" s="20" t="s">
        <v>3116</v>
      </c>
      <c r="K2065" s="7" t="s">
        <v>119</v>
      </c>
      <c r="L2065" s="61">
        <v>45848</v>
      </c>
      <c r="M2065" s="7" t="s">
        <v>111</v>
      </c>
      <c r="N2065" s="61">
        <v>45849</v>
      </c>
      <c r="O2065" s="61">
        <v>45849</v>
      </c>
      <c r="P2065" s="59"/>
      <c r="Q2065" s="124" t="e">
        <f>P2065*#REF!</f>
        <v>#REF!</v>
      </c>
      <c r="R2065" s="126">
        <v>45853</v>
      </c>
    </row>
    <row r="2066" spans="2:18" ht="17.25" hidden="1" customHeight="1">
      <c r="B2066" s="23">
        <v>45845</v>
      </c>
      <c r="C2066" s="7">
        <v>2003732624</v>
      </c>
      <c r="D2066" s="20">
        <v>6036469</v>
      </c>
      <c r="E2066" s="27" t="s">
        <v>568</v>
      </c>
      <c r="F2066" s="7" t="s">
        <v>107</v>
      </c>
      <c r="G2066" s="7" t="s">
        <v>10</v>
      </c>
      <c r="H2066" s="7" t="s">
        <v>45</v>
      </c>
      <c r="I2066" s="20" t="s">
        <v>3117</v>
      </c>
      <c r="J2066" s="20" t="s">
        <v>3118</v>
      </c>
      <c r="K2066" s="7" t="s">
        <v>119</v>
      </c>
      <c r="L2066" s="61">
        <v>45848</v>
      </c>
      <c r="M2066" s="7" t="s">
        <v>111</v>
      </c>
      <c r="N2066" s="61">
        <v>45848</v>
      </c>
      <c r="O2066" s="61">
        <v>45849</v>
      </c>
      <c r="P2066" s="59"/>
      <c r="Q2066" s="124" t="e">
        <f>P2066*#REF!</f>
        <v>#REF!</v>
      </c>
      <c r="R2066" s="126">
        <v>45853</v>
      </c>
    </row>
    <row r="2067" spans="2:18" ht="17.25" hidden="1" customHeight="1">
      <c r="B2067" s="23">
        <v>45845</v>
      </c>
      <c r="C2067" s="7">
        <v>2003604846</v>
      </c>
      <c r="D2067" s="20">
        <v>6036476</v>
      </c>
      <c r="E2067" s="27" t="s">
        <v>201</v>
      </c>
      <c r="F2067" s="7" t="s">
        <v>107</v>
      </c>
      <c r="G2067" s="7" t="s">
        <v>26</v>
      </c>
      <c r="H2067" s="7" t="s">
        <v>45</v>
      </c>
      <c r="I2067" s="20" t="s">
        <v>3119</v>
      </c>
      <c r="J2067" s="20" t="s">
        <v>3120</v>
      </c>
      <c r="K2067" s="7" t="s">
        <v>119</v>
      </c>
      <c r="L2067" s="61">
        <v>45846</v>
      </c>
      <c r="M2067" s="7" t="s">
        <v>111</v>
      </c>
      <c r="P2067" s="59"/>
      <c r="Q2067" s="124" t="e">
        <f>P2067*#REF!</f>
        <v>#REF!</v>
      </c>
    </row>
    <row r="2068" spans="2:18" ht="17.25" hidden="1" customHeight="1">
      <c r="B2068" s="23">
        <v>45845</v>
      </c>
      <c r="C2068" s="7">
        <v>2003731445</v>
      </c>
      <c r="D2068" s="20">
        <v>6036509</v>
      </c>
      <c r="E2068" s="27" t="s">
        <v>116</v>
      </c>
      <c r="F2068" s="7" t="s">
        <v>107</v>
      </c>
      <c r="G2068" s="7" t="s">
        <v>18</v>
      </c>
      <c r="H2068" s="7" t="s">
        <v>45</v>
      </c>
      <c r="I2068" s="20" t="s">
        <v>3121</v>
      </c>
      <c r="J2068" s="20" t="s">
        <v>3122</v>
      </c>
      <c r="K2068" s="7" t="s">
        <v>119</v>
      </c>
      <c r="L2068" s="61">
        <v>45849</v>
      </c>
      <c r="M2068" s="7" t="s">
        <v>111</v>
      </c>
      <c r="N2068" s="61">
        <v>45852</v>
      </c>
      <c r="O2068" s="58">
        <v>45853</v>
      </c>
      <c r="P2068" s="59"/>
      <c r="Q2068" s="124" t="e">
        <f>P2068*#REF!</f>
        <v>#REF!</v>
      </c>
      <c r="R2068" s="126">
        <v>45856</v>
      </c>
    </row>
    <row r="2069" spans="2:18" ht="17.25" hidden="1" customHeight="1">
      <c r="B2069" s="23">
        <v>45845</v>
      </c>
      <c r="C2069" s="7">
        <v>2003715212</v>
      </c>
      <c r="D2069" s="20">
        <v>213485</v>
      </c>
      <c r="E2069" s="27" t="s">
        <v>116</v>
      </c>
      <c r="F2069" s="7" t="s">
        <v>107</v>
      </c>
      <c r="G2069" s="7" t="s">
        <v>10</v>
      </c>
      <c r="H2069" s="7" t="s">
        <v>45</v>
      </c>
      <c r="I2069" s="20" t="s">
        <v>2156</v>
      </c>
      <c r="J2069" s="20" t="s">
        <v>3123</v>
      </c>
      <c r="K2069" s="7" t="s">
        <v>119</v>
      </c>
      <c r="L2069" s="61">
        <v>45848</v>
      </c>
      <c r="M2069" s="7" t="s">
        <v>111</v>
      </c>
      <c r="N2069" s="61">
        <v>45848</v>
      </c>
      <c r="O2069" s="61">
        <v>45849</v>
      </c>
      <c r="P2069" s="59"/>
      <c r="Q2069" s="124" t="e">
        <f>P2069*#REF!</f>
        <v>#REF!</v>
      </c>
      <c r="R2069" s="126">
        <v>45853</v>
      </c>
    </row>
    <row r="2070" spans="2:18" ht="17.25" hidden="1" customHeight="1">
      <c r="B2070" s="23">
        <v>45845</v>
      </c>
      <c r="C2070" s="7">
        <v>2003731943</v>
      </c>
      <c r="D2070" s="20">
        <v>213332</v>
      </c>
      <c r="E2070" s="27" t="s">
        <v>152</v>
      </c>
      <c r="F2070" s="7" t="s">
        <v>107</v>
      </c>
      <c r="G2070" s="7" t="s">
        <v>10</v>
      </c>
      <c r="H2070" s="7" t="s">
        <v>45</v>
      </c>
      <c r="I2070" s="20" t="s">
        <v>3124</v>
      </c>
      <c r="J2070" s="20" t="s">
        <v>3125</v>
      </c>
      <c r="K2070" s="7" t="s">
        <v>119</v>
      </c>
      <c r="L2070" s="61">
        <v>45848</v>
      </c>
      <c r="M2070" s="7" t="s">
        <v>111</v>
      </c>
      <c r="N2070" s="61">
        <v>45848</v>
      </c>
      <c r="O2070" s="61">
        <v>45849</v>
      </c>
      <c r="P2070" s="59"/>
      <c r="Q2070" s="124" t="e">
        <f>P2070*#REF!</f>
        <v>#REF!</v>
      </c>
      <c r="R2070" s="126">
        <v>45853</v>
      </c>
    </row>
    <row r="2071" spans="2:18" ht="17.25" hidden="1" customHeight="1">
      <c r="B2071" s="23">
        <v>45845</v>
      </c>
      <c r="C2071" s="7">
        <v>2003659603</v>
      </c>
      <c r="D2071" s="20">
        <v>213330</v>
      </c>
      <c r="E2071" s="27" t="s">
        <v>408</v>
      </c>
      <c r="F2071" s="7" t="s">
        <v>107</v>
      </c>
      <c r="G2071" s="7" t="s">
        <v>10</v>
      </c>
      <c r="H2071" s="7" t="s">
        <v>45</v>
      </c>
      <c r="I2071" s="20" t="s">
        <v>150</v>
      </c>
      <c r="J2071" s="20" t="s">
        <v>3126</v>
      </c>
      <c r="K2071" s="7" t="s">
        <v>119</v>
      </c>
      <c r="L2071" s="61">
        <v>45848</v>
      </c>
      <c r="M2071" s="7" t="s">
        <v>111</v>
      </c>
      <c r="N2071" s="61">
        <v>45848</v>
      </c>
      <c r="O2071" s="61">
        <v>45848</v>
      </c>
      <c r="P2071" s="59"/>
      <c r="Q2071" s="124" t="e">
        <f>P2071*#REF!</f>
        <v>#REF!</v>
      </c>
      <c r="R2071" s="126">
        <v>45853</v>
      </c>
    </row>
    <row r="2072" spans="2:18" ht="17.25" hidden="1" customHeight="1">
      <c r="B2072" s="23">
        <v>45845</v>
      </c>
      <c r="C2072" s="7">
        <v>2003719436</v>
      </c>
      <c r="D2072" s="20">
        <v>212788</v>
      </c>
      <c r="E2072" s="27" t="s">
        <v>116</v>
      </c>
      <c r="F2072" s="7" t="s">
        <v>107</v>
      </c>
      <c r="G2072" s="7" t="s">
        <v>10</v>
      </c>
      <c r="H2072" s="7" t="s">
        <v>45</v>
      </c>
      <c r="I2072" s="20" t="s">
        <v>1978</v>
      </c>
      <c r="J2072" s="20" t="s">
        <v>1979</v>
      </c>
      <c r="K2072" s="7" t="s">
        <v>119</v>
      </c>
      <c r="L2072" s="61">
        <v>45846</v>
      </c>
      <c r="M2072" s="7" t="s">
        <v>111</v>
      </c>
      <c r="N2072" s="61">
        <v>45846</v>
      </c>
      <c r="O2072" s="61">
        <v>45846</v>
      </c>
      <c r="P2072" s="59"/>
      <c r="Q2072" s="124" t="e">
        <f>P2072*#REF!</f>
        <v>#REF!</v>
      </c>
    </row>
    <row r="2073" spans="2:18" ht="17.25" hidden="1" customHeight="1">
      <c r="B2073" s="23">
        <v>45845</v>
      </c>
      <c r="C2073" s="7">
        <v>2003711894</v>
      </c>
      <c r="D2073" s="20">
        <v>212679</v>
      </c>
      <c r="E2073" s="27" t="s">
        <v>116</v>
      </c>
      <c r="F2073" s="7" t="s">
        <v>107</v>
      </c>
      <c r="G2073" s="7" t="s">
        <v>10</v>
      </c>
      <c r="H2073" s="7" t="s">
        <v>45</v>
      </c>
      <c r="I2073" s="20" t="s">
        <v>3127</v>
      </c>
      <c r="J2073" s="20" t="s">
        <v>3128</v>
      </c>
      <c r="K2073" s="7" t="s">
        <v>119</v>
      </c>
      <c r="L2073" s="61">
        <v>45846</v>
      </c>
      <c r="M2073" s="7" t="s">
        <v>111</v>
      </c>
      <c r="N2073" s="61">
        <v>45848</v>
      </c>
      <c r="O2073" s="61">
        <v>45849</v>
      </c>
      <c r="P2073" s="59"/>
      <c r="Q2073" s="124" t="e">
        <f>P2073*#REF!</f>
        <v>#REF!</v>
      </c>
      <c r="R2073" s="126">
        <v>45853</v>
      </c>
    </row>
    <row r="2074" spans="2:18" ht="17.25" hidden="1" customHeight="1">
      <c r="B2074" s="23">
        <v>45846</v>
      </c>
      <c r="C2074" s="7">
        <v>2003732132</v>
      </c>
      <c r="D2074" s="20">
        <v>6036970</v>
      </c>
      <c r="E2074" s="27" t="s">
        <v>149</v>
      </c>
      <c r="F2074" s="7" t="s">
        <v>107</v>
      </c>
      <c r="G2074" s="7" t="s">
        <v>10</v>
      </c>
      <c r="H2074" s="7" t="s">
        <v>45</v>
      </c>
      <c r="I2074" s="20" t="s">
        <v>3129</v>
      </c>
      <c r="J2074" s="20" t="s">
        <v>3130</v>
      </c>
      <c r="K2074" s="7" t="s">
        <v>119</v>
      </c>
      <c r="L2074" s="61">
        <v>45852</v>
      </c>
      <c r="M2074" s="7" t="s">
        <v>111</v>
      </c>
      <c r="N2074" s="61">
        <v>45855</v>
      </c>
      <c r="O2074" s="61">
        <v>45855</v>
      </c>
      <c r="P2074" s="59"/>
      <c r="Q2074" s="124" t="e">
        <f>P2074*#REF!</f>
        <v>#REF!</v>
      </c>
      <c r="R2074" s="126">
        <v>45856</v>
      </c>
    </row>
    <row r="2075" spans="2:18" ht="17.25" hidden="1" customHeight="1">
      <c r="B2075" s="23">
        <v>45846</v>
      </c>
      <c r="C2075" s="7">
        <v>2003714749</v>
      </c>
      <c r="D2075" s="20">
        <v>6037006</v>
      </c>
      <c r="E2075" s="27" t="s">
        <v>106</v>
      </c>
      <c r="F2075" s="7" t="s">
        <v>107</v>
      </c>
      <c r="G2075" s="7" t="s">
        <v>10</v>
      </c>
      <c r="H2075" s="7" t="s">
        <v>45</v>
      </c>
      <c r="I2075" s="20" t="s">
        <v>657</v>
      </c>
      <c r="J2075" s="20" t="s">
        <v>3065</v>
      </c>
      <c r="K2075" s="7" t="s">
        <v>119</v>
      </c>
      <c r="L2075" s="61">
        <v>45848</v>
      </c>
      <c r="M2075" s="7" t="s">
        <v>111</v>
      </c>
      <c r="N2075" s="61">
        <v>45848</v>
      </c>
      <c r="O2075" s="61">
        <v>45848</v>
      </c>
      <c r="P2075" s="59"/>
      <c r="Q2075" s="124" t="e">
        <f>P2075*#REF!</f>
        <v>#REF!</v>
      </c>
      <c r="R2075" s="126">
        <v>45853</v>
      </c>
    </row>
    <row r="2076" spans="2:18" ht="17.25" hidden="1" customHeight="1">
      <c r="B2076" s="23">
        <v>45846</v>
      </c>
      <c r="C2076" s="7">
        <v>2003733103</v>
      </c>
      <c r="D2076" s="20">
        <v>6037028</v>
      </c>
      <c r="E2076" s="27" t="s">
        <v>152</v>
      </c>
      <c r="F2076" s="7" t="s">
        <v>107</v>
      </c>
      <c r="G2076" s="7" t="s">
        <v>18</v>
      </c>
      <c r="H2076" s="7" t="s">
        <v>45</v>
      </c>
      <c r="I2076" s="20" t="s">
        <v>3131</v>
      </c>
      <c r="J2076" s="20" t="s">
        <v>3132</v>
      </c>
      <c r="K2076" s="7" t="s">
        <v>119</v>
      </c>
      <c r="L2076" s="61">
        <v>45861</v>
      </c>
      <c r="M2076" s="7" t="s">
        <v>111</v>
      </c>
      <c r="N2076" s="24">
        <v>45866</v>
      </c>
      <c r="O2076" s="58">
        <v>45868</v>
      </c>
      <c r="P2076" s="59"/>
      <c r="Q2076" s="124" t="e">
        <f>P2076*#REF!</f>
        <v>#REF!</v>
      </c>
      <c r="R2076" s="126">
        <v>45868</v>
      </c>
    </row>
    <row r="2077" spans="2:18" ht="17.25" hidden="1" customHeight="1">
      <c r="B2077" s="23">
        <v>45846</v>
      </c>
      <c r="C2077" s="7">
        <v>2003559911</v>
      </c>
      <c r="D2077" s="20">
        <v>6037093</v>
      </c>
      <c r="E2077" s="27" t="s">
        <v>191</v>
      </c>
      <c r="F2077" s="7" t="s">
        <v>107</v>
      </c>
      <c r="G2077" s="7" t="s">
        <v>10</v>
      </c>
      <c r="H2077" s="7" t="s">
        <v>45</v>
      </c>
      <c r="I2077" s="20" t="s">
        <v>3133</v>
      </c>
      <c r="J2077" s="20" t="s">
        <v>3134</v>
      </c>
      <c r="K2077" s="7" t="s">
        <v>119</v>
      </c>
      <c r="L2077" s="61">
        <v>45849</v>
      </c>
      <c r="M2077" s="7" t="s">
        <v>111</v>
      </c>
      <c r="N2077" s="61">
        <v>45849</v>
      </c>
      <c r="O2077" s="61">
        <v>45853</v>
      </c>
      <c r="P2077" s="59"/>
      <c r="Q2077" s="124" t="e">
        <f>P2077*#REF!</f>
        <v>#REF!</v>
      </c>
      <c r="R2077" s="126">
        <v>45853</v>
      </c>
    </row>
    <row r="2078" spans="2:18" ht="17.25" hidden="1" customHeight="1">
      <c r="B2078" s="23">
        <v>45846</v>
      </c>
      <c r="C2078" s="7">
        <v>2003478893</v>
      </c>
      <c r="D2078" s="20">
        <v>6037207</v>
      </c>
      <c r="E2078" s="27" t="s">
        <v>126</v>
      </c>
      <c r="F2078" s="7" t="s">
        <v>107</v>
      </c>
      <c r="G2078" s="7" t="s">
        <v>26</v>
      </c>
      <c r="H2078" s="7" t="s">
        <v>45</v>
      </c>
      <c r="I2078" s="20" t="s">
        <v>3135</v>
      </c>
      <c r="J2078" s="20" t="s">
        <v>3136</v>
      </c>
      <c r="K2078" s="7" t="s">
        <v>110</v>
      </c>
      <c r="L2078" s="61">
        <v>45853</v>
      </c>
      <c r="M2078" s="7" t="s">
        <v>111</v>
      </c>
      <c r="N2078" s="61">
        <v>45853</v>
      </c>
      <c r="O2078" s="61">
        <v>45853</v>
      </c>
      <c r="P2078" s="59"/>
      <c r="Q2078" s="124" t="e">
        <f>P2078*#REF!</f>
        <v>#REF!</v>
      </c>
      <c r="R2078" s="126">
        <v>45853</v>
      </c>
    </row>
    <row r="2079" spans="2:18" ht="17.25" hidden="1" customHeight="1">
      <c r="B2079" s="23">
        <v>45846</v>
      </c>
      <c r="C2079" s="7">
        <v>2003694645</v>
      </c>
      <c r="D2079" s="20">
        <v>214625</v>
      </c>
      <c r="E2079" s="27" t="s">
        <v>116</v>
      </c>
      <c r="F2079" s="7" t="s">
        <v>107</v>
      </c>
      <c r="G2079" s="7" t="s">
        <v>21</v>
      </c>
      <c r="H2079" s="7" t="s">
        <v>45</v>
      </c>
      <c r="I2079" s="20" t="s">
        <v>3137</v>
      </c>
      <c r="J2079" s="20" t="s">
        <v>3138</v>
      </c>
      <c r="K2079" s="7" t="s">
        <v>119</v>
      </c>
      <c r="L2079" s="61">
        <v>45848</v>
      </c>
      <c r="M2079" s="7" t="s">
        <v>111</v>
      </c>
      <c r="N2079" s="24">
        <v>45860</v>
      </c>
      <c r="O2079" s="24">
        <v>45860</v>
      </c>
      <c r="P2079" s="59"/>
      <c r="Q2079" s="124" t="e">
        <f>P2079*#REF!</f>
        <v>#REF!</v>
      </c>
      <c r="R2079" s="126">
        <v>45863</v>
      </c>
    </row>
    <row r="2080" spans="2:18" ht="17.25" hidden="1" customHeight="1">
      <c r="B2080" s="23">
        <v>45846</v>
      </c>
      <c r="C2080" s="7">
        <v>2003717352</v>
      </c>
      <c r="D2080" s="20">
        <v>213937</v>
      </c>
      <c r="E2080" s="27" t="s">
        <v>486</v>
      </c>
      <c r="F2080" s="7" t="s">
        <v>107</v>
      </c>
      <c r="G2080" s="7" t="s">
        <v>10</v>
      </c>
      <c r="H2080" s="7" t="s">
        <v>45</v>
      </c>
      <c r="I2080" s="20" t="s">
        <v>2677</v>
      </c>
      <c r="J2080" s="20" t="s">
        <v>3139</v>
      </c>
      <c r="K2080" s="7" t="s">
        <v>119</v>
      </c>
      <c r="L2080" s="61">
        <v>45852</v>
      </c>
      <c r="M2080" s="7" t="s">
        <v>111</v>
      </c>
      <c r="N2080" s="61">
        <v>45852</v>
      </c>
      <c r="O2080" s="58">
        <v>45854</v>
      </c>
      <c r="P2080" s="59"/>
      <c r="Q2080" s="124" t="e">
        <f>P2080*#REF!</f>
        <v>#REF!</v>
      </c>
      <c r="R2080" s="126">
        <v>45856</v>
      </c>
    </row>
    <row r="2081" spans="2:18" ht="17.25" hidden="1" customHeight="1">
      <c r="B2081" s="23">
        <v>45846</v>
      </c>
      <c r="C2081" s="7">
        <v>2003721035</v>
      </c>
      <c r="D2081" s="20">
        <v>213890</v>
      </c>
      <c r="E2081" s="27" t="s">
        <v>123</v>
      </c>
      <c r="F2081" s="7" t="s">
        <v>107</v>
      </c>
      <c r="G2081" s="7" t="s">
        <v>10</v>
      </c>
      <c r="H2081" s="7" t="s">
        <v>45</v>
      </c>
      <c r="I2081" s="20" t="s">
        <v>3140</v>
      </c>
      <c r="J2081" s="20" t="s">
        <v>3141</v>
      </c>
      <c r="K2081" s="7" t="s">
        <v>110</v>
      </c>
      <c r="L2081" s="61">
        <v>45853</v>
      </c>
      <c r="M2081" s="7" t="s">
        <v>111</v>
      </c>
      <c r="N2081" s="61">
        <v>45853</v>
      </c>
      <c r="O2081" s="58">
        <v>45854</v>
      </c>
      <c r="P2081" s="59"/>
      <c r="Q2081" s="124" t="e">
        <f>P2081*#REF!</f>
        <v>#REF!</v>
      </c>
      <c r="R2081" s="126">
        <v>45856</v>
      </c>
    </row>
    <row r="2082" spans="2:18" ht="17.25" hidden="1" customHeight="1">
      <c r="B2082" s="23">
        <v>45846</v>
      </c>
      <c r="C2082" s="7">
        <v>2003689493</v>
      </c>
      <c r="D2082" s="20">
        <v>213905</v>
      </c>
      <c r="E2082" s="27" t="s">
        <v>230</v>
      </c>
      <c r="F2082" s="7" t="s">
        <v>107</v>
      </c>
      <c r="G2082" s="7" t="s">
        <v>10</v>
      </c>
      <c r="H2082" s="7" t="s">
        <v>45</v>
      </c>
      <c r="I2082" s="20" t="s">
        <v>3142</v>
      </c>
      <c r="J2082" s="20" t="s">
        <v>3143</v>
      </c>
      <c r="K2082" s="7" t="s">
        <v>110</v>
      </c>
      <c r="L2082" s="61">
        <v>45852</v>
      </c>
      <c r="M2082" s="7" t="s">
        <v>111</v>
      </c>
      <c r="N2082" s="24">
        <v>45859</v>
      </c>
      <c r="O2082" s="24">
        <v>45859</v>
      </c>
      <c r="P2082" s="59"/>
      <c r="Q2082" s="124" t="e">
        <f>P2082*#REF!</f>
        <v>#REF!</v>
      </c>
      <c r="R2082" s="126">
        <v>45860</v>
      </c>
    </row>
    <row r="2083" spans="2:18" ht="17.25" hidden="1" customHeight="1">
      <c r="B2083" s="23">
        <v>45846</v>
      </c>
      <c r="C2083" s="7">
        <v>2003717783</v>
      </c>
      <c r="D2083" s="20">
        <v>213740</v>
      </c>
      <c r="E2083" s="27" t="s">
        <v>568</v>
      </c>
      <c r="F2083" s="7" t="s">
        <v>107</v>
      </c>
      <c r="G2083" s="7" t="s">
        <v>18</v>
      </c>
      <c r="H2083" s="7" t="s">
        <v>45</v>
      </c>
      <c r="I2083" s="20" t="s">
        <v>3144</v>
      </c>
      <c r="J2083" s="20" t="s">
        <v>3145</v>
      </c>
      <c r="K2083" s="7" t="s">
        <v>119</v>
      </c>
      <c r="L2083" s="61">
        <v>45848</v>
      </c>
      <c r="M2083" s="7" t="s">
        <v>111</v>
      </c>
      <c r="N2083" s="61">
        <v>45848</v>
      </c>
      <c r="O2083" s="58">
        <v>45855</v>
      </c>
      <c r="P2083" s="59"/>
      <c r="Q2083" s="124" t="e">
        <f>P2083*#REF!</f>
        <v>#REF!</v>
      </c>
      <c r="R2083" s="126">
        <v>45856</v>
      </c>
    </row>
    <row r="2084" spans="2:18" ht="17.25" hidden="1" customHeight="1">
      <c r="B2084" s="23">
        <v>45846</v>
      </c>
      <c r="C2084" s="7">
        <v>2003549867</v>
      </c>
      <c r="D2084" s="20">
        <v>6037515</v>
      </c>
      <c r="E2084" s="27" t="s">
        <v>106</v>
      </c>
      <c r="F2084" s="7" t="s">
        <v>107</v>
      </c>
      <c r="G2084" s="7" t="s">
        <v>10</v>
      </c>
      <c r="H2084" s="7" t="s">
        <v>45</v>
      </c>
      <c r="I2084" s="20" t="s">
        <v>466</v>
      </c>
      <c r="J2084" s="20" t="s">
        <v>2854</v>
      </c>
      <c r="K2084" s="7" t="s">
        <v>110</v>
      </c>
      <c r="L2084" s="61">
        <v>45852</v>
      </c>
      <c r="M2084" s="7" t="s">
        <v>111</v>
      </c>
      <c r="N2084" s="61">
        <v>45852</v>
      </c>
      <c r="O2084" s="58">
        <v>45854</v>
      </c>
      <c r="P2084" s="59"/>
      <c r="Q2084" s="124" t="e">
        <f>P2084*#REF!</f>
        <v>#REF!</v>
      </c>
      <c r="R2084" s="126">
        <v>45856</v>
      </c>
    </row>
    <row r="2085" spans="2:18" ht="17.25" hidden="1" customHeight="1">
      <c r="B2085" s="23">
        <v>45848</v>
      </c>
      <c r="C2085" s="7">
        <v>2003683356</v>
      </c>
      <c r="D2085" s="20">
        <v>6037664</v>
      </c>
      <c r="E2085" s="27" t="s">
        <v>568</v>
      </c>
      <c r="F2085" s="7" t="s">
        <v>107</v>
      </c>
      <c r="G2085" s="7" t="s">
        <v>10</v>
      </c>
      <c r="H2085" s="7" t="s">
        <v>45</v>
      </c>
      <c r="I2085" s="20" t="s">
        <v>704</v>
      </c>
      <c r="J2085" s="20" t="s">
        <v>3146</v>
      </c>
      <c r="K2085" s="7" t="s">
        <v>110</v>
      </c>
      <c r="L2085" s="61">
        <v>45849</v>
      </c>
      <c r="M2085" s="7" t="s">
        <v>111</v>
      </c>
      <c r="N2085" s="61">
        <v>45849</v>
      </c>
      <c r="O2085" s="58">
        <v>45853</v>
      </c>
      <c r="P2085" s="59"/>
      <c r="Q2085" s="124" t="e">
        <f>P2085*#REF!</f>
        <v>#REF!</v>
      </c>
      <c r="R2085" s="126">
        <v>45853</v>
      </c>
    </row>
    <row r="2086" spans="2:18" ht="17.25" hidden="1" customHeight="1">
      <c r="B2086" s="23">
        <v>45848</v>
      </c>
      <c r="C2086" s="7">
        <v>2003604846</v>
      </c>
      <c r="D2086" s="20">
        <v>6037751</v>
      </c>
      <c r="E2086" s="27" t="s">
        <v>622</v>
      </c>
      <c r="F2086" s="7" t="s">
        <v>107</v>
      </c>
      <c r="G2086" s="7" t="s">
        <v>10</v>
      </c>
      <c r="H2086" s="7" t="s">
        <v>45</v>
      </c>
      <c r="I2086" s="20" t="s">
        <v>851</v>
      </c>
      <c r="J2086" s="20" t="s">
        <v>3120</v>
      </c>
      <c r="K2086" s="7" t="s">
        <v>119</v>
      </c>
      <c r="L2086" s="61">
        <v>45849</v>
      </c>
      <c r="M2086" s="7" t="s">
        <v>111</v>
      </c>
      <c r="N2086" s="61">
        <v>45849</v>
      </c>
      <c r="O2086" s="61">
        <v>45853</v>
      </c>
      <c r="P2086" s="59"/>
      <c r="Q2086" s="124" t="e">
        <f>P2086*#REF!</f>
        <v>#REF!</v>
      </c>
      <c r="R2086" s="126">
        <v>45853</v>
      </c>
    </row>
    <row r="2087" spans="2:18" ht="17.25" hidden="1" customHeight="1">
      <c r="B2087" s="23">
        <v>45848</v>
      </c>
      <c r="C2087" s="7">
        <v>2003572241</v>
      </c>
      <c r="D2087" s="20">
        <v>6037768</v>
      </c>
      <c r="E2087" s="27" t="s">
        <v>258</v>
      </c>
      <c r="F2087" s="7" t="s">
        <v>107</v>
      </c>
      <c r="G2087" s="7" t="s">
        <v>166</v>
      </c>
      <c r="H2087" s="7" t="s">
        <v>45</v>
      </c>
      <c r="I2087" s="20" t="s">
        <v>589</v>
      </c>
      <c r="J2087" s="20" t="s">
        <v>590</v>
      </c>
      <c r="K2087" s="7" t="s">
        <v>119</v>
      </c>
      <c r="L2087" s="61">
        <v>45849</v>
      </c>
      <c r="M2087" s="7" t="s">
        <v>111</v>
      </c>
      <c r="N2087" s="61">
        <v>45849</v>
      </c>
      <c r="O2087" s="61">
        <v>45849</v>
      </c>
      <c r="P2087" s="59"/>
      <c r="Q2087" s="124" t="e">
        <f>P2087*#REF!</f>
        <v>#REF!</v>
      </c>
      <c r="R2087" s="126">
        <v>45853</v>
      </c>
    </row>
    <row r="2088" spans="2:18" ht="17.25" hidden="1" customHeight="1">
      <c r="B2088" s="23">
        <v>45848</v>
      </c>
      <c r="C2088" s="7">
        <v>2003734333</v>
      </c>
      <c r="D2088" s="20">
        <v>6037795</v>
      </c>
      <c r="E2088" s="27" t="s">
        <v>129</v>
      </c>
      <c r="F2088" s="7" t="s">
        <v>113</v>
      </c>
      <c r="G2088" s="7" t="s">
        <v>70</v>
      </c>
      <c r="H2088" s="7" t="s">
        <v>47</v>
      </c>
      <c r="I2088" s="20" t="s">
        <v>3147</v>
      </c>
      <c r="J2088" s="20" t="s">
        <v>3148</v>
      </c>
      <c r="K2088" s="7" t="s">
        <v>160</v>
      </c>
      <c r="P2088" s="59"/>
      <c r="Q2088" s="124" t="e">
        <f>P2088*#REF!</f>
        <v>#REF!</v>
      </c>
      <c r="R2088" s="126">
        <v>45866</v>
      </c>
    </row>
    <row r="2089" spans="2:18" ht="17.25" hidden="1" customHeight="1">
      <c r="B2089" s="23">
        <v>45848</v>
      </c>
      <c r="C2089" s="7">
        <v>2003664908</v>
      </c>
      <c r="D2089" s="20">
        <v>6037921</v>
      </c>
      <c r="E2089" s="27" t="s">
        <v>949</v>
      </c>
      <c r="F2089" s="7" t="s">
        <v>107</v>
      </c>
      <c r="G2089" s="7" t="s">
        <v>10</v>
      </c>
      <c r="H2089" s="7" t="s">
        <v>45</v>
      </c>
      <c r="I2089" s="20" t="s">
        <v>3149</v>
      </c>
      <c r="J2089" s="20" t="s">
        <v>3150</v>
      </c>
      <c r="K2089" s="7" t="s">
        <v>110</v>
      </c>
      <c r="L2089" s="61">
        <v>45852</v>
      </c>
      <c r="M2089" s="7" t="s">
        <v>111</v>
      </c>
      <c r="N2089" s="61">
        <v>45852</v>
      </c>
      <c r="O2089" s="58">
        <v>45854</v>
      </c>
      <c r="P2089" s="59"/>
      <c r="Q2089" s="124" t="e">
        <f>P2089*#REF!</f>
        <v>#REF!</v>
      </c>
      <c r="R2089" s="126">
        <v>45856</v>
      </c>
    </row>
    <row r="2090" spans="2:18" ht="17.25" hidden="1" customHeight="1">
      <c r="B2090" s="23">
        <v>45848</v>
      </c>
      <c r="C2090" s="7">
        <v>2003733785</v>
      </c>
      <c r="D2090" s="20">
        <v>6038108</v>
      </c>
      <c r="E2090" s="27" t="s">
        <v>191</v>
      </c>
      <c r="F2090" s="7" t="s">
        <v>107</v>
      </c>
      <c r="G2090" s="7" t="s">
        <v>18</v>
      </c>
      <c r="H2090" s="7" t="s">
        <v>45</v>
      </c>
      <c r="I2090" s="20" t="s">
        <v>3151</v>
      </c>
      <c r="J2090" s="20" t="s">
        <v>3152</v>
      </c>
      <c r="K2090" s="7" t="s">
        <v>110</v>
      </c>
      <c r="L2090" s="61">
        <v>45853</v>
      </c>
      <c r="M2090" s="7" t="s">
        <v>111</v>
      </c>
      <c r="N2090" s="61">
        <v>45853</v>
      </c>
      <c r="O2090" s="58">
        <v>45855</v>
      </c>
      <c r="P2090" s="59"/>
      <c r="Q2090" s="124" t="e">
        <f>P2090*#REF!</f>
        <v>#REF!</v>
      </c>
      <c r="R2090" s="126">
        <v>45856</v>
      </c>
    </row>
    <row r="2091" spans="2:18" ht="17.25" hidden="1" customHeight="1">
      <c r="B2091" s="23">
        <v>45848</v>
      </c>
      <c r="C2091" s="7">
        <v>2003672905</v>
      </c>
      <c r="D2091" s="20">
        <v>6038160</v>
      </c>
      <c r="E2091" s="27" t="s">
        <v>185</v>
      </c>
      <c r="F2091" s="7" t="s">
        <v>107</v>
      </c>
      <c r="G2091" s="7" t="s">
        <v>21</v>
      </c>
      <c r="H2091" s="7" t="s">
        <v>45</v>
      </c>
      <c r="I2091" s="20" t="s">
        <v>706</v>
      </c>
      <c r="J2091" s="20" t="s">
        <v>2282</v>
      </c>
      <c r="K2091" s="7" t="s">
        <v>111</v>
      </c>
      <c r="L2091" s="61">
        <v>45849</v>
      </c>
      <c r="M2091" s="7" t="s">
        <v>111</v>
      </c>
      <c r="N2091" s="61">
        <v>45849</v>
      </c>
      <c r="O2091" s="61">
        <v>45849</v>
      </c>
      <c r="P2091" s="59"/>
      <c r="Q2091" s="124" t="e">
        <f>P2091*#REF!</f>
        <v>#REF!</v>
      </c>
      <c r="R2091" s="126">
        <v>45853</v>
      </c>
    </row>
    <row r="2092" spans="2:18" ht="17.25" hidden="1" customHeight="1">
      <c r="B2092" s="23">
        <v>45848</v>
      </c>
      <c r="C2092" s="7">
        <v>2003714348</v>
      </c>
      <c r="D2092" s="20">
        <v>6038198</v>
      </c>
      <c r="E2092" s="27" t="s">
        <v>366</v>
      </c>
      <c r="F2092" s="7" t="s">
        <v>107</v>
      </c>
      <c r="G2092" s="7" t="s">
        <v>26</v>
      </c>
      <c r="H2092" s="7" t="s">
        <v>45</v>
      </c>
      <c r="I2092" s="20" t="s">
        <v>2686</v>
      </c>
      <c r="J2092" s="20" t="s">
        <v>3153</v>
      </c>
      <c r="K2092" s="7" t="s">
        <v>110</v>
      </c>
      <c r="L2092" s="61">
        <v>45853</v>
      </c>
      <c r="M2092" s="7" t="s">
        <v>111</v>
      </c>
      <c r="N2092" s="24">
        <v>45856</v>
      </c>
      <c r="O2092" s="58">
        <v>45856</v>
      </c>
      <c r="P2092" s="59"/>
      <c r="Q2092" s="124" t="e">
        <f>P2092*#REF!</f>
        <v>#REF!</v>
      </c>
      <c r="R2092" s="126">
        <v>45856</v>
      </c>
    </row>
    <row r="2093" spans="2:18" ht="17.25" hidden="1" customHeight="1">
      <c r="B2093" s="23">
        <v>45848</v>
      </c>
      <c r="C2093" s="7">
        <v>2003672992</v>
      </c>
      <c r="D2093" s="20">
        <v>6038207</v>
      </c>
      <c r="E2093" s="27" t="s">
        <v>1225</v>
      </c>
      <c r="F2093" s="7" t="s">
        <v>107</v>
      </c>
      <c r="G2093" s="7" t="s">
        <v>10</v>
      </c>
      <c r="H2093" s="7" t="s">
        <v>45</v>
      </c>
      <c r="I2093" s="20" t="s">
        <v>2933</v>
      </c>
      <c r="J2093" s="20" t="s">
        <v>3154</v>
      </c>
      <c r="K2093" s="7" t="s">
        <v>110</v>
      </c>
      <c r="L2093" s="61">
        <v>45853</v>
      </c>
      <c r="M2093" s="7" t="s">
        <v>111</v>
      </c>
      <c r="N2093" s="61">
        <v>45853</v>
      </c>
      <c r="O2093" s="58">
        <v>45856</v>
      </c>
      <c r="P2093" s="59"/>
      <c r="Q2093" s="124" t="e">
        <f>P2093*#REF!</f>
        <v>#REF!</v>
      </c>
      <c r="R2093" s="126">
        <v>45856</v>
      </c>
    </row>
    <row r="2094" spans="2:18" ht="17.25" hidden="1" customHeight="1">
      <c r="B2094" s="23">
        <v>45848</v>
      </c>
      <c r="C2094" s="7">
        <v>2003727466</v>
      </c>
      <c r="D2094" s="20">
        <v>216230</v>
      </c>
      <c r="E2094" s="27" t="s">
        <v>152</v>
      </c>
      <c r="F2094" s="7" t="s">
        <v>107</v>
      </c>
      <c r="G2094" s="7" t="s">
        <v>26</v>
      </c>
      <c r="H2094" s="7" t="s">
        <v>45</v>
      </c>
      <c r="I2094" s="20" t="s">
        <v>385</v>
      </c>
      <c r="J2094" s="20" t="s">
        <v>3155</v>
      </c>
      <c r="K2094" s="7" t="s">
        <v>110</v>
      </c>
      <c r="L2094" s="61">
        <v>45852</v>
      </c>
      <c r="M2094" s="7" t="s">
        <v>111</v>
      </c>
      <c r="N2094" s="24">
        <v>45853</v>
      </c>
      <c r="O2094" s="58">
        <v>45853</v>
      </c>
      <c r="P2094" s="59"/>
      <c r="Q2094" s="124" t="e">
        <f>P2094*#REF!</f>
        <v>#REF!</v>
      </c>
      <c r="R2094" s="126">
        <v>45853</v>
      </c>
    </row>
    <row r="2095" spans="2:18" ht="17.25" hidden="1" customHeight="1">
      <c r="B2095" s="23">
        <v>45848</v>
      </c>
      <c r="C2095" s="7">
        <v>2003726273</v>
      </c>
      <c r="D2095" s="20">
        <v>216208</v>
      </c>
      <c r="E2095" s="27" t="s">
        <v>152</v>
      </c>
      <c r="F2095" s="7" t="s">
        <v>107</v>
      </c>
      <c r="G2095" s="7" t="s">
        <v>18</v>
      </c>
      <c r="H2095" s="7" t="s">
        <v>45</v>
      </c>
      <c r="I2095" s="20" t="s">
        <v>164</v>
      </c>
      <c r="J2095" s="20" t="s">
        <v>3156</v>
      </c>
      <c r="K2095" s="7" t="s">
        <v>119</v>
      </c>
      <c r="L2095" s="61">
        <v>45866</v>
      </c>
      <c r="M2095" s="7" t="s">
        <v>111</v>
      </c>
      <c r="N2095" s="61">
        <v>45866</v>
      </c>
      <c r="O2095" s="58">
        <v>45868</v>
      </c>
      <c r="P2095" s="59"/>
      <c r="Q2095" s="124" t="e">
        <f>P2095*#REF!</f>
        <v>#REF!</v>
      </c>
      <c r="R2095" s="126">
        <v>45868</v>
      </c>
    </row>
    <row r="2096" spans="2:18" ht="17.25" hidden="1" customHeight="1">
      <c r="B2096" s="23">
        <v>45848</v>
      </c>
      <c r="C2096" s="7">
        <v>2003730052</v>
      </c>
      <c r="D2096" s="20">
        <v>216033</v>
      </c>
      <c r="E2096" s="27" t="s">
        <v>143</v>
      </c>
      <c r="F2096" s="7" t="s">
        <v>107</v>
      </c>
      <c r="G2096" s="7" t="s">
        <v>10</v>
      </c>
      <c r="H2096" s="7" t="s">
        <v>45</v>
      </c>
      <c r="I2096" s="20" t="s">
        <v>3157</v>
      </c>
      <c r="J2096" s="20" t="s">
        <v>1794</v>
      </c>
      <c r="K2096" s="7" t="s">
        <v>110</v>
      </c>
      <c r="L2096" s="61">
        <v>45852</v>
      </c>
      <c r="M2096" s="7" t="s">
        <v>111</v>
      </c>
      <c r="N2096" s="61">
        <v>45860</v>
      </c>
      <c r="O2096" s="24">
        <v>45862</v>
      </c>
      <c r="P2096" s="59"/>
      <c r="Q2096" s="124" t="e">
        <f>P2096*#REF!</f>
        <v>#REF!</v>
      </c>
      <c r="R2096" s="126">
        <v>45863</v>
      </c>
    </row>
    <row r="2097" spans="2:18" ht="17.25" hidden="1" customHeight="1">
      <c r="B2097" s="23">
        <v>45848</v>
      </c>
      <c r="C2097" s="7">
        <v>2003728929</v>
      </c>
      <c r="D2097" s="20">
        <v>215873</v>
      </c>
      <c r="E2097" s="27" t="s">
        <v>849</v>
      </c>
      <c r="F2097" s="7" t="s">
        <v>107</v>
      </c>
      <c r="G2097" s="7" t="s">
        <v>10</v>
      </c>
      <c r="H2097" s="7" t="s">
        <v>45</v>
      </c>
      <c r="I2097" s="20" t="s">
        <v>2960</v>
      </c>
      <c r="J2097" s="20" t="s">
        <v>3158</v>
      </c>
      <c r="K2097" s="7" t="s">
        <v>110</v>
      </c>
      <c r="L2097" s="61">
        <v>45852</v>
      </c>
      <c r="M2097" s="7" t="s">
        <v>111</v>
      </c>
      <c r="N2097" s="61">
        <v>45852</v>
      </c>
      <c r="O2097" s="58">
        <v>45854</v>
      </c>
      <c r="P2097" s="59"/>
      <c r="Q2097" s="124" t="e">
        <f>P2097*#REF!</f>
        <v>#REF!</v>
      </c>
      <c r="R2097" s="126">
        <v>45856</v>
      </c>
    </row>
    <row r="2098" spans="2:18" ht="17.25" hidden="1" customHeight="1">
      <c r="B2098" s="23">
        <v>45848</v>
      </c>
      <c r="C2098" s="7">
        <v>2003719690</v>
      </c>
      <c r="D2098" s="20">
        <v>215425</v>
      </c>
      <c r="E2098" s="27" t="s">
        <v>486</v>
      </c>
      <c r="F2098" s="7" t="s">
        <v>107</v>
      </c>
      <c r="G2098" s="7" t="s">
        <v>10</v>
      </c>
      <c r="H2098" s="7" t="s">
        <v>45</v>
      </c>
      <c r="I2098" s="20" t="s">
        <v>3159</v>
      </c>
      <c r="J2098" s="20" t="s">
        <v>1903</v>
      </c>
      <c r="K2098" s="7" t="s">
        <v>110</v>
      </c>
      <c r="L2098" s="61">
        <v>45854</v>
      </c>
      <c r="M2098" s="7" t="s">
        <v>111</v>
      </c>
      <c r="N2098" s="24">
        <v>45856</v>
      </c>
      <c r="O2098" s="24">
        <v>45856</v>
      </c>
      <c r="P2098" s="59"/>
      <c r="Q2098" s="124" t="e">
        <f>P2098*#REF!</f>
        <v>#REF!</v>
      </c>
      <c r="R2098" s="126">
        <v>45856</v>
      </c>
    </row>
    <row r="2099" spans="2:18" ht="17.25" hidden="1" customHeight="1">
      <c r="B2099" s="23">
        <v>45848</v>
      </c>
      <c r="C2099" s="7">
        <v>2003726331</v>
      </c>
      <c r="D2099" s="20">
        <v>215401</v>
      </c>
      <c r="E2099" s="27" t="s">
        <v>123</v>
      </c>
      <c r="F2099" s="7" t="s">
        <v>107</v>
      </c>
      <c r="G2099" s="7" t="s">
        <v>18</v>
      </c>
      <c r="H2099" s="7" t="s">
        <v>45</v>
      </c>
      <c r="I2099" s="20" t="s">
        <v>3160</v>
      </c>
      <c r="J2099" s="20" t="s">
        <v>3161</v>
      </c>
      <c r="K2099" s="7" t="s">
        <v>119</v>
      </c>
      <c r="L2099" s="61">
        <v>45853</v>
      </c>
      <c r="M2099" s="7" t="s">
        <v>111</v>
      </c>
      <c r="N2099" s="61">
        <v>45854</v>
      </c>
      <c r="O2099" s="58">
        <v>45855</v>
      </c>
      <c r="P2099" s="59"/>
      <c r="Q2099" s="124" t="e">
        <f>P2099*#REF!</f>
        <v>#REF!</v>
      </c>
      <c r="R2099" s="126">
        <v>45856</v>
      </c>
    </row>
    <row r="2100" spans="2:18" ht="17.25" hidden="1" customHeight="1">
      <c r="B2100" s="23">
        <v>45849</v>
      </c>
      <c r="C2100" s="7">
        <v>2003723398</v>
      </c>
      <c r="D2100" s="20">
        <v>6038368</v>
      </c>
      <c r="E2100" s="27" t="s">
        <v>888</v>
      </c>
      <c r="F2100" s="7" t="s">
        <v>107</v>
      </c>
      <c r="G2100" s="7" t="s">
        <v>10</v>
      </c>
      <c r="H2100" s="7" t="s">
        <v>45</v>
      </c>
      <c r="I2100" s="20" t="s">
        <v>2774</v>
      </c>
      <c r="J2100" s="20" t="s">
        <v>3162</v>
      </c>
      <c r="K2100" s="7" t="s">
        <v>119</v>
      </c>
      <c r="L2100" s="61">
        <v>45849</v>
      </c>
      <c r="M2100" s="7" t="s">
        <v>111</v>
      </c>
      <c r="N2100" s="24">
        <v>45853</v>
      </c>
      <c r="O2100" s="24">
        <v>45853</v>
      </c>
      <c r="P2100" s="59"/>
      <c r="Q2100" s="124" t="e">
        <f>P2100*#REF!</f>
        <v>#REF!</v>
      </c>
      <c r="R2100" s="126">
        <v>45853</v>
      </c>
    </row>
    <row r="2101" spans="2:18" ht="17.25" hidden="1" customHeight="1">
      <c r="B2101" s="23">
        <v>45849</v>
      </c>
      <c r="C2101" s="7">
        <v>2003731545</v>
      </c>
      <c r="D2101" s="20">
        <v>6038476</v>
      </c>
      <c r="E2101" s="27" t="s">
        <v>123</v>
      </c>
      <c r="F2101" s="7" t="s">
        <v>107</v>
      </c>
      <c r="G2101" s="7" t="s">
        <v>10</v>
      </c>
      <c r="H2101" s="7" t="s">
        <v>45</v>
      </c>
      <c r="I2101" s="20" t="s">
        <v>1671</v>
      </c>
      <c r="J2101" s="20" t="s">
        <v>3163</v>
      </c>
      <c r="K2101" s="7" t="s">
        <v>110</v>
      </c>
      <c r="L2101" s="61">
        <v>45854</v>
      </c>
      <c r="M2101" s="7" t="s">
        <v>111</v>
      </c>
      <c r="N2101" s="61">
        <v>45854</v>
      </c>
      <c r="O2101" s="61">
        <v>45854</v>
      </c>
      <c r="P2101" s="59"/>
      <c r="Q2101" s="124" t="e">
        <f>P2101*#REF!</f>
        <v>#REF!</v>
      </c>
      <c r="R2101" s="126">
        <v>45856</v>
      </c>
    </row>
    <row r="2102" spans="2:18" ht="17.25" hidden="1" customHeight="1">
      <c r="B2102" s="23">
        <v>45849</v>
      </c>
      <c r="C2102" s="7">
        <v>2003735182</v>
      </c>
      <c r="D2102" s="20">
        <v>6038489</v>
      </c>
      <c r="E2102" s="27" t="s">
        <v>230</v>
      </c>
      <c r="F2102" s="7" t="s">
        <v>107</v>
      </c>
      <c r="G2102" s="7" t="s">
        <v>18</v>
      </c>
      <c r="H2102" s="7" t="s">
        <v>45</v>
      </c>
      <c r="I2102" s="20" t="s">
        <v>3164</v>
      </c>
      <c r="J2102" s="20" t="s">
        <v>3165</v>
      </c>
      <c r="K2102" s="7" t="s">
        <v>110</v>
      </c>
      <c r="L2102" s="61">
        <v>45854</v>
      </c>
      <c r="M2102" s="7" t="s">
        <v>111</v>
      </c>
      <c r="N2102" s="61">
        <v>45854</v>
      </c>
      <c r="O2102" s="58">
        <v>45855</v>
      </c>
      <c r="P2102" s="59"/>
      <c r="Q2102" s="124" t="e">
        <f>P2102*#REF!</f>
        <v>#REF!</v>
      </c>
      <c r="R2102" s="126">
        <v>45856</v>
      </c>
    </row>
    <row r="2103" spans="2:18" ht="17.25" hidden="1" customHeight="1">
      <c r="B2103" s="23">
        <v>45849</v>
      </c>
      <c r="C2103" s="7">
        <v>2003674631</v>
      </c>
      <c r="D2103" s="20">
        <v>6038577</v>
      </c>
      <c r="E2103" s="27" t="s">
        <v>123</v>
      </c>
      <c r="F2103" s="7" t="s">
        <v>107</v>
      </c>
      <c r="G2103" s="7" t="s">
        <v>21</v>
      </c>
      <c r="H2103" s="7" t="s">
        <v>45</v>
      </c>
      <c r="I2103" s="20" t="s">
        <v>3166</v>
      </c>
      <c r="J2103" s="20" t="s">
        <v>2286</v>
      </c>
      <c r="K2103" s="7" t="s">
        <v>119</v>
      </c>
      <c r="L2103" s="61">
        <v>45849</v>
      </c>
      <c r="M2103" s="7" t="s">
        <v>111</v>
      </c>
      <c r="N2103" s="61">
        <v>45852</v>
      </c>
      <c r="O2103" s="61">
        <v>45852</v>
      </c>
      <c r="P2103" s="59"/>
      <c r="Q2103" s="124" t="e">
        <f>P2103*#REF!</f>
        <v>#REF!</v>
      </c>
      <c r="R2103" s="126">
        <v>45853</v>
      </c>
    </row>
    <row r="2104" spans="2:18" ht="17.25" hidden="1" customHeight="1">
      <c r="B2104" s="23">
        <v>45849</v>
      </c>
      <c r="C2104" s="7">
        <v>2003735004</v>
      </c>
      <c r="D2104" s="20">
        <v>6038684</v>
      </c>
      <c r="E2104" s="27" t="s">
        <v>408</v>
      </c>
      <c r="F2104" s="7" t="s">
        <v>107</v>
      </c>
      <c r="G2104" s="7" t="s">
        <v>18</v>
      </c>
      <c r="H2104" s="7" t="s">
        <v>45</v>
      </c>
      <c r="I2104" s="20" t="s">
        <v>3167</v>
      </c>
      <c r="J2104" s="20" t="s">
        <v>3168</v>
      </c>
      <c r="K2104" s="7" t="s">
        <v>119</v>
      </c>
      <c r="L2104" s="61">
        <v>45854</v>
      </c>
      <c r="M2104" s="7" t="s">
        <v>111</v>
      </c>
      <c r="N2104" s="61">
        <v>45854</v>
      </c>
      <c r="O2104" s="58">
        <v>45855</v>
      </c>
      <c r="P2104" s="59"/>
      <c r="Q2104" s="124" t="e">
        <f>P2104*#REF!</f>
        <v>#REF!</v>
      </c>
      <c r="R2104" s="126">
        <v>45856</v>
      </c>
    </row>
    <row r="2105" spans="2:18" ht="17.25" hidden="1" customHeight="1">
      <c r="B2105" s="23">
        <v>45849</v>
      </c>
      <c r="C2105" s="7">
        <v>2003697084</v>
      </c>
      <c r="D2105" s="20">
        <v>6038763</v>
      </c>
      <c r="E2105" s="27" t="s">
        <v>116</v>
      </c>
      <c r="F2105" s="7" t="s">
        <v>107</v>
      </c>
      <c r="G2105" s="7" t="s">
        <v>10</v>
      </c>
      <c r="H2105" s="7" t="s">
        <v>45</v>
      </c>
      <c r="I2105" s="20" t="s">
        <v>1127</v>
      </c>
      <c r="J2105" s="20" t="s">
        <v>3169</v>
      </c>
      <c r="K2105" s="7" t="s">
        <v>119</v>
      </c>
      <c r="L2105" s="61">
        <v>45854</v>
      </c>
      <c r="M2105" s="7" t="s">
        <v>111</v>
      </c>
      <c r="N2105" s="61">
        <v>45854</v>
      </c>
      <c r="O2105" s="58">
        <v>45855</v>
      </c>
      <c r="P2105" s="59"/>
      <c r="Q2105" s="124" t="e">
        <f>P2105*#REF!</f>
        <v>#REF!</v>
      </c>
      <c r="R2105" s="126">
        <v>45856</v>
      </c>
    </row>
    <row r="2106" spans="2:18" ht="17.25" hidden="1" customHeight="1">
      <c r="B2106" s="23">
        <v>45849</v>
      </c>
      <c r="C2106" s="7">
        <v>2003671998</v>
      </c>
      <c r="D2106" s="20">
        <v>6038983</v>
      </c>
      <c r="E2106" s="27" t="s">
        <v>180</v>
      </c>
      <c r="F2106" s="7" t="s">
        <v>107</v>
      </c>
      <c r="G2106" s="7" t="s">
        <v>30</v>
      </c>
      <c r="H2106" s="7" t="s">
        <v>45</v>
      </c>
      <c r="I2106" s="20" t="s">
        <v>1439</v>
      </c>
      <c r="J2106" s="20" t="s">
        <v>3170</v>
      </c>
      <c r="K2106" s="7" t="s">
        <v>111</v>
      </c>
      <c r="L2106" s="61">
        <v>45852</v>
      </c>
      <c r="M2106" s="7" t="s">
        <v>111</v>
      </c>
      <c r="N2106" s="61">
        <v>45852</v>
      </c>
      <c r="O2106" s="58">
        <v>45873</v>
      </c>
      <c r="P2106" s="59"/>
      <c r="Q2106" s="124" t="e">
        <f>P2106*#REF!</f>
        <v>#REF!</v>
      </c>
      <c r="R2106" s="126">
        <v>45876</v>
      </c>
    </row>
    <row r="2107" spans="2:18" ht="17.25" hidden="1" customHeight="1">
      <c r="B2107" s="23">
        <v>45849</v>
      </c>
      <c r="C2107" s="7">
        <v>2003677760</v>
      </c>
      <c r="D2107" s="20">
        <v>6039063</v>
      </c>
      <c r="E2107" s="27" t="s">
        <v>622</v>
      </c>
      <c r="F2107" s="7" t="s">
        <v>113</v>
      </c>
      <c r="G2107" s="7" t="s">
        <v>21</v>
      </c>
      <c r="H2107" s="7" t="s">
        <v>42</v>
      </c>
      <c r="I2107" s="20" t="s">
        <v>3171</v>
      </c>
      <c r="J2107" s="20" t="s">
        <v>2292</v>
      </c>
      <c r="K2107" s="7" t="s">
        <v>160</v>
      </c>
      <c r="P2107" s="59"/>
      <c r="Q2107" s="124" t="e">
        <f>P2107*#REF!</f>
        <v>#REF!</v>
      </c>
    </row>
    <row r="2108" spans="2:18" ht="17.25" hidden="1" customHeight="1">
      <c r="B2108" s="23">
        <v>45849</v>
      </c>
      <c r="C2108" s="7">
        <v>2003675040</v>
      </c>
      <c r="D2108" s="20">
        <v>6039084</v>
      </c>
      <c r="E2108" s="27" t="s">
        <v>201</v>
      </c>
      <c r="F2108" s="7" t="s">
        <v>107</v>
      </c>
      <c r="G2108" s="7" t="s">
        <v>10</v>
      </c>
      <c r="H2108" s="7" t="s">
        <v>45</v>
      </c>
      <c r="I2108" s="20" t="s">
        <v>3172</v>
      </c>
      <c r="J2108" s="20" t="s">
        <v>3173</v>
      </c>
      <c r="K2108" s="7" t="s">
        <v>110</v>
      </c>
      <c r="L2108" s="61">
        <v>45853</v>
      </c>
      <c r="M2108" s="7" t="s">
        <v>111</v>
      </c>
      <c r="N2108" s="61">
        <v>45853</v>
      </c>
      <c r="O2108" s="61">
        <v>45853</v>
      </c>
      <c r="P2108" s="59"/>
      <c r="Q2108" s="124" t="e">
        <f>P2108*#REF!</f>
        <v>#REF!</v>
      </c>
      <c r="R2108" s="126">
        <v>45856</v>
      </c>
    </row>
    <row r="2109" spans="2:18" ht="17.25" hidden="1" customHeight="1">
      <c r="B2109" s="23">
        <v>45849</v>
      </c>
      <c r="C2109" s="7">
        <v>2003731420</v>
      </c>
      <c r="D2109" s="20">
        <v>6039103</v>
      </c>
      <c r="E2109" s="27" t="s">
        <v>138</v>
      </c>
      <c r="F2109" s="7" t="s">
        <v>107</v>
      </c>
      <c r="G2109" s="7" t="s">
        <v>10</v>
      </c>
      <c r="H2109" s="7" t="s">
        <v>45</v>
      </c>
      <c r="I2109" s="20" t="s">
        <v>1334</v>
      </c>
      <c r="J2109" s="20" t="s">
        <v>3174</v>
      </c>
      <c r="K2109" s="7" t="s">
        <v>119</v>
      </c>
      <c r="L2109" s="61">
        <v>45854</v>
      </c>
      <c r="M2109" s="7" t="s">
        <v>111</v>
      </c>
      <c r="N2109" s="61">
        <v>45854</v>
      </c>
      <c r="O2109" s="58">
        <v>45859</v>
      </c>
      <c r="P2109" s="59"/>
      <c r="Q2109" s="124" t="e">
        <f>P2109*#REF!</f>
        <v>#REF!</v>
      </c>
      <c r="R2109" s="126">
        <v>45860</v>
      </c>
    </row>
    <row r="2110" spans="2:18" ht="17.25" hidden="1" customHeight="1">
      <c r="B2110" s="23">
        <v>45849</v>
      </c>
      <c r="C2110" s="7">
        <v>2003718896</v>
      </c>
      <c r="D2110" s="20">
        <v>6039119</v>
      </c>
      <c r="E2110" s="27" t="s">
        <v>138</v>
      </c>
      <c r="F2110" s="7" t="s">
        <v>107</v>
      </c>
      <c r="G2110" s="7" t="s">
        <v>10</v>
      </c>
      <c r="H2110" s="7" t="s">
        <v>45</v>
      </c>
      <c r="I2110" s="20" t="s">
        <v>3175</v>
      </c>
      <c r="J2110" s="20" t="s">
        <v>3176</v>
      </c>
      <c r="K2110" s="7" t="s">
        <v>119</v>
      </c>
      <c r="L2110" s="61">
        <v>45861</v>
      </c>
      <c r="M2110" s="7" t="s">
        <v>111</v>
      </c>
      <c r="N2110" s="24">
        <v>45862</v>
      </c>
      <c r="O2110" s="24">
        <v>45862</v>
      </c>
      <c r="P2110" s="59"/>
      <c r="Q2110" s="124" t="e">
        <f>P2110*#REF!</f>
        <v>#REF!</v>
      </c>
      <c r="R2110" s="126">
        <v>45866</v>
      </c>
    </row>
    <row r="2111" spans="2:18" ht="17.25" hidden="1" customHeight="1">
      <c r="B2111" s="23">
        <v>45849</v>
      </c>
      <c r="C2111" s="7">
        <v>2003732618</v>
      </c>
      <c r="D2111" s="20">
        <v>6039138</v>
      </c>
      <c r="E2111" s="27" t="s">
        <v>408</v>
      </c>
      <c r="F2111" s="7" t="s">
        <v>107</v>
      </c>
      <c r="G2111" s="7" t="s">
        <v>18</v>
      </c>
      <c r="H2111" s="7" t="s">
        <v>45</v>
      </c>
      <c r="I2111" s="20" t="s">
        <v>3177</v>
      </c>
      <c r="J2111" s="20" t="s">
        <v>3178</v>
      </c>
      <c r="K2111" s="7" t="s">
        <v>110</v>
      </c>
      <c r="L2111" s="61">
        <v>45852</v>
      </c>
      <c r="M2111" s="7" t="s">
        <v>111</v>
      </c>
      <c r="N2111" s="61">
        <v>45852</v>
      </c>
      <c r="O2111" s="58">
        <v>45854</v>
      </c>
      <c r="P2111" s="59"/>
      <c r="Q2111" s="124" t="e">
        <f>P2111*#REF!</f>
        <v>#REF!</v>
      </c>
      <c r="R2111" s="126">
        <v>45856</v>
      </c>
    </row>
    <row r="2112" spans="2:18" ht="17.25" hidden="1" customHeight="1">
      <c r="B2112" s="23">
        <v>45849</v>
      </c>
      <c r="C2112" s="7">
        <v>2003665431</v>
      </c>
      <c r="D2112" s="20">
        <v>6039151</v>
      </c>
      <c r="E2112" s="27" t="s">
        <v>116</v>
      </c>
      <c r="F2112" s="7" t="s">
        <v>107</v>
      </c>
      <c r="G2112" s="7" t="s">
        <v>10</v>
      </c>
      <c r="H2112" s="7" t="s">
        <v>45</v>
      </c>
      <c r="I2112" s="20" t="s">
        <v>385</v>
      </c>
      <c r="J2112" s="20" t="s">
        <v>3179</v>
      </c>
      <c r="K2112" s="7" t="s">
        <v>110</v>
      </c>
      <c r="L2112" s="61">
        <v>45855</v>
      </c>
      <c r="M2112" s="7" t="s">
        <v>111</v>
      </c>
      <c r="N2112" s="61">
        <v>45855</v>
      </c>
      <c r="O2112" s="58">
        <v>45859</v>
      </c>
      <c r="P2112" s="59"/>
      <c r="Q2112" s="124" t="e">
        <f>P2112*#REF!</f>
        <v>#REF!</v>
      </c>
      <c r="R2112" s="126">
        <v>45860</v>
      </c>
    </row>
    <row r="2113" spans="2:18" ht="17.25" hidden="1" customHeight="1">
      <c r="B2113" s="23">
        <v>45849</v>
      </c>
      <c r="C2113" s="7">
        <v>2003697107</v>
      </c>
      <c r="D2113" s="20">
        <v>6039174</v>
      </c>
      <c r="E2113" s="27" t="s">
        <v>112</v>
      </c>
      <c r="F2113" s="7" t="s">
        <v>107</v>
      </c>
      <c r="G2113" s="7" t="s">
        <v>15</v>
      </c>
      <c r="H2113" s="7" t="s">
        <v>45</v>
      </c>
      <c r="I2113" s="20" t="s">
        <v>3180</v>
      </c>
      <c r="J2113" s="20" t="s">
        <v>3181</v>
      </c>
      <c r="K2113" s="7" t="s">
        <v>110</v>
      </c>
      <c r="L2113" s="61">
        <v>45856</v>
      </c>
      <c r="M2113" s="7" t="s">
        <v>111</v>
      </c>
      <c r="N2113" s="61">
        <v>45856</v>
      </c>
      <c r="O2113" s="24">
        <v>45863</v>
      </c>
      <c r="P2113" s="59"/>
      <c r="Q2113" s="124" t="e">
        <f>P2113*#REF!</f>
        <v>#REF!</v>
      </c>
      <c r="R2113" s="126">
        <v>45866</v>
      </c>
    </row>
    <row r="2114" spans="2:18" ht="17.25" hidden="1" customHeight="1">
      <c r="B2114" s="23">
        <v>45849</v>
      </c>
      <c r="C2114" s="7">
        <v>2003670995</v>
      </c>
      <c r="D2114" s="20">
        <v>6039189</v>
      </c>
      <c r="E2114" s="27" t="s">
        <v>149</v>
      </c>
      <c r="F2114" s="7" t="s">
        <v>107</v>
      </c>
      <c r="G2114" s="7" t="s">
        <v>21</v>
      </c>
      <c r="H2114" s="7" t="s">
        <v>45</v>
      </c>
      <c r="I2114" s="20" t="s">
        <v>1050</v>
      </c>
      <c r="J2114" s="20" t="s">
        <v>2309</v>
      </c>
      <c r="K2114" s="7" t="s">
        <v>111</v>
      </c>
      <c r="L2114" s="61">
        <v>45852</v>
      </c>
      <c r="M2114" s="7" t="s">
        <v>111</v>
      </c>
      <c r="N2114" s="61">
        <v>45852</v>
      </c>
      <c r="O2114" s="58">
        <v>45854</v>
      </c>
      <c r="P2114" s="59"/>
      <c r="Q2114" s="124" t="e">
        <f>P2114*#REF!</f>
        <v>#REF!</v>
      </c>
      <c r="R2114" s="126">
        <v>45856</v>
      </c>
    </row>
    <row r="2115" spans="2:18" ht="17.25" hidden="1" customHeight="1">
      <c r="B2115" s="23">
        <v>45849</v>
      </c>
      <c r="C2115" s="7">
        <v>2003736995</v>
      </c>
      <c r="D2115" s="20">
        <v>217626</v>
      </c>
      <c r="E2115" s="27" t="s">
        <v>149</v>
      </c>
      <c r="F2115" s="7" t="s">
        <v>107</v>
      </c>
      <c r="G2115" s="7" t="s">
        <v>10</v>
      </c>
      <c r="H2115" s="7" t="s">
        <v>45</v>
      </c>
      <c r="I2115" s="20" t="s">
        <v>3182</v>
      </c>
      <c r="J2115" s="20" t="s">
        <v>3183</v>
      </c>
      <c r="K2115" s="7" t="s">
        <v>119</v>
      </c>
      <c r="L2115" s="61">
        <v>45856</v>
      </c>
      <c r="M2115" s="7" t="s">
        <v>111</v>
      </c>
      <c r="N2115" s="61">
        <v>45856</v>
      </c>
      <c r="O2115" s="61">
        <v>45860</v>
      </c>
      <c r="P2115" s="59"/>
      <c r="Q2115" s="124" t="e">
        <f>P2115*#REF!</f>
        <v>#REF!</v>
      </c>
      <c r="R2115" s="126">
        <v>45860</v>
      </c>
    </row>
    <row r="2116" spans="2:18" ht="17.25" hidden="1" customHeight="1">
      <c r="B2116" s="23">
        <v>45849</v>
      </c>
      <c r="C2116" s="7">
        <v>2003708219</v>
      </c>
      <c r="D2116" s="20">
        <v>217603</v>
      </c>
      <c r="E2116" s="27" t="s">
        <v>116</v>
      </c>
      <c r="F2116" s="7" t="s">
        <v>107</v>
      </c>
      <c r="G2116" s="7" t="s">
        <v>18</v>
      </c>
      <c r="H2116" s="7" t="s">
        <v>45</v>
      </c>
      <c r="I2116" s="20" t="s">
        <v>3184</v>
      </c>
      <c r="J2116" s="20" t="s">
        <v>3185</v>
      </c>
      <c r="K2116" s="7" t="s">
        <v>119</v>
      </c>
      <c r="L2116" s="61">
        <v>45853</v>
      </c>
      <c r="M2116" s="7" t="s">
        <v>111</v>
      </c>
      <c r="N2116" s="61">
        <v>45854</v>
      </c>
      <c r="O2116" s="61">
        <v>45854</v>
      </c>
      <c r="P2116" s="59"/>
      <c r="Q2116" s="124" t="e">
        <f>P2116*#REF!</f>
        <v>#REF!</v>
      </c>
      <c r="R2116" s="126">
        <v>45856</v>
      </c>
    </row>
    <row r="2117" spans="2:18" ht="17.25" hidden="1" customHeight="1">
      <c r="B2117" s="23">
        <v>45849</v>
      </c>
      <c r="C2117" s="7">
        <v>2003729074</v>
      </c>
      <c r="D2117" s="20">
        <v>217600</v>
      </c>
      <c r="E2117" s="27" t="s">
        <v>116</v>
      </c>
      <c r="F2117" s="7" t="s">
        <v>107</v>
      </c>
      <c r="G2117" s="7" t="s">
        <v>10</v>
      </c>
      <c r="H2117" s="7" t="s">
        <v>45</v>
      </c>
      <c r="I2117" s="20" t="s">
        <v>415</v>
      </c>
      <c r="J2117" s="20" t="s">
        <v>3186</v>
      </c>
      <c r="K2117" s="7" t="s">
        <v>110</v>
      </c>
      <c r="L2117" s="61">
        <v>45854</v>
      </c>
      <c r="M2117" s="7" t="s">
        <v>111</v>
      </c>
      <c r="N2117" s="61">
        <v>45854</v>
      </c>
      <c r="O2117" s="58">
        <v>45855</v>
      </c>
      <c r="P2117" s="59"/>
      <c r="Q2117" s="124" t="e">
        <f>P2117*#REF!</f>
        <v>#REF!</v>
      </c>
      <c r="R2117" s="126">
        <v>45856</v>
      </c>
    </row>
    <row r="2118" spans="2:18" ht="17.25" hidden="1" customHeight="1">
      <c r="B2118" s="23">
        <v>45849</v>
      </c>
      <c r="C2118" s="7">
        <v>2003733511</v>
      </c>
      <c r="D2118" s="20">
        <v>217556</v>
      </c>
      <c r="E2118" s="27" t="s">
        <v>106</v>
      </c>
      <c r="F2118" s="7" t="s">
        <v>107</v>
      </c>
      <c r="G2118" s="7" t="s">
        <v>10</v>
      </c>
      <c r="H2118" s="7" t="s">
        <v>45</v>
      </c>
      <c r="I2118" s="20" t="s">
        <v>3187</v>
      </c>
      <c r="J2118" s="20" t="s">
        <v>3188</v>
      </c>
      <c r="K2118" s="7" t="s">
        <v>119</v>
      </c>
      <c r="L2118" s="61">
        <v>45852</v>
      </c>
      <c r="M2118" s="7" t="s">
        <v>111</v>
      </c>
      <c r="N2118" s="61">
        <v>45852</v>
      </c>
      <c r="O2118" s="58">
        <v>45854</v>
      </c>
      <c r="P2118" s="59"/>
      <c r="Q2118" s="124" t="e">
        <f>P2118*#REF!</f>
        <v>#REF!</v>
      </c>
      <c r="R2118" s="126">
        <v>45856</v>
      </c>
    </row>
    <row r="2119" spans="2:18" ht="17.25" hidden="1" customHeight="1">
      <c r="B2119" s="23">
        <v>45849</v>
      </c>
      <c r="C2119" s="7">
        <v>2003735174</v>
      </c>
      <c r="D2119" s="20">
        <v>217146</v>
      </c>
      <c r="E2119" s="27" t="s">
        <v>3189</v>
      </c>
      <c r="F2119" s="7" t="s">
        <v>107</v>
      </c>
      <c r="G2119" s="7" t="s">
        <v>10</v>
      </c>
      <c r="H2119" s="7" t="s">
        <v>45</v>
      </c>
      <c r="I2119" s="20" t="s">
        <v>3190</v>
      </c>
      <c r="J2119" s="20" t="s">
        <v>3191</v>
      </c>
      <c r="K2119" s="7" t="s">
        <v>119</v>
      </c>
      <c r="L2119" s="61">
        <v>45854</v>
      </c>
      <c r="M2119" s="7" t="s">
        <v>111</v>
      </c>
      <c r="N2119" s="61">
        <v>45854</v>
      </c>
      <c r="O2119" s="58">
        <v>45859</v>
      </c>
      <c r="P2119" s="59"/>
      <c r="Q2119" s="124" t="e">
        <f>P2119*#REF!</f>
        <v>#REF!</v>
      </c>
      <c r="R2119" s="126">
        <v>45860</v>
      </c>
    </row>
    <row r="2120" spans="2:18" ht="17.25" hidden="1" customHeight="1">
      <c r="B2120" s="23">
        <v>45852</v>
      </c>
      <c r="C2120" s="7">
        <v>2003715510</v>
      </c>
      <c r="D2120" s="20">
        <v>6039612</v>
      </c>
      <c r="E2120" s="27" t="s">
        <v>112</v>
      </c>
      <c r="F2120" s="7" t="s">
        <v>107</v>
      </c>
      <c r="G2120" s="7" t="s">
        <v>15</v>
      </c>
      <c r="H2120" s="7" t="s">
        <v>45</v>
      </c>
      <c r="I2120" s="20" t="s">
        <v>1590</v>
      </c>
      <c r="J2120" s="20">
        <v>1786476</v>
      </c>
      <c r="K2120" s="7" t="s">
        <v>110</v>
      </c>
      <c r="L2120" s="61">
        <v>45855</v>
      </c>
      <c r="M2120" s="7" t="s">
        <v>111</v>
      </c>
      <c r="N2120" s="61">
        <v>45855</v>
      </c>
      <c r="O2120" s="24">
        <v>45862</v>
      </c>
      <c r="P2120" s="59"/>
      <c r="Q2120" s="124" t="e">
        <f>P2120*#REF!</f>
        <v>#REF!</v>
      </c>
      <c r="R2120" s="126">
        <v>45863</v>
      </c>
    </row>
    <row r="2121" spans="2:18" ht="17.25" hidden="1" customHeight="1">
      <c r="B2121" s="23">
        <v>45852</v>
      </c>
      <c r="C2121" s="7">
        <v>2003725595</v>
      </c>
      <c r="D2121" s="20">
        <v>6039959</v>
      </c>
      <c r="E2121" s="27" t="s">
        <v>180</v>
      </c>
      <c r="F2121" s="7" t="s">
        <v>107</v>
      </c>
      <c r="G2121" s="7" t="s">
        <v>30</v>
      </c>
      <c r="H2121" s="7" t="s">
        <v>45</v>
      </c>
      <c r="I2121" s="20" t="s">
        <v>3192</v>
      </c>
      <c r="J2121" s="20" t="s">
        <v>3193</v>
      </c>
      <c r="K2121" s="7" t="s">
        <v>111</v>
      </c>
      <c r="L2121" s="61">
        <v>45853</v>
      </c>
      <c r="M2121" s="7" t="s">
        <v>111</v>
      </c>
      <c r="N2121" s="61">
        <v>45853</v>
      </c>
      <c r="O2121" s="58">
        <v>45866</v>
      </c>
      <c r="P2121" s="59"/>
      <c r="Q2121" s="124" t="e">
        <f>P2121*#REF!</f>
        <v>#REF!</v>
      </c>
      <c r="R2121" s="126">
        <v>45866</v>
      </c>
    </row>
    <row r="2122" spans="2:18" ht="17.25" hidden="1" customHeight="1">
      <c r="B2122" s="23">
        <v>45852</v>
      </c>
      <c r="C2122" s="7">
        <v>2003737260</v>
      </c>
      <c r="D2122" s="20">
        <v>6039986</v>
      </c>
      <c r="E2122" s="27" t="s">
        <v>123</v>
      </c>
      <c r="F2122" s="7" t="s">
        <v>107</v>
      </c>
      <c r="G2122" s="7" t="s">
        <v>10</v>
      </c>
      <c r="H2122" s="7" t="s">
        <v>45</v>
      </c>
      <c r="I2122" s="20" t="s">
        <v>708</v>
      </c>
      <c r="J2122" s="20" t="s">
        <v>3194</v>
      </c>
      <c r="K2122" s="7" t="s">
        <v>110</v>
      </c>
      <c r="L2122" s="61">
        <v>45856</v>
      </c>
      <c r="M2122" s="7" t="s">
        <v>111</v>
      </c>
      <c r="N2122" s="61">
        <v>45856</v>
      </c>
      <c r="O2122" s="61">
        <v>45856</v>
      </c>
      <c r="P2122" s="59"/>
      <c r="Q2122" s="124" t="e">
        <f>P2122*#REF!</f>
        <v>#REF!</v>
      </c>
      <c r="R2122" s="126">
        <v>45860</v>
      </c>
    </row>
    <row r="2123" spans="2:18" ht="17.25" hidden="1" customHeight="1">
      <c r="B2123" s="23">
        <v>45852</v>
      </c>
      <c r="C2123" s="7">
        <v>2003730750</v>
      </c>
      <c r="D2123" s="20">
        <v>6039989</v>
      </c>
      <c r="E2123" s="27" t="s">
        <v>1225</v>
      </c>
      <c r="F2123" s="7" t="s">
        <v>107</v>
      </c>
      <c r="G2123" s="7" t="s">
        <v>10</v>
      </c>
      <c r="H2123" s="7" t="s">
        <v>45</v>
      </c>
      <c r="I2123" s="20" t="s">
        <v>3195</v>
      </c>
      <c r="J2123" s="20" t="s">
        <v>3196</v>
      </c>
      <c r="K2123" s="7" t="s">
        <v>119</v>
      </c>
      <c r="L2123" s="61">
        <v>45854</v>
      </c>
      <c r="M2123" s="7" t="s">
        <v>111</v>
      </c>
      <c r="N2123" s="61">
        <v>45854</v>
      </c>
      <c r="O2123" s="58">
        <v>45855</v>
      </c>
      <c r="P2123" s="59"/>
      <c r="Q2123" s="124" t="e">
        <f>P2123*#REF!</f>
        <v>#REF!</v>
      </c>
      <c r="R2123" s="126">
        <v>45856</v>
      </c>
    </row>
    <row r="2124" spans="2:18" ht="17.25" hidden="1" customHeight="1">
      <c r="B2124" s="23">
        <v>45852</v>
      </c>
      <c r="C2124" s="7">
        <v>2003725236</v>
      </c>
      <c r="D2124" s="20">
        <v>6039990</v>
      </c>
      <c r="E2124" s="27" t="s">
        <v>949</v>
      </c>
      <c r="F2124" s="7" t="s">
        <v>107</v>
      </c>
      <c r="G2124" s="7" t="s">
        <v>10</v>
      </c>
      <c r="H2124" s="7" t="s">
        <v>45</v>
      </c>
      <c r="I2124" s="20" t="s">
        <v>3197</v>
      </c>
      <c r="J2124" s="20" t="s">
        <v>3198</v>
      </c>
      <c r="K2124" s="7" t="s">
        <v>110</v>
      </c>
      <c r="L2124" s="61">
        <v>45854</v>
      </c>
      <c r="M2124" s="7" t="s">
        <v>111</v>
      </c>
      <c r="N2124" s="24">
        <v>45856</v>
      </c>
      <c r="O2124" s="24">
        <v>45856</v>
      </c>
      <c r="P2124" s="59"/>
      <c r="Q2124" s="124" t="e">
        <f>P2124*#REF!</f>
        <v>#REF!</v>
      </c>
      <c r="R2124" s="126">
        <v>45856</v>
      </c>
    </row>
    <row r="2125" spans="2:18" ht="17.25" hidden="1" customHeight="1">
      <c r="B2125" s="23">
        <v>45852</v>
      </c>
      <c r="C2125" s="7">
        <v>2003733927</v>
      </c>
      <c r="D2125" s="20">
        <v>6040005</v>
      </c>
      <c r="E2125" s="27" t="s">
        <v>112</v>
      </c>
      <c r="F2125" s="7" t="s">
        <v>107</v>
      </c>
      <c r="G2125" s="7" t="s">
        <v>18</v>
      </c>
      <c r="H2125" s="7" t="s">
        <v>45</v>
      </c>
      <c r="I2125" s="20" t="s">
        <v>625</v>
      </c>
      <c r="J2125" s="20" t="s">
        <v>3199</v>
      </c>
      <c r="K2125" s="7" t="s">
        <v>110</v>
      </c>
      <c r="L2125" s="61">
        <v>45854</v>
      </c>
      <c r="M2125" s="7" t="s">
        <v>111</v>
      </c>
      <c r="N2125" s="61">
        <v>45854</v>
      </c>
      <c r="O2125" s="58">
        <v>45855</v>
      </c>
      <c r="P2125" s="59"/>
      <c r="Q2125" s="124" t="e">
        <f>P2125*#REF!</f>
        <v>#REF!</v>
      </c>
      <c r="R2125" s="126">
        <v>45856</v>
      </c>
    </row>
    <row r="2126" spans="2:18" ht="17.25" hidden="1" customHeight="1">
      <c r="B2126" s="23">
        <v>45852</v>
      </c>
      <c r="C2126" s="7">
        <v>2003736097</v>
      </c>
      <c r="D2126" s="20">
        <v>6040033</v>
      </c>
      <c r="E2126" s="27" t="s">
        <v>138</v>
      </c>
      <c r="F2126" s="7" t="s">
        <v>107</v>
      </c>
      <c r="G2126" s="7" t="s">
        <v>10</v>
      </c>
      <c r="H2126" s="7" t="s">
        <v>45</v>
      </c>
      <c r="I2126" s="20" t="s">
        <v>237</v>
      </c>
      <c r="J2126" s="20" t="s">
        <v>3200</v>
      </c>
      <c r="K2126" s="7" t="s">
        <v>119</v>
      </c>
      <c r="L2126" s="61">
        <v>45854</v>
      </c>
      <c r="M2126" s="7" t="s">
        <v>111</v>
      </c>
      <c r="N2126" s="61">
        <v>45854</v>
      </c>
      <c r="O2126" s="58">
        <v>45855</v>
      </c>
      <c r="P2126" s="59"/>
      <c r="Q2126" s="124" t="e">
        <f>P2126*#REF!</f>
        <v>#REF!</v>
      </c>
      <c r="R2126" s="126">
        <v>45856</v>
      </c>
    </row>
    <row r="2127" spans="2:18" ht="17.25" hidden="1" customHeight="1">
      <c r="B2127" s="23">
        <v>45852</v>
      </c>
      <c r="C2127" s="7">
        <v>310023006</v>
      </c>
      <c r="D2127" s="20">
        <v>6040097</v>
      </c>
      <c r="E2127" s="27" t="s">
        <v>265</v>
      </c>
      <c r="F2127" s="7" t="s">
        <v>107</v>
      </c>
      <c r="G2127" s="7" t="s">
        <v>10</v>
      </c>
      <c r="H2127" s="7" t="s">
        <v>45</v>
      </c>
      <c r="I2127" s="20" t="s">
        <v>3201</v>
      </c>
      <c r="J2127" s="20" t="s">
        <v>3202</v>
      </c>
      <c r="K2127" s="7" t="s">
        <v>110</v>
      </c>
      <c r="L2127" s="61">
        <v>45856</v>
      </c>
      <c r="M2127" s="7" t="s">
        <v>111</v>
      </c>
      <c r="N2127" s="24">
        <v>45862</v>
      </c>
      <c r="O2127" s="24">
        <v>45862</v>
      </c>
      <c r="P2127" s="59"/>
      <c r="Q2127" s="124" t="e">
        <f>P2127*#REF!</f>
        <v>#REF!</v>
      </c>
      <c r="R2127" s="126">
        <v>45863</v>
      </c>
    </row>
    <row r="2128" spans="2:18" ht="17.25" hidden="1" customHeight="1">
      <c r="B2128" s="23">
        <v>45852</v>
      </c>
      <c r="C2128" s="7">
        <v>2003738742</v>
      </c>
      <c r="D2128" s="20">
        <v>219086</v>
      </c>
      <c r="E2128" s="27" t="s">
        <v>106</v>
      </c>
      <c r="F2128" s="7" t="s">
        <v>107</v>
      </c>
      <c r="G2128" s="7" t="s">
        <v>18</v>
      </c>
      <c r="H2128" s="7" t="s">
        <v>45</v>
      </c>
      <c r="I2128" s="20" t="s">
        <v>3203</v>
      </c>
      <c r="J2128" s="20" t="s">
        <v>3204</v>
      </c>
      <c r="K2128" s="7" t="s">
        <v>119</v>
      </c>
      <c r="L2128" s="61">
        <v>45854</v>
      </c>
      <c r="M2128" s="7" t="s">
        <v>111</v>
      </c>
      <c r="N2128" s="24">
        <v>45856</v>
      </c>
      <c r="O2128" s="24">
        <v>45856</v>
      </c>
      <c r="P2128" s="59"/>
      <c r="Q2128" s="124" t="e">
        <f>P2128*#REF!</f>
        <v>#REF!</v>
      </c>
      <c r="R2128" s="126">
        <v>45856</v>
      </c>
    </row>
    <row r="2129" spans="2:18" ht="17.25" hidden="1" customHeight="1">
      <c r="B2129" s="23">
        <v>45852</v>
      </c>
      <c r="C2129" s="7">
        <v>2003721060</v>
      </c>
      <c r="D2129" s="20">
        <v>218949</v>
      </c>
      <c r="E2129" s="27" t="s">
        <v>849</v>
      </c>
      <c r="F2129" s="7" t="s">
        <v>107</v>
      </c>
      <c r="G2129" s="7" t="s">
        <v>10</v>
      </c>
      <c r="H2129" s="7" t="s">
        <v>45</v>
      </c>
      <c r="I2129" s="20" t="s">
        <v>434</v>
      </c>
      <c r="J2129" s="20" t="s">
        <v>3205</v>
      </c>
      <c r="K2129" s="7" t="s">
        <v>119</v>
      </c>
      <c r="L2129" s="61">
        <v>45860</v>
      </c>
      <c r="M2129" s="7" t="s">
        <v>111</v>
      </c>
      <c r="N2129" s="61">
        <v>45861</v>
      </c>
      <c r="O2129" s="24">
        <v>45862</v>
      </c>
      <c r="P2129" s="59"/>
      <c r="Q2129" s="124" t="e">
        <f>P2129*#REF!</f>
        <v>#REF!</v>
      </c>
      <c r="R2129" s="126">
        <v>45863</v>
      </c>
    </row>
    <row r="2130" spans="2:18" ht="17.25" hidden="1" customHeight="1">
      <c r="B2130" s="23">
        <v>45852</v>
      </c>
      <c r="C2130" s="7">
        <v>2003736348</v>
      </c>
      <c r="D2130" s="20">
        <v>218882</v>
      </c>
      <c r="E2130" s="27" t="s">
        <v>123</v>
      </c>
      <c r="F2130" s="7" t="s">
        <v>107</v>
      </c>
      <c r="G2130" s="7" t="s">
        <v>10</v>
      </c>
      <c r="H2130" s="7" t="s">
        <v>45</v>
      </c>
      <c r="I2130" s="20" t="s">
        <v>636</v>
      </c>
      <c r="J2130" s="20" t="s">
        <v>3206</v>
      </c>
      <c r="K2130" s="7" t="s">
        <v>119</v>
      </c>
      <c r="L2130" s="61">
        <v>45855</v>
      </c>
      <c r="M2130" s="7" t="s">
        <v>111</v>
      </c>
      <c r="N2130" s="61">
        <v>45856</v>
      </c>
      <c r="O2130" s="61">
        <v>45856</v>
      </c>
      <c r="P2130" s="59"/>
      <c r="Q2130" s="124" t="e">
        <f>P2130*#REF!</f>
        <v>#REF!</v>
      </c>
      <c r="R2130" s="126">
        <v>45860</v>
      </c>
    </row>
    <row r="2131" spans="2:18" ht="17.25" hidden="1" customHeight="1">
      <c r="B2131" s="23">
        <v>45852</v>
      </c>
      <c r="C2131" s="7">
        <v>2003737229</v>
      </c>
      <c r="D2131" s="20">
        <v>218514</v>
      </c>
      <c r="E2131" s="27" t="s">
        <v>106</v>
      </c>
      <c r="F2131" s="7" t="s">
        <v>107</v>
      </c>
      <c r="G2131" s="7" t="s">
        <v>10</v>
      </c>
      <c r="H2131" s="7" t="s">
        <v>45</v>
      </c>
      <c r="I2131" s="20" t="s">
        <v>453</v>
      </c>
      <c r="J2131" s="20" t="s">
        <v>1961</v>
      </c>
      <c r="K2131" s="7" t="s">
        <v>119</v>
      </c>
      <c r="L2131" s="61">
        <v>45855</v>
      </c>
      <c r="M2131" s="7" t="s">
        <v>111</v>
      </c>
      <c r="N2131" s="61">
        <v>45856</v>
      </c>
      <c r="O2131" s="61">
        <v>45856</v>
      </c>
      <c r="P2131" s="59"/>
      <c r="Q2131" s="124" t="e">
        <f>P2131*#REF!</f>
        <v>#REF!</v>
      </c>
      <c r="R2131" s="126">
        <v>45860</v>
      </c>
    </row>
    <row r="2132" spans="2:18" ht="17.25" hidden="1" customHeight="1">
      <c r="B2132" s="23">
        <v>45853</v>
      </c>
      <c r="C2132" s="7">
        <v>2003735320</v>
      </c>
      <c r="D2132" s="20">
        <v>6040131</v>
      </c>
      <c r="E2132" s="27" t="s">
        <v>185</v>
      </c>
      <c r="F2132" s="7" t="s">
        <v>107</v>
      </c>
      <c r="G2132" s="7" t="s">
        <v>10</v>
      </c>
      <c r="H2132" s="7" t="s">
        <v>45</v>
      </c>
      <c r="I2132" s="20" t="s">
        <v>2984</v>
      </c>
      <c r="J2132" s="20" t="s">
        <v>3207</v>
      </c>
      <c r="K2132" s="7" t="s">
        <v>110</v>
      </c>
      <c r="L2132" s="61">
        <v>45855</v>
      </c>
      <c r="M2132" s="7" t="s">
        <v>111</v>
      </c>
      <c r="N2132" s="24">
        <v>45862</v>
      </c>
      <c r="O2132" s="24">
        <v>45862</v>
      </c>
      <c r="P2132" s="59"/>
      <c r="Q2132" s="124" t="e">
        <f>P2132*#REF!</f>
        <v>#REF!</v>
      </c>
      <c r="R2132" s="126">
        <v>45863</v>
      </c>
    </row>
    <row r="2133" spans="2:18" ht="17.25" hidden="1" customHeight="1">
      <c r="B2133" s="23">
        <v>45853</v>
      </c>
      <c r="C2133" s="7">
        <v>2003739777</v>
      </c>
      <c r="D2133" s="20">
        <v>6040535</v>
      </c>
      <c r="E2133" s="27" t="s">
        <v>622</v>
      </c>
      <c r="F2133" s="7" t="s">
        <v>107</v>
      </c>
      <c r="G2133" s="7" t="s">
        <v>18</v>
      </c>
      <c r="H2133" s="7" t="s">
        <v>45</v>
      </c>
      <c r="I2133" s="20" t="s">
        <v>3208</v>
      </c>
      <c r="J2133" s="20" t="s">
        <v>3209</v>
      </c>
      <c r="K2133" s="7" t="s">
        <v>119</v>
      </c>
      <c r="L2133" s="61">
        <v>45856</v>
      </c>
      <c r="M2133" s="7" t="s">
        <v>111</v>
      </c>
      <c r="N2133" s="24">
        <v>45862</v>
      </c>
      <c r="O2133" s="24">
        <v>45862</v>
      </c>
      <c r="P2133" s="59"/>
      <c r="Q2133" s="124" t="e">
        <f>P2133*#REF!</f>
        <v>#REF!</v>
      </c>
      <c r="R2133" s="126">
        <v>45863</v>
      </c>
    </row>
    <row r="2134" spans="2:18" ht="17.25" hidden="1" customHeight="1">
      <c r="B2134" s="23">
        <v>45853</v>
      </c>
      <c r="C2134" s="7">
        <v>2003734986</v>
      </c>
      <c r="D2134" s="20">
        <v>6040547</v>
      </c>
      <c r="E2134" s="27" t="s">
        <v>143</v>
      </c>
      <c r="F2134" s="7" t="s">
        <v>113</v>
      </c>
      <c r="G2134" s="7" t="s">
        <v>70</v>
      </c>
      <c r="H2134" s="7" t="s">
        <v>47</v>
      </c>
      <c r="I2134" s="20" t="s">
        <v>1308</v>
      </c>
      <c r="J2134" s="20" t="s">
        <v>3210</v>
      </c>
      <c r="K2134" s="7" t="s">
        <v>160</v>
      </c>
      <c r="P2134" s="59"/>
      <c r="Q2134" s="124" t="e">
        <f>P2134*#REF!</f>
        <v>#REF!</v>
      </c>
      <c r="R2134" s="126">
        <v>45866</v>
      </c>
    </row>
    <row r="2135" spans="2:18" ht="17.25" hidden="1" customHeight="1">
      <c r="B2135" s="23">
        <v>45853</v>
      </c>
      <c r="C2135" s="7">
        <v>2003725325</v>
      </c>
      <c r="D2135" s="20">
        <v>6040632</v>
      </c>
      <c r="E2135" s="27" t="s">
        <v>230</v>
      </c>
      <c r="F2135" s="7" t="s">
        <v>107</v>
      </c>
      <c r="G2135" s="7" t="s">
        <v>18</v>
      </c>
      <c r="H2135" s="7" t="s">
        <v>45</v>
      </c>
      <c r="I2135" s="20" t="s">
        <v>2752</v>
      </c>
      <c r="J2135" s="20" t="s">
        <v>3211</v>
      </c>
      <c r="K2135" s="7" t="s">
        <v>110</v>
      </c>
      <c r="L2135" s="61">
        <v>45856</v>
      </c>
      <c r="M2135" s="7" t="s">
        <v>111</v>
      </c>
      <c r="N2135" s="61">
        <v>45856</v>
      </c>
      <c r="O2135" s="58">
        <v>45859</v>
      </c>
      <c r="P2135" s="59"/>
      <c r="Q2135" s="124" t="e">
        <f>P2135*#REF!</f>
        <v>#REF!</v>
      </c>
      <c r="R2135" s="126">
        <v>45860</v>
      </c>
    </row>
    <row r="2136" spans="2:18" ht="17.25" hidden="1" customHeight="1">
      <c r="B2136" s="23">
        <v>45853</v>
      </c>
      <c r="C2136" s="7">
        <v>2003699061</v>
      </c>
      <c r="D2136" s="20">
        <v>6040843</v>
      </c>
      <c r="E2136" s="27" t="s">
        <v>177</v>
      </c>
      <c r="F2136" s="7" t="s">
        <v>107</v>
      </c>
      <c r="G2136" s="7" t="s">
        <v>15</v>
      </c>
      <c r="H2136" s="7" t="s">
        <v>45</v>
      </c>
      <c r="I2136" s="20" t="s">
        <v>3212</v>
      </c>
      <c r="J2136" s="20" t="s">
        <v>3213</v>
      </c>
      <c r="K2136" s="7" t="s">
        <v>110</v>
      </c>
      <c r="L2136" s="61">
        <v>45855</v>
      </c>
      <c r="M2136" s="7" t="s">
        <v>111</v>
      </c>
      <c r="N2136" s="61">
        <v>45855</v>
      </c>
      <c r="O2136" s="58">
        <v>45859</v>
      </c>
      <c r="P2136" s="59"/>
      <c r="Q2136" s="124" t="e">
        <f>P2136*#REF!</f>
        <v>#REF!</v>
      </c>
      <c r="R2136" s="126">
        <v>45860</v>
      </c>
    </row>
    <row r="2137" spans="2:18" ht="17.25" hidden="1" customHeight="1">
      <c r="B2137" s="23">
        <v>45853</v>
      </c>
      <c r="C2137" s="7">
        <v>2003669940</v>
      </c>
      <c r="D2137" s="20">
        <v>219923</v>
      </c>
      <c r="E2137" s="27" t="s">
        <v>116</v>
      </c>
      <c r="F2137" s="7" t="s">
        <v>107</v>
      </c>
      <c r="G2137" s="7" t="s">
        <v>10</v>
      </c>
      <c r="H2137" s="7" t="s">
        <v>45</v>
      </c>
      <c r="I2137" s="20" t="s">
        <v>3214</v>
      </c>
      <c r="J2137" s="20" t="s">
        <v>3093</v>
      </c>
      <c r="K2137" s="7" t="s">
        <v>119</v>
      </c>
      <c r="L2137" s="61">
        <v>45856</v>
      </c>
      <c r="M2137" s="7" t="s">
        <v>111</v>
      </c>
      <c r="N2137" s="24">
        <v>45862</v>
      </c>
      <c r="O2137" s="24">
        <v>45862</v>
      </c>
      <c r="P2137" s="59"/>
      <c r="Q2137" s="124" t="e">
        <f>P2137*#REF!</f>
        <v>#REF!</v>
      </c>
      <c r="R2137" s="126">
        <v>45863</v>
      </c>
    </row>
    <row r="2138" spans="2:18" ht="17.25" hidden="1" customHeight="1">
      <c r="B2138" s="23">
        <v>45853</v>
      </c>
      <c r="C2138" s="7">
        <v>2003732675</v>
      </c>
      <c r="D2138" s="20">
        <v>220726</v>
      </c>
      <c r="E2138" s="27" t="s">
        <v>180</v>
      </c>
      <c r="F2138" s="7" t="s">
        <v>113</v>
      </c>
      <c r="G2138" s="7" t="s">
        <v>70</v>
      </c>
      <c r="H2138" s="7" t="s">
        <v>47</v>
      </c>
      <c r="I2138" s="20" t="s">
        <v>524</v>
      </c>
      <c r="J2138" s="20" t="s">
        <v>1741</v>
      </c>
      <c r="K2138" s="7" t="s">
        <v>160</v>
      </c>
      <c r="P2138" s="59"/>
      <c r="Q2138" s="124" t="e">
        <f>P2138*#REF!</f>
        <v>#REF!</v>
      </c>
    </row>
    <row r="2139" spans="2:18" ht="17.25" hidden="1" customHeight="1">
      <c r="B2139" s="23">
        <v>45853</v>
      </c>
      <c r="C2139" s="7">
        <v>2003727466</v>
      </c>
      <c r="D2139" s="20">
        <v>220582</v>
      </c>
      <c r="E2139" s="27" t="s">
        <v>152</v>
      </c>
      <c r="F2139" s="7" t="s">
        <v>107</v>
      </c>
      <c r="G2139" s="7" t="s">
        <v>10</v>
      </c>
      <c r="H2139" s="7" t="s">
        <v>45</v>
      </c>
      <c r="I2139" s="20" t="s">
        <v>385</v>
      </c>
      <c r="J2139" s="20" t="s">
        <v>3155</v>
      </c>
      <c r="K2139" s="7" t="s">
        <v>110</v>
      </c>
      <c r="L2139" s="61">
        <v>45855</v>
      </c>
      <c r="M2139" s="7" t="s">
        <v>111</v>
      </c>
      <c r="N2139" s="61">
        <v>45855</v>
      </c>
      <c r="O2139" s="58">
        <v>45859</v>
      </c>
      <c r="P2139" s="59"/>
      <c r="Q2139" s="124" t="e">
        <f>P2139*#REF!</f>
        <v>#REF!</v>
      </c>
      <c r="R2139" s="126">
        <v>45860</v>
      </c>
    </row>
    <row r="2140" spans="2:18" ht="17.25" hidden="1" customHeight="1">
      <c r="B2140" s="23">
        <v>45853</v>
      </c>
      <c r="C2140" s="7">
        <v>2003736644</v>
      </c>
      <c r="D2140" s="20">
        <v>220114</v>
      </c>
      <c r="E2140" s="27" t="s">
        <v>129</v>
      </c>
      <c r="F2140" s="7" t="s">
        <v>107</v>
      </c>
      <c r="G2140" s="7" t="s">
        <v>10</v>
      </c>
      <c r="H2140" s="7" t="s">
        <v>45</v>
      </c>
      <c r="I2140" s="20" t="s">
        <v>1755</v>
      </c>
      <c r="J2140" s="20" t="s">
        <v>3215</v>
      </c>
      <c r="K2140" s="7" t="s">
        <v>119</v>
      </c>
      <c r="L2140" s="61">
        <v>45862</v>
      </c>
      <c r="M2140" s="7" t="s">
        <v>111</v>
      </c>
      <c r="N2140" s="24">
        <v>45863</v>
      </c>
      <c r="O2140" s="24">
        <v>45863</v>
      </c>
      <c r="P2140" s="59"/>
      <c r="Q2140" s="124" t="e">
        <f>P2140*#REF!</f>
        <v>#REF!</v>
      </c>
      <c r="R2140" s="126">
        <v>45866</v>
      </c>
    </row>
    <row r="2141" spans="2:18" ht="17.25" hidden="1" customHeight="1">
      <c r="B2141" s="23">
        <v>45853</v>
      </c>
      <c r="C2141" s="7">
        <v>2003673003</v>
      </c>
      <c r="D2141" s="20">
        <v>219985</v>
      </c>
      <c r="E2141" s="27" t="s">
        <v>566</v>
      </c>
      <c r="F2141" s="7" t="s">
        <v>107</v>
      </c>
      <c r="G2141" s="7" t="s">
        <v>10</v>
      </c>
      <c r="H2141" s="7" t="s">
        <v>45</v>
      </c>
      <c r="I2141" s="20" t="s">
        <v>1623</v>
      </c>
      <c r="J2141" s="20" t="s">
        <v>3216</v>
      </c>
      <c r="K2141" s="7" t="s">
        <v>110</v>
      </c>
      <c r="L2141" s="61">
        <v>45855</v>
      </c>
      <c r="M2141" s="7" t="s">
        <v>111</v>
      </c>
      <c r="N2141" s="61">
        <v>45855</v>
      </c>
      <c r="O2141" s="58">
        <v>45860</v>
      </c>
      <c r="P2141" s="59"/>
      <c r="Q2141" s="124" t="e">
        <f>P2141*#REF!</f>
        <v>#REF!</v>
      </c>
      <c r="R2141" s="126">
        <v>45860</v>
      </c>
    </row>
    <row r="2142" spans="2:18" ht="17.25" hidden="1" customHeight="1">
      <c r="B2142" s="23">
        <v>45854</v>
      </c>
      <c r="C2142" s="7">
        <v>2003665753</v>
      </c>
      <c r="D2142" s="20">
        <v>6040983</v>
      </c>
      <c r="E2142" s="27" t="s">
        <v>185</v>
      </c>
      <c r="F2142" s="7" t="s">
        <v>107</v>
      </c>
      <c r="G2142" s="7" t="s">
        <v>10</v>
      </c>
      <c r="H2142" s="7" t="s">
        <v>45</v>
      </c>
      <c r="I2142" s="20" t="s">
        <v>385</v>
      </c>
      <c r="J2142" s="20" t="s">
        <v>2589</v>
      </c>
      <c r="K2142" s="7" t="s">
        <v>110</v>
      </c>
      <c r="L2142" s="61">
        <v>45856</v>
      </c>
      <c r="M2142" s="7" t="s">
        <v>111</v>
      </c>
      <c r="N2142" s="61">
        <v>45856</v>
      </c>
      <c r="O2142" s="61">
        <v>45856</v>
      </c>
      <c r="P2142" s="59"/>
      <c r="Q2142" s="124" t="e">
        <f>P2142*#REF!</f>
        <v>#REF!</v>
      </c>
      <c r="R2142" s="126">
        <v>45860</v>
      </c>
    </row>
    <row r="2143" spans="2:18" ht="17.25" hidden="1" customHeight="1">
      <c r="B2143" s="23">
        <v>45854</v>
      </c>
      <c r="C2143" s="7">
        <v>2003728684</v>
      </c>
      <c r="D2143" s="20">
        <v>6041166</v>
      </c>
      <c r="E2143" s="27" t="s">
        <v>230</v>
      </c>
      <c r="F2143" s="7" t="s">
        <v>107</v>
      </c>
      <c r="G2143" s="7" t="s">
        <v>10</v>
      </c>
      <c r="H2143" s="7" t="s">
        <v>45</v>
      </c>
      <c r="I2143" s="20" t="s">
        <v>3217</v>
      </c>
      <c r="J2143" s="20" t="s">
        <v>3218</v>
      </c>
      <c r="K2143" s="7" t="s">
        <v>119</v>
      </c>
      <c r="L2143" s="61">
        <v>45861</v>
      </c>
      <c r="M2143" s="7" t="s">
        <v>111</v>
      </c>
      <c r="N2143" s="61">
        <v>45867</v>
      </c>
      <c r="O2143" s="61">
        <v>45867</v>
      </c>
      <c r="P2143" s="59"/>
      <c r="Q2143" s="124" t="e">
        <f>P2143*#REF!</f>
        <v>#REF!</v>
      </c>
      <c r="R2143" s="126">
        <v>45868</v>
      </c>
    </row>
    <row r="2144" spans="2:18" ht="17.25" hidden="1" customHeight="1">
      <c r="B2144" s="23">
        <v>45854</v>
      </c>
      <c r="C2144" s="7">
        <v>2003666827</v>
      </c>
      <c r="D2144" s="20">
        <v>6041253</v>
      </c>
      <c r="E2144" s="27" t="s">
        <v>949</v>
      </c>
      <c r="F2144" s="7" t="s">
        <v>107</v>
      </c>
      <c r="G2144" s="7" t="s">
        <v>10</v>
      </c>
      <c r="H2144" s="7" t="s">
        <v>45</v>
      </c>
      <c r="I2144" s="20" t="s">
        <v>3219</v>
      </c>
      <c r="J2144" s="20" t="s">
        <v>3220</v>
      </c>
      <c r="K2144" s="7" t="s">
        <v>110</v>
      </c>
      <c r="L2144" s="61">
        <v>45856</v>
      </c>
      <c r="M2144" s="7" t="s">
        <v>111</v>
      </c>
      <c r="N2144" s="61">
        <v>45856</v>
      </c>
      <c r="O2144" s="61">
        <v>45856</v>
      </c>
      <c r="P2144" s="59"/>
      <c r="Q2144" s="124" t="e">
        <f>P2144*#REF!</f>
        <v>#REF!</v>
      </c>
      <c r="R2144" s="126">
        <v>45860</v>
      </c>
    </row>
    <row r="2145" spans="2:18" ht="17.25" hidden="1" customHeight="1">
      <c r="B2145" s="23">
        <v>45854</v>
      </c>
      <c r="C2145" s="7">
        <v>2003740890</v>
      </c>
      <c r="D2145" s="20">
        <v>6041360</v>
      </c>
      <c r="E2145" s="27" t="s">
        <v>258</v>
      </c>
      <c r="F2145" s="7" t="s">
        <v>107</v>
      </c>
      <c r="G2145" s="7" t="s">
        <v>10</v>
      </c>
      <c r="H2145" s="7" t="s">
        <v>45</v>
      </c>
      <c r="I2145" s="20" t="s">
        <v>3221</v>
      </c>
      <c r="J2145" s="20" t="s">
        <v>1379</v>
      </c>
      <c r="K2145" s="7" t="s">
        <v>119</v>
      </c>
      <c r="L2145" s="61">
        <v>45856</v>
      </c>
      <c r="M2145" s="7" t="s">
        <v>111</v>
      </c>
      <c r="N2145" s="61">
        <v>45859</v>
      </c>
      <c r="O2145" s="61">
        <v>45860</v>
      </c>
      <c r="P2145" s="59"/>
      <c r="Q2145" s="124" t="e">
        <f>P2145*#REF!</f>
        <v>#REF!</v>
      </c>
      <c r="R2145" s="126">
        <v>45860</v>
      </c>
    </row>
    <row r="2146" spans="2:18" ht="17.25" hidden="1" customHeight="1">
      <c r="B2146" s="23">
        <v>45854</v>
      </c>
      <c r="C2146" s="7">
        <v>2003732394</v>
      </c>
      <c r="D2146" s="20">
        <v>6041462</v>
      </c>
      <c r="E2146" s="27" t="s">
        <v>116</v>
      </c>
      <c r="F2146" s="7" t="s">
        <v>107</v>
      </c>
      <c r="G2146" s="7" t="s">
        <v>26</v>
      </c>
      <c r="H2146" s="7" t="s">
        <v>45</v>
      </c>
      <c r="I2146" s="20" t="s">
        <v>282</v>
      </c>
      <c r="J2146" s="20" t="s">
        <v>3222</v>
      </c>
      <c r="K2146" s="7" t="s">
        <v>119</v>
      </c>
      <c r="L2146" s="61">
        <v>45860</v>
      </c>
      <c r="M2146" s="7" t="s">
        <v>111</v>
      </c>
      <c r="N2146" s="24">
        <v>45863</v>
      </c>
      <c r="O2146" s="58">
        <v>45863</v>
      </c>
      <c r="P2146" s="59"/>
      <c r="Q2146" s="124" t="e">
        <f>P2146*#REF!</f>
        <v>#REF!</v>
      </c>
      <c r="R2146" s="126">
        <v>45863</v>
      </c>
    </row>
    <row r="2147" spans="2:18" ht="17.25" hidden="1" customHeight="1">
      <c r="B2147" s="23">
        <v>45854</v>
      </c>
      <c r="C2147" s="7">
        <v>2003689349</v>
      </c>
      <c r="D2147" s="20">
        <v>6041470</v>
      </c>
      <c r="E2147" s="27" t="s">
        <v>149</v>
      </c>
      <c r="F2147" s="7" t="s">
        <v>107</v>
      </c>
      <c r="G2147" s="7" t="s">
        <v>10</v>
      </c>
      <c r="H2147" s="7" t="s">
        <v>45</v>
      </c>
      <c r="I2147" s="20" t="s">
        <v>3223</v>
      </c>
      <c r="J2147" s="20" t="s">
        <v>3224</v>
      </c>
      <c r="K2147" s="7" t="s">
        <v>110</v>
      </c>
      <c r="L2147" s="61">
        <v>45855</v>
      </c>
      <c r="M2147" s="7" t="s">
        <v>111</v>
      </c>
      <c r="N2147" s="61">
        <v>45855</v>
      </c>
      <c r="O2147" s="61">
        <v>45860</v>
      </c>
      <c r="P2147" s="59"/>
      <c r="Q2147" s="124" t="e">
        <f>P2147*#REF!</f>
        <v>#REF!</v>
      </c>
      <c r="R2147" s="126">
        <v>45863</v>
      </c>
    </row>
    <row r="2148" spans="2:18" ht="17.25" hidden="1" customHeight="1">
      <c r="B2148" s="23">
        <v>45854</v>
      </c>
      <c r="C2148" s="7">
        <v>2003741152</v>
      </c>
      <c r="D2148" s="20">
        <v>6041595</v>
      </c>
      <c r="E2148" s="27" t="s">
        <v>185</v>
      </c>
      <c r="F2148" s="7" t="s">
        <v>107</v>
      </c>
      <c r="G2148" s="7" t="s">
        <v>18</v>
      </c>
      <c r="H2148" s="7" t="s">
        <v>45</v>
      </c>
      <c r="I2148" s="20" t="s">
        <v>3225</v>
      </c>
      <c r="J2148" s="20" t="s">
        <v>3226</v>
      </c>
      <c r="K2148" s="7" t="s">
        <v>110</v>
      </c>
      <c r="L2148" s="61">
        <v>45856</v>
      </c>
      <c r="M2148" s="7" t="s">
        <v>111</v>
      </c>
      <c r="N2148" s="61">
        <v>45856</v>
      </c>
      <c r="O2148" s="61">
        <v>45856</v>
      </c>
      <c r="P2148" s="59"/>
      <c r="Q2148" s="124" t="e">
        <f>P2148*#REF!</f>
        <v>#REF!</v>
      </c>
      <c r="R2148" s="126">
        <v>45860</v>
      </c>
    </row>
    <row r="2149" spans="2:18" ht="17.25" hidden="1" customHeight="1">
      <c r="B2149" s="23">
        <v>45854</v>
      </c>
      <c r="C2149" s="7">
        <v>2003738585</v>
      </c>
      <c r="D2149" s="20">
        <v>221921</v>
      </c>
      <c r="E2149" s="27" t="s">
        <v>258</v>
      </c>
      <c r="F2149" s="7" t="s">
        <v>113</v>
      </c>
      <c r="G2149" s="7" t="s">
        <v>70</v>
      </c>
      <c r="H2149" s="7" t="s">
        <v>47</v>
      </c>
      <c r="I2149" s="20" t="s">
        <v>1515</v>
      </c>
      <c r="J2149" s="20" t="s">
        <v>3227</v>
      </c>
      <c r="K2149" s="7" t="s">
        <v>160</v>
      </c>
      <c r="P2149" s="59"/>
      <c r="Q2149" s="124" t="e">
        <f>P2149*#REF!</f>
        <v>#REF!</v>
      </c>
      <c r="R2149" s="126">
        <v>45866</v>
      </c>
    </row>
    <row r="2150" spans="2:18" ht="17.25" hidden="1" customHeight="1">
      <c r="B2150" s="23">
        <v>45854</v>
      </c>
      <c r="C2150" s="7">
        <v>2003712018</v>
      </c>
      <c r="D2150" s="20">
        <v>221581</v>
      </c>
      <c r="E2150" s="27" t="s">
        <v>123</v>
      </c>
      <c r="F2150" s="7" t="s">
        <v>107</v>
      </c>
      <c r="G2150" s="7" t="s">
        <v>21</v>
      </c>
      <c r="H2150" s="7" t="s">
        <v>45</v>
      </c>
      <c r="I2150" s="20" t="s">
        <v>784</v>
      </c>
      <c r="J2150" s="20" t="s">
        <v>2793</v>
      </c>
      <c r="K2150" s="7" t="s">
        <v>119</v>
      </c>
      <c r="L2150" s="61">
        <v>45855</v>
      </c>
      <c r="M2150" s="7" t="s">
        <v>111</v>
      </c>
      <c r="N2150" s="61">
        <v>45856</v>
      </c>
      <c r="O2150" s="58">
        <v>45859</v>
      </c>
      <c r="P2150" s="59"/>
      <c r="Q2150" s="124" t="e">
        <f>P2150*#REF!</f>
        <v>#REF!</v>
      </c>
      <c r="R2150" s="126">
        <v>45860</v>
      </c>
    </row>
    <row r="2151" spans="2:18" ht="17.25" hidden="1" customHeight="1">
      <c r="B2151" s="23">
        <v>45854</v>
      </c>
      <c r="C2151" s="7">
        <v>2003720353</v>
      </c>
      <c r="D2151" s="20">
        <v>221579</v>
      </c>
      <c r="E2151" s="27" t="s">
        <v>123</v>
      </c>
      <c r="F2151" s="7" t="s">
        <v>107</v>
      </c>
      <c r="G2151" s="7" t="s">
        <v>21</v>
      </c>
      <c r="H2151" s="7" t="s">
        <v>45</v>
      </c>
      <c r="I2151" s="20" t="s">
        <v>263</v>
      </c>
      <c r="J2151" s="20" t="s">
        <v>3034</v>
      </c>
      <c r="K2151" s="7" t="s">
        <v>110</v>
      </c>
      <c r="L2151" s="61">
        <v>45855</v>
      </c>
      <c r="M2151" s="7" t="s">
        <v>111</v>
      </c>
      <c r="N2151" s="61">
        <v>45855</v>
      </c>
      <c r="O2151" s="58">
        <v>45859</v>
      </c>
      <c r="P2151" s="59"/>
      <c r="Q2151" s="124" t="e">
        <f>P2151*#REF!</f>
        <v>#REF!</v>
      </c>
      <c r="R2151" s="126">
        <v>45860</v>
      </c>
    </row>
    <row r="2152" spans="2:18" ht="17.25" hidden="1" customHeight="1">
      <c r="B2152" s="23">
        <v>45854</v>
      </c>
      <c r="C2152" s="7">
        <v>2003736576</v>
      </c>
      <c r="D2152" s="20">
        <v>221507</v>
      </c>
      <c r="E2152" s="27" t="s">
        <v>138</v>
      </c>
      <c r="F2152" s="7" t="s">
        <v>107</v>
      </c>
      <c r="G2152" s="7" t="s">
        <v>10</v>
      </c>
      <c r="H2152" s="7" t="s">
        <v>45</v>
      </c>
      <c r="I2152" s="20" t="s">
        <v>878</v>
      </c>
      <c r="J2152" s="20" t="s">
        <v>3228</v>
      </c>
      <c r="K2152" s="7" t="s">
        <v>119</v>
      </c>
      <c r="L2152" s="61">
        <v>45860</v>
      </c>
      <c r="M2152" s="7" t="s">
        <v>111</v>
      </c>
      <c r="N2152" s="61">
        <v>45861</v>
      </c>
      <c r="O2152" s="24">
        <v>45862</v>
      </c>
      <c r="P2152" s="59"/>
      <c r="Q2152" s="124" t="e">
        <f>P2152*#REF!</f>
        <v>#REF!</v>
      </c>
      <c r="R2152" s="126">
        <v>45863</v>
      </c>
    </row>
    <row r="2153" spans="2:18" ht="17.25" hidden="1" customHeight="1">
      <c r="B2153" s="23">
        <v>45855</v>
      </c>
      <c r="C2153" s="7">
        <v>2003730169</v>
      </c>
      <c r="D2153" s="20">
        <v>6042460</v>
      </c>
      <c r="E2153" s="27" t="s">
        <v>185</v>
      </c>
      <c r="F2153" s="7" t="s">
        <v>107</v>
      </c>
      <c r="G2153" s="7" t="s">
        <v>10</v>
      </c>
      <c r="H2153" s="7" t="s">
        <v>45</v>
      </c>
      <c r="I2153" s="20" t="s">
        <v>3229</v>
      </c>
      <c r="J2153" s="20" t="s">
        <v>3230</v>
      </c>
      <c r="K2153" s="7" t="s">
        <v>119</v>
      </c>
      <c r="L2153" s="61">
        <v>45868</v>
      </c>
      <c r="M2153" s="7" t="s">
        <v>111</v>
      </c>
      <c r="N2153" s="24">
        <v>45877</v>
      </c>
      <c r="O2153" s="24">
        <v>45877</v>
      </c>
      <c r="P2153" s="59"/>
      <c r="Q2153" s="124" t="e">
        <f>P2153*#REF!</f>
        <v>#REF!</v>
      </c>
      <c r="R2153" s="126">
        <v>45882</v>
      </c>
    </row>
    <row r="2154" spans="2:18" ht="17.25" hidden="1" customHeight="1">
      <c r="B2154" s="23">
        <v>45855</v>
      </c>
      <c r="C2154" s="7">
        <v>2003740256</v>
      </c>
      <c r="D2154" s="20">
        <v>6042378</v>
      </c>
      <c r="E2154" s="27" t="s">
        <v>1225</v>
      </c>
      <c r="F2154" s="7" t="s">
        <v>107</v>
      </c>
      <c r="G2154" s="7" t="s">
        <v>26</v>
      </c>
      <c r="H2154" s="7" t="s">
        <v>45</v>
      </c>
      <c r="I2154" s="20" t="s">
        <v>1698</v>
      </c>
      <c r="J2154" s="20" t="s">
        <v>3231</v>
      </c>
      <c r="K2154" s="7" t="s">
        <v>110</v>
      </c>
      <c r="L2154" s="61">
        <v>45859</v>
      </c>
      <c r="M2154" s="7" t="s">
        <v>111</v>
      </c>
      <c r="N2154" s="24">
        <v>45860</v>
      </c>
      <c r="O2154" s="58">
        <v>45860</v>
      </c>
      <c r="P2154" s="59"/>
      <c r="Q2154" s="124" t="e">
        <f>P2154*#REF!</f>
        <v>#REF!</v>
      </c>
      <c r="R2154" s="126">
        <v>45860</v>
      </c>
    </row>
    <row r="2155" spans="2:18" ht="17.25" hidden="1" customHeight="1">
      <c r="B2155" s="23">
        <v>45855</v>
      </c>
      <c r="C2155" s="7">
        <v>2003653411</v>
      </c>
      <c r="D2155" s="20">
        <v>6042357</v>
      </c>
      <c r="E2155" s="27" t="s">
        <v>622</v>
      </c>
      <c r="F2155" s="7" t="s">
        <v>107</v>
      </c>
      <c r="G2155" s="7" t="s">
        <v>10</v>
      </c>
      <c r="H2155" s="7" t="s">
        <v>45</v>
      </c>
      <c r="I2155" s="20" t="s">
        <v>3232</v>
      </c>
      <c r="J2155" s="20" t="s">
        <v>3233</v>
      </c>
      <c r="K2155" s="7" t="s">
        <v>119</v>
      </c>
      <c r="L2155" s="61">
        <v>45856</v>
      </c>
      <c r="M2155" s="7" t="s">
        <v>111</v>
      </c>
      <c r="N2155" s="61">
        <v>45856</v>
      </c>
      <c r="O2155" s="61">
        <v>45860</v>
      </c>
      <c r="P2155" s="59"/>
      <c r="Q2155" s="124" t="e">
        <f>P2155*#REF!</f>
        <v>#REF!</v>
      </c>
      <c r="R2155" s="126">
        <v>45863</v>
      </c>
    </row>
    <row r="2156" spans="2:18" ht="17.25" hidden="1" customHeight="1">
      <c r="B2156" s="23">
        <v>45855</v>
      </c>
      <c r="C2156" s="7">
        <v>2003675488</v>
      </c>
      <c r="D2156" s="20">
        <v>6042300</v>
      </c>
      <c r="E2156" s="27" t="s">
        <v>123</v>
      </c>
      <c r="F2156" s="7" t="s">
        <v>107</v>
      </c>
      <c r="G2156" s="7" t="s">
        <v>26</v>
      </c>
      <c r="H2156" s="7" t="s">
        <v>45</v>
      </c>
      <c r="I2156" s="20" t="s">
        <v>2209</v>
      </c>
      <c r="J2156" s="20" t="s">
        <v>2210</v>
      </c>
      <c r="K2156" s="7" t="s">
        <v>110</v>
      </c>
      <c r="L2156" s="61">
        <v>45860</v>
      </c>
      <c r="M2156" s="7" t="s">
        <v>111</v>
      </c>
      <c r="N2156" s="24">
        <v>45860</v>
      </c>
      <c r="O2156" s="58">
        <v>45860</v>
      </c>
      <c r="P2156" s="59"/>
      <c r="Q2156" s="124" t="e">
        <f>P2156*#REF!</f>
        <v>#REF!</v>
      </c>
      <c r="R2156" s="126">
        <v>45860</v>
      </c>
    </row>
    <row r="2157" spans="2:18" ht="17.25" hidden="1" customHeight="1">
      <c r="B2157" s="23">
        <v>45855</v>
      </c>
      <c r="C2157" s="7">
        <v>2003727195</v>
      </c>
      <c r="D2157" s="20">
        <v>6042263</v>
      </c>
      <c r="E2157" s="27" t="s">
        <v>106</v>
      </c>
      <c r="F2157" s="7" t="s">
        <v>107</v>
      </c>
      <c r="G2157" s="7" t="s">
        <v>10</v>
      </c>
      <c r="H2157" s="7" t="s">
        <v>45</v>
      </c>
      <c r="I2157" s="20" t="s">
        <v>3234</v>
      </c>
      <c r="J2157" s="20" t="s">
        <v>3235</v>
      </c>
      <c r="K2157" s="7" t="s">
        <v>119</v>
      </c>
      <c r="L2157" s="61">
        <v>45860</v>
      </c>
      <c r="M2157" s="7" t="s">
        <v>111</v>
      </c>
      <c r="N2157" s="61">
        <v>45861</v>
      </c>
      <c r="O2157" s="61">
        <v>45861</v>
      </c>
      <c r="P2157" s="59"/>
      <c r="Q2157" s="124" t="e">
        <f>P2157*#REF!</f>
        <v>#REF!</v>
      </c>
      <c r="R2157" s="126">
        <v>45863</v>
      </c>
    </row>
    <row r="2158" spans="2:18" ht="17.25" hidden="1" customHeight="1">
      <c r="B2158" s="23">
        <v>45855</v>
      </c>
      <c r="C2158" s="7">
        <v>2003718302</v>
      </c>
      <c r="D2158" s="20">
        <v>6042262</v>
      </c>
      <c r="E2158" s="27" t="s">
        <v>123</v>
      </c>
      <c r="F2158" s="7" t="s">
        <v>107</v>
      </c>
      <c r="G2158" s="7" t="s">
        <v>18</v>
      </c>
      <c r="H2158" s="7" t="s">
        <v>45</v>
      </c>
      <c r="I2158" s="20" t="s">
        <v>3236</v>
      </c>
      <c r="J2158" s="20" t="s">
        <v>3237</v>
      </c>
      <c r="K2158" s="7" t="s">
        <v>119</v>
      </c>
      <c r="L2158" s="61">
        <v>45862</v>
      </c>
      <c r="M2158" s="7" t="s">
        <v>111</v>
      </c>
      <c r="N2158" s="24">
        <v>45863</v>
      </c>
      <c r="O2158" s="24">
        <v>45863</v>
      </c>
      <c r="P2158" s="59"/>
      <c r="Q2158" s="124" t="e">
        <f>P2158*#REF!</f>
        <v>#REF!</v>
      </c>
      <c r="R2158" s="126">
        <v>45866</v>
      </c>
    </row>
    <row r="2159" spans="2:18" ht="17.25" hidden="1" customHeight="1">
      <c r="B2159" s="23">
        <v>45855</v>
      </c>
      <c r="C2159" s="7">
        <v>2003665125</v>
      </c>
      <c r="D2159" s="20">
        <v>6042257</v>
      </c>
      <c r="E2159" s="27" t="s">
        <v>191</v>
      </c>
      <c r="F2159" s="7" t="s">
        <v>107</v>
      </c>
      <c r="G2159" s="7" t="s">
        <v>21</v>
      </c>
      <c r="H2159" s="7" t="s">
        <v>45</v>
      </c>
      <c r="I2159" s="20" t="s">
        <v>1661</v>
      </c>
      <c r="J2159" s="20" t="s">
        <v>1662</v>
      </c>
      <c r="K2159" s="7" t="s">
        <v>110</v>
      </c>
      <c r="L2159" s="61">
        <v>45856</v>
      </c>
      <c r="M2159" s="7" t="s">
        <v>111</v>
      </c>
      <c r="N2159" s="61">
        <v>45856</v>
      </c>
      <c r="O2159" s="58">
        <v>45859</v>
      </c>
      <c r="P2159" s="59"/>
      <c r="Q2159" s="124" t="e">
        <f>P2159*#REF!</f>
        <v>#REF!</v>
      </c>
      <c r="R2159" s="126">
        <v>45860</v>
      </c>
    </row>
    <row r="2160" spans="2:18" ht="17.25" hidden="1" customHeight="1">
      <c r="B2160" s="23">
        <v>45855</v>
      </c>
      <c r="C2160" s="7">
        <v>2003708961</v>
      </c>
      <c r="D2160" s="20">
        <v>6042178</v>
      </c>
      <c r="E2160" s="27" t="s">
        <v>123</v>
      </c>
      <c r="F2160" s="7" t="s">
        <v>107</v>
      </c>
      <c r="G2160" s="7" t="s">
        <v>10</v>
      </c>
      <c r="H2160" s="7" t="s">
        <v>45</v>
      </c>
      <c r="I2160" s="20" t="s">
        <v>3238</v>
      </c>
      <c r="J2160" s="20" t="s">
        <v>3239</v>
      </c>
      <c r="K2160" s="7" t="s">
        <v>119</v>
      </c>
      <c r="L2160" s="61">
        <v>45859</v>
      </c>
      <c r="M2160" s="7" t="s">
        <v>111</v>
      </c>
      <c r="N2160" s="61">
        <v>45859</v>
      </c>
      <c r="O2160" s="61">
        <v>45859</v>
      </c>
      <c r="P2160" s="59"/>
      <c r="Q2160" s="124" t="e">
        <f>P2160*#REF!</f>
        <v>#REF!</v>
      </c>
      <c r="R2160" s="126">
        <v>45860</v>
      </c>
    </row>
    <row r="2161" spans="2:18" ht="17.25" hidden="1" customHeight="1">
      <c r="B2161" s="23">
        <v>45855</v>
      </c>
      <c r="C2161" s="7">
        <v>2003724970</v>
      </c>
      <c r="D2161" s="20">
        <v>6042050</v>
      </c>
      <c r="E2161" s="27" t="s">
        <v>1225</v>
      </c>
      <c r="F2161" s="7" t="s">
        <v>107</v>
      </c>
      <c r="G2161" s="7" t="s">
        <v>21</v>
      </c>
      <c r="H2161" s="7" t="s">
        <v>45</v>
      </c>
      <c r="I2161" s="20" t="s">
        <v>3240</v>
      </c>
      <c r="J2161" s="20" t="s">
        <v>3023</v>
      </c>
      <c r="K2161" s="7" t="s">
        <v>119</v>
      </c>
      <c r="L2161" s="61">
        <v>45856</v>
      </c>
      <c r="M2161" s="7" t="s">
        <v>111</v>
      </c>
      <c r="N2161" s="61">
        <v>45859</v>
      </c>
      <c r="O2161" s="61">
        <v>45860</v>
      </c>
      <c r="P2161" s="59"/>
      <c r="Q2161" s="124" t="e">
        <f>P2161*#REF!</f>
        <v>#REF!</v>
      </c>
      <c r="R2161" s="126">
        <v>45860</v>
      </c>
    </row>
    <row r="2162" spans="2:18" ht="17.25" hidden="1" customHeight="1">
      <c r="B2162" s="23">
        <v>45855</v>
      </c>
      <c r="C2162" s="7">
        <v>2003665539</v>
      </c>
      <c r="D2162" s="20">
        <v>6042010</v>
      </c>
      <c r="E2162" s="27" t="s">
        <v>1225</v>
      </c>
      <c r="F2162" s="7" t="s">
        <v>107</v>
      </c>
      <c r="G2162" s="7" t="s">
        <v>10</v>
      </c>
      <c r="H2162" s="7" t="s">
        <v>45</v>
      </c>
      <c r="I2162" s="20" t="s">
        <v>3241</v>
      </c>
      <c r="J2162" s="20" t="s">
        <v>3242</v>
      </c>
      <c r="K2162" s="7" t="s">
        <v>119</v>
      </c>
      <c r="L2162" s="61">
        <v>45859</v>
      </c>
      <c r="M2162" s="7" t="s">
        <v>111</v>
      </c>
      <c r="N2162" s="61">
        <v>45859</v>
      </c>
      <c r="O2162" s="61">
        <v>45859</v>
      </c>
      <c r="P2162" s="59"/>
      <c r="Q2162" s="124" t="e">
        <f>P2162*#REF!</f>
        <v>#REF!</v>
      </c>
      <c r="R2162" s="126">
        <v>45860</v>
      </c>
    </row>
    <row r="2163" spans="2:18" ht="17.25" hidden="1" customHeight="1">
      <c r="B2163" s="23">
        <v>45855</v>
      </c>
      <c r="C2163" s="7">
        <v>2003726272</v>
      </c>
      <c r="D2163" s="20">
        <v>6041967</v>
      </c>
      <c r="E2163" s="27" t="s">
        <v>132</v>
      </c>
      <c r="F2163" s="7" t="s">
        <v>107</v>
      </c>
      <c r="G2163" s="7" t="s">
        <v>10</v>
      </c>
      <c r="H2163" s="7" t="s">
        <v>45</v>
      </c>
      <c r="I2163" s="20" t="s">
        <v>2557</v>
      </c>
      <c r="J2163" s="20" t="s">
        <v>3243</v>
      </c>
      <c r="K2163" s="7" t="s">
        <v>110</v>
      </c>
      <c r="L2163" s="61">
        <v>45859</v>
      </c>
      <c r="M2163" s="7" t="s">
        <v>111</v>
      </c>
      <c r="N2163" s="61">
        <v>45859</v>
      </c>
      <c r="O2163" s="61">
        <v>45860</v>
      </c>
      <c r="P2163" s="59"/>
      <c r="Q2163" s="124" t="e">
        <f>P2163*#REF!</f>
        <v>#REF!</v>
      </c>
      <c r="R2163" s="126">
        <v>45860</v>
      </c>
    </row>
    <row r="2164" spans="2:18" ht="17.25" hidden="1" customHeight="1">
      <c r="B2164" s="23">
        <v>45855</v>
      </c>
      <c r="C2164" s="7">
        <v>2003723240</v>
      </c>
      <c r="D2164" s="20">
        <v>6041774</v>
      </c>
      <c r="E2164" s="27" t="s">
        <v>149</v>
      </c>
      <c r="F2164" s="7" t="s">
        <v>107</v>
      </c>
      <c r="G2164" s="7" t="s">
        <v>18</v>
      </c>
      <c r="H2164" s="7" t="s">
        <v>45</v>
      </c>
      <c r="I2164" s="20" t="s">
        <v>604</v>
      </c>
      <c r="J2164" s="20" t="s">
        <v>3244</v>
      </c>
      <c r="K2164" s="7" t="s">
        <v>110</v>
      </c>
      <c r="L2164" s="61">
        <v>45860</v>
      </c>
      <c r="M2164" s="7" t="s">
        <v>111</v>
      </c>
      <c r="N2164" s="61">
        <v>45860</v>
      </c>
      <c r="O2164" s="24">
        <v>45862</v>
      </c>
      <c r="P2164" s="59"/>
      <c r="Q2164" s="124" t="e">
        <f>P2164*#REF!</f>
        <v>#REF!</v>
      </c>
      <c r="R2164" s="126">
        <v>45863</v>
      </c>
    </row>
    <row r="2165" spans="2:18" ht="17.25" hidden="1" customHeight="1">
      <c r="B2165" s="23">
        <v>45855</v>
      </c>
      <c r="C2165" s="7">
        <v>2003711521</v>
      </c>
      <c r="D2165" s="20">
        <v>223062</v>
      </c>
      <c r="E2165" s="27" t="s">
        <v>180</v>
      </c>
      <c r="F2165" s="7" t="s">
        <v>113</v>
      </c>
      <c r="G2165" s="7" t="s">
        <v>70</v>
      </c>
      <c r="H2165" s="7" t="s">
        <v>47</v>
      </c>
      <c r="I2165" s="20" t="s">
        <v>3245</v>
      </c>
      <c r="P2165" s="59"/>
      <c r="Q2165" s="124" t="e">
        <f>P2165*#REF!</f>
        <v>#REF!</v>
      </c>
    </row>
    <row r="2166" spans="2:18" ht="17.25" hidden="1" customHeight="1">
      <c r="B2166" s="23">
        <v>45855</v>
      </c>
      <c r="C2166" s="7">
        <v>2003730469</v>
      </c>
      <c r="D2166" s="20">
        <v>223118</v>
      </c>
      <c r="E2166" s="27" t="s">
        <v>143</v>
      </c>
      <c r="F2166" s="7" t="s">
        <v>107</v>
      </c>
      <c r="G2166" s="7" t="s">
        <v>30</v>
      </c>
      <c r="H2166" s="7" t="s">
        <v>45</v>
      </c>
      <c r="I2166" s="20" t="s">
        <v>3246</v>
      </c>
      <c r="J2166" s="20" t="s">
        <v>3247</v>
      </c>
      <c r="K2166" s="7" t="s">
        <v>111</v>
      </c>
      <c r="L2166" s="61">
        <v>45856</v>
      </c>
      <c r="M2166" s="7" t="s">
        <v>111</v>
      </c>
      <c r="N2166" s="61">
        <v>45856</v>
      </c>
      <c r="O2166" s="58">
        <v>45868</v>
      </c>
      <c r="P2166" s="59"/>
      <c r="Q2166" s="124" t="e">
        <f>P2166*#REF!</f>
        <v>#REF!</v>
      </c>
      <c r="R2166" s="126">
        <v>45869</v>
      </c>
    </row>
    <row r="2167" spans="2:18" ht="17.25" hidden="1" customHeight="1">
      <c r="B2167" s="23">
        <v>45855</v>
      </c>
      <c r="C2167" s="7">
        <v>2003672058</v>
      </c>
      <c r="D2167" s="20">
        <v>223129</v>
      </c>
      <c r="E2167" s="27" t="s">
        <v>106</v>
      </c>
      <c r="F2167" s="7" t="s">
        <v>107</v>
      </c>
      <c r="G2167" s="7" t="s">
        <v>10</v>
      </c>
      <c r="H2167" s="7" t="s">
        <v>45</v>
      </c>
      <c r="I2167" s="20" t="s">
        <v>1806</v>
      </c>
      <c r="J2167" s="20" t="s">
        <v>1807</v>
      </c>
      <c r="K2167" s="7" t="s">
        <v>110</v>
      </c>
      <c r="L2167" s="61">
        <v>45856</v>
      </c>
      <c r="M2167" s="7" t="s">
        <v>111</v>
      </c>
      <c r="N2167" s="61">
        <v>45856</v>
      </c>
      <c r="O2167" s="61">
        <v>45856</v>
      </c>
      <c r="P2167" s="59"/>
      <c r="Q2167" s="124" t="e">
        <f>P2167*#REF!</f>
        <v>#REF!</v>
      </c>
      <c r="R2167" s="126">
        <v>45860</v>
      </c>
    </row>
    <row r="2168" spans="2:18" ht="17.25" hidden="1" customHeight="1">
      <c r="B2168" s="23">
        <v>45855</v>
      </c>
      <c r="C2168" s="7">
        <v>2003741592</v>
      </c>
      <c r="D2168" s="20">
        <v>222893</v>
      </c>
      <c r="E2168" s="27" t="s">
        <v>143</v>
      </c>
      <c r="F2168" s="7" t="s">
        <v>113</v>
      </c>
      <c r="G2168" s="7" t="s">
        <v>70</v>
      </c>
      <c r="H2168" s="7" t="s">
        <v>47</v>
      </c>
      <c r="I2168" s="20" t="s">
        <v>708</v>
      </c>
      <c r="J2168" s="20" t="s">
        <v>709</v>
      </c>
      <c r="K2168" s="7" t="s">
        <v>160</v>
      </c>
      <c r="P2168" s="59"/>
      <c r="Q2168" s="124" t="e">
        <f>P2168*#REF!</f>
        <v>#REF!</v>
      </c>
      <c r="R2168" s="126">
        <v>45866</v>
      </c>
    </row>
    <row r="2169" spans="2:18" ht="17.25" hidden="1" customHeight="1">
      <c r="B2169" s="23">
        <v>45855</v>
      </c>
      <c r="C2169" s="7">
        <v>2003740401</v>
      </c>
      <c r="D2169" s="20">
        <v>222775</v>
      </c>
      <c r="E2169" s="27" t="s">
        <v>123</v>
      </c>
      <c r="F2169" s="7" t="s">
        <v>107</v>
      </c>
      <c r="G2169" s="7" t="s">
        <v>18</v>
      </c>
      <c r="H2169" s="7" t="s">
        <v>45</v>
      </c>
      <c r="I2169" s="20" t="s">
        <v>3248</v>
      </c>
      <c r="J2169" s="20" t="s">
        <v>3249</v>
      </c>
      <c r="K2169" s="7" t="s">
        <v>119</v>
      </c>
      <c r="L2169" s="61">
        <v>45860</v>
      </c>
      <c r="M2169" s="7" t="s">
        <v>111</v>
      </c>
      <c r="N2169" s="61">
        <v>45861</v>
      </c>
      <c r="O2169" s="58">
        <v>45868</v>
      </c>
      <c r="P2169" s="59"/>
      <c r="Q2169" s="124" t="e">
        <f>P2169*#REF!</f>
        <v>#REF!</v>
      </c>
      <c r="R2169" s="126">
        <v>45868</v>
      </c>
    </row>
    <row r="2170" spans="2:18" ht="17.25" hidden="1" customHeight="1">
      <c r="B2170" s="23">
        <v>45855</v>
      </c>
      <c r="C2170" s="7">
        <v>2003733575</v>
      </c>
      <c r="D2170" s="20">
        <v>222767</v>
      </c>
      <c r="E2170" s="27" t="s">
        <v>123</v>
      </c>
      <c r="F2170" s="7" t="s">
        <v>107</v>
      </c>
      <c r="G2170" s="7" t="s">
        <v>10</v>
      </c>
      <c r="H2170" s="7" t="s">
        <v>45</v>
      </c>
      <c r="I2170" s="20" t="s">
        <v>3250</v>
      </c>
      <c r="J2170" s="20" t="s">
        <v>3251</v>
      </c>
      <c r="K2170" s="7" t="s">
        <v>119</v>
      </c>
      <c r="L2170" s="61">
        <v>45859</v>
      </c>
      <c r="M2170" s="7" t="s">
        <v>111</v>
      </c>
      <c r="N2170" s="61">
        <v>45859</v>
      </c>
      <c r="O2170" s="61">
        <v>45860</v>
      </c>
      <c r="P2170" s="59"/>
      <c r="Q2170" s="124" t="e">
        <f>P2170*#REF!</f>
        <v>#REF!</v>
      </c>
      <c r="R2170" s="126">
        <v>45860</v>
      </c>
    </row>
    <row r="2171" spans="2:18" ht="17.25" hidden="1" customHeight="1">
      <c r="B2171" s="23">
        <v>45855</v>
      </c>
      <c r="C2171" s="7">
        <v>2003730010</v>
      </c>
      <c r="D2171" s="20">
        <v>222761</v>
      </c>
      <c r="E2171" s="27" t="s">
        <v>198</v>
      </c>
      <c r="F2171" s="7" t="s">
        <v>107</v>
      </c>
      <c r="G2171" s="7" t="s">
        <v>10</v>
      </c>
      <c r="H2171" s="7" t="s">
        <v>45</v>
      </c>
      <c r="I2171" s="20" t="s">
        <v>3252</v>
      </c>
      <c r="J2171" s="20" t="s">
        <v>3253</v>
      </c>
      <c r="K2171" s="7" t="s">
        <v>119</v>
      </c>
      <c r="L2171" s="61">
        <v>45859</v>
      </c>
      <c r="M2171" s="7" t="s">
        <v>111</v>
      </c>
      <c r="N2171" s="61">
        <v>45859</v>
      </c>
      <c r="O2171" s="61">
        <v>45860</v>
      </c>
      <c r="P2171" s="59"/>
      <c r="Q2171" s="124" t="e">
        <f>P2171*#REF!</f>
        <v>#REF!</v>
      </c>
      <c r="R2171" s="126">
        <v>45860</v>
      </c>
    </row>
    <row r="2172" spans="2:18" ht="17.25" hidden="1" customHeight="1">
      <c r="B2172" s="23">
        <v>45855</v>
      </c>
      <c r="C2172" s="7">
        <v>2003739948</v>
      </c>
      <c r="D2172" s="20">
        <v>222675</v>
      </c>
      <c r="E2172" s="27" t="s">
        <v>1225</v>
      </c>
      <c r="F2172" s="7" t="s">
        <v>107</v>
      </c>
      <c r="G2172" s="7" t="s">
        <v>10</v>
      </c>
      <c r="H2172" s="7" t="s">
        <v>45</v>
      </c>
      <c r="I2172" s="20" t="s">
        <v>3254</v>
      </c>
      <c r="J2172" s="20" t="s">
        <v>3255</v>
      </c>
      <c r="K2172" s="7" t="s">
        <v>110</v>
      </c>
      <c r="L2172" s="61">
        <v>45859</v>
      </c>
      <c r="M2172" s="7" t="s">
        <v>111</v>
      </c>
      <c r="N2172" s="61">
        <v>45859</v>
      </c>
      <c r="O2172" s="61">
        <v>45860</v>
      </c>
      <c r="P2172" s="59"/>
      <c r="Q2172" s="124" t="e">
        <f>P2172*#REF!</f>
        <v>#REF!</v>
      </c>
      <c r="R2172" s="126">
        <v>45860</v>
      </c>
    </row>
    <row r="2173" spans="2:18" ht="17.25" hidden="1" customHeight="1">
      <c r="B2173" s="23">
        <v>45855</v>
      </c>
      <c r="C2173" s="7">
        <v>2003733640</v>
      </c>
      <c r="D2173" s="20">
        <v>222239</v>
      </c>
      <c r="E2173" s="27" t="s">
        <v>185</v>
      </c>
      <c r="F2173" s="7" t="s">
        <v>107</v>
      </c>
      <c r="G2173" s="7" t="s">
        <v>10</v>
      </c>
      <c r="H2173" s="7" t="s">
        <v>45</v>
      </c>
      <c r="I2173" s="20" t="s">
        <v>3256</v>
      </c>
      <c r="J2173" s="20" t="s">
        <v>3257</v>
      </c>
      <c r="K2173" s="7" t="s">
        <v>119</v>
      </c>
      <c r="L2173" s="61">
        <v>45856</v>
      </c>
      <c r="M2173" s="7" t="s">
        <v>111</v>
      </c>
      <c r="N2173" s="24">
        <v>45859</v>
      </c>
      <c r="O2173" s="24">
        <v>45859</v>
      </c>
      <c r="P2173" s="59"/>
      <c r="Q2173" s="124" t="e">
        <f>P2173*#REF!</f>
        <v>#REF!</v>
      </c>
      <c r="R2173" s="126">
        <v>45863</v>
      </c>
    </row>
    <row r="2174" spans="2:18" ht="17.25" hidden="1" customHeight="1">
      <c r="B2174" s="23">
        <v>45855</v>
      </c>
      <c r="C2174" s="7">
        <v>2003665152</v>
      </c>
      <c r="D2174" s="20">
        <v>222045</v>
      </c>
      <c r="E2174" s="27" t="s">
        <v>191</v>
      </c>
      <c r="F2174" s="7" t="s">
        <v>107</v>
      </c>
      <c r="G2174" s="7" t="s">
        <v>10</v>
      </c>
      <c r="H2174" s="7" t="s">
        <v>45</v>
      </c>
      <c r="I2174" s="20" t="s">
        <v>631</v>
      </c>
      <c r="J2174" s="20" t="s">
        <v>3258</v>
      </c>
      <c r="K2174" s="7" t="s">
        <v>110</v>
      </c>
      <c r="L2174" s="61">
        <v>45860</v>
      </c>
      <c r="M2174" s="7" t="s">
        <v>111</v>
      </c>
      <c r="N2174" s="61">
        <v>45860</v>
      </c>
      <c r="O2174" s="61">
        <v>45860</v>
      </c>
      <c r="P2174" s="59"/>
      <c r="Q2174" s="124" t="e">
        <f>P2174*#REF!</f>
        <v>#REF!</v>
      </c>
      <c r="R2174" s="126">
        <v>45860</v>
      </c>
    </row>
    <row r="2175" spans="2:18" ht="17.25" hidden="1" customHeight="1">
      <c r="B2175" s="23">
        <v>45856</v>
      </c>
      <c r="C2175" s="7">
        <v>2003730813</v>
      </c>
      <c r="D2175" s="20">
        <v>6042556</v>
      </c>
      <c r="E2175" s="27" t="s">
        <v>129</v>
      </c>
      <c r="F2175" s="7" t="s">
        <v>107</v>
      </c>
      <c r="G2175" s="7" t="s">
        <v>10</v>
      </c>
      <c r="H2175" s="7" t="s">
        <v>45</v>
      </c>
      <c r="I2175" s="20" t="s">
        <v>912</v>
      </c>
      <c r="J2175" s="20" t="s">
        <v>913</v>
      </c>
      <c r="K2175" s="7" t="s">
        <v>119</v>
      </c>
      <c r="L2175" s="61">
        <v>45860</v>
      </c>
      <c r="M2175" s="7" t="s">
        <v>111</v>
      </c>
      <c r="N2175" s="61">
        <v>45861</v>
      </c>
      <c r="O2175" s="24">
        <v>45862</v>
      </c>
      <c r="P2175" s="59"/>
      <c r="Q2175" s="124" t="e">
        <f>P2175*#REF!</f>
        <v>#REF!</v>
      </c>
      <c r="R2175" s="126">
        <v>45863</v>
      </c>
    </row>
    <row r="2176" spans="2:18" ht="17.25" hidden="1" customHeight="1">
      <c r="B2176" s="23">
        <v>45856</v>
      </c>
      <c r="C2176" s="7">
        <v>2003671060</v>
      </c>
      <c r="D2176" s="20">
        <v>6042810</v>
      </c>
      <c r="E2176" s="27" t="s">
        <v>126</v>
      </c>
      <c r="F2176" s="7" t="s">
        <v>107</v>
      </c>
      <c r="G2176" s="7" t="s">
        <v>21</v>
      </c>
      <c r="H2176" s="7" t="s">
        <v>45</v>
      </c>
      <c r="I2176" s="20" t="s">
        <v>3259</v>
      </c>
      <c r="J2176" s="20" t="s">
        <v>2862</v>
      </c>
      <c r="K2176" s="7" t="s">
        <v>119</v>
      </c>
      <c r="L2176" s="61">
        <v>45859</v>
      </c>
      <c r="M2176" s="7" t="s">
        <v>111</v>
      </c>
      <c r="N2176" s="61">
        <v>45859</v>
      </c>
      <c r="O2176" s="61">
        <v>45859</v>
      </c>
      <c r="P2176" s="59"/>
      <c r="Q2176" s="124" t="e">
        <f>P2176*#REF!</f>
        <v>#REF!</v>
      </c>
      <c r="R2176" s="126">
        <v>45860</v>
      </c>
    </row>
    <row r="2177" spans="2:18" ht="17.25" hidden="1" customHeight="1">
      <c r="B2177" s="23">
        <v>45856</v>
      </c>
      <c r="C2177" s="7">
        <v>2003740522</v>
      </c>
      <c r="D2177" s="20">
        <v>6042812</v>
      </c>
      <c r="E2177" s="27" t="s">
        <v>622</v>
      </c>
      <c r="F2177" s="7" t="s">
        <v>107</v>
      </c>
      <c r="G2177" s="7" t="s">
        <v>10</v>
      </c>
      <c r="H2177" s="7" t="s">
        <v>45</v>
      </c>
      <c r="I2177" s="20" t="s">
        <v>2516</v>
      </c>
      <c r="J2177" s="20" t="s">
        <v>2517</v>
      </c>
      <c r="K2177" s="7" t="s">
        <v>119</v>
      </c>
      <c r="L2177" s="61">
        <v>45862</v>
      </c>
      <c r="M2177" s="7" t="s">
        <v>111</v>
      </c>
      <c r="N2177" s="24">
        <v>45863</v>
      </c>
      <c r="O2177" s="24">
        <v>45863</v>
      </c>
      <c r="P2177" s="59"/>
      <c r="Q2177" s="124" t="e">
        <f>P2177*#REF!</f>
        <v>#REF!</v>
      </c>
      <c r="R2177" s="126">
        <v>45866</v>
      </c>
    </row>
    <row r="2178" spans="2:18" ht="17.25" hidden="1" customHeight="1">
      <c r="B2178" s="23">
        <v>45856</v>
      </c>
      <c r="C2178" s="7">
        <v>2003725414</v>
      </c>
      <c r="D2178" s="20">
        <v>6042916</v>
      </c>
      <c r="E2178" s="27" t="s">
        <v>106</v>
      </c>
      <c r="F2178" s="7" t="s">
        <v>107</v>
      </c>
      <c r="G2178" s="7" t="s">
        <v>10</v>
      </c>
      <c r="H2178" s="7" t="s">
        <v>45</v>
      </c>
      <c r="I2178" s="20" t="s">
        <v>3260</v>
      </c>
      <c r="J2178" s="20" t="s">
        <v>2586</v>
      </c>
      <c r="K2178" s="7" t="s">
        <v>110</v>
      </c>
      <c r="L2178" s="61">
        <v>45860</v>
      </c>
      <c r="M2178" s="7" t="s">
        <v>111</v>
      </c>
      <c r="N2178" s="61">
        <v>45860</v>
      </c>
      <c r="O2178" s="61">
        <v>45860</v>
      </c>
      <c r="P2178" s="59"/>
      <c r="Q2178" s="124" t="e">
        <f>P2178*#REF!</f>
        <v>#REF!</v>
      </c>
      <c r="R2178" s="126">
        <v>45860</v>
      </c>
    </row>
    <row r="2179" spans="2:18" ht="17.25" hidden="1" customHeight="1">
      <c r="B2179" s="23">
        <v>45856</v>
      </c>
      <c r="C2179" s="7">
        <v>2003665978</v>
      </c>
      <c r="D2179" s="20">
        <v>6042946</v>
      </c>
      <c r="E2179" s="27" t="s">
        <v>123</v>
      </c>
      <c r="F2179" s="7" t="s">
        <v>107</v>
      </c>
      <c r="G2179" s="7" t="s">
        <v>10</v>
      </c>
      <c r="H2179" s="7" t="s">
        <v>45</v>
      </c>
      <c r="I2179" s="20" t="s">
        <v>3261</v>
      </c>
      <c r="J2179" s="20" t="s">
        <v>2705</v>
      </c>
      <c r="K2179" s="7" t="s">
        <v>119</v>
      </c>
      <c r="L2179" s="61">
        <v>45861</v>
      </c>
      <c r="M2179" s="7" t="s">
        <v>111</v>
      </c>
      <c r="N2179" s="24">
        <v>45862</v>
      </c>
      <c r="O2179" s="24">
        <v>45862</v>
      </c>
      <c r="P2179" s="59"/>
      <c r="Q2179" s="124" t="e">
        <f>P2179*#REF!</f>
        <v>#REF!</v>
      </c>
      <c r="R2179" s="126">
        <v>45863</v>
      </c>
    </row>
    <row r="2180" spans="2:18" ht="17.25" hidden="1" customHeight="1">
      <c r="B2180" s="23">
        <v>45856</v>
      </c>
      <c r="C2180" s="7">
        <v>2003710069</v>
      </c>
      <c r="D2180" s="20">
        <v>6043125</v>
      </c>
      <c r="E2180" s="27" t="s">
        <v>138</v>
      </c>
      <c r="F2180" s="7" t="s">
        <v>107</v>
      </c>
      <c r="G2180" s="7" t="s">
        <v>21</v>
      </c>
      <c r="H2180" s="7" t="s">
        <v>45</v>
      </c>
      <c r="I2180" s="20" t="s">
        <v>3262</v>
      </c>
      <c r="J2180" s="20" t="s">
        <v>2849</v>
      </c>
      <c r="K2180" s="7" t="s">
        <v>111</v>
      </c>
      <c r="L2180" s="61">
        <v>45859</v>
      </c>
      <c r="M2180" s="7" t="s">
        <v>111</v>
      </c>
      <c r="N2180" s="61">
        <v>45859</v>
      </c>
      <c r="O2180" s="61">
        <v>45859</v>
      </c>
      <c r="P2180" s="59"/>
      <c r="Q2180" s="124" t="e">
        <f>P2180*#REF!</f>
        <v>#REF!</v>
      </c>
      <c r="R2180" s="126">
        <v>45860</v>
      </c>
    </row>
    <row r="2181" spans="2:18" ht="17.25" hidden="1" customHeight="1">
      <c r="B2181" s="23">
        <v>45856</v>
      </c>
      <c r="C2181" s="7">
        <v>2003698283</v>
      </c>
      <c r="D2181" s="20">
        <v>6043172</v>
      </c>
      <c r="E2181" s="27" t="s">
        <v>138</v>
      </c>
      <c r="F2181" s="7" t="s">
        <v>107</v>
      </c>
      <c r="G2181" s="7" t="s">
        <v>26</v>
      </c>
      <c r="H2181" s="7" t="s">
        <v>45</v>
      </c>
      <c r="I2181" s="20" t="s">
        <v>3263</v>
      </c>
      <c r="J2181" s="20" t="s">
        <v>3264</v>
      </c>
      <c r="K2181" s="7" t="s">
        <v>119</v>
      </c>
      <c r="L2181" s="61">
        <v>45860</v>
      </c>
      <c r="M2181" s="7" t="s">
        <v>111</v>
      </c>
      <c r="N2181" s="24">
        <v>45863</v>
      </c>
      <c r="O2181" s="58">
        <v>45863</v>
      </c>
      <c r="P2181" s="59"/>
      <c r="Q2181" s="124" t="e">
        <f>P2181*#REF!</f>
        <v>#REF!</v>
      </c>
      <c r="R2181" s="126">
        <v>45863</v>
      </c>
    </row>
    <row r="2182" spans="2:18" ht="17.25" hidden="1" customHeight="1">
      <c r="B2182" s="23">
        <v>45856</v>
      </c>
      <c r="C2182" s="7">
        <v>2003742481</v>
      </c>
      <c r="D2182" s="20">
        <v>224364</v>
      </c>
      <c r="E2182" s="27" t="s">
        <v>116</v>
      </c>
      <c r="F2182" s="7" t="s">
        <v>107</v>
      </c>
      <c r="G2182" s="7" t="s">
        <v>10</v>
      </c>
      <c r="H2182" s="7" t="s">
        <v>45</v>
      </c>
      <c r="I2182" s="20" t="s">
        <v>173</v>
      </c>
      <c r="J2182" s="20" t="s">
        <v>2696</v>
      </c>
      <c r="K2182" s="7" t="s">
        <v>119</v>
      </c>
      <c r="L2182" s="61">
        <v>45862</v>
      </c>
      <c r="M2182" s="7" t="s">
        <v>111</v>
      </c>
      <c r="N2182" s="24">
        <v>45863</v>
      </c>
      <c r="O2182" s="58">
        <v>45863</v>
      </c>
      <c r="P2182" s="59"/>
      <c r="Q2182" s="124" t="e">
        <f>P2182*#REF!</f>
        <v>#REF!</v>
      </c>
      <c r="R2182" s="126">
        <v>45863</v>
      </c>
    </row>
    <row r="2183" spans="2:18" ht="17.25" hidden="1" customHeight="1">
      <c r="B2183" s="23">
        <v>45856</v>
      </c>
      <c r="C2183" s="7">
        <v>2003711825</v>
      </c>
      <c r="D2183" s="20">
        <v>223499</v>
      </c>
      <c r="E2183" s="27" t="s">
        <v>116</v>
      </c>
      <c r="F2183" s="7" t="s">
        <v>107</v>
      </c>
      <c r="G2183" s="7" t="s">
        <v>21</v>
      </c>
      <c r="H2183" s="7" t="s">
        <v>45</v>
      </c>
      <c r="I2183" s="20" t="s">
        <v>3265</v>
      </c>
      <c r="J2183" s="20" t="s">
        <v>2975</v>
      </c>
      <c r="K2183" s="7" t="s">
        <v>119</v>
      </c>
      <c r="L2183" s="61">
        <v>45861</v>
      </c>
      <c r="M2183" s="7" t="s">
        <v>111</v>
      </c>
      <c r="N2183" s="24">
        <v>45862</v>
      </c>
      <c r="O2183" s="24">
        <v>45862</v>
      </c>
      <c r="P2183" s="59"/>
      <c r="Q2183" s="124" t="e">
        <f>P2183*#REF!</f>
        <v>#REF!</v>
      </c>
      <c r="R2183" s="126">
        <v>45863</v>
      </c>
    </row>
    <row r="2184" spans="2:18" ht="17.25" hidden="1" customHeight="1">
      <c r="B2184" s="23">
        <v>45856</v>
      </c>
      <c r="C2184" s="7">
        <v>2003728014</v>
      </c>
      <c r="D2184" s="20">
        <v>223331</v>
      </c>
      <c r="E2184" s="27" t="s">
        <v>408</v>
      </c>
      <c r="F2184" s="7" t="s">
        <v>107</v>
      </c>
      <c r="G2184" s="7" t="s">
        <v>10</v>
      </c>
      <c r="H2184" s="7" t="s">
        <v>45</v>
      </c>
      <c r="I2184" s="20" t="s">
        <v>3266</v>
      </c>
      <c r="J2184" s="20" t="s">
        <v>3267</v>
      </c>
      <c r="K2184" s="7" t="s">
        <v>119</v>
      </c>
      <c r="L2184" s="61">
        <v>45855</v>
      </c>
      <c r="M2184" s="7" t="s">
        <v>111</v>
      </c>
      <c r="N2184" s="61">
        <v>45859</v>
      </c>
      <c r="O2184" s="61">
        <v>45860</v>
      </c>
      <c r="P2184" s="59"/>
      <c r="Q2184" s="124" t="e">
        <f>P2184*#REF!</f>
        <v>#REF!</v>
      </c>
      <c r="R2184" s="126">
        <v>45860</v>
      </c>
    </row>
    <row r="2185" spans="2:18" ht="17.25" hidden="1" customHeight="1">
      <c r="B2185" s="23">
        <v>45859</v>
      </c>
      <c r="C2185" s="7">
        <v>2003743638</v>
      </c>
      <c r="D2185" s="20">
        <v>6043458</v>
      </c>
      <c r="E2185" s="27" t="s">
        <v>152</v>
      </c>
      <c r="F2185" s="7" t="s">
        <v>107</v>
      </c>
      <c r="G2185" s="7" t="s">
        <v>18</v>
      </c>
      <c r="H2185" s="7" t="s">
        <v>45</v>
      </c>
      <c r="I2185" s="20" t="s">
        <v>667</v>
      </c>
      <c r="J2185" s="20" t="s">
        <v>3268</v>
      </c>
      <c r="K2185" s="7" t="s">
        <v>119</v>
      </c>
      <c r="L2185" s="61">
        <v>45861</v>
      </c>
      <c r="M2185" s="7" t="s">
        <v>111</v>
      </c>
      <c r="N2185" s="24">
        <v>45862</v>
      </c>
      <c r="O2185" s="24">
        <v>45863</v>
      </c>
      <c r="P2185" s="59"/>
      <c r="Q2185" s="124" t="e">
        <f>P2185*#REF!</f>
        <v>#REF!</v>
      </c>
      <c r="R2185" s="126">
        <v>45866</v>
      </c>
    </row>
    <row r="2186" spans="2:18" ht="17.25" hidden="1" customHeight="1">
      <c r="B2186" s="23">
        <v>45859</v>
      </c>
      <c r="C2186" s="7">
        <v>2003740309</v>
      </c>
      <c r="D2186" s="20">
        <v>6043513</v>
      </c>
      <c r="E2186" s="27" t="s">
        <v>366</v>
      </c>
      <c r="F2186" s="7" t="s">
        <v>107</v>
      </c>
      <c r="G2186" s="7" t="s">
        <v>10</v>
      </c>
      <c r="H2186" s="7" t="s">
        <v>45</v>
      </c>
      <c r="I2186" s="20" t="s">
        <v>3269</v>
      </c>
      <c r="J2186" s="20" t="s">
        <v>3270</v>
      </c>
      <c r="K2186" s="7" t="s">
        <v>119</v>
      </c>
      <c r="L2186" s="61">
        <v>45866</v>
      </c>
      <c r="M2186" s="7" t="s">
        <v>111</v>
      </c>
      <c r="N2186" s="61">
        <v>45867</v>
      </c>
      <c r="O2186" s="58">
        <v>45868</v>
      </c>
      <c r="P2186" s="59"/>
      <c r="Q2186" s="124" t="e">
        <f>P2186*#REF!</f>
        <v>#REF!</v>
      </c>
      <c r="R2186" s="126">
        <v>45869</v>
      </c>
    </row>
    <row r="2187" spans="2:18" ht="17.25" hidden="1" customHeight="1">
      <c r="B2187" s="23">
        <v>45859</v>
      </c>
      <c r="C2187" s="7">
        <v>2003536075</v>
      </c>
      <c r="D2187" s="20">
        <v>6043531</v>
      </c>
      <c r="E2187" s="27" t="s">
        <v>198</v>
      </c>
      <c r="F2187" s="7" t="s">
        <v>107</v>
      </c>
      <c r="G2187" s="7" t="s">
        <v>10</v>
      </c>
      <c r="H2187" s="7" t="s">
        <v>45</v>
      </c>
      <c r="I2187" s="20" t="s">
        <v>618</v>
      </c>
      <c r="J2187" s="20" t="s">
        <v>3271</v>
      </c>
      <c r="K2187" s="7" t="s">
        <v>110</v>
      </c>
      <c r="L2187" s="61">
        <v>45860</v>
      </c>
      <c r="M2187" s="7" t="s">
        <v>111</v>
      </c>
      <c r="N2187" s="24">
        <v>45862</v>
      </c>
      <c r="O2187" s="24">
        <v>45862</v>
      </c>
      <c r="P2187" s="59"/>
      <c r="Q2187" s="124" t="e">
        <f>P2187*#REF!</f>
        <v>#REF!</v>
      </c>
      <c r="R2187" s="126">
        <v>45863</v>
      </c>
    </row>
    <row r="2188" spans="2:18" ht="17.25" hidden="1" customHeight="1">
      <c r="B2188" s="23">
        <v>45859</v>
      </c>
      <c r="C2188" s="7">
        <v>2003521749</v>
      </c>
      <c r="D2188" s="20">
        <v>6043565</v>
      </c>
      <c r="E2188" s="27" t="s">
        <v>408</v>
      </c>
      <c r="F2188" s="7" t="s">
        <v>107</v>
      </c>
      <c r="G2188" s="7" t="s">
        <v>10</v>
      </c>
      <c r="H2188" s="7" t="s">
        <v>45</v>
      </c>
      <c r="I2188" s="20" t="s">
        <v>3272</v>
      </c>
      <c r="J2188" s="20" t="s">
        <v>3271</v>
      </c>
      <c r="K2188" s="7" t="s">
        <v>110</v>
      </c>
      <c r="L2188" s="61">
        <v>45860</v>
      </c>
      <c r="M2188" s="7" t="s">
        <v>111</v>
      </c>
      <c r="N2188" s="24">
        <v>45862</v>
      </c>
      <c r="O2188" s="24">
        <v>45862</v>
      </c>
      <c r="P2188" s="59"/>
      <c r="Q2188" s="124" t="e">
        <f>P2188*#REF!</f>
        <v>#REF!</v>
      </c>
      <c r="R2188" s="126">
        <v>45863</v>
      </c>
    </row>
    <row r="2189" spans="2:18" ht="17.25" hidden="1" customHeight="1">
      <c r="B2189" s="23">
        <v>45859</v>
      </c>
      <c r="C2189" s="7">
        <v>2003671536</v>
      </c>
      <c r="D2189" s="20">
        <v>6043592</v>
      </c>
      <c r="E2189" s="27" t="s">
        <v>123</v>
      </c>
      <c r="F2189" s="7" t="s">
        <v>107</v>
      </c>
      <c r="G2189" s="7" t="s">
        <v>26</v>
      </c>
      <c r="H2189" s="7" t="s">
        <v>45</v>
      </c>
      <c r="I2189" s="20" t="s">
        <v>2708</v>
      </c>
      <c r="J2189" s="20" t="s">
        <v>2207</v>
      </c>
      <c r="K2189" s="7" t="s">
        <v>110</v>
      </c>
      <c r="L2189" s="61">
        <v>45863</v>
      </c>
      <c r="M2189" s="7" t="s">
        <v>111</v>
      </c>
      <c r="N2189" s="24">
        <v>45866</v>
      </c>
      <c r="P2189" s="59"/>
      <c r="Q2189" s="124" t="e">
        <f>P2189*#REF!</f>
        <v>#REF!</v>
      </c>
      <c r="R2189" s="126">
        <v>45866</v>
      </c>
    </row>
    <row r="2190" spans="2:18" ht="17.25" hidden="1" customHeight="1">
      <c r="B2190" s="23">
        <v>45859</v>
      </c>
      <c r="C2190" s="7">
        <v>2003743100</v>
      </c>
      <c r="D2190" s="20">
        <v>6043644</v>
      </c>
      <c r="E2190" s="27" t="s">
        <v>180</v>
      </c>
      <c r="F2190" s="7" t="s">
        <v>113</v>
      </c>
      <c r="G2190" s="7" t="s">
        <v>70</v>
      </c>
      <c r="H2190" s="7" t="s">
        <v>47</v>
      </c>
      <c r="I2190" s="20" t="s">
        <v>1719</v>
      </c>
      <c r="J2190" s="20" t="s">
        <v>3273</v>
      </c>
      <c r="K2190" s="7" t="s">
        <v>160</v>
      </c>
      <c r="P2190" s="59"/>
      <c r="Q2190" s="124" t="e">
        <f>P2190*#REF!</f>
        <v>#REF!</v>
      </c>
      <c r="R2190" s="126">
        <v>45875</v>
      </c>
    </row>
    <row r="2191" spans="2:18" ht="17.25" hidden="1" customHeight="1">
      <c r="B2191" s="23">
        <v>45859</v>
      </c>
      <c r="C2191" s="7">
        <v>2003738213</v>
      </c>
      <c r="D2191" s="20">
        <v>6043647</v>
      </c>
      <c r="E2191" s="27" t="s">
        <v>126</v>
      </c>
      <c r="F2191" s="7" t="s">
        <v>107</v>
      </c>
      <c r="G2191" s="7" t="s">
        <v>10</v>
      </c>
      <c r="H2191" s="7" t="s">
        <v>45</v>
      </c>
      <c r="I2191" s="20" t="s">
        <v>3274</v>
      </c>
      <c r="J2191" s="20" t="s">
        <v>3275</v>
      </c>
      <c r="K2191" s="7" t="s">
        <v>119</v>
      </c>
      <c r="L2191" s="61">
        <v>45860</v>
      </c>
      <c r="M2191" s="7" t="s">
        <v>111</v>
      </c>
      <c r="N2191" s="24">
        <v>45868</v>
      </c>
      <c r="O2191" s="58">
        <v>45874</v>
      </c>
      <c r="P2191" s="59"/>
      <c r="Q2191" s="124" t="e">
        <f>P2191*#REF!</f>
        <v>#REF!</v>
      </c>
      <c r="R2191" s="126">
        <v>45876</v>
      </c>
    </row>
    <row r="2192" spans="2:18" ht="17.25" hidden="1" customHeight="1">
      <c r="B2192" s="23">
        <v>45859</v>
      </c>
      <c r="C2192" s="7">
        <v>2003737955</v>
      </c>
      <c r="D2192" s="20">
        <v>6044074</v>
      </c>
      <c r="E2192" s="27" t="s">
        <v>201</v>
      </c>
      <c r="F2192" s="7" t="s">
        <v>107</v>
      </c>
      <c r="G2192" s="7" t="s">
        <v>18</v>
      </c>
      <c r="H2192" s="7" t="s">
        <v>45</v>
      </c>
      <c r="I2192" s="20" t="s">
        <v>3276</v>
      </c>
      <c r="J2192" s="20" t="s">
        <v>3277</v>
      </c>
      <c r="K2192" s="7" t="s">
        <v>119</v>
      </c>
      <c r="L2192" s="61">
        <v>45861</v>
      </c>
      <c r="M2192" s="7" t="s">
        <v>111</v>
      </c>
      <c r="N2192" s="24">
        <v>45862</v>
      </c>
      <c r="O2192" s="24">
        <v>45863</v>
      </c>
      <c r="P2192" s="59"/>
      <c r="Q2192" s="124" t="e">
        <f>P2192*#REF!</f>
        <v>#REF!</v>
      </c>
      <c r="R2192" s="126">
        <v>45866</v>
      </c>
    </row>
    <row r="2193" spans="2:18" ht="17.25" hidden="1" customHeight="1">
      <c r="B2193" s="23">
        <v>45859</v>
      </c>
      <c r="C2193" s="7">
        <v>2003681223</v>
      </c>
      <c r="D2193" s="20">
        <v>6044084</v>
      </c>
      <c r="E2193" s="27" t="s">
        <v>201</v>
      </c>
      <c r="F2193" s="7" t="s">
        <v>107</v>
      </c>
      <c r="G2193" s="7" t="s">
        <v>18</v>
      </c>
      <c r="H2193" s="7" t="s">
        <v>45</v>
      </c>
      <c r="I2193" s="20" t="s">
        <v>2752</v>
      </c>
      <c r="J2193" s="20" t="s">
        <v>2753</v>
      </c>
      <c r="K2193" s="7" t="s">
        <v>110</v>
      </c>
      <c r="L2193" s="61">
        <v>45861</v>
      </c>
      <c r="M2193" s="7" t="s">
        <v>111</v>
      </c>
      <c r="N2193" s="24">
        <v>45862</v>
      </c>
      <c r="O2193" s="24">
        <v>45862</v>
      </c>
      <c r="P2193" s="59"/>
      <c r="Q2193" s="124" t="e">
        <f>P2193*#REF!</f>
        <v>#REF!</v>
      </c>
      <c r="R2193" s="126">
        <v>45863</v>
      </c>
    </row>
    <row r="2194" spans="2:18" ht="17.25" hidden="1" customHeight="1">
      <c r="B2194" s="23">
        <v>45859</v>
      </c>
      <c r="C2194" s="7">
        <v>2003732685</v>
      </c>
      <c r="D2194" s="20">
        <v>6044086</v>
      </c>
      <c r="E2194" s="27" t="s">
        <v>177</v>
      </c>
      <c r="F2194" s="7" t="s">
        <v>113</v>
      </c>
      <c r="G2194" s="7" t="s">
        <v>70</v>
      </c>
      <c r="H2194" s="7" t="s">
        <v>47</v>
      </c>
      <c r="I2194" s="20" t="s">
        <v>3278</v>
      </c>
      <c r="J2194" s="20" t="s">
        <v>3279</v>
      </c>
      <c r="K2194" s="7" t="s">
        <v>160</v>
      </c>
      <c r="L2194" s="61">
        <v>45861</v>
      </c>
      <c r="M2194" s="7" t="s">
        <v>160</v>
      </c>
      <c r="N2194" s="24">
        <v>45861</v>
      </c>
      <c r="O2194" s="58">
        <v>45861</v>
      </c>
      <c r="P2194" s="59"/>
      <c r="Q2194" s="124" t="e">
        <f>P2194*#REF!</f>
        <v>#REF!</v>
      </c>
      <c r="R2194" s="126">
        <v>45861</v>
      </c>
    </row>
    <row r="2195" spans="2:18" ht="17.25" hidden="1" customHeight="1">
      <c r="B2195" s="23">
        <v>45859</v>
      </c>
      <c r="C2195" s="7">
        <v>2003740577</v>
      </c>
      <c r="D2195" s="20">
        <v>226139</v>
      </c>
      <c r="E2195" s="27" t="s">
        <v>849</v>
      </c>
      <c r="F2195" s="7" t="s">
        <v>107</v>
      </c>
      <c r="G2195" s="7" t="s">
        <v>18</v>
      </c>
      <c r="H2195" s="7" t="s">
        <v>45</v>
      </c>
      <c r="I2195" s="20" t="s">
        <v>3280</v>
      </c>
      <c r="J2195" s="20" t="s">
        <v>3281</v>
      </c>
      <c r="K2195" s="7" t="s">
        <v>110</v>
      </c>
      <c r="L2195" s="61">
        <v>45863</v>
      </c>
      <c r="M2195" s="7" t="s">
        <v>111</v>
      </c>
      <c r="N2195" s="61">
        <v>45863</v>
      </c>
      <c r="O2195" s="58">
        <v>45868</v>
      </c>
      <c r="P2195" s="59"/>
      <c r="Q2195" s="124" t="e">
        <f>P2195*#REF!</f>
        <v>#REF!</v>
      </c>
      <c r="R2195" s="126">
        <v>45868</v>
      </c>
    </row>
    <row r="2196" spans="2:18" ht="17.25" hidden="1" customHeight="1">
      <c r="B2196" s="23">
        <v>45859</v>
      </c>
      <c r="C2196" s="7">
        <v>2003690494</v>
      </c>
      <c r="D2196" s="20">
        <v>225982</v>
      </c>
      <c r="E2196" s="27" t="s">
        <v>152</v>
      </c>
      <c r="F2196" s="7" t="s">
        <v>107</v>
      </c>
      <c r="G2196" s="7" t="s">
        <v>21</v>
      </c>
      <c r="H2196" s="7" t="s">
        <v>45</v>
      </c>
      <c r="I2196" s="20" t="s">
        <v>839</v>
      </c>
      <c r="J2196" s="20" t="s">
        <v>2627</v>
      </c>
      <c r="K2196" s="7" t="s">
        <v>110</v>
      </c>
      <c r="L2196" s="61">
        <v>45860</v>
      </c>
      <c r="M2196" s="7" t="s">
        <v>111</v>
      </c>
      <c r="N2196" s="61">
        <v>45860</v>
      </c>
      <c r="O2196" s="24">
        <v>45862</v>
      </c>
      <c r="P2196" s="59"/>
      <c r="Q2196" s="124" t="e">
        <f>P2196*#REF!</f>
        <v>#REF!</v>
      </c>
      <c r="R2196" s="126">
        <v>45863</v>
      </c>
    </row>
    <row r="2197" spans="2:18" ht="17.25" hidden="1" customHeight="1">
      <c r="B2197" s="23">
        <v>45859</v>
      </c>
      <c r="C2197" s="7">
        <v>2003730176</v>
      </c>
      <c r="D2197" s="20">
        <v>225952</v>
      </c>
      <c r="E2197" s="27" t="s">
        <v>1245</v>
      </c>
      <c r="F2197" s="7" t="s">
        <v>107</v>
      </c>
      <c r="G2197" s="7" t="s">
        <v>10</v>
      </c>
      <c r="H2197" s="7" t="s">
        <v>45</v>
      </c>
      <c r="I2197" s="20" t="s">
        <v>3282</v>
      </c>
      <c r="J2197" s="20" t="s">
        <v>3283</v>
      </c>
      <c r="K2197" s="7" t="s">
        <v>119</v>
      </c>
      <c r="L2197" s="61">
        <v>45862</v>
      </c>
      <c r="M2197" s="7" t="s">
        <v>111</v>
      </c>
      <c r="N2197" s="24">
        <v>45866</v>
      </c>
      <c r="O2197" s="58">
        <v>45868</v>
      </c>
      <c r="P2197" s="59"/>
      <c r="Q2197" s="124" t="e">
        <f>P2197*#REF!</f>
        <v>#REF!</v>
      </c>
      <c r="R2197" s="126">
        <v>45868</v>
      </c>
    </row>
    <row r="2198" spans="2:18" ht="17.25" hidden="1" customHeight="1">
      <c r="B2198" s="23">
        <v>45859</v>
      </c>
      <c r="C2198" s="7">
        <v>2003744558</v>
      </c>
      <c r="D2198" s="20">
        <v>225621</v>
      </c>
      <c r="E2198" s="27" t="s">
        <v>129</v>
      </c>
      <c r="F2198" s="7" t="s">
        <v>107</v>
      </c>
      <c r="G2198" s="7" t="s">
        <v>10</v>
      </c>
      <c r="H2198" s="7" t="s">
        <v>45</v>
      </c>
      <c r="I2198" s="20" t="s">
        <v>3284</v>
      </c>
      <c r="J2198" s="20" t="s">
        <v>3285</v>
      </c>
      <c r="K2198" s="7" t="s">
        <v>119</v>
      </c>
      <c r="L2198" s="61">
        <v>45866</v>
      </c>
      <c r="M2198" s="7" t="s">
        <v>111</v>
      </c>
      <c r="N2198" s="61">
        <v>45867</v>
      </c>
      <c r="O2198" s="61">
        <v>45867</v>
      </c>
      <c r="P2198" s="59"/>
      <c r="Q2198" s="124" t="e">
        <f>P2198*#REF!</f>
        <v>#REF!</v>
      </c>
      <c r="R2198" s="126">
        <v>45868</v>
      </c>
    </row>
    <row r="2199" spans="2:18" ht="17.25" hidden="1" customHeight="1">
      <c r="B2199" s="23">
        <v>45859</v>
      </c>
      <c r="C2199" s="7">
        <v>2003742368</v>
      </c>
      <c r="D2199" s="20">
        <v>225375</v>
      </c>
      <c r="E2199" s="27" t="s">
        <v>408</v>
      </c>
      <c r="F2199" s="7" t="s">
        <v>107</v>
      </c>
      <c r="G2199" s="7" t="s">
        <v>10</v>
      </c>
      <c r="H2199" s="7" t="s">
        <v>45</v>
      </c>
      <c r="I2199" s="20" t="s">
        <v>1420</v>
      </c>
      <c r="J2199" s="20" t="s">
        <v>3286</v>
      </c>
      <c r="K2199" s="7" t="s">
        <v>110</v>
      </c>
      <c r="L2199" s="61">
        <v>45860</v>
      </c>
      <c r="M2199" s="7" t="s">
        <v>111</v>
      </c>
      <c r="N2199" s="61">
        <v>45860</v>
      </c>
      <c r="O2199" s="24">
        <v>45862</v>
      </c>
      <c r="P2199" s="59"/>
      <c r="Q2199" s="124" t="e">
        <f>P2199*#REF!</f>
        <v>#REF!</v>
      </c>
      <c r="R2199" s="126">
        <v>45863</v>
      </c>
    </row>
    <row r="2200" spans="2:18" ht="17.25" hidden="1" customHeight="1">
      <c r="B2200" s="23">
        <v>45859</v>
      </c>
      <c r="C2200" s="7">
        <v>2003742668</v>
      </c>
      <c r="D2200" s="20">
        <v>225333</v>
      </c>
      <c r="E2200" s="27" t="s">
        <v>112</v>
      </c>
      <c r="F2200" s="7" t="s">
        <v>107</v>
      </c>
      <c r="G2200" s="7" t="s">
        <v>15</v>
      </c>
      <c r="H2200" s="7" t="s">
        <v>45</v>
      </c>
      <c r="I2200" s="20" t="s">
        <v>3287</v>
      </c>
      <c r="J2200" s="20" t="s">
        <v>3288</v>
      </c>
      <c r="K2200" s="7" t="s">
        <v>119</v>
      </c>
      <c r="L2200" s="61">
        <v>45866</v>
      </c>
      <c r="M2200" s="7" t="s">
        <v>111</v>
      </c>
      <c r="N2200" s="61">
        <v>45867</v>
      </c>
      <c r="O2200" s="58">
        <v>45868</v>
      </c>
      <c r="P2200" s="59"/>
      <c r="Q2200" s="124" t="e">
        <f>P2200*#REF!</f>
        <v>#REF!</v>
      </c>
      <c r="R2200" s="126">
        <v>45869</v>
      </c>
    </row>
    <row r="2201" spans="2:18" ht="17.25" hidden="1" customHeight="1">
      <c r="B2201" s="23">
        <v>45859</v>
      </c>
      <c r="C2201" s="7">
        <v>2003742601</v>
      </c>
      <c r="D2201" s="20">
        <v>225187</v>
      </c>
      <c r="E2201" s="27" t="s">
        <v>129</v>
      </c>
      <c r="F2201" s="7" t="s">
        <v>113</v>
      </c>
      <c r="G2201" s="7" t="s">
        <v>70</v>
      </c>
      <c r="H2201" s="7" t="s">
        <v>47</v>
      </c>
      <c r="I2201" s="20" t="s">
        <v>3289</v>
      </c>
      <c r="J2201" s="20" t="s">
        <v>3290</v>
      </c>
      <c r="K2201" s="7" t="s">
        <v>160</v>
      </c>
      <c r="P2201" s="59"/>
      <c r="Q2201" s="124" t="e">
        <f>P2201*#REF!</f>
        <v>#REF!</v>
      </c>
      <c r="R2201" s="126">
        <v>45882</v>
      </c>
    </row>
    <row r="2202" spans="2:18" ht="17.25" hidden="1" customHeight="1">
      <c r="B2202" s="23">
        <v>45859</v>
      </c>
      <c r="C2202" s="7">
        <v>2003671172</v>
      </c>
      <c r="D2202" s="20">
        <v>225086</v>
      </c>
      <c r="E2202" s="27" t="s">
        <v>191</v>
      </c>
      <c r="F2202" s="7" t="s">
        <v>107</v>
      </c>
      <c r="G2202" s="7" t="s">
        <v>26</v>
      </c>
      <c r="H2202" s="7" t="s">
        <v>45</v>
      </c>
      <c r="I2202" s="20" t="s">
        <v>1904</v>
      </c>
      <c r="J2202" s="20" t="s">
        <v>3291</v>
      </c>
      <c r="K2202" s="7" t="s">
        <v>110</v>
      </c>
      <c r="L2202" s="61">
        <v>45866</v>
      </c>
      <c r="M2202" s="7" t="s">
        <v>111</v>
      </c>
      <c r="N2202" s="24">
        <v>45868</v>
      </c>
      <c r="O2202" s="58">
        <v>45868</v>
      </c>
      <c r="P2202" s="59"/>
      <c r="Q2202" s="124" t="e">
        <f>P2202*#REF!</f>
        <v>#REF!</v>
      </c>
      <c r="R2202" s="126">
        <v>45868</v>
      </c>
    </row>
    <row r="2203" spans="2:18" ht="17.25" hidden="1" customHeight="1">
      <c r="B2203" s="23">
        <v>45859</v>
      </c>
      <c r="C2203" s="7">
        <v>2003741894</v>
      </c>
      <c r="D2203" s="20">
        <v>224928</v>
      </c>
      <c r="E2203" s="27" t="s">
        <v>185</v>
      </c>
      <c r="F2203" s="7" t="s">
        <v>107</v>
      </c>
      <c r="G2203" s="7" t="s">
        <v>18</v>
      </c>
      <c r="H2203" s="7" t="s">
        <v>45</v>
      </c>
      <c r="I2203" s="20" t="s">
        <v>3292</v>
      </c>
      <c r="J2203" s="20" t="s">
        <v>3293</v>
      </c>
      <c r="K2203" s="7" t="s">
        <v>119</v>
      </c>
      <c r="L2203" s="61">
        <v>45860</v>
      </c>
      <c r="M2203" s="7" t="s">
        <v>111</v>
      </c>
      <c r="N2203" s="61">
        <v>45861</v>
      </c>
      <c r="O2203" s="24">
        <v>45862</v>
      </c>
      <c r="P2203" s="59"/>
      <c r="Q2203" s="124" t="e">
        <f>P2203*#REF!</f>
        <v>#REF!</v>
      </c>
      <c r="R2203" s="126">
        <v>45863</v>
      </c>
    </row>
    <row r="2204" spans="2:18" ht="17.25" hidden="1" customHeight="1">
      <c r="B2204" s="23">
        <v>45859</v>
      </c>
      <c r="C2204" s="7">
        <v>2003668710</v>
      </c>
      <c r="D2204" s="20">
        <v>224905</v>
      </c>
      <c r="E2204" s="27" t="s">
        <v>486</v>
      </c>
      <c r="F2204" s="7" t="s">
        <v>107</v>
      </c>
      <c r="G2204" s="7" t="s">
        <v>10</v>
      </c>
      <c r="H2204" s="7" t="s">
        <v>45</v>
      </c>
      <c r="I2204" s="20" t="s">
        <v>392</v>
      </c>
      <c r="J2204" s="20" t="s">
        <v>3113</v>
      </c>
      <c r="K2204" s="7" t="s">
        <v>110</v>
      </c>
      <c r="L2204" s="61">
        <v>45860</v>
      </c>
      <c r="M2204" s="7" t="s">
        <v>111</v>
      </c>
      <c r="N2204" s="61">
        <v>45860</v>
      </c>
      <c r="O2204" s="61">
        <v>45860</v>
      </c>
      <c r="P2204" s="59"/>
      <c r="Q2204" s="124" t="e">
        <f>P2204*#REF!</f>
        <v>#REF!</v>
      </c>
      <c r="R2204" s="126">
        <v>45860</v>
      </c>
    </row>
    <row r="2205" spans="2:18" ht="17.25" hidden="1" customHeight="1">
      <c r="B2205" s="23">
        <v>45860</v>
      </c>
      <c r="C2205" s="7">
        <v>2003739777</v>
      </c>
      <c r="D2205" s="20">
        <v>6056541</v>
      </c>
      <c r="E2205" s="27" t="s">
        <v>123</v>
      </c>
      <c r="F2205" s="7" t="s">
        <v>107</v>
      </c>
      <c r="G2205" s="7" t="s">
        <v>10</v>
      </c>
      <c r="H2205" s="7" t="s">
        <v>45</v>
      </c>
      <c r="I2205" s="20" t="s">
        <v>3294</v>
      </c>
      <c r="J2205" s="20" t="s">
        <v>3295</v>
      </c>
      <c r="K2205" s="7" t="s">
        <v>119</v>
      </c>
      <c r="L2205" s="61">
        <v>45863</v>
      </c>
      <c r="M2205" s="7" t="s">
        <v>111</v>
      </c>
      <c r="N2205" s="61">
        <v>45866</v>
      </c>
      <c r="O2205" s="58">
        <v>45876</v>
      </c>
      <c r="P2205" s="59"/>
      <c r="Q2205" s="124" t="e">
        <f>P2205*#REF!</f>
        <v>#REF!</v>
      </c>
      <c r="R2205" s="126">
        <v>45876</v>
      </c>
    </row>
    <row r="2206" spans="2:18" ht="17.25" hidden="1" customHeight="1">
      <c r="B2206" s="23">
        <v>45860</v>
      </c>
      <c r="C2206" s="7">
        <v>2003636542</v>
      </c>
      <c r="D2206" s="20">
        <v>6056582</v>
      </c>
      <c r="E2206" s="27" t="s">
        <v>1225</v>
      </c>
      <c r="F2206" s="7" t="s">
        <v>107</v>
      </c>
      <c r="G2206" s="7" t="s">
        <v>10</v>
      </c>
      <c r="H2206" s="7" t="s">
        <v>45</v>
      </c>
      <c r="I2206" s="20" t="s">
        <v>3296</v>
      </c>
      <c r="J2206" s="20" t="s">
        <v>3297</v>
      </c>
      <c r="K2206" s="7" t="s">
        <v>110</v>
      </c>
      <c r="L2206" s="61">
        <v>45862</v>
      </c>
      <c r="M2206" s="7" t="s">
        <v>111</v>
      </c>
      <c r="N2206" s="24">
        <v>45863</v>
      </c>
      <c r="O2206" s="58">
        <v>45868</v>
      </c>
      <c r="P2206" s="59"/>
      <c r="Q2206" s="124" t="e">
        <f>P2206*#REF!</f>
        <v>#REF!</v>
      </c>
      <c r="R2206" s="126">
        <v>45868</v>
      </c>
    </row>
    <row r="2207" spans="2:18" ht="17.25" hidden="1" customHeight="1">
      <c r="B2207" s="23">
        <v>45860</v>
      </c>
      <c r="C2207" s="7">
        <v>2003438931</v>
      </c>
      <c r="D2207" s="20">
        <v>6056585</v>
      </c>
      <c r="E2207" s="27" t="s">
        <v>1225</v>
      </c>
      <c r="F2207" s="7" t="s">
        <v>107</v>
      </c>
      <c r="G2207" s="7" t="s">
        <v>10</v>
      </c>
      <c r="H2207" s="7" t="s">
        <v>45</v>
      </c>
      <c r="I2207" s="20" t="s">
        <v>3296</v>
      </c>
      <c r="J2207" s="20" t="s">
        <v>3297</v>
      </c>
      <c r="K2207" s="7" t="s">
        <v>110</v>
      </c>
      <c r="L2207" s="61">
        <v>45862</v>
      </c>
      <c r="M2207" s="7" t="s">
        <v>111</v>
      </c>
      <c r="N2207" s="24">
        <v>45863</v>
      </c>
      <c r="O2207" s="24">
        <v>45863</v>
      </c>
      <c r="P2207" s="59"/>
      <c r="Q2207" s="124" t="e">
        <f>P2207*#REF!</f>
        <v>#REF!</v>
      </c>
      <c r="R2207" s="126">
        <v>45912</v>
      </c>
    </row>
    <row r="2208" spans="2:18" ht="17.25" hidden="1" customHeight="1">
      <c r="B2208" s="23">
        <v>45860</v>
      </c>
      <c r="C2208" s="7">
        <v>2003737783</v>
      </c>
      <c r="D2208" s="20">
        <v>6056599</v>
      </c>
      <c r="E2208" s="27" t="s">
        <v>198</v>
      </c>
      <c r="F2208" s="7" t="s">
        <v>107</v>
      </c>
      <c r="G2208" s="7" t="s">
        <v>10</v>
      </c>
      <c r="H2208" s="7" t="s">
        <v>45</v>
      </c>
      <c r="I2208" s="20" t="s">
        <v>3298</v>
      </c>
      <c r="J2208" s="20" t="s">
        <v>3299</v>
      </c>
      <c r="K2208" s="7" t="s">
        <v>119</v>
      </c>
      <c r="L2208" s="61">
        <v>45862</v>
      </c>
      <c r="M2208" s="7" t="s">
        <v>111</v>
      </c>
      <c r="N2208" s="24">
        <v>45863</v>
      </c>
      <c r="O2208" s="24">
        <v>45863</v>
      </c>
      <c r="P2208" s="59"/>
      <c r="Q2208" s="124" t="e">
        <f>P2208*#REF!</f>
        <v>#REF!</v>
      </c>
      <c r="R2208" s="126">
        <v>45866</v>
      </c>
    </row>
    <row r="2209" spans="2:18" ht="17.25" hidden="1" customHeight="1">
      <c r="B2209" s="23">
        <v>45860</v>
      </c>
      <c r="C2209" s="7">
        <v>2003696080</v>
      </c>
      <c r="D2209" s="20">
        <v>6056677</v>
      </c>
      <c r="E2209" s="27" t="s">
        <v>230</v>
      </c>
      <c r="F2209" s="7" t="s">
        <v>107</v>
      </c>
      <c r="G2209" s="7" t="s">
        <v>18</v>
      </c>
      <c r="H2209" s="7" t="s">
        <v>45</v>
      </c>
      <c r="I2209" s="20" t="s">
        <v>3300</v>
      </c>
      <c r="J2209" s="20" t="s">
        <v>3301</v>
      </c>
      <c r="K2209" s="7" t="s">
        <v>110</v>
      </c>
      <c r="L2209" s="61">
        <v>45862</v>
      </c>
      <c r="M2209" s="7" t="s">
        <v>111</v>
      </c>
      <c r="N2209" s="24">
        <v>45863</v>
      </c>
      <c r="O2209" s="24">
        <v>45863</v>
      </c>
      <c r="P2209" s="59"/>
      <c r="Q2209" s="124" t="e">
        <f>P2209*#REF!</f>
        <v>#REF!</v>
      </c>
      <c r="R2209" s="126">
        <v>45866</v>
      </c>
    </row>
    <row r="2210" spans="2:18" ht="17.25" hidden="1" customHeight="1">
      <c r="B2210" s="23">
        <v>45860</v>
      </c>
      <c r="C2210" s="7">
        <v>2003711134</v>
      </c>
      <c r="D2210" s="20">
        <v>6056726</v>
      </c>
      <c r="E2210" s="27" t="s">
        <v>230</v>
      </c>
      <c r="F2210" s="7" t="s">
        <v>107</v>
      </c>
      <c r="G2210" s="7" t="s">
        <v>10</v>
      </c>
      <c r="H2210" s="7" t="s">
        <v>45</v>
      </c>
      <c r="I2210" s="20" t="s">
        <v>3302</v>
      </c>
      <c r="J2210" s="20" t="s">
        <v>3303</v>
      </c>
      <c r="K2210" s="7" t="s">
        <v>110</v>
      </c>
      <c r="L2210" s="61">
        <v>45862</v>
      </c>
      <c r="M2210" s="7" t="s">
        <v>111</v>
      </c>
      <c r="N2210" s="24">
        <v>45863</v>
      </c>
      <c r="O2210" s="24">
        <v>45863</v>
      </c>
      <c r="P2210" s="59"/>
      <c r="Q2210" s="124" t="e">
        <f>P2210*#REF!</f>
        <v>#REF!</v>
      </c>
      <c r="R2210" s="126">
        <v>45866</v>
      </c>
    </row>
    <row r="2211" spans="2:18" ht="17.25" hidden="1" customHeight="1">
      <c r="B2211" s="23">
        <v>45860</v>
      </c>
      <c r="C2211" s="7">
        <v>2003704309</v>
      </c>
      <c r="D2211" s="20">
        <v>6056802</v>
      </c>
      <c r="E2211" s="27" t="s">
        <v>152</v>
      </c>
      <c r="F2211" s="7" t="s">
        <v>107</v>
      </c>
      <c r="G2211" s="7" t="s">
        <v>18</v>
      </c>
      <c r="H2211" s="7" t="s">
        <v>45</v>
      </c>
      <c r="I2211" s="20" t="s">
        <v>3304</v>
      </c>
      <c r="J2211" s="20" t="s">
        <v>3305</v>
      </c>
      <c r="K2211" s="7" t="s">
        <v>110</v>
      </c>
      <c r="L2211" s="61">
        <v>45862</v>
      </c>
      <c r="M2211" s="7" t="s">
        <v>111</v>
      </c>
      <c r="N2211" s="24">
        <v>45863</v>
      </c>
      <c r="O2211" s="24">
        <v>45863</v>
      </c>
      <c r="P2211" s="59"/>
      <c r="Q2211" s="124" t="e">
        <f>P2211*#REF!</f>
        <v>#REF!</v>
      </c>
      <c r="R2211" s="126">
        <v>45866</v>
      </c>
    </row>
    <row r="2212" spans="2:18" ht="17.25" hidden="1" customHeight="1">
      <c r="B2212" s="23">
        <v>45860</v>
      </c>
      <c r="C2212" s="7">
        <v>2003731445</v>
      </c>
      <c r="D2212" s="20">
        <v>6056823</v>
      </c>
      <c r="E2212" s="27" t="s">
        <v>116</v>
      </c>
      <c r="F2212" s="7" t="s">
        <v>107</v>
      </c>
      <c r="G2212" s="7" t="s">
        <v>21</v>
      </c>
      <c r="H2212" s="7" t="s">
        <v>45</v>
      </c>
      <c r="I2212" s="20" t="s">
        <v>3306</v>
      </c>
      <c r="J2212" s="20" t="s">
        <v>3122</v>
      </c>
      <c r="K2212" s="7" t="s">
        <v>111</v>
      </c>
      <c r="L2212" s="61">
        <v>45861</v>
      </c>
      <c r="M2212" s="7" t="s">
        <v>111</v>
      </c>
      <c r="N2212" s="24">
        <v>45862</v>
      </c>
      <c r="O2212" s="24">
        <v>45862</v>
      </c>
      <c r="P2212" s="59"/>
      <c r="Q2212" s="124" t="e">
        <f>P2212*#REF!</f>
        <v>#REF!</v>
      </c>
      <c r="R2212" s="126">
        <v>45866</v>
      </c>
    </row>
    <row r="2213" spans="2:18" ht="17.25" hidden="1" customHeight="1">
      <c r="B2213" s="23">
        <v>45860</v>
      </c>
      <c r="C2213" s="7">
        <v>2003727159</v>
      </c>
      <c r="D2213" s="20">
        <v>6056834</v>
      </c>
      <c r="E2213" s="27" t="s">
        <v>149</v>
      </c>
      <c r="F2213" s="7" t="s">
        <v>107</v>
      </c>
      <c r="G2213" s="7" t="s">
        <v>18</v>
      </c>
      <c r="H2213" s="7" t="s">
        <v>45</v>
      </c>
      <c r="I2213" s="20" t="s">
        <v>108</v>
      </c>
      <c r="J2213" s="20" t="s">
        <v>3307</v>
      </c>
      <c r="K2213" s="7" t="s">
        <v>110</v>
      </c>
      <c r="L2213" s="61">
        <v>45862</v>
      </c>
      <c r="M2213" s="7" t="s">
        <v>111</v>
      </c>
      <c r="N2213" s="24">
        <v>45863</v>
      </c>
      <c r="O2213" s="24">
        <v>45863</v>
      </c>
      <c r="P2213" s="59"/>
      <c r="Q2213" s="124" t="e">
        <f>P2213*#REF!</f>
        <v>#REF!</v>
      </c>
      <c r="R2213" s="126">
        <v>45863</v>
      </c>
    </row>
    <row r="2214" spans="2:18" ht="17.25" hidden="1" customHeight="1">
      <c r="B2214" s="23">
        <v>45860</v>
      </c>
      <c r="C2214" s="7">
        <v>2003742904</v>
      </c>
      <c r="D2214" s="20">
        <v>226985</v>
      </c>
      <c r="E2214" s="27" t="s">
        <v>1225</v>
      </c>
      <c r="F2214" s="7" t="s">
        <v>107</v>
      </c>
      <c r="G2214" s="7" t="s">
        <v>10</v>
      </c>
      <c r="H2214" s="7" t="s">
        <v>45</v>
      </c>
      <c r="I2214" s="20" t="s">
        <v>1211</v>
      </c>
      <c r="J2214" s="20" t="s">
        <v>1212</v>
      </c>
      <c r="K2214" s="7" t="s">
        <v>110</v>
      </c>
      <c r="L2214" s="61">
        <v>45863</v>
      </c>
      <c r="M2214" s="7" t="s">
        <v>111</v>
      </c>
      <c r="N2214" s="61">
        <v>45863</v>
      </c>
      <c r="O2214" s="58">
        <v>45868</v>
      </c>
      <c r="P2214" s="59"/>
      <c r="Q2214" s="124" t="e">
        <f>P2214*#REF!</f>
        <v>#REF!</v>
      </c>
      <c r="R2214" s="126">
        <v>45868</v>
      </c>
    </row>
    <row r="2215" spans="2:18" ht="17.25" hidden="1" customHeight="1">
      <c r="B2215" s="23">
        <v>45861</v>
      </c>
      <c r="C2215" s="7">
        <v>2003675488</v>
      </c>
      <c r="D2215" s="20">
        <v>6057068</v>
      </c>
      <c r="E2215" s="27" t="s">
        <v>123</v>
      </c>
      <c r="F2215" s="7" t="s">
        <v>107</v>
      </c>
      <c r="G2215" s="7" t="s">
        <v>26</v>
      </c>
      <c r="H2215" s="7" t="s">
        <v>45</v>
      </c>
      <c r="I2215" s="20" t="s">
        <v>2209</v>
      </c>
      <c r="J2215" s="20" t="s">
        <v>2210</v>
      </c>
      <c r="K2215" s="7" t="s">
        <v>110</v>
      </c>
      <c r="L2215" s="61">
        <v>45863</v>
      </c>
      <c r="M2215" s="7" t="s">
        <v>111</v>
      </c>
      <c r="N2215" s="24">
        <v>45866</v>
      </c>
      <c r="P2215" s="59"/>
      <c r="Q2215" s="124" t="e">
        <f>P2215*#REF!</f>
        <v>#REF!</v>
      </c>
      <c r="R2215" s="126">
        <v>45866</v>
      </c>
    </row>
    <row r="2216" spans="2:18" ht="17.25" hidden="1" customHeight="1">
      <c r="B2216" s="23">
        <v>45861</v>
      </c>
      <c r="C2216" s="7">
        <v>2003745201</v>
      </c>
      <c r="D2216" s="20">
        <v>6057126</v>
      </c>
      <c r="E2216" s="27" t="s">
        <v>201</v>
      </c>
      <c r="F2216" s="7" t="s">
        <v>107</v>
      </c>
      <c r="G2216" s="7" t="s">
        <v>10</v>
      </c>
      <c r="H2216" s="7" t="s">
        <v>45</v>
      </c>
      <c r="I2216" s="20" t="s">
        <v>505</v>
      </c>
      <c r="J2216" s="20" t="s">
        <v>3308</v>
      </c>
      <c r="K2216" s="7" t="s">
        <v>119</v>
      </c>
      <c r="L2216" s="61">
        <v>45867</v>
      </c>
      <c r="M2216" s="7" t="s">
        <v>111</v>
      </c>
      <c r="N2216" s="61">
        <v>45867</v>
      </c>
      <c r="O2216" s="61">
        <v>45867</v>
      </c>
      <c r="P2216" s="59"/>
      <c r="Q2216" s="124" t="e">
        <f>P2216*#REF!</f>
        <v>#REF!</v>
      </c>
      <c r="R2216" s="126">
        <v>45868</v>
      </c>
    </row>
    <row r="2217" spans="2:18" ht="17.25" hidden="1" customHeight="1">
      <c r="B2217" s="23">
        <v>45861</v>
      </c>
      <c r="C2217" s="7">
        <v>2003743988</v>
      </c>
      <c r="D2217" s="20">
        <v>6057134</v>
      </c>
      <c r="E2217" s="27" t="s">
        <v>185</v>
      </c>
      <c r="F2217" s="7" t="s">
        <v>107</v>
      </c>
      <c r="G2217" s="7" t="s">
        <v>18</v>
      </c>
      <c r="H2217" s="7" t="s">
        <v>45</v>
      </c>
      <c r="I2217" s="20" t="s">
        <v>263</v>
      </c>
      <c r="J2217" s="20" t="s">
        <v>3309</v>
      </c>
      <c r="K2217" s="7" t="s">
        <v>119</v>
      </c>
      <c r="L2217" s="61">
        <v>45862</v>
      </c>
      <c r="M2217" s="7" t="s">
        <v>111</v>
      </c>
      <c r="N2217" s="24">
        <v>45863</v>
      </c>
      <c r="O2217" s="24">
        <v>45863</v>
      </c>
      <c r="P2217" s="59"/>
      <c r="Q2217" s="124" t="e">
        <f>P2217*#REF!</f>
        <v>#REF!</v>
      </c>
      <c r="R2217" s="126">
        <v>45866</v>
      </c>
    </row>
    <row r="2218" spans="2:18" ht="17.25" hidden="1" customHeight="1">
      <c r="B2218" s="23">
        <v>45861</v>
      </c>
      <c r="C2218" s="7">
        <v>2003709137</v>
      </c>
      <c r="D2218" s="20">
        <v>6057136</v>
      </c>
      <c r="E2218" s="27" t="s">
        <v>622</v>
      </c>
      <c r="F2218" s="7" t="s">
        <v>107</v>
      </c>
      <c r="G2218" s="7" t="s">
        <v>10</v>
      </c>
      <c r="H2218" s="7" t="s">
        <v>45</v>
      </c>
      <c r="I2218" s="20" t="s">
        <v>3310</v>
      </c>
      <c r="J2218" s="20" t="s">
        <v>3311</v>
      </c>
      <c r="K2218" s="7" t="s">
        <v>119</v>
      </c>
      <c r="L2218" s="61">
        <v>45866</v>
      </c>
      <c r="M2218" s="7" t="s">
        <v>111</v>
      </c>
      <c r="N2218" s="61">
        <v>45866</v>
      </c>
      <c r="O2218" s="61">
        <v>45866</v>
      </c>
      <c r="P2218" s="59"/>
      <c r="Q2218" s="124" t="e">
        <f>P2218*#REF!</f>
        <v>#REF!</v>
      </c>
      <c r="R2218" s="126">
        <v>45868</v>
      </c>
    </row>
    <row r="2219" spans="2:18" ht="17.25" hidden="1" customHeight="1">
      <c r="B2219" s="23">
        <v>45861</v>
      </c>
      <c r="C2219" s="7">
        <v>2003564243</v>
      </c>
      <c r="D2219" s="20">
        <v>6057300</v>
      </c>
      <c r="E2219" s="27" t="s">
        <v>123</v>
      </c>
      <c r="F2219" s="7" t="s">
        <v>107</v>
      </c>
      <c r="G2219" s="7" t="s">
        <v>21</v>
      </c>
      <c r="H2219" s="7" t="s">
        <v>45</v>
      </c>
      <c r="I2219" s="20" t="s">
        <v>520</v>
      </c>
      <c r="J2219" s="20" t="s">
        <v>701</v>
      </c>
      <c r="K2219" s="7" t="s">
        <v>111</v>
      </c>
      <c r="L2219" s="61">
        <v>45862</v>
      </c>
      <c r="M2219" s="7" t="s">
        <v>111</v>
      </c>
      <c r="N2219" s="24">
        <v>45863</v>
      </c>
      <c r="O2219" s="24">
        <v>45863</v>
      </c>
      <c r="P2219" s="59"/>
      <c r="Q2219" s="124" t="e">
        <f>P2219*#REF!</f>
        <v>#REF!</v>
      </c>
      <c r="R2219" s="126">
        <v>45863</v>
      </c>
    </row>
    <row r="2220" spans="2:18" ht="17.25" hidden="1" customHeight="1">
      <c r="B2220" s="23">
        <v>45861</v>
      </c>
      <c r="C2220" s="7">
        <v>2003724497</v>
      </c>
      <c r="D2220" s="20">
        <v>6057312</v>
      </c>
      <c r="E2220" s="27" t="s">
        <v>949</v>
      </c>
      <c r="F2220" s="7" t="s">
        <v>107</v>
      </c>
      <c r="G2220" s="7" t="s">
        <v>18</v>
      </c>
      <c r="H2220" s="7" t="s">
        <v>45</v>
      </c>
      <c r="I2220" s="20" t="s">
        <v>363</v>
      </c>
      <c r="J2220" s="20" t="s">
        <v>3312</v>
      </c>
      <c r="K2220" s="7" t="s">
        <v>110</v>
      </c>
      <c r="L2220" s="61">
        <v>45862</v>
      </c>
      <c r="M2220" s="7" t="s">
        <v>111</v>
      </c>
      <c r="N2220" s="24">
        <v>45863</v>
      </c>
      <c r="O2220" s="24">
        <v>45863</v>
      </c>
      <c r="P2220" s="59"/>
      <c r="Q2220" s="124" t="e">
        <f>P2220*#REF!</f>
        <v>#REF!</v>
      </c>
      <c r="R2220" s="126">
        <v>45866</v>
      </c>
    </row>
    <row r="2221" spans="2:18" ht="17.25" hidden="1" customHeight="1">
      <c r="B2221" s="23">
        <v>45861</v>
      </c>
      <c r="C2221" s="7">
        <v>2003699975</v>
      </c>
      <c r="D2221" s="20">
        <v>6057544</v>
      </c>
      <c r="E2221" s="27" t="s">
        <v>149</v>
      </c>
      <c r="F2221" s="7" t="s">
        <v>107</v>
      </c>
      <c r="G2221" s="7" t="s">
        <v>18</v>
      </c>
      <c r="H2221" s="7" t="s">
        <v>45</v>
      </c>
      <c r="I2221" s="20" t="s">
        <v>3313</v>
      </c>
      <c r="J2221" s="20" t="s">
        <v>3314</v>
      </c>
      <c r="K2221" s="7" t="s">
        <v>119</v>
      </c>
      <c r="L2221" s="61">
        <v>45863</v>
      </c>
      <c r="M2221" s="7" t="s">
        <v>111</v>
      </c>
      <c r="N2221" s="61">
        <v>45868</v>
      </c>
      <c r="O2221" s="61">
        <v>45869</v>
      </c>
      <c r="P2221" s="59"/>
      <c r="Q2221" s="124" t="e">
        <f>P2221*#REF!</f>
        <v>#REF!</v>
      </c>
      <c r="R2221" s="126">
        <v>45874</v>
      </c>
    </row>
    <row r="2222" spans="2:18" ht="17.25" hidden="1" customHeight="1">
      <c r="B2222" s="23">
        <v>45861</v>
      </c>
      <c r="C2222" s="7">
        <v>2003672030</v>
      </c>
      <c r="D2222" s="20">
        <v>6057647</v>
      </c>
      <c r="E2222" s="27" t="s">
        <v>185</v>
      </c>
      <c r="F2222" s="7" t="s">
        <v>107</v>
      </c>
      <c r="G2222" s="7" t="s">
        <v>21</v>
      </c>
      <c r="H2222" s="7" t="s">
        <v>45</v>
      </c>
      <c r="I2222" s="20" t="s">
        <v>3300</v>
      </c>
      <c r="J2222" s="20" t="s">
        <v>2304</v>
      </c>
      <c r="K2222" s="7" t="s">
        <v>111</v>
      </c>
      <c r="L2222" s="61">
        <v>45862</v>
      </c>
      <c r="M2222" s="7" t="s">
        <v>111</v>
      </c>
      <c r="N2222" s="24">
        <v>45863</v>
      </c>
      <c r="O2222" s="24">
        <v>45863</v>
      </c>
      <c r="P2222" s="59"/>
      <c r="Q2222" s="124" t="e">
        <f>P2222*#REF!</f>
        <v>#REF!</v>
      </c>
      <c r="R2222" s="126">
        <v>45863</v>
      </c>
    </row>
    <row r="2223" spans="2:18" ht="17.25" hidden="1" customHeight="1">
      <c r="B2223" s="23">
        <v>45861</v>
      </c>
      <c r="C2223" s="7">
        <v>2003642882</v>
      </c>
      <c r="D2223" s="20">
        <v>6057662</v>
      </c>
      <c r="E2223" s="27" t="s">
        <v>265</v>
      </c>
      <c r="F2223" s="7" t="s">
        <v>107</v>
      </c>
      <c r="G2223" s="7" t="s">
        <v>18</v>
      </c>
      <c r="H2223" s="7" t="s">
        <v>45</v>
      </c>
      <c r="I2223" s="20" t="s">
        <v>3315</v>
      </c>
      <c r="J2223" s="20" t="s">
        <v>3316</v>
      </c>
      <c r="K2223" s="7" t="s">
        <v>119</v>
      </c>
      <c r="L2223" s="61">
        <v>45868</v>
      </c>
      <c r="M2223" s="7" t="s">
        <v>111</v>
      </c>
      <c r="N2223" s="24">
        <v>45871</v>
      </c>
      <c r="O2223" s="24">
        <v>45871</v>
      </c>
      <c r="P2223" s="59"/>
      <c r="Q2223" s="124" t="e">
        <f>P2223*#REF!</f>
        <v>#REF!</v>
      </c>
      <c r="R2223" s="126">
        <v>45874</v>
      </c>
    </row>
    <row r="2224" spans="2:18" ht="17.25" hidden="1" customHeight="1">
      <c r="B2224" s="23">
        <v>45861</v>
      </c>
      <c r="C2224" s="7">
        <v>2003746979</v>
      </c>
      <c r="D2224" s="20">
        <v>6057686</v>
      </c>
      <c r="E2224" s="27" t="s">
        <v>143</v>
      </c>
      <c r="F2224" s="7" t="s">
        <v>107</v>
      </c>
      <c r="G2224" s="7" t="s">
        <v>10</v>
      </c>
      <c r="H2224" s="7" t="s">
        <v>45</v>
      </c>
      <c r="I2224" s="20" t="s">
        <v>3317</v>
      </c>
      <c r="J2224" s="20" t="s">
        <v>3318</v>
      </c>
      <c r="K2224" s="7" t="s">
        <v>110</v>
      </c>
      <c r="L2224" s="61">
        <v>45869</v>
      </c>
      <c r="M2224" s="7" t="s">
        <v>111</v>
      </c>
      <c r="N2224" s="61">
        <v>45875</v>
      </c>
      <c r="O2224" s="61">
        <v>45875</v>
      </c>
      <c r="P2224" s="59"/>
      <c r="Q2224" s="124" t="e">
        <f>P2224*#REF!</f>
        <v>#REF!</v>
      </c>
      <c r="R2224" s="126">
        <v>45876</v>
      </c>
    </row>
    <row r="2225" spans="2:18" ht="17.25" hidden="1" customHeight="1">
      <c r="B2225" s="23">
        <v>45861</v>
      </c>
      <c r="C2225" s="7">
        <v>2003745416</v>
      </c>
      <c r="D2225" s="20">
        <v>6057704</v>
      </c>
      <c r="E2225" s="27" t="s">
        <v>408</v>
      </c>
      <c r="F2225" s="7" t="s">
        <v>107</v>
      </c>
      <c r="G2225" s="7" t="s">
        <v>10</v>
      </c>
      <c r="H2225" s="7" t="s">
        <v>45</v>
      </c>
      <c r="I2225" s="20" t="s">
        <v>263</v>
      </c>
      <c r="J2225" s="20" t="s">
        <v>3319</v>
      </c>
      <c r="K2225" s="7" t="s">
        <v>110</v>
      </c>
      <c r="L2225" s="61">
        <v>45863</v>
      </c>
      <c r="M2225" s="7" t="s">
        <v>111</v>
      </c>
      <c r="N2225" s="61">
        <v>45863</v>
      </c>
      <c r="O2225" s="58">
        <v>45868</v>
      </c>
      <c r="P2225" s="59"/>
      <c r="Q2225" s="124" t="e">
        <f>P2225*#REF!</f>
        <v>#REF!</v>
      </c>
      <c r="R2225" s="126">
        <v>45868</v>
      </c>
    </row>
    <row r="2226" spans="2:18" ht="17.25" hidden="1" customHeight="1">
      <c r="B2226" s="23">
        <v>45861</v>
      </c>
      <c r="C2226" s="7">
        <v>2003676233</v>
      </c>
      <c r="D2226" s="20">
        <v>6057729</v>
      </c>
      <c r="E2226" s="27" t="s">
        <v>185</v>
      </c>
      <c r="F2226" s="7" t="s">
        <v>107</v>
      </c>
      <c r="G2226" s="7" t="s">
        <v>10</v>
      </c>
      <c r="H2226" s="7" t="s">
        <v>45</v>
      </c>
      <c r="I2226" s="20" t="s">
        <v>3320</v>
      </c>
      <c r="J2226" s="20" t="s">
        <v>3321</v>
      </c>
      <c r="K2226" s="7" t="s">
        <v>119</v>
      </c>
      <c r="L2226" s="61">
        <v>45868</v>
      </c>
      <c r="M2226" s="7" t="s">
        <v>111</v>
      </c>
      <c r="N2226" s="24">
        <v>45871</v>
      </c>
      <c r="O2226" s="24">
        <v>45871</v>
      </c>
      <c r="P2226" s="59"/>
      <c r="Q2226" s="124" t="e">
        <f>P2226*#REF!</f>
        <v>#REF!</v>
      </c>
      <c r="R2226" s="126">
        <v>45874</v>
      </c>
    </row>
    <row r="2227" spans="2:18" ht="17.25" hidden="1" customHeight="1">
      <c r="B2227" s="23">
        <v>45861</v>
      </c>
      <c r="C2227" s="7">
        <v>2003745085</v>
      </c>
      <c r="D2227" s="20">
        <v>228573</v>
      </c>
      <c r="E2227" s="27" t="s">
        <v>191</v>
      </c>
      <c r="F2227" s="7" t="s">
        <v>107</v>
      </c>
      <c r="G2227" s="7" t="s">
        <v>26</v>
      </c>
      <c r="H2227" s="7" t="s">
        <v>45</v>
      </c>
      <c r="I2227" s="20" t="s">
        <v>2035</v>
      </c>
      <c r="J2227" s="20" t="s">
        <v>3322</v>
      </c>
      <c r="K2227" s="7" t="s">
        <v>110</v>
      </c>
      <c r="L2227" s="61">
        <v>45866</v>
      </c>
      <c r="M2227" s="7" t="s">
        <v>111</v>
      </c>
      <c r="N2227" s="24">
        <v>45867</v>
      </c>
      <c r="O2227" s="58">
        <v>45867</v>
      </c>
      <c r="P2227" s="59"/>
      <c r="Q2227" s="124" t="e">
        <f>P2227*#REF!</f>
        <v>#REF!</v>
      </c>
      <c r="R2227" s="126">
        <v>45867</v>
      </c>
    </row>
    <row r="2228" spans="2:18" ht="17.25" hidden="1" customHeight="1">
      <c r="B2228" s="23">
        <v>45861</v>
      </c>
      <c r="C2228" s="7">
        <v>2003742110</v>
      </c>
      <c r="D2228" s="20">
        <v>228352</v>
      </c>
      <c r="E2228" s="27" t="s">
        <v>149</v>
      </c>
      <c r="F2228" s="7" t="s">
        <v>107</v>
      </c>
      <c r="G2228" s="7" t="s">
        <v>18</v>
      </c>
      <c r="H2228" s="7" t="s">
        <v>45</v>
      </c>
      <c r="I2228" s="20" t="s">
        <v>3323</v>
      </c>
      <c r="J2228" s="20" t="s">
        <v>3324</v>
      </c>
      <c r="K2228" s="7" t="s">
        <v>119</v>
      </c>
      <c r="L2228" s="61">
        <v>45863</v>
      </c>
      <c r="M2228" s="7" t="s">
        <v>111</v>
      </c>
      <c r="N2228" s="61">
        <v>45866</v>
      </c>
      <c r="O2228" s="58">
        <v>45868</v>
      </c>
      <c r="P2228" s="59"/>
      <c r="Q2228" s="124" t="e">
        <f>P2228*#REF!</f>
        <v>#REF!</v>
      </c>
      <c r="R2228" s="126">
        <v>45868</v>
      </c>
    </row>
    <row r="2229" spans="2:18" ht="17.25" hidden="1" customHeight="1">
      <c r="B2229" s="23">
        <v>45861</v>
      </c>
      <c r="C2229" s="7">
        <v>2003731123</v>
      </c>
      <c r="D2229" s="20">
        <v>228015</v>
      </c>
      <c r="E2229" s="27" t="s">
        <v>123</v>
      </c>
      <c r="F2229" s="7" t="s">
        <v>107</v>
      </c>
      <c r="G2229" s="7" t="s">
        <v>10</v>
      </c>
      <c r="H2229" s="7" t="s">
        <v>45</v>
      </c>
      <c r="I2229" s="20" t="s">
        <v>3325</v>
      </c>
      <c r="J2229" s="20" t="s">
        <v>3326</v>
      </c>
      <c r="K2229" s="7" t="s">
        <v>119</v>
      </c>
      <c r="L2229" s="61">
        <v>45863</v>
      </c>
      <c r="M2229" s="7" t="s">
        <v>111</v>
      </c>
      <c r="N2229" s="61">
        <v>45866</v>
      </c>
      <c r="O2229" s="61">
        <v>45866</v>
      </c>
      <c r="P2229" s="59"/>
      <c r="Q2229" s="124" t="e">
        <f>P2229*#REF!</f>
        <v>#REF!</v>
      </c>
      <c r="R2229" s="126">
        <v>45868</v>
      </c>
    </row>
    <row r="2230" spans="2:18" ht="17.25" hidden="1" customHeight="1">
      <c r="B2230" s="23">
        <v>45862</v>
      </c>
      <c r="C2230" s="7">
        <v>2003744672</v>
      </c>
      <c r="D2230" s="20">
        <v>6058075</v>
      </c>
      <c r="E2230" s="27" t="s">
        <v>265</v>
      </c>
      <c r="F2230" s="7" t="s">
        <v>107</v>
      </c>
      <c r="G2230" s="7" t="s">
        <v>15</v>
      </c>
      <c r="H2230" s="7" t="s">
        <v>45</v>
      </c>
      <c r="I2230" s="20" t="s">
        <v>2791</v>
      </c>
      <c r="J2230" s="20" t="s">
        <v>3327</v>
      </c>
      <c r="K2230" s="7" t="s">
        <v>110</v>
      </c>
      <c r="L2230" s="61">
        <v>45874</v>
      </c>
      <c r="M2230" s="7" t="s">
        <v>111</v>
      </c>
      <c r="N2230" s="61">
        <v>45874</v>
      </c>
      <c r="O2230" s="58">
        <v>45876</v>
      </c>
      <c r="P2230" s="59"/>
      <c r="Q2230" s="124" t="e">
        <f>P2230*#REF!</f>
        <v>#REF!</v>
      </c>
      <c r="R2230" s="126">
        <v>45876</v>
      </c>
    </row>
    <row r="2231" spans="2:18" ht="17.25" hidden="1" customHeight="1">
      <c r="B2231" s="23">
        <v>45862</v>
      </c>
      <c r="C2231" s="7">
        <v>2003744045</v>
      </c>
      <c r="D2231" s="20">
        <v>6058324</v>
      </c>
      <c r="E2231" s="27" t="s">
        <v>408</v>
      </c>
      <c r="F2231" s="7" t="s">
        <v>107</v>
      </c>
      <c r="G2231" s="7" t="s">
        <v>18</v>
      </c>
      <c r="H2231" s="7" t="s">
        <v>45</v>
      </c>
      <c r="I2231" s="20" t="s">
        <v>3328</v>
      </c>
      <c r="J2231" s="20" t="s">
        <v>3329</v>
      </c>
      <c r="K2231" s="7" t="s">
        <v>110</v>
      </c>
      <c r="L2231" s="61">
        <v>45867</v>
      </c>
      <c r="M2231" s="7" t="s">
        <v>111</v>
      </c>
      <c r="N2231" s="24">
        <v>45868</v>
      </c>
      <c r="O2231" s="58">
        <v>45870</v>
      </c>
      <c r="P2231" s="59"/>
      <c r="Q2231" s="124" t="e">
        <f>P2231*#REF!</f>
        <v>#REF!</v>
      </c>
      <c r="R2231" s="126">
        <v>45874</v>
      </c>
    </row>
    <row r="2232" spans="2:18" ht="17.25" hidden="1" customHeight="1">
      <c r="B2232" s="23">
        <v>45862</v>
      </c>
      <c r="C2232" s="7">
        <v>2003746558</v>
      </c>
      <c r="D2232" s="20">
        <v>6058328</v>
      </c>
      <c r="E2232" s="27" t="s">
        <v>116</v>
      </c>
      <c r="F2232" s="7" t="s">
        <v>107</v>
      </c>
      <c r="G2232" s="7" t="s">
        <v>10</v>
      </c>
      <c r="H2232" s="7" t="s">
        <v>45</v>
      </c>
      <c r="I2232" s="20" t="s">
        <v>1148</v>
      </c>
      <c r="J2232" s="20" t="s">
        <v>3330</v>
      </c>
      <c r="K2232" s="7" t="s">
        <v>119</v>
      </c>
      <c r="L2232" s="61">
        <v>45866</v>
      </c>
      <c r="M2232" s="7" t="s">
        <v>111</v>
      </c>
      <c r="N2232" s="61">
        <v>45866</v>
      </c>
      <c r="O2232" s="58">
        <v>45868</v>
      </c>
      <c r="P2232" s="59"/>
      <c r="Q2232" s="124" t="e">
        <f>P2232*#REF!</f>
        <v>#REF!</v>
      </c>
      <c r="R2232" s="126">
        <v>45869</v>
      </c>
    </row>
    <row r="2233" spans="2:18" ht="17.25" hidden="1" customHeight="1">
      <c r="B2233" s="23">
        <v>45862</v>
      </c>
      <c r="C2233" s="7">
        <v>2003740297</v>
      </c>
      <c r="D2233" s="20">
        <v>6058348</v>
      </c>
      <c r="E2233" s="27" t="s">
        <v>123</v>
      </c>
      <c r="F2233" s="7" t="s">
        <v>107</v>
      </c>
      <c r="G2233" s="7" t="s">
        <v>18</v>
      </c>
      <c r="H2233" s="7" t="s">
        <v>45</v>
      </c>
      <c r="I2233" s="20" t="s">
        <v>3331</v>
      </c>
      <c r="J2233" s="20" t="s">
        <v>3332</v>
      </c>
      <c r="K2233" s="7" t="s">
        <v>119</v>
      </c>
      <c r="L2233" s="61">
        <v>45869</v>
      </c>
      <c r="M2233" s="7" t="s">
        <v>111</v>
      </c>
      <c r="N2233" s="61">
        <v>45875</v>
      </c>
      <c r="O2233" s="61">
        <v>45875</v>
      </c>
      <c r="P2233" s="59"/>
      <c r="Q2233" s="124" t="e">
        <f>P2233*#REF!</f>
        <v>#REF!</v>
      </c>
      <c r="R2233" s="126">
        <v>45876</v>
      </c>
    </row>
    <row r="2234" spans="2:18" ht="17.25" hidden="1" customHeight="1">
      <c r="B2234" s="23">
        <v>45862</v>
      </c>
      <c r="C2234" s="7">
        <v>2003747521</v>
      </c>
      <c r="D2234" s="20">
        <v>6058350</v>
      </c>
      <c r="E2234" s="27" t="s">
        <v>149</v>
      </c>
      <c r="F2234" s="7" t="s">
        <v>107</v>
      </c>
      <c r="G2234" s="7" t="s">
        <v>10</v>
      </c>
      <c r="H2234" s="7" t="s">
        <v>45</v>
      </c>
      <c r="I2234" s="20" t="s">
        <v>3333</v>
      </c>
      <c r="J2234" s="20" t="s">
        <v>3334</v>
      </c>
      <c r="K2234" s="7" t="s">
        <v>119</v>
      </c>
      <c r="L2234" s="61">
        <v>45874</v>
      </c>
      <c r="M2234" s="7" t="s">
        <v>111</v>
      </c>
      <c r="N2234" s="61">
        <v>45875</v>
      </c>
      <c r="O2234" s="61">
        <v>45875</v>
      </c>
      <c r="P2234" s="59"/>
      <c r="Q2234" s="124" t="e">
        <f>P2234*#REF!</f>
        <v>#REF!</v>
      </c>
      <c r="R2234" s="126">
        <v>45876</v>
      </c>
    </row>
    <row r="2235" spans="2:18" ht="17.25" hidden="1" customHeight="1">
      <c r="B2235" s="23">
        <v>45862</v>
      </c>
      <c r="C2235" s="7">
        <v>2003743777</v>
      </c>
      <c r="D2235" s="20">
        <v>6058362</v>
      </c>
      <c r="E2235" s="27" t="s">
        <v>949</v>
      </c>
      <c r="F2235" s="7" t="s">
        <v>107</v>
      </c>
      <c r="G2235" s="7" t="s">
        <v>10</v>
      </c>
      <c r="H2235" s="7" t="s">
        <v>45</v>
      </c>
      <c r="I2235" s="20" t="s">
        <v>3335</v>
      </c>
      <c r="J2235" s="20" t="s">
        <v>3336</v>
      </c>
      <c r="K2235" s="7" t="s">
        <v>119</v>
      </c>
      <c r="L2235" s="61">
        <v>45867</v>
      </c>
      <c r="M2235" s="7" t="s">
        <v>111</v>
      </c>
      <c r="N2235" s="61">
        <v>45867</v>
      </c>
      <c r="O2235" s="58">
        <v>45868</v>
      </c>
      <c r="P2235" s="59"/>
      <c r="Q2235" s="124" t="e">
        <f>P2235*#REF!</f>
        <v>#REF!</v>
      </c>
      <c r="R2235" s="126">
        <v>45869</v>
      </c>
    </row>
    <row r="2236" spans="2:18" ht="17.25" hidden="1" customHeight="1">
      <c r="B2236" s="23">
        <v>45862</v>
      </c>
      <c r="C2236" s="7">
        <v>2003684361</v>
      </c>
      <c r="D2236" s="20">
        <v>6058388</v>
      </c>
      <c r="E2236" s="27" t="s">
        <v>201</v>
      </c>
      <c r="F2236" s="7" t="s">
        <v>107</v>
      </c>
      <c r="G2236" s="7" t="s">
        <v>10</v>
      </c>
      <c r="H2236" s="7" t="s">
        <v>45</v>
      </c>
      <c r="I2236" s="20" t="s">
        <v>2232</v>
      </c>
      <c r="J2236" s="20" t="s">
        <v>3337</v>
      </c>
      <c r="K2236" s="7" t="s">
        <v>110</v>
      </c>
      <c r="L2236" s="61">
        <v>45867</v>
      </c>
      <c r="M2236" s="7" t="s">
        <v>111</v>
      </c>
      <c r="N2236" s="24">
        <v>45868</v>
      </c>
      <c r="O2236" s="24">
        <v>45868</v>
      </c>
      <c r="P2236" s="59"/>
      <c r="Q2236" s="124" t="e">
        <f>P2236*#REF!</f>
        <v>#REF!</v>
      </c>
      <c r="R2236" s="126">
        <v>45869</v>
      </c>
    </row>
    <row r="2237" spans="2:18" ht="17.25" hidden="1" customHeight="1">
      <c r="B2237" s="23">
        <v>45862</v>
      </c>
      <c r="C2237" s="7">
        <v>2003747022</v>
      </c>
      <c r="D2237" s="20">
        <v>6058438</v>
      </c>
      <c r="E2237" s="27" t="s">
        <v>112</v>
      </c>
      <c r="F2237" s="7" t="s">
        <v>113</v>
      </c>
      <c r="G2237" s="7" t="s">
        <v>70</v>
      </c>
      <c r="H2237" s="7" t="s">
        <v>47</v>
      </c>
      <c r="I2237" s="20" t="s">
        <v>3338</v>
      </c>
      <c r="J2237" s="20" t="s">
        <v>3339</v>
      </c>
      <c r="K2237" s="7" t="s">
        <v>160</v>
      </c>
      <c r="P2237" s="59"/>
      <c r="Q2237" s="124" t="e">
        <f>P2237*#REF!</f>
        <v>#REF!</v>
      </c>
      <c r="R2237" s="126">
        <v>45875</v>
      </c>
    </row>
    <row r="2238" spans="2:18" ht="17.25" hidden="1" customHeight="1">
      <c r="B2238" s="23">
        <v>45862</v>
      </c>
      <c r="C2238" s="7">
        <v>2003731091</v>
      </c>
      <c r="D2238" s="20">
        <v>230173</v>
      </c>
      <c r="E2238" s="27" t="s">
        <v>1225</v>
      </c>
      <c r="F2238" s="7" t="s">
        <v>107</v>
      </c>
      <c r="G2238" s="7" t="s">
        <v>18</v>
      </c>
      <c r="H2238" s="7" t="s">
        <v>45</v>
      </c>
      <c r="I2238" s="20" t="s">
        <v>3340</v>
      </c>
      <c r="J2238" s="20" t="s">
        <v>3341</v>
      </c>
      <c r="K2238" s="7" t="s">
        <v>119</v>
      </c>
      <c r="L2238" s="61">
        <v>45866</v>
      </c>
      <c r="M2238" s="7" t="s">
        <v>111</v>
      </c>
      <c r="N2238" s="61">
        <v>45867</v>
      </c>
      <c r="O2238" s="58">
        <v>45868</v>
      </c>
      <c r="P2238" s="59"/>
      <c r="Q2238" s="124" t="e">
        <f>P2238*#REF!</f>
        <v>#REF!</v>
      </c>
      <c r="R2238" s="126">
        <v>45869</v>
      </c>
    </row>
    <row r="2239" spans="2:18" ht="17.25" hidden="1" customHeight="1">
      <c r="B2239" s="23">
        <v>45862</v>
      </c>
      <c r="C2239" s="7">
        <v>2003647287</v>
      </c>
      <c r="D2239" s="20">
        <v>230124</v>
      </c>
      <c r="E2239" s="27" t="s">
        <v>198</v>
      </c>
      <c r="F2239" s="7" t="s">
        <v>107</v>
      </c>
      <c r="G2239" s="7" t="s">
        <v>10</v>
      </c>
      <c r="H2239" s="7" t="s">
        <v>45</v>
      </c>
      <c r="I2239" s="20" t="s">
        <v>2976</v>
      </c>
      <c r="J2239" s="20" t="s">
        <v>3342</v>
      </c>
      <c r="K2239" s="7" t="s">
        <v>119</v>
      </c>
      <c r="L2239" s="61">
        <v>45867</v>
      </c>
      <c r="M2239" s="7" t="s">
        <v>111</v>
      </c>
      <c r="N2239" s="61">
        <v>45868</v>
      </c>
      <c r="O2239" s="58">
        <v>45870</v>
      </c>
      <c r="P2239" s="59"/>
      <c r="Q2239" s="124" t="e">
        <f>P2239*#REF!</f>
        <v>#REF!</v>
      </c>
      <c r="R2239" s="126">
        <v>45874</v>
      </c>
    </row>
    <row r="2240" spans="2:18" ht="17.25" hidden="1" customHeight="1">
      <c r="B2240" s="23">
        <v>45862</v>
      </c>
      <c r="C2240" s="7">
        <v>2003743394</v>
      </c>
      <c r="D2240" s="20">
        <v>230081</v>
      </c>
      <c r="E2240" s="27" t="s">
        <v>408</v>
      </c>
      <c r="F2240" s="7" t="s">
        <v>107</v>
      </c>
      <c r="G2240" s="7" t="s">
        <v>18</v>
      </c>
      <c r="H2240" s="7" t="s">
        <v>45</v>
      </c>
      <c r="I2240" s="20" t="s">
        <v>1841</v>
      </c>
      <c r="J2240" s="20" t="s">
        <v>2954</v>
      </c>
      <c r="K2240" s="7" t="s">
        <v>110</v>
      </c>
      <c r="L2240" s="61">
        <v>45866</v>
      </c>
      <c r="M2240" s="7" t="s">
        <v>111</v>
      </c>
      <c r="N2240" s="61">
        <v>45866</v>
      </c>
      <c r="O2240" s="58">
        <v>45868</v>
      </c>
      <c r="P2240" s="59"/>
      <c r="Q2240" s="124" t="e">
        <f>P2240*#REF!</f>
        <v>#REF!</v>
      </c>
      <c r="R2240" s="126">
        <v>45869</v>
      </c>
    </row>
    <row r="2241" spans="2:18" ht="17.25" hidden="1" customHeight="1">
      <c r="B2241" s="23">
        <v>45862</v>
      </c>
      <c r="C2241" s="7">
        <v>2003586889</v>
      </c>
      <c r="D2241" s="20">
        <v>229903</v>
      </c>
      <c r="E2241" s="27" t="s">
        <v>568</v>
      </c>
      <c r="F2241" s="7" t="s">
        <v>107</v>
      </c>
      <c r="G2241" s="7" t="s">
        <v>18</v>
      </c>
      <c r="H2241" s="7" t="s">
        <v>45</v>
      </c>
      <c r="I2241" s="20" t="s">
        <v>164</v>
      </c>
      <c r="J2241" s="20" t="s">
        <v>3156</v>
      </c>
      <c r="K2241" s="7" t="s">
        <v>119</v>
      </c>
      <c r="L2241" s="61">
        <v>45866</v>
      </c>
      <c r="M2241" s="7" t="s">
        <v>111</v>
      </c>
      <c r="N2241" s="61">
        <v>45866</v>
      </c>
      <c r="O2241" s="58">
        <v>45868</v>
      </c>
      <c r="P2241" s="59"/>
      <c r="Q2241" s="124" t="e">
        <f>P2241*#REF!</f>
        <v>#REF!</v>
      </c>
      <c r="R2241" s="126">
        <v>45868</v>
      </c>
    </row>
    <row r="2242" spans="2:18" ht="17.25" hidden="1" customHeight="1">
      <c r="B2242" s="23">
        <v>45862</v>
      </c>
      <c r="C2242" s="7">
        <v>2003735102</v>
      </c>
      <c r="D2242" s="20">
        <v>229453</v>
      </c>
      <c r="E2242" s="27" t="s">
        <v>230</v>
      </c>
      <c r="F2242" s="7" t="s">
        <v>107</v>
      </c>
      <c r="G2242" s="7" t="s">
        <v>10</v>
      </c>
      <c r="H2242" s="7" t="s">
        <v>45</v>
      </c>
      <c r="I2242" s="20" t="s">
        <v>280</v>
      </c>
      <c r="J2242" s="20" t="s">
        <v>1553</v>
      </c>
      <c r="K2242" s="7" t="s">
        <v>110</v>
      </c>
      <c r="L2242" s="61">
        <v>45866</v>
      </c>
      <c r="M2242" s="7" t="s">
        <v>111</v>
      </c>
      <c r="N2242" s="61">
        <v>45866</v>
      </c>
      <c r="O2242" s="61">
        <v>45866</v>
      </c>
      <c r="P2242" s="59"/>
      <c r="Q2242" s="124" t="e">
        <f>P2242*#REF!</f>
        <v>#REF!</v>
      </c>
      <c r="R2242" s="126">
        <v>45868</v>
      </c>
    </row>
    <row r="2243" spans="2:18" ht="17.25" hidden="1" customHeight="1">
      <c r="B2243" s="23">
        <v>45862</v>
      </c>
      <c r="C2243" s="7">
        <v>2003731072</v>
      </c>
      <c r="D2243" s="20">
        <v>229362</v>
      </c>
      <c r="E2243" s="27" t="s">
        <v>106</v>
      </c>
      <c r="F2243" s="7" t="s">
        <v>107</v>
      </c>
      <c r="G2243" s="7" t="s">
        <v>18</v>
      </c>
      <c r="H2243" s="7" t="s">
        <v>45</v>
      </c>
      <c r="I2243" s="20" t="s">
        <v>3343</v>
      </c>
      <c r="J2243" s="20" t="s">
        <v>2433</v>
      </c>
      <c r="K2243" s="7" t="s">
        <v>119</v>
      </c>
      <c r="L2243" s="61">
        <v>45866</v>
      </c>
      <c r="M2243" s="7" t="s">
        <v>111</v>
      </c>
      <c r="N2243" s="61">
        <v>45867</v>
      </c>
      <c r="O2243" s="58">
        <v>45874</v>
      </c>
      <c r="P2243" s="59"/>
      <c r="Q2243" s="124" t="e">
        <f>P2243*#REF!</f>
        <v>#REF!</v>
      </c>
      <c r="R2243" s="126">
        <v>45876</v>
      </c>
    </row>
    <row r="2244" spans="2:18" ht="17.25" hidden="1" customHeight="1">
      <c r="B2244" s="23">
        <v>45863</v>
      </c>
      <c r="C2244" s="7">
        <v>2003646774</v>
      </c>
      <c r="D2244" s="20">
        <v>6058622</v>
      </c>
      <c r="E2244" s="27" t="s">
        <v>265</v>
      </c>
      <c r="F2244" s="7" t="s">
        <v>107</v>
      </c>
      <c r="G2244" s="7" t="s">
        <v>15</v>
      </c>
      <c r="H2244" s="7" t="s">
        <v>45</v>
      </c>
      <c r="I2244" s="20" t="s">
        <v>612</v>
      </c>
      <c r="J2244" s="20" t="s">
        <v>3344</v>
      </c>
      <c r="K2244" s="7" t="s">
        <v>110</v>
      </c>
      <c r="L2244" s="61">
        <v>45875</v>
      </c>
      <c r="M2244" s="7" t="s">
        <v>111</v>
      </c>
      <c r="N2244" s="61">
        <v>45875</v>
      </c>
      <c r="O2244" s="58">
        <v>45876</v>
      </c>
      <c r="P2244" s="59"/>
      <c r="Q2244" s="124" t="e">
        <f>P2244*#REF!</f>
        <v>#REF!</v>
      </c>
      <c r="R2244" s="126">
        <v>45876</v>
      </c>
    </row>
    <row r="2245" spans="2:18" ht="17.25" hidden="1" customHeight="1">
      <c r="B2245" s="23">
        <v>45863</v>
      </c>
      <c r="C2245" s="7">
        <v>2003697497</v>
      </c>
      <c r="D2245" s="20">
        <v>6058856</v>
      </c>
      <c r="E2245" s="27" t="s">
        <v>180</v>
      </c>
      <c r="F2245" s="7" t="s">
        <v>107</v>
      </c>
      <c r="G2245" s="7" t="s">
        <v>30</v>
      </c>
      <c r="H2245" s="7" t="s">
        <v>45</v>
      </c>
      <c r="I2245" s="20" t="s">
        <v>3345</v>
      </c>
      <c r="J2245" s="20" t="s">
        <v>3346</v>
      </c>
      <c r="K2245" s="7" t="s">
        <v>111</v>
      </c>
      <c r="L2245" s="61">
        <v>45866</v>
      </c>
      <c r="M2245" s="7" t="s">
        <v>111</v>
      </c>
      <c r="N2245" s="61">
        <v>45866</v>
      </c>
      <c r="O2245" s="58">
        <v>45876</v>
      </c>
      <c r="P2245" s="59"/>
      <c r="Q2245" s="124" t="e">
        <f>P2245*#REF!</f>
        <v>#REF!</v>
      </c>
      <c r="R2245" s="126">
        <v>45876</v>
      </c>
    </row>
    <row r="2246" spans="2:18" ht="17.25" hidden="1" customHeight="1">
      <c r="B2246" s="23">
        <v>45863</v>
      </c>
      <c r="C2246" s="7">
        <v>2003738171</v>
      </c>
      <c r="D2246" s="20">
        <v>6058878</v>
      </c>
      <c r="E2246" s="27" t="s">
        <v>1225</v>
      </c>
      <c r="F2246" s="7" t="s">
        <v>107</v>
      </c>
      <c r="G2246" s="7" t="s">
        <v>10</v>
      </c>
      <c r="H2246" s="7" t="s">
        <v>45</v>
      </c>
      <c r="I2246" s="20" t="s">
        <v>3347</v>
      </c>
      <c r="J2246" s="20" t="s">
        <v>3348</v>
      </c>
      <c r="K2246" s="7" t="s">
        <v>119</v>
      </c>
      <c r="L2246" s="61">
        <v>45867</v>
      </c>
      <c r="M2246" s="7" t="s">
        <v>111</v>
      </c>
      <c r="N2246" s="24">
        <v>45877</v>
      </c>
      <c r="O2246" s="24">
        <v>45877</v>
      </c>
      <c r="P2246" s="59"/>
      <c r="Q2246" s="124" t="e">
        <f>P2246*#REF!</f>
        <v>#REF!</v>
      </c>
      <c r="R2246" s="126">
        <v>45882</v>
      </c>
    </row>
    <row r="2247" spans="2:18" ht="17.25" hidden="1" customHeight="1">
      <c r="B2247" s="23">
        <v>45863</v>
      </c>
      <c r="C2247" s="7">
        <v>2003647014</v>
      </c>
      <c r="D2247" s="20">
        <v>6059039</v>
      </c>
      <c r="E2247" s="27" t="s">
        <v>149</v>
      </c>
      <c r="F2247" s="7" t="s">
        <v>107</v>
      </c>
      <c r="G2247" s="7" t="s">
        <v>18</v>
      </c>
      <c r="H2247" s="7" t="s">
        <v>45</v>
      </c>
      <c r="I2247" s="20" t="s">
        <v>3349</v>
      </c>
      <c r="J2247" s="20" t="s">
        <v>3350</v>
      </c>
      <c r="K2247" s="7" t="s">
        <v>119</v>
      </c>
      <c r="L2247" s="61">
        <v>45868</v>
      </c>
      <c r="M2247" s="7" t="s">
        <v>111</v>
      </c>
      <c r="N2247" s="61">
        <v>45868</v>
      </c>
      <c r="O2247" s="58">
        <v>45874</v>
      </c>
      <c r="P2247" s="59"/>
      <c r="Q2247" s="124" t="e">
        <f>P2247*#REF!</f>
        <v>#REF!</v>
      </c>
      <c r="R2247" s="126">
        <v>45876</v>
      </c>
    </row>
    <row r="2248" spans="2:18" ht="17.25" hidden="1" customHeight="1">
      <c r="B2248" s="23">
        <v>45863</v>
      </c>
      <c r="C2248" s="7">
        <v>2003666338</v>
      </c>
      <c r="D2248" s="20">
        <v>6059040</v>
      </c>
      <c r="E2248" s="27" t="s">
        <v>191</v>
      </c>
      <c r="F2248" s="7" t="s">
        <v>107</v>
      </c>
      <c r="G2248" s="7" t="s">
        <v>10</v>
      </c>
      <c r="H2248" s="7" t="s">
        <v>45</v>
      </c>
      <c r="I2248" s="20" t="s">
        <v>3351</v>
      </c>
      <c r="J2248" s="20" t="s">
        <v>3352</v>
      </c>
      <c r="K2248" s="7" t="s">
        <v>110</v>
      </c>
      <c r="L2248" s="61">
        <v>45868</v>
      </c>
      <c r="M2248" s="7" t="s">
        <v>111</v>
      </c>
      <c r="N2248" s="61">
        <v>45873</v>
      </c>
      <c r="O2248" s="58">
        <v>45874</v>
      </c>
      <c r="P2248" s="59"/>
      <c r="Q2248" s="124" t="e">
        <f>P2248*#REF!</f>
        <v>#REF!</v>
      </c>
      <c r="R2248" s="126">
        <v>45876</v>
      </c>
    </row>
    <row r="2249" spans="2:18" ht="17.25" hidden="1" customHeight="1">
      <c r="B2249" s="23">
        <v>45863</v>
      </c>
      <c r="C2249" s="7">
        <v>2003695937</v>
      </c>
      <c r="D2249" s="20">
        <v>6059098</v>
      </c>
      <c r="E2249" s="27" t="s">
        <v>1225</v>
      </c>
      <c r="F2249" s="7" t="s">
        <v>107</v>
      </c>
      <c r="G2249" s="7" t="s">
        <v>21</v>
      </c>
      <c r="H2249" s="7" t="s">
        <v>45</v>
      </c>
      <c r="I2249" s="20" t="s">
        <v>2859</v>
      </c>
      <c r="J2249" s="20" t="s">
        <v>2860</v>
      </c>
      <c r="K2249" s="7" t="s">
        <v>110</v>
      </c>
      <c r="L2249" s="61">
        <v>45866</v>
      </c>
      <c r="M2249" s="7" t="s">
        <v>111</v>
      </c>
      <c r="N2249" s="61">
        <v>45866</v>
      </c>
      <c r="O2249" s="58">
        <v>45868</v>
      </c>
      <c r="P2249" s="59"/>
      <c r="Q2249" s="124" t="e">
        <f>P2249*#REF!</f>
        <v>#REF!</v>
      </c>
      <c r="R2249" s="126">
        <v>45868</v>
      </c>
    </row>
    <row r="2250" spans="2:18" ht="17.25" hidden="1" customHeight="1">
      <c r="B2250" s="23">
        <v>45863</v>
      </c>
      <c r="C2250" s="7">
        <v>2003722625</v>
      </c>
      <c r="D2250" s="20">
        <v>6059107</v>
      </c>
      <c r="E2250" s="27" t="s">
        <v>949</v>
      </c>
      <c r="F2250" s="7" t="s">
        <v>107</v>
      </c>
      <c r="G2250" s="7" t="s">
        <v>10</v>
      </c>
      <c r="H2250" s="7" t="s">
        <v>45</v>
      </c>
      <c r="I2250" s="20" t="s">
        <v>3353</v>
      </c>
      <c r="J2250" s="20" t="s">
        <v>3354</v>
      </c>
      <c r="K2250" s="7" t="s">
        <v>119</v>
      </c>
      <c r="L2250" s="61">
        <v>45868</v>
      </c>
      <c r="M2250" s="7" t="s">
        <v>111</v>
      </c>
      <c r="N2250" s="61">
        <v>45868</v>
      </c>
      <c r="O2250" s="58">
        <v>45869</v>
      </c>
      <c r="P2250" s="59"/>
      <c r="Q2250" s="124" t="e">
        <f>P2250*#REF!</f>
        <v>#REF!</v>
      </c>
      <c r="R2250" s="126">
        <v>45869</v>
      </c>
    </row>
    <row r="2251" spans="2:18" ht="17.25" hidden="1" customHeight="1">
      <c r="B2251" s="23">
        <v>45863</v>
      </c>
      <c r="C2251" s="7">
        <v>2003660634</v>
      </c>
      <c r="D2251" s="20">
        <v>231348</v>
      </c>
      <c r="E2251" s="27" t="s">
        <v>180</v>
      </c>
      <c r="F2251" s="7" t="s">
        <v>107</v>
      </c>
      <c r="G2251" s="7" t="s">
        <v>10</v>
      </c>
      <c r="H2251" s="7" t="s">
        <v>45</v>
      </c>
      <c r="I2251" s="20" t="s">
        <v>1075</v>
      </c>
      <c r="J2251" s="20" t="s">
        <v>1528</v>
      </c>
      <c r="K2251" s="7" t="s">
        <v>110</v>
      </c>
      <c r="L2251" s="61">
        <v>45868</v>
      </c>
      <c r="M2251" s="7" t="s">
        <v>111</v>
      </c>
      <c r="N2251" s="61">
        <v>45868</v>
      </c>
      <c r="O2251" s="58">
        <v>45869</v>
      </c>
      <c r="P2251" s="59"/>
      <c r="Q2251" s="124" t="e">
        <f>P2251*#REF!</f>
        <v>#REF!</v>
      </c>
      <c r="R2251" s="126">
        <v>45869</v>
      </c>
    </row>
    <row r="2252" spans="2:18" ht="17.25" hidden="1" customHeight="1">
      <c r="B2252" s="23">
        <v>45863</v>
      </c>
      <c r="C2252" s="7">
        <v>2003730003</v>
      </c>
      <c r="D2252" s="20">
        <v>231084</v>
      </c>
      <c r="E2252" s="27" t="s">
        <v>180</v>
      </c>
      <c r="F2252" s="7" t="s">
        <v>107</v>
      </c>
      <c r="G2252" s="7" t="s">
        <v>30</v>
      </c>
      <c r="H2252" s="7" t="s">
        <v>45</v>
      </c>
      <c r="I2252" s="20" t="s">
        <v>3355</v>
      </c>
      <c r="J2252" s="20" t="s">
        <v>3356</v>
      </c>
      <c r="K2252" s="7" t="s">
        <v>111</v>
      </c>
      <c r="L2252" s="61">
        <v>45866</v>
      </c>
      <c r="M2252" s="7" t="s">
        <v>111</v>
      </c>
      <c r="N2252" s="61">
        <v>45866</v>
      </c>
      <c r="O2252" s="58">
        <v>45884</v>
      </c>
      <c r="P2252" s="59"/>
      <c r="Q2252" s="124" t="e">
        <f>P2252*#REF!</f>
        <v>#REF!</v>
      </c>
      <c r="R2252" s="126">
        <v>45887</v>
      </c>
    </row>
    <row r="2253" spans="2:18" ht="17.25" hidden="1" customHeight="1">
      <c r="B2253" s="23">
        <v>45863</v>
      </c>
      <c r="C2253" s="7">
        <v>2003735586</v>
      </c>
      <c r="D2253" s="20">
        <v>231012</v>
      </c>
      <c r="E2253" s="27" t="s">
        <v>408</v>
      </c>
      <c r="F2253" s="7" t="s">
        <v>107</v>
      </c>
      <c r="G2253" s="7" t="s">
        <v>10</v>
      </c>
      <c r="H2253" s="7" t="s">
        <v>45</v>
      </c>
      <c r="I2253" s="20" t="s">
        <v>2976</v>
      </c>
      <c r="J2253" s="20" t="s">
        <v>3357</v>
      </c>
      <c r="K2253" s="7" t="s">
        <v>110</v>
      </c>
      <c r="L2253" s="61">
        <v>45868</v>
      </c>
      <c r="M2253" s="7" t="s">
        <v>111</v>
      </c>
      <c r="N2253" s="61">
        <v>45868</v>
      </c>
      <c r="O2253" s="58">
        <v>45870</v>
      </c>
      <c r="P2253" s="59"/>
      <c r="Q2253" s="124" t="e">
        <f>P2253*#REF!</f>
        <v>#REF!</v>
      </c>
      <c r="R2253" s="126">
        <v>45874</v>
      </c>
    </row>
    <row r="2254" spans="2:18" ht="17.25" hidden="1" customHeight="1">
      <c r="B2254" s="23">
        <v>45863</v>
      </c>
      <c r="C2254" s="7">
        <v>2003737498</v>
      </c>
      <c r="D2254" s="20">
        <v>230663</v>
      </c>
      <c r="E2254" s="27" t="s">
        <v>568</v>
      </c>
      <c r="F2254" s="7" t="s">
        <v>107</v>
      </c>
      <c r="G2254" s="7" t="s">
        <v>26</v>
      </c>
      <c r="H2254" s="7" t="s">
        <v>45</v>
      </c>
      <c r="I2254" s="20" t="s">
        <v>3358</v>
      </c>
      <c r="J2254" s="20" t="s">
        <v>3359</v>
      </c>
      <c r="K2254" s="7" t="s">
        <v>110</v>
      </c>
      <c r="L2254" s="61">
        <v>45866</v>
      </c>
      <c r="M2254" s="7" t="s">
        <v>111</v>
      </c>
      <c r="N2254" s="24">
        <v>45868</v>
      </c>
      <c r="O2254" s="58">
        <v>45868</v>
      </c>
      <c r="P2254" s="59"/>
      <c r="Q2254" s="124" t="e">
        <f>P2254*#REF!</f>
        <v>#REF!</v>
      </c>
      <c r="R2254" s="126">
        <v>45868</v>
      </c>
    </row>
    <row r="2255" spans="2:18" ht="17.25" hidden="1" customHeight="1">
      <c r="B2255" s="23">
        <v>45866</v>
      </c>
      <c r="C2255" s="7">
        <v>2003691532</v>
      </c>
      <c r="D2255" s="20">
        <v>6059529</v>
      </c>
      <c r="E2255" s="27" t="s">
        <v>116</v>
      </c>
      <c r="F2255" s="7" t="s">
        <v>107</v>
      </c>
      <c r="G2255" s="7" t="s">
        <v>21</v>
      </c>
      <c r="H2255" s="7" t="s">
        <v>45</v>
      </c>
      <c r="I2255" s="20" t="s">
        <v>3360</v>
      </c>
      <c r="J2255" s="20" t="s">
        <v>2573</v>
      </c>
      <c r="K2255" s="7" t="s">
        <v>119</v>
      </c>
      <c r="L2255" s="61">
        <v>45870</v>
      </c>
      <c r="M2255" s="7" t="s">
        <v>111</v>
      </c>
      <c r="N2255" s="61">
        <v>45873</v>
      </c>
      <c r="O2255" s="58">
        <v>45874</v>
      </c>
      <c r="P2255" s="59"/>
      <c r="Q2255" s="124" t="e">
        <f>P2255*#REF!</f>
        <v>#REF!</v>
      </c>
      <c r="R2255" s="126">
        <v>45876</v>
      </c>
    </row>
    <row r="2256" spans="2:18" ht="17.25" hidden="1" customHeight="1">
      <c r="B2256" s="23">
        <v>45866</v>
      </c>
      <c r="C2256" s="7">
        <v>2003665398</v>
      </c>
      <c r="D2256" s="20">
        <v>6059537</v>
      </c>
      <c r="E2256" s="27" t="s">
        <v>191</v>
      </c>
      <c r="F2256" s="7" t="s">
        <v>107</v>
      </c>
      <c r="G2256" s="7" t="s">
        <v>10</v>
      </c>
      <c r="H2256" s="7" t="s">
        <v>45</v>
      </c>
      <c r="I2256" s="20" t="s">
        <v>3361</v>
      </c>
      <c r="J2256" s="20" t="s">
        <v>3362</v>
      </c>
      <c r="K2256" s="7" t="s">
        <v>119</v>
      </c>
      <c r="L2256" s="61">
        <v>45873</v>
      </c>
      <c r="M2256" s="7" t="s">
        <v>111</v>
      </c>
      <c r="N2256" s="61">
        <v>45873</v>
      </c>
      <c r="O2256" s="61">
        <v>45873</v>
      </c>
      <c r="P2256" s="59"/>
      <c r="Q2256" s="124" t="e">
        <f>P2256*#REF!</f>
        <v>#REF!</v>
      </c>
      <c r="R2256" s="126">
        <v>45874</v>
      </c>
    </row>
    <row r="2257" spans="2:18" ht="17.25" hidden="1" customHeight="1">
      <c r="B2257" s="23">
        <v>45866</v>
      </c>
      <c r="C2257" s="7">
        <v>2003665958</v>
      </c>
      <c r="D2257" s="20">
        <v>6059753</v>
      </c>
      <c r="E2257" s="27" t="s">
        <v>185</v>
      </c>
      <c r="F2257" s="7" t="s">
        <v>107</v>
      </c>
      <c r="G2257" s="7" t="s">
        <v>21</v>
      </c>
      <c r="H2257" s="7" t="s">
        <v>45</v>
      </c>
      <c r="I2257" s="20" t="s">
        <v>3363</v>
      </c>
      <c r="J2257" s="20" t="s">
        <v>1477</v>
      </c>
      <c r="K2257" s="7" t="s">
        <v>111</v>
      </c>
      <c r="L2257" s="61">
        <v>45867</v>
      </c>
      <c r="M2257" s="7" t="s">
        <v>111</v>
      </c>
      <c r="N2257" s="24">
        <v>45868</v>
      </c>
      <c r="O2257" s="58">
        <v>45870</v>
      </c>
      <c r="P2257" s="59"/>
      <c r="Q2257" s="124" t="e">
        <f>P2257*#REF!</f>
        <v>#REF!</v>
      </c>
      <c r="R2257" s="126">
        <v>45874</v>
      </c>
    </row>
    <row r="2258" spans="2:18" ht="17.25" hidden="1" customHeight="1">
      <c r="B2258" s="23">
        <v>45866</v>
      </c>
      <c r="C2258" s="7">
        <v>2003742537</v>
      </c>
      <c r="D2258" s="20">
        <v>6059849</v>
      </c>
      <c r="E2258" s="27" t="s">
        <v>1225</v>
      </c>
      <c r="F2258" s="7" t="s">
        <v>107</v>
      </c>
      <c r="G2258" s="7" t="s">
        <v>26</v>
      </c>
      <c r="H2258" s="7" t="s">
        <v>45</v>
      </c>
      <c r="I2258" s="20" t="s">
        <v>3364</v>
      </c>
      <c r="J2258" s="20" t="s">
        <v>2199</v>
      </c>
      <c r="K2258" s="7" t="s">
        <v>119</v>
      </c>
      <c r="L2258" s="61">
        <v>45874</v>
      </c>
      <c r="M2258" s="7" t="s">
        <v>111</v>
      </c>
      <c r="N2258" s="24">
        <v>45876</v>
      </c>
      <c r="O2258" s="58">
        <v>45876</v>
      </c>
      <c r="P2258" s="59"/>
      <c r="Q2258" s="124" t="e">
        <f>P2258*#REF!</f>
        <v>#REF!</v>
      </c>
      <c r="R2258" s="126">
        <v>45876</v>
      </c>
    </row>
    <row r="2259" spans="2:18" ht="17.25" hidden="1" customHeight="1">
      <c r="B2259" s="23">
        <v>45866</v>
      </c>
      <c r="C2259" s="7">
        <v>2003715950</v>
      </c>
      <c r="D2259" s="20">
        <v>6059939</v>
      </c>
      <c r="E2259" s="27" t="s">
        <v>201</v>
      </c>
      <c r="F2259" s="7" t="s">
        <v>107</v>
      </c>
      <c r="G2259" s="7" t="s">
        <v>10</v>
      </c>
      <c r="H2259" s="7" t="s">
        <v>45</v>
      </c>
      <c r="I2259" s="20" t="s">
        <v>3365</v>
      </c>
      <c r="J2259" s="20" t="s">
        <v>3366</v>
      </c>
      <c r="K2259" s="7" t="s">
        <v>119</v>
      </c>
      <c r="L2259" s="61">
        <v>45868</v>
      </c>
      <c r="M2259" s="7" t="s">
        <v>111</v>
      </c>
      <c r="N2259" s="24">
        <v>45871</v>
      </c>
      <c r="O2259" s="58">
        <v>45874</v>
      </c>
      <c r="P2259" s="59"/>
      <c r="Q2259" s="124" t="e">
        <f>P2259*#REF!</f>
        <v>#REF!</v>
      </c>
      <c r="R2259" s="126">
        <v>45876</v>
      </c>
    </row>
    <row r="2260" spans="2:18" ht="17.25" hidden="1" customHeight="1">
      <c r="B2260" s="23">
        <v>45866</v>
      </c>
      <c r="C2260" s="7">
        <v>2003665497</v>
      </c>
      <c r="D2260" s="20">
        <v>233094</v>
      </c>
      <c r="E2260" s="27" t="s">
        <v>138</v>
      </c>
      <c r="F2260" s="7" t="s">
        <v>107</v>
      </c>
      <c r="G2260" s="7" t="s">
        <v>166</v>
      </c>
      <c r="H2260" s="7" t="s">
        <v>45</v>
      </c>
      <c r="I2260" s="20" t="s">
        <v>186</v>
      </c>
      <c r="J2260" s="20" t="s">
        <v>1630</v>
      </c>
      <c r="K2260" s="7" t="s">
        <v>119</v>
      </c>
      <c r="L2260" s="61">
        <v>45867</v>
      </c>
      <c r="M2260" s="7" t="s">
        <v>111</v>
      </c>
      <c r="N2260" s="61">
        <v>45867</v>
      </c>
      <c r="O2260" s="61">
        <v>45867</v>
      </c>
      <c r="P2260" s="59"/>
      <c r="Q2260" s="124" t="e">
        <f>P2260*#REF!</f>
        <v>#REF!</v>
      </c>
      <c r="R2260" s="126">
        <v>45868</v>
      </c>
    </row>
    <row r="2261" spans="2:18" ht="17.25" hidden="1" customHeight="1">
      <c r="B2261" s="23">
        <v>45866</v>
      </c>
      <c r="C2261" s="7">
        <v>2003749537</v>
      </c>
      <c r="D2261" s="20">
        <v>233060</v>
      </c>
      <c r="E2261" s="27" t="s">
        <v>123</v>
      </c>
      <c r="F2261" s="7" t="s">
        <v>107</v>
      </c>
      <c r="G2261" s="7" t="s">
        <v>10</v>
      </c>
      <c r="H2261" s="7" t="s">
        <v>45</v>
      </c>
      <c r="I2261" s="20" t="s">
        <v>3367</v>
      </c>
      <c r="J2261" s="20" t="s">
        <v>3368</v>
      </c>
      <c r="K2261" s="7" t="s">
        <v>119</v>
      </c>
      <c r="L2261" s="61">
        <v>45868</v>
      </c>
      <c r="M2261" s="7" t="s">
        <v>111</v>
      </c>
      <c r="N2261" s="24">
        <v>45881</v>
      </c>
      <c r="O2261" s="24">
        <v>45881</v>
      </c>
      <c r="P2261" s="59"/>
      <c r="Q2261" s="124" t="e">
        <f>P2261*#REF!</f>
        <v>#REF!</v>
      </c>
      <c r="R2261" s="126">
        <v>45882</v>
      </c>
    </row>
    <row r="2262" spans="2:18" ht="17.25" hidden="1" customHeight="1">
      <c r="B2262" s="23">
        <v>45866</v>
      </c>
      <c r="C2262" s="7">
        <v>2003740611</v>
      </c>
      <c r="D2262" s="20">
        <v>232599</v>
      </c>
      <c r="E2262" s="27" t="s">
        <v>201</v>
      </c>
      <c r="F2262" s="7" t="s">
        <v>107</v>
      </c>
      <c r="G2262" s="7" t="s">
        <v>26</v>
      </c>
      <c r="H2262" s="7" t="s">
        <v>45</v>
      </c>
      <c r="I2262" s="20" t="s">
        <v>3369</v>
      </c>
      <c r="J2262" s="20" t="s">
        <v>3370</v>
      </c>
      <c r="K2262" s="7" t="s">
        <v>119</v>
      </c>
      <c r="L2262" s="61">
        <v>45869</v>
      </c>
      <c r="M2262" s="7" t="s">
        <v>111</v>
      </c>
      <c r="N2262" s="24">
        <v>45874</v>
      </c>
      <c r="O2262" s="58">
        <v>45874</v>
      </c>
      <c r="P2262" s="59"/>
      <c r="Q2262" s="124" t="e">
        <f>P2262*#REF!</f>
        <v>#REF!</v>
      </c>
      <c r="R2262" s="126">
        <v>45874</v>
      </c>
    </row>
    <row r="2263" spans="2:18" ht="17.25" hidden="1" customHeight="1">
      <c r="B2263" s="23">
        <v>45866</v>
      </c>
      <c r="C2263" s="7">
        <v>2003743794</v>
      </c>
      <c r="D2263" s="20">
        <v>232283</v>
      </c>
      <c r="E2263" s="27" t="s">
        <v>180</v>
      </c>
      <c r="F2263" s="7" t="s">
        <v>107</v>
      </c>
      <c r="G2263" s="7" t="s">
        <v>10</v>
      </c>
      <c r="H2263" s="7" t="s">
        <v>45</v>
      </c>
      <c r="I2263" s="20" t="s">
        <v>2708</v>
      </c>
      <c r="J2263" s="20" t="s">
        <v>3371</v>
      </c>
      <c r="K2263" s="7" t="s">
        <v>146</v>
      </c>
      <c r="L2263" s="61">
        <v>45868</v>
      </c>
      <c r="M2263" s="7" t="s">
        <v>146</v>
      </c>
      <c r="N2263" s="24">
        <v>45877</v>
      </c>
      <c r="O2263" s="58">
        <v>45882</v>
      </c>
      <c r="P2263" s="59"/>
      <c r="Q2263" s="124" t="e">
        <f>P2263*#REF!</f>
        <v>#REF!</v>
      </c>
      <c r="R2263" s="126">
        <v>45882</v>
      </c>
    </row>
    <row r="2264" spans="2:18" ht="17.25" hidden="1" customHeight="1">
      <c r="B2264" s="23">
        <v>45867</v>
      </c>
      <c r="C2264" s="7">
        <v>2003732685</v>
      </c>
      <c r="D2264" s="20">
        <v>6059956</v>
      </c>
      <c r="E2264" s="27" t="s">
        <v>177</v>
      </c>
      <c r="F2264" s="7" t="s">
        <v>107</v>
      </c>
      <c r="G2264" s="7" t="s">
        <v>15</v>
      </c>
      <c r="H2264" s="7" t="s">
        <v>45</v>
      </c>
      <c r="I2264" s="20" t="s">
        <v>3372</v>
      </c>
      <c r="J2264" s="20" t="s">
        <v>3279</v>
      </c>
      <c r="K2264" s="7" t="s">
        <v>110</v>
      </c>
      <c r="L2264" s="61">
        <v>45868</v>
      </c>
      <c r="M2264" s="7" t="s">
        <v>111</v>
      </c>
      <c r="N2264" s="24">
        <v>45868</v>
      </c>
      <c r="O2264" s="58">
        <v>45868</v>
      </c>
      <c r="P2264" s="59"/>
      <c r="Q2264" s="124" t="e">
        <f>P2264*#REF!</f>
        <v>#REF!</v>
      </c>
      <c r="R2264" s="126">
        <v>45868</v>
      </c>
    </row>
    <row r="2265" spans="2:18" ht="17.25" hidden="1" customHeight="1">
      <c r="B2265" s="23">
        <v>45867</v>
      </c>
      <c r="C2265" s="7">
        <v>2003681725</v>
      </c>
      <c r="D2265" s="20">
        <v>6059959</v>
      </c>
      <c r="E2265" s="27" t="s">
        <v>177</v>
      </c>
      <c r="F2265" s="7" t="s">
        <v>107</v>
      </c>
      <c r="G2265" s="7" t="s">
        <v>18</v>
      </c>
      <c r="H2265" s="7" t="s">
        <v>45</v>
      </c>
      <c r="I2265" s="20" t="s">
        <v>3373</v>
      </c>
      <c r="J2265" s="20" t="s">
        <v>3374</v>
      </c>
      <c r="K2265" s="7" t="s">
        <v>110</v>
      </c>
      <c r="L2265" s="61">
        <v>45868</v>
      </c>
      <c r="M2265" s="7" t="s">
        <v>111</v>
      </c>
      <c r="N2265" s="61">
        <v>45868</v>
      </c>
      <c r="O2265" s="58">
        <v>45870</v>
      </c>
      <c r="P2265" s="59"/>
      <c r="Q2265" s="124" t="e">
        <f>P2265*#REF!</f>
        <v>#REF!</v>
      </c>
      <c r="R2265" s="126">
        <v>45874</v>
      </c>
    </row>
    <row r="2266" spans="2:18" ht="17.25" hidden="1" customHeight="1">
      <c r="B2266" s="23">
        <v>45867</v>
      </c>
      <c r="C2266" s="7">
        <v>2003671536</v>
      </c>
      <c r="D2266" s="20">
        <v>6060115</v>
      </c>
      <c r="E2266" s="27" t="s">
        <v>123</v>
      </c>
      <c r="F2266" s="7" t="s">
        <v>107</v>
      </c>
      <c r="G2266" s="7" t="s">
        <v>18</v>
      </c>
      <c r="H2266" s="7" t="s">
        <v>45</v>
      </c>
      <c r="I2266" s="20" t="s">
        <v>3375</v>
      </c>
      <c r="J2266" s="20" t="s">
        <v>2207</v>
      </c>
      <c r="K2266" s="7" t="s">
        <v>110</v>
      </c>
      <c r="L2266" s="61">
        <v>45870</v>
      </c>
      <c r="M2266" s="7" t="s">
        <v>111</v>
      </c>
      <c r="N2266" s="61">
        <v>45874</v>
      </c>
      <c r="O2266" s="61">
        <v>45874</v>
      </c>
      <c r="P2266" s="59"/>
      <c r="Q2266" s="124" t="e">
        <f>P2266*#REF!</f>
        <v>#REF!</v>
      </c>
      <c r="R2266" s="126">
        <v>45876</v>
      </c>
    </row>
    <row r="2267" spans="2:18" ht="17.25" hidden="1" customHeight="1">
      <c r="B2267" s="23">
        <v>45867</v>
      </c>
      <c r="C2267" s="7">
        <v>2003725595</v>
      </c>
      <c r="D2267" s="20">
        <v>6060135</v>
      </c>
      <c r="E2267" s="27" t="s">
        <v>180</v>
      </c>
      <c r="F2267" s="7" t="s">
        <v>107</v>
      </c>
      <c r="G2267" s="7" t="s">
        <v>18</v>
      </c>
      <c r="H2267" s="7" t="s">
        <v>45</v>
      </c>
      <c r="I2267" s="20" t="s">
        <v>3052</v>
      </c>
      <c r="J2267" s="20" t="s">
        <v>3053</v>
      </c>
      <c r="K2267" s="7" t="s">
        <v>110</v>
      </c>
      <c r="L2267" s="61">
        <v>45901</v>
      </c>
      <c r="M2267" s="7" t="s">
        <v>111</v>
      </c>
      <c r="N2267" s="61">
        <v>45901</v>
      </c>
      <c r="O2267" s="58">
        <v>45902</v>
      </c>
      <c r="P2267" s="59"/>
      <c r="Q2267" s="124" t="e">
        <f>P2267*#REF!</f>
        <v>#REF!</v>
      </c>
      <c r="R2267" s="126">
        <v>45904</v>
      </c>
    </row>
    <row r="2268" spans="2:18" ht="17.25" hidden="1" customHeight="1">
      <c r="B2268" s="23">
        <v>45867</v>
      </c>
      <c r="C2268" s="7">
        <v>2003529403</v>
      </c>
      <c r="D2268" s="20">
        <v>6060758</v>
      </c>
      <c r="E2268" s="27" t="s">
        <v>106</v>
      </c>
      <c r="F2268" s="7" t="s">
        <v>107</v>
      </c>
      <c r="G2268" s="7" t="s">
        <v>18</v>
      </c>
      <c r="H2268" s="7" t="s">
        <v>45</v>
      </c>
      <c r="I2268" s="20" t="s">
        <v>108</v>
      </c>
      <c r="J2268" s="20" t="s">
        <v>3376</v>
      </c>
      <c r="K2268" s="7" t="s">
        <v>119</v>
      </c>
      <c r="L2268" s="61">
        <v>45875</v>
      </c>
      <c r="M2268" s="7" t="s">
        <v>111</v>
      </c>
      <c r="N2268" s="61">
        <v>45875</v>
      </c>
      <c r="O2268" s="61">
        <v>45875</v>
      </c>
      <c r="P2268" s="59"/>
      <c r="Q2268" s="124" t="e">
        <f>P2268*#REF!</f>
        <v>#REF!</v>
      </c>
      <c r="R2268" s="126">
        <v>45876</v>
      </c>
    </row>
    <row r="2269" spans="2:18" ht="17.25" hidden="1" customHeight="1">
      <c r="B2269" s="23">
        <v>45867</v>
      </c>
      <c r="C2269" s="7">
        <v>2003743814</v>
      </c>
      <c r="D2269" s="20">
        <v>234754</v>
      </c>
      <c r="E2269" s="27" t="s">
        <v>116</v>
      </c>
      <c r="F2269" s="7" t="s">
        <v>107</v>
      </c>
      <c r="G2269" s="7" t="s">
        <v>10</v>
      </c>
      <c r="H2269" s="7" t="s">
        <v>45</v>
      </c>
      <c r="I2269" s="20" t="s">
        <v>3377</v>
      </c>
      <c r="J2269" s="20" t="s">
        <v>3378</v>
      </c>
      <c r="K2269" s="7" t="s">
        <v>119</v>
      </c>
      <c r="L2269" s="61">
        <v>45870</v>
      </c>
      <c r="M2269" s="7" t="s">
        <v>111</v>
      </c>
      <c r="N2269" s="61">
        <v>45873</v>
      </c>
      <c r="O2269" s="58">
        <v>45874</v>
      </c>
      <c r="P2269" s="59"/>
      <c r="Q2269" s="124" t="e">
        <f>P2269*#REF!</f>
        <v>#REF!</v>
      </c>
      <c r="R2269" s="126">
        <v>45876</v>
      </c>
    </row>
    <row r="2270" spans="2:18" ht="17.25" hidden="1" customHeight="1">
      <c r="B2270" s="23">
        <v>45867</v>
      </c>
      <c r="C2270" s="7">
        <v>2003745986</v>
      </c>
      <c r="D2270" s="20">
        <v>234293</v>
      </c>
      <c r="E2270" s="27" t="s">
        <v>106</v>
      </c>
      <c r="F2270" s="7" t="s">
        <v>107</v>
      </c>
      <c r="G2270" s="7" t="s">
        <v>10</v>
      </c>
      <c r="H2270" s="7" t="s">
        <v>45</v>
      </c>
      <c r="I2270" s="20" t="s">
        <v>3379</v>
      </c>
      <c r="J2270" s="20" t="s">
        <v>3380</v>
      </c>
      <c r="K2270" s="7" t="s">
        <v>119</v>
      </c>
      <c r="L2270" s="61">
        <v>45873</v>
      </c>
      <c r="M2270" s="7" t="s">
        <v>111</v>
      </c>
      <c r="N2270" s="24">
        <v>45881</v>
      </c>
      <c r="O2270" s="24">
        <v>45881</v>
      </c>
      <c r="P2270" s="59"/>
      <c r="Q2270" s="124" t="e">
        <f>P2270*#REF!</f>
        <v>#REF!</v>
      </c>
      <c r="R2270" s="126">
        <v>45882</v>
      </c>
    </row>
    <row r="2271" spans="2:18" ht="17.25" hidden="1" customHeight="1">
      <c r="B2271" s="23">
        <v>45867</v>
      </c>
      <c r="C2271" s="7">
        <v>2003665231</v>
      </c>
      <c r="D2271" s="20">
        <v>234064</v>
      </c>
      <c r="E2271" s="27" t="s">
        <v>566</v>
      </c>
      <c r="F2271" s="7" t="s">
        <v>107</v>
      </c>
      <c r="G2271" s="7" t="s">
        <v>21</v>
      </c>
      <c r="H2271" s="7" t="s">
        <v>45</v>
      </c>
      <c r="I2271" s="20" t="s">
        <v>226</v>
      </c>
      <c r="J2271" s="20" t="s">
        <v>764</v>
      </c>
      <c r="K2271" s="7" t="s">
        <v>119</v>
      </c>
      <c r="L2271" s="61">
        <v>45868</v>
      </c>
      <c r="M2271" s="7" t="s">
        <v>111</v>
      </c>
      <c r="N2271" s="61">
        <v>45868</v>
      </c>
      <c r="O2271" s="61">
        <v>45868</v>
      </c>
      <c r="P2271" s="59"/>
      <c r="Q2271" s="124" t="e">
        <f>P2271*#REF!</f>
        <v>#REF!</v>
      </c>
      <c r="R2271" s="126">
        <v>45869</v>
      </c>
    </row>
    <row r="2272" spans="2:18" ht="17.25" hidden="1" customHeight="1">
      <c r="B2272" s="23">
        <v>45867</v>
      </c>
      <c r="C2272" s="7">
        <v>2003633864</v>
      </c>
      <c r="D2272" s="20">
        <v>254087</v>
      </c>
      <c r="E2272" s="27" t="s">
        <v>892</v>
      </c>
      <c r="F2272" s="7" t="s">
        <v>107</v>
      </c>
      <c r="G2272" s="7" t="s">
        <v>26</v>
      </c>
      <c r="H2272" s="7" t="s">
        <v>45</v>
      </c>
      <c r="I2272" s="20" t="s">
        <v>3381</v>
      </c>
      <c r="J2272" s="20" t="s">
        <v>3382</v>
      </c>
      <c r="K2272" s="7" t="s">
        <v>119</v>
      </c>
      <c r="L2272" s="61">
        <v>45877</v>
      </c>
      <c r="M2272" s="7" t="s">
        <v>111</v>
      </c>
      <c r="N2272" s="24">
        <v>45882</v>
      </c>
      <c r="O2272" s="58">
        <v>45882</v>
      </c>
      <c r="P2272" s="59"/>
      <c r="Q2272" s="124" t="e">
        <f>P2272*#REF!</f>
        <v>#REF!</v>
      </c>
      <c r="R2272" s="126">
        <v>45882</v>
      </c>
    </row>
    <row r="2273" spans="2:18" ht="17.25" hidden="1" customHeight="1">
      <c r="B2273" s="23">
        <v>45867</v>
      </c>
      <c r="C2273" s="7">
        <v>2003703045</v>
      </c>
      <c r="D2273" s="20">
        <v>235768</v>
      </c>
      <c r="E2273" s="27" t="s">
        <v>143</v>
      </c>
      <c r="F2273" s="7" t="s">
        <v>107</v>
      </c>
      <c r="G2273" s="7" t="s">
        <v>21</v>
      </c>
      <c r="H2273" s="7" t="s">
        <v>45</v>
      </c>
      <c r="I2273" s="20" t="s">
        <v>577</v>
      </c>
      <c r="J2273" s="20" t="s">
        <v>2878</v>
      </c>
      <c r="K2273" s="7" t="s">
        <v>110</v>
      </c>
      <c r="L2273" s="61">
        <v>45869</v>
      </c>
      <c r="M2273" s="7" t="s">
        <v>111</v>
      </c>
      <c r="N2273" s="61">
        <v>45869</v>
      </c>
      <c r="O2273" s="58">
        <v>45870</v>
      </c>
      <c r="P2273" s="59"/>
      <c r="Q2273" s="124" t="e">
        <f>P2273*#REF!</f>
        <v>#REF!</v>
      </c>
      <c r="R2273" s="126">
        <v>45874</v>
      </c>
    </row>
    <row r="2274" spans="2:18" ht="17.25" hidden="1" customHeight="1">
      <c r="B2274" s="23">
        <v>45867</v>
      </c>
      <c r="C2274" s="7">
        <v>2003746151</v>
      </c>
      <c r="D2274" s="20">
        <v>235179</v>
      </c>
      <c r="E2274" s="27" t="s">
        <v>116</v>
      </c>
      <c r="F2274" s="7" t="s">
        <v>107</v>
      </c>
      <c r="G2274" s="7" t="s">
        <v>10</v>
      </c>
      <c r="H2274" s="7" t="s">
        <v>45</v>
      </c>
      <c r="I2274" s="20" t="s">
        <v>3383</v>
      </c>
      <c r="J2274" s="20" t="s">
        <v>3000</v>
      </c>
      <c r="K2274" s="7" t="s">
        <v>119</v>
      </c>
      <c r="L2274" s="61">
        <v>45874</v>
      </c>
      <c r="M2274" s="7" t="s">
        <v>111</v>
      </c>
      <c r="N2274" s="61">
        <v>45874</v>
      </c>
      <c r="O2274" s="58">
        <v>45876</v>
      </c>
      <c r="P2274" s="59"/>
      <c r="Q2274" s="124" t="e">
        <f>P2274*#REF!</f>
        <v>#REF!</v>
      </c>
      <c r="R2274" s="126">
        <v>45876</v>
      </c>
    </row>
    <row r="2275" spans="2:18" ht="17.25" hidden="1" customHeight="1">
      <c r="B2275" s="23">
        <v>45867</v>
      </c>
      <c r="C2275" s="7">
        <v>2003711163</v>
      </c>
      <c r="D2275" s="20">
        <v>235169</v>
      </c>
      <c r="E2275" s="27" t="s">
        <v>116</v>
      </c>
      <c r="F2275" s="7" t="s">
        <v>107</v>
      </c>
      <c r="G2275" s="7" t="s">
        <v>10</v>
      </c>
      <c r="H2275" s="7" t="s">
        <v>45</v>
      </c>
      <c r="I2275" s="20" t="s">
        <v>3383</v>
      </c>
      <c r="J2275" s="20" t="s">
        <v>3000</v>
      </c>
      <c r="K2275" s="7" t="s">
        <v>119</v>
      </c>
      <c r="L2275" s="61">
        <v>45874</v>
      </c>
      <c r="M2275" s="7" t="s">
        <v>111</v>
      </c>
      <c r="N2275" s="61">
        <v>45874</v>
      </c>
      <c r="O2275" s="58">
        <v>45876</v>
      </c>
      <c r="P2275" s="59"/>
      <c r="Q2275" s="124" t="e">
        <f>P2275*#REF!</f>
        <v>#REF!</v>
      </c>
      <c r="R2275" s="126">
        <v>45876</v>
      </c>
    </row>
    <row r="2276" spans="2:18" ht="17.25" hidden="1" customHeight="1">
      <c r="B2276" s="23">
        <v>45867</v>
      </c>
      <c r="C2276" s="7">
        <v>2003695694</v>
      </c>
      <c r="D2276" s="20">
        <v>235143</v>
      </c>
      <c r="E2276" s="27" t="s">
        <v>116</v>
      </c>
      <c r="F2276" s="7" t="s">
        <v>107</v>
      </c>
      <c r="G2276" s="7" t="s">
        <v>21</v>
      </c>
      <c r="H2276" s="7" t="s">
        <v>45</v>
      </c>
      <c r="I2276" s="20" t="s">
        <v>1646</v>
      </c>
      <c r="J2276" s="20" t="s">
        <v>2569</v>
      </c>
      <c r="K2276" s="7" t="s">
        <v>111</v>
      </c>
      <c r="L2276" s="61">
        <v>45869</v>
      </c>
      <c r="M2276" s="7" t="s">
        <v>111</v>
      </c>
      <c r="N2276" s="61">
        <v>45869</v>
      </c>
      <c r="O2276" s="58">
        <v>45870</v>
      </c>
      <c r="P2276" s="59"/>
      <c r="Q2276" s="124" t="e">
        <f>P2276*#REF!</f>
        <v>#REF!</v>
      </c>
      <c r="R2276" s="126">
        <v>45874</v>
      </c>
    </row>
    <row r="2277" spans="2:18" ht="17.25" hidden="1" customHeight="1">
      <c r="B2277" s="23">
        <v>45867</v>
      </c>
      <c r="C2277" s="7">
        <v>2003745085</v>
      </c>
      <c r="D2277" s="20">
        <v>235070</v>
      </c>
      <c r="E2277" s="27" t="s">
        <v>191</v>
      </c>
      <c r="F2277" s="7" t="s">
        <v>107</v>
      </c>
      <c r="G2277" s="7" t="s">
        <v>10</v>
      </c>
      <c r="H2277" s="7" t="s">
        <v>45</v>
      </c>
      <c r="I2277" s="20" t="s">
        <v>3384</v>
      </c>
      <c r="J2277" s="20" t="s">
        <v>3322</v>
      </c>
      <c r="K2277" s="7" t="s">
        <v>110</v>
      </c>
      <c r="L2277" s="61">
        <v>45869</v>
      </c>
      <c r="M2277" s="7" t="s">
        <v>111</v>
      </c>
      <c r="N2277" s="61">
        <v>45869</v>
      </c>
      <c r="O2277" s="58">
        <v>45876</v>
      </c>
      <c r="P2277" s="59"/>
      <c r="Q2277" s="124" t="e">
        <f>P2277*#REF!</f>
        <v>#REF!</v>
      </c>
      <c r="R2277" s="126">
        <v>45882</v>
      </c>
    </row>
    <row r="2278" spans="2:18" ht="17.25" hidden="1" customHeight="1">
      <c r="B2278" s="23">
        <v>45868</v>
      </c>
      <c r="C2278" s="7">
        <v>2003668177</v>
      </c>
      <c r="D2278" s="20">
        <v>6060966</v>
      </c>
      <c r="E2278" s="27" t="s">
        <v>126</v>
      </c>
      <c r="F2278" s="7" t="s">
        <v>107</v>
      </c>
      <c r="G2278" s="7" t="s">
        <v>10</v>
      </c>
      <c r="H2278" s="7" t="s">
        <v>45</v>
      </c>
      <c r="I2278" s="20" t="s">
        <v>3385</v>
      </c>
      <c r="J2278" s="20" t="s">
        <v>3386</v>
      </c>
      <c r="K2278" s="7" t="s">
        <v>119</v>
      </c>
      <c r="L2278" s="61">
        <v>45870</v>
      </c>
      <c r="M2278" s="7" t="s">
        <v>111</v>
      </c>
      <c r="N2278" s="61">
        <v>45873</v>
      </c>
      <c r="O2278" s="58">
        <v>45874</v>
      </c>
      <c r="P2278" s="59"/>
      <c r="Q2278" s="124" t="e">
        <f>P2278*#REF!</f>
        <v>#REF!</v>
      </c>
      <c r="R2278" s="126">
        <v>45876</v>
      </c>
    </row>
    <row r="2279" spans="2:18" ht="17.25" hidden="1" customHeight="1">
      <c r="B2279" s="23">
        <v>45868</v>
      </c>
      <c r="C2279" s="7">
        <v>2003745899</v>
      </c>
      <c r="D2279" s="20">
        <v>6061239</v>
      </c>
      <c r="E2279" s="27" t="s">
        <v>408</v>
      </c>
      <c r="F2279" s="7" t="s">
        <v>107</v>
      </c>
      <c r="G2279" s="7" t="s">
        <v>18</v>
      </c>
      <c r="H2279" s="7" t="s">
        <v>45</v>
      </c>
      <c r="I2279" s="20" t="s">
        <v>1854</v>
      </c>
      <c r="J2279" s="20" t="s">
        <v>3387</v>
      </c>
      <c r="K2279" s="7" t="s">
        <v>110</v>
      </c>
      <c r="L2279" s="61">
        <v>45869</v>
      </c>
      <c r="M2279" s="7" t="s">
        <v>111</v>
      </c>
      <c r="N2279" s="61">
        <v>45869</v>
      </c>
      <c r="O2279" s="58">
        <v>45870</v>
      </c>
      <c r="P2279" s="59"/>
      <c r="Q2279" s="124" t="e">
        <f>P2279*#REF!</f>
        <v>#REF!</v>
      </c>
      <c r="R2279" s="126">
        <v>45874</v>
      </c>
    </row>
    <row r="2280" spans="2:18" ht="17.25" hidden="1" customHeight="1">
      <c r="B2280" s="23">
        <v>45868</v>
      </c>
      <c r="C2280" s="7">
        <v>2003726903</v>
      </c>
      <c r="D2280" s="20">
        <v>6061464</v>
      </c>
      <c r="E2280" s="27" t="s">
        <v>230</v>
      </c>
      <c r="F2280" s="7" t="s">
        <v>107</v>
      </c>
      <c r="G2280" s="7" t="s">
        <v>21</v>
      </c>
      <c r="H2280" s="7" t="s">
        <v>45</v>
      </c>
      <c r="I2280" s="20" t="s">
        <v>417</v>
      </c>
      <c r="J2280" s="20" t="s">
        <v>3035</v>
      </c>
      <c r="K2280" s="7" t="s">
        <v>110</v>
      </c>
      <c r="L2280" s="61">
        <v>45873</v>
      </c>
      <c r="M2280" s="7" t="s">
        <v>111</v>
      </c>
      <c r="N2280" s="61">
        <v>45873</v>
      </c>
      <c r="O2280" s="58">
        <v>45874</v>
      </c>
      <c r="P2280" s="59"/>
      <c r="Q2280" s="124" t="e">
        <f>P2280*#REF!</f>
        <v>#REF!</v>
      </c>
      <c r="R2280" s="126">
        <v>45876</v>
      </c>
    </row>
    <row r="2281" spans="2:18" ht="17.25" hidden="1" customHeight="1">
      <c r="B2281" s="23">
        <v>45869</v>
      </c>
      <c r="C2281" s="7">
        <v>2003751439</v>
      </c>
      <c r="D2281" s="20">
        <v>6061884</v>
      </c>
      <c r="E2281" s="27" t="s">
        <v>123</v>
      </c>
      <c r="F2281" s="7" t="s">
        <v>107</v>
      </c>
      <c r="G2281" s="7" t="s">
        <v>18</v>
      </c>
      <c r="H2281" s="7" t="s">
        <v>45</v>
      </c>
      <c r="I2281" s="20" t="s">
        <v>2501</v>
      </c>
      <c r="J2281" s="20" t="s">
        <v>3388</v>
      </c>
      <c r="K2281" s="7" t="s">
        <v>119</v>
      </c>
      <c r="L2281" s="61">
        <v>45873</v>
      </c>
      <c r="M2281" s="7" t="s">
        <v>111</v>
      </c>
      <c r="N2281" s="61">
        <v>45874</v>
      </c>
      <c r="O2281" s="58">
        <v>45881</v>
      </c>
      <c r="P2281" s="59"/>
      <c r="Q2281" s="124" t="e">
        <f>P2281*#REF!</f>
        <v>#REF!</v>
      </c>
      <c r="R2281" s="126">
        <v>45882</v>
      </c>
    </row>
    <row r="2282" spans="2:18" ht="17.25" hidden="1" customHeight="1">
      <c r="B2282" s="23">
        <v>45869</v>
      </c>
      <c r="C2282" s="7">
        <v>2003732685</v>
      </c>
      <c r="D2282" s="20">
        <v>6061975</v>
      </c>
      <c r="E2282" s="27" t="s">
        <v>3389</v>
      </c>
      <c r="F2282" s="7" t="s">
        <v>107</v>
      </c>
      <c r="G2282" s="7" t="s">
        <v>26</v>
      </c>
      <c r="H2282" s="7" t="s">
        <v>45</v>
      </c>
      <c r="I2282" s="20" t="s">
        <v>3278</v>
      </c>
      <c r="J2282" s="20" t="s">
        <v>3279</v>
      </c>
      <c r="K2282" s="7" t="s">
        <v>110</v>
      </c>
      <c r="L2282" s="61">
        <v>45870</v>
      </c>
      <c r="M2282" s="7" t="s">
        <v>111</v>
      </c>
      <c r="N2282" s="24">
        <v>45874</v>
      </c>
      <c r="P2282" s="59"/>
      <c r="Q2282" s="124" t="e">
        <f>P2282*#REF!</f>
        <v>#REF!</v>
      </c>
      <c r="R2282" s="126">
        <v>45874</v>
      </c>
    </row>
    <row r="2283" spans="2:18" ht="17.25" hidden="1" customHeight="1">
      <c r="B2283" s="23">
        <v>45869</v>
      </c>
      <c r="C2283" s="7">
        <v>2003753402</v>
      </c>
      <c r="D2283" s="20">
        <v>6062056</v>
      </c>
      <c r="E2283" s="27" t="s">
        <v>138</v>
      </c>
      <c r="F2283" s="7" t="s">
        <v>107</v>
      </c>
      <c r="G2283" s="7" t="s">
        <v>10</v>
      </c>
      <c r="H2283" s="7" t="s">
        <v>45</v>
      </c>
      <c r="I2283" s="20" t="s">
        <v>3390</v>
      </c>
      <c r="J2283" s="20" t="s">
        <v>3391</v>
      </c>
      <c r="K2283" s="7" t="s">
        <v>119</v>
      </c>
      <c r="L2283" s="61">
        <v>45874</v>
      </c>
      <c r="M2283" s="7" t="s">
        <v>111</v>
      </c>
      <c r="N2283" s="24">
        <v>45877</v>
      </c>
      <c r="O2283" s="24">
        <v>45877</v>
      </c>
      <c r="P2283" s="59"/>
      <c r="Q2283" s="124" t="e">
        <f>P2283*#REF!</f>
        <v>#REF!</v>
      </c>
      <c r="R2283" s="126">
        <v>45882</v>
      </c>
    </row>
    <row r="2284" spans="2:18" ht="17.25" hidden="1" customHeight="1">
      <c r="B2284" s="23">
        <v>45869</v>
      </c>
      <c r="C2284" s="7">
        <v>2003750200</v>
      </c>
      <c r="D2284" s="20">
        <v>237199</v>
      </c>
      <c r="E2284" s="27" t="s">
        <v>408</v>
      </c>
      <c r="F2284" s="7" t="s">
        <v>107</v>
      </c>
      <c r="G2284" s="7" t="s">
        <v>10</v>
      </c>
      <c r="H2284" s="7" t="s">
        <v>45</v>
      </c>
      <c r="I2284" s="20" t="s">
        <v>1908</v>
      </c>
      <c r="J2284" s="20" t="s">
        <v>3392</v>
      </c>
      <c r="K2284" s="7" t="s">
        <v>119</v>
      </c>
      <c r="L2284" s="61">
        <v>45874</v>
      </c>
      <c r="M2284" s="7" t="s">
        <v>111</v>
      </c>
      <c r="N2284" s="61">
        <v>45874</v>
      </c>
      <c r="O2284" s="58">
        <v>45876</v>
      </c>
      <c r="P2284" s="59"/>
      <c r="Q2284" s="124" t="e">
        <f>P2284*#REF!</f>
        <v>#REF!</v>
      </c>
      <c r="R2284" s="126">
        <v>45876</v>
      </c>
    </row>
    <row r="2285" spans="2:18" ht="17.25" hidden="1" customHeight="1">
      <c r="B2285" s="23">
        <v>45869</v>
      </c>
      <c r="C2285" s="7">
        <v>2003753647</v>
      </c>
      <c r="D2285" s="20">
        <v>237176</v>
      </c>
      <c r="E2285" s="27" t="s">
        <v>106</v>
      </c>
      <c r="F2285" s="7" t="s">
        <v>107</v>
      </c>
      <c r="G2285" s="7" t="s">
        <v>10</v>
      </c>
      <c r="H2285" s="7" t="s">
        <v>45</v>
      </c>
      <c r="I2285" s="20" t="s">
        <v>3393</v>
      </c>
      <c r="J2285" s="20" t="s">
        <v>3394</v>
      </c>
      <c r="K2285" s="7" t="s">
        <v>119</v>
      </c>
      <c r="L2285" s="61">
        <v>45873</v>
      </c>
      <c r="M2285" s="7" t="s">
        <v>111</v>
      </c>
      <c r="N2285" s="24">
        <v>45874</v>
      </c>
      <c r="O2285" s="24">
        <v>45874</v>
      </c>
      <c r="P2285" s="59"/>
      <c r="Q2285" s="124" t="e">
        <f>P2285*#REF!</f>
        <v>#REF!</v>
      </c>
      <c r="R2285" s="126">
        <v>45876</v>
      </c>
    </row>
    <row r="2286" spans="2:18" ht="17.25" hidden="1" customHeight="1">
      <c r="B2286" s="23">
        <v>45869</v>
      </c>
      <c r="C2286" s="7">
        <v>2003740372</v>
      </c>
      <c r="D2286" s="20">
        <v>237057</v>
      </c>
      <c r="E2286" s="27" t="s">
        <v>152</v>
      </c>
      <c r="F2286" s="7" t="s">
        <v>113</v>
      </c>
      <c r="G2286" s="7" t="s">
        <v>70</v>
      </c>
      <c r="H2286" s="7" t="s">
        <v>47</v>
      </c>
      <c r="I2286" s="20" t="s">
        <v>3395</v>
      </c>
      <c r="J2286" s="20" t="s">
        <v>3396</v>
      </c>
      <c r="K2286" s="7" t="s">
        <v>160</v>
      </c>
      <c r="P2286" s="59"/>
      <c r="Q2286" s="124" t="e">
        <f>P2286*#REF!</f>
        <v>#REF!</v>
      </c>
      <c r="R2286" s="126">
        <v>45870</v>
      </c>
    </row>
    <row r="2287" spans="2:18" ht="17.25" hidden="1" customHeight="1">
      <c r="B2287" s="23">
        <v>45869</v>
      </c>
      <c r="C2287" s="7">
        <v>2003751933</v>
      </c>
      <c r="D2287" s="20">
        <v>236841</v>
      </c>
      <c r="E2287" s="27" t="s">
        <v>143</v>
      </c>
      <c r="F2287" s="7" t="s">
        <v>107</v>
      </c>
      <c r="G2287" s="7" t="s">
        <v>18</v>
      </c>
      <c r="H2287" s="7" t="s">
        <v>45</v>
      </c>
      <c r="I2287" s="20" t="s">
        <v>3397</v>
      </c>
      <c r="J2287" s="20" t="s">
        <v>3398</v>
      </c>
      <c r="K2287" s="7" t="s">
        <v>110</v>
      </c>
      <c r="L2287" s="61">
        <v>45875</v>
      </c>
      <c r="M2287" s="7" t="s">
        <v>111</v>
      </c>
      <c r="N2287" s="24">
        <v>45888</v>
      </c>
      <c r="O2287" s="58">
        <v>45889</v>
      </c>
      <c r="P2287" s="59"/>
      <c r="Q2287" s="124" t="e">
        <f>P2287*#REF!</f>
        <v>#REF!</v>
      </c>
      <c r="R2287" s="126">
        <v>45889</v>
      </c>
    </row>
    <row r="2288" spans="2:18" ht="17.25" hidden="1" customHeight="1">
      <c r="B2288" s="23">
        <v>45870</v>
      </c>
      <c r="C2288" s="7">
        <v>2003691751</v>
      </c>
      <c r="D2288" s="20">
        <v>6062420</v>
      </c>
      <c r="E2288" s="27" t="s">
        <v>138</v>
      </c>
      <c r="F2288" s="7" t="s">
        <v>107</v>
      </c>
      <c r="G2288" s="7" t="s">
        <v>166</v>
      </c>
      <c r="H2288" s="7" t="s">
        <v>45</v>
      </c>
      <c r="I2288" s="20" t="s">
        <v>1257</v>
      </c>
      <c r="J2288" s="20" t="s">
        <v>2625</v>
      </c>
      <c r="K2288" s="7" t="s">
        <v>119</v>
      </c>
      <c r="L2288" s="61">
        <v>45873</v>
      </c>
      <c r="M2288" s="7" t="s">
        <v>111</v>
      </c>
      <c r="N2288" s="61">
        <v>45874</v>
      </c>
      <c r="O2288" s="61">
        <v>45874</v>
      </c>
      <c r="P2288" s="59"/>
      <c r="Q2288" s="124" t="e">
        <f>P2288*#REF!</f>
        <v>#REF!</v>
      </c>
      <c r="R2288" s="126">
        <v>45876</v>
      </c>
    </row>
    <row r="2289" spans="2:18" ht="17.25" hidden="1" customHeight="1">
      <c r="B2289" s="23">
        <v>45870</v>
      </c>
      <c r="C2289" s="7">
        <v>2003752173</v>
      </c>
      <c r="D2289" s="20">
        <v>6062738</v>
      </c>
      <c r="E2289" s="27" t="s">
        <v>116</v>
      </c>
      <c r="F2289" s="7" t="s">
        <v>107</v>
      </c>
      <c r="G2289" s="7" t="s">
        <v>26</v>
      </c>
      <c r="H2289" s="7" t="s">
        <v>45</v>
      </c>
      <c r="I2289" s="20" t="s">
        <v>3399</v>
      </c>
      <c r="J2289" s="20" t="s">
        <v>3400</v>
      </c>
      <c r="K2289" s="7" t="s">
        <v>119</v>
      </c>
      <c r="L2289" s="61">
        <v>45873</v>
      </c>
      <c r="M2289" s="7" t="s">
        <v>111</v>
      </c>
      <c r="N2289" s="24">
        <v>45874</v>
      </c>
      <c r="O2289" s="58">
        <v>45874</v>
      </c>
      <c r="P2289" s="59"/>
      <c r="Q2289" s="124" t="e">
        <f>P2289*#REF!</f>
        <v>#REF!</v>
      </c>
      <c r="R2289" s="126">
        <v>45874</v>
      </c>
    </row>
    <row r="2290" spans="2:18" ht="17.25" hidden="1" customHeight="1">
      <c r="B2290" s="23">
        <v>45870</v>
      </c>
      <c r="C2290" s="7">
        <v>2003752340</v>
      </c>
      <c r="D2290" s="20">
        <v>238616</v>
      </c>
      <c r="E2290" s="27" t="s">
        <v>177</v>
      </c>
      <c r="F2290" s="7" t="s">
        <v>113</v>
      </c>
      <c r="G2290" s="7" t="s">
        <v>70</v>
      </c>
      <c r="H2290" s="7" t="s">
        <v>47</v>
      </c>
      <c r="I2290" s="20" t="s">
        <v>3401</v>
      </c>
      <c r="J2290" s="20" t="s">
        <v>3402</v>
      </c>
      <c r="K2290" s="7" t="s">
        <v>160</v>
      </c>
      <c r="P2290" s="59"/>
      <c r="Q2290" s="124" t="e">
        <f>P2290*#REF!</f>
        <v>#REF!</v>
      </c>
    </row>
    <row r="2291" spans="2:18" ht="17.25" hidden="1" customHeight="1">
      <c r="B2291" s="23">
        <v>45870</v>
      </c>
      <c r="C2291" s="7">
        <v>2003737312</v>
      </c>
      <c r="D2291" s="20">
        <v>238510</v>
      </c>
      <c r="E2291" s="27" t="s">
        <v>198</v>
      </c>
      <c r="F2291" s="7" t="s">
        <v>107</v>
      </c>
      <c r="G2291" s="7" t="s">
        <v>10</v>
      </c>
      <c r="H2291" s="7" t="s">
        <v>45</v>
      </c>
      <c r="I2291" s="20" t="s">
        <v>631</v>
      </c>
      <c r="J2291" s="20" t="s">
        <v>3403</v>
      </c>
      <c r="K2291" s="7" t="s">
        <v>119</v>
      </c>
      <c r="L2291" s="61">
        <v>45875</v>
      </c>
      <c r="M2291" s="7" t="s">
        <v>111</v>
      </c>
      <c r="N2291" s="61">
        <v>45875</v>
      </c>
      <c r="O2291" s="58">
        <v>45876</v>
      </c>
      <c r="P2291" s="59"/>
      <c r="Q2291" s="124" t="e">
        <f>P2291*#REF!</f>
        <v>#REF!</v>
      </c>
      <c r="R2291" s="126">
        <v>45876</v>
      </c>
    </row>
    <row r="2292" spans="2:18" ht="17.25" hidden="1" customHeight="1">
      <c r="B2292" s="23">
        <v>45870</v>
      </c>
      <c r="C2292" s="7">
        <v>2003709974</v>
      </c>
      <c r="D2292" s="20">
        <v>238384</v>
      </c>
      <c r="E2292" s="27" t="s">
        <v>198</v>
      </c>
      <c r="F2292" s="7" t="s">
        <v>107</v>
      </c>
      <c r="G2292" s="7" t="s">
        <v>21</v>
      </c>
      <c r="H2292" s="7" t="s">
        <v>45</v>
      </c>
      <c r="I2292" s="20" t="s">
        <v>1464</v>
      </c>
      <c r="J2292" s="20" t="s">
        <v>1963</v>
      </c>
      <c r="K2292" s="7" t="s">
        <v>110</v>
      </c>
      <c r="L2292" s="61">
        <v>45873</v>
      </c>
      <c r="M2292" s="7" t="s">
        <v>111</v>
      </c>
      <c r="N2292" s="61">
        <v>45873</v>
      </c>
      <c r="O2292" s="58">
        <v>45874</v>
      </c>
      <c r="P2292" s="59"/>
      <c r="Q2292" s="124" t="e">
        <f>P2292*#REF!</f>
        <v>#REF!</v>
      </c>
      <c r="R2292" s="126">
        <v>45876</v>
      </c>
    </row>
    <row r="2293" spans="2:18" ht="17.25" hidden="1" customHeight="1">
      <c r="B2293" s="23">
        <v>45870</v>
      </c>
      <c r="C2293" s="7">
        <v>2003746551</v>
      </c>
      <c r="D2293" s="20">
        <v>238327</v>
      </c>
      <c r="E2293" s="27" t="s">
        <v>486</v>
      </c>
      <c r="F2293" s="7" t="s">
        <v>107</v>
      </c>
      <c r="G2293" s="7" t="s">
        <v>10</v>
      </c>
      <c r="H2293" s="7" t="s">
        <v>45</v>
      </c>
      <c r="I2293" s="20" t="s">
        <v>3404</v>
      </c>
      <c r="J2293" s="20" t="s">
        <v>3405</v>
      </c>
      <c r="K2293" s="7" t="s">
        <v>119</v>
      </c>
      <c r="L2293" s="61">
        <v>45875</v>
      </c>
      <c r="M2293" s="7" t="s">
        <v>111</v>
      </c>
      <c r="N2293" s="24">
        <v>45881</v>
      </c>
      <c r="O2293" s="24">
        <v>45881</v>
      </c>
      <c r="P2293" s="59"/>
      <c r="Q2293" s="124" t="e">
        <f>P2293*#REF!</f>
        <v>#REF!</v>
      </c>
      <c r="R2293" s="126">
        <v>45882</v>
      </c>
    </row>
    <row r="2294" spans="2:18" ht="17.25" hidden="1" customHeight="1">
      <c r="B2294" s="23">
        <v>45873</v>
      </c>
      <c r="C2294" s="7">
        <v>2003752977</v>
      </c>
      <c r="D2294" s="20">
        <v>6063391</v>
      </c>
      <c r="E2294" s="27" t="s">
        <v>201</v>
      </c>
      <c r="F2294" s="7" t="s">
        <v>107</v>
      </c>
      <c r="G2294" s="7" t="s">
        <v>18</v>
      </c>
      <c r="H2294" s="7" t="s">
        <v>45</v>
      </c>
      <c r="I2294" s="20" t="s">
        <v>965</v>
      </c>
      <c r="J2294" s="20" t="s">
        <v>3406</v>
      </c>
      <c r="K2294" s="7" t="s">
        <v>119</v>
      </c>
      <c r="L2294" s="61">
        <v>45877</v>
      </c>
      <c r="M2294" s="7" t="s">
        <v>111</v>
      </c>
      <c r="N2294" s="24">
        <v>45880</v>
      </c>
      <c r="O2294" s="58">
        <v>45881</v>
      </c>
      <c r="P2294" s="59"/>
      <c r="Q2294" s="124" t="e">
        <f>P2294*#REF!</f>
        <v>#REF!</v>
      </c>
      <c r="R2294" s="126">
        <v>45882</v>
      </c>
    </row>
    <row r="2295" spans="2:18" ht="17.25" hidden="1" customHeight="1">
      <c r="B2295" s="23">
        <v>45873</v>
      </c>
      <c r="C2295" s="7">
        <v>2003721294</v>
      </c>
      <c r="D2295" s="20">
        <v>6063270</v>
      </c>
      <c r="E2295" s="27" t="s">
        <v>123</v>
      </c>
      <c r="F2295" s="7" t="s">
        <v>107</v>
      </c>
      <c r="G2295" s="7" t="s">
        <v>21</v>
      </c>
      <c r="H2295" s="7" t="s">
        <v>45</v>
      </c>
      <c r="I2295" s="20" t="s">
        <v>878</v>
      </c>
      <c r="J2295" s="20" t="s">
        <v>2676</v>
      </c>
      <c r="K2295" s="7" t="s">
        <v>119</v>
      </c>
      <c r="L2295" s="61">
        <v>45876</v>
      </c>
      <c r="M2295" s="7" t="s">
        <v>111</v>
      </c>
      <c r="N2295" s="61">
        <v>45877</v>
      </c>
      <c r="O2295" s="58">
        <v>45882</v>
      </c>
      <c r="P2295" s="59"/>
      <c r="Q2295" s="124" t="e">
        <f>P2295*#REF!</f>
        <v>#REF!</v>
      </c>
      <c r="R2295" s="126">
        <v>45882</v>
      </c>
    </row>
    <row r="2296" spans="2:18" ht="17.25" hidden="1" customHeight="1">
      <c r="B2296" s="23">
        <v>45873</v>
      </c>
      <c r="C2296" s="7">
        <v>2003739554</v>
      </c>
      <c r="D2296" s="20">
        <v>6063546</v>
      </c>
      <c r="E2296" s="27" t="s">
        <v>230</v>
      </c>
      <c r="F2296" s="7" t="s">
        <v>107</v>
      </c>
      <c r="G2296" s="7" t="s">
        <v>10</v>
      </c>
      <c r="H2296" s="7" t="s">
        <v>45</v>
      </c>
      <c r="I2296" s="20" t="s">
        <v>3407</v>
      </c>
      <c r="J2296" s="20" t="s">
        <v>3408</v>
      </c>
      <c r="K2296" s="7" t="s">
        <v>119</v>
      </c>
      <c r="L2296" s="61">
        <v>45875</v>
      </c>
      <c r="M2296" s="7" t="s">
        <v>111</v>
      </c>
      <c r="N2296" s="61">
        <v>45875</v>
      </c>
      <c r="O2296" s="61">
        <v>45875</v>
      </c>
      <c r="P2296" s="59"/>
      <c r="Q2296" s="124" t="e">
        <f>P2296*#REF!</f>
        <v>#REF!</v>
      </c>
      <c r="R2296" s="126">
        <v>45876</v>
      </c>
    </row>
    <row r="2297" spans="2:18" ht="17.25" hidden="1" customHeight="1">
      <c r="B2297" s="23">
        <v>45873</v>
      </c>
      <c r="C2297" s="7">
        <v>2003691751</v>
      </c>
      <c r="D2297" s="20">
        <v>6063603</v>
      </c>
      <c r="E2297" s="27" t="s">
        <v>138</v>
      </c>
      <c r="F2297" s="7" t="s">
        <v>107</v>
      </c>
      <c r="G2297" s="7" t="s">
        <v>166</v>
      </c>
      <c r="H2297" s="7" t="s">
        <v>45</v>
      </c>
      <c r="I2297" s="20" t="s">
        <v>3409</v>
      </c>
      <c r="J2297" s="20" t="s">
        <v>2625</v>
      </c>
      <c r="K2297" s="7" t="s">
        <v>119</v>
      </c>
      <c r="L2297" s="61">
        <v>45874</v>
      </c>
      <c r="M2297" s="7" t="s">
        <v>111</v>
      </c>
      <c r="N2297" s="24">
        <v>45876</v>
      </c>
      <c r="O2297" s="58">
        <v>45876</v>
      </c>
      <c r="P2297" s="59"/>
      <c r="Q2297" s="124" t="e">
        <f>P2297*#REF!</f>
        <v>#REF!</v>
      </c>
      <c r="R2297" s="126">
        <v>45876</v>
      </c>
    </row>
    <row r="2298" spans="2:18" ht="17.25" hidden="1" customHeight="1">
      <c r="B2298" s="23">
        <v>45873</v>
      </c>
      <c r="C2298" s="7">
        <v>2003688178</v>
      </c>
      <c r="D2298" s="20">
        <v>6063594</v>
      </c>
      <c r="E2298" s="27" t="s">
        <v>149</v>
      </c>
      <c r="F2298" s="7" t="s">
        <v>107</v>
      </c>
      <c r="G2298" s="7" t="s">
        <v>10</v>
      </c>
      <c r="H2298" s="7" t="s">
        <v>45</v>
      </c>
      <c r="I2298" s="20" t="s">
        <v>431</v>
      </c>
      <c r="J2298" s="20" t="s">
        <v>3410</v>
      </c>
      <c r="K2298" s="7" t="s">
        <v>119</v>
      </c>
      <c r="L2298" s="61">
        <v>45875</v>
      </c>
      <c r="M2298" s="7" t="s">
        <v>111</v>
      </c>
      <c r="N2298" s="61">
        <v>45875</v>
      </c>
      <c r="O2298" s="61">
        <v>45875</v>
      </c>
      <c r="P2298" s="59"/>
      <c r="Q2298" s="124" t="e">
        <f>P2298*#REF!</f>
        <v>#REF!</v>
      </c>
      <c r="R2298" s="126">
        <v>45876</v>
      </c>
    </row>
    <row r="2299" spans="2:18" ht="17.25" hidden="1" customHeight="1">
      <c r="B2299" s="23">
        <v>45873</v>
      </c>
      <c r="C2299" s="7">
        <v>2003665100</v>
      </c>
      <c r="D2299" s="20">
        <v>6063523</v>
      </c>
      <c r="E2299" s="27" t="s">
        <v>143</v>
      </c>
      <c r="F2299" s="7" t="s">
        <v>107</v>
      </c>
      <c r="G2299" s="7" t="s">
        <v>18</v>
      </c>
      <c r="H2299" s="7" t="s">
        <v>45</v>
      </c>
      <c r="I2299" s="20" t="s">
        <v>3411</v>
      </c>
      <c r="J2299" s="20" t="s">
        <v>3412</v>
      </c>
      <c r="K2299" s="7" t="s">
        <v>110</v>
      </c>
      <c r="L2299" s="61">
        <v>45877</v>
      </c>
      <c r="M2299" s="7" t="s">
        <v>111</v>
      </c>
      <c r="N2299" s="24">
        <v>45880</v>
      </c>
      <c r="O2299" s="58">
        <v>45882</v>
      </c>
      <c r="P2299" s="59"/>
      <c r="Q2299" s="124" t="e">
        <f>P2299*#REF!</f>
        <v>#REF!</v>
      </c>
      <c r="R2299" s="126">
        <v>45887</v>
      </c>
    </row>
    <row r="2300" spans="2:18" ht="17.25" hidden="1" customHeight="1">
      <c r="B2300" s="23">
        <v>45873</v>
      </c>
      <c r="C2300" s="7">
        <v>2003665965</v>
      </c>
      <c r="D2300" s="20">
        <v>6063676</v>
      </c>
      <c r="E2300" s="27" t="s">
        <v>143</v>
      </c>
      <c r="F2300" s="7" t="s">
        <v>107</v>
      </c>
      <c r="G2300" s="7" t="s">
        <v>21</v>
      </c>
      <c r="H2300" s="7" t="s">
        <v>45</v>
      </c>
      <c r="I2300" s="20" t="s">
        <v>2057</v>
      </c>
      <c r="J2300" s="20" t="s">
        <v>2058</v>
      </c>
      <c r="K2300" s="7" t="s">
        <v>119</v>
      </c>
      <c r="L2300" s="61">
        <v>45874</v>
      </c>
      <c r="M2300" s="7" t="s">
        <v>111</v>
      </c>
      <c r="N2300" s="61">
        <v>45874</v>
      </c>
      <c r="O2300" s="61">
        <v>45874</v>
      </c>
      <c r="P2300" s="59"/>
      <c r="Q2300" s="124" t="e">
        <f>P2300*#REF!</f>
        <v>#REF!</v>
      </c>
      <c r="R2300" s="126">
        <v>45876</v>
      </c>
    </row>
    <row r="2301" spans="2:18" ht="17.25" hidden="1" customHeight="1">
      <c r="B2301" s="23">
        <v>45873</v>
      </c>
      <c r="C2301" s="7">
        <v>2003755097</v>
      </c>
      <c r="D2301" s="20">
        <v>240257</v>
      </c>
      <c r="E2301" s="27" t="s">
        <v>622</v>
      </c>
      <c r="F2301" s="7" t="s">
        <v>107</v>
      </c>
      <c r="G2301" s="7" t="s">
        <v>10</v>
      </c>
      <c r="H2301" s="7" t="s">
        <v>45</v>
      </c>
      <c r="I2301" s="20" t="s">
        <v>623</v>
      </c>
      <c r="J2301" s="20" t="s">
        <v>3413</v>
      </c>
      <c r="K2301" s="7" t="s">
        <v>119</v>
      </c>
      <c r="L2301" s="61">
        <v>45876</v>
      </c>
      <c r="M2301" s="7" t="s">
        <v>111</v>
      </c>
      <c r="N2301" s="61">
        <v>45877</v>
      </c>
      <c r="O2301" s="61">
        <v>45877</v>
      </c>
      <c r="P2301" s="59"/>
      <c r="Q2301" s="124" t="e">
        <f>P2301*#REF!</f>
        <v>#REF!</v>
      </c>
      <c r="R2301" s="126">
        <v>45882</v>
      </c>
    </row>
    <row r="2302" spans="2:18" ht="17.25" hidden="1" customHeight="1">
      <c r="B2302" s="23">
        <v>45873</v>
      </c>
      <c r="C2302" s="7">
        <v>2003744607</v>
      </c>
      <c r="D2302" s="20">
        <v>240237</v>
      </c>
      <c r="E2302" s="27" t="s">
        <v>3414</v>
      </c>
      <c r="F2302" s="7" t="s">
        <v>107</v>
      </c>
      <c r="G2302" s="7" t="s">
        <v>18</v>
      </c>
      <c r="H2302" s="7" t="s">
        <v>45</v>
      </c>
      <c r="I2302" s="20" t="s">
        <v>3415</v>
      </c>
      <c r="J2302" s="20" t="s">
        <v>3416</v>
      </c>
      <c r="K2302" s="7" t="s">
        <v>110</v>
      </c>
      <c r="L2302" s="61">
        <v>45880</v>
      </c>
      <c r="M2302" s="7" t="s">
        <v>111</v>
      </c>
      <c r="N2302" s="61">
        <v>45880</v>
      </c>
      <c r="O2302" s="58">
        <v>45882</v>
      </c>
      <c r="P2302" s="59"/>
      <c r="Q2302" s="124" t="e">
        <f>P2302*#REF!</f>
        <v>#REF!</v>
      </c>
      <c r="R2302" s="126">
        <v>45887</v>
      </c>
    </row>
    <row r="2303" spans="2:18" ht="17.25" hidden="1" customHeight="1">
      <c r="B2303" s="23">
        <v>45873</v>
      </c>
      <c r="C2303" s="7">
        <v>2003555547</v>
      </c>
      <c r="D2303" s="20">
        <v>239580</v>
      </c>
      <c r="E2303" s="27" t="s">
        <v>138</v>
      </c>
      <c r="F2303" s="7" t="s">
        <v>107</v>
      </c>
      <c r="G2303" s="7" t="s">
        <v>26</v>
      </c>
      <c r="H2303" s="7" t="s">
        <v>45</v>
      </c>
      <c r="I2303" s="20" t="s">
        <v>3417</v>
      </c>
      <c r="J2303" s="20" t="s">
        <v>2851</v>
      </c>
      <c r="K2303" s="7" t="s">
        <v>119</v>
      </c>
      <c r="L2303" s="61">
        <v>45874</v>
      </c>
      <c r="M2303" s="7" t="s">
        <v>111</v>
      </c>
      <c r="N2303" s="24">
        <v>45876</v>
      </c>
      <c r="O2303" s="58">
        <v>45876</v>
      </c>
      <c r="P2303" s="59"/>
      <c r="Q2303" s="124" t="e">
        <f>P2303*#REF!</f>
        <v>#REF!</v>
      </c>
      <c r="R2303" s="126">
        <v>45876</v>
      </c>
    </row>
    <row r="2304" spans="2:18" ht="17.25" hidden="1" customHeight="1">
      <c r="B2304" s="23">
        <v>45873</v>
      </c>
      <c r="C2304" s="7">
        <v>2003740372</v>
      </c>
      <c r="D2304" s="20">
        <v>239554</v>
      </c>
      <c r="E2304" s="27" t="s">
        <v>152</v>
      </c>
      <c r="F2304" s="7" t="s">
        <v>107</v>
      </c>
      <c r="G2304" s="7" t="s">
        <v>10</v>
      </c>
      <c r="H2304" s="7" t="s">
        <v>45</v>
      </c>
      <c r="I2304" s="20" t="s">
        <v>3418</v>
      </c>
      <c r="J2304" s="20" t="s">
        <v>3396</v>
      </c>
      <c r="K2304" s="7" t="s">
        <v>119</v>
      </c>
      <c r="L2304" s="61">
        <v>45875</v>
      </c>
      <c r="M2304" s="7" t="s">
        <v>111</v>
      </c>
      <c r="N2304" s="24">
        <v>45881</v>
      </c>
      <c r="O2304" s="24">
        <v>45881</v>
      </c>
      <c r="P2304" s="59"/>
      <c r="Q2304" s="124" t="e">
        <f>P2304*#REF!</f>
        <v>#REF!</v>
      </c>
      <c r="R2304" s="126">
        <v>45882</v>
      </c>
    </row>
    <row r="2305" spans="2:18" ht="17.25" hidden="1" customHeight="1">
      <c r="B2305" s="23">
        <v>45873</v>
      </c>
      <c r="C2305" s="7">
        <v>2003749135</v>
      </c>
      <c r="D2305" s="20">
        <v>239273</v>
      </c>
      <c r="E2305" s="27" t="s">
        <v>404</v>
      </c>
      <c r="F2305" s="7" t="s">
        <v>107</v>
      </c>
      <c r="G2305" s="7" t="s">
        <v>10</v>
      </c>
      <c r="H2305" s="7" t="s">
        <v>45</v>
      </c>
      <c r="I2305" s="234" t="s">
        <v>3419</v>
      </c>
      <c r="J2305" s="20" t="s">
        <v>3420</v>
      </c>
      <c r="K2305" s="7" t="s">
        <v>119</v>
      </c>
      <c r="L2305" s="61">
        <v>45875</v>
      </c>
      <c r="M2305" s="7" t="s">
        <v>111</v>
      </c>
      <c r="N2305" s="61">
        <v>45875</v>
      </c>
      <c r="O2305" s="58">
        <v>45876</v>
      </c>
      <c r="P2305" s="59"/>
      <c r="Q2305" s="124" t="e">
        <f>P2305*#REF!</f>
        <v>#REF!</v>
      </c>
      <c r="R2305" s="126">
        <v>45876</v>
      </c>
    </row>
    <row r="2306" spans="2:18" ht="17.25" hidden="1" customHeight="1">
      <c r="B2306" s="23">
        <v>45873</v>
      </c>
      <c r="C2306" s="7">
        <v>2003672416</v>
      </c>
      <c r="D2306" s="20">
        <v>239190</v>
      </c>
      <c r="E2306" s="27" t="s">
        <v>191</v>
      </c>
      <c r="F2306" s="7" t="s">
        <v>107</v>
      </c>
      <c r="G2306" s="7" t="s">
        <v>10</v>
      </c>
      <c r="H2306" s="7" t="s">
        <v>45</v>
      </c>
      <c r="I2306" s="20" t="s">
        <v>2140</v>
      </c>
      <c r="J2306" s="20" t="s">
        <v>3421</v>
      </c>
      <c r="K2306" s="7" t="s">
        <v>110</v>
      </c>
      <c r="L2306" s="61">
        <v>45876</v>
      </c>
      <c r="M2306" s="7" t="s">
        <v>111</v>
      </c>
      <c r="N2306" s="61">
        <v>45876</v>
      </c>
      <c r="O2306" s="58">
        <v>45881</v>
      </c>
      <c r="P2306" s="59"/>
      <c r="Q2306" s="124" t="e">
        <f>P2306*#REF!</f>
        <v>#REF!</v>
      </c>
      <c r="R2306" s="126">
        <v>45882</v>
      </c>
    </row>
    <row r="2307" spans="2:18" ht="17.25" hidden="1" customHeight="1">
      <c r="B2307" s="23">
        <v>45874</v>
      </c>
      <c r="C2307" s="7">
        <v>2003665088</v>
      </c>
      <c r="D2307" s="20">
        <v>6064149</v>
      </c>
      <c r="E2307" s="27" t="s">
        <v>1225</v>
      </c>
      <c r="F2307" s="7" t="s">
        <v>107</v>
      </c>
      <c r="G2307" s="7" t="s">
        <v>10</v>
      </c>
      <c r="H2307" s="7" t="s">
        <v>45</v>
      </c>
      <c r="I2307" s="20" t="s">
        <v>2175</v>
      </c>
      <c r="J2307" s="20" t="s">
        <v>3422</v>
      </c>
      <c r="K2307" s="7" t="s">
        <v>119</v>
      </c>
      <c r="L2307" s="61">
        <v>45877</v>
      </c>
      <c r="M2307" s="7" t="s">
        <v>111</v>
      </c>
      <c r="N2307" s="24">
        <v>45880</v>
      </c>
      <c r="O2307" s="58">
        <v>45882</v>
      </c>
      <c r="P2307" s="59"/>
      <c r="Q2307" s="124" t="e">
        <f>P2307*#REF!</f>
        <v>#REF!</v>
      </c>
      <c r="R2307" s="126">
        <v>45882</v>
      </c>
    </row>
    <row r="2308" spans="2:18" ht="17.25" hidden="1" customHeight="1">
      <c r="B2308" s="23">
        <v>45874</v>
      </c>
      <c r="C2308" s="7">
        <v>2003643391</v>
      </c>
      <c r="D2308" s="20">
        <v>6064258</v>
      </c>
      <c r="E2308" s="27" t="s">
        <v>116</v>
      </c>
      <c r="F2308" s="7" t="s">
        <v>107</v>
      </c>
      <c r="G2308" s="7" t="s">
        <v>18</v>
      </c>
      <c r="H2308" s="7" t="s">
        <v>45</v>
      </c>
      <c r="I2308" s="20" t="s">
        <v>3272</v>
      </c>
      <c r="J2308" s="20" t="s">
        <v>3423</v>
      </c>
      <c r="K2308" s="7" t="s">
        <v>119</v>
      </c>
      <c r="L2308" s="61">
        <v>45876</v>
      </c>
      <c r="M2308" s="7" t="s">
        <v>111</v>
      </c>
      <c r="N2308" s="61">
        <v>45877</v>
      </c>
      <c r="O2308" s="61">
        <v>45877</v>
      </c>
      <c r="P2308" s="59"/>
      <c r="Q2308" s="124" t="e">
        <f>P2308*#REF!</f>
        <v>#REF!</v>
      </c>
      <c r="R2308" s="126">
        <v>45882</v>
      </c>
    </row>
    <row r="2309" spans="2:18" ht="17.25" hidden="1" customHeight="1">
      <c r="B2309" s="23">
        <v>45874</v>
      </c>
      <c r="C2309" s="7">
        <v>2003750178</v>
      </c>
      <c r="D2309" s="20">
        <v>6064322</v>
      </c>
      <c r="E2309" s="27" t="s">
        <v>149</v>
      </c>
      <c r="F2309" s="7" t="s">
        <v>107</v>
      </c>
      <c r="G2309" s="7" t="s">
        <v>18</v>
      </c>
      <c r="H2309" s="7" t="s">
        <v>45</v>
      </c>
      <c r="I2309" s="20" t="s">
        <v>784</v>
      </c>
      <c r="J2309" s="20" t="s">
        <v>3424</v>
      </c>
      <c r="K2309" s="7" t="s">
        <v>110</v>
      </c>
      <c r="L2309" s="61">
        <v>45877</v>
      </c>
      <c r="M2309" s="7" t="s">
        <v>111</v>
      </c>
      <c r="N2309" s="24">
        <v>45880</v>
      </c>
      <c r="O2309" s="58">
        <v>45881</v>
      </c>
      <c r="P2309" s="59"/>
      <c r="Q2309" s="124" t="e">
        <f>P2309*#REF!</f>
        <v>#REF!</v>
      </c>
      <c r="R2309" s="126">
        <v>45882</v>
      </c>
    </row>
    <row r="2310" spans="2:18" ht="17.25" hidden="1" customHeight="1">
      <c r="B2310" s="23">
        <v>45874</v>
      </c>
      <c r="C2310" s="7">
        <v>2003756362</v>
      </c>
      <c r="D2310" s="20">
        <v>6064405</v>
      </c>
      <c r="E2310" s="27" t="s">
        <v>177</v>
      </c>
      <c r="F2310" s="7" t="s">
        <v>107</v>
      </c>
      <c r="G2310" s="7" t="s">
        <v>15</v>
      </c>
      <c r="H2310" s="7" t="s">
        <v>45</v>
      </c>
      <c r="I2310" s="20" t="s">
        <v>3425</v>
      </c>
      <c r="J2310" s="20" t="s">
        <v>3426</v>
      </c>
      <c r="K2310" s="7" t="s">
        <v>110</v>
      </c>
      <c r="L2310" s="61">
        <v>45876</v>
      </c>
      <c r="M2310" s="7" t="s">
        <v>111</v>
      </c>
      <c r="N2310" s="61">
        <v>45876</v>
      </c>
      <c r="O2310" s="58">
        <v>45882</v>
      </c>
      <c r="P2310" s="59"/>
      <c r="Q2310" s="124" t="e">
        <f>P2310*#REF!</f>
        <v>#REF!</v>
      </c>
      <c r="R2310" s="126">
        <v>45887</v>
      </c>
    </row>
    <row r="2311" spans="2:18" ht="17.25" hidden="1" customHeight="1">
      <c r="B2311" s="23">
        <v>45874</v>
      </c>
      <c r="C2311" s="7">
        <v>2003756932</v>
      </c>
      <c r="D2311" s="20">
        <v>242173</v>
      </c>
      <c r="E2311" s="27" t="s">
        <v>185</v>
      </c>
      <c r="F2311" s="7" t="s">
        <v>107</v>
      </c>
      <c r="G2311" s="7" t="s">
        <v>18</v>
      </c>
      <c r="H2311" s="7" t="s">
        <v>45</v>
      </c>
      <c r="I2311" s="235" t="s">
        <v>3427</v>
      </c>
      <c r="J2311" s="20" t="s">
        <v>3428</v>
      </c>
      <c r="K2311" s="7" t="s">
        <v>110</v>
      </c>
      <c r="L2311" s="61">
        <v>45877</v>
      </c>
      <c r="M2311" s="7" t="s">
        <v>111</v>
      </c>
      <c r="N2311" s="24">
        <v>45880</v>
      </c>
      <c r="O2311" s="58">
        <v>45881</v>
      </c>
      <c r="P2311" s="59"/>
      <c r="Q2311" s="124" t="e">
        <f>P2311*#REF!</f>
        <v>#REF!</v>
      </c>
      <c r="R2311" s="126">
        <v>45882</v>
      </c>
    </row>
    <row r="2312" spans="2:18" ht="17.25" hidden="1" customHeight="1">
      <c r="B2312" s="23">
        <v>45874</v>
      </c>
      <c r="C2312" s="7">
        <v>2003755987</v>
      </c>
      <c r="D2312" s="20">
        <v>241889</v>
      </c>
      <c r="E2312" s="27" t="s">
        <v>126</v>
      </c>
      <c r="F2312" s="7" t="s">
        <v>107</v>
      </c>
      <c r="G2312" s="7" t="s">
        <v>10</v>
      </c>
      <c r="H2312" s="7" t="s">
        <v>45</v>
      </c>
      <c r="I2312" s="20" t="s">
        <v>2960</v>
      </c>
      <c r="J2312" s="20" t="s">
        <v>3429</v>
      </c>
      <c r="K2312" s="7" t="s">
        <v>110</v>
      </c>
      <c r="L2312" s="61">
        <v>45876</v>
      </c>
      <c r="M2312" s="7" t="s">
        <v>111</v>
      </c>
      <c r="N2312" s="61">
        <v>45876</v>
      </c>
      <c r="O2312" s="61">
        <v>45887</v>
      </c>
      <c r="P2312" s="59"/>
      <c r="Q2312" s="124" t="e">
        <f>P2312*#REF!</f>
        <v>#REF!</v>
      </c>
      <c r="R2312" s="126">
        <v>45889</v>
      </c>
    </row>
    <row r="2313" spans="2:18" ht="17.25" hidden="1" customHeight="1">
      <c r="B2313" s="23">
        <v>45874</v>
      </c>
      <c r="C2313" s="7">
        <v>2003727398</v>
      </c>
      <c r="D2313" s="20">
        <v>241745</v>
      </c>
      <c r="E2313" s="27" t="s">
        <v>408</v>
      </c>
      <c r="F2313" s="7" t="s">
        <v>107</v>
      </c>
      <c r="G2313" s="7" t="s">
        <v>18</v>
      </c>
      <c r="H2313" s="7" t="s">
        <v>45</v>
      </c>
      <c r="I2313" s="20" t="s">
        <v>1619</v>
      </c>
      <c r="J2313" s="20" t="s">
        <v>3430</v>
      </c>
      <c r="K2313" s="7" t="s">
        <v>110</v>
      </c>
      <c r="L2313" s="61">
        <v>45876</v>
      </c>
      <c r="M2313" s="7" t="s">
        <v>111</v>
      </c>
      <c r="N2313" s="61">
        <v>45876</v>
      </c>
      <c r="O2313" s="58">
        <v>45881</v>
      </c>
      <c r="P2313" s="59"/>
      <c r="Q2313" s="124" t="e">
        <f>P2313*#REF!</f>
        <v>#REF!</v>
      </c>
      <c r="R2313" s="126">
        <v>45882</v>
      </c>
    </row>
    <row r="2314" spans="2:18" ht="17.25" hidden="1" customHeight="1">
      <c r="B2314" s="23">
        <v>45874</v>
      </c>
      <c r="C2314" s="7">
        <v>2003756166</v>
      </c>
      <c r="D2314" s="20">
        <v>241734</v>
      </c>
      <c r="E2314" s="27" t="s">
        <v>1225</v>
      </c>
      <c r="F2314" s="7" t="s">
        <v>107</v>
      </c>
      <c r="G2314" s="7" t="s">
        <v>10</v>
      </c>
      <c r="H2314" s="7" t="s">
        <v>45</v>
      </c>
      <c r="I2314" s="20" t="s">
        <v>358</v>
      </c>
      <c r="J2314" s="20" t="s">
        <v>1170</v>
      </c>
      <c r="K2314" s="7" t="s">
        <v>110</v>
      </c>
      <c r="L2314" s="61">
        <v>45876</v>
      </c>
      <c r="M2314" s="7" t="s">
        <v>111</v>
      </c>
      <c r="N2314" s="61">
        <v>45876</v>
      </c>
      <c r="O2314" s="61">
        <v>45876</v>
      </c>
      <c r="P2314" s="59"/>
      <c r="Q2314" s="124" t="e">
        <f>P2314*#REF!</f>
        <v>#REF!</v>
      </c>
      <c r="R2314" s="126">
        <v>45876</v>
      </c>
    </row>
    <row r="2315" spans="2:18" ht="17.25" hidden="1" customHeight="1">
      <c r="B2315" s="23">
        <v>45874</v>
      </c>
      <c r="C2315" s="7">
        <v>2003752010</v>
      </c>
      <c r="D2315" s="20">
        <v>241570</v>
      </c>
      <c r="E2315" s="27" t="s">
        <v>135</v>
      </c>
      <c r="F2315" s="7" t="s">
        <v>113</v>
      </c>
      <c r="G2315" s="7" t="s">
        <v>70</v>
      </c>
      <c r="H2315" s="7" t="s">
        <v>47</v>
      </c>
      <c r="I2315" s="20" t="s">
        <v>3431</v>
      </c>
      <c r="J2315" s="20" t="s">
        <v>3432</v>
      </c>
      <c r="K2315" s="7" t="s">
        <v>160</v>
      </c>
      <c r="P2315" s="59"/>
      <c r="Q2315" s="124" t="e">
        <f>P2315*#REF!</f>
        <v>#REF!</v>
      </c>
    </row>
    <row r="2316" spans="2:18" ht="17.25" hidden="1" customHeight="1">
      <c r="B2316" s="23">
        <v>45874</v>
      </c>
      <c r="C2316" s="7">
        <v>2003746079</v>
      </c>
      <c r="D2316" s="20">
        <v>240855</v>
      </c>
      <c r="E2316" s="27" t="s">
        <v>129</v>
      </c>
      <c r="F2316" s="7" t="s">
        <v>107</v>
      </c>
      <c r="G2316" s="7" t="s">
        <v>10</v>
      </c>
      <c r="H2316" s="7" t="s">
        <v>45</v>
      </c>
      <c r="I2316" s="20" t="s">
        <v>2997</v>
      </c>
      <c r="J2316" s="20" t="s">
        <v>2998</v>
      </c>
      <c r="K2316" s="7" t="s">
        <v>110</v>
      </c>
      <c r="L2316" s="61">
        <v>45887</v>
      </c>
      <c r="M2316" s="7" t="s">
        <v>111</v>
      </c>
      <c r="N2316" s="61">
        <v>45887</v>
      </c>
      <c r="O2316" s="58">
        <v>45889</v>
      </c>
      <c r="P2316" s="59"/>
      <c r="Q2316" s="124" t="e">
        <f>P2316*#REF!</f>
        <v>#REF!</v>
      </c>
      <c r="R2316" s="126">
        <v>45893</v>
      </c>
    </row>
    <row r="2317" spans="2:18" ht="17.25" hidden="1" customHeight="1">
      <c r="B2317" s="23">
        <v>45875</v>
      </c>
      <c r="C2317" s="7">
        <v>2003730813</v>
      </c>
      <c r="D2317" s="20">
        <v>6064595</v>
      </c>
      <c r="E2317" s="27" t="s">
        <v>180</v>
      </c>
      <c r="F2317" s="7" t="s">
        <v>107</v>
      </c>
      <c r="G2317" s="7" t="s">
        <v>21</v>
      </c>
      <c r="H2317" s="7" t="s">
        <v>45</v>
      </c>
      <c r="I2317" s="20" t="s">
        <v>986</v>
      </c>
      <c r="J2317" s="20" t="s">
        <v>913</v>
      </c>
      <c r="K2317" s="7" t="s">
        <v>111</v>
      </c>
      <c r="L2317" s="61">
        <v>45876</v>
      </c>
      <c r="M2317" s="7" t="s">
        <v>111</v>
      </c>
      <c r="N2317" s="61">
        <v>45876</v>
      </c>
      <c r="O2317" s="61">
        <v>45876</v>
      </c>
      <c r="P2317" s="59"/>
      <c r="Q2317" s="124" t="e">
        <f>P2317*#REF!</f>
        <v>#REF!</v>
      </c>
      <c r="R2317" s="126">
        <v>45876</v>
      </c>
    </row>
    <row r="2318" spans="2:18" ht="17.25" hidden="1" customHeight="1">
      <c r="B2318" s="23">
        <v>45875</v>
      </c>
      <c r="C2318" s="7">
        <v>2003756168</v>
      </c>
      <c r="D2318" s="20">
        <v>6064604</v>
      </c>
      <c r="E2318" s="27" t="s">
        <v>230</v>
      </c>
      <c r="F2318" s="7" t="s">
        <v>107</v>
      </c>
      <c r="G2318" s="7" t="s">
        <v>18</v>
      </c>
      <c r="H2318" s="7" t="s">
        <v>45</v>
      </c>
      <c r="I2318" s="20" t="s">
        <v>3433</v>
      </c>
      <c r="J2318" s="20" t="s">
        <v>3434</v>
      </c>
      <c r="K2318" s="7" t="s">
        <v>119</v>
      </c>
      <c r="L2318" s="61">
        <v>45877</v>
      </c>
      <c r="M2318" s="7" t="s">
        <v>111</v>
      </c>
      <c r="N2318" s="24">
        <v>45880</v>
      </c>
      <c r="O2318" s="24">
        <v>45880</v>
      </c>
      <c r="P2318" s="59"/>
      <c r="Q2318" s="124" t="e">
        <f>P2318*#REF!</f>
        <v>#REF!</v>
      </c>
      <c r="R2318" s="126">
        <v>45882</v>
      </c>
    </row>
    <row r="2319" spans="2:18" ht="17.25" hidden="1" customHeight="1">
      <c r="B2319" s="23">
        <v>45875</v>
      </c>
      <c r="C2319" s="7">
        <v>2003757017</v>
      </c>
      <c r="D2319" s="20">
        <v>6064644</v>
      </c>
      <c r="E2319" s="27" t="s">
        <v>1225</v>
      </c>
      <c r="F2319" s="7" t="s">
        <v>107</v>
      </c>
      <c r="G2319" s="7" t="s">
        <v>10</v>
      </c>
      <c r="H2319" s="7" t="s">
        <v>45</v>
      </c>
      <c r="I2319" s="20" t="s">
        <v>3435</v>
      </c>
      <c r="J2319" s="20" t="s">
        <v>3436</v>
      </c>
      <c r="K2319" s="7" t="s">
        <v>119</v>
      </c>
      <c r="L2319" s="61">
        <v>45877</v>
      </c>
      <c r="M2319" s="7" t="s">
        <v>111</v>
      </c>
      <c r="N2319" s="24">
        <v>45880</v>
      </c>
      <c r="O2319" s="58">
        <v>45881</v>
      </c>
      <c r="P2319" s="59"/>
      <c r="Q2319" s="124" t="e">
        <f>P2319*#REF!</f>
        <v>#REF!</v>
      </c>
      <c r="R2319" s="126">
        <v>45882</v>
      </c>
    </row>
    <row r="2320" spans="2:18" ht="17.25" hidden="1" customHeight="1">
      <c r="B2320" s="23">
        <v>45875</v>
      </c>
      <c r="C2320" s="7">
        <v>2003758133</v>
      </c>
      <c r="D2320" s="20">
        <v>6076719</v>
      </c>
      <c r="E2320" s="27" t="s">
        <v>123</v>
      </c>
      <c r="F2320" s="7" t="s">
        <v>107</v>
      </c>
      <c r="G2320" s="7" t="s">
        <v>10</v>
      </c>
      <c r="H2320" s="7" t="s">
        <v>45</v>
      </c>
      <c r="I2320" s="20" t="s">
        <v>3437</v>
      </c>
      <c r="J2320" s="20" t="s">
        <v>3438</v>
      </c>
      <c r="K2320" s="7" t="s">
        <v>119</v>
      </c>
      <c r="L2320" s="61">
        <v>45877</v>
      </c>
      <c r="M2320" s="7" t="s">
        <v>111</v>
      </c>
      <c r="N2320" s="24">
        <v>45880</v>
      </c>
      <c r="O2320" s="58">
        <v>45881</v>
      </c>
      <c r="P2320" s="59"/>
      <c r="Q2320" s="124" t="e">
        <f>P2320*#REF!</f>
        <v>#REF!</v>
      </c>
      <c r="R2320" s="126">
        <v>45882</v>
      </c>
    </row>
    <row r="2321" spans="2:18" ht="17.25" hidden="1" customHeight="1">
      <c r="B2321" s="23">
        <v>45875</v>
      </c>
      <c r="C2321" s="7">
        <v>2003748869</v>
      </c>
      <c r="D2321" s="20">
        <v>6076825</v>
      </c>
      <c r="E2321" s="27" t="s">
        <v>143</v>
      </c>
      <c r="F2321" s="7" t="s">
        <v>107</v>
      </c>
      <c r="G2321" s="7" t="s">
        <v>18</v>
      </c>
      <c r="H2321" s="7" t="s">
        <v>45</v>
      </c>
      <c r="I2321" s="20" t="s">
        <v>3439</v>
      </c>
      <c r="J2321" s="20" t="s">
        <v>3440</v>
      </c>
      <c r="K2321" s="7" t="s">
        <v>111</v>
      </c>
      <c r="L2321" s="61">
        <v>45876</v>
      </c>
      <c r="M2321" s="7" t="s">
        <v>111</v>
      </c>
      <c r="N2321" s="61">
        <v>45876</v>
      </c>
      <c r="O2321" s="58">
        <v>45889</v>
      </c>
      <c r="P2321" s="59"/>
      <c r="Q2321" s="124" t="e">
        <f>P2321*#REF!</f>
        <v>#REF!</v>
      </c>
      <c r="R2321" s="126">
        <v>45893</v>
      </c>
    </row>
    <row r="2322" spans="2:18" ht="17.25" hidden="1" customHeight="1">
      <c r="B2322" s="23">
        <v>45875</v>
      </c>
      <c r="C2322" s="7">
        <v>2003738184</v>
      </c>
      <c r="D2322" s="20">
        <v>6076838</v>
      </c>
      <c r="E2322" s="27" t="s">
        <v>201</v>
      </c>
      <c r="F2322" s="7" t="s">
        <v>107</v>
      </c>
      <c r="G2322" s="7" t="s">
        <v>18</v>
      </c>
      <c r="H2322" s="7" t="s">
        <v>45</v>
      </c>
      <c r="I2322" s="20" t="s">
        <v>3441</v>
      </c>
      <c r="J2322" s="20" t="s">
        <v>3442</v>
      </c>
      <c r="K2322" s="7" t="s">
        <v>110</v>
      </c>
      <c r="L2322" s="61">
        <v>45880</v>
      </c>
      <c r="M2322" s="7" t="s">
        <v>111</v>
      </c>
      <c r="N2322" s="61">
        <v>45880</v>
      </c>
      <c r="O2322" s="58">
        <v>45882</v>
      </c>
      <c r="P2322" s="59"/>
      <c r="Q2322" s="124" t="e">
        <f>P2322*#REF!</f>
        <v>#REF!</v>
      </c>
      <c r="R2322" s="126">
        <v>45887</v>
      </c>
    </row>
    <row r="2323" spans="2:18" ht="17.25" hidden="1" customHeight="1">
      <c r="B2323" s="23">
        <v>45875</v>
      </c>
      <c r="C2323" s="7">
        <v>2003757423</v>
      </c>
      <c r="D2323" s="20">
        <v>6076921</v>
      </c>
      <c r="E2323" s="27" t="s">
        <v>126</v>
      </c>
      <c r="F2323" s="7" t="s">
        <v>107</v>
      </c>
      <c r="G2323" s="7" t="s">
        <v>10</v>
      </c>
      <c r="H2323" s="7" t="s">
        <v>45</v>
      </c>
      <c r="I2323" s="20" t="s">
        <v>136</v>
      </c>
      <c r="J2323" s="20" t="s">
        <v>3443</v>
      </c>
      <c r="K2323" s="7" t="s">
        <v>110</v>
      </c>
      <c r="L2323" s="61">
        <v>45877</v>
      </c>
      <c r="M2323" s="7" t="s">
        <v>111</v>
      </c>
      <c r="N2323" s="24">
        <v>45880</v>
      </c>
      <c r="O2323" s="24">
        <v>45880</v>
      </c>
      <c r="P2323" s="59"/>
      <c r="Q2323" s="124" t="e">
        <f>P2323*#REF!</f>
        <v>#REF!</v>
      </c>
      <c r="R2323" s="126">
        <v>45882</v>
      </c>
    </row>
    <row r="2324" spans="2:18" ht="17.25" hidden="1" customHeight="1">
      <c r="B2324" s="23">
        <v>45875</v>
      </c>
      <c r="C2324" s="7">
        <v>2003738802</v>
      </c>
      <c r="D2324" s="20">
        <v>6077092</v>
      </c>
      <c r="E2324" s="27" t="s">
        <v>116</v>
      </c>
      <c r="F2324" s="7" t="s">
        <v>107</v>
      </c>
      <c r="G2324" s="7" t="s">
        <v>10</v>
      </c>
      <c r="H2324" s="7" t="s">
        <v>45</v>
      </c>
      <c r="I2324" s="20" t="s">
        <v>3444</v>
      </c>
      <c r="J2324" s="20" t="s">
        <v>3445</v>
      </c>
      <c r="K2324" s="7" t="s">
        <v>119</v>
      </c>
      <c r="L2324" s="61">
        <v>45877</v>
      </c>
      <c r="M2324" s="7" t="s">
        <v>111</v>
      </c>
      <c r="N2324" s="24">
        <v>45880</v>
      </c>
      <c r="O2324" s="58">
        <v>45881</v>
      </c>
      <c r="P2324" s="59"/>
      <c r="Q2324" s="124" t="e">
        <f>P2324*#REF!</f>
        <v>#REF!</v>
      </c>
      <c r="R2324" s="126">
        <v>45882</v>
      </c>
    </row>
    <row r="2325" spans="2:18" ht="17.25" hidden="1" customHeight="1">
      <c r="B2325" s="23">
        <v>45875</v>
      </c>
      <c r="C2325" s="7">
        <v>2003751616</v>
      </c>
      <c r="D2325" s="20">
        <v>6077206</v>
      </c>
      <c r="E2325" s="27" t="s">
        <v>106</v>
      </c>
      <c r="F2325" s="7" t="s">
        <v>107</v>
      </c>
      <c r="G2325" s="7" t="s">
        <v>10</v>
      </c>
      <c r="H2325" s="7" t="s">
        <v>45</v>
      </c>
      <c r="I2325" s="20" t="s">
        <v>897</v>
      </c>
      <c r="J2325" s="20" t="s">
        <v>3446</v>
      </c>
      <c r="K2325" s="7" t="s">
        <v>119</v>
      </c>
      <c r="L2325" s="61">
        <v>45877</v>
      </c>
      <c r="M2325" s="7" t="s">
        <v>111</v>
      </c>
      <c r="N2325" s="24">
        <v>45880</v>
      </c>
      <c r="O2325" s="24">
        <v>45880</v>
      </c>
      <c r="P2325" s="59"/>
      <c r="Q2325" s="124" t="e">
        <f>P2325*#REF!</f>
        <v>#REF!</v>
      </c>
      <c r="R2325" s="126">
        <v>45882</v>
      </c>
    </row>
    <row r="2326" spans="2:18" ht="17.25" hidden="1" customHeight="1">
      <c r="B2326" s="23">
        <v>45875</v>
      </c>
      <c r="C2326" s="7">
        <v>2003752485</v>
      </c>
      <c r="D2326" s="20">
        <v>243443</v>
      </c>
      <c r="E2326" s="27" t="s">
        <v>408</v>
      </c>
      <c r="F2326" s="7" t="s">
        <v>107</v>
      </c>
      <c r="G2326" s="7" t="s">
        <v>10</v>
      </c>
      <c r="H2326" s="7" t="s">
        <v>45</v>
      </c>
      <c r="I2326" s="20" t="s">
        <v>304</v>
      </c>
      <c r="J2326" s="20" t="s">
        <v>3447</v>
      </c>
      <c r="K2326" s="7" t="s">
        <v>119</v>
      </c>
      <c r="L2326" s="61">
        <v>45881</v>
      </c>
      <c r="M2326" s="7" t="s">
        <v>111</v>
      </c>
      <c r="N2326" s="61">
        <v>45881</v>
      </c>
      <c r="O2326" s="61">
        <v>45881</v>
      </c>
      <c r="P2326" s="59"/>
      <c r="Q2326" s="124" t="e">
        <f>P2326*#REF!</f>
        <v>#REF!</v>
      </c>
      <c r="R2326" s="126">
        <v>45882</v>
      </c>
    </row>
    <row r="2327" spans="2:18" ht="17.25" hidden="1" customHeight="1">
      <c r="B2327" s="23">
        <v>45875</v>
      </c>
      <c r="C2327" s="7">
        <v>2003667858</v>
      </c>
      <c r="D2327" s="20">
        <v>243415</v>
      </c>
      <c r="E2327" s="27" t="s">
        <v>185</v>
      </c>
      <c r="F2327" s="7" t="s">
        <v>107</v>
      </c>
      <c r="G2327" s="7" t="s">
        <v>10</v>
      </c>
      <c r="H2327" s="7" t="s">
        <v>45</v>
      </c>
      <c r="I2327" s="20" t="s">
        <v>3448</v>
      </c>
      <c r="J2327" s="20" t="s">
        <v>3449</v>
      </c>
      <c r="K2327" s="7" t="s">
        <v>110</v>
      </c>
      <c r="L2327" s="61">
        <v>45877</v>
      </c>
      <c r="M2327" s="7" t="s">
        <v>111</v>
      </c>
      <c r="N2327" s="24">
        <v>45880</v>
      </c>
      <c r="O2327" s="58">
        <v>45881</v>
      </c>
      <c r="P2327" s="59"/>
      <c r="Q2327" s="124" t="e">
        <f>P2327*#REF!</f>
        <v>#REF!</v>
      </c>
      <c r="R2327" s="126">
        <v>45882</v>
      </c>
    </row>
    <row r="2328" spans="2:18" ht="17.25" hidden="1" customHeight="1">
      <c r="B2328" s="23">
        <v>45875</v>
      </c>
      <c r="C2328" s="7">
        <v>2003680893</v>
      </c>
      <c r="D2328" s="20">
        <v>242869</v>
      </c>
      <c r="E2328" s="27" t="s">
        <v>123</v>
      </c>
      <c r="F2328" s="7" t="s">
        <v>107</v>
      </c>
      <c r="G2328" s="7" t="s">
        <v>21</v>
      </c>
      <c r="H2328" s="7" t="s">
        <v>45</v>
      </c>
      <c r="I2328" s="20" t="s">
        <v>3450</v>
      </c>
      <c r="J2328" s="20" t="s">
        <v>2793</v>
      </c>
      <c r="K2328" s="7" t="s">
        <v>119</v>
      </c>
      <c r="L2328" s="61">
        <v>45876</v>
      </c>
      <c r="M2328" s="7" t="s">
        <v>111</v>
      </c>
      <c r="N2328" s="61">
        <v>45877</v>
      </c>
      <c r="O2328" s="58">
        <v>45881</v>
      </c>
      <c r="P2328" s="59"/>
      <c r="Q2328" s="124" t="e">
        <f>P2328*#REF!</f>
        <v>#REF!</v>
      </c>
      <c r="R2328" s="126">
        <v>45882</v>
      </c>
    </row>
    <row r="2329" spans="2:18" ht="17.25" hidden="1" customHeight="1">
      <c r="B2329" s="23">
        <v>45875</v>
      </c>
      <c r="C2329" s="7">
        <v>2003757395</v>
      </c>
      <c r="D2329" s="20">
        <v>242931</v>
      </c>
      <c r="E2329" s="27" t="s">
        <v>408</v>
      </c>
      <c r="F2329" s="7" t="s">
        <v>107</v>
      </c>
      <c r="G2329" s="7" t="s">
        <v>18</v>
      </c>
      <c r="H2329" s="7" t="s">
        <v>45</v>
      </c>
      <c r="I2329" s="20" t="s">
        <v>514</v>
      </c>
      <c r="J2329" s="20" t="s">
        <v>3451</v>
      </c>
      <c r="K2329" s="7" t="s">
        <v>119</v>
      </c>
      <c r="L2329" s="61">
        <v>45877</v>
      </c>
      <c r="M2329" s="7" t="s">
        <v>111</v>
      </c>
      <c r="N2329" s="24">
        <v>45880</v>
      </c>
      <c r="O2329" s="61">
        <v>45887</v>
      </c>
      <c r="P2329" s="59"/>
      <c r="Q2329" s="124" t="e">
        <f>P2329*#REF!</f>
        <v>#REF!</v>
      </c>
      <c r="R2329" s="126">
        <v>45889</v>
      </c>
    </row>
    <row r="2330" spans="2:18" ht="17.25" hidden="1" customHeight="1">
      <c r="B2330" s="23">
        <v>45875</v>
      </c>
      <c r="C2330" s="7">
        <v>2003659603</v>
      </c>
      <c r="D2330" s="20">
        <v>242907</v>
      </c>
      <c r="E2330" s="27" t="s">
        <v>408</v>
      </c>
      <c r="F2330" s="7" t="s">
        <v>107</v>
      </c>
      <c r="G2330" s="7" t="s">
        <v>21</v>
      </c>
      <c r="H2330" s="7" t="s">
        <v>45</v>
      </c>
      <c r="I2330" s="20" t="s">
        <v>385</v>
      </c>
      <c r="J2330" s="20" t="s">
        <v>3126</v>
      </c>
      <c r="K2330" s="7" t="s">
        <v>119</v>
      </c>
      <c r="L2330" s="61">
        <v>45876</v>
      </c>
      <c r="M2330" s="7" t="s">
        <v>111</v>
      </c>
      <c r="N2330" s="61">
        <v>45877</v>
      </c>
      <c r="O2330" s="61">
        <v>45877</v>
      </c>
      <c r="P2330" s="59"/>
      <c r="Q2330" s="124" t="e">
        <f>P2330*#REF!</f>
        <v>#REF!</v>
      </c>
      <c r="R2330" s="126">
        <v>45882</v>
      </c>
    </row>
    <row r="2331" spans="2:18" ht="17.25" hidden="1" customHeight="1">
      <c r="B2331" s="23">
        <v>45875</v>
      </c>
      <c r="C2331" s="7">
        <v>2003752684</v>
      </c>
      <c r="D2331" s="20">
        <v>242729</v>
      </c>
      <c r="E2331" s="27" t="s">
        <v>129</v>
      </c>
      <c r="F2331" s="7" t="s">
        <v>113</v>
      </c>
      <c r="G2331" s="7" t="s">
        <v>70</v>
      </c>
      <c r="H2331" s="7" t="s">
        <v>47</v>
      </c>
      <c r="I2331" s="20" t="s">
        <v>3452</v>
      </c>
      <c r="J2331" s="20" t="s">
        <v>3453</v>
      </c>
      <c r="K2331" s="7" t="s">
        <v>160</v>
      </c>
      <c r="P2331" s="59"/>
      <c r="Q2331" s="124" t="e">
        <f>P2331*#REF!</f>
        <v>#REF!</v>
      </c>
    </row>
    <row r="2332" spans="2:18" ht="17.25" hidden="1" customHeight="1">
      <c r="B2332" s="23">
        <v>45875</v>
      </c>
      <c r="C2332" s="7">
        <v>2003757272</v>
      </c>
      <c r="D2332" s="20">
        <v>242713</v>
      </c>
      <c r="E2332" s="27" t="s">
        <v>129</v>
      </c>
      <c r="F2332" s="7" t="s">
        <v>107</v>
      </c>
      <c r="G2332" s="7" t="s">
        <v>10</v>
      </c>
      <c r="H2332" s="7" t="s">
        <v>45</v>
      </c>
      <c r="I2332" s="20" t="s">
        <v>3454</v>
      </c>
      <c r="J2332" s="20" t="s">
        <v>3455</v>
      </c>
      <c r="K2332" s="7" t="s">
        <v>110</v>
      </c>
      <c r="L2332" s="61">
        <v>45888</v>
      </c>
      <c r="M2332" s="7" t="s">
        <v>111</v>
      </c>
      <c r="N2332" s="61">
        <v>45888</v>
      </c>
      <c r="O2332" s="61">
        <v>45888</v>
      </c>
      <c r="P2332" s="59"/>
      <c r="Q2332" s="124" t="e">
        <f>P2332*#REF!</f>
        <v>#REF!</v>
      </c>
      <c r="R2332" s="126">
        <v>45889</v>
      </c>
    </row>
    <row r="2333" spans="2:18" ht="17.25" hidden="1" customHeight="1">
      <c r="B2333" s="23">
        <v>45875</v>
      </c>
      <c r="C2333" s="7">
        <v>2003756182</v>
      </c>
      <c r="D2333" s="20">
        <v>242470</v>
      </c>
      <c r="E2333" s="27" t="s">
        <v>566</v>
      </c>
      <c r="F2333" s="7" t="s">
        <v>107</v>
      </c>
      <c r="G2333" s="7" t="s">
        <v>18</v>
      </c>
      <c r="H2333" s="7" t="s">
        <v>45</v>
      </c>
      <c r="I2333" s="20" t="s">
        <v>3456</v>
      </c>
      <c r="J2333" s="20" t="s">
        <v>3434</v>
      </c>
      <c r="K2333" s="7" t="s">
        <v>119</v>
      </c>
      <c r="L2333" s="61">
        <v>45877</v>
      </c>
      <c r="M2333" s="7" t="s">
        <v>111</v>
      </c>
      <c r="N2333" s="24">
        <v>45880</v>
      </c>
      <c r="O2333" s="24">
        <v>45880</v>
      </c>
      <c r="P2333" s="59"/>
      <c r="Q2333" s="124" t="e">
        <f>P2333*#REF!</f>
        <v>#REF!</v>
      </c>
      <c r="R2333" s="126">
        <v>45882</v>
      </c>
    </row>
    <row r="2334" spans="2:18" ht="17.25" hidden="1" customHeight="1">
      <c r="B2334" s="23">
        <v>45876</v>
      </c>
      <c r="C2334" s="7">
        <v>2003752302</v>
      </c>
      <c r="D2334" s="20">
        <v>6089304</v>
      </c>
      <c r="E2334" s="27" t="s">
        <v>191</v>
      </c>
      <c r="F2334" s="7" t="s">
        <v>107</v>
      </c>
      <c r="G2334" s="7" t="s">
        <v>18</v>
      </c>
      <c r="H2334" s="7" t="s">
        <v>45</v>
      </c>
      <c r="I2334" s="20" t="s">
        <v>3457</v>
      </c>
      <c r="J2334" s="20" t="s">
        <v>3458</v>
      </c>
      <c r="K2334" s="7" t="s">
        <v>119</v>
      </c>
      <c r="L2334" s="61">
        <v>45880</v>
      </c>
      <c r="M2334" s="7" t="s">
        <v>111</v>
      </c>
      <c r="N2334" s="61">
        <v>45881</v>
      </c>
      <c r="O2334" s="58">
        <v>45882</v>
      </c>
      <c r="P2334" s="59"/>
      <c r="Q2334" s="124" t="e">
        <f>P2334*#REF!</f>
        <v>#REF!</v>
      </c>
      <c r="R2334" s="126">
        <v>45887</v>
      </c>
    </row>
    <row r="2335" spans="2:18" ht="17.25" hidden="1" customHeight="1">
      <c r="B2335" s="23">
        <v>45876</v>
      </c>
      <c r="C2335" s="7">
        <v>2003664900</v>
      </c>
      <c r="D2335" s="20">
        <v>6101503</v>
      </c>
      <c r="E2335" s="27" t="s">
        <v>408</v>
      </c>
      <c r="F2335" s="7" t="s">
        <v>107</v>
      </c>
      <c r="G2335" s="7" t="s">
        <v>21</v>
      </c>
      <c r="H2335" s="7" t="s">
        <v>45</v>
      </c>
      <c r="I2335" s="20" t="s">
        <v>1294</v>
      </c>
      <c r="J2335" s="20" t="s">
        <v>2079</v>
      </c>
      <c r="K2335" s="7" t="s">
        <v>110</v>
      </c>
      <c r="L2335" s="61">
        <v>45877</v>
      </c>
      <c r="M2335" s="7" t="s">
        <v>111</v>
      </c>
      <c r="N2335" s="24">
        <v>45880</v>
      </c>
      <c r="O2335" s="24">
        <v>45880</v>
      </c>
      <c r="P2335" s="59"/>
      <c r="Q2335" s="124" t="e">
        <f>P2335*#REF!</f>
        <v>#REF!</v>
      </c>
      <c r="R2335" s="126">
        <v>45882</v>
      </c>
    </row>
    <row r="2336" spans="2:18" ht="17.25" hidden="1" customHeight="1">
      <c r="B2336" s="23">
        <v>45876</v>
      </c>
      <c r="C2336" s="7">
        <v>2003742537</v>
      </c>
      <c r="D2336" s="20">
        <v>6101514</v>
      </c>
      <c r="E2336" s="27" t="s">
        <v>1225</v>
      </c>
      <c r="F2336" s="7" t="s">
        <v>107</v>
      </c>
      <c r="G2336" s="7" t="s">
        <v>10</v>
      </c>
      <c r="H2336" s="7" t="s">
        <v>45</v>
      </c>
      <c r="I2336" s="20" t="s">
        <v>3459</v>
      </c>
      <c r="J2336" s="20" t="s">
        <v>2199</v>
      </c>
      <c r="K2336" s="7" t="s">
        <v>119</v>
      </c>
      <c r="L2336" s="61">
        <v>45881</v>
      </c>
      <c r="M2336" s="7" t="s">
        <v>111</v>
      </c>
      <c r="N2336" s="24">
        <v>45890</v>
      </c>
      <c r="O2336" s="24">
        <v>45890</v>
      </c>
      <c r="P2336" s="59"/>
      <c r="Q2336" s="124" t="e">
        <f>P2336*#REF!</f>
        <v>#REF!</v>
      </c>
      <c r="R2336" s="126">
        <v>45893</v>
      </c>
    </row>
    <row r="2337" spans="2:18" ht="17.25" hidden="1" customHeight="1">
      <c r="B2337" s="23">
        <v>45876</v>
      </c>
      <c r="C2337" s="7">
        <v>2003619236</v>
      </c>
      <c r="D2337" s="20">
        <v>6101548</v>
      </c>
      <c r="E2337" s="27" t="s">
        <v>191</v>
      </c>
      <c r="F2337" s="7" t="s">
        <v>107</v>
      </c>
      <c r="G2337" s="7" t="s">
        <v>18</v>
      </c>
      <c r="H2337" s="7" t="s">
        <v>45</v>
      </c>
      <c r="I2337" s="20" t="s">
        <v>3460</v>
      </c>
      <c r="J2337" s="20" t="s">
        <v>3461</v>
      </c>
      <c r="K2337" s="7" t="s">
        <v>110</v>
      </c>
      <c r="L2337" s="61">
        <v>45882</v>
      </c>
      <c r="M2337" s="7" t="s">
        <v>111</v>
      </c>
      <c r="N2337" s="61">
        <v>45882</v>
      </c>
      <c r="O2337" s="61">
        <v>45882</v>
      </c>
      <c r="P2337" s="59"/>
      <c r="Q2337" s="124" t="e">
        <f>P2337*#REF!</f>
        <v>#REF!</v>
      </c>
      <c r="R2337" s="126">
        <v>45887</v>
      </c>
    </row>
    <row r="2338" spans="2:18" ht="17.25" hidden="1" customHeight="1">
      <c r="B2338" s="23">
        <v>45876</v>
      </c>
      <c r="C2338" s="7">
        <v>2003749451</v>
      </c>
      <c r="D2338" s="20">
        <v>6101568</v>
      </c>
      <c r="E2338" s="27" t="s">
        <v>1225</v>
      </c>
      <c r="F2338" s="7" t="s">
        <v>107</v>
      </c>
      <c r="G2338" s="7" t="s">
        <v>10</v>
      </c>
      <c r="H2338" s="7" t="s">
        <v>45</v>
      </c>
      <c r="I2338" s="20" t="s">
        <v>3462</v>
      </c>
      <c r="J2338" s="20" t="s">
        <v>3463</v>
      </c>
      <c r="K2338" s="7" t="s">
        <v>119</v>
      </c>
      <c r="L2338" s="61">
        <v>45882</v>
      </c>
      <c r="M2338" s="7" t="s">
        <v>111</v>
      </c>
      <c r="N2338" s="24">
        <v>45890</v>
      </c>
      <c r="O2338" s="24">
        <v>45890</v>
      </c>
      <c r="P2338" s="59"/>
      <c r="Q2338" s="124" t="e">
        <f>P2338*#REF!</f>
        <v>#REF!</v>
      </c>
      <c r="R2338" s="126">
        <v>45893</v>
      </c>
    </row>
    <row r="2339" spans="2:18" ht="17.25" hidden="1" customHeight="1">
      <c r="B2339" s="23">
        <v>45876</v>
      </c>
      <c r="C2339" s="7">
        <v>2003748321</v>
      </c>
      <c r="D2339" s="20">
        <v>244677</v>
      </c>
      <c r="E2339" s="27" t="s">
        <v>143</v>
      </c>
      <c r="F2339" s="7" t="s">
        <v>113</v>
      </c>
      <c r="G2339" s="7" t="s">
        <v>70</v>
      </c>
      <c r="H2339" s="7" t="s">
        <v>47</v>
      </c>
      <c r="I2339" s="20" t="s">
        <v>3464</v>
      </c>
      <c r="J2339" s="20" t="s">
        <v>3465</v>
      </c>
      <c r="K2339" s="7" t="s">
        <v>160</v>
      </c>
      <c r="P2339" s="59"/>
      <c r="Q2339" s="124" t="e">
        <f>P2339*#REF!</f>
        <v>#REF!</v>
      </c>
      <c r="R2339" s="126">
        <v>45897</v>
      </c>
    </row>
    <row r="2340" spans="2:18" ht="17.25" hidden="1" customHeight="1">
      <c r="B2340" s="23">
        <v>45876</v>
      </c>
      <c r="C2340" s="7">
        <v>2003711518</v>
      </c>
      <c r="D2340" s="20">
        <v>244651</v>
      </c>
      <c r="E2340" s="27" t="s">
        <v>152</v>
      </c>
      <c r="F2340" s="7" t="s">
        <v>107</v>
      </c>
      <c r="G2340" s="7" t="s">
        <v>166</v>
      </c>
      <c r="H2340" s="7" t="s">
        <v>45</v>
      </c>
      <c r="I2340" s="20" t="s">
        <v>2838</v>
      </c>
      <c r="J2340" s="20" t="s">
        <v>2839</v>
      </c>
      <c r="K2340" s="7" t="s">
        <v>119</v>
      </c>
      <c r="L2340" s="61">
        <v>45877</v>
      </c>
      <c r="M2340" s="7" t="s">
        <v>111</v>
      </c>
      <c r="N2340" s="24">
        <v>45880</v>
      </c>
      <c r="O2340" s="58">
        <v>45880</v>
      </c>
      <c r="P2340" s="59"/>
      <c r="Q2340" s="124" t="e">
        <f>P2340*#REF!</f>
        <v>#REF!</v>
      </c>
      <c r="R2340" s="126">
        <v>45882</v>
      </c>
    </row>
    <row r="2341" spans="2:18" ht="17.25" hidden="1" customHeight="1">
      <c r="B2341" s="23">
        <v>45876</v>
      </c>
      <c r="C2341" s="7">
        <v>2003749299</v>
      </c>
      <c r="D2341" s="20">
        <v>244595</v>
      </c>
      <c r="E2341" s="27" t="s">
        <v>198</v>
      </c>
      <c r="F2341" s="7" t="s">
        <v>107</v>
      </c>
      <c r="G2341" s="7" t="s">
        <v>10</v>
      </c>
      <c r="H2341" s="7" t="s">
        <v>45</v>
      </c>
      <c r="I2341" s="20" t="s">
        <v>3466</v>
      </c>
      <c r="J2341" s="20" t="s">
        <v>3467</v>
      </c>
      <c r="K2341" s="7" t="s">
        <v>119</v>
      </c>
      <c r="L2341" s="61">
        <v>45877</v>
      </c>
      <c r="M2341" s="7" t="s">
        <v>111</v>
      </c>
      <c r="N2341" s="24">
        <v>45880</v>
      </c>
      <c r="O2341" s="58">
        <v>45881</v>
      </c>
      <c r="P2341" s="59"/>
      <c r="Q2341" s="124" t="e">
        <f>P2341*#REF!</f>
        <v>#REF!</v>
      </c>
      <c r="R2341" s="126">
        <v>45882</v>
      </c>
    </row>
    <row r="2342" spans="2:18" ht="17.25" hidden="1" customHeight="1">
      <c r="B2342" s="23">
        <v>45876</v>
      </c>
      <c r="C2342" s="7">
        <v>2003759150</v>
      </c>
      <c r="D2342" s="20">
        <v>244471</v>
      </c>
      <c r="E2342" s="27" t="s">
        <v>180</v>
      </c>
      <c r="F2342" s="7" t="s">
        <v>113</v>
      </c>
      <c r="G2342" s="7" t="s">
        <v>70</v>
      </c>
      <c r="H2342" s="7" t="s">
        <v>47</v>
      </c>
      <c r="I2342" s="20" t="s">
        <v>3468</v>
      </c>
      <c r="J2342" s="20" t="s">
        <v>3469</v>
      </c>
      <c r="K2342" s="7" t="s">
        <v>160</v>
      </c>
      <c r="P2342" s="59"/>
      <c r="Q2342" s="124" t="e">
        <f>P2342*#REF!</f>
        <v>#REF!</v>
      </c>
      <c r="R2342" s="126">
        <v>45898</v>
      </c>
    </row>
    <row r="2343" spans="2:18" ht="17.25" hidden="1" customHeight="1">
      <c r="B2343" s="23">
        <v>45876</v>
      </c>
      <c r="C2343" s="7">
        <v>2003742601</v>
      </c>
      <c r="D2343" s="20">
        <v>244442</v>
      </c>
      <c r="E2343" s="27" t="s">
        <v>129</v>
      </c>
      <c r="F2343" s="7" t="s">
        <v>113</v>
      </c>
      <c r="G2343" s="7" t="s">
        <v>70</v>
      </c>
      <c r="H2343" s="7" t="s">
        <v>47</v>
      </c>
      <c r="I2343" s="20" t="s">
        <v>973</v>
      </c>
      <c r="J2343" s="20" t="s">
        <v>3470</v>
      </c>
      <c r="K2343" s="7" t="s">
        <v>160</v>
      </c>
      <c r="P2343" s="59"/>
      <c r="Q2343" s="124" t="e">
        <f>P2343*#REF!</f>
        <v>#REF!</v>
      </c>
      <c r="R2343" s="126">
        <v>45898</v>
      </c>
    </row>
    <row r="2344" spans="2:18" ht="17.25" hidden="1" customHeight="1">
      <c r="B2344" s="23">
        <v>45877</v>
      </c>
      <c r="C2344" s="7">
        <v>2003759677</v>
      </c>
      <c r="D2344" s="20">
        <v>6101806</v>
      </c>
      <c r="E2344" s="27" t="s">
        <v>191</v>
      </c>
      <c r="F2344" s="7" t="s">
        <v>107</v>
      </c>
      <c r="G2344" s="7" t="s">
        <v>10</v>
      </c>
      <c r="H2344" s="7" t="s">
        <v>45</v>
      </c>
      <c r="I2344" s="20" t="s">
        <v>3471</v>
      </c>
      <c r="J2344" s="20" t="s">
        <v>3472</v>
      </c>
      <c r="K2344" s="7" t="s">
        <v>119</v>
      </c>
      <c r="L2344" s="61">
        <v>45882</v>
      </c>
      <c r="M2344" s="7" t="s">
        <v>111</v>
      </c>
      <c r="N2344" s="61">
        <v>45887</v>
      </c>
      <c r="O2344" s="58">
        <v>45889</v>
      </c>
      <c r="P2344" s="59"/>
      <c r="Q2344" s="124" t="e">
        <f>P2344*#REF!</f>
        <v>#REF!</v>
      </c>
      <c r="R2344" s="126">
        <v>45893</v>
      </c>
    </row>
    <row r="2345" spans="2:18" ht="17.25" hidden="1" customHeight="1">
      <c r="B2345" s="23">
        <v>45877</v>
      </c>
      <c r="C2345" s="7">
        <v>2003712681</v>
      </c>
      <c r="D2345" s="20">
        <v>6101870</v>
      </c>
      <c r="E2345" s="27" t="s">
        <v>622</v>
      </c>
      <c r="F2345" s="7" t="s">
        <v>107</v>
      </c>
      <c r="G2345" s="7" t="s">
        <v>10</v>
      </c>
      <c r="H2345" s="7" t="s">
        <v>45</v>
      </c>
      <c r="I2345" s="20" t="s">
        <v>3473</v>
      </c>
      <c r="J2345" s="20" t="s">
        <v>2948</v>
      </c>
      <c r="K2345" s="7" t="s">
        <v>119</v>
      </c>
      <c r="L2345" s="61">
        <v>45889</v>
      </c>
      <c r="M2345" s="7" t="s">
        <v>111</v>
      </c>
      <c r="N2345" s="61">
        <v>45890</v>
      </c>
      <c r="O2345" s="61">
        <v>45890</v>
      </c>
      <c r="P2345" s="59"/>
      <c r="Q2345" s="124" t="e">
        <f>P2345*#REF!</f>
        <v>#REF!</v>
      </c>
      <c r="R2345" s="126">
        <v>45893</v>
      </c>
    </row>
    <row r="2346" spans="2:18" ht="17.25" hidden="1" customHeight="1">
      <c r="B2346" s="23">
        <v>45877</v>
      </c>
      <c r="C2346" s="7">
        <v>2003755852</v>
      </c>
      <c r="D2346" s="20">
        <v>6102041</v>
      </c>
      <c r="E2346" s="27" t="s">
        <v>191</v>
      </c>
      <c r="F2346" s="7" t="s">
        <v>107</v>
      </c>
      <c r="G2346" s="7" t="s">
        <v>10</v>
      </c>
      <c r="H2346" s="7" t="s">
        <v>45</v>
      </c>
      <c r="I2346" s="20" t="s">
        <v>3474</v>
      </c>
      <c r="J2346" s="20" t="s">
        <v>3475</v>
      </c>
      <c r="K2346" s="7" t="s">
        <v>119</v>
      </c>
      <c r="L2346" s="61">
        <v>45882</v>
      </c>
      <c r="M2346" s="7" t="s">
        <v>111</v>
      </c>
      <c r="N2346" s="61">
        <v>45882</v>
      </c>
      <c r="O2346" s="61">
        <v>45882</v>
      </c>
      <c r="P2346" s="59"/>
      <c r="Q2346" s="124" t="e">
        <f>P2346*#REF!</f>
        <v>#REF!</v>
      </c>
      <c r="R2346" s="126">
        <v>45887</v>
      </c>
    </row>
    <row r="2347" spans="2:18" ht="17.25" hidden="1" customHeight="1">
      <c r="B2347" s="23">
        <v>45877</v>
      </c>
      <c r="C2347" s="7">
        <v>2003759745</v>
      </c>
      <c r="D2347" s="20">
        <v>6102114</v>
      </c>
      <c r="E2347" s="27" t="s">
        <v>1225</v>
      </c>
      <c r="F2347" s="7" t="s">
        <v>107</v>
      </c>
      <c r="G2347" s="7" t="s">
        <v>10</v>
      </c>
      <c r="H2347" s="7" t="s">
        <v>45</v>
      </c>
      <c r="I2347" s="20" t="s">
        <v>3476</v>
      </c>
      <c r="J2347" s="20" t="s">
        <v>3477</v>
      </c>
      <c r="K2347" s="7" t="s">
        <v>119</v>
      </c>
      <c r="L2347" s="61">
        <v>45890</v>
      </c>
      <c r="M2347" s="7" t="s">
        <v>111</v>
      </c>
      <c r="N2347" s="24">
        <v>45895</v>
      </c>
      <c r="O2347" s="24">
        <v>45895</v>
      </c>
      <c r="P2347" s="59"/>
      <c r="Q2347" s="124" t="e">
        <f>P2347*#REF!</f>
        <v>#REF!</v>
      </c>
      <c r="R2347" s="126">
        <v>45897</v>
      </c>
    </row>
    <row r="2348" spans="2:18" ht="17.25" hidden="1" customHeight="1">
      <c r="B2348" s="23">
        <v>45877</v>
      </c>
      <c r="C2348" s="7">
        <v>2003558685</v>
      </c>
      <c r="D2348" s="20">
        <v>6102204</v>
      </c>
      <c r="E2348" s="27" t="s">
        <v>180</v>
      </c>
      <c r="F2348" s="7" t="s">
        <v>107</v>
      </c>
      <c r="G2348" s="7" t="s">
        <v>10</v>
      </c>
      <c r="H2348" s="7" t="s">
        <v>45</v>
      </c>
      <c r="I2348" s="20" t="s">
        <v>3478</v>
      </c>
      <c r="J2348" s="20" t="s">
        <v>3479</v>
      </c>
      <c r="K2348" s="7" t="s">
        <v>110</v>
      </c>
      <c r="L2348" s="61">
        <v>45891</v>
      </c>
      <c r="M2348" s="7" t="s">
        <v>111</v>
      </c>
      <c r="N2348" s="61">
        <v>45891</v>
      </c>
      <c r="O2348" s="58">
        <v>45894</v>
      </c>
      <c r="P2348" s="59"/>
      <c r="Q2348" s="124" t="e">
        <f>P2348*#REF!</f>
        <v>#REF!</v>
      </c>
      <c r="R2348" s="126">
        <v>45897</v>
      </c>
    </row>
    <row r="2349" spans="2:18" ht="17.25" hidden="1" customHeight="1">
      <c r="B2349" s="23">
        <v>45877</v>
      </c>
      <c r="C2349" s="7">
        <v>2003744027</v>
      </c>
      <c r="D2349" s="20">
        <v>6102249</v>
      </c>
      <c r="E2349" s="27" t="s">
        <v>366</v>
      </c>
      <c r="F2349" s="7" t="s">
        <v>107</v>
      </c>
      <c r="G2349" s="7" t="s">
        <v>15</v>
      </c>
      <c r="H2349" s="7" t="s">
        <v>45</v>
      </c>
      <c r="I2349" s="20" t="s">
        <v>3480</v>
      </c>
      <c r="J2349" s="20" t="s">
        <v>3481</v>
      </c>
      <c r="K2349" s="7" t="s">
        <v>119</v>
      </c>
      <c r="L2349" s="61">
        <v>45890</v>
      </c>
      <c r="M2349" s="7" t="s">
        <v>111</v>
      </c>
      <c r="N2349" s="61">
        <v>45891</v>
      </c>
      <c r="O2349" s="61">
        <v>45891</v>
      </c>
      <c r="P2349" s="59"/>
      <c r="Q2349" s="124" t="e">
        <f>P2349*#REF!</f>
        <v>#REF!</v>
      </c>
      <c r="R2349" s="126">
        <v>45893</v>
      </c>
    </row>
    <row r="2350" spans="2:18" ht="17.25" hidden="1" customHeight="1">
      <c r="B2350" s="23">
        <v>45877</v>
      </c>
      <c r="C2350" s="7">
        <v>2003758445</v>
      </c>
      <c r="D2350" s="20">
        <v>246034</v>
      </c>
      <c r="E2350" s="27" t="s">
        <v>129</v>
      </c>
      <c r="F2350" s="7" t="s">
        <v>113</v>
      </c>
      <c r="G2350" s="7" t="s">
        <v>70</v>
      </c>
      <c r="H2350" s="7" t="s">
        <v>47</v>
      </c>
      <c r="I2350" s="20" t="s">
        <v>3482</v>
      </c>
      <c r="J2350" s="20" t="s">
        <v>3483</v>
      </c>
      <c r="K2350" s="7" t="s">
        <v>160</v>
      </c>
      <c r="P2350" s="59"/>
      <c r="Q2350" s="124" t="e">
        <f>P2350*#REF!</f>
        <v>#REF!</v>
      </c>
      <c r="R2350" s="126">
        <v>45910</v>
      </c>
    </row>
    <row r="2351" spans="2:18" ht="17.25" hidden="1" customHeight="1">
      <c r="B2351" s="23">
        <v>45877</v>
      </c>
      <c r="C2351" s="7">
        <v>2003741083</v>
      </c>
      <c r="D2351" s="20">
        <v>245928</v>
      </c>
      <c r="E2351" s="27" t="s">
        <v>126</v>
      </c>
      <c r="F2351" s="7" t="s">
        <v>107</v>
      </c>
      <c r="G2351" s="7" t="s">
        <v>10</v>
      </c>
      <c r="H2351" s="7" t="s">
        <v>45</v>
      </c>
      <c r="I2351" s="20" t="s">
        <v>3484</v>
      </c>
      <c r="J2351" s="20" t="s">
        <v>3485</v>
      </c>
      <c r="K2351" s="7" t="s">
        <v>119</v>
      </c>
      <c r="L2351" s="61">
        <v>45881</v>
      </c>
      <c r="M2351" s="7" t="s">
        <v>111</v>
      </c>
      <c r="N2351" s="61">
        <v>45881</v>
      </c>
      <c r="O2351" s="58">
        <v>45882</v>
      </c>
      <c r="P2351" s="59"/>
      <c r="Q2351" s="124" t="e">
        <f>P2351*#REF!</f>
        <v>#REF!</v>
      </c>
      <c r="R2351" s="126">
        <v>45887</v>
      </c>
    </row>
    <row r="2352" spans="2:18" ht="17.25" hidden="1" customHeight="1">
      <c r="B2352" s="23">
        <v>45877</v>
      </c>
      <c r="C2352" s="7">
        <v>2003756874</v>
      </c>
      <c r="D2352" s="20">
        <v>245741</v>
      </c>
      <c r="E2352" s="27" t="s">
        <v>1225</v>
      </c>
      <c r="F2352" s="7" t="s">
        <v>107</v>
      </c>
      <c r="G2352" s="7" t="s">
        <v>10</v>
      </c>
      <c r="H2352" s="7" t="s">
        <v>45</v>
      </c>
      <c r="I2352" s="20" t="s">
        <v>3486</v>
      </c>
      <c r="J2352" s="20" t="s">
        <v>3487</v>
      </c>
      <c r="K2352" s="7" t="s">
        <v>119</v>
      </c>
      <c r="L2352" s="61">
        <v>45880</v>
      </c>
      <c r="M2352" s="7" t="s">
        <v>111</v>
      </c>
      <c r="N2352" s="61">
        <v>45881</v>
      </c>
      <c r="O2352" s="61">
        <v>45881</v>
      </c>
      <c r="P2352" s="59"/>
      <c r="Q2352" s="124" t="e">
        <f>P2352*#REF!</f>
        <v>#REF!</v>
      </c>
      <c r="R2352" s="126">
        <v>45882</v>
      </c>
    </row>
    <row r="2353" spans="2:18" ht="17.25" hidden="1" customHeight="1">
      <c r="B2353" s="23">
        <v>45877</v>
      </c>
      <c r="C2353" s="7">
        <v>2003745669</v>
      </c>
      <c r="D2353" s="20">
        <v>245445</v>
      </c>
      <c r="E2353" s="27" t="s">
        <v>123</v>
      </c>
      <c r="F2353" s="7" t="s">
        <v>107</v>
      </c>
      <c r="G2353" s="7" t="s">
        <v>10</v>
      </c>
      <c r="H2353" s="7" t="s">
        <v>45</v>
      </c>
      <c r="I2353" s="20" t="s">
        <v>923</v>
      </c>
      <c r="J2353" s="20" t="s">
        <v>924</v>
      </c>
      <c r="K2353" s="7" t="s">
        <v>119</v>
      </c>
      <c r="L2353" s="61">
        <v>45881</v>
      </c>
      <c r="M2353" s="7" t="s">
        <v>111</v>
      </c>
      <c r="N2353" s="61">
        <v>45881</v>
      </c>
      <c r="O2353" s="58">
        <v>45882</v>
      </c>
      <c r="P2353" s="59"/>
      <c r="Q2353" s="124" t="e">
        <f>P2353*#REF!</f>
        <v>#REF!</v>
      </c>
      <c r="R2353" s="126">
        <v>45887</v>
      </c>
    </row>
    <row r="2354" spans="2:18" ht="17.25" hidden="1" customHeight="1">
      <c r="B2354" s="23">
        <v>45877</v>
      </c>
      <c r="C2354" s="7">
        <v>2003737498</v>
      </c>
      <c r="D2354" s="20">
        <v>245402</v>
      </c>
      <c r="E2354" s="27" t="s">
        <v>568</v>
      </c>
      <c r="F2354" s="7" t="s">
        <v>107</v>
      </c>
      <c r="G2354" s="7" t="s">
        <v>26</v>
      </c>
      <c r="H2354" s="7" t="s">
        <v>45</v>
      </c>
      <c r="I2354" s="20" t="s">
        <v>3358</v>
      </c>
      <c r="J2354" s="20" t="s">
        <v>3359</v>
      </c>
      <c r="K2354" s="7" t="s">
        <v>110</v>
      </c>
      <c r="L2354" s="61">
        <v>45881</v>
      </c>
      <c r="M2354" s="7" t="s">
        <v>111</v>
      </c>
      <c r="N2354" s="24">
        <v>45882</v>
      </c>
      <c r="O2354" s="58">
        <v>45882</v>
      </c>
      <c r="P2354" s="59"/>
      <c r="Q2354" s="124" t="e">
        <f>P2354*#REF!</f>
        <v>#REF!</v>
      </c>
      <c r="R2354" s="126">
        <v>45882</v>
      </c>
    </row>
    <row r="2355" spans="2:18" ht="17.25" hidden="1" customHeight="1">
      <c r="B2355" s="23">
        <v>45877</v>
      </c>
      <c r="C2355" s="7">
        <v>2003713521</v>
      </c>
      <c r="D2355" s="20">
        <v>245391</v>
      </c>
      <c r="E2355" s="27" t="s">
        <v>191</v>
      </c>
      <c r="F2355" s="7" t="s">
        <v>107</v>
      </c>
      <c r="G2355" s="7" t="s">
        <v>10</v>
      </c>
      <c r="H2355" s="7" t="s">
        <v>45</v>
      </c>
      <c r="I2355" s="20" t="s">
        <v>3488</v>
      </c>
      <c r="J2355" s="20" t="s">
        <v>3489</v>
      </c>
      <c r="K2355" s="7" t="s">
        <v>110</v>
      </c>
      <c r="L2355" s="61">
        <v>45882</v>
      </c>
      <c r="M2355" s="7" t="s">
        <v>111</v>
      </c>
      <c r="N2355" s="61">
        <v>45882</v>
      </c>
      <c r="O2355" s="61">
        <v>45882</v>
      </c>
      <c r="P2355" s="59"/>
      <c r="Q2355" s="124" t="e">
        <f>P2355*#REF!</f>
        <v>#REF!</v>
      </c>
      <c r="R2355" s="126">
        <v>45887</v>
      </c>
    </row>
    <row r="2356" spans="2:18" ht="17.25" hidden="1" customHeight="1">
      <c r="B2356" s="23">
        <v>45877</v>
      </c>
      <c r="C2356" s="7">
        <v>2003671172</v>
      </c>
      <c r="D2356" s="20">
        <v>245177</v>
      </c>
      <c r="E2356" s="27" t="s">
        <v>191</v>
      </c>
      <c r="F2356" s="7" t="s">
        <v>107</v>
      </c>
      <c r="G2356" s="7" t="s">
        <v>10</v>
      </c>
      <c r="H2356" s="7" t="s">
        <v>45</v>
      </c>
      <c r="I2356" s="20" t="s">
        <v>1904</v>
      </c>
      <c r="J2356" s="20" t="s">
        <v>3291</v>
      </c>
      <c r="K2356" s="7" t="s">
        <v>110</v>
      </c>
      <c r="L2356" s="61">
        <v>45880</v>
      </c>
      <c r="M2356" s="7" t="s">
        <v>111</v>
      </c>
      <c r="N2356" s="61">
        <v>45880</v>
      </c>
      <c r="O2356" s="58">
        <v>45882</v>
      </c>
      <c r="P2356" s="59"/>
      <c r="Q2356" s="124" t="e">
        <f>P2356*#REF!</f>
        <v>#REF!</v>
      </c>
      <c r="R2356" s="126">
        <v>45882</v>
      </c>
    </row>
    <row r="2357" spans="2:18" ht="17.25" hidden="1" customHeight="1">
      <c r="B2357" s="23">
        <v>45880</v>
      </c>
      <c r="C2357" s="7">
        <v>2003665378</v>
      </c>
      <c r="D2357" s="20">
        <v>6102288</v>
      </c>
      <c r="E2357" s="27" t="s">
        <v>185</v>
      </c>
      <c r="F2357" s="7" t="s">
        <v>107</v>
      </c>
      <c r="G2357" s="7" t="s">
        <v>21</v>
      </c>
      <c r="H2357" s="7" t="s">
        <v>45</v>
      </c>
      <c r="I2357" s="20" t="s">
        <v>3172</v>
      </c>
      <c r="J2357" s="20" t="s">
        <v>2348</v>
      </c>
      <c r="K2357" s="7" t="s">
        <v>111</v>
      </c>
      <c r="L2357" s="61">
        <v>45881</v>
      </c>
      <c r="M2357" s="7" t="s">
        <v>111</v>
      </c>
      <c r="N2357" s="61">
        <v>45881</v>
      </c>
      <c r="O2357" s="58">
        <v>45882</v>
      </c>
      <c r="P2357" s="59"/>
      <c r="Q2357" s="124" t="e">
        <f>P2357*#REF!</f>
        <v>#REF!</v>
      </c>
      <c r="R2357" s="126">
        <v>45887</v>
      </c>
    </row>
    <row r="2358" spans="2:18" ht="17.25" hidden="1" customHeight="1">
      <c r="B2358" s="23">
        <v>45880</v>
      </c>
      <c r="C2358" s="7">
        <v>2003740407</v>
      </c>
      <c r="D2358" s="20">
        <v>6102521</v>
      </c>
      <c r="E2358" s="27" t="s">
        <v>201</v>
      </c>
      <c r="F2358" s="7" t="s">
        <v>107</v>
      </c>
      <c r="G2358" s="7" t="s">
        <v>18</v>
      </c>
      <c r="H2358" s="7" t="s">
        <v>45</v>
      </c>
      <c r="I2358" s="20" t="s">
        <v>3490</v>
      </c>
      <c r="J2358" s="20" t="s">
        <v>3491</v>
      </c>
      <c r="K2358" s="7" t="s">
        <v>119</v>
      </c>
      <c r="L2358" s="61">
        <v>45882</v>
      </c>
      <c r="M2358" s="7" t="s">
        <v>111</v>
      </c>
      <c r="N2358" s="61">
        <v>45882</v>
      </c>
      <c r="O2358" s="24">
        <v>45889</v>
      </c>
      <c r="P2358" s="59"/>
      <c r="Q2358" s="124" t="e">
        <f>P2358*#REF!</f>
        <v>#REF!</v>
      </c>
      <c r="R2358" s="126">
        <v>45893</v>
      </c>
    </row>
    <row r="2359" spans="2:18" ht="17.25" hidden="1" customHeight="1">
      <c r="B2359" s="23">
        <v>45880</v>
      </c>
      <c r="C2359" s="7">
        <v>2003666629</v>
      </c>
      <c r="D2359" s="20">
        <v>6102723</v>
      </c>
      <c r="E2359" s="27" t="s">
        <v>230</v>
      </c>
      <c r="F2359" s="7" t="s">
        <v>107</v>
      </c>
      <c r="G2359" s="7" t="s">
        <v>10</v>
      </c>
      <c r="H2359" s="7" t="s">
        <v>45</v>
      </c>
      <c r="I2359" s="20" t="s">
        <v>204</v>
      </c>
      <c r="J2359" s="20" t="s">
        <v>3492</v>
      </c>
      <c r="K2359" s="7" t="s">
        <v>119</v>
      </c>
      <c r="L2359" s="61">
        <v>45883</v>
      </c>
      <c r="M2359" s="7" t="s">
        <v>111</v>
      </c>
      <c r="N2359" s="24">
        <v>45884</v>
      </c>
      <c r="O2359" s="58">
        <v>45887</v>
      </c>
      <c r="P2359" s="59"/>
      <c r="Q2359" s="124" t="e">
        <f>P2359*#REF!</f>
        <v>#REF!</v>
      </c>
      <c r="R2359" s="126">
        <v>45887</v>
      </c>
    </row>
    <row r="2360" spans="2:18" ht="17.25" hidden="1" customHeight="1">
      <c r="B2360" s="23">
        <v>45880</v>
      </c>
      <c r="C2360" s="7">
        <v>2003754454</v>
      </c>
      <c r="D2360" s="20">
        <v>6102742</v>
      </c>
      <c r="E2360" s="27" t="s">
        <v>106</v>
      </c>
      <c r="F2360" s="7" t="s">
        <v>107</v>
      </c>
      <c r="G2360" s="7" t="s">
        <v>18</v>
      </c>
      <c r="H2360" s="7" t="s">
        <v>45</v>
      </c>
      <c r="I2360" s="20" t="s">
        <v>3493</v>
      </c>
      <c r="J2360" s="20" t="s">
        <v>3494</v>
      </c>
      <c r="K2360" s="7" t="s">
        <v>110</v>
      </c>
      <c r="L2360" s="61">
        <v>45882</v>
      </c>
      <c r="M2360" s="7" t="s">
        <v>111</v>
      </c>
      <c r="N2360" s="61">
        <v>45882</v>
      </c>
      <c r="O2360" s="61">
        <v>45887</v>
      </c>
      <c r="P2360" s="59"/>
      <c r="Q2360" s="124" t="e">
        <f>P2360*#REF!</f>
        <v>#REF!</v>
      </c>
      <c r="R2360" s="126">
        <v>45889</v>
      </c>
    </row>
    <row r="2361" spans="2:18" ht="17.25" hidden="1" customHeight="1">
      <c r="B2361" s="23">
        <v>45880</v>
      </c>
      <c r="C2361" s="7">
        <v>2003705689</v>
      </c>
      <c r="D2361" s="20">
        <v>6102771</v>
      </c>
      <c r="E2361" s="27" t="s">
        <v>123</v>
      </c>
      <c r="F2361" s="7" t="s">
        <v>107</v>
      </c>
      <c r="G2361" s="7" t="s">
        <v>21</v>
      </c>
      <c r="H2361" s="7" t="s">
        <v>45</v>
      </c>
      <c r="I2361" s="20" t="s">
        <v>280</v>
      </c>
      <c r="J2361" s="20" t="s">
        <v>2767</v>
      </c>
      <c r="K2361" s="7" t="s">
        <v>119</v>
      </c>
      <c r="L2361" s="61">
        <v>45881</v>
      </c>
      <c r="M2361" s="7" t="s">
        <v>111</v>
      </c>
      <c r="N2361" s="61">
        <v>45881</v>
      </c>
      <c r="O2361" s="61">
        <v>45881</v>
      </c>
      <c r="P2361" s="59"/>
      <c r="Q2361" s="124" t="e">
        <f>P2361*#REF!</f>
        <v>#REF!</v>
      </c>
      <c r="R2361" s="126">
        <v>45882</v>
      </c>
    </row>
    <row r="2362" spans="2:18" ht="17.25" hidden="1" customHeight="1">
      <c r="B2362" s="23">
        <v>45880</v>
      </c>
      <c r="C2362" s="7">
        <v>2003744184</v>
      </c>
      <c r="D2362" s="20">
        <v>6103096</v>
      </c>
      <c r="E2362" s="27" t="s">
        <v>1225</v>
      </c>
      <c r="F2362" s="7" t="s">
        <v>113</v>
      </c>
      <c r="G2362" s="7" t="s">
        <v>70</v>
      </c>
      <c r="H2362" s="7" t="s">
        <v>47</v>
      </c>
      <c r="I2362" s="20" t="s">
        <v>3495</v>
      </c>
      <c r="J2362" s="20" t="s">
        <v>3496</v>
      </c>
      <c r="K2362" s="7" t="s">
        <v>160</v>
      </c>
      <c r="P2362" s="59"/>
      <c r="Q2362" s="124" t="e">
        <f>P2362*#REF!</f>
        <v>#REF!</v>
      </c>
      <c r="R2362" s="126">
        <v>45898</v>
      </c>
    </row>
    <row r="2363" spans="2:18" ht="17.25" hidden="1" customHeight="1">
      <c r="B2363" s="23">
        <v>45880</v>
      </c>
      <c r="C2363" s="7">
        <v>2003761388</v>
      </c>
      <c r="D2363" s="20">
        <v>6103125</v>
      </c>
      <c r="E2363" s="27" t="s">
        <v>143</v>
      </c>
      <c r="F2363" s="7" t="s">
        <v>113</v>
      </c>
      <c r="G2363" s="7" t="s">
        <v>70</v>
      </c>
      <c r="H2363" s="7" t="s">
        <v>47</v>
      </c>
      <c r="I2363" s="20" t="s">
        <v>3497</v>
      </c>
      <c r="J2363" s="20" t="s">
        <v>3498</v>
      </c>
      <c r="K2363" s="7" t="s">
        <v>160</v>
      </c>
      <c r="P2363" s="59"/>
      <c r="Q2363" s="124" t="e">
        <f>P2363*#REF!</f>
        <v>#REF!</v>
      </c>
      <c r="R2363" s="126">
        <v>45898</v>
      </c>
    </row>
    <row r="2364" spans="2:18" ht="17.25" hidden="1" customHeight="1">
      <c r="B2364" s="23">
        <v>45880</v>
      </c>
      <c r="C2364" s="7">
        <v>2003740611</v>
      </c>
      <c r="D2364" s="20">
        <v>246833</v>
      </c>
      <c r="E2364" s="27" t="s">
        <v>201</v>
      </c>
      <c r="F2364" s="7" t="s">
        <v>107</v>
      </c>
      <c r="G2364" s="7" t="s">
        <v>18</v>
      </c>
      <c r="H2364" s="7" t="s">
        <v>45</v>
      </c>
      <c r="I2364" s="20" t="s">
        <v>631</v>
      </c>
      <c r="J2364" s="20" t="s">
        <v>3370</v>
      </c>
      <c r="K2364" s="7" t="s">
        <v>119</v>
      </c>
      <c r="L2364" s="61">
        <v>45881</v>
      </c>
      <c r="M2364" s="7" t="s">
        <v>111</v>
      </c>
      <c r="N2364" s="61">
        <v>45881</v>
      </c>
      <c r="O2364" s="61">
        <v>45881</v>
      </c>
      <c r="P2364" s="59"/>
      <c r="Q2364" s="124" t="e">
        <f>P2364*#REF!</f>
        <v>#REF!</v>
      </c>
      <c r="R2364" s="126">
        <v>45882</v>
      </c>
    </row>
    <row r="2365" spans="2:18" ht="17.25" hidden="1" customHeight="1">
      <c r="B2365" s="23">
        <v>45880</v>
      </c>
      <c r="C2365" s="7">
        <v>2003760524</v>
      </c>
      <c r="D2365" s="20">
        <v>247888</v>
      </c>
      <c r="E2365" s="27" t="s">
        <v>1225</v>
      </c>
      <c r="F2365" s="7" t="s">
        <v>107</v>
      </c>
      <c r="G2365" s="7" t="s">
        <v>26</v>
      </c>
      <c r="H2365" s="7" t="s">
        <v>45</v>
      </c>
      <c r="I2365" s="20" t="s">
        <v>1250</v>
      </c>
      <c r="J2365" s="20" t="s">
        <v>3499</v>
      </c>
      <c r="K2365" s="7" t="s">
        <v>119</v>
      </c>
      <c r="L2365" s="61">
        <v>45897</v>
      </c>
      <c r="M2365" s="7" t="s">
        <v>111</v>
      </c>
      <c r="N2365" s="24">
        <v>45898</v>
      </c>
      <c r="O2365" s="58">
        <v>45898</v>
      </c>
      <c r="P2365" s="59"/>
      <c r="Q2365" s="124" t="e">
        <f>P2365*#REF!</f>
        <v>#REF!</v>
      </c>
      <c r="R2365" s="126">
        <v>45898</v>
      </c>
    </row>
    <row r="2366" spans="2:18" ht="17.25" hidden="1" customHeight="1">
      <c r="B2366" s="23">
        <v>45880</v>
      </c>
      <c r="C2366" s="7">
        <v>2003760715</v>
      </c>
      <c r="D2366" s="20">
        <v>247862</v>
      </c>
      <c r="E2366" s="27" t="s">
        <v>191</v>
      </c>
      <c r="F2366" s="7" t="s">
        <v>107</v>
      </c>
      <c r="G2366" s="7" t="s">
        <v>10</v>
      </c>
      <c r="H2366" s="7" t="s">
        <v>45</v>
      </c>
      <c r="I2366" s="20" t="s">
        <v>3500</v>
      </c>
      <c r="J2366" s="20" t="s">
        <v>3501</v>
      </c>
      <c r="K2366" s="7" t="s">
        <v>110</v>
      </c>
      <c r="L2366" s="61">
        <v>45883</v>
      </c>
      <c r="M2366" s="7" t="s">
        <v>111</v>
      </c>
      <c r="N2366" s="24">
        <v>45884</v>
      </c>
      <c r="O2366" s="24">
        <v>45884</v>
      </c>
      <c r="P2366" s="59"/>
      <c r="Q2366" s="124" t="e">
        <f>P2366*#REF!</f>
        <v>#REF!</v>
      </c>
      <c r="R2366" s="126">
        <v>45887</v>
      </c>
    </row>
    <row r="2367" spans="2:18" ht="17.25" hidden="1" customHeight="1">
      <c r="B2367" s="23">
        <v>45880</v>
      </c>
      <c r="C2367" s="7">
        <v>2003710943</v>
      </c>
      <c r="D2367" s="20">
        <v>247420</v>
      </c>
      <c r="E2367" s="27" t="s">
        <v>1225</v>
      </c>
      <c r="F2367" s="7" t="s">
        <v>107</v>
      </c>
      <c r="G2367" s="7" t="s">
        <v>21</v>
      </c>
      <c r="H2367" s="7" t="s">
        <v>45</v>
      </c>
      <c r="I2367" s="20" t="s">
        <v>3502</v>
      </c>
      <c r="J2367" s="20" t="s">
        <v>2873</v>
      </c>
      <c r="K2367" s="7" t="s">
        <v>110</v>
      </c>
      <c r="L2367" s="61">
        <v>45881</v>
      </c>
      <c r="M2367" s="7" t="s">
        <v>111</v>
      </c>
      <c r="N2367" s="24">
        <v>45882</v>
      </c>
      <c r="O2367" s="24">
        <v>45882</v>
      </c>
      <c r="P2367" s="59"/>
      <c r="Q2367" s="124" t="e">
        <f>P2367*#REF!</f>
        <v>#REF!</v>
      </c>
      <c r="R2367" s="126">
        <v>45887</v>
      </c>
    </row>
    <row r="2368" spans="2:18" ht="17.25" hidden="1" customHeight="1">
      <c r="B2368" s="23">
        <v>45880</v>
      </c>
      <c r="C2368" s="7">
        <v>2003675431</v>
      </c>
      <c r="D2368" s="20">
        <v>247361</v>
      </c>
      <c r="E2368" s="27" t="s">
        <v>123</v>
      </c>
      <c r="F2368" s="7" t="s">
        <v>107</v>
      </c>
      <c r="G2368" s="7" t="s">
        <v>10</v>
      </c>
      <c r="H2368" s="7" t="s">
        <v>45</v>
      </c>
      <c r="I2368" s="20" t="s">
        <v>1282</v>
      </c>
      <c r="J2368" s="20" t="s">
        <v>1794</v>
      </c>
      <c r="K2368" s="7" t="s">
        <v>110</v>
      </c>
      <c r="L2368" s="61">
        <v>45881</v>
      </c>
      <c r="M2368" s="7" t="s">
        <v>111</v>
      </c>
      <c r="N2368" s="61">
        <v>45881</v>
      </c>
      <c r="O2368" s="58">
        <v>45882</v>
      </c>
      <c r="P2368" s="59"/>
      <c r="Q2368" s="124" t="e">
        <f>P2368*#REF!</f>
        <v>#REF!</v>
      </c>
      <c r="R2368" s="126">
        <v>45882</v>
      </c>
    </row>
    <row r="2369" spans="2:18" ht="17.25" hidden="1" customHeight="1">
      <c r="B2369" s="23">
        <v>45880</v>
      </c>
      <c r="C2369" s="7">
        <v>2003760577</v>
      </c>
      <c r="D2369" s="20">
        <v>247248</v>
      </c>
      <c r="E2369" s="27" t="s">
        <v>230</v>
      </c>
      <c r="F2369" s="7" t="s">
        <v>107</v>
      </c>
      <c r="G2369" s="7" t="s">
        <v>10</v>
      </c>
      <c r="H2369" s="7" t="s">
        <v>45</v>
      </c>
      <c r="I2369" s="20" t="s">
        <v>3363</v>
      </c>
      <c r="J2369" s="20" t="s">
        <v>3503</v>
      </c>
      <c r="K2369" s="7" t="s">
        <v>119</v>
      </c>
      <c r="L2369" s="61">
        <v>45883</v>
      </c>
      <c r="M2369" s="7" t="s">
        <v>111</v>
      </c>
      <c r="N2369" s="24">
        <v>45884</v>
      </c>
      <c r="O2369" s="24">
        <v>45884</v>
      </c>
      <c r="P2369" s="59"/>
      <c r="Q2369" s="124" t="e">
        <f>P2369*#REF!</f>
        <v>#REF!</v>
      </c>
      <c r="R2369" s="126">
        <v>45887</v>
      </c>
    </row>
    <row r="2370" spans="2:18" ht="17.25" hidden="1" customHeight="1">
      <c r="B2370" s="23">
        <v>45880</v>
      </c>
      <c r="C2370" s="7">
        <v>2003752624</v>
      </c>
      <c r="D2370" s="20">
        <v>247160</v>
      </c>
      <c r="E2370" s="27" t="s">
        <v>129</v>
      </c>
      <c r="F2370" s="7" t="s">
        <v>107</v>
      </c>
      <c r="G2370" s="7" t="s">
        <v>10</v>
      </c>
      <c r="H2370" s="7" t="s">
        <v>45</v>
      </c>
      <c r="I2370" s="20" t="s">
        <v>1964</v>
      </c>
      <c r="J2370" s="20" t="s">
        <v>3504</v>
      </c>
      <c r="K2370" s="7" t="s">
        <v>110</v>
      </c>
      <c r="L2370" s="61">
        <v>45901</v>
      </c>
      <c r="M2370" s="7" t="s">
        <v>111</v>
      </c>
      <c r="N2370" s="61">
        <v>45901</v>
      </c>
      <c r="O2370" s="58">
        <v>45902</v>
      </c>
      <c r="P2370" s="59"/>
      <c r="Q2370" s="124" t="e">
        <f>P2370*#REF!</f>
        <v>#REF!</v>
      </c>
      <c r="R2370" s="126">
        <v>45904</v>
      </c>
    </row>
    <row r="2371" spans="2:18" ht="17.25" hidden="1" customHeight="1">
      <c r="B2371" s="23">
        <v>45880</v>
      </c>
      <c r="C2371" s="7">
        <v>2003755410</v>
      </c>
      <c r="D2371" s="20">
        <v>247154</v>
      </c>
      <c r="E2371" s="27" t="s">
        <v>143</v>
      </c>
      <c r="F2371" s="7" t="s">
        <v>107</v>
      </c>
      <c r="G2371" s="7" t="s">
        <v>18</v>
      </c>
      <c r="H2371" s="7" t="s">
        <v>45</v>
      </c>
      <c r="I2371" s="20" t="s">
        <v>1964</v>
      </c>
      <c r="J2371" s="20" t="s">
        <v>3504</v>
      </c>
      <c r="K2371" s="7" t="s">
        <v>110</v>
      </c>
      <c r="L2371" s="61">
        <v>45901</v>
      </c>
      <c r="M2371" s="7" t="s">
        <v>111</v>
      </c>
      <c r="N2371" s="61">
        <v>45901</v>
      </c>
      <c r="O2371" s="61">
        <v>45901</v>
      </c>
      <c r="P2371" s="59"/>
      <c r="Q2371" s="124" t="e">
        <f>P2371*#REF!</f>
        <v>#REF!</v>
      </c>
      <c r="R2371" s="126">
        <v>45904</v>
      </c>
    </row>
    <row r="2372" spans="2:18" ht="17.25" hidden="1" customHeight="1">
      <c r="B2372" s="23">
        <v>45880</v>
      </c>
      <c r="C2372" s="7">
        <v>2003748890</v>
      </c>
      <c r="D2372" s="20">
        <v>246978</v>
      </c>
      <c r="E2372" s="27" t="s">
        <v>143</v>
      </c>
      <c r="F2372" s="7" t="s">
        <v>113</v>
      </c>
      <c r="G2372" s="7" t="s">
        <v>70</v>
      </c>
      <c r="H2372" s="7" t="s">
        <v>47</v>
      </c>
      <c r="I2372" s="20" t="s">
        <v>1726</v>
      </c>
      <c r="J2372" s="20" t="s">
        <v>3505</v>
      </c>
      <c r="K2372" s="7" t="s">
        <v>160</v>
      </c>
      <c r="P2372" s="59"/>
      <c r="Q2372" s="124" t="e">
        <f>P2372*#REF!</f>
        <v>#REF!</v>
      </c>
      <c r="R2372" s="126">
        <v>45910</v>
      </c>
    </row>
    <row r="2373" spans="2:18" ht="17.25" hidden="1" customHeight="1">
      <c r="B2373" s="23">
        <v>45880</v>
      </c>
      <c r="C2373" s="7">
        <v>2003760639</v>
      </c>
      <c r="D2373" s="20">
        <v>246787</v>
      </c>
      <c r="E2373" s="27" t="s">
        <v>123</v>
      </c>
      <c r="F2373" s="7" t="s">
        <v>107</v>
      </c>
      <c r="G2373" s="7" t="s">
        <v>18</v>
      </c>
      <c r="H2373" s="7" t="s">
        <v>45</v>
      </c>
      <c r="I2373" s="20" t="s">
        <v>417</v>
      </c>
      <c r="J2373" s="20" t="s">
        <v>3506</v>
      </c>
      <c r="K2373" s="7" t="s">
        <v>119</v>
      </c>
      <c r="L2373" s="61">
        <v>45882</v>
      </c>
      <c r="M2373" s="7" t="s">
        <v>111</v>
      </c>
      <c r="N2373" s="61">
        <v>45882</v>
      </c>
      <c r="O2373" s="61">
        <v>45887</v>
      </c>
      <c r="P2373" s="59"/>
      <c r="Q2373" s="124" t="e">
        <f>P2373*#REF!</f>
        <v>#REF!</v>
      </c>
      <c r="R2373" s="126">
        <v>45893</v>
      </c>
    </row>
    <row r="2374" spans="2:18" ht="17.25" hidden="1" customHeight="1">
      <c r="B2374" s="23">
        <v>45880</v>
      </c>
      <c r="C2374" s="7">
        <v>2003760722</v>
      </c>
      <c r="D2374" s="20">
        <v>246766</v>
      </c>
      <c r="E2374" s="27" t="s">
        <v>143</v>
      </c>
      <c r="F2374" s="7" t="s">
        <v>113</v>
      </c>
      <c r="G2374" s="7" t="s">
        <v>70</v>
      </c>
      <c r="H2374" s="7" t="s">
        <v>47</v>
      </c>
      <c r="I2374" s="20" t="s">
        <v>302</v>
      </c>
      <c r="J2374" s="20" t="s">
        <v>3507</v>
      </c>
      <c r="K2374" s="7" t="s">
        <v>160</v>
      </c>
      <c r="P2374" s="59"/>
      <c r="Q2374" s="124" t="e">
        <f>P2374*#REF!</f>
        <v>#REF!</v>
      </c>
      <c r="R2374" s="126">
        <v>45910</v>
      </c>
    </row>
    <row r="2375" spans="2:18" ht="17.25" hidden="1" customHeight="1">
      <c r="B2375" s="23">
        <v>45880</v>
      </c>
      <c r="C2375" s="7">
        <v>2003757744</v>
      </c>
      <c r="D2375" s="20">
        <v>246835</v>
      </c>
      <c r="E2375" s="27" t="s">
        <v>129</v>
      </c>
      <c r="F2375" s="7" t="s">
        <v>107</v>
      </c>
      <c r="G2375" s="7" t="s">
        <v>18</v>
      </c>
      <c r="H2375" s="7" t="s">
        <v>45</v>
      </c>
      <c r="I2375" s="20" t="s">
        <v>1096</v>
      </c>
      <c r="J2375" s="20" t="s">
        <v>3508</v>
      </c>
      <c r="K2375" s="7" t="s">
        <v>110</v>
      </c>
      <c r="L2375" s="61">
        <v>45888</v>
      </c>
      <c r="M2375" s="7" t="s">
        <v>111</v>
      </c>
      <c r="N2375" s="61">
        <v>45889</v>
      </c>
      <c r="O2375" s="58">
        <v>45894</v>
      </c>
      <c r="P2375" s="59"/>
      <c r="Q2375" s="124" t="e">
        <f>P2375*#REF!</f>
        <v>#REF!</v>
      </c>
      <c r="R2375" s="126">
        <v>45897</v>
      </c>
    </row>
    <row r="2376" spans="2:18" ht="17.25" hidden="1" customHeight="1">
      <c r="B2376" s="23">
        <v>45881</v>
      </c>
      <c r="C2376" s="7">
        <v>2003729995</v>
      </c>
      <c r="D2376" s="20">
        <v>6103486</v>
      </c>
      <c r="E2376" s="27" t="s">
        <v>116</v>
      </c>
      <c r="F2376" s="7" t="s">
        <v>107</v>
      </c>
      <c r="G2376" s="7" t="s">
        <v>26</v>
      </c>
      <c r="H2376" s="7" t="s">
        <v>45</v>
      </c>
      <c r="I2376" s="20" t="s">
        <v>2770</v>
      </c>
      <c r="J2376" s="20" t="s">
        <v>3509</v>
      </c>
      <c r="K2376" s="7" t="s">
        <v>119</v>
      </c>
      <c r="L2376" s="61">
        <v>45883</v>
      </c>
      <c r="M2376" s="7" t="s">
        <v>111</v>
      </c>
      <c r="N2376" s="24">
        <v>45884</v>
      </c>
      <c r="O2376" s="24">
        <v>45884</v>
      </c>
      <c r="P2376" s="59"/>
      <c r="Q2376" s="124" t="e">
        <f>P2376*#REF!</f>
        <v>#REF!</v>
      </c>
      <c r="R2376" s="126">
        <v>45887</v>
      </c>
    </row>
    <row r="2377" spans="2:18" ht="17.25" hidden="1" customHeight="1">
      <c r="B2377" s="23">
        <v>45881</v>
      </c>
      <c r="C2377" s="7">
        <v>2003762798</v>
      </c>
      <c r="D2377" s="20">
        <v>6103810</v>
      </c>
      <c r="E2377" s="27" t="s">
        <v>143</v>
      </c>
      <c r="F2377" s="7" t="s">
        <v>107</v>
      </c>
      <c r="G2377" s="7" t="s">
        <v>18</v>
      </c>
      <c r="H2377" s="7" t="s">
        <v>45</v>
      </c>
      <c r="I2377" s="20" t="s">
        <v>1119</v>
      </c>
      <c r="J2377" s="20" t="s">
        <v>1120</v>
      </c>
      <c r="K2377" s="7" t="s">
        <v>110</v>
      </c>
      <c r="L2377" s="61">
        <v>45887</v>
      </c>
      <c r="M2377" s="7" t="s">
        <v>111</v>
      </c>
      <c r="N2377" s="61">
        <v>45887</v>
      </c>
      <c r="O2377" s="24">
        <v>45889</v>
      </c>
      <c r="P2377" s="59"/>
      <c r="Q2377" s="124" t="e">
        <f>P2377*#REF!</f>
        <v>#REF!</v>
      </c>
      <c r="R2377" s="126">
        <v>45893</v>
      </c>
    </row>
    <row r="2378" spans="2:18" ht="17.25" hidden="1" customHeight="1">
      <c r="B2378" s="23">
        <v>45881</v>
      </c>
      <c r="C2378" s="7">
        <v>2003762389</v>
      </c>
      <c r="D2378" s="20">
        <v>6103846</v>
      </c>
      <c r="E2378" s="27" t="s">
        <v>1225</v>
      </c>
      <c r="F2378" s="7" t="s">
        <v>107</v>
      </c>
      <c r="G2378" s="7" t="s">
        <v>10</v>
      </c>
      <c r="H2378" s="7" t="s">
        <v>45</v>
      </c>
      <c r="I2378" s="20" t="s">
        <v>3510</v>
      </c>
      <c r="J2378" s="20" t="s">
        <v>3511</v>
      </c>
      <c r="K2378" s="7" t="s">
        <v>119</v>
      </c>
      <c r="L2378" s="61">
        <v>45883</v>
      </c>
      <c r="M2378" s="7" t="s">
        <v>111</v>
      </c>
      <c r="N2378" s="24">
        <v>45890</v>
      </c>
      <c r="O2378" s="24">
        <v>45890</v>
      </c>
      <c r="P2378" s="59"/>
      <c r="Q2378" s="124" t="e">
        <f>P2378*#REF!</f>
        <v>#REF!</v>
      </c>
      <c r="R2378" s="126">
        <v>45893</v>
      </c>
    </row>
    <row r="2379" spans="2:18" ht="17.25" hidden="1" customHeight="1">
      <c r="B2379" s="23">
        <v>45881</v>
      </c>
      <c r="C2379" s="7">
        <v>2003730750</v>
      </c>
      <c r="D2379" s="20">
        <v>6103868</v>
      </c>
      <c r="E2379" s="27" t="s">
        <v>1225</v>
      </c>
      <c r="F2379" s="7" t="s">
        <v>107</v>
      </c>
      <c r="G2379" s="7" t="s">
        <v>21</v>
      </c>
      <c r="H2379" s="7" t="s">
        <v>45</v>
      </c>
      <c r="I2379" s="20" t="s">
        <v>3195</v>
      </c>
      <c r="J2379" s="20" t="s">
        <v>3196</v>
      </c>
      <c r="K2379" s="7" t="s">
        <v>119</v>
      </c>
      <c r="L2379" s="61">
        <v>45882</v>
      </c>
      <c r="M2379" s="7" t="s">
        <v>111</v>
      </c>
      <c r="N2379" s="61">
        <v>45882</v>
      </c>
      <c r="O2379" s="61">
        <v>45887</v>
      </c>
      <c r="P2379" s="59"/>
      <c r="Q2379" s="124" t="e">
        <f>P2379*#REF!</f>
        <v>#REF!</v>
      </c>
      <c r="R2379" s="126">
        <v>45889</v>
      </c>
    </row>
    <row r="2380" spans="2:18" ht="17.25" hidden="1" customHeight="1">
      <c r="B2380" s="23">
        <v>45881</v>
      </c>
      <c r="C2380" s="7">
        <v>2003756105</v>
      </c>
      <c r="D2380" s="20">
        <v>249131</v>
      </c>
      <c r="E2380" s="27" t="s">
        <v>949</v>
      </c>
      <c r="F2380" s="7" t="s">
        <v>107</v>
      </c>
      <c r="G2380" s="7" t="s">
        <v>18</v>
      </c>
      <c r="H2380" s="7" t="s">
        <v>45</v>
      </c>
      <c r="I2380" s="20" t="s">
        <v>3512</v>
      </c>
      <c r="J2380" s="20" t="s">
        <v>3513</v>
      </c>
      <c r="K2380" s="7" t="s">
        <v>110</v>
      </c>
      <c r="L2380" s="61">
        <v>45883</v>
      </c>
      <c r="M2380" s="7" t="s">
        <v>111</v>
      </c>
      <c r="N2380" s="24">
        <v>45884</v>
      </c>
      <c r="O2380" s="24">
        <v>45884</v>
      </c>
      <c r="P2380" s="59"/>
      <c r="Q2380" s="124" t="e">
        <f>P2380*#REF!</f>
        <v>#REF!</v>
      </c>
      <c r="R2380" s="126">
        <v>45887</v>
      </c>
    </row>
    <row r="2381" spans="2:18" ht="17.25" hidden="1" customHeight="1">
      <c r="B2381" s="23">
        <v>45882</v>
      </c>
      <c r="C2381" s="7">
        <v>2003747010</v>
      </c>
      <c r="D2381" s="20">
        <v>6104295</v>
      </c>
      <c r="E2381" s="27" t="s">
        <v>112</v>
      </c>
      <c r="F2381" s="7" t="s">
        <v>107</v>
      </c>
      <c r="G2381" s="7" t="s">
        <v>15</v>
      </c>
      <c r="H2381" s="7" t="s">
        <v>45</v>
      </c>
      <c r="I2381" s="20" t="s">
        <v>3514</v>
      </c>
      <c r="J2381" s="20" t="s">
        <v>3515</v>
      </c>
      <c r="K2381" s="7" t="s">
        <v>110</v>
      </c>
      <c r="L2381" s="61">
        <v>45888</v>
      </c>
      <c r="M2381" s="7" t="s">
        <v>111</v>
      </c>
      <c r="N2381" s="61">
        <v>45888</v>
      </c>
      <c r="O2381" s="24">
        <v>45889</v>
      </c>
      <c r="P2381" s="59"/>
      <c r="Q2381" s="124" t="e">
        <f>P2381*#REF!</f>
        <v>#REF!</v>
      </c>
      <c r="R2381" s="126">
        <v>45893</v>
      </c>
    </row>
    <row r="2382" spans="2:18" ht="17.25" hidden="1" customHeight="1">
      <c r="B2382" s="23">
        <v>45882</v>
      </c>
      <c r="C2382" s="7">
        <v>2003757107</v>
      </c>
      <c r="D2382" s="20">
        <v>6104299</v>
      </c>
      <c r="E2382" s="27" t="s">
        <v>622</v>
      </c>
      <c r="F2382" s="7" t="s">
        <v>107</v>
      </c>
      <c r="G2382" s="7" t="s">
        <v>10</v>
      </c>
      <c r="H2382" s="7" t="s">
        <v>45</v>
      </c>
      <c r="I2382" s="20" t="s">
        <v>3516</v>
      </c>
      <c r="J2382" s="20" t="s">
        <v>3517</v>
      </c>
      <c r="K2382" s="7" t="s">
        <v>119</v>
      </c>
      <c r="L2382" s="61">
        <v>45888</v>
      </c>
      <c r="M2382" s="7" t="s">
        <v>111</v>
      </c>
      <c r="N2382" s="24">
        <v>45889</v>
      </c>
      <c r="O2382" s="24">
        <v>45889</v>
      </c>
      <c r="P2382" s="59"/>
      <c r="Q2382" s="124" t="e">
        <f>P2382*#REF!</f>
        <v>#REF!</v>
      </c>
      <c r="R2382" s="126">
        <v>45889</v>
      </c>
    </row>
    <row r="2383" spans="2:18" ht="17.25" hidden="1" customHeight="1">
      <c r="B2383" s="23">
        <v>45882</v>
      </c>
      <c r="C2383" s="7">
        <v>2003726443</v>
      </c>
      <c r="D2383" s="20">
        <v>6104382</v>
      </c>
      <c r="E2383" s="27" t="s">
        <v>123</v>
      </c>
      <c r="F2383" s="7" t="s">
        <v>113</v>
      </c>
      <c r="G2383" s="7" t="s">
        <v>70</v>
      </c>
      <c r="H2383" s="7" t="s">
        <v>47</v>
      </c>
      <c r="I2383" s="20" t="s">
        <v>1474</v>
      </c>
      <c r="J2383" s="20" t="s">
        <v>3518</v>
      </c>
      <c r="K2383" s="7" t="s">
        <v>160</v>
      </c>
      <c r="P2383" s="59"/>
      <c r="Q2383" s="124" t="e">
        <f>P2383*#REF!</f>
        <v>#REF!</v>
      </c>
      <c r="R2383" s="126">
        <v>45887</v>
      </c>
    </row>
    <row r="2384" spans="2:18" ht="17.25" hidden="1" customHeight="1">
      <c r="B2384" s="23">
        <v>45882</v>
      </c>
      <c r="C2384" s="7">
        <v>2003763072</v>
      </c>
      <c r="D2384" s="20">
        <v>6104387</v>
      </c>
      <c r="E2384" s="27" t="s">
        <v>123</v>
      </c>
      <c r="F2384" s="7" t="s">
        <v>107</v>
      </c>
      <c r="G2384" s="7" t="s">
        <v>26</v>
      </c>
      <c r="H2384" s="7" t="s">
        <v>45</v>
      </c>
      <c r="I2384" s="20" t="s">
        <v>3519</v>
      </c>
      <c r="J2384" s="20" t="s">
        <v>3520</v>
      </c>
      <c r="K2384" s="7" t="s">
        <v>119</v>
      </c>
      <c r="L2384" s="61">
        <v>45888</v>
      </c>
      <c r="M2384" s="7" t="s">
        <v>111</v>
      </c>
      <c r="N2384" s="24">
        <v>45889</v>
      </c>
      <c r="O2384" s="58">
        <v>45889</v>
      </c>
      <c r="P2384" s="59"/>
      <c r="Q2384" s="124" t="e">
        <f>P2384*#REF!</f>
        <v>#REF!</v>
      </c>
      <c r="R2384" s="126">
        <v>45889</v>
      </c>
    </row>
    <row r="2385" spans="2:18" ht="17.25" hidden="1" customHeight="1">
      <c r="B2385" s="23">
        <v>45882</v>
      </c>
      <c r="C2385" s="7">
        <v>2003758330</v>
      </c>
      <c r="D2385" s="20">
        <v>6104493</v>
      </c>
      <c r="E2385" s="27" t="s">
        <v>185</v>
      </c>
      <c r="F2385" s="7" t="s">
        <v>107</v>
      </c>
      <c r="G2385" s="7" t="s">
        <v>18</v>
      </c>
      <c r="H2385" s="7" t="s">
        <v>45</v>
      </c>
      <c r="I2385" s="20" t="s">
        <v>3521</v>
      </c>
      <c r="J2385" s="20" t="s">
        <v>3522</v>
      </c>
      <c r="K2385" s="7" t="s">
        <v>119</v>
      </c>
      <c r="L2385" s="61">
        <v>45888</v>
      </c>
      <c r="M2385" s="7" t="s">
        <v>111</v>
      </c>
      <c r="N2385" s="24">
        <v>45889</v>
      </c>
      <c r="O2385" s="24">
        <v>45889</v>
      </c>
      <c r="P2385" s="59"/>
      <c r="Q2385" s="124" t="e">
        <f>P2385*#REF!</f>
        <v>#REF!</v>
      </c>
      <c r="R2385" s="126">
        <v>45889</v>
      </c>
    </row>
    <row r="2386" spans="2:18" ht="17.25" hidden="1" customHeight="1">
      <c r="B2386" s="23">
        <v>45882</v>
      </c>
      <c r="C2386" s="7">
        <v>2003762314</v>
      </c>
      <c r="D2386" s="20">
        <v>6104598</v>
      </c>
      <c r="E2386" s="27" t="s">
        <v>149</v>
      </c>
      <c r="F2386" s="7" t="s">
        <v>107</v>
      </c>
      <c r="G2386" s="7" t="s">
        <v>10</v>
      </c>
      <c r="H2386" s="7" t="s">
        <v>45</v>
      </c>
      <c r="I2386" s="20" t="s">
        <v>3523</v>
      </c>
      <c r="J2386" s="20" t="s">
        <v>3524</v>
      </c>
      <c r="K2386" s="7" t="s">
        <v>119</v>
      </c>
      <c r="L2386" s="61">
        <v>45887</v>
      </c>
      <c r="M2386" s="7" t="s">
        <v>111</v>
      </c>
      <c r="N2386" s="61">
        <v>45888</v>
      </c>
      <c r="O2386" s="24">
        <v>45889</v>
      </c>
      <c r="P2386" s="59"/>
      <c r="Q2386" s="124" t="e">
        <f>P2386*#REF!</f>
        <v>#REF!</v>
      </c>
      <c r="R2386" s="126">
        <v>45893</v>
      </c>
    </row>
    <row r="2387" spans="2:18" ht="17.25" hidden="1" customHeight="1">
      <c r="B2387" s="23">
        <v>45882</v>
      </c>
      <c r="C2387" s="7">
        <v>2003762632</v>
      </c>
      <c r="D2387" s="20">
        <v>250782</v>
      </c>
      <c r="E2387" s="27" t="s">
        <v>106</v>
      </c>
      <c r="F2387" s="7" t="s">
        <v>107</v>
      </c>
      <c r="G2387" s="7" t="s">
        <v>10</v>
      </c>
      <c r="H2387" s="7" t="s">
        <v>45</v>
      </c>
      <c r="I2387" s="20" t="s">
        <v>925</v>
      </c>
      <c r="J2387" s="20" t="s">
        <v>3525</v>
      </c>
      <c r="K2387" s="7" t="s">
        <v>110</v>
      </c>
      <c r="L2387" s="61">
        <v>45887</v>
      </c>
      <c r="M2387" s="7" t="s">
        <v>111</v>
      </c>
      <c r="N2387" s="61">
        <v>45887</v>
      </c>
      <c r="O2387" s="24">
        <v>45889</v>
      </c>
      <c r="P2387" s="59"/>
      <c r="Q2387" s="124" t="e">
        <f>P2387*#REF!</f>
        <v>#REF!</v>
      </c>
      <c r="R2387" s="126">
        <v>45897</v>
      </c>
    </row>
    <row r="2388" spans="2:18" ht="17.25" hidden="1" customHeight="1">
      <c r="B2388" s="23">
        <v>45882</v>
      </c>
      <c r="C2388" s="7">
        <v>2003762344</v>
      </c>
      <c r="D2388" s="20">
        <v>250491</v>
      </c>
      <c r="E2388" s="27" t="s">
        <v>135</v>
      </c>
      <c r="F2388" s="7" t="s">
        <v>107</v>
      </c>
      <c r="G2388" s="7" t="s">
        <v>15</v>
      </c>
      <c r="H2388" s="7" t="s">
        <v>45</v>
      </c>
      <c r="I2388" s="20" t="s">
        <v>1671</v>
      </c>
      <c r="J2388" s="20" t="s">
        <v>3526</v>
      </c>
      <c r="K2388" s="7" t="s">
        <v>110</v>
      </c>
      <c r="L2388" s="61">
        <v>45894</v>
      </c>
      <c r="M2388" s="7" t="s">
        <v>111</v>
      </c>
      <c r="N2388" s="61">
        <v>45894</v>
      </c>
      <c r="O2388" s="61">
        <v>45894</v>
      </c>
      <c r="P2388" s="59"/>
      <c r="Q2388" s="124" t="e">
        <f>P2388*#REF!</f>
        <v>#REF!</v>
      </c>
      <c r="R2388" s="126">
        <v>45897</v>
      </c>
    </row>
    <row r="2389" spans="2:18" ht="17.25" hidden="1" customHeight="1">
      <c r="B2389" s="23">
        <v>45882</v>
      </c>
      <c r="C2389" s="7">
        <v>2003663612</v>
      </c>
      <c r="D2389" s="20">
        <v>250473</v>
      </c>
      <c r="E2389" s="27" t="s">
        <v>123</v>
      </c>
      <c r="F2389" s="7" t="s">
        <v>107</v>
      </c>
      <c r="G2389" s="7" t="s">
        <v>21</v>
      </c>
      <c r="H2389" s="7" t="s">
        <v>45</v>
      </c>
      <c r="I2389" s="20" t="s">
        <v>1802</v>
      </c>
      <c r="J2389" s="20" t="s">
        <v>1803</v>
      </c>
      <c r="K2389" s="7" t="s">
        <v>111</v>
      </c>
      <c r="L2389" s="61">
        <v>45882</v>
      </c>
      <c r="M2389" s="7" t="s">
        <v>111</v>
      </c>
      <c r="N2389" s="24">
        <v>45887</v>
      </c>
      <c r="O2389" s="58">
        <v>45887</v>
      </c>
      <c r="P2389" s="59"/>
      <c r="Q2389" s="124" t="e">
        <f>P2389*#REF!</f>
        <v>#REF!</v>
      </c>
      <c r="R2389" s="126">
        <v>45887</v>
      </c>
    </row>
    <row r="2390" spans="2:18" ht="17.25" hidden="1" customHeight="1">
      <c r="B2390" s="23">
        <v>45882</v>
      </c>
      <c r="C2390" s="7">
        <v>2003737498</v>
      </c>
      <c r="D2390" s="20">
        <v>249924</v>
      </c>
      <c r="E2390" s="27" t="s">
        <v>568</v>
      </c>
      <c r="F2390" s="7" t="s">
        <v>107</v>
      </c>
      <c r="G2390" s="7" t="s">
        <v>10</v>
      </c>
      <c r="H2390" s="7" t="s">
        <v>45</v>
      </c>
      <c r="I2390" s="20" t="s">
        <v>3527</v>
      </c>
      <c r="J2390" s="20" t="s">
        <v>3359</v>
      </c>
      <c r="K2390" s="7" t="s">
        <v>110</v>
      </c>
      <c r="L2390" s="61">
        <v>45888</v>
      </c>
      <c r="M2390" s="7" t="s">
        <v>111</v>
      </c>
      <c r="N2390" s="61">
        <v>45888</v>
      </c>
      <c r="O2390" s="58">
        <v>45890</v>
      </c>
      <c r="P2390" s="59"/>
      <c r="Q2390" s="124" t="e">
        <f>P2390*#REF!</f>
        <v>#REF!</v>
      </c>
      <c r="R2390" s="126">
        <v>45893</v>
      </c>
    </row>
    <row r="2391" spans="2:18" ht="17.25" hidden="1" customHeight="1">
      <c r="B2391" s="23">
        <v>45883</v>
      </c>
      <c r="C2391" s="7">
        <v>2003748066</v>
      </c>
      <c r="D2391" s="20">
        <v>6104938</v>
      </c>
      <c r="E2391" s="27" t="s">
        <v>230</v>
      </c>
      <c r="F2391" s="7" t="s">
        <v>107</v>
      </c>
      <c r="G2391" s="7" t="s">
        <v>10</v>
      </c>
      <c r="H2391" s="7" t="s">
        <v>45</v>
      </c>
      <c r="I2391" s="20" t="s">
        <v>3528</v>
      </c>
      <c r="J2391" s="20" t="s">
        <v>3529</v>
      </c>
      <c r="K2391" s="7" t="s">
        <v>119</v>
      </c>
      <c r="L2391" s="61">
        <v>45887</v>
      </c>
      <c r="M2391" s="7" t="s">
        <v>111</v>
      </c>
      <c r="N2391" s="61">
        <v>45888</v>
      </c>
      <c r="O2391" s="24">
        <v>45889</v>
      </c>
      <c r="P2391" s="59"/>
      <c r="Q2391" s="124" t="e">
        <f>P2391*#REF!</f>
        <v>#REF!</v>
      </c>
      <c r="R2391" s="126">
        <v>45893</v>
      </c>
    </row>
    <row r="2392" spans="2:18" ht="17.25" hidden="1" customHeight="1">
      <c r="B2392" s="23">
        <v>45883</v>
      </c>
      <c r="C2392" s="7">
        <v>2003757556</v>
      </c>
      <c r="D2392" s="20">
        <v>6104968</v>
      </c>
      <c r="E2392" s="27" t="s">
        <v>126</v>
      </c>
      <c r="F2392" s="7" t="s">
        <v>107</v>
      </c>
      <c r="G2392" s="7" t="s">
        <v>10</v>
      </c>
      <c r="H2392" s="7" t="s">
        <v>45</v>
      </c>
      <c r="I2392" s="20" t="s">
        <v>2583</v>
      </c>
      <c r="J2392" s="20" t="s">
        <v>3530</v>
      </c>
      <c r="K2392" s="7" t="s">
        <v>119</v>
      </c>
      <c r="L2392" s="61">
        <v>45888</v>
      </c>
      <c r="M2392" s="7" t="s">
        <v>111</v>
      </c>
      <c r="N2392" s="24">
        <v>45889</v>
      </c>
      <c r="O2392" s="24">
        <v>45889</v>
      </c>
      <c r="P2392" s="59"/>
      <c r="Q2392" s="124" t="e">
        <f>P2392*#REF!</f>
        <v>#REF!</v>
      </c>
      <c r="R2392" s="126">
        <v>45889</v>
      </c>
    </row>
    <row r="2393" spans="2:18" ht="17.25" hidden="1" customHeight="1">
      <c r="B2393" s="23">
        <v>45883</v>
      </c>
      <c r="C2393" s="7">
        <v>2003763686</v>
      </c>
      <c r="D2393" s="20">
        <v>6105064</v>
      </c>
      <c r="E2393" s="27" t="s">
        <v>149</v>
      </c>
      <c r="F2393" s="7" t="s">
        <v>107</v>
      </c>
      <c r="G2393" s="7" t="s">
        <v>10</v>
      </c>
      <c r="H2393" s="7" t="s">
        <v>45</v>
      </c>
      <c r="I2393" s="20" t="s">
        <v>778</v>
      </c>
      <c r="J2393" s="20" t="s">
        <v>848</v>
      </c>
      <c r="K2393" s="7" t="s">
        <v>119</v>
      </c>
      <c r="L2393" s="61">
        <v>45888</v>
      </c>
      <c r="M2393" s="7" t="s">
        <v>111</v>
      </c>
      <c r="N2393" s="24">
        <v>45889</v>
      </c>
      <c r="O2393" s="58">
        <v>45894</v>
      </c>
      <c r="P2393" s="59"/>
      <c r="Q2393" s="124" t="e">
        <f>P2393*#REF!</f>
        <v>#REF!</v>
      </c>
      <c r="R2393" s="126">
        <v>45895</v>
      </c>
    </row>
    <row r="2394" spans="2:18" ht="17.25" hidden="1" customHeight="1">
      <c r="B2394" s="23">
        <v>45883</v>
      </c>
      <c r="C2394" s="7">
        <v>2003758521</v>
      </c>
      <c r="D2394" s="20">
        <v>6105150</v>
      </c>
      <c r="E2394" s="27" t="s">
        <v>201</v>
      </c>
      <c r="F2394" s="7" t="s">
        <v>107</v>
      </c>
      <c r="G2394" s="7" t="s">
        <v>10</v>
      </c>
      <c r="H2394" s="7" t="s">
        <v>45</v>
      </c>
      <c r="I2394" s="20" t="s">
        <v>3531</v>
      </c>
      <c r="J2394" s="20" t="s">
        <v>3532</v>
      </c>
      <c r="K2394" s="7" t="s">
        <v>119</v>
      </c>
      <c r="L2394" s="61">
        <v>45887</v>
      </c>
      <c r="M2394" s="7" t="s">
        <v>111</v>
      </c>
      <c r="N2394" s="61">
        <v>45888</v>
      </c>
      <c r="O2394" s="61">
        <v>45891</v>
      </c>
      <c r="P2394" s="59"/>
      <c r="Q2394" s="124" t="e">
        <f>P2394*#REF!</f>
        <v>#REF!</v>
      </c>
      <c r="R2394" s="126">
        <v>45897</v>
      </c>
    </row>
    <row r="2395" spans="2:18" ht="17.25" hidden="1" customHeight="1">
      <c r="B2395" s="23">
        <v>45883</v>
      </c>
      <c r="C2395" s="7">
        <v>2003753371</v>
      </c>
      <c r="D2395" s="20">
        <v>6105152</v>
      </c>
      <c r="E2395" s="27" t="s">
        <v>116</v>
      </c>
      <c r="F2395" s="7" t="s">
        <v>107</v>
      </c>
      <c r="G2395" s="7" t="s">
        <v>10</v>
      </c>
      <c r="H2395" s="7" t="s">
        <v>45</v>
      </c>
      <c r="I2395" s="20" t="s">
        <v>3533</v>
      </c>
      <c r="J2395" s="20" t="s">
        <v>3534</v>
      </c>
      <c r="K2395" s="7" t="s">
        <v>119</v>
      </c>
      <c r="L2395" s="61">
        <v>45889</v>
      </c>
      <c r="M2395" s="7" t="s">
        <v>111</v>
      </c>
      <c r="N2395" s="61">
        <v>45889</v>
      </c>
      <c r="O2395" s="61">
        <v>45889</v>
      </c>
      <c r="P2395" s="59"/>
      <c r="Q2395" s="124" t="e">
        <f>P2395*#REF!</f>
        <v>#REF!</v>
      </c>
      <c r="R2395" s="126">
        <v>45893</v>
      </c>
    </row>
    <row r="2396" spans="2:18" ht="17.25" hidden="1" customHeight="1">
      <c r="B2396" s="23">
        <v>45883</v>
      </c>
      <c r="C2396" s="7">
        <v>2003740340</v>
      </c>
      <c r="D2396" s="20">
        <v>6105282</v>
      </c>
      <c r="E2396" s="27" t="s">
        <v>185</v>
      </c>
      <c r="F2396" s="7" t="s">
        <v>107</v>
      </c>
      <c r="G2396" s="7" t="s">
        <v>10</v>
      </c>
      <c r="H2396" s="7" t="s">
        <v>45</v>
      </c>
      <c r="I2396" s="20" t="s">
        <v>3535</v>
      </c>
      <c r="J2396" s="20" t="s">
        <v>3536</v>
      </c>
      <c r="K2396" s="7" t="s">
        <v>119</v>
      </c>
      <c r="L2396" s="61">
        <v>45887</v>
      </c>
      <c r="M2396" s="7" t="s">
        <v>111</v>
      </c>
      <c r="N2396" s="61">
        <v>45888</v>
      </c>
      <c r="O2396" s="24">
        <v>45889</v>
      </c>
      <c r="P2396" s="59"/>
      <c r="Q2396" s="124" t="e">
        <f>P2396*#REF!</f>
        <v>#REF!</v>
      </c>
      <c r="R2396" s="126">
        <v>45893</v>
      </c>
    </row>
    <row r="2397" spans="2:18" ht="17.25" hidden="1" customHeight="1">
      <c r="B2397" s="23">
        <v>45883</v>
      </c>
      <c r="C2397" s="7">
        <v>2003749812</v>
      </c>
      <c r="D2397" s="20">
        <v>6105335</v>
      </c>
      <c r="E2397" s="27" t="s">
        <v>366</v>
      </c>
      <c r="F2397" s="7" t="s">
        <v>107</v>
      </c>
      <c r="G2397" s="7" t="s">
        <v>15</v>
      </c>
      <c r="H2397" s="7" t="s">
        <v>45</v>
      </c>
      <c r="I2397" s="20" t="s">
        <v>1422</v>
      </c>
      <c r="J2397" s="20" t="s">
        <v>3537</v>
      </c>
      <c r="K2397" s="7" t="s">
        <v>110</v>
      </c>
      <c r="L2397" s="61">
        <v>45891</v>
      </c>
      <c r="M2397" s="7" t="s">
        <v>111</v>
      </c>
      <c r="N2397" s="61">
        <v>45891</v>
      </c>
      <c r="O2397" s="58">
        <v>45894</v>
      </c>
      <c r="P2397" s="59"/>
      <c r="Q2397" s="124" t="e">
        <f>P2397*#REF!</f>
        <v>#REF!</v>
      </c>
      <c r="R2397" s="126">
        <v>45897</v>
      </c>
    </row>
    <row r="2398" spans="2:18" ht="17.25" hidden="1" customHeight="1">
      <c r="B2398" s="23">
        <v>45883</v>
      </c>
      <c r="C2398" s="7">
        <v>2003761138</v>
      </c>
      <c r="D2398" s="20">
        <v>6105354</v>
      </c>
      <c r="E2398" s="27" t="s">
        <v>106</v>
      </c>
      <c r="F2398" s="7" t="s">
        <v>107</v>
      </c>
      <c r="G2398" s="7" t="s">
        <v>10</v>
      </c>
      <c r="H2398" s="7" t="s">
        <v>45</v>
      </c>
      <c r="I2398" s="20" t="s">
        <v>947</v>
      </c>
      <c r="J2398" s="20" t="s">
        <v>3538</v>
      </c>
      <c r="K2398" s="7" t="s">
        <v>110</v>
      </c>
      <c r="L2398" s="61">
        <v>45887</v>
      </c>
      <c r="M2398" s="7" t="s">
        <v>111</v>
      </c>
      <c r="N2398" s="61">
        <v>45887</v>
      </c>
      <c r="O2398" s="24">
        <v>45889</v>
      </c>
      <c r="P2398" s="59"/>
      <c r="Q2398" s="124" t="e">
        <f>P2398*#REF!</f>
        <v>#REF!</v>
      </c>
      <c r="R2398" s="126">
        <v>45893</v>
      </c>
    </row>
    <row r="2399" spans="2:18" ht="17.25" hidden="1" customHeight="1">
      <c r="B2399" s="23">
        <v>45883</v>
      </c>
      <c r="C2399" s="7">
        <v>2003764380</v>
      </c>
      <c r="D2399" s="20">
        <v>252092</v>
      </c>
      <c r="E2399" s="27" t="s">
        <v>258</v>
      </c>
      <c r="F2399" s="7" t="s">
        <v>107</v>
      </c>
      <c r="G2399" s="7" t="s">
        <v>10</v>
      </c>
      <c r="H2399" s="7" t="s">
        <v>45</v>
      </c>
      <c r="I2399" s="20" t="s">
        <v>3539</v>
      </c>
      <c r="J2399" s="20" t="s">
        <v>1321</v>
      </c>
      <c r="K2399" s="7" t="s">
        <v>119</v>
      </c>
      <c r="L2399" s="61">
        <v>45887</v>
      </c>
      <c r="M2399" s="7" t="s">
        <v>111</v>
      </c>
      <c r="N2399" s="61">
        <v>45888</v>
      </c>
      <c r="O2399" s="24">
        <v>45889</v>
      </c>
      <c r="P2399" s="59"/>
      <c r="Q2399" s="124" t="e">
        <f>P2399*#REF!</f>
        <v>#REF!</v>
      </c>
      <c r="R2399" s="126">
        <v>45893</v>
      </c>
    </row>
    <row r="2400" spans="2:18" ht="17.25" hidden="1" customHeight="1">
      <c r="B2400" s="23">
        <v>45883</v>
      </c>
      <c r="C2400" s="7">
        <v>2003763649</v>
      </c>
      <c r="D2400" s="20">
        <v>252163</v>
      </c>
      <c r="E2400" s="27" t="s">
        <v>123</v>
      </c>
      <c r="F2400" s="7" t="s">
        <v>107</v>
      </c>
      <c r="G2400" s="7" t="s">
        <v>10</v>
      </c>
      <c r="H2400" s="7" t="s">
        <v>45</v>
      </c>
      <c r="I2400" s="20" t="s">
        <v>3540</v>
      </c>
      <c r="J2400" s="20" t="s">
        <v>3541</v>
      </c>
      <c r="K2400" s="7" t="s">
        <v>119</v>
      </c>
      <c r="L2400" s="61">
        <v>45887</v>
      </c>
      <c r="M2400" s="7" t="s">
        <v>111</v>
      </c>
      <c r="N2400" s="61">
        <v>45888</v>
      </c>
      <c r="O2400" s="24">
        <v>45889</v>
      </c>
      <c r="P2400" s="59"/>
      <c r="Q2400" s="124" t="e">
        <f>P2400*#REF!</f>
        <v>#REF!</v>
      </c>
      <c r="R2400" s="126">
        <v>45893</v>
      </c>
    </row>
    <row r="2401" spans="2:18" ht="17.25" hidden="1" customHeight="1">
      <c r="B2401" s="23">
        <v>45883</v>
      </c>
      <c r="C2401" s="7">
        <v>2003758452</v>
      </c>
      <c r="D2401" s="20">
        <v>252153</v>
      </c>
      <c r="E2401" s="27" t="s">
        <v>1485</v>
      </c>
      <c r="F2401" s="7" t="s">
        <v>107</v>
      </c>
      <c r="G2401" s="7" t="s">
        <v>10</v>
      </c>
      <c r="H2401" s="7" t="s">
        <v>45</v>
      </c>
      <c r="I2401" s="20" t="s">
        <v>3542</v>
      </c>
      <c r="J2401" s="20" t="s">
        <v>3543</v>
      </c>
      <c r="K2401" s="7" t="s">
        <v>119</v>
      </c>
      <c r="L2401" s="61">
        <v>45887</v>
      </c>
      <c r="M2401" s="7" t="s">
        <v>111</v>
      </c>
      <c r="N2401" s="24">
        <v>45898</v>
      </c>
      <c r="O2401" s="58">
        <v>45902</v>
      </c>
      <c r="P2401" s="59"/>
      <c r="Q2401" s="124" t="e">
        <f>P2401*#REF!</f>
        <v>#REF!</v>
      </c>
      <c r="R2401" s="126">
        <v>45908</v>
      </c>
    </row>
    <row r="2402" spans="2:18" ht="17.25" hidden="1" customHeight="1">
      <c r="B2402" s="23">
        <v>45883</v>
      </c>
      <c r="C2402" s="7">
        <v>2003758836</v>
      </c>
      <c r="D2402" s="20">
        <v>251632</v>
      </c>
      <c r="E2402" s="27" t="s">
        <v>566</v>
      </c>
      <c r="F2402" s="7" t="s">
        <v>107</v>
      </c>
      <c r="G2402" s="7" t="s">
        <v>10</v>
      </c>
      <c r="H2402" s="7" t="s">
        <v>45</v>
      </c>
      <c r="I2402" s="20" t="s">
        <v>3544</v>
      </c>
      <c r="J2402" s="20" t="s">
        <v>3545</v>
      </c>
      <c r="K2402" s="7" t="s">
        <v>119</v>
      </c>
      <c r="L2402" s="61">
        <v>45887</v>
      </c>
      <c r="M2402" s="7" t="s">
        <v>111</v>
      </c>
      <c r="N2402" s="61">
        <v>45888</v>
      </c>
      <c r="O2402" s="24">
        <v>45889</v>
      </c>
      <c r="P2402" s="59"/>
      <c r="Q2402" s="124" t="e">
        <f>P2402*#REF!</f>
        <v>#REF!</v>
      </c>
      <c r="R2402" s="126">
        <v>45893</v>
      </c>
    </row>
    <row r="2403" spans="2:18" ht="17.25" hidden="1" customHeight="1">
      <c r="B2403" s="23">
        <v>45883</v>
      </c>
      <c r="C2403" s="7">
        <v>2003668863</v>
      </c>
      <c r="D2403" s="20">
        <v>251711</v>
      </c>
      <c r="E2403" s="27" t="s">
        <v>152</v>
      </c>
      <c r="F2403" s="7" t="s">
        <v>107</v>
      </c>
      <c r="G2403" s="7" t="s">
        <v>10</v>
      </c>
      <c r="H2403" s="7" t="s">
        <v>45</v>
      </c>
      <c r="I2403" s="20" t="s">
        <v>3546</v>
      </c>
      <c r="J2403" s="20" t="s">
        <v>3547</v>
      </c>
      <c r="K2403" s="7" t="s">
        <v>119</v>
      </c>
      <c r="L2403" s="61">
        <v>45887</v>
      </c>
      <c r="M2403" s="7" t="s">
        <v>111</v>
      </c>
      <c r="N2403" s="61">
        <v>45888</v>
      </c>
      <c r="O2403" s="58">
        <v>45890</v>
      </c>
      <c r="P2403" s="59"/>
      <c r="Q2403" s="124" t="e">
        <f>P2403*#REF!</f>
        <v>#REF!</v>
      </c>
      <c r="R2403" s="126">
        <v>45893</v>
      </c>
    </row>
    <row r="2404" spans="2:18" ht="17.25" hidden="1" customHeight="1">
      <c r="B2404" s="23">
        <v>45883</v>
      </c>
      <c r="C2404" s="7">
        <v>2003762784</v>
      </c>
      <c r="D2404" s="20">
        <v>251157</v>
      </c>
      <c r="E2404" s="27" t="s">
        <v>143</v>
      </c>
      <c r="F2404" s="7" t="s">
        <v>113</v>
      </c>
      <c r="G2404" s="7" t="s">
        <v>70</v>
      </c>
      <c r="H2404" s="7" t="s">
        <v>47</v>
      </c>
      <c r="I2404" s="20" t="s">
        <v>136</v>
      </c>
      <c r="J2404" s="20" t="s">
        <v>3548</v>
      </c>
      <c r="K2404" s="7" t="s">
        <v>160</v>
      </c>
      <c r="P2404" s="59"/>
      <c r="Q2404" s="124" t="e">
        <f>P2404*#REF!</f>
        <v>#REF!</v>
      </c>
      <c r="R2404" s="126">
        <v>45910</v>
      </c>
    </row>
    <row r="2405" spans="2:18" ht="17.25" hidden="1" customHeight="1">
      <c r="B2405" s="23">
        <v>45887</v>
      </c>
      <c r="C2405" s="7">
        <v>2003765345</v>
      </c>
      <c r="D2405" s="20">
        <v>6105794</v>
      </c>
      <c r="E2405" s="27" t="s">
        <v>123</v>
      </c>
      <c r="F2405" s="7" t="s">
        <v>107</v>
      </c>
      <c r="G2405" s="7" t="s">
        <v>10</v>
      </c>
      <c r="H2405" s="7" t="s">
        <v>45</v>
      </c>
      <c r="I2405" s="20" t="s">
        <v>3549</v>
      </c>
      <c r="J2405" s="20" t="s">
        <v>3550</v>
      </c>
      <c r="K2405" s="7" t="s">
        <v>119</v>
      </c>
      <c r="L2405" s="61">
        <v>45890</v>
      </c>
      <c r="M2405" s="7" t="s">
        <v>111</v>
      </c>
      <c r="N2405" s="24">
        <v>45897</v>
      </c>
      <c r="O2405" s="24">
        <v>45897</v>
      </c>
      <c r="P2405" s="59"/>
      <c r="Q2405" s="124" t="e">
        <f>P2405*#REF!</f>
        <v>#REF!</v>
      </c>
      <c r="R2405" s="126">
        <v>45897</v>
      </c>
    </row>
    <row r="2406" spans="2:18" ht="17.25" hidden="1" customHeight="1">
      <c r="B2406" s="23">
        <v>45887</v>
      </c>
      <c r="C2406" s="7">
        <v>2003761052</v>
      </c>
      <c r="D2406" s="20">
        <v>6105910</v>
      </c>
      <c r="E2406" s="27" t="s">
        <v>126</v>
      </c>
      <c r="F2406" s="7" t="s">
        <v>107</v>
      </c>
      <c r="G2406" s="7" t="s">
        <v>10</v>
      </c>
      <c r="H2406" s="7" t="s">
        <v>45</v>
      </c>
      <c r="I2406" s="20" t="s">
        <v>671</v>
      </c>
      <c r="J2406" s="20">
        <v>1793531</v>
      </c>
      <c r="K2406" s="7" t="s">
        <v>119</v>
      </c>
      <c r="L2406" s="61">
        <v>45890</v>
      </c>
      <c r="M2406" s="7" t="s">
        <v>111</v>
      </c>
      <c r="N2406" s="24">
        <v>45891</v>
      </c>
      <c r="O2406" s="24">
        <v>45891</v>
      </c>
      <c r="P2406" s="59"/>
      <c r="Q2406" s="124" t="e">
        <f>P2406*#REF!</f>
        <v>#REF!</v>
      </c>
      <c r="R2406" s="126">
        <v>45893</v>
      </c>
    </row>
    <row r="2407" spans="2:18" ht="17.25" hidden="1" customHeight="1">
      <c r="B2407" s="23">
        <v>45887</v>
      </c>
      <c r="C2407" s="7">
        <v>2003734067</v>
      </c>
      <c r="D2407" s="20">
        <v>6105922</v>
      </c>
      <c r="E2407" s="27" t="s">
        <v>106</v>
      </c>
      <c r="F2407" s="7" t="s">
        <v>107</v>
      </c>
      <c r="G2407" s="7" t="s">
        <v>10</v>
      </c>
      <c r="H2407" s="7" t="s">
        <v>45</v>
      </c>
      <c r="I2407" s="20" t="s">
        <v>3551</v>
      </c>
      <c r="J2407" s="20" t="s">
        <v>3552</v>
      </c>
      <c r="K2407" s="7" t="s">
        <v>119</v>
      </c>
      <c r="L2407" s="61">
        <v>45895</v>
      </c>
      <c r="M2407" s="7" t="s">
        <v>111</v>
      </c>
      <c r="N2407" s="24">
        <v>45904</v>
      </c>
      <c r="O2407" s="24">
        <v>45904</v>
      </c>
      <c r="P2407" s="59"/>
      <c r="Q2407" s="124" t="e">
        <f>P2407*#REF!</f>
        <v>#REF!</v>
      </c>
      <c r="R2407" s="126">
        <v>45905</v>
      </c>
    </row>
    <row r="2408" spans="2:18" ht="17.25" hidden="1" customHeight="1">
      <c r="B2408" s="23">
        <v>45887</v>
      </c>
      <c r="C2408" s="7">
        <v>2003761629</v>
      </c>
      <c r="D2408" s="20">
        <v>6106201</v>
      </c>
      <c r="E2408" s="27" t="s">
        <v>198</v>
      </c>
      <c r="F2408" s="7" t="s">
        <v>113</v>
      </c>
      <c r="P2408" s="59"/>
      <c r="Q2408" s="124" t="e">
        <f>P2408*#REF!</f>
        <v>#REF!</v>
      </c>
    </row>
    <row r="2409" spans="2:18" ht="17.25" hidden="1" customHeight="1">
      <c r="B2409" s="23">
        <v>45887</v>
      </c>
      <c r="C2409" s="7">
        <v>2003765834</v>
      </c>
      <c r="D2409" s="20">
        <v>6106237</v>
      </c>
      <c r="E2409" s="27" t="s">
        <v>198</v>
      </c>
      <c r="F2409" s="7" t="s">
        <v>107</v>
      </c>
      <c r="G2409" s="7" t="s">
        <v>10</v>
      </c>
      <c r="H2409" s="7" t="s">
        <v>45</v>
      </c>
      <c r="I2409" s="20" t="s">
        <v>3553</v>
      </c>
      <c r="J2409" s="20" t="s">
        <v>3554</v>
      </c>
      <c r="K2409" s="7" t="s">
        <v>119</v>
      </c>
      <c r="L2409" s="61">
        <v>45888</v>
      </c>
      <c r="M2409" s="7" t="s">
        <v>111</v>
      </c>
      <c r="N2409" s="24">
        <v>45889</v>
      </c>
      <c r="O2409" s="58">
        <v>45894</v>
      </c>
      <c r="P2409" s="59"/>
      <c r="Q2409" s="124" t="e">
        <f>P2409*#REF!</f>
        <v>#REF!</v>
      </c>
      <c r="R2409" s="126">
        <v>45897</v>
      </c>
    </row>
    <row r="2410" spans="2:18" ht="17.25" hidden="1" customHeight="1">
      <c r="B2410" s="23">
        <v>45887</v>
      </c>
      <c r="C2410" s="7">
        <v>2003729995</v>
      </c>
      <c r="D2410" s="20">
        <v>6106271</v>
      </c>
      <c r="E2410" s="27" t="s">
        <v>116</v>
      </c>
      <c r="F2410" s="7" t="s">
        <v>107</v>
      </c>
      <c r="G2410" s="7" t="s">
        <v>26</v>
      </c>
      <c r="H2410" s="7" t="s">
        <v>45</v>
      </c>
      <c r="I2410" s="20" t="s">
        <v>3555</v>
      </c>
      <c r="J2410" s="20" t="s">
        <v>3509</v>
      </c>
      <c r="K2410" s="7" t="s">
        <v>119</v>
      </c>
      <c r="L2410" s="61">
        <v>45889</v>
      </c>
      <c r="M2410" s="7" t="s">
        <v>111</v>
      </c>
      <c r="N2410" s="24">
        <v>45893</v>
      </c>
      <c r="O2410" s="58">
        <v>45893</v>
      </c>
      <c r="P2410" s="59"/>
      <c r="Q2410" s="124" t="e">
        <f>P2410*#REF!</f>
        <v>#REF!</v>
      </c>
      <c r="R2410" s="126">
        <v>45893</v>
      </c>
    </row>
    <row r="2411" spans="2:18" ht="17.25" hidden="1" customHeight="1">
      <c r="B2411" s="23">
        <v>45887</v>
      </c>
      <c r="C2411" s="7">
        <v>2003620019</v>
      </c>
      <c r="D2411" s="20">
        <v>6106295</v>
      </c>
      <c r="E2411" s="27" t="s">
        <v>129</v>
      </c>
      <c r="F2411" s="7" t="s">
        <v>107</v>
      </c>
      <c r="G2411" s="7" t="s">
        <v>21</v>
      </c>
      <c r="H2411" s="7" t="s">
        <v>45</v>
      </c>
      <c r="I2411" s="20" t="s">
        <v>3055</v>
      </c>
      <c r="J2411" s="20" t="s">
        <v>605</v>
      </c>
      <c r="K2411" s="7" t="s">
        <v>119</v>
      </c>
      <c r="L2411" s="61">
        <v>45888</v>
      </c>
      <c r="M2411" s="7" t="s">
        <v>111</v>
      </c>
      <c r="N2411" s="24">
        <v>45889</v>
      </c>
      <c r="O2411" s="24">
        <v>45889</v>
      </c>
      <c r="P2411" s="59"/>
      <c r="Q2411" s="124" t="e">
        <f>P2411*#REF!</f>
        <v>#REF!</v>
      </c>
      <c r="R2411" s="126">
        <v>45889</v>
      </c>
    </row>
    <row r="2412" spans="2:18" ht="17.25" hidden="1" customHeight="1">
      <c r="B2412" s="23">
        <v>45887</v>
      </c>
      <c r="C2412" s="7">
        <v>2003764254</v>
      </c>
      <c r="D2412" s="20">
        <v>6106327</v>
      </c>
      <c r="E2412" s="27" t="s">
        <v>191</v>
      </c>
      <c r="F2412" s="7" t="s">
        <v>107</v>
      </c>
      <c r="G2412" s="7" t="s">
        <v>18</v>
      </c>
      <c r="H2412" s="7" t="s">
        <v>45</v>
      </c>
      <c r="I2412" s="20" t="s">
        <v>3556</v>
      </c>
      <c r="J2412" s="20" t="s">
        <v>3557</v>
      </c>
      <c r="K2412" s="7" t="s">
        <v>110</v>
      </c>
      <c r="L2412" s="61">
        <v>45890</v>
      </c>
      <c r="M2412" s="7" t="s">
        <v>111</v>
      </c>
      <c r="N2412" s="61">
        <v>45890</v>
      </c>
      <c r="O2412" s="58">
        <v>45894</v>
      </c>
      <c r="P2412" s="59"/>
      <c r="Q2412" s="124" t="e">
        <f>P2412*#REF!</f>
        <v>#REF!</v>
      </c>
      <c r="R2412" s="126">
        <v>45897</v>
      </c>
    </row>
    <row r="2413" spans="2:18" ht="17.25" hidden="1" customHeight="1">
      <c r="B2413" s="23">
        <v>45887</v>
      </c>
      <c r="C2413" s="7">
        <v>2003748256</v>
      </c>
      <c r="D2413" s="20">
        <v>254414</v>
      </c>
      <c r="E2413" s="27" t="s">
        <v>191</v>
      </c>
      <c r="F2413" s="7" t="s">
        <v>107</v>
      </c>
      <c r="G2413" s="7" t="s">
        <v>10</v>
      </c>
      <c r="H2413" s="7" t="s">
        <v>45</v>
      </c>
      <c r="I2413" s="20" t="s">
        <v>333</v>
      </c>
      <c r="J2413" s="20" t="s">
        <v>3558</v>
      </c>
      <c r="K2413" s="7" t="s">
        <v>110</v>
      </c>
      <c r="L2413" s="61">
        <v>45889</v>
      </c>
      <c r="M2413" s="7" t="s">
        <v>111</v>
      </c>
      <c r="N2413" s="61">
        <v>45889</v>
      </c>
      <c r="O2413" s="61">
        <v>45889</v>
      </c>
      <c r="P2413" s="59"/>
      <c r="Q2413" s="124" t="e">
        <f>P2413*#REF!</f>
        <v>#REF!</v>
      </c>
      <c r="R2413" s="126">
        <v>45893</v>
      </c>
    </row>
    <row r="2414" spans="2:18" ht="17.25" hidden="1" customHeight="1">
      <c r="B2414" s="23">
        <v>45887</v>
      </c>
      <c r="C2414" s="7">
        <v>2003721035</v>
      </c>
      <c r="D2414" s="20">
        <v>254328</v>
      </c>
      <c r="E2414" s="27" t="s">
        <v>123</v>
      </c>
      <c r="F2414" s="7" t="s">
        <v>107</v>
      </c>
      <c r="G2414" s="7" t="s">
        <v>26</v>
      </c>
      <c r="H2414" s="7" t="s">
        <v>45</v>
      </c>
      <c r="I2414" s="236" t="s">
        <v>3559</v>
      </c>
      <c r="J2414" s="20" t="s">
        <v>3141</v>
      </c>
      <c r="K2414" s="7" t="s">
        <v>110</v>
      </c>
      <c r="L2414" s="61">
        <v>45889</v>
      </c>
      <c r="M2414" s="7" t="s">
        <v>111</v>
      </c>
      <c r="N2414" s="24">
        <v>45897</v>
      </c>
      <c r="O2414" s="58">
        <v>45897</v>
      </c>
      <c r="P2414" s="59"/>
      <c r="Q2414" s="124" t="e">
        <f>P2414*#REF!</f>
        <v>#REF!</v>
      </c>
      <c r="R2414" s="126">
        <v>45897</v>
      </c>
    </row>
    <row r="2415" spans="2:18" ht="17.25" hidden="1" customHeight="1">
      <c r="B2415" s="23">
        <v>45887</v>
      </c>
      <c r="C2415" s="7">
        <v>2003615284</v>
      </c>
      <c r="D2415" s="20">
        <v>254326</v>
      </c>
      <c r="E2415" s="27" t="s">
        <v>123</v>
      </c>
      <c r="F2415" s="7" t="s">
        <v>107</v>
      </c>
      <c r="G2415" s="7" t="s">
        <v>21</v>
      </c>
      <c r="H2415" s="7" t="s">
        <v>45</v>
      </c>
      <c r="I2415" s="20" t="s">
        <v>796</v>
      </c>
      <c r="J2415" s="20" t="s">
        <v>797</v>
      </c>
      <c r="K2415" s="7" t="s">
        <v>119</v>
      </c>
      <c r="L2415" s="61">
        <v>45888</v>
      </c>
      <c r="M2415" s="7" t="s">
        <v>111</v>
      </c>
      <c r="N2415" s="24">
        <v>45889</v>
      </c>
      <c r="O2415" s="24">
        <v>45889</v>
      </c>
      <c r="P2415" s="59"/>
      <c r="Q2415" s="124" t="e">
        <f>P2415*#REF!</f>
        <v>#REF!</v>
      </c>
      <c r="R2415" s="126">
        <v>45893</v>
      </c>
    </row>
    <row r="2416" spans="2:18" ht="17.25" hidden="1" customHeight="1">
      <c r="B2416" s="23">
        <v>45887</v>
      </c>
      <c r="C2416" s="7">
        <v>2003708067</v>
      </c>
      <c r="D2416" s="20">
        <v>254047</v>
      </c>
      <c r="E2416" s="27" t="s">
        <v>191</v>
      </c>
      <c r="F2416" s="7" t="s">
        <v>107</v>
      </c>
      <c r="G2416" s="7" t="s">
        <v>10</v>
      </c>
      <c r="H2416" s="7" t="s">
        <v>45</v>
      </c>
      <c r="I2416" s="20" t="s">
        <v>3560</v>
      </c>
      <c r="J2416" s="20" t="s">
        <v>3561</v>
      </c>
      <c r="K2416" s="7" t="s">
        <v>110</v>
      </c>
      <c r="L2416" s="61">
        <v>45889</v>
      </c>
      <c r="M2416" s="7" t="s">
        <v>111</v>
      </c>
      <c r="N2416" s="61">
        <v>45889</v>
      </c>
      <c r="O2416" s="61">
        <v>45889</v>
      </c>
      <c r="P2416" s="59"/>
      <c r="Q2416" s="124" t="e">
        <f>P2416*#REF!</f>
        <v>#REF!</v>
      </c>
      <c r="R2416" s="126">
        <v>45893</v>
      </c>
    </row>
    <row r="2417" spans="2:18" ht="17.25" hidden="1" customHeight="1">
      <c r="B2417" s="23">
        <v>45887</v>
      </c>
      <c r="C2417" s="7">
        <v>2003756593</v>
      </c>
      <c r="D2417" s="20">
        <v>253711</v>
      </c>
      <c r="E2417" s="27" t="s">
        <v>123</v>
      </c>
      <c r="F2417" s="7" t="s">
        <v>107</v>
      </c>
      <c r="G2417" s="7" t="s">
        <v>10</v>
      </c>
      <c r="H2417" s="7" t="s">
        <v>45</v>
      </c>
      <c r="I2417" s="20" t="s">
        <v>3562</v>
      </c>
      <c r="J2417" s="20" t="s">
        <v>3563</v>
      </c>
      <c r="K2417" s="7" t="s">
        <v>119</v>
      </c>
      <c r="L2417" s="61">
        <v>45890</v>
      </c>
      <c r="M2417" s="7" t="s">
        <v>111</v>
      </c>
      <c r="N2417" s="24">
        <v>45897</v>
      </c>
      <c r="O2417" s="24">
        <v>45897</v>
      </c>
      <c r="P2417" s="59"/>
      <c r="Q2417" s="124" t="e">
        <f>P2417*#REF!</f>
        <v>#REF!</v>
      </c>
      <c r="R2417" s="126">
        <v>45897</v>
      </c>
    </row>
    <row r="2418" spans="2:18" ht="17.25" hidden="1" customHeight="1">
      <c r="B2418" s="23">
        <v>45887</v>
      </c>
      <c r="C2418" s="7">
        <v>2003761164</v>
      </c>
      <c r="D2418" s="20">
        <v>253705</v>
      </c>
      <c r="E2418" s="27" t="s">
        <v>1485</v>
      </c>
      <c r="F2418" s="7" t="s">
        <v>107</v>
      </c>
      <c r="G2418" s="7" t="s">
        <v>10</v>
      </c>
      <c r="H2418" s="7" t="s">
        <v>45</v>
      </c>
      <c r="I2418" s="20" t="s">
        <v>3564</v>
      </c>
      <c r="J2418" s="20" t="s">
        <v>3565</v>
      </c>
      <c r="K2418" s="7" t="s">
        <v>119</v>
      </c>
      <c r="L2418" s="61">
        <v>45890</v>
      </c>
      <c r="M2418" s="7" t="s">
        <v>111</v>
      </c>
      <c r="N2418" s="61">
        <v>45890</v>
      </c>
      <c r="O2418" s="58">
        <v>45894</v>
      </c>
      <c r="P2418" s="59"/>
      <c r="Q2418" s="124" t="e">
        <f>P2418*#REF!</f>
        <v>#REF!</v>
      </c>
      <c r="R2418" s="126">
        <v>45897</v>
      </c>
    </row>
    <row r="2419" spans="2:18" ht="17.25" hidden="1" customHeight="1">
      <c r="B2419" s="23">
        <v>45887</v>
      </c>
      <c r="C2419" s="7">
        <v>2003763884</v>
      </c>
      <c r="D2419" s="20">
        <v>253527</v>
      </c>
      <c r="E2419" s="27" t="s">
        <v>191</v>
      </c>
      <c r="F2419" s="7" t="s">
        <v>107</v>
      </c>
      <c r="G2419" s="7" t="s">
        <v>10</v>
      </c>
      <c r="H2419" s="7" t="s">
        <v>45</v>
      </c>
      <c r="I2419" s="20" t="s">
        <v>489</v>
      </c>
      <c r="J2419" s="20" t="s">
        <v>3566</v>
      </c>
      <c r="K2419" s="7" t="s">
        <v>119</v>
      </c>
      <c r="L2419" s="61">
        <v>45888</v>
      </c>
      <c r="M2419" s="7" t="s">
        <v>111</v>
      </c>
      <c r="N2419" s="24">
        <v>45889</v>
      </c>
      <c r="O2419" s="24">
        <v>45889</v>
      </c>
      <c r="P2419" s="59"/>
      <c r="Q2419" s="124" t="e">
        <f>P2419*#REF!</f>
        <v>#REF!</v>
      </c>
      <c r="R2419" s="126">
        <v>45893</v>
      </c>
    </row>
    <row r="2420" spans="2:18" ht="17.25" hidden="1" customHeight="1">
      <c r="B2420" s="23">
        <v>45888</v>
      </c>
      <c r="C2420" s="7">
        <v>2003769135</v>
      </c>
      <c r="D2420" s="20">
        <v>256047</v>
      </c>
      <c r="E2420" s="27" t="s">
        <v>126</v>
      </c>
      <c r="F2420" s="7" t="s">
        <v>107</v>
      </c>
      <c r="G2420" s="7" t="s">
        <v>18</v>
      </c>
      <c r="H2420" s="7" t="s">
        <v>45</v>
      </c>
      <c r="I2420" s="20" t="s">
        <v>3016</v>
      </c>
      <c r="J2420" s="20" t="s">
        <v>3567</v>
      </c>
      <c r="K2420" s="7" t="s">
        <v>110</v>
      </c>
      <c r="L2420" s="61">
        <v>45891</v>
      </c>
      <c r="M2420" s="7" t="s">
        <v>111</v>
      </c>
      <c r="N2420" s="61">
        <v>45891</v>
      </c>
      <c r="O2420" s="58">
        <v>45894</v>
      </c>
      <c r="P2420" s="59"/>
      <c r="Q2420" s="124" t="e">
        <f>P2420*#REF!</f>
        <v>#REF!</v>
      </c>
      <c r="R2420" s="126">
        <v>45897</v>
      </c>
    </row>
    <row r="2421" spans="2:18" ht="17.25" hidden="1" customHeight="1">
      <c r="B2421" s="23">
        <v>45888</v>
      </c>
      <c r="C2421" s="7">
        <v>2003768433</v>
      </c>
      <c r="D2421" s="20">
        <v>255828</v>
      </c>
      <c r="E2421" s="27" t="s">
        <v>180</v>
      </c>
      <c r="F2421" s="7" t="s">
        <v>107</v>
      </c>
      <c r="G2421" s="7" t="s">
        <v>26</v>
      </c>
      <c r="H2421" s="7" t="s">
        <v>45</v>
      </c>
      <c r="I2421" s="20" t="s">
        <v>2838</v>
      </c>
      <c r="J2421" s="20" t="s">
        <v>3568</v>
      </c>
      <c r="K2421" s="7" t="s">
        <v>110</v>
      </c>
      <c r="L2421" s="61">
        <v>45896</v>
      </c>
      <c r="M2421" s="7" t="s">
        <v>111</v>
      </c>
      <c r="N2421" s="24">
        <v>45897</v>
      </c>
      <c r="O2421" s="58">
        <v>45897</v>
      </c>
      <c r="P2421" s="59"/>
      <c r="Q2421" s="124" t="e">
        <f>P2421*#REF!</f>
        <v>#REF!</v>
      </c>
      <c r="R2421" s="126">
        <v>45897</v>
      </c>
    </row>
    <row r="2422" spans="2:18" ht="17.25" hidden="1" customHeight="1">
      <c r="B2422" s="23">
        <v>45888</v>
      </c>
      <c r="C2422" s="7">
        <v>2003767078</v>
      </c>
      <c r="D2422" s="20">
        <v>6106893</v>
      </c>
      <c r="E2422" s="27" t="s">
        <v>191</v>
      </c>
      <c r="F2422" s="7" t="s">
        <v>107</v>
      </c>
      <c r="G2422" s="7" t="s">
        <v>10</v>
      </c>
      <c r="H2422" s="7" t="s">
        <v>45</v>
      </c>
      <c r="I2422" s="20" t="s">
        <v>1474</v>
      </c>
      <c r="J2422" s="20" t="s">
        <v>3569</v>
      </c>
      <c r="K2422" s="7" t="s">
        <v>110</v>
      </c>
      <c r="L2422" s="61">
        <v>45891</v>
      </c>
      <c r="M2422" s="7" t="s">
        <v>111</v>
      </c>
      <c r="N2422" s="61">
        <v>45891</v>
      </c>
      <c r="O2422" s="58">
        <v>45894</v>
      </c>
      <c r="P2422" s="59"/>
      <c r="Q2422" s="124" t="e">
        <f>P2422*#REF!</f>
        <v>#REF!</v>
      </c>
      <c r="R2422" s="126">
        <v>45897</v>
      </c>
    </row>
    <row r="2423" spans="2:18" ht="17.25" hidden="1" customHeight="1">
      <c r="B2423" s="23">
        <v>45888</v>
      </c>
      <c r="C2423" s="7">
        <v>2003656634</v>
      </c>
      <c r="D2423" s="20">
        <v>6107028</v>
      </c>
      <c r="E2423" s="27" t="s">
        <v>201</v>
      </c>
      <c r="F2423" s="7" t="s">
        <v>107</v>
      </c>
      <c r="G2423" s="7" t="s">
        <v>18</v>
      </c>
      <c r="H2423" s="7" t="s">
        <v>45</v>
      </c>
      <c r="I2423" s="20" t="s">
        <v>3570</v>
      </c>
      <c r="J2423" s="20" t="s">
        <v>3571</v>
      </c>
      <c r="K2423" s="7" t="s">
        <v>110</v>
      </c>
      <c r="L2423" s="61">
        <v>45895</v>
      </c>
      <c r="M2423" s="7" t="s">
        <v>111</v>
      </c>
      <c r="N2423" s="24">
        <v>45895</v>
      </c>
      <c r="O2423" s="58">
        <v>45898</v>
      </c>
      <c r="P2423" s="59"/>
      <c r="Q2423" s="124" t="e">
        <f>P2423*#REF!</f>
        <v>#REF!</v>
      </c>
      <c r="R2423" s="126">
        <v>45898</v>
      </c>
    </row>
    <row r="2424" spans="2:18" ht="17.25" hidden="1" customHeight="1">
      <c r="B2424" s="23">
        <v>45889</v>
      </c>
      <c r="C2424" s="7">
        <v>2003746451</v>
      </c>
      <c r="D2424" s="20">
        <v>257703</v>
      </c>
      <c r="E2424" s="27" t="s">
        <v>185</v>
      </c>
      <c r="F2424" s="7" t="s">
        <v>107</v>
      </c>
      <c r="G2424" s="7" t="s">
        <v>10</v>
      </c>
      <c r="H2424" s="7" t="s">
        <v>45</v>
      </c>
      <c r="I2424" s="20" t="s">
        <v>3572</v>
      </c>
      <c r="J2424" s="20" t="s">
        <v>3573</v>
      </c>
      <c r="K2424" s="7" t="s">
        <v>110</v>
      </c>
      <c r="L2424" s="61">
        <v>45896</v>
      </c>
      <c r="M2424" s="7" t="s">
        <v>111</v>
      </c>
      <c r="N2424" s="24">
        <v>45898</v>
      </c>
      <c r="O2424" s="24">
        <v>45898</v>
      </c>
      <c r="P2424" s="59"/>
      <c r="Q2424" s="124" t="e">
        <f>P2424*#REF!</f>
        <v>#REF!</v>
      </c>
      <c r="R2424" s="126">
        <v>45898</v>
      </c>
    </row>
    <row r="2425" spans="2:18" ht="17.25" hidden="1" customHeight="1">
      <c r="B2425" s="23">
        <v>45889</v>
      </c>
      <c r="C2425" s="7">
        <v>2003723306</v>
      </c>
      <c r="D2425" s="20">
        <v>257618</v>
      </c>
      <c r="E2425" s="27" t="s">
        <v>486</v>
      </c>
      <c r="F2425" s="7" t="s">
        <v>107</v>
      </c>
      <c r="G2425" s="7" t="s">
        <v>166</v>
      </c>
      <c r="H2425" s="7" t="s">
        <v>45</v>
      </c>
      <c r="I2425" s="20" t="s">
        <v>466</v>
      </c>
      <c r="J2425" s="20" t="s">
        <v>3112</v>
      </c>
      <c r="K2425" s="7" t="s">
        <v>119</v>
      </c>
      <c r="L2425" s="61">
        <v>45890</v>
      </c>
      <c r="M2425" s="7" t="s">
        <v>111</v>
      </c>
      <c r="N2425" s="24">
        <v>45891</v>
      </c>
      <c r="O2425" s="24">
        <v>45891</v>
      </c>
      <c r="P2425" s="59"/>
      <c r="Q2425" s="124" t="e">
        <f>P2425*#REF!</f>
        <v>#REF!</v>
      </c>
      <c r="R2425" s="126">
        <v>45893</v>
      </c>
    </row>
    <row r="2426" spans="2:18" ht="17.25" hidden="1" customHeight="1">
      <c r="B2426" s="23">
        <v>45889</v>
      </c>
      <c r="C2426" s="7">
        <v>2003769400</v>
      </c>
      <c r="D2426" s="20">
        <v>257478</v>
      </c>
      <c r="E2426" s="27" t="s">
        <v>408</v>
      </c>
      <c r="F2426" s="7" t="s">
        <v>107</v>
      </c>
      <c r="G2426" s="7" t="s">
        <v>10</v>
      </c>
      <c r="H2426" s="7" t="s">
        <v>45</v>
      </c>
      <c r="I2426" s="20" t="s">
        <v>3574</v>
      </c>
      <c r="J2426" s="20" t="s">
        <v>3575</v>
      </c>
      <c r="K2426" s="7" t="s">
        <v>119</v>
      </c>
      <c r="L2426" s="61">
        <v>45891</v>
      </c>
      <c r="M2426" s="7" t="s">
        <v>111</v>
      </c>
      <c r="N2426" s="61">
        <v>45894</v>
      </c>
      <c r="O2426" s="58">
        <v>45898</v>
      </c>
      <c r="P2426" s="59"/>
      <c r="Q2426" s="124" t="e">
        <f>P2426*#REF!</f>
        <v>#REF!</v>
      </c>
      <c r="R2426" s="126">
        <v>45898</v>
      </c>
    </row>
    <row r="2427" spans="2:18" ht="17.25" hidden="1" customHeight="1">
      <c r="B2427" s="23">
        <v>45889</v>
      </c>
      <c r="C2427" s="7">
        <v>2003768533</v>
      </c>
      <c r="D2427" s="20">
        <v>256782</v>
      </c>
      <c r="E2427" s="27" t="s">
        <v>622</v>
      </c>
      <c r="F2427" s="7" t="s">
        <v>113</v>
      </c>
      <c r="G2427" s="7" t="s">
        <v>70</v>
      </c>
      <c r="H2427" s="7" t="s">
        <v>47</v>
      </c>
      <c r="I2427" s="20" t="s">
        <v>3576</v>
      </c>
      <c r="J2427" s="20" t="s">
        <v>3577</v>
      </c>
      <c r="K2427" s="7" t="s">
        <v>160</v>
      </c>
      <c r="O2427" s="58">
        <v>45897</v>
      </c>
      <c r="P2427" s="59"/>
      <c r="Q2427" s="124" t="e">
        <f>P2427*#REF!</f>
        <v>#REF!</v>
      </c>
    </row>
    <row r="2428" spans="2:18" ht="17.25" hidden="1" customHeight="1">
      <c r="B2428" s="23">
        <v>45889</v>
      </c>
      <c r="C2428" s="7">
        <v>2003768486</v>
      </c>
      <c r="D2428" s="20">
        <v>256570</v>
      </c>
      <c r="E2428" s="27" t="s">
        <v>123</v>
      </c>
      <c r="F2428" s="7" t="s">
        <v>107</v>
      </c>
      <c r="G2428" s="7" t="s">
        <v>10</v>
      </c>
      <c r="H2428" s="7" t="s">
        <v>45</v>
      </c>
      <c r="I2428" s="20" t="s">
        <v>3383</v>
      </c>
      <c r="J2428" s="20" t="s">
        <v>3578</v>
      </c>
      <c r="K2428" s="7" t="s">
        <v>119</v>
      </c>
      <c r="L2428" s="61">
        <v>45890</v>
      </c>
      <c r="M2428" s="7" t="s">
        <v>111</v>
      </c>
      <c r="N2428" s="61">
        <v>45890</v>
      </c>
      <c r="O2428" s="58">
        <v>45894</v>
      </c>
      <c r="P2428" s="59"/>
      <c r="Q2428" s="124" t="e">
        <f>P2428*#REF!</f>
        <v>#REF!</v>
      </c>
      <c r="R2428" s="126">
        <v>45897</v>
      </c>
    </row>
    <row r="2429" spans="2:18" ht="17.25" hidden="1" customHeight="1">
      <c r="B2429" s="23">
        <v>45889</v>
      </c>
      <c r="C2429" s="7">
        <v>2003761179</v>
      </c>
      <c r="D2429" s="20">
        <v>256418</v>
      </c>
      <c r="E2429" s="27" t="s">
        <v>185</v>
      </c>
      <c r="F2429" s="7" t="s">
        <v>107</v>
      </c>
      <c r="G2429" s="7" t="s">
        <v>10</v>
      </c>
      <c r="H2429" s="7" t="s">
        <v>45</v>
      </c>
      <c r="I2429" s="20" t="s">
        <v>3579</v>
      </c>
      <c r="J2429" s="20" t="s">
        <v>3580</v>
      </c>
      <c r="K2429" s="7" t="s">
        <v>119</v>
      </c>
      <c r="L2429" s="61">
        <v>45890</v>
      </c>
      <c r="M2429" s="7" t="s">
        <v>111</v>
      </c>
      <c r="N2429" s="61">
        <v>45890</v>
      </c>
      <c r="O2429" s="58">
        <v>45894</v>
      </c>
      <c r="P2429" s="59"/>
      <c r="Q2429" s="124" t="e">
        <f>P2429*#REF!</f>
        <v>#REF!</v>
      </c>
      <c r="R2429" s="126">
        <v>45897</v>
      </c>
    </row>
    <row r="2430" spans="2:18" ht="17.25" hidden="1" customHeight="1">
      <c r="B2430" s="23">
        <v>45889</v>
      </c>
      <c r="C2430" s="7">
        <v>2003767897</v>
      </c>
      <c r="D2430" s="20">
        <v>6107340</v>
      </c>
      <c r="E2430" s="27" t="s">
        <v>123</v>
      </c>
      <c r="F2430" s="7" t="s">
        <v>107</v>
      </c>
      <c r="G2430" s="7" t="s">
        <v>18</v>
      </c>
      <c r="H2430" s="7" t="s">
        <v>45</v>
      </c>
      <c r="I2430" s="20" t="s">
        <v>899</v>
      </c>
      <c r="J2430" s="20" t="s">
        <v>3332</v>
      </c>
      <c r="K2430" s="7" t="s">
        <v>111</v>
      </c>
      <c r="L2430" s="61">
        <v>45890</v>
      </c>
      <c r="M2430" s="7" t="s">
        <v>111</v>
      </c>
      <c r="N2430" s="24">
        <v>45891</v>
      </c>
      <c r="O2430" s="24">
        <v>45891</v>
      </c>
      <c r="P2430" s="59"/>
      <c r="Q2430" s="124" t="e">
        <f>P2430*#REF!</f>
        <v>#REF!</v>
      </c>
      <c r="R2430" s="126">
        <v>45893</v>
      </c>
    </row>
    <row r="2431" spans="2:18" ht="17.25" hidden="1" customHeight="1">
      <c r="B2431" s="23">
        <v>45889</v>
      </c>
      <c r="C2431" s="7">
        <v>2003697084</v>
      </c>
      <c r="D2431" s="20">
        <v>6107689</v>
      </c>
      <c r="E2431" s="27" t="s">
        <v>116</v>
      </c>
      <c r="F2431" s="7" t="s">
        <v>107</v>
      </c>
      <c r="G2431" s="7" t="s">
        <v>21</v>
      </c>
      <c r="H2431" s="7" t="s">
        <v>45</v>
      </c>
      <c r="I2431" s="20" t="s">
        <v>453</v>
      </c>
      <c r="J2431" s="20" t="s">
        <v>3169</v>
      </c>
      <c r="K2431" s="7" t="s">
        <v>119</v>
      </c>
      <c r="L2431" s="61">
        <v>45890</v>
      </c>
      <c r="M2431" s="7" t="s">
        <v>111</v>
      </c>
      <c r="N2431" s="24">
        <v>45891</v>
      </c>
      <c r="O2431" s="24">
        <v>45891</v>
      </c>
      <c r="P2431" s="59"/>
      <c r="Q2431" s="124" t="e">
        <f>P2431*#REF!</f>
        <v>#REF!</v>
      </c>
      <c r="R2431" s="126">
        <v>45893</v>
      </c>
    </row>
    <row r="2432" spans="2:18" ht="17.25" hidden="1" customHeight="1">
      <c r="B2432" s="23">
        <v>45889</v>
      </c>
      <c r="C2432" s="7">
        <v>2003673035</v>
      </c>
      <c r="D2432" s="20">
        <v>6107741</v>
      </c>
      <c r="E2432" s="27" t="s">
        <v>1225</v>
      </c>
      <c r="F2432" s="7" t="s">
        <v>107</v>
      </c>
      <c r="G2432" s="7" t="s">
        <v>10</v>
      </c>
      <c r="H2432" s="7" t="s">
        <v>45</v>
      </c>
      <c r="I2432" s="20" t="s">
        <v>3581</v>
      </c>
      <c r="J2432" s="20" t="s">
        <v>3582</v>
      </c>
      <c r="K2432" s="7" t="s">
        <v>110</v>
      </c>
      <c r="L2432" s="61">
        <v>45891</v>
      </c>
      <c r="M2432" s="7" t="s">
        <v>111</v>
      </c>
      <c r="N2432" s="61">
        <v>45891</v>
      </c>
      <c r="O2432" s="61">
        <v>45891</v>
      </c>
      <c r="P2432" s="59"/>
      <c r="Q2432" s="124" t="e">
        <f>P2432*#REF!</f>
        <v>#REF!</v>
      </c>
      <c r="R2432" s="126">
        <v>45893</v>
      </c>
    </row>
    <row r="2433" spans="2:18" ht="17.25" hidden="1" customHeight="1">
      <c r="B2433" s="23">
        <v>45889</v>
      </c>
      <c r="C2433" s="7">
        <v>2003693756</v>
      </c>
      <c r="D2433" s="20">
        <v>6107744</v>
      </c>
      <c r="E2433" s="27" t="s">
        <v>1225</v>
      </c>
      <c r="F2433" s="7" t="s">
        <v>107</v>
      </c>
      <c r="G2433" s="7" t="s">
        <v>10</v>
      </c>
      <c r="H2433" s="7" t="s">
        <v>45</v>
      </c>
      <c r="I2433" s="20" t="s">
        <v>3583</v>
      </c>
      <c r="J2433" s="20" t="s">
        <v>3582</v>
      </c>
      <c r="K2433" s="7" t="s">
        <v>110</v>
      </c>
      <c r="L2433" s="61">
        <v>45891</v>
      </c>
      <c r="M2433" s="7" t="s">
        <v>111</v>
      </c>
      <c r="N2433" s="61">
        <v>45891</v>
      </c>
      <c r="O2433" s="58">
        <v>45894</v>
      </c>
      <c r="P2433" s="59"/>
      <c r="Q2433" s="124" t="e">
        <f>P2433*#REF!</f>
        <v>#REF!</v>
      </c>
      <c r="R2433" s="126">
        <v>45897</v>
      </c>
    </row>
    <row r="2434" spans="2:18" ht="17.25" hidden="1" customHeight="1">
      <c r="B2434" s="23">
        <v>45889</v>
      </c>
      <c r="C2434" s="7">
        <v>2003670264</v>
      </c>
      <c r="D2434" s="20">
        <v>6107745</v>
      </c>
      <c r="E2434" s="27" t="s">
        <v>126</v>
      </c>
      <c r="F2434" s="7" t="s">
        <v>107</v>
      </c>
      <c r="G2434" s="7" t="s">
        <v>10</v>
      </c>
      <c r="H2434" s="7" t="s">
        <v>45</v>
      </c>
      <c r="I2434" s="20" t="s">
        <v>919</v>
      </c>
      <c r="J2434" s="20" t="s">
        <v>3584</v>
      </c>
      <c r="K2434" s="7" t="s">
        <v>110</v>
      </c>
      <c r="L2434" s="61">
        <v>45896</v>
      </c>
      <c r="M2434" s="7" t="s">
        <v>111</v>
      </c>
      <c r="N2434" s="24">
        <v>45897</v>
      </c>
      <c r="O2434" s="24">
        <v>45897</v>
      </c>
      <c r="P2434" s="59"/>
      <c r="Q2434" s="124" t="e">
        <f>P2434*#REF!</f>
        <v>#REF!</v>
      </c>
      <c r="R2434" s="126">
        <v>45897</v>
      </c>
    </row>
    <row r="2435" spans="2:18" ht="17.25" hidden="1" customHeight="1">
      <c r="B2435" s="23">
        <v>45889</v>
      </c>
      <c r="C2435" s="7">
        <v>2003751616</v>
      </c>
      <c r="D2435" s="20">
        <v>6107788</v>
      </c>
      <c r="E2435" s="27" t="s">
        <v>106</v>
      </c>
      <c r="F2435" s="7" t="s">
        <v>107</v>
      </c>
      <c r="G2435" s="7" t="s">
        <v>21</v>
      </c>
      <c r="H2435" s="7" t="s">
        <v>45</v>
      </c>
      <c r="I2435" s="20" t="s">
        <v>3585</v>
      </c>
      <c r="J2435" s="20" t="s">
        <v>3446</v>
      </c>
      <c r="K2435" s="7" t="s">
        <v>119</v>
      </c>
      <c r="L2435" s="61">
        <v>45890</v>
      </c>
      <c r="M2435" s="7" t="s">
        <v>111</v>
      </c>
      <c r="N2435" s="24">
        <v>45897</v>
      </c>
      <c r="O2435" s="24">
        <v>45897</v>
      </c>
      <c r="P2435" s="59"/>
      <c r="Q2435" s="124" t="e">
        <f>P2435*#REF!</f>
        <v>#REF!</v>
      </c>
      <c r="R2435" s="126">
        <v>45897</v>
      </c>
    </row>
    <row r="2436" spans="2:18" ht="17.25" hidden="1" customHeight="1">
      <c r="B2436" s="23">
        <v>45889</v>
      </c>
      <c r="C2436" s="7">
        <v>2003765160</v>
      </c>
      <c r="D2436" s="20">
        <v>6107790</v>
      </c>
      <c r="E2436" s="27" t="s">
        <v>3586</v>
      </c>
      <c r="F2436" s="7" t="s">
        <v>107</v>
      </c>
      <c r="G2436" s="7" t="s">
        <v>15</v>
      </c>
      <c r="H2436" s="7" t="s">
        <v>45</v>
      </c>
      <c r="I2436" s="20" t="s">
        <v>2686</v>
      </c>
      <c r="J2436" s="20" t="s">
        <v>3587</v>
      </c>
      <c r="K2436" s="7" t="s">
        <v>119</v>
      </c>
      <c r="L2436" s="61">
        <v>45902</v>
      </c>
      <c r="M2436" s="7" t="s">
        <v>111</v>
      </c>
      <c r="N2436" s="24">
        <v>45903</v>
      </c>
      <c r="O2436" s="24">
        <v>45903</v>
      </c>
      <c r="P2436" s="59"/>
      <c r="Q2436" s="124" t="e">
        <f>P2436*#REF!</f>
        <v>#REF!</v>
      </c>
      <c r="R2436" s="126">
        <v>45904</v>
      </c>
    </row>
    <row r="2437" spans="2:18" ht="17.25" hidden="1" customHeight="1">
      <c r="B2437" s="23">
        <v>45889</v>
      </c>
      <c r="C2437" s="7">
        <v>2003682565</v>
      </c>
      <c r="D2437" s="20">
        <v>6107859</v>
      </c>
      <c r="E2437" s="27" t="s">
        <v>1225</v>
      </c>
      <c r="F2437" s="7" t="s">
        <v>107</v>
      </c>
      <c r="G2437" s="7" t="s">
        <v>10</v>
      </c>
      <c r="H2437" s="7" t="s">
        <v>45</v>
      </c>
      <c r="I2437" s="20" t="s">
        <v>3588</v>
      </c>
      <c r="J2437" s="20" t="s">
        <v>3589</v>
      </c>
      <c r="K2437" s="7" t="s">
        <v>119</v>
      </c>
      <c r="L2437" s="61">
        <v>45897</v>
      </c>
      <c r="M2437" s="7" t="s">
        <v>111</v>
      </c>
      <c r="N2437" s="24">
        <v>45898</v>
      </c>
      <c r="O2437" s="24">
        <v>45898</v>
      </c>
      <c r="P2437" s="59"/>
      <c r="Q2437" s="124" t="e">
        <f>P2437*#REF!</f>
        <v>#REF!</v>
      </c>
      <c r="R2437" s="126">
        <v>45898</v>
      </c>
    </row>
    <row r="2438" spans="2:18" ht="17.25" hidden="1" customHeight="1">
      <c r="B2438" s="23">
        <v>45889</v>
      </c>
      <c r="C2438" s="7">
        <v>2003769482</v>
      </c>
      <c r="D2438" s="20">
        <v>6108294</v>
      </c>
      <c r="E2438" s="27" t="s">
        <v>408</v>
      </c>
      <c r="F2438" s="7" t="s">
        <v>107</v>
      </c>
      <c r="G2438" s="7" t="s">
        <v>18</v>
      </c>
      <c r="H2438" s="7" t="s">
        <v>45</v>
      </c>
      <c r="I2438" s="20" t="s">
        <v>2754</v>
      </c>
      <c r="J2438" s="20" t="s">
        <v>3590</v>
      </c>
      <c r="K2438" s="7" t="s">
        <v>110</v>
      </c>
      <c r="L2438" s="61">
        <v>45894</v>
      </c>
      <c r="M2438" s="7" t="s">
        <v>111</v>
      </c>
      <c r="N2438" s="61">
        <v>45894</v>
      </c>
      <c r="O2438" s="58">
        <v>45898</v>
      </c>
      <c r="P2438" s="59"/>
      <c r="Q2438" s="124" t="e">
        <f>P2438*#REF!</f>
        <v>#REF!</v>
      </c>
      <c r="R2438" s="126">
        <v>45898</v>
      </c>
    </row>
    <row r="2439" spans="2:18" ht="17.25" hidden="1" customHeight="1">
      <c r="B2439" s="23">
        <v>45889</v>
      </c>
      <c r="C2439" s="7">
        <v>2003735320</v>
      </c>
      <c r="D2439" s="20">
        <v>6108324</v>
      </c>
      <c r="E2439" s="27" t="s">
        <v>185</v>
      </c>
      <c r="F2439" s="7" t="s">
        <v>107</v>
      </c>
      <c r="G2439" s="7" t="s">
        <v>166</v>
      </c>
      <c r="H2439" s="7" t="s">
        <v>45</v>
      </c>
      <c r="I2439" s="20" t="s">
        <v>2984</v>
      </c>
      <c r="J2439" s="20" t="s">
        <v>3207</v>
      </c>
      <c r="K2439" s="7" t="s">
        <v>110</v>
      </c>
      <c r="L2439" s="61">
        <v>45890</v>
      </c>
      <c r="M2439" s="7" t="s">
        <v>111</v>
      </c>
      <c r="N2439" s="61">
        <v>45890</v>
      </c>
      <c r="O2439" s="58">
        <v>45893</v>
      </c>
      <c r="P2439" s="59"/>
      <c r="Q2439" s="124" t="e">
        <f>P2439*#REF!</f>
        <v>#REF!</v>
      </c>
      <c r="R2439" s="126">
        <v>45893</v>
      </c>
    </row>
    <row r="2440" spans="2:18" ht="17.25" hidden="1" customHeight="1">
      <c r="B2440" s="23">
        <v>45890</v>
      </c>
      <c r="C2440" s="7">
        <v>2003750919</v>
      </c>
      <c r="D2440" s="20">
        <v>258396</v>
      </c>
      <c r="E2440" s="27" t="s">
        <v>265</v>
      </c>
      <c r="F2440" s="7" t="s">
        <v>107</v>
      </c>
      <c r="G2440" s="7" t="s">
        <v>15</v>
      </c>
      <c r="H2440" s="7" t="s">
        <v>45</v>
      </c>
      <c r="I2440" s="20" t="s">
        <v>3591</v>
      </c>
      <c r="J2440" s="20" t="s">
        <v>3592</v>
      </c>
      <c r="K2440" s="7" t="s">
        <v>110</v>
      </c>
      <c r="L2440" s="61">
        <v>45901</v>
      </c>
      <c r="M2440" s="7" t="s">
        <v>111</v>
      </c>
      <c r="N2440" s="61">
        <v>45901</v>
      </c>
      <c r="O2440" s="58">
        <v>45920</v>
      </c>
      <c r="P2440" s="59"/>
      <c r="Q2440" s="124" t="e">
        <f>P2440*#REF!</f>
        <v>#REF!</v>
      </c>
      <c r="R2440" s="126">
        <v>45922</v>
      </c>
    </row>
    <row r="2441" spans="2:18" ht="17.25" hidden="1" customHeight="1">
      <c r="B2441" s="23">
        <v>45890</v>
      </c>
      <c r="C2441" s="7">
        <v>2003711518</v>
      </c>
      <c r="D2441" s="20">
        <v>258410</v>
      </c>
      <c r="E2441" s="27" t="s">
        <v>152</v>
      </c>
      <c r="F2441" s="7" t="s">
        <v>107</v>
      </c>
      <c r="G2441" s="7" t="s">
        <v>166</v>
      </c>
      <c r="H2441" s="7" t="s">
        <v>45</v>
      </c>
      <c r="I2441" s="20" t="s">
        <v>3593</v>
      </c>
      <c r="J2441" s="20" t="s">
        <v>2839</v>
      </c>
      <c r="K2441" s="7" t="s">
        <v>119</v>
      </c>
      <c r="L2441" s="61">
        <v>45891</v>
      </c>
      <c r="M2441" s="7" t="s">
        <v>111</v>
      </c>
      <c r="N2441" s="61">
        <v>45894</v>
      </c>
      <c r="O2441" s="61">
        <v>45894</v>
      </c>
      <c r="P2441" s="59"/>
      <c r="Q2441" s="124" t="e">
        <f>P2441*#REF!</f>
        <v>#REF!</v>
      </c>
      <c r="R2441" s="126">
        <v>45897</v>
      </c>
    </row>
    <row r="2442" spans="2:18" ht="17.25" hidden="1" customHeight="1">
      <c r="B2442" s="23">
        <v>45890</v>
      </c>
      <c r="C2442" s="7">
        <v>2003761447</v>
      </c>
      <c r="D2442" s="20">
        <v>257840</v>
      </c>
      <c r="E2442" s="27" t="s">
        <v>177</v>
      </c>
      <c r="F2442" s="7" t="s">
        <v>113</v>
      </c>
      <c r="G2442" s="7" t="s">
        <v>15</v>
      </c>
      <c r="H2442" s="7" t="s">
        <v>42</v>
      </c>
      <c r="I2442" s="20" t="s">
        <v>3594</v>
      </c>
      <c r="J2442" s="20" t="s">
        <v>3595</v>
      </c>
      <c r="K2442" s="7" t="s">
        <v>160</v>
      </c>
      <c r="P2442" s="59"/>
      <c r="Q2442" s="124" t="e">
        <f>P2442*#REF!</f>
        <v>#REF!</v>
      </c>
    </row>
    <row r="2443" spans="2:18" ht="17.25" hidden="1" customHeight="1">
      <c r="B2443" s="23">
        <v>45890</v>
      </c>
      <c r="C2443" s="7">
        <v>2003754494</v>
      </c>
      <c r="D2443" s="20">
        <v>6139894</v>
      </c>
      <c r="E2443" s="27" t="s">
        <v>191</v>
      </c>
      <c r="F2443" s="7" t="s">
        <v>107</v>
      </c>
      <c r="G2443" s="7" t="s">
        <v>18</v>
      </c>
      <c r="H2443" s="7" t="s">
        <v>45</v>
      </c>
      <c r="I2443" s="20" t="s">
        <v>3596</v>
      </c>
      <c r="J2443" s="20" t="s">
        <v>3597</v>
      </c>
      <c r="K2443" s="7" t="s">
        <v>119</v>
      </c>
      <c r="L2443" s="61">
        <v>45894</v>
      </c>
      <c r="M2443" s="7" t="s">
        <v>111</v>
      </c>
      <c r="N2443" s="24">
        <v>45896</v>
      </c>
      <c r="O2443" s="58">
        <v>45898</v>
      </c>
      <c r="P2443" s="59"/>
      <c r="Q2443" s="124" t="e">
        <f>P2443*#REF!</f>
        <v>#REF!</v>
      </c>
      <c r="R2443" s="126">
        <v>45898</v>
      </c>
    </row>
    <row r="2444" spans="2:18" ht="17.25" hidden="1" customHeight="1">
      <c r="B2444" s="23">
        <v>45890</v>
      </c>
      <c r="C2444" s="7">
        <v>2003766917</v>
      </c>
      <c r="D2444" s="20">
        <v>6155333</v>
      </c>
      <c r="E2444" s="27" t="s">
        <v>201</v>
      </c>
      <c r="F2444" s="7" t="s">
        <v>107</v>
      </c>
      <c r="G2444" s="7" t="s">
        <v>18</v>
      </c>
      <c r="H2444" s="7" t="s">
        <v>45</v>
      </c>
      <c r="I2444" s="20" t="s">
        <v>3598</v>
      </c>
      <c r="J2444" s="20" t="s">
        <v>3599</v>
      </c>
      <c r="K2444" s="7" t="s">
        <v>119</v>
      </c>
      <c r="L2444" s="61">
        <v>45896</v>
      </c>
      <c r="M2444" s="7" t="s">
        <v>111</v>
      </c>
      <c r="N2444" s="24">
        <v>45903</v>
      </c>
      <c r="O2444" s="24">
        <v>45903</v>
      </c>
      <c r="P2444" s="59"/>
      <c r="Q2444" s="124" t="e">
        <f>P2444*#REF!</f>
        <v>#REF!</v>
      </c>
      <c r="R2444" s="126">
        <v>45904</v>
      </c>
    </row>
    <row r="2445" spans="2:18" ht="17.25" hidden="1" customHeight="1">
      <c r="B2445" s="23">
        <v>45891</v>
      </c>
      <c r="C2445" s="7">
        <v>2003756215</v>
      </c>
      <c r="D2445" s="20">
        <v>260560</v>
      </c>
      <c r="E2445" s="27" t="s">
        <v>1225</v>
      </c>
      <c r="F2445" s="7" t="s">
        <v>107</v>
      </c>
      <c r="G2445" s="7" t="s">
        <v>10</v>
      </c>
      <c r="H2445" s="7" t="s">
        <v>45</v>
      </c>
      <c r="I2445" s="20" t="s">
        <v>3600</v>
      </c>
      <c r="J2445" s="20" t="s">
        <v>3601</v>
      </c>
      <c r="K2445" s="7" t="s">
        <v>119</v>
      </c>
      <c r="L2445" s="61">
        <v>45896</v>
      </c>
      <c r="M2445" s="7" t="s">
        <v>111</v>
      </c>
      <c r="N2445" s="24">
        <v>45897</v>
      </c>
      <c r="O2445" s="24">
        <v>45897</v>
      </c>
      <c r="P2445" s="59"/>
      <c r="Q2445" s="124" t="e">
        <f>P2445*#REF!</f>
        <v>#REF!</v>
      </c>
      <c r="R2445" s="126">
        <v>45897</v>
      </c>
    </row>
    <row r="2446" spans="2:18" ht="17.25" hidden="1" customHeight="1">
      <c r="B2446" s="23">
        <v>45891</v>
      </c>
      <c r="C2446" s="7">
        <v>2003770039</v>
      </c>
      <c r="D2446" s="20">
        <v>259652</v>
      </c>
      <c r="E2446" s="27" t="s">
        <v>566</v>
      </c>
      <c r="F2446" s="7" t="s">
        <v>113</v>
      </c>
      <c r="G2446" s="7" t="s">
        <v>70</v>
      </c>
      <c r="H2446" s="7" t="s">
        <v>47</v>
      </c>
      <c r="I2446" s="20" t="s">
        <v>3602</v>
      </c>
      <c r="P2446" s="59"/>
      <c r="Q2446" s="124" t="e">
        <f>P2446*#REF!</f>
        <v>#REF!</v>
      </c>
    </row>
    <row r="2447" spans="2:18" ht="17.25" hidden="1" customHeight="1">
      <c r="B2447" s="23">
        <v>45891</v>
      </c>
      <c r="C2447" s="7">
        <v>2003768263</v>
      </c>
      <c r="D2447" s="20">
        <v>259540</v>
      </c>
      <c r="E2447" s="27" t="s">
        <v>129</v>
      </c>
      <c r="F2447" s="7" t="s">
        <v>113</v>
      </c>
      <c r="G2447" s="7" t="s">
        <v>70</v>
      </c>
      <c r="H2447" s="7" t="s">
        <v>47</v>
      </c>
      <c r="I2447" s="20" t="s">
        <v>518</v>
      </c>
      <c r="J2447" s="20" t="s">
        <v>3603</v>
      </c>
      <c r="K2447" s="7" t="s">
        <v>160</v>
      </c>
      <c r="P2447" s="59"/>
      <c r="Q2447" s="124" t="e">
        <f>P2447*#REF!</f>
        <v>#REF!</v>
      </c>
      <c r="R2447" s="126">
        <v>45910</v>
      </c>
    </row>
    <row r="2448" spans="2:18" ht="17.25" hidden="1" customHeight="1">
      <c r="B2448" s="23">
        <v>45891</v>
      </c>
      <c r="C2448" s="7">
        <v>2003771797</v>
      </c>
      <c r="D2448" s="20">
        <v>259514</v>
      </c>
      <c r="E2448" s="27" t="s">
        <v>129</v>
      </c>
      <c r="F2448" s="7" t="s">
        <v>113</v>
      </c>
      <c r="G2448" s="7" t="s">
        <v>70</v>
      </c>
      <c r="H2448" s="7" t="s">
        <v>47</v>
      </c>
      <c r="I2448" s="20" t="s">
        <v>1515</v>
      </c>
      <c r="J2448" s="20" t="s">
        <v>3604</v>
      </c>
      <c r="K2448" s="7" t="s">
        <v>160</v>
      </c>
      <c r="P2448" s="59"/>
      <c r="Q2448" s="124" t="e">
        <f>P2448*#REF!</f>
        <v>#REF!</v>
      </c>
      <c r="R2448" s="126">
        <v>45910</v>
      </c>
    </row>
    <row r="2449" spans="2:18" ht="17.25" hidden="1" customHeight="1">
      <c r="B2449" s="23">
        <v>45891</v>
      </c>
      <c r="C2449" s="7">
        <v>2003712192</v>
      </c>
      <c r="D2449" s="20">
        <v>6209490</v>
      </c>
      <c r="E2449" s="27" t="s">
        <v>622</v>
      </c>
      <c r="F2449" s="7" t="s">
        <v>107</v>
      </c>
      <c r="G2449" s="7" t="s">
        <v>10</v>
      </c>
      <c r="H2449" s="7" t="s">
        <v>45</v>
      </c>
      <c r="I2449" s="20" t="s">
        <v>3605</v>
      </c>
      <c r="J2449" s="20" t="s">
        <v>2909</v>
      </c>
      <c r="K2449" s="7" t="s">
        <v>119</v>
      </c>
      <c r="L2449" s="61">
        <v>45897</v>
      </c>
      <c r="M2449" s="7" t="s">
        <v>111</v>
      </c>
      <c r="N2449" s="24">
        <v>45898</v>
      </c>
      <c r="O2449" s="24">
        <v>45898</v>
      </c>
      <c r="P2449" s="59"/>
      <c r="Q2449" s="124" t="e">
        <f>P2449*#REF!</f>
        <v>#REF!</v>
      </c>
      <c r="R2449" s="126">
        <v>45898</v>
      </c>
    </row>
    <row r="2450" spans="2:18" ht="17.25" hidden="1" customHeight="1">
      <c r="B2450" s="23">
        <v>45891</v>
      </c>
      <c r="C2450" s="7">
        <v>2003759953</v>
      </c>
      <c r="D2450" s="20">
        <v>6209719</v>
      </c>
      <c r="E2450" s="27" t="s">
        <v>135</v>
      </c>
      <c r="F2450" s="7" t="s">
        <v>107</v>
      </c>
      <c r="G2450" s="7" t="s">
        <v>15</v>
      </c>
      <c r="H2450" s="7" t="s">
        <v>45</v>
      </c>
      <c r="I2450" s="20" t="s">
        <v>3606</v>
      </c>
      <c r="J2450" s="20" t="s">
        <v>3607</v>
      </c>
      <c r="K2450" s="7" t="s">
        <v>119</v>
      </c>
      <c r="L2450" s="61">
        <v>45895</v>
      </c>
      <c r="M2450" s="7" t="s">
        <v>111</v>
      </c>
      <c r="N2450" s="24">
        <v>45897</v>
      </c>
      <c r="O2450" s="58">
        <v>45898</v>
      </c>
      <c r="P2450" s="59"/>
      <c r="Q2450" s="124" t="e">
        <f>P2450*#REF!</f>
        <v>#REF!</v>
      </c>
      <c r="R2450" s="126">
        <v>45898</v>
      </c>
    </row>
    <row r="2451" spans="2:18" ht="17.25" hidden="1" customHeight="1">
      <c r="B2451" s="23">
        <v>45891</v>
      </c>
      <c r="C2451" s="7">
        <v>2003771555</v>
      </c>
      <c r="D2451" s="20">
        <v>6209776</v>
      </c>
      <c r="E2451" s="27" t="s">
        <v>152</v>
      </c>
      <c r="F2451" s="7" t="s">
        <v>107</v>
      </c>
      <c r="G2451" s="7" t="s">
        <v>10</v>
      </c>
      <c r="H2451" s="7" t="s">
        <v>45</v>
      </c>
      <c r="I2451" s="20" t="s">
        <v>343</v>
      </c>
      <c r="J2451" s="20" t="s">
        <v>344</v>
      </c>
      <c r="K2451" s="7" t="s">
        <v>110</v>
      </c>
      <c r="L2451" s="61">
        <v>45895</v>
      </c>
      <c r="M2451" s="7" t="s">
        <v>111</v>
      </c>
      <c r="N2451" s="61">
        <v>45895</v>
      </c>
      <c r="O2451" s="58">
        <v>45898</v>
      </c>
      <c r="P2451" s="59"/>
      <c r="Q2451" s="124" t="e">
        <f>P2451*#REF!</f>
        <v>#REF!</v>
      </c>
      <c r="R2451" s="126">
        <v>45898</v>
      </c>
    </row>
    <row r="2452" spans="2:18" ht="17.25" hidden="1" customHeight="1">
      <c r="B2452" s="23">
        <v>45894</v>
      </c>
      <c r="C2452" s="7">
        <v>2003643048</v>
      </c>
      <c r="D2452" s="20">
        <v>6210040</v>
      </c>
      <c r="E2452" s="27" t="s">
        <v>126</v>
      </c>
      <c r="F2452" s="7" t="s">
        <v>107</v>
      </c>
      <c r="G2452" s="7" t="s">
        <v>166</v>
      </c>
      <c r="H2452" s="7" t="s">
        <v>45</v>
      </c>
      <c r="I2452" s="20" t="s">
        <v>854</v>
      </c>
      <c r="J2452" s="20" t="s">
        <v>1166</v>
      </c>
      <c r="K2452" s="7" t="s">
        <v>110</v>
      </c>
      <c r="L2452" s="61">
        <v>45895</v>
      </c>
      <c r="M2452" s="7" t="s">
        <v>111</v>
      </c>
      <c r="N2452" s="61">
        <v>45895</v>
      </c>
      <c r="O2452" s="61">
        <v>45895</v>
      </c>
      <c r="P2452" s="59"/>
      <c r="Q2452" s="124" t="e">
        <f>P2452*#REF!</f>
        <v>#REF!</v>
      </c>
      <c r="R2452" s="126">
        <v>45897</v>
      </c>
    </row>
    <row r="2453" spans="2:18" ht="17.25" hidden="1" customHeight="1">
      <c r="B2453" s="23">
        <v>45894</v>
      </c>
      <c r="C2453" s="7">
        <v>2003739876</v>
      </c>
      <c r="D2453" s="20">
        <v>6210378</v>
      </c>
      <c r="E2453" s="27" t="s">
        <v>191</v>
      </c>
      <c r="F2453" s="7" t="s">
        <v>107</v>
      </c>
      <c r="G2453" s="7" t="s">
        <v>10</v>
      </c>
      <c r="H2453" s="7" t="s">
        <v>45</v>
      </c>
      <c r="I2453" s="20" t="s">
        <v>3608</v>
      </c>
      <c r="J2453" s="20" t="s">
        <v>3609</v>
      </c>
      <c r="K2453" s="7" t="s">
        <v>110</v>
      </c>
      <c r="L2453" s="61">
        <v>45897</v>
      </c>
      <c r="M2453" s="7" t="s">
        <v>111</v>
      </c>
      <c r="N2453" s="61">
        <v>45897</v>
      </c>
      <c r="O2453" s="58">
        <v>45904</v>
      </c>
      <c r="P2453" s="59"/>
      <c r="Q2453" s="124" t="e">
        <f>P2453*#REF!</f>
        <v>#REF!</v>
      </c>
      <c r="R2453" s="126">
        <v>45908</v>
      </c>
    </row>
    <row r="2454" spans="2:18" ht="17.25" hidden="1" customHeight="1">
      <c r="B2454" s="23">
        <v>45894</v>
      </c>
      <c r="C2454" s="7">
        <v>2003772933</v>
      </c>
      <c r="D2454" s="20">
        <v>6210388</v>
      </c>
      <c r="E2454" s="27" t="s">
        <v>1225</v>
      </c>
      <c r="F2454" s="7" t="s">
        <v>107</v>
      </c>
      <c r="G2454" s="7" t="s">
        <v>10</v>
      </c>
      <c r="H2454" s="7" t="s">
        <v>45</v>
      </c>
      <c r="I2454" s="20" t="s">
        <v>470</v>
      </c>
      <c r="J2454" s="20" t="s">
        <v>3610</v>
      </c>
      <c r="K2454" s="7" t="s">
        <v>119</v>
      </c>
      <c r="L2454" s="61">
        <v>45896</v>
      </c>
      <c r="M2454" s="7" t="s">
        <v>111</v>
      </c>
      <c r="N2454" s="24">
        <v>45897</v>
      </c>
      <c r="O2454" s="58">
        <v>45898</v>
      </c>
      <c r="P2454" s="59"/>
      <c r="Q2454" s="124" t="e">
        <f>P2454*#REF!</f>
        <v>#REF!</v>
      </c>
      <c r="R2454" s="126">
        <v>45898</v>
      </c>
    </row>
    <row r="2455" spans="2:18" ht="17.25" hidden="1" customHeight="1">
      <c r="B2455" s="23">
        <v>45894</v>
      </c>
      <c r="C2455" s="7">
        <v>2003772966</v>
      </c>
      <c r="D2455" s="20">
        <v>262663</v>
      </c>
      <c r="E2455" s="27" t="s">
        <v>123</v>
      </c>
      <c r="F2455" s="7" t="s">
        <v>107</v>
      </c>
      <c r="G2455" s="7" t="s">
        <v>10</v>
      </c>
      <c r="H2455" s="7" t="s">
        <v>45</v>
      </c>
      <c r="I2455" s="20" t="s">
        <v>1515</v>
      </c>
      <c r="J2455" s="20" t="s">
        <v>3611</v>
      </c>
      <c r="K2455" s="7" t="s">
        <v>119</v>
      </c>
      <c r="L2455" s="61">
        <v>45896</v>
      </c>
      <c r="M2455" s="7" t="s">
        <v>111</v>
      </c>
      <c r="N2455" s="24">
        <v>45897</v>
      </c>
      <c r="O2455" s="58">
        <v>45898</v>
      </c>
      <c r="P2455" s="59"/>
      <c r="Q2455" s="124" t="e">
        <f>P2455*#REF!</f>
        <v>#REF!</v>
      </c>
      <c r="R2455" s="126">
        <v>45898</v>
      </c>
    </row>
    <row r="2456" spans="2:18" ht="17.25" hidden="1" customHeight="1">
      <c r="B2456" s="23">
        <v>45894</v>
      </c>
      <c r="C2456" s="7">
        <v>2003770678</v>
      </c>
      <c r="D2456" s="20">
        <v>262091</v>
      </c>
      <c r="E2456" s="27" t="s">
        <v>408</v>
      </c>
      <c r="F2456" s="7" t="s">
        <v>107</v>
      </c>
      <c r="G2456" s="7" t="s">
        <v>10</v>
      </c>
      <c r="H2456" s="7" t="s">
        <v>45</v>
      </c>
      <c r="I2456" s="20" t="s">
        <v>600</v>
      </c>
      <c r="J2456" s="20" t="s">
        <v>3612</v>
      </c>
      <c r="K2456" s="7" t="s">
        <v>119</v>
      </c>
      <c r="L2456" s="61">
        <v>45896</v>
      </c>
      <c r="M2456" s="7" t="s">
        <v>111</v>
      </c>
      <c r="N2456" s="24">
        <v>45897</v>
      </c>
      <c r="O2456" s="58">
        <v>45897</v>
      </c>
      <c r="P2456" s="59"/>
      <c r="Q2456" s="124" t="e">
        <f>P2456*#REF!</f>
        <v>#REF!</v>
      </c>
      <c r="R2456" s="126">
        <v>45897</v>
      </c>
    </row>
    <row r="2457" spans="2:18" ht="17.25" hidden="1" customHeight="1">
      <c r="B2457" s="23">
        <v>45894</v>
      </c>
      <c r="C2457" s="7">
        <v>2003751957</v>
      </c>
      <c r="D2457" s="20">
        <v>261658</v>
      </c>
      <c r="E2457" s="27" t="s">
        <v>106</v>
      </c>
      <c r="F2457" s="7" t="s">
        <v>107</v>
      </c>
      <c r="G2457" s="7" t="s">
        <v>18</v>
      </c>
      <c r="H2457" s="7" t="s">
        <v>45</v>
      </c>
      <c r="I2457" s="20" t="s">
        <v>3613</v>
      </c>
      <c r="J2457" s="20" t="s">
        <v>3614</v>
      </c>
      <c r="K2457" s="7" t="s">
        <v>119</v>
      </c>
      <c r="L2457" s="61">
        <v>45896</v>
      </c>
      <c r="M2457" s="7" t="s">
        <v>111</v>
      </c>
      <c r="N2457" s="24">
        <v>45897</v>
      </c>
      <c r="O2457" s="58">
        <v>45905</v>
      </c>
      <c r="P2457" s="59"/>
      <c r="Q2457" s="124" t="e">
        <f>P2457*#REF!</f>
        <v>#REF!</v>
      </c>
      <c r="R2457" s="126">
        <v>45908</v>
      </c>
    </row>
    <row r="2458" spans="2:18" ht="17.25" hidden="1" customHeight="1">
      <c r="B2458" s="23">
        <v>45894</v>
      </c>
      <c r="C2458" s="7">
        <v>2003772487</v>
      </c>
      <c r="D2458" s="20">
        <v>261507</v>
      </c>
      <c r="E2458" s="27" t="s">
        <v>123</v>
      </c>
      <c r="F2458" s="7" t="s">
        <v>107</v>
      </c>
      <c r="G2458" s="7" t="s">
        <v>10</v>
      </c>
      <c r="H2458" s="7" t="s">
        <v>45</v>
      </c>
      <c r="I2458" s="20" t="s">
        <v>3615</v>
      </c>
      <c r="J2458" s="20" t="s">
        <v>3616</v>
      </c>
      <c r="K2458" s="7" t="s">
        <v>119</v>
      </c>
      <c r="L2458" s="61">
        <v>45896</v>
      </c>
      <c r="M2458" s="7" t="s">
        <v>111</v>
      </c>
      <c r="N2458" s="24">
        <v>45897</v>
      </c>
      <c r="O2458" s="58">
        <v>45898</v>
      </c>
      <c r="P2458" s="59"/>
      <c r="Q2458" s="124" t="e">
        <f>P2458*#REF!</f>
        <v>#REF!</v>
      </c>
      <c r="R2458" s="126">
        <v>45898</v>
      </c>
    </row>
    <row r="2459" spans="2:18" ht="17.25" hidden="1" customHeight="1">
      <c r="B2459" s="23">
        <v>45894</v>
      </c>
      <c r="C2459" s="7">
        <v>2003695666</v>
      </c>
      <c r="D2459" s="20">
        <v>261503</v>
      </c>
      <c r="E2459" s="27" t="s">
        <v>123</v>
      </c>
      <c r="F2459" s="7" t="s">
        <v>107</v>
      </c>
      <c r="G2459" s="7" t="s">
        <v>10</v>
      </c>
      <c r="H2459" s="7" t="s">
        <v>45</v>
      </c>
      <c r="I2459" s="20" t="s">
        <v>3617</v>
      </c>
      <c r="J2459" s="20" t="s">
        <v>3618</v>
      </c>
      <c r="K2459" s="7" t="s">
        <v>119</v>
      </c>
      <c r="L2459" s="61">
        <v>45895</v>
      </c>
      <c r="M2459" s="7" t="s">
        <v>111</v>
      </c>
      <c r="N2459" s="24">
        <v>45898</v>
      </c>
      <c r="O2459" s="58">
        <v>45898</v>
      </c>
      <c r="P2459" s="59"/>
      <c r="Q2459" s="124" t="e">
        <f>P2459*#REF!</f>
        <v>#REF!</v>
      </c>
      <c r="R2459" s="126">
        <v>45898</v>
      </c>
    </row>
    <row r="2460" spans="2:18" ht="17.25" hidden="1" customHeight="1">
      <c r="B2460" s="23">
        <v>45895</v>
      </c>
      <c r="C2460" s="7">
        <v>2003768772</v>
      </c>
      <c r="D2460" s="20">
        <v>264341</v>
      </c>
      <c r="E2460" s="27" t="s">
        <v>566</v>
      </c>
      <c r="F2460" s="7" t="s">
        <v>107</v>
      </c>
      <c r="G2460" s="7" t="s">
        <v>10</v>
      </c>
      <c r="H2460" s="7" t="s">
        <v>45</v>
      </c>
      <c r="I2460" s="20" t="s">
        <v>1856</v>
      </c>
      <c r="J2460" s="20" t="s">
        <v>3619</v>
      </c>
      <c r="K2460" s="7" t="s">
        <v>110</v>
      </c>
      <c r="L2460" s="61">
        <v>45898</v>
      </c>
      <c r="M2460" s="7" t="s">
        <v>111</v>
      </c>
      <c r="N2460" s="24">
        <v>45901</v>
      </c>
      <c r="O2460" s="24">
        <v>45901</v>
      </c>
      <c r="P2460" s="59"/>
      <c r="Q2460" s="124" t="e">
        <f>P2460*#REF!</f>
        <v>#REF!</v>
      </c>
      <c r="R2460" s="126">
        <v>45904</v>
      </c>
    </row>
    <row r="2461" spans="2:18" ht="17.25" hidden="1" customHeight="1">
      <c r="B2461" s="23">
        <v>45895</v>
      </c>
      <c r="C2461" s="7">
        <v>2003665055</v>
      </c>
      <c r="D2461" s="20">
        <v>264302</v>
      </c>
      <c r="E2461" s="27" t="s">
        <v>566</v>
      </c>
      <c r="F2461" s="7" t="s">
        <v>107</v>
      </c>
      <c r="G2461" s="7" t="s">
        <v>10</v>
      </c>
      <c r="H2461" s="7" t="s">
        <v>45</v>
      </c>
      <c r="I2461" s="20" t="s">
        <v>437</v>
      </c>
      <c r="J2461" s="20" t="s">
        <v>2805</v>
      </c>
      <c r="K2461" s="7" t="s">
        <v>110</v>
      </c>
      <c r="L2461" s="61">
        <v>45898</v>
      </c>
      <c r="M2461" s="7" t="s">
        <v>111</v>
      </c>
      <c r="N2461" s="61">
        <v>45898</v>
      </c>
      <c r="O2461" s="61">
        <v>45898</v>
      </c>
      <c r="P2461" s="59"/>
      <c r="Q2461" s="124" t="e">
        <f>P2461*#REF!</f>
        <v>#REF!</v>
      </c>
      <c r="R2461" s="126">
        <v>45898</v>
      </c>
    </row>
    <row r="2462" spans="2:18" ht="17.25" hidden="1" customHeight="1">
      <c r="B2462" s="23">
        <v>45895</v>
      </c>
      <c r="C2462" s="7">
        <v>2003722715</v>
      </c>
      <c r="D2462" s="20">
        <v>263962</v>
      </c>
      <c r="E2462" s="27" t="s">
        <v>129</v>
      </c>
      <c r="F2462" s="7" t="s">
        <v>107</v>
      </c>
      <c r="G2462" s="7" t="s">
        <v>30</v>
      </c>
      <c r="H2462" s="7" t="s">
        <v>45</v>
      </c>
      <c r="I2462" s="20" t="s">
        <v>2779</v>
      </c>
      <c r="J2462" s="20" t="s">
        <v>3620</v>
      </c>
      <c r="K2462" s="7" t="s">
        <v>111</v>
      </c>
      <c r="L2462" s="61">
        <v>45896</v>
      </c>
      <c r="M2462" s="7" t="s">
        <v>111</v>
      </c>
      <c r="N2462" s="24">
        <v>45897</v>
      </c>
      <c r="O2462" s="58">
        <v>45911</v>
      </c>
      <c r="P2462" s="59"/>
      <c r="Q2462" s="124" t="e">
        <f>P2462*#REF!</f>
        <v>#REF!</v>
      </c>
      <c r="R2462" s="126">
        <v>45912</v>
      </c>
    </row>
    <row r="2463" spans="2:18" ht="17.25" hidden="1" customHeight="1">
      <c r="B2463" s="23">
        <v>45895</v>
      </c>
      <c r="C2463" s="7">
        <v>2003739948</v>
      </c>
      <c r="D2463" s="20">
        <v>263835</v>
      </c>
      <c r="E2463" s="27" t="s">
        <v>1225</v>
      </c>
      <c r="F2463" s="7" t="s">
        <v>107</v>
      </c>
      <c r="G2463" s="7" t="s">
        <v>21</v>
      </c>
      <c r="H2463" s="7" t="s">
        <v>45</v>
      </c>
      <c r="I2463" s="20" t="s">
        <v>3254</v>
      </c>
      <c r="J2463" s="20" t="s">
        <v>3255</v>
      </c>
      <c r="K2463" s="7" t="s">
        <v>111</v>
      </c>
      <c r="L2463" s="61">
        <v>45896</v>
      </c>
      <c r="M2463" s="7" t="s">
        <v>111</v>
      </c>
      <c r="N2463" s="24">
        <v>45897</v>
      </c>
      <c r="O2463" s="58">
        <v>45898</v>
      </c>
      <c r="P2463" s="59"/>
      <c r="Q2463" s="124" t="e">
        <f>P2463*#REF!</f>
        <v>#REF!</v>
      </c>
      <c r="R2463" s="126">
        <v>45898</v>
      </c>
    </row>
    <row r="2464" spans="2:18" ht="17.25" hidden="1" customHeight="1">
      <c r="B2464" s="23">
        <v>45895</v>
      </c>
      <c r="C2464" s="7">
        <v>2003752204</v>
      </c>
      <c r="D2464" s="20">
        <v>6234780</v>
      </c>
      <c r="E2464" s="27" t="s">
        <v>129</v>
      </c>
      <c r="F2464" s="7" t="s">
        <v>107</v>
      </c>
      <c r="G2464" s="7" t="s">
        <v>18</v>
      </c>
      <c r="H2464" s="7" t="s">
        <v>45</v>
      </c>
      <c r="I2464" s="20" t="s">
        <v>3621</v>
      </c>
      <c r="J2464" s="20" t="s">
        <v>3622</v>
      </c>
      <c r="K2464" s="7" t="s">
        <v>111</v>
      </c>
      <c r="L2464" s="61">
        <v>45896</v>
      </c>
      <c r="M2464" s="7" t="s">
        <v>111</v>
      </c>
      <c r="N2464" s="24">
        <v>45897</v>
      </c>
      <c r="O2464" s="58">
        <v>45908</v>
      </c>
      <c r="P2464" s="59"/>
      <c r="Q2464" s="124" t="e">
        <f>P2464*#REF!</f>
        <v>#REF!</v>
      </c>
      <c r="R2464" s="126">
        <v>45912</v>
      </c>
    </row>
    <row r="2465" spans="2:18" ht="17.25" hidden="1" customHeight="1">
      <c r="B2465" s="23" t="s">
        <v>3623</v>
      </c>
      <c r="C2465" s="7">
        <v>2003719849</v>
      </c>
      <c r="D2465" s="20">
        <v>6235021</v>
      </c>
      <c r="E2465" s="27" t="s">
        <v>143</v>
      </c>
      <c r="F2465" s="7" t="s">
        <v>107</v>
      </c>
      <c r="G2465" s="7" t="s">
        <v>18</v>
      </c>
      <c r="H2465" s="7" t="s">
        <v>45</v>
      </c>
      <c r="I2465" s="20" t="s">
        <v>3624</v>
      </c>
      <c r="J2465" s="20" t="s">
        <v>3625</v>
      </c>
      <c r="K2465" s="7" t="s">
        <v>111</v>
      </c>
      <c r="L2465" s="61">
        <v>45897</v>
      </c>
      <c r="M2465" s="7" t="s">
        <v>111</v>
      </c>
      <c r="N2465" s="61">
        <v>45897</v>
      </c>
      <c r="O2465" s="58">
        <v>45911</v>
      </c>
      <c r="P2465" s="59"/>
      <c r="Q2465" s="124" t="e">
        <f>P2465*#REF!</f>
        <v>#REF!</v>
      </c>
      <c r="R2465" s="126">
        <v>45912</v>
      </c>
    </row>
    <row r="2466" spans="2:18" ht="17.25" hidden="1" customHeight="1">
      <c r="B2466" s="23" t="s">
        <v>3623</v>
      </c>
      <c r="C2466" s="7">
        <v>2003761182</v>
      </c>
      <c r="D2466" s="20">
        <v>6246907</v>
      </c>
      <c r="E2466" s="27" t="s">
        <v>123</v>
      </c>
      <c r="F2466" s="7" t="s">
        <v>107</v>
      </c>
      <c r="G2466" s="7" t="s">
        <v>10</v>
      </c>
      <c r="H2466" s="7" t="s">
        <v>45</v>
      </c>
      <c r="I2466" s="20" t="s">
        <v>3626</v>
      </c>
      <c r="J2466" s="20" t="s">
        <v>3627</v>
      </c>
      <c r="K2466" s="7" t="s">
        <v>119</v>
      </c>
      <c r="L2466" s="61">
        <v>45902</v>
      </c>
      <c r="M2466" s="7" t="s">
        <v>111</v>
      </c>
      <c r="N2466" s="24">
        <v>45903</v>
      </c>
      <c r="O2466" s="58">
        <v>45905</v>
      </c>
      <c r="P2466" s="59"/>
      <c r="Q2466" s="124" t="e">
        <f>P2466*#REF!</f>
        <v>#REF!</v>
      </c>
      <c r="R2466" s="126">
        <v>45908</v>
      </c>
    </row>
    <row r="2467" spans="2:18" ht="17.25" hidden="1" customHeight="1">
      <c r="B2467" s="23" t="s">
        <v>3623</v>
      </c>
      <c r="C2467" s="7">
        <v>2003774817</v>
      </c>
      <c r="D2467" s="20">
        <v>6246975</v>
      </c>
      <c r="E2467" s="27" t="s">
        <v>622</v>
      </c>
      <c r="F2467" s="7" t="s">
        <v>107</v>
      </c>
      <c r="G2467" s="7" t="s">
        <v>10</v>
      </c>
      <c r="H2467" s="7" t="s">
        <v>45</v>
      </c>
      <c r="I2467" s="128" t="s">
        <v>1496</v>
      </c>
      <c r="J2467" s="20" t="s">
        <v>3628</v>
      </c>
      <c r="K2467" s="7" t="s">
        <v>119</v>
      </c>
      <c r="L2467" s="61">
        <v>45901</v>
      </c>
      <c r="M2467" s="7" t="s">
        <v>111</v>
      </c>
      <c r="N2467" s="61">
        <v>45901</v>
      </c>
      <c r="O2467" s="58">
        <v>45902</v>
      </c>
      <c r="P2467" s="59"/>
      <c r="Q2467" s="124" t="e">
        <f>P2467*#REF!</f>
        <v>#REF!</v>
      </c>
      <c r="R2467" s="126">
        <v>45904</v>
      </c>
    </row>
    <row r="2468" spans="2:18" ht="17.25" hidden="1" customHeight="1">
      <c r="B2468" s="23" t="s">
        <v>3623</v>
      </c>
      <c r="C2468" s="7">
        <v>2003766624</v>
      </c>
      <c r="D2468" s="20">
        <v>6247161</v>
      </c>
      <c r="E2468" s="27" t="s">
        <v>123</v>
      </c>
      <c r="F2468" s="7" t="s">
        <v>107</v>
      </c>
      <c r="G2468" s="7" t="s">
        <v>18</v>
      </c>
      <c r="H2468" s="7" t="s">
        <v>45</v>
      </c>
      <c r="I2468" s="20" t="s">
        <v>3629</v>
      </c>
      <c r="J2468" s="20" t="s">
        <v>3630</v>
      </c>
      <c r="K2468" s="7" t="s">
        <v>119</v>
      </c>
      <c r="L2468" s="61">
        <v>45902</v>
      </c>
      <c r="M2468" s="7" t="s">
        <v>111</v>
      </c>
      <c r="N2468" s="24">
        <v>45903</v>
      </c>
      <c r="O2468" s="58">
        <v>45905</v>
      </c>
      <c r="P2468" s="59"/>
      <c r="Q2468" s="124" t="e">
        <f>P2468*#REF!</f>
        <v>#REF!</v>
      </c>
      <c r="R2468" s="126">
        <v>45908</v>
      </c>
    </row>
    <row r="2469" spans="2:18" ht="17.25" hidden="1" customHeight="1">
      <c r="B2469" s="23" t="s">
        <v>3623</v>
      </c>
      <c r="C2469" s="7">
        <v>2003765684</v>
      </c>
      <c r="D2469" s="20">
        <v>265734</v>
      </c>
      <c r="E2469" s="20" t="s">
        <v>568</v>
      </c>
      <c r="F2469" s="7" t="s">
        <v>113</v>
      </c>
      <c r="G2469" s="7" t="s">
        <v>70</v>
      </c>
      <c r="H2469" s="7" t="s">
        <v>47</v>
      </c>
      <c r="P2469" s="59"/>
      <c r="Q2469" s="124" t="e">
        <f>P2469*#REF!</f>
        <v>#REF!</v>
      </c>
      <c r="R2469" s="126">
        <v>45897</v>
      </c>
    </row>
    <row r="2470" spans="2:18" ht="17.25" hidden="1" customHeight="1">
      <c r="B2470" s="23" t="s">
        <v>3623</v>
      </c>
      <c r="C2470" s="7">
        <v>2003750659</v>
      </c>
      <c r="D2470" s="20">
        <v>265649</v>
      </c>
      <c r="E2470" s="27" t="s">
        <v>116</v>
      </c>
      <c r="F2470" s="7" t="s">
        <v>107</v>
      </c>
      <c r="G2470" s="7" t="s">
        <v>10</v>
      </c>
      <c r="H2470" s="7" t="s">
        <v>45</v>
      </c>
      <c r="I2470" s="20" t="s">
        <v>3631</v>
      </c>
      <c r="J2470" s="20" t="s">
        <v>3632</v>
      </c>
      <c r="K2470" s="7" t="s">
        <v>119</v>
      </c>
      <c r="L2470" s="61">
        <v>45901</v>
      </c>
      <c r="M2470" s="7" t="s">
        <v>111</v>
      </c>
      <c r="N2470" s="61">
        <v>45912</v>
      </c>
      <c r="O2470" s="61">
        <v>45918</v>
      </c>
      <c r="P2470" s="59"/>
      <c r="Q2470" s="124" t="e">
        <f>P2470*#REF!</f>
        <v>#REF!</v>
      </c>
      <c r="R2470" s="126">
        <v>45918</v>
      </c>
    </row>
    <row r="2471" spans="2:18" ht="17.25" hidden="1" customHeight="1">
      <c r="B2471" s="23" t="s">
        <v>3623</v>
      </c>
      <c r="C2471" s="7">
        <v>2003756920</v>
      </c>
      <c r="D2471" s="20">
        <v>265574</v>
      </c>
      <c r="E2471" s="27" t="s">
        <v>568</v>
      </c>
      <c r="F2471" s="7" t="s">
        <v>113</v>
      </c>
      <c r="G2471" s="7" t="s">
        <v>70</v>
      </c>
      <c r="H2471" s="7" t="s">
        <v>47</v>
      </c>
      <c r="I2471" s="20" t="s">
        <v>3633</v>
      </c>
      <c r="J2471" s="20" t="s">
        <v>3634</v>
      </c>
      <c r="K2471" s="7" t="s">
        <v>160</v>
      </c>
      <c r="P2471" s="59"/>
      <c r="Q2471" s="124" t="e">
        <f>P2471*#REF!</f>
        <v>#REF!</v>
      </c>
      <c r="R2471" s="126">
        <v>45897</v>
      </c>
    </row>
    <row r="2472" spans="2:18" ht="17.25" hidden="1" customHeight="1">
      <c r="B2472" s="23" t="s">
        <v>3623</v>
      </c>
      <c r="C2472" s="7">
        <v>2003764020</v>
      </c>
      <c r="D2472" s="20">
        <v>265295</v>
      </c>
      <c r="E2472" s="27" t="s">
        <v>230</v>
      </c>
      <c r="F2472" s="7" t="s">
        <v>107</v>
      </c>
      <c r="G2472" s="7" t="s">
        <v>18</v>
      </c>
      <c r="H2472" s="7" t="s">
        <v>45</v>
      </c>
      <c r="I2472" s="20" t="s">
        <v>3635</v>
      </c>
      <c r="J2472" s="20" t="s">
        <v>3636</v>
      </c>
      <c r="K2472" s="7" t="s">
        <v>110</v>
      </c>
      <c r="L2472" s="61">
        <v>45901</v>
      </c>
      <c r="M2472" s="7" t="s">
        <v>111</v>
      </c>
      <c r="N2472" s="61">
        <v>45901</v>
      </c>
      <c r="O2472" s="58">
        <v>45902</v>
      </c>
      <c r="P2472" s="59"/>
      <c r="Q2472" s="124" t="e">
        <f>P2472*#REF!</f>
        <v>#REF!</v>
      </c>
      <c r="R2472" s="126">
        <v>45904</v>
      </c>
    </row>
    <row r="2473" spans="2:18" ht="17.25" hidden="1" customHeight="1">
      <c r="B2473" s="23">
        <v>45897</v>
      </c>
      <c r="C2473" s="7">
        <v>2003750200</v>
      </c>
      <c r="D2473" s="20">
        <v>267708</v>
      </c>
      <c r="E2473" s="27" t="s">
        <v>408</v>
      </c>
      <c r="F2473" s="7" t="s">
        <v>107</v>
      </c>
      <c r="G2473" s="7" t="s">
        <v>21</v>
      </c>
      <c r="H2473" s="7" t="s">
        <v>45</v>
      </c>
      <c r="I2473" s="20" t="s">
        <v>1908</v>
      </c>
      <c r="J2473" s="20" t="s">
        <v>3392</v>
      </c>
      <c r="K2473" s="7" t="s">
        <v>119</v>
      </c>
      <c r="L2473" s="61">
        <v>45898</v>
      </c>
      <c r="M2473" s="7" t="s">
        <v>111</v>
      </c>
      <c r="N2473" s="61">
        <v>45898</v>
      </c>
      <c r="O2473" s="61">
        <v>45898</v>
      </c>
      <c r="P2473" s="59"/>
      <c r="Q2473" s="124" t="e">
        <f>P2473*#REF!</f>
        <v>#REF!</v>
      </c>
      <c r="R2473" s="126">
        <v>45904</v>
      </c>
    </row>
    <row r="2474" spans="2:18" ht="17.25" hidden="1" customHeight="1">
      <c r="B2474" s="23">
        <v>45897</v>
      </c>
      <c r="C2474" s="7">
        <v>2003742533</v>
      </c>
      <c r="D2474" s="20">
        <v>267667</v>
      </c>
      <c r="E2474" s="27" t="s">
        <v>143</v>
      </c>
      <c r="F2474" s="7" t="s">
        <v>113</v>
      </c>
      <c r="G2474" s="7" t="s">
        <v>70</v>
      </c>
      <c r="H2474" s="7" t="s">
        <v>47</v>
      </c>
      <c r="I2474" s="20" t="s">
        <v>3637</v>
      </c>
      <c r="J2474" s="20" t="s">
        <v>3638</v>
      </c>
      <c r="K2474" s="7" t="s">
        <v>160</v>
      </c>
      <c r="P2474" s="59"/>
      <c r="Q2474" s="124" t="e">
        <f>P2474*#REF!</f>
        <v>#REF!</v>
      </c>
      <c r="R2474" s="126">
        <v>45910</v>
      </c>
    </row>
    <row r="2475" spans="2:18" ht="17.25" hidden="1" customHeight="1">
      <c r="B2475" s="23">
        <v>45897</v>
      </c>
      <c r="C2475" s="7">
        <v>2003730052</v>
      </c>
      <c r="D2475" s="20">
        <v>267627</v>
      </c>
      <c r="E2475" s="20" t="s">
        <v>143</v>
      </c>
      <c r="F2475" s="7" t="s">
        <v>107</v>
      </c>
      <c r="G2475" s="7" t="s">
        <v>21</v>
      </c>
      <c r="H2475" s="7" t="s">
        <v>45</v>
      </c>
      <c r="I2475" s="236" t="s">
        <v>3639</v>
      </c>
      <c r="J2475" s="20" t="s">
        <v>1794</v>
      </c>
      <c r="K2475" s="7" t="s">
        <v>110</v>
      </c>
      <c r="L2475" s="61">
        <v>45898</v>
      </c>
      <c r="M2475" s="7" t="s">
        <v>111</v>
      </c>
      <c r="N2475" s="24">
        <v>45901</v>
      </c>
      <c r="O2475" s="58">
        <v>45902</v>
      </c>
      <c r="P2475" s="59"/>
      <c r="Q2475" s="124" t="e">
        <f>P2475*#REF!</f>
        <v>#REF!</v>
      </c>
      <c r="R2475" s="126">
        <v>45904</v>
      </c>
    </row>
    <row r="2476" spans="2:18" ht="17.25" hidden="1" customHeight="1">
      <c r="B2476" s="23">
        <v>45897</v>
      </c>
      <c r="C2476" s="7">
        <v>2003644693</v>
      </c>
      <c r="D2476" s="20">
        <v>267453</v>
      </c>
      <c r="E2476" s="27" t="s">
        <v>138</v>
      </c>
      <c r="F2476" s="7" t="s">
        <v>107</v>
      </c>
      <c r="G2476" s="7" t="s">
        <v>18</v>
      </c>
      <c r="H2476" s="7" t="s">
        <v>45</v>
      </c>
      <c r="I2476" s="20" t="s">
        <v>3457</v>
      </c>
      <c r="J2476" s="20" t="s">
        <v>3640</v>
      </c>
      <c r="K2476" s="7" t="s">
        <v>119</v>
      </c>
      <c r="L2476" s="61">
        <v>45898</v>
      </c>
      <c r="M2476" s="7" t="s">
        <v>111</v>
      </c>
      <c r="N2476" s="24">
        <v>45903</v>
      </c>
      <c r="O2476" s="24">
        <v>45903</v>
      </c>
      <c r="P2476" s="59"/>
      <c r="Q2476" s="124" t="e">
        <f>P2476*#REF!</f>
        <v>#REF!</v>
      </c>
      <c r="R2476" s="126">
        <v>45904</v>
      </c>
    </row>
    <row r="2477" spans="2:18" ht="17.25" hidden="1" customHeight="1">
      <c r="B2477" s="23">
        <v>45897</v>
      </c>
      <c r="C2477" s="7">
        <v>2003685362</v>
      </c>
      <c r="D2477" s="20">
        <v>267240</v>
      </c>
      <c r="E2477" s="27" t="s">
        <v>191</v>
      </c>
      <c r="F2477" s="7" t="s">
        <v>107</v>
      </c>
      <c r="G2477" s="7" t="s">
        <v>10</v>
      </c>
      <c r="H2477" s="7" t="s">
        <v>45</v>
      </c>
      <c r="I2477" s="20" t="s">
        <v>3641</v>
      </c>
      <c r="J2477" s="20" t="s">
        <v>3642</v>
      </c>
      <c r="K2477" s="7" t="s">
        <v>110</v>
      </c>
      <c r="L2477" s="61">
        <v>45903</v>
      </c>
      <c r="M2477" s="7" t="s">
        <v>111</v>
      </c>
      <c r="N2477" s="61">
        <v>45905</v>
      </c>
      <c r="O2477" s="24">
        <v>45912</v>
      </c>
      <c r="P2477" s="59"/>
      <c r="Q2477" s="124" t="e">
        <f>P2477*#REF!</f>
        <v>#REF!</v>
      </c>
      <c r="R2477" s="126">
        <v>45916</v>
      </c>
    </row>
    <row r="2478" spans="2:18" ht="17.25" hidden="1" customHeight="1">
      <c r="B2478" s="23">
        <v>45897</v>
      </c>
      <c r="C2478" s="7">
        <v>2003713427</v>
      </c>
      <c r="D2478" s="20">
        <v>267219</v>
      </c>
      <c r="E2478" s="27" t="s">
        <v>1225</v>
      </c>
      <c r="F2478" s="7" t="s">
        <v>107</v>
      </c>
      <c r="G2478" s="7" t="s">
        <v>10</v>
      </c>
      <c r="H2478" s="7" t="s">
        <v>45</v>
      </c>
      <c r="I2478" s="20" t="s">
        <v>3643</v>
      </c>
      <c r="J2478" s="20" t="s">
        <v>3644</v>
      </c>
      <c r="K2478" s="7" t="s">
        <v>110</v>
      </c>
      <c r="L2478" s="61">
        <v>45903</v>
      </c>
      <c r="M2478" s="7" t="s">
        <v>111</v>
      </c>
      <c r="N2478" s="61">
        <v>45903</v>
      </c>
      <c r="O2478" s="58">
        <v>45905</v>
      </c>
      <c r="P2478" s="59"/>
      <c r="Q2478" s="124" t="e">
        <f>P2478*#REF!</f>
        <v>#REF!</v>
      </c>
      <c r="R2478" s="126">
        <v>45908</v>
      </c>
    </row>
    <row r="2479" spans="2:18" ht="17.25" hidden="1" customHeight="1">
      <c r="B2479" s="23">
        <v>45897</v>
      </c>
      <c r="C2479" s="7">
        <v>2003668710</v>
      </c>
      <c r="D2479" s="20">
        <v>266603</v>
      </c>
      <c r="E2479" s="27" t="s">
        <v>486</v>
      </c>
      <c r="F2479" s="7" t="s">
        <v>107</v>
      </c>
      <c r="G2479" s="7" t="s">
        <v>26</v>
      </c>
      <c r="H2479" s="7" t="s">
        <v>45</v>
      </c>
      <c r="I2479" s="20" t="s">
        <v>3645</v>
      </c>
      <c r="J2479" s="20" t="s">
        <v>3113</v>
      </c>
      <c r="K2479" s="7" t="s">
        <v>110</v>
      </c>
      <c r="L2479" s="61">
        <v>45897</v>
      </c>
      <c r="M2479" s="7" t="s">
        <v>111</v>
      </c>
      <c r="N2479" s="24">
        <v>45898</v>
      </c>
      <c r="O2479" s="58">
        <v>45898</v>
      </c>
      <c r="P2479" s="59"/>
      <c r="Q2479" s="124" t="e">
        <f>P2479*#REF!</f>
        <v>#REF!</v>
      </c>
      <c r="R2479" s="126">
        <v>45898</v>
      </c>
    </row>
    <row r="2480" spans="2:18" ht="17.25" hidden="1" customHeight="1">
      <c r="B2480" s="23">
        <v>45897</v>
      </c>
      <c r="C2480" s="7">
        <v>2003733745</v>
      </c>
      <c r="D2480" s="20">
        <v>6247603</v>
      </c>
      <c r="E2480" s="27" t="s">
        <v>230</v>
      </c>
      <c r="F2480" s="7" t="s">
        <v>107</v>
      </c>
      <c r="G2480" s="7" t="s">
        <v>10</v>
      </c>
      <c r="H2480" s="7" t="s">
        <v>45</v>
      </c>
      <c r="I2480" s="20" t="s">
        <v>3300</v>
      </c>
      <c r="J2480" s="20" t="s">
        <v>3646</v>
      </c>
      <c r="K2480" s="7" t="s">
        <v>110</v>
      </c>
      <c r="L2480" s="61">
        <v>45898</v>
      </c>
      <c r="M2480" s="7" t="s">
        <v>111</v>
      </c>
      <c r="N2480" s="61">
        <v>45898</v>
      </c>
      <c r="O2480" s="58">
        <v>45901</v>
      </c>
      <c r="P2480" s="59"/>
      <c r="Q2480" s="124" t="e">
        <f>P2480*#REF!</f>
        <v>#REF!</v>
      </c>
      <c r="R2480" s="126">
        <v>45904</v>
      </c>
    </row>
    <row r="2481" spans="2:18" ht="17.25" hidden="1" customHeight="1">
      <c r="B2481" s="23">
        <v>45897</v>
      </c>
      <c r="C2481" s="7">
        <v>2003636441</v>
      </c>
      <c r="D2481" s="20">
        <v>6247805</v>
      </c>
      <c r="E2481" s="27" t="s">
        <v>191</v>
      </c>
      <c r="F2481" s="7" t="s">
        <v>107</v>
      </c>
      <c r="G2481" s="7" t="s">
        <v>10</v>
      </c>
      <c r="H2481" s="7" t="s">
        <v>45</v>
      </c>
      <c r="I2481" s="20" t="s">
        <v>3647</v>
      </c>
      <c r="J2481" s="20" t="s">
        <v>3648</v>
      </c>
      <c r="K2481" s="7" t="s">
        <v>119</v>
      </c>
      <c r="L2481" s="61">
        <v>45903</v>
      </c>
      <c r="M2481" s="7" t="s">
        <v>111</v>
      </c>
      <c r="N2481" s="24">
        <v>45904</v>
      </c>
      <c r="O2481" s="24">
        <v>45904</v>
      </c>
      <c r="P2481" s="59"/>
      <c r="Q2481" s="124" t="e">
        <f>P2481*#REF!</f>
        <v>#REF!</v>
      </c>
      <c r="R2481" s="126">
        <v>45908</v>
      </c>
    </row>
    <row r="2482" spans="2:18" ht="17.25" hidden="1" customHeight="1">
      <c r="B2482" s="23">
        <v>45897</v>
      </c>
      <c r="C2482" s="7">
        <v>2003714402</v>
      </c>
      <c r="D2482" s="20">
        <v>6247823</v>
      </c>
      <c r="E2482" s="27" t="s">
        <v>138</v>
      </c>
      <c r="F2482" s="7" t="s">
        <v>107</v>
      </c>
      <c r="G2482" s="7" t="s">
        <v>10</v>
      </c>
      <c r="H2482" s="7" t="s">
        <v>45</v>
      </c>
      <c r="I2482" s="20" t="s">
        <v>3649</v>
      </c>
      <c r="J2482" s="20" t="s">
        <v>3650</v>
      </c>
      <c r="K2482" s="7" t="s">
        <v>119</v>
      </c>
      <c r="L2482" s="61">
        <v>45898</v>
      </c>
      <c r="M2482" s="7" t="s">
        <v>111</v>
      </c>
      <c r="N2482" s="61">
        <v>45901</v>
      </c>
      <c r="O2482" s="58">
        <v>45902</v>
      </c>
      <c r="P2482" s="59"/>
      <c r="Q2482" s="124" t="e">
        <f>P2482*#REF!</f>
        <v>#REF!</v>
      </c>
      <c r="R2482" s="126">
        <v>45904</v>
      </c>
    </row>
    <row r="2483" spans="2:18" ht="17.25" hidden="1" customHeight="1">
      <c r="B2483" s="23">
        <v>45897</v>
      </c>
      <c r="C2483" s="7">
        <v>2003746558</v>
      </c>
      <c r="D2483" s="20">
        <v>6247893</v>
      </c>
      <c r="E2483" s="27" t="s">
        <v>123</v>
      </c>
      <c r="F2483" s="7" t="s">
        <v>107</v>
      </c>
      <c r="G2483" s="7" t="s">
        <v>21</v>
      </c>
      <c r="H2483" s="7" t="s">
        <v>45</v>
      </c>
      <c r="I2483" s="20" t="s">
        <v>3651</v>
      </c>
      <c r="J2483" s="20" t="s">
        <v>3330</v>
      </c>
      <c r="K2483" s="7" t="s">
        <v>119</v>
      </c>
      <c r="L2483" s="61">
        <v>45898</v>
      </c>
      <c r="M2483" s="7" t="s">
        <v>111</v>
      </c>
      <c r="N2483" s="61">
        <v>45901</v>
      </c>
      <c r="O2483" s="61">
        <v>45901</v>
      </c>
      <c r="P2483" s="59"/>
      <c r="Q2483" s="124" t="e">
        <f>P2483*#REF!</f>
        <v>#REF!</v>
      </c>
      <c r="R2483" s="126">
        <v>45904</v>
      </c>
    </row>
    <row r="2484" spans="2:18" ht="17.25" hidden="1" customHeight="1">
      <c r="B2484" s="23">
        <v>45898</v>
      </c>
      <c r="C2484" s="7">
        <v>2003751417</v>
      </c>
      <c r="D2484" s="20">
        <v>269203</v>
      </c>
      <c r="E2484" s="27" t="s">
        <v>116</v>
      </c>
      <c r="F2484" s="7" t="s">
        <v>107</v>
      </c>
      <c r="G2484" s="7" t="s">
        <v>18</v>
      </c>
      <c r="H2484" s="7" t="s">
        <v>45</v>
      </c>
      <c r="I2484" s="20" t="s">
        <v>3652</v>
      </c>
      <c r="J2484" s="20" t="s">
        <v>3653</v>
      </c>
      <c r="K2484" s="7" t="s">
        <v>119</v>
      </c>
      <c r="L2484" s="61">
        <v>45904</v>
      </c>
      <c r="M2484" s="7" t="s">
        <v>111</v>
      </c>
      <c r="N2484" s="61">
        <v>45904</v>
      </c>
      <c r="O2484" s="58">
        <v>45909</v>
      </c>
      <c r="P2484" s="59"/>
      <c r="Q2484" s="124" t="e">
        <f>P2484*#REF!</f>
        <v>#REF!</v>
      </c>
      <c r="R2484" s="126">
        <v>45912</v>
      </c>
    </row>
    <row r="2485" spans="2:18" ht="17.25" hidden="1" customHeight="1">
      <c r="B2485" s="23">
        <v>45898</v>
      </c>
      <c r="C2485" s="7">
        <v>2003755987</v>
      </c>
      <c r="D2485" s="20">
        <v>268272</v>
      </c>
      <c r="E2485" s="27" t="s">
        <v>126</v>
      </c>
      <c r="F2485" s="7" t="s">
        <v>107</v>
      </c>
      <c r="G2485" s="7" t="s">
        <v>10</v>
      </c>
      <c r="H2485" s="7" t="s">
        <v>45</v>
      </c>
      <c r="I2485" s="20" t="s">
        <v>2960</v>
      </c>
      <c r="J2485" s="20" t="s">
        <v>3429</v>
      </c>
      <c r="K2485" s="7" t="s">
        <v>110</v>
      </c>
      <c r="L2485" s="61">
        <v>45901</v>
      </c>
      <c r="M2485" s="7" t="s">
        <v>111</v>
      </c>
      <c r="N2485" s="61">
        <v>45901</v>
      </c>
      <c r="O2485" s="58">
        <v>45902</v>
      </c>
      <c r="P2485" s="59"/>
      <c r="Q2485" s="124" t="e">
        <f>P2485*#REF!</f>
        <v>#REF!</v>
      </c>
      <c r="R2485" s="126">
        <v>45904</v>
      </c>
    </row>
    <row r="2486" spans="2:18" ht="17.25" hidden="1" customHeight="1">
      <c r="B2486" s="23">
        <v>45898</v>
      </c>
      <c r="C2486" s="7">
        <v>2003721035</v>
      </c>
      <c r="D2486" s="20">
        <v>268148</v>
      </c>
      <c r="E2486" s="27" t="s">
        <v>123</v>
      </c>
      <c r="F2486" s="7" t="s">
        <v>107</v>
      </c>
      <c r="G2486" s="7" t="s">
        <v>21</v>
      </c>
      <c r="H2486" s="7" t="s">
        <v>45</v>
      </c>
      <c r="I2486" s="236" t="s">
        <v>3654</v>
      </c>
      <c r="J2486" s="20" t="s">
        <v>3141</v>
      </c>
      <c r="K2486" s="7" t="s">
        <v>110</v>
      </c>
      <c r="L2486" s="61">
        <v>45903</v>
      </c>
      <c r="M2486" s="7" t="s">
        <v>111</v>
      </c>
      <c r="N2486" s="24">
        <v>45916</v>
      </c>
      <c r="O2486" s="24">
        <v>45916</v>
      </c>
      <c r="P2486" s="59"/>
      <c r="Q2486" s="124" t="e">
        <f>P2486*#REF!</f>
        <v>#REF!</v>
      </c>
      <c r="R2486" s="126">
        <v>45918</v>
      </c>
    </row>
    <row r="2487" spans="2:18" ht="17.25" hidden="1" customHeight="1">
      <c r="B2487" s="23">
        <v>45898</v>
      </c>
      <c r="C2487" s="7">
        <v>2003774412</v>
      </c>
      <c r="D2487" s="20">
        <v>267894</v>
      </c>
      <c r="E2487" s="27" t="s">
        <v>123</v>
      </c>
      <c r="F2487" s="7" t="s">
        <v>107</v>
      </c>
      <c r="G2487" s="7" t="s">
        <v>10</v>
      </c>
      <c r="H2487" s="7" t="s">
        <v>45</v>
      </c>
      <c r="I2487" s="20" t="s">
        <v>3482</v>
      </c>
      <c r="J2487" s="20" t="s">
        <v>3655</v>
      </c>
      <c r="K2487" s="7" t="s">
        <v>119</v>
      </c>
      <c r="L2487" s="61">
        <v>45901</v>
      </c>
      <c r="M2487" s="7" t="s">
        <v>111</v>
      </c>
      <c r="N2487" s="61">
        <v>45901</v>
      </c>
      <c r="O2487" s="58">
        <v>45902</v>
      </c>
      <c r="P2487" s="59"/>
      <c r="Q2487" s="124" t="e">
        <f>P2487*#REF!</f>
        <v>#REF!</v>
      </c>
      <c r="R2487" s="126">
        <v>45904</v>
      </c>
    </row>
    <row r="2488" spans="2:18" ht="17.25" hidden="1" customHeight="1">
      <c r="B2488" s="23">
        <v>45898</v>
      </c>
      <c r="C2488" s="7">
        <v>2003665227</v>
      </c>
      <c r="D2488" s="20">
        <v>6248432</v>
      </c>
      <c r="E2488" s="27" t="s">
        <v>191</v>
      </c>
      <c r="F2488" s="7" t="s">
        <v>107</v>
      </c>
      <c r="G2488" s="7" t="s">
        <v>10</v>
      </c>
      <c r="H2488" s="7" t="s">
        <v>45</v>
      </c>
      <c r="I2488" s="20" t="s">
        <v>3656</v>
      </c>
      <c r="J2488" s="20" t="s">
        <v>3657</v>
      </c>
      <c r="K2488" s="7" t="s">
        <v>110</v>
      </c>
      <c r="L2488" s="61">
        <v>45901</v>
      </c>
      <c r="M2488" s="7" t="s">
        <v>111</v>
      </c>
      <c r="N2488" s="61">
        <v>45901</v>
      </c>
      <c r="O2488" s="61">
        <v>45901</v>
      </c>
      <c r="P2488" s="59"/>
      <c r="Q2488" s="124" t="e">
        <f>P2488*#REF!</f>
        <v>#REF!</v>
      </c>
      <c r="R2488" s="126">
        <v>45904</v>
      </c>
    </row>
    <row r="2489" spans="2:18" ht="17.25" hidden="1" customHeight="1">
      <c r="B2489" s="23">
        <v>45898</v>
      </c>
      <c r="C2489" s="7">
        <v>2003742355</v>
      </c>
      <c r="D2489" s="20">
        <v>6248924</v>
      </c>
      <c r="E2489" s="27" t="s">
        <v>3586</v>
      </c>
      <c r="F2489" s="7" t="s">
        <v>113</v>
      </c>
      <c r="G2489" s="7" t="s">
        <v>70</v>
      </c>
      <c r="H2489" s="7" t="s">
        <v>47</v>
      </c>
      <c r="I2489" s="20" t="s">
        <v>3658</v>
      </c>
      <c r="J2489" s="20" t="s">
        <v>3659</v>
      </c>
      <c r="K2489" s="7" t="s">
        <v>160</v>
      </c>
      <c r="P2489" s="59"/>
      <c r="Q2489" s="124" t="e">
        <f>P2489*#REF!</f>
        <v>#REF!</v>
      </c>
      <c r="R2489" s="126">
        <v>45910</v>
      </c>
    </row>
    <row r="2490" spans="2:18" ht="17.25" hidden="1" customHeight="1">
      <c r="B2490" s="23">
        <v>45901</v>
      </c>
      <c r="C2490" s="7">
        <v>2003768433</v>
      </c>
      <c r="D2490" s="20">
        <v>271218</v>
      </c>
      <c r="E2490" s="27" t="s">
        <v>129</v>
      </c>
      <c r="F2490" s="7" t="s">
        <v>107</v>
      </c>
      <c r="G2490" s="7" t="s">
        <v>10</v>
      </c>
      <c r="H2490" s="7" t="s">
        <v>45</v>
      </c>
      <c r="I2490" s="20" t="s">
        <v>3660</v>
      </c>
      <c r="J2490" s="20" t="s">
        <v>3568</v>
      </c>
      <c r="K2490" s="7" t="s">
        <v>110</v>
      </c>
      <c r="L2490" s="61">
        <v>45904</v>
      </c>
      <c r="M2490" s="7" t="s">
        <v>111</v>
      </c>
      <c r="N2490" s="24">
        <v>45910</v>
      </c>
      <c r="O2490" s="24">
        <v>45910</v>
      </c>
      <c r="P2490" s="59"/>
      <c r="Q2490" s="124" t="e">
        <f>P2490*#REF!</f>
        <v>#REF!</v>
      </c>
      <c r="R2490" s="126">
        <v>45912</v>
      </c>
    </row>
    <row r="2491" spans="2:18" ht="17.25" hidden="1" customHeight="1">
      <c r="B2491" s="23">
        <v>45901</v>
      </c>
      <c r="C2491" s="7">
        <v>2003779116</v>
      </c>
      <c r="D2491" s="20">
        <v>271175</v>
      </c>
      <c r="E2491" s="27" t="s">
        <v>116</v>
      </c>
      <c r="F2491" s="7" t="s">
        <v>107</v>
      </c>
      <c r="G2491" s="7" t="s">
        <v>26</v>
      </c>
      <c r="H2491" s="7" t="s">
        <v>45</v>
      </c>
      <c r="I2491" s="20" t="s">
        <v>202</v>
      </c>
      <c r="J2491" s="20" t="s">
        <v>3661</v>
      </c>
      <c r="K2491" s="7" t="s">
        <v>119</v>
      </c>
      <c r="L2491" s="61">
        <v>45911</v>
      </c>
      <c r="M2491" s="7" t="s">
        <v>111</v>
      </c>
      <c r="N2491" s="24">
        <v>45912</v>
      </c>
      <c r="O2491" s="58">
        <v>45912</v>
      </c>
      <c r="P2491" s="59"/>
      <c r="Q2491" s="124" t="e">
        <f>P2491*#REF!</f>
        <v>#REF!</v>
      </c>
      <c r="R2491" s="126">
        <v>45912</v>
      </c>
    </row>
    <row r="2492" spans="2:18" ht="17.25" hidden="1" customHeight="1">
      <c r="B2492" s="23">
        <v>45901</v>
      </c>
      <c r="C2492" s="7">
        <v>2003779451</v>
      </c>
      <c r="D2492" s="20">
        <v>270626</v>
      </c>
      <c r="E2492" s="27" t="s">
        <v>149</v>
      </c>
      <c r="F2492" s="7" t="s">
        <v>107</v>
      </c>
      <c r="G2492" s="7" t="s">
        <v>18</v>
      </c>
      <c r="H2492" s="7" t="s">
        <v>45</v>
      </c>
      <c r="I2492" s="20" t="s">
        <v>3662</v>
      </c>
      <c r="J2492" s="20" t="s">
        <v>3663</v>
      </c>
      <c r="K2492" s="7" t="s">
        <v>119</v>
      </c>
      <c r="L2492" s="61">
        <v>45903</v>
      </c>
      <c r="M2492" s="7" t="s">
        <v>111</v>
      </c>
      <c r="N2492" s="24">
        <v>45904</v>
      </c>
      <c r="O2492" s="58">
        <v>45905</v>
      </c>
      <c r="P2492" s="59"/>
      <c r="Q2492" s="124" t="e">
        <f>P2492*#REF!</f>
        <v>#REF!</v>
      </c>
      <c r="R2492" s="126">
        <v>45908</v>
      </c>
    </row>
    <row r="2493" spans="2:18" ht="17.25" hidden="1" customHeight="1">
      <c r="B2493" s="23">
        <v>45901</v>
      </c>
      <c r="C2493" s="7">
        <v>2003728752</v>
      </c>
      <c r="D2493" s="20">
        <v>270507</v>
      </c>
      <c r="E2493" s="27" t="s">
        <v>265</v>
      </c>
      <c r="F2493" s="7" t="s">
        <v>107</v>
      </c>
      <c r="G2493" s="7" t="s">
        <v>26</v>
      </c>
      <c r="H2493" s="7" t="s">
        <v>45</v>
      </c>
      <c r="I2493" s="20" t="s">
        <v>3664</v>
      </c>
      <c r="J2493" s="20" t="s">
        <v>3665</v>
      </c>
      <c r="K2493" s="7" t="s">
        <v>119</v>
      </c>
      <c r="L2493" s="61">
        <v>45905</v>
      </c>
      <c r="M2493" s="7" t="s">
        <v>111</v>
      </c>
      <c r="N2493" s="24">
        <v>45908</v>
      </c>
      <c r="O2493" s="58">
        <v>45908</v>
      </c>
      <c r="P2493" s="59"/>
      <c r="Q2493" s="124" t="e">
        <f>P2493*#REF!</f>
        <v>#REF!</v>
      </c>
      <c r="R2493" s="126">
        <v>45908</v>
      </c>
    </row>
    <row r="2494" spans="2:18" ht="17.25" hidden="1" customHeight="1">
      <c r="B2494" s="23">
        <v>45901</v>
      </c>
      <c r="C2494" s="7">
        <v>2003774745</v>
      </c>
      <c r="D2494" s="20">
        <v>6249474</v>
      </c>
      <c r="E2494" s="27" t="s">
        <v>149</v>
      </c>
      <c r="F2494" s="7" t="s">
        <v>107</v>
      </c>
      <c r="G2494" s="7" t="s">
        <v>10</v>
      </c>
      <c r="H2494" s="7" t="s">
        <v>45</v>
      </c>
      <c r="I2494" s="20" t="s">
        <v>3666</v>
      </c>
      <c r="J2494" s="20" t="s">
        <v>3667</v>
      </c>
      <c r="K2494" s="7" t="s">
        <v>110</v>
      </c>
      <c r="L2494" s="61">
        <v>45903</v>
      </c>
      <c r="M2494" s="7" t="s">
        <v>111</v>
      </c>
      <c r="N2494" s="61">
        <v>45903</v>
      </c>
      <c r="O2494" s="58">
        <v>45905</v>
      </c>
      <c r="P2494" s="59"/>
      <c r="Q2494" s="124" t="e">
        <f>P2494*#REF!</f>
        <v>#REF!</v>
      </c>
      <c r="R2494" s="126">
        <v>45908</v>
      </c>
    </row>
    <row r="2495" spans="2:18" ht="17.25" hidden="1" customHeight="1">
      <c r="B2495" s="23">
        <v>45901</v>
      </c>
      <c r="C2495" s="7">
        <v>2003774577</v>
      </c>
      <c r="D2495" s="20">
        <v>6249741</v>
      </c>
      <c r="E2495" s="27" t="s">
        <v>201</v>
      </c>
      <c r="F2495" s="7" t="s">
        <v>107</v>
      </c>
      <c r="G2495" s="7" t="s">
        <v>10</v>
      </c>
      <c r="H2495" s="7" t="s">
        <v>45</v>
      </c>
      <c r="I2495" s="20" t="s">
        <v>3668</v>
      </c>
      <c r="J2495" s="20" t="s">
        <v>3669</v>
      </c>
      <c r="K2495" s="7" t="s">
        <v>119</v>
      </c>
      <c r="L2495" s="61">
        <v>45903</v>
      </c>
      <c r="M2495" s="7" t="s">
        <v>111</v>
      </c>
      <c r="N2495" s="24">
        <v>45910</v>
      </c>
      <c r="O2495" s="24">
        <v>45910</v>
      </c>
      <c r="P2495" s="59"/>
      <c r="Q2495" s="124" t="e">
        <f>P2495*#REF!</f>
        <v>#REF!</v>
      </c>
      <c r="R2495" s="126">
        <v>45912</v>
      </c>
    </row>
    <row r="2496" spans="2:18" ht="17.25" hidden="1" customHeight="1">
      <c r="B2496" s="23">
        <v>45902</v>
      </c>
      <c r="C2496" s="7">
        <v>2003775696</v>
      </c>
      <c r="D2496" s="20">
        <v>272743</v>
      </c>
      <c r="E2496" s="27" t="s">
        <v>138</v>
      </c>
      <c r="F2496" s="7" t="s">
        <v>107</v>
      </c>
      <c r="G2496" s="7" t="s">
        <v>10</v>
      </c>
      <c r="H2496" s="7" t="s">
        <v>45</v>
      </c>
      <c r="I2496" s="20" t="s">
        <v>3670</v>
      </c>
      <c r="J2496" s="20" t="s">
        <v>3671</v>
      </c>
      <c r="K2496" s="7" t="s">
        <v>110</v>
      </c>
      <c r="L2496" s="61">
        <v>45905</v>
      </c>
      <c r="M2496" s="7" t="s">
        <v>111</v>
      </c>
      <c r="N2496" s="24">
        <v>45912</v>
      </c>
      <c r="O2496" s="24">
        <v>45912</v>
      </c>
      <c r="P2496" s="59"/>
      <c r="Q2496" s="124" t="e">
        <f>P2496*#REF!</f>
        <v>#REF!</v>
      </c>
      <c r="R2496" s="126">
        <v>45916</v>
      </c>
    </row>
    <row r="2497" spans="2:18" ht="17.25" hidden="1" customHeight="1">
      <c r="B2497" s="23">
        <v>45902</v>
      </c>
      <c r="C2497" s="7">
        <v>2003737402</v>
      </c>
      <c r="D2497" s="20">
        <v>272605</v>
      </c>
      <c r="E2497" s="20" t="s">
        <v>3672</v>
      </c>
      <c r="F2497" s="7" t="s">
        <v>107</v>
      </c>
      <c r="G2497" s="7" t="s">
        <v>15</v>
      </c>
      <c r="H2497" s="7" t="s">
        <v>45</v>
      </c>
      <c r="I2497" s="20" t="s">
        <v>3673</v>
      </c>
      <c r="J2497" s="20" t="s">
        <v>3674</v>
      </c>
      <c r="K2497" s="7" t="s">
        <v>110</v>
      </c>
      <c r="L2497" s="61">
        <v>45909</v>
      </c>
      <c r="M2497" s="7" t="s">
        <v>111</v>
      </c>
      <c r="N2497" s="61">
        <v>45909</v>
      </c>
      <c r="O2497" s="24">
        <v>45912</v>
      </c>
      <c r="P2497" s="59"/>
      <c r="Q2497" s="124" t="e">
        <f>P2497*#REF!</f>
        <v>#REF!</v>
      </c>
      <c r="R2497" s="126">
        <v>45916</v>
      </c>
    </row>
    <row r="2498" spans="2:18" ht="17.25" hidden="1" customHeight="1">
      <c r="B2498" s="23">
        <v>45902</v>
      </c>
      <c r="C2498" s="7">
        <v>2003757272</v>
      </c>
      <c r="D2498" s="20">
        <v>272603</v>
      </c>
      <c r="E2498" s="27" t="s">
        <v>129</v>
      </c>
      <c r="F2498" s="7" t="s">
        <v>107</v>
      </c>
      <c r="G2498" s="7" t="s">
        <v>21</v>
      </c>
      <c r="H2498" s="7" t="s">
        <v>45</v>
      </c>
      <c r="I2498" s="20" t="s">
        <v>3675</v>
      </c>
      <c r="J2498" s="20" t="s">
        <v>3455</v>
      </c>
      <c r="K2498" s="7" t="s">
        <v>110</v>
      </c>
      <c r="L2498" s="61">
        <v>45903</v>
      </c>
      <c r="M2498" s="7" t="s">
        <v>111</v>
      </c>
      <c r="N2498" s="61">
        <v>45903</v>
      </c>
      <c r="O2498" s="61">
        <v>45903</v>
      </c>
      <c r="P2498" s="59"/>
      <c r="Q2498" s="124" t="e">
        <f>P2498*#REF!</f>
        <v>#REF!</v>
      </c>
      <c r="R2498" s="126">
        <v>45908</v>
      </c>
    </row>
    <row r="2499" spans="2:18" ht="17.25" hidden="1" customHeight="1">
      <c r="B2499" s="23">
        <v>45902</v>
      </c>
      <c r="C2499" s="7">
        <v>2003752994</v>
      </c>
      <c r="D2499" s="20">
        <v>271340</v>
      </c>
      <c r="E2499" s="27" t="s">
        <v>191</v>
      </c>
      <c r="F2499" s="7" t="s">
        <v>107</v>
      </c>
      <c r="G2499" s="7" t="s">
        <v>10</v>
      </c>
      <c r="H2499" s="7" t="s">
        <v>45</v>
      </c>
      <c r="I2499" s="20" t="s">
        <v>3676</v>
      </c>
      <c r="J2499" s="20" t="s">
        <v>3677</v>
      </c>
      <c r="K2499" s="7" t="s">
        <v>119</v>
      </c>
      <c r="L2499" s="61">
        <v>45904</v>
      </c>
      <c r="M2499" s="7" t="s">
        <v>111</v>
      </c>
      <c r="N2499" s="61">
        <v>45905</v>
      </c>
      <c r="O2499" s="58">
        <v>45915</v>
      </c>
      <c r="P2499" s="59"/>
      <c r="Q2499" s="124" t="e">
        <f>P2499*#REF!</f>
        <v>#REF!</v>
      </c>
      <c r="R2499" s="126">
        <v>45916</v>
      </c>
    </row>
    <row r="2500" spans="2:18" ht="17.25" hidden="1" customHeight="1">
      <c r="B2500" s="23">
        <v>45902</v>
      </c>
      <c r="C2500" s="7">
        <v>2003774451</v>
      </c>
      <c r="D2500" s="20">
        <v>6261619</v>
      </c>
      <c r="E2500" s="27" t="s">
        <v>135</v>
      </c>
      <c r="F2500" s="7" t="s">
        <v>107</v>
      </c>
      <c r="G2500" s="7" t="s">
        <v>15</v>
      </c>
      <c r="H2500" s="7" t="s">
        <v>45</v>
      </c>
      <c r="I2500" s="20" t="s">
        <v>196</v>
      </c>
      <c r="J2500" s="20" t="s">
        <v>3678</v>
      </c>
      <c r="K2500" s="7" t="s">
        <v>110</v>
      </c>
      <c r="L2500" s="61">
        <v>45911</v>
      </c>
      <c r="M2500" s="7" t="s">
        <v>111</v>
      </c>
      <c r="N2500" s="24">
        <v>45912</v>
      </c>
      <c r="O2500" s="58">
        <v>45915</v>
      </c>
      <c r="P2500" s="59"/>
      <c r="Q2500" s="124" t="e">
        <f>P2500*#REF!</f>
        <v>#REF!</v>
      </c>
      <c r="R2500" s="126">
        <v>45916</v>
      </c>
    </row>
    <row r="2501" spans="2:18" ht="17.25" hidden="1" customHeight="1">
      <c r="B2501" s="23">
        <v>45902</v>
      </c>
      <c r="C2501" s="7">
        <v>2003776181</v>
      </c>
      <c r="D2501" s="20">
        <v>6261809</v>
      </c>
      <c r="E2501" s="27" t="s">
        <v>191</v>
      </c>
      <c r="F2501" s="7" t="s">
        <v>107</v>
      </c>
      <c r="G2501" s="7" t="s">
        <v>10</v>
      </c>
      <c r="H2501" s="7" t="s">
        <v>45</v>
      </c>
      <c r="I2501" s="20" t="s">
        <v>2750</v>
      </c>
      <c r="J2501" s="20" t="s">
        <v>3679</v>
      </c>
      <c r="K2501" s="7" t="s">
        <v>119</v>
      </c>
      <c r="L2501" s="61">
        <v>45911</v>
      </c>
      <c r="M2501" s="7" t="s">
        <v>111</v>
      </c>
      <c r="N2501" s="24">
        <v>45915</v>
      </c>
      <c r="O2501" s="24">
        <v>45915</v>
      </c>
      <c r="P2501" s="59"/>
      <c r="Q2501" s="124" t="e">
        <f>P2501*#REF!</f>
        <v>#REF!</v>
      </c>
      <c r="R2501" s="126">
        <v>45916</v>
      </c>
    </row>
    <row r="2502" spans="2:18" ht="17.25" hidden="1" customHeight="1">
      <c r="B2502" s="23">
        <v>45902</v>
      </c>
      <c r="C2502" s="7">
        <v>2003780952</v>
      </c>
      <c r="D2502" s="20">
        <v>6261846</v>
      </c>
      <c r="E2502" s="27" t="s">
        <v>201</v>
      </c>
      <c r="F2502" s="7" t="s">
        <v>107</v>
      </c>
      <c r="G2502" s="7" t="s">
        <v>10</v>
      </c>
      <c r="H2502" s="7" t="s">
        <v>45</v>
      </c>
      <c r="I2502" s="20" t="s">
        <v>3680</v>
      </c>
      <c r="J2502" s="20" t="s">
        <v>3681</v>
      </c>
      <c r="K2502" s="7" t="s">
        <v>110</v>
      </c>
      <c r="L2502" s="61">
        <v>45905</v>
      </c>
      <c r="M2502" s="7" t="s">
        <v>111</v>
      </c>
      <c r="N2502" s="61">
        <v>45905</v>
      </c>
      <c r="O2502" s="58">
        <v>45911</v>
      </c>
      <c r="P2502" s="59"/>
      <c r="Q2502" s="124" t="e">
        <f>P2502*#REF!</f>
        <v>#REF!</v>
      </c>
      <c r="R2502" s="126">
        <v>45912</v>
      </c>
    </row>
    <row r="2503" spans="2:18" ht="17.25" hidden="1" customHeight="1">
      <c r="B2503" s="23">
        <v>45902</v>
      </c>
      <c r="C2503" s="7">
        <v>2003723398</v>
      </c>
      <c r="D2503" s="20">
        <v>6262108</v>
      </c>
      <c r="E2503" s="27" t="s">
        <v>198</v>
      </c>
      <c r="F2503" s="7" t="s">
        <v>107</v>
      </c>
      <c r="G2503" s="7" t="s">
        <v>21</v>
      </c>
      <c r="H2503" s="7" t="s">
        <v>45</v>
      </c>
      <c r="I2503" s="20" t="s">
        <v>3682</v>
      </c>
      <c r="J2503" s="20" t="s">
        <v>3683</v>
      </c>
      <c r="K2503" s="7" t="s">
        <v>119</v>
      </c>
      <c r="L2503" s="61">
        <v>45903</v>
      </c>
      <c r="M2503" s="7" t="s">
        <v>111</v>
      </c>
      <c r="N2503" s="24">
        <v>45910</v>
      </c>
      <c r="O2503" s="24">
        <v>45910</v>
      </c>
      <c r="P2503" s="59"/>
      <c r="Q2503" s="124" t="e">
        <f>P2503*#REF!</f>
        <v>#REF!</v>
      </c>
      <c r="R2503" s="126">
        <v>45912</v>
      </c>
    </row>
    <row r="2504" spans="2:18" ht="17.25" hidden="1" customHeight="1">
      <c r="B2504" s="23">
        <v>45902</v>
      </c>
      <c r="C2504" s="7">
        <v>2003609805</v>
      </c>
      <c r="D2504" s="20">
        <v>6262174</v>
      </c>
      <c r="E2504" s="27" t="s">
        <v>138</v>
      </c>
      <c r="F2504" s="7" t="s">
        <v>107</v>
      </c>
      <c r="G2504" s="7" t="s">
        <v>10</v>
      </c>
      <c r="H2504" s="7" t="s">
        <v>45</v>
      </c>
      <c r="I2504" s="20" t="s">
        <v>288</v>
      </c>
      <c r="J2504" s="20" t="s">
        <v>3684</v>
      </c>
      <c r="K2504" s="7" t="s">
        <v>119</v>
      </c>
      <c r="L2504" s="61">
        <v>45904</v>
      </c>
      <c r="M2504" s="7" t="s">
        <v>111</v>
      </c>
      <c r="N2504" s="61">
        <v>45905</v>
      </c>
      <c r="O2504" s="61">
        <v>45905</v>
      </c>
      <c r="P2504" s="59"/>
      <c r="Q2504" s="124" t="e">
        <f>P2504*#REF!</f>
        <v>#REF!</v>
      </c>
      <c r="R2504" s="126">
        <v>45908</v>
      </c>
    </row>
    <row r="2505" spans="2:18" ht="17.25" hidden="1" customHeight="1">
      <c r="B2505" s="23">
        <v>45902</v>
      </c>
      <c r="C2505" s="7">
        <v>2003775751</v>
      </c>
      <c r="D2505" s="20">
        <v>6262178</v>
      </c>
      <c r="E2505" s="27" t="s">
        <v>138</v>
      </c>
      <c r="F2505" s="7" t="s">
        <v>107</v>
      </c>
      <c r="G2505" s="7" t="s">
        <v>10</v>
      </c>
      <c r="H2505" s="7" t="s">
        <v>45</v>
      </c>
      <c r="I2505" s="20" t="s">
        <v>1717</v>
      </c>
      <c r="J2505" s="20" t="s">
        <v>3685</v>
      </c>
      <c r="K2505" s="7" t="s">
        <v>119</v>
      </c>
      <c r="L2505" s="61">
        <v>45904</v>
      </c>
      <c r="M2505" s="7" t="s">
        <v>111</v>
      </c>
      <c r="N2505" s="61">
        <v>45905</v>
      </c>
      <c r="O2505" s="61">
        <v>45905</v>
      </c>
      <c r="P2505" s="59"/>
      <c r="Q2505" s="124" t="e">
        <f>P2505*#REF!</f>
        <v>#REF!</v>
      </c>
      <c r="R2505" s="126">
        <v>45908</v>
      </c>
    </row>
    <row r="2506" spans="2:18" ht="17.25" hidden="1" customHeight="1">
      <c r="B2506" s="23">
        <v>45903</v>
      </c>
      <c r="C2506" s="7">
        <v>2003756696</v>
      </c>
      <c r="D2506" s="20">
        <v>6262778</v>
      </c>
      <c r="E2506" s="27" t="s">
        <v>112</v>
      </c>
      <c r="F2506" s="7" t="s">
        <v>107</v>
      </c>
      <c r="G2506" s="7" t="s">
        <v>15</v>
      </c>
      <c r="H2506" s="7" t="s">
        <v>45</v>
      </c>
      <c r="I2506" s="20" t="s">
        <v>3686</v>
      </c>
      <c r="J2506" s="20" t="s">
        <v>3687</v>
      </c>
      <c r="K2506" s="7" t="s">
        <v>110</v>
      </c>
      <c r="L2506" s="61">
        <v>45908</v>
      </c>
      <c r="M2506" s="7" t="s">
        <v>111</v>
      </c>
      <c r="N2506" s="61">
        <v>45908</v>
      </c>
      <c r="O2506" s="58">
        <v>45911</v>
      </c>
      <c r="P2506" s="59"/>
      <c r="Q2506" s="124" t="e">
        <f>P2506*#REF!</f>
        <v>#REF!</v>
      </c>
      <c r="R2506" s="126">
        <v>45912</v>
      </c>
    </row>
    <row r="2507" spans="2:18" ht="17.25" hidden="1" customHeight="1">
      <c r="B2507" s="23">
        <v>45903</v>
      </c>
      <c r="C2507" s="7">
        <v>2003780351</v>
      </c>
      <c r="D2507" s="20">
        <v>6262787</v>
      </c>
      <c r="E2507" s="27" t="s">
        <v>408</v>
      </c>
      <c r="F2507" s="7" t="s">
        <v>107</v>
      </c>
      <c r="G2507" s="7" t="s">
        <v>15</v>
      </c>
      <c r="H2507" s="7" t="s">
        <v>45</v>
      </c>
      <c r="I2507" s="20" t="s">
        <v>3688</v>
      </c>
      <c r="J2507" s="20" t="s">
        <v>3689</v>
      </c>
      <c r="K2507" s="7" t="s">
        <v>110</v>
      </c>
      <c r="L2507" s="61">
        <v>45905</v>
      </c>
      <c r="M2507" s="7" t="s">
        <v>111</v>
      </c>
      <c r="N2507" s="61">
        <v>45905</v>
      </c>
      <c r="O2507" s="58">
        <v>45909</v>
      </c>
      <c r="P2507" s="59"/>
      <c r="Q2507" s="124" t="e">
        <f>P2507*#REF!</f>
        <v>#REF!</v>
      </c>
      <c r="R2507" s="126">
        <v>45912</v>
      </c>
    </row>
    <row r="2508" spans="2:18" ht="17.25" hidden="1" customHeight="1">
      <c r="B2508" s="23">
        <v>45903</v>
      </c>
      <c r="C2508" s="7">
        <v>2003779959</v>
      </c>
      <c r="D2508" s="20">
        <v>274019</v>
      </c>
      <c r="E2508" s="27" t="s">
        <v>408</v>
      </c>
      <c r="F2508" s="7" t="s">
        <v>107</v>
      </c>
      <c r="G2508" s="7" t="s">
        <v>10</v>
      </c>
      <c r="H2508" s="7" t="s">
        <v>45</v>
      </c>
      <c r="I2508" s="20" t="s">
        <v>3690</v>
      </c>
      <c r="J2508" s="20" t="s">
        <v>3691</v>
      </c>
      <c r="K2508" s="7" t="s">
        <v>119</v>
      </c>
      <c r="L2508" s="61">
        <v>45908</v>
      </c>
      <c r="M2508" s="7" t="s">
        <v>111</v>
      </c>
      <c r="N2508" s="61">
        <v>45910</v>
      </c>
      <c r="O2508" s="58">
        <v>45911</v>
      </c>
      <c r="P2508" s="59"/>
      <c r="Q2508" s="124" t="e">
        <f>P2508*#REF!</f>
        <v>#REF!</v>
      </c>
      <c r="R2508" s="126">
        <v>45912</v>
      </c>
    </row>
    <row r="2509" spans="2:18" ht="17.25" hidden="1" customHeight="1">
      <c r="B2509" s="23">
        <v>45903</v>
      </c>
      <c r="C2509" s="7">
        <v>2003762632</v>
      </c>
      <c r="D2509" s="20">
        <v>273959</v>
      </c>
      <c r="E2509" s="27" t="s">
        <v>106</v>
      </c>
      <c r="F2509" s="7" t="s">
        <v>107</v>
      </c>
      <c r="G2509" s="7" t="s">
        <v>21</v>
      </c>
      <c r="H2509" s="7" t="s">
        <v>45</v>
      </c>
      <c r="I2509" s="20" t="s">
        <v>925</v>
      </c>
      <c r="J2509" s="20" t="s">
        <v>3525</v>
      </c>
      <c r="K2509" s="7" t="s">
        <v>110</v>
      </c>
      <c r="L2509" s="61">
        <v>45904</v>
      </c>
      <c r="M2509" s="7" t="s">
        <v>111</v>
      </c>
      <c r="N2509" s="61">
        <v>45905</v>
      </c>
      <c r="O2509" s="58">
        <v>45909</v>
      </c>
      <c r="P2509" s="59"/>
      <c r="Q2509" s="124" t="e">
        <f>P2509*#REF!</f>
        <v>#REF!</v>
      </c>
      <c r="R2509" s="126">
        <v>45912</v>
      </c>
    </row>
    <row r="2510" spans="2:18" ht="17.25" hidden="1" customHeight="1">
      <c r="B2510" s="23">
        <v>45903</v>
      </c>
      <c r="C2510" s="7">
        <v>2003718112</v>
      </c>
      <c r="D2510" s="20">
        <v>256565</v>
      </c>
      <c r="E2510" s="27" t="s">
        <v>3692</v>
      </c>
      <c r="F2510" s="7" t="s">
        <v>107</v>
      </c>
      <c r="G2510" s="7" t="s">
        <v>18</v>
      </c>
      <c r="H2510" s="7" t="s">
        <v>45</v>
      </c>
      <c r="I2510" s="20" t="s">
        <v>3693</v>
      </c>
      <c r="J2510" s="20" t="s">
        <v>3694</v>
      </c>
      <c r="K2510" s="7" t="s">
        <v>110</v>
      </c>
      <c r="L2510" s="61">
        <v>45910</v>
      </c>
      <c r="M2510" s="7" t="s">
        <v>111</v>
      </c>
      <c r="N2510" s="24">
        <v>45912</v>
      </c>
      <c r="O2510" s="58">
        <v>45915</v>
      </c>
      <c r="P2510" s="59"/>
      <c r="Q2510" s="124" t="e">
        <f>P2510*#REF!</f>
        <v>#REF!</v>
      </c>
      <c r="R2510" s="126">
        <v>45916</v>
      </c>
    </row>
    <row r="2511" spans="2:18" ht="17.25" hidden="1" customHeight="1">
      <c r="B2511" s="23">
        <v>45903</v>
      </c>
      <c r="C2511" s="7">
        <v>2003779309</v>
      </c>
      <c r="D2511" s="20">
        <v>275938</v>
      </c>
      <c r="E2511" s="27" t="s">
        <v>404</v>
      </c>
      <c r="F2511" s="7" t="s">
        <v>107</v>
      </c>
      <c r="G2511" s="7" t="s">
        <v>10</v>
      </c>
      <c r="H2511" s="7" t="s">
        <v>45</v>
      </c>
      <c r="I2511" s="20" t="s">
        <v>3695</v>
      </c>
      <c r="J2511" s="20" t="s">
        <v>3696</v>
      </c>
      <c r="K2511" s="7" t="s">
        <v>119</v>
      </c>
      <c r="L2511" s="61">
        <v>45909</v>
      </c>
      <c r="M2511" s="7" t="s">
        <v>111</v>
      </c>
      <c r="N2511" s="24">
        <v>45915</v>
      </c>
      <c r="O2511" s="24">
        <v>45915</v>
      </c>
      <c r="P2511" s="59"/>
      <c r="Q2511" s="124" t="e">
        <f>P2511*#REF!</f>
        <v>#REF!</v>
      </c>
      <c r="R2511" s="126">
        <v>45916</v>
      </c>
    </row>
    <row r="2512" spans="2:18" ht="17.25" hidden="1" customHeight="1">
      <c r="B2512" s="23">
        <v>45903</v>
      </c>
      <c r="C2512" s="7">
        <v>2003780316</v>
      </c>
      <c r="D2512" s="20">
        <v>276013</v>
      </c>
      <c r="E2512" s="27" t="s">
        <v>112</v>
      </c>
      <c r="F2512" s="7" t="s">
        <v>107</v>
      </c>
      <c r="G2512" s="7" t="s">
        <v>15</v>
      </c>
      <c r="H2512" s="7" t="s">
        <v>45</v>
      </c>
      <c r="I2512" s="20" t="s">
        <v>3697</v>
      </c>
      <c r="J2512" s="20" t="s">
        <v>3698</v>
      </c>
      <c r="K2512" s="7" t="s">
        <v>110</v>
      </c>
      <c r="L2512" s="61">
        <v>45912</v>
      </c>
      <c r="M2512" s="7" t="s">
        <v>111</v>
      </c>
      <c r="N2512" s="61">
        <v>45912</v>
      </c>
      <c r="O2512" s="61">
        <v>45918</v>
      </c>
      <c r="P2512" s="59"/>
      <c r="Q2512" s="124" t="e">
        <f>P2512*#REF!</f>
        <v>#REF!</v>
      </c>
      <c r="R2512" s="126">
        <v>45918</v>
      </c>
    </row>
    <row r="2513" spans="2:18" ht="17.25" hidden="1" customHeight="1">
      <c r="B2513" s="23">
        <v>45903</v>
      </c>
      <c r="C2513" s="7">
        <v>2003779940</v>
      </c>
      <c r="D2513" s="20">
        <v>275873</v>
      </c>
      <c r="E2513" s="27" t="s">
        <v>149</v>
      </c>
      <c r="F2513" s="7" t="s">
        <v>107</v>
      </c>
      <c r="G2513" s="7" t="s">
        <v>10</v>
      </c>
      <c r="H2513" s="7" t="s">
        <v>45</v>
      </c>
      <c r="I2513" s="20" t="s">
        <v>585</v>
      </c>
      <c r="J2513" s="20" t="s">
        <v>3699</v>
      </c>
      <c r="K2513" s="7" t="s">
        <v>110</v>
      </c>
      <c r="L2513" s="61">
        <v>45908</v>
      </c>
      <c r="M2513" s="7" t="s">
        <v>111</v>
      </c>
      <c r="N2513" s="61">
        <v>45908</v>
      </c>
      <c r="O2513" s="58">
        <v>45909</v>
      </c>
      <c r="P2513" s="59"/>
      <c r="Q2513" s="124" t="e">
        <f>P2513*#REF!</f>
        <v>#REF!</v>
      </c>
      <c r="R2513" s="126">
        <v>45911</v>
      </c>
    </row>
    <row r="2514" spans="2:18" ht="17.25" hidden="1" customHeight="1">
      <c r="B2514" s="23">
        <v>45903</v>
      </c>
      <c r="C2514" s="7">
        <v>2003781361</v>
      </c>
      <c r="D2514" s="20">
        <v>6263316</v>
      </c>
      <c r="E2514" s="27" t="s">
        <v>123</v>
      </c>
      <c r="F2514" s="7" t="s">
        <v>107</v>
      </c>
      <c r="G2514" s="7" t="s">
        <v>10</v>
      </c>
      <c r="H2514" s="7" t="s">
        <v>45</v>
      </c>
      <c r="I2514" s="20" t="s">
        <v>3700</v>
      </c>
      <c r="J2514" s="20" t="s">
        <v>3701</v>
      </c>
      <c r="K2514" s="7" t="s">
        <v>119</v>
      </c>
      <c r="L2514" s="61">
        <v>45909</v>
      </c>
      <c r="M2514" s="7" t="s">
        <v>111</v>
      </c>
      <c r="N2514" s="24">
        <v>45922</v>
      </c>
      <c r="O2514" s="24">
        <v>45922</v>
      </c>
      <c r="P2514" s="59"/>
      <c r="Q2514" s="124" t="e">
        <f>P2514*#REF!</f>
        <v>#REF!</v>
      </c>
      <c r="R2514" s="126">
        <v>45923</v>
      </c>
    </row>
    <row r="2515" spans="2:18" ht="17.25" hidden="1" customHeight="1">
      <c r="B2515" s="23">
        <v>45903</v>
      </c>
      <c r="C2515" s="7">
        <v>2003781940</v>
      </c>
      <c r="D2515" s="20">
        <v>6280760</v>
      </c>
      <c r="E2515" s="27" t="s">
        <v>622</v>
      </c>
      <c r="F2515" s="7" t="s">
        <v>107</v>
      </c>
      <c r="G2515" s="7" t="s">
        <v>10</v>
      </c>
      <c r="H2515" s="7" t="s">
        <v>45</v>
      </c>
      <c r="I2515" s="20" t="s">
        <v>3068</v>
      </c>
      <c r="J2515" s="20" t="s">
        <v>3702</v>
      </c>
      <c r="K2515" s="7" t="s">
        <v>119</v>
      </c>
      <c r="L2515" s="61">
        <v>45910</v>
      </c>
      <c r="M2515" s="7" t="s">
        <v>111</v>
      </c>
      <c r="N2515" s="61">
        <v>45910</v>
      </c>
      <c r="O2515" s="61">
        <v>45910</v>
      </c>
      <c r="P2515" s="59"/>
      <c r="Q2515" s="124" t="e">
        <f>P2515*#REF!</f>
        <v>#REF!</v>
      </c>
      <c r="R2515" s="126">
        <v>45911</v>
      </c>
    </row>
    <row r="2516" spans="2:18" ht="17.25" hidden="1" customHeight="1">
      <c r="B2516" s="23">
        <v>45903</v>
      </c>
      <c r="C2516" s="7">
        <v>2003678041</v>
      </c>
      <c r="D2516" s="20">
        <v>6280765</v>
      </c>
      <c r="E2516" s="27" t="s">
        <v>622</v>
      </c>
      <c r="F2516" s="7" t="s">
        <v>107</v>
      </c>
      <c r="G2516" s="7" t="s">
        <v>21</v>
      </c>
      <c r="H2516" s="7" t="s">
        <v>45</v>
      </c>
      <c r="I2516" s="20" t="s">
        <v>2302</v>
      </c>
      <c r="J2516" s="20" t="s">
        <v>2303</v>
      </c>
      <c r="K2516" s="7" t="s">
        <v>111</v>
      </c>
      <c r="L2516" s="61">
        <v>45908</v>
      </c>
      <c r="M2516" s="7" t="s">
        <v>111</v>
      </c>
      <c r="N2516" s="24">
        <v>45908</v>
      </c>
      <c r="O2516" s="58">
        <v>45909</v>
      </c>
      <c r="P2516" s="59"/>
      <c r="Q2516" s="124" t="e">
        <f>P2516*#REF!</f>
        <v>#REF!</v>
      </c>
      <c r="R2516" s="126">
        <v>45908</v>
      </c>
    </row>
    <row r="2517" spans="2:18" ht="17.25" hidden="1" customHeight="1">
      <c r="B2517" s="23">
        <v>45905</v>
      </c>
      <c r="C2517" s="7">
        <v>2003776344</v>
      </c>
      <c r="D2517" s="20">
        <v>277320</v>
      </c>
      <c r="E2517" s="27" t="s">
        <v>143</v>
      </c>
      <c r="F2517" s="7" t="s">
        <v>107</v>
      </c>
      <c r="G2517" s="7" t="s">
        <v>18</v>
      </c>
      <c r="H2517" s="7" t="s">
        <v>45</v>
      </c>
      <c r="I2517" s="20" t="s">
        <v>3703</v>
      </c>
      <c r="J2517" s="20" t="s">
        <v>3704</v>
      </c>
      <c r="K2517" s="7" t="s">
        <v>111</v>
      </c>
      <c r="L2517" s="61">
        <v>45908</v>
      </c>
      <c r="M2517" s="7" t="s">
        <v>111</v>
      </c>
      <c r="N2517" s="61">
        <v>45908</v>
      </c>
      <c r="O2517" s="58">
        <v>45915</v>
      </c>
      <c r="P2517" s="59"/>
      <c r="Q2517" s="124" t="e">
        <f>P2517*#REF!</f>
        <v>#REF!</v>
      </c>
      <c r="R2517" s="126">
        <v>45916</v>
      </c>
    </row>
    <row r="2518" spans="2:18" ht="17.25" hidden="1" customHeight="1">
      <c r="B2518" s="23">
        <v>45905</v>
      </c>
      <c r="C2518" s="7">
        <v>2003768647</v>
      </c>
      <c r="D2518" s="20">
        <v>277150</v>
      </c>
      <c r="E2518" s="27" t="s">
        <v>404</v>
      </c>
      <c r="F2518" s="7" t="s">
        <v>113</v>
      </c>
      <c r="G2518" s="7" t="s">
        <v>70</v>
      </c>
      <c r="H2518" s="7" t="s">
        <v>47</v>
      </c>
      <c r="I2518" s="20" t="s">
        <v>3705</v>
      </c>
      <c r="J2518" s="20" t="s">
        <v>3706</v>
      </c>
      <c r="K2518" s="7" t="s">
        <v>160</v>
      </c>
      <c r="P2518" s="59"/>
      <c r="Q2518" s="124" t="e">
        <f>P2518*#REF!</f>
        <v>#REF!</v>
      </c>
      <c r="R2518" s="126">
        <v>45916</v>
      </c>
    </row>
    <row r="2519" spans="2:18" ht="17.25" hidden="1" customHeight="1">
      <c r="B2519" s="23">
        <v>45905</v>
      </c>
      <c r="C2519" s="7">
        <v>2003784325</v>
      </c>
      <c r="D2519" s="20">
        <v>276992</v>
      </c>
      <c r="E2519" s="27" t="s">
        <v>116</v>
      </c>
      <c r="F2519" s="7" t="s">
        <v>107</v>
      </c>
      <c r="G2519" s="7" t="s">
        <v>10</v>
      </c>
      <c r="H2519" s="7" t="s">
        <v>45</v>
      </c>
      <c r="I2519" s="20" t="s">
        <v>2837</v>
      </c>
      <c r="J2519" s="20" t="s">
        <v>3707</v>
      </c>
      <c r="K2519" s="7" t="s">
        <v>119</v>
      </c>
      <c r="L2519" s="61">
        <v>45910</v>
      </c>
      <c r="M2519" s="7" t="s">
        <v>111</v>
      </c>
      <c r="N2519" s="61">
        <v>45910</v>
      </c>
      <c r="O2519" s="58">
        <v>45911</v>
      </c>
      <c r="P2519" s="59"/>
      <c r="Q2519" s="124" t="e">
        <f>P2519*#REF!</f>
        <v>#REF!</v>
      </c>
      <c r="R2519" s="126">
        <v>45912</v>
      </c>
    </row>
    <row r="2520" spans="2:18" ht="17.25" hidden="1" customHeight="1">
      <c r="B2520" s="23">
        <v>45905</v>
      </c>
      <c r="C2520" s="7">
        <v>2003777764</v>
      </c>
      <c r="D2520" s="20">
        <v>276623</v>
      </c>
      <c r="E2520" s="27" t="s">
        <v>568</v>
      </c>
      <c r="F2520" s="7" t="s">
        <v>107</v>
      </c>
      <c r="G2520" s="7" t="s">
        <v>18</v>
      </c>
      <c r="H2520" s="7" t="s">
        <v>45</v>
      </c>
      <c r="I2520" s="20" t="s">
        <v>3708</v>
      </c>
      <c r="J2520" s="20" t="s">
        <v>3709</v>
      </c>
      <c r="K2520" s="7" t="s">
        <v>110</v>
      </c>
      <c r="L2520" s="61">
        <v>45909</v>
      </c>
      <c r="M2520" s="7" t="s">
        <v>111</v>
      </c>
      <c r="N2520" s="24">
        <v>45912</v>
      </c>
      <c r="O2520" s="58">
        <v>45915</v>
      </c>
      <c r="P2520" s="59"/>
      <c r="Q2520" s="124" t="e">
        <f>P2520*#REF!</f>
        <v>#REF!</v>
      </c>
      <c r="R2520" s="126">
        <v>45916</v>
      </c>
    </row>
    <row r="2521" spans="2:18" ht="17.25" hidden="1" customHeight="1">
      <c r="B2521" s="23">
        <v>45905</v>
      </c>
      <c r="C2521" s="7">
        <v>2003739817</v>
      </c>
      <c r="D2521" s="20">
        <v>276328</v>
      </c>
      <c r="E2521" s="27" t="s">
        <v>258</v>
      </c>
      <c r="F2521" s="7" t="s">
        <v>107</v>
      </c>
      <c r="G2521" s="7" t="s">
        <v>10</v>
      </c>
      <c r="H2521" s="7" t="s">
        <v>45</v>
      </c>
      <c r="I2521" s="20" t="s">
        <v>3710</v>
      </c>
      <c r="J2521" s="20" t="s">
        <v>3711</v>
      </c>
      <c r="K2521" s="7" t="s">
        <v>110</v>
      </c>
      <c r="L2521" s="61">
        <v>45909</v>
      </c>
      <c r="M2521" s="7" t="s">
        <v>111</v>
      </c>
      <c r="N2521" s="61">
        <v>45909</v>
      </c>
      <c r="O2521" s="61">
        <v>45909</v>
      </c>
      <c r="P2521" s="59"/>
      <c r="Q2521" s="124" t="e">
        <f>P2521*#REF!</f>
        <v>#REF!</v>
      </c>
      <c r="R2521" s="126">
        <v>45911</v>
      </c>
    </row>
    <row r="2522" spans="2:18" ht="17.25" hidden="1" customHeight="1">
      <c r="B2522" s="23">
        <v>45905</v>
      </c>
      <c r="C2522" s="7">
        <v>2003776788</v>
      </c>
      <c r="D2522" s="20">
        <v>276291</v>
      </c>
      <c r="E2522" s="27" t="s">
        <v>185</v>
      </c>
      <c r="F2522" s="7" t="s">
        <v>107</v>
      </c>
      <c r="G2522" s="7" t="s">
        <v>10</v>
      </c>
      <c r="H2522" s="7" t="s">
        <v>45</v>
      </c>
      <c r="I2522" s="20" t="s">
        <v>3712</v>
      </c>
      <c r="J2522" s="20" t="s">
        <v>3713</v>
      </c>
      <c r="K2522" s="7" t="s">
        <v>119</v>
      </c>
      <c r="L2522" s="61">
        <v>45909</v>
      </c>
      <c r="M2522" s="7" t="s">
        <v>111</v>
      </c>
      <c r="N2522" s="61">
        <v>45910</v>
      </c>
      <c r="O2522" s="58">
        <v>45911</v>
      </c>
      <c r="P2522" s="59"/>
      <c r="Q2522" s="124" t="e">
        <f>P2522*#REF!</f>
        <v>#REF!</v>
      </c>
      <c r="R2522" s="126">
        <v>45912</v>
      </c>
    </row>
    <row r="2523" spans="2:18" ht="17.25" hidden="1" customHeight="1">
      <c r="B2523" s="23">
        <v>45905</v>
      </c>
      <c r="C2523" s="7">
        <v>2003777043</v>
      </c>
      <c r="D2523" s="20">
        <v>6340961</v>
      </c>
      <c r="E2523" s="27" t="s">
        <v>201</v>
      </c>
      <c r="F2523" s="7" t="s">
        <v>107</v>
      </c>
      <c r="G2523" s="7" t="s">
        <v>10</v>
      </c>
      <c r="H2523" s="7" t="s">
        <v>45</v>
      </c>
      <c r="I2523" s="20" t="s">
        <v>3714</v>
      </c>
      <c r="J2523" s="20" t="s">
        <v>3715</v>
      </c>
      <c r="K2523" s="7" t="s">
        <v>119</v>
      </c>
      <c r="L2523" s="61">
        <v>45909</v>
      </c>
      <c r="M2523" s="7" t="s">
        <v>111</v>
      </c>
      <c r="N2523" s="24">
        <v>45916</v>
      </c>
      <c r="O2523" s="24">
        <v>45916</v>
      </c>
      <c r="P2523" s="59"/>
      <c r="Q2523" s="124" t="e">
        <f>P2523*#REF!</f>
        <v>#REF!</v>
      </c>
      <c r="R2523" s="126">
        <v>45918</v>
      </c>
    </row>
    <row r="2524" spans="2:18" ht="17.25" hidden="1" customHeight="1">
      <c r="B2524" s="23">
        <v>45905</v>
      </c>
      <c r="C2524" s="7">
        <v>2003666729</v>
      </c>
      <c r="D2524" s="20">
        <v>6341201</v>
      </c>
      <c r="E2524" s="27" t="s">
        <v>230</v>
      </c>
      <c r="F2524" s="7" t="s">
        <v>107</v>
      </c>
      <c r="G2524" s="7" t="s">
        <v>10</v>
      </c>
      <c r="H2524" s="7" t="s">
        <v>45</v>
      </c>
      <c r="I2524" s="20" t="s">
        <v>3716</v>
      </c>
      <c r="J2524" s="20" t="s">
        <v>3717</v>
      </c>
      <c r="K2524" s="7" t="s">
        <v>119</v>
      </c>
      <c r="L2524" s="61">
        <v>45910</v>
      </c>
      <c r="M2524" s="7" t="s">
        <v>111</v>
      </c>
      <c r="N2524" s="61">
        <v>45910</v>
      </c>
      <c r="O2524" s="61">
        <v>45910</v>
      </c>
      <c r="P2524" s="59"/>
      <c r="Q2524" s="124" t="e">
        <f>P2524*#REF!</f>
        <v>#REF!</v>
      </c>
      <c r="R2524" s="126">
        <v>45911</v>
      </c>
    </row>
    <row r="2525" spans="2:18" ht="17.25" hidden="1" customHeight="1">
      <c r="B2525" s="23">
        <v>45905</v>
      </c>
      <c r="C2525" s="7">
        <v>2003784602</v>
      </c>
      <c r="D2525" s="20">
        <v>6341223</v>
      </c>
      <c r="E2525" s="27" t="s">
        <v>129</v>
      </c>
      <c r="F2525" s="7" t="s">
        <v>113</v>
      </c>
      <c r="G2525" s="7" t="s">
        <v>70</v>
      </c>
      <c r="H2525" s="7" t="s">
        <v>47</v>
      </c>
      <c r="I2525" s="20" t="s">
        <v>591</v>
      </c>
      <c r="J2525" s="20" t="s">
        <v>3718</v>
      </c>
      <c r="K2525" s="7" t="s">
        <v>160</v>
      </c>
      <c r="P2525" s="59"/>
      <c r="Q2525" s="124" t="e">
        <f>P2525*#REF!</f>
        <v>#REF!</v>
      </c>
      <c r="R2525" s="126">
        <v>45916</v>
      </c>
    </row>
    <row r="2526" spans="2:18" ht="17.25" hidden="1" customHeight="1">
      <c r="B2526" s="23">
        <v>45905</v>
      </c>
      <c r="C2526" s="7">
        <v>2003734067</v>
      </c>
      <c r="D2526" s="20">
        <v>6341370</v>
      </c>
      <c r="E2526" s="27" t="s">
        <v>106</v>
      </c>
      <c r="F2526" s="7" t="s">
        <v>107</v>
      </c>
      <c r="G2526" s="7" t="s">
        <v>21</v>
      </c>
      <c r="H2526" s="7" t="s">
        <v>45</v>
      </c>
      <c r="I2526" s="20" t="s">
        <v>3719</v>
      </c>
      <c r="J2526" s="20" t="s">
        <v>3552</v>
      </c>
      <c r="K2526" s="7" t="s">
        <v>119</v>
      </c>
      <c r="L2526" s="61">
        <v>45908</v>
      </c>
      <c r="M2526" s="7" t="s">
        <v>111</v>
      </c>
      <c r="N2526" s="61">
        <v>45910</v>
      </c>
      <c r="O2526" s="61">
        <v>45910</v>
      </c>
      <c r="P2526" s="59"/>
      <c r="Q2526" s="124" t="e">
        <f>P2526*#REF!</f>
        <v>#REF!</v>
      </c>
      <c r="R2526" s="126">
        <v>45911</v>
      </c>
    </row>
    <row r="2527" spans="2:18" ht="17.25" hidden="1" customHeight="1">
      <c r="B2527" s="23">
        <v>45908</v>
      </c>
      <c r="C2527" s="7">
        <v>2003766970</v>
      </c>
      <c r="D2527" s="20">
        <v>279449</v>
      </c>
      <c r="E2527" s="27" t="s">
        <v>198</v>
      </c>
      <c r="F2527" s="7" t="s">
        <v>107</v>
      </c>
      <c r="G2527" s="7" t="s">
        <v>10</v>
      </c>
      <c r="H2527" s="7" t="s">
        <v>45</v>
      </c>
      <c r="I2527" s="20" t="s">
        <v>550</v>
      </c>
      <c r="J2527" s="20" t="s">
        <v>3720</v>
      </c>
      <c r="K2527" s="7" t="s">
        <v>110</v>
      </c>
      <c r="L2527" s="61">
        <v>45910</v>
      </c>
      <c r="M2527" s="7" t="s">
        <v>111</v>
      </c>
      <c r="N2527" s="61">
        <v>45910</v>
      </c>
      <c r="O2527" s="58">
        <v>45911</v>
      </c>
      <c r="P2527" s="59"/>
      <c r="Q2527" s="124" t="e">
        <f>P2527*#REF!</f>
        <v>#REF!</v>
      </c>
      <c r="R2527" s="126">
        <v>45912</v>
      </c>
    </row>
    <row r="2528" spans="2:18" ht="17.25" hidden="1" customHeight="1">
      <c r="B2528" s="23">
        <v>45908</v>
      </c>
      <c r="C2528" s="7">
        <v>2003717087</v>
      </c>
      <c r="D2528" s="20">
        <v>279376</v>
      </c>
      <c r="E2528" s="27" t="s">
        <v>157</v>
      </c>
      <c r="F2528" s="7" t="s">
        <v>107</v>
      </c>
      <c r="G2528" s="7" t="s">
        <v>15</v>
      </c>
      <c r="H2528" s="7" t="s">
        <v>45</v>
      </c>
      <c r="I2528" s="236" t="s">
        <v>3721</v>
      </c>
      <c r="J2528" s="20" t="s">
        <v>3722</v>
      </c>
      <c r="K2528" s="7" t="s">
        <v>119</v>
      </c>
      <c r="L2528" s="61">
        <v>45915</v>
      </c>
      <c r="M2528" s="7" t="s">
        <v>111</v>
      </c>
      <c r="N2528" s="61">
        <v>45915</v>
      </c>
      <c r="O2528" s="58">
        <v>45925</v>
      </c>
      <c r="P2528" s="59"/>
      <c r="Q2528" s="124" t="e">
        <f>P2528*#REF!</f>
        <v>#REF!</v>
      </c>
      <c r="R2528" s="126">
        <v>45929</v>
      </c>
    </row>
    <row r="2529" spans="2:18" ht="17.25" hidden="1" customHeight="1">
      <c r="B2529" s="23">
        <v>45908</v>
      </c>
      <c r="C2529" s="7">
        <v>2003724807</v>
      </c>
      <c r="D2529" s="20">
        <v>279374</v>
      </c>
      <c r="E2529" s="27" t="s">
        <v>258</v>
      </c>
      <c r="F2529" s="7" t="s">
        <v>107</v>
      </c>
      <c r="G2529" s="7" t="s">
        <v>21</v>
      </c>
      <c r="H2529" s="7" t="s">
        <v>45</v>
      </c>
      <c r="I2529" s="20" t="s">
        <v>3723</v>
      </c>
      <c r="J2529" s="20" t="s">
        <v>3032</v>
      </c>
      <c r="K2529" s="7" t="s">
        <v>111</v>
      </c>
      <c r="L2529" s="61">
        <v>45909</v>
      </c>
      <c r="M2529" s="7" t="s">
        <v>111</v>
      </c>
      <c r="N2529" s="61">
        <v>45910</v>
      </c>
      <c r="O2529" s="58">
        <v>45911</v>
      </c>
      <c r="P2529" s="59"/>
      <c r="Q2529" s="124" t="e">
        <f>P2529*#REF!</f>
        <v>#REF!</v>
      </c>
      <c r="R2529" s="126">
        <v>45912</v>
      </c>
    </row>
    <row r="2530" spans="2:18" ht="17.25" hidden="1" customHeight="1">
      <c r="B2530" s="23">
        <v>45908</v>
      </c>
      <c r="C2530" s="7">
        <v>2003780011</v>
      </c>
      <c r="D2530" s="20">
        <v>278911</v>
      </c>
      <c r="E2530" s="27" t="s">
        <v>177</v>
      </c>
      <c r="F2530" s="7" t="s">
        <v>107</v>
      </c>
      <c r="G2530" s="7" t="s">
        <v>15</v>
      </c>
      <c r="H2530" s="7" t="s">
        <v>45</v>
      </c>
      <c r="I2530" s="20" t="s">
        <v>3724</v>
      </c>
      <c r="J2530" s="20" t="s">
        <v>3725</v>
      </c>
      <c r="K2530" s="7" t="s">
        <v>119</v>
      </c>
      <c r="L2530" s="61">
        <v>45911</v>
      </c>
      <c r="M2530" s="7" t="s">
        <v>111</v>
      </c>
      <c r="N2530" s="24">
        <v>45912</v>
      </c>
      <c r="O2530" s="58">
        <v>45917</v>
      </c>
      <c r="P2530" s="59"/>
      <c r="Q2530" s="124" t="e">
        <f>P2530*#REF!</f>
        <v>#REF!</v>
      </c>
      <c r="R2530" s="126">
        <v>45918</v>
      </c>
    </row>
    <row r="2531" spans="2:18" ht="17.25" hidden="1" customHeight="1">
      <c r="B2531" s="23">
        <v>45908</v>
      </c>
      <c r="C2531" s="7">
        <v>2003700290</v>
      </c>
      <c r="D2531" s="20">
        <v>277606</v>
      </c>
      <c r="E2531" s="27" t="s">
        <v>185</v>
      </c>
      <c r="F2531" s="7" t="s">
        <v>107</v>
      </c>
      <c r="G2531" s="7" t="s">
        <v>10</v>
      </c>
      <c r="H2531" s="7" t="s">
        <v>45</v>
      </c>
      <c r="I2531" s="20" t="s">
        <v>600</v>
      </c>
      <c r="J2531" s="20" t="s">
        <v>2871</v>
      </c>
      <c r="K2531" s="7" t="s">
        <v>110</v>
      </c>
      <c r="L2531" s="61">
        <v>45911</v>
      </c>
      <c r="M2531" s="7" t="s">
        <v>111</v>
      </c>
      <c r="N2531" s="24">
        <v>45912</v>
      </c>
      <c r="O2531" s="24">
        <v>45912</v>
      </c>
      <c r="P2531" s="59"/>
      <c r="Q2531" s="124" t="e">
        <f>P2531*#REF!</f>
        <v>#REF!</v>
      </c>
      <c r="R2531" s="126">
        <v>45912</v>
      </c>
    </row>
    <row r="2532" spans="2:18" ht="17.25" hidden="1" customHeight="1">
      <c r="B2532" s="23">
        <v>45908</v>
      </c>
      <c r="C2532" s="7">
        <v>2003651514</v>
      </c>
      <c r="D2532" s="20">
        <v>6363728</v>
      </c>
      <c r="E2532" s="27" t="s">
        <v>201</v>
      </c>
      <c r="F2532" s="7" t="s">
        <v>107</v>
      </c>
      <c r="G2532" s="7" t="s">
        <v>18</v>
      </c>
      <c r="H2532" s="7" t="s">
        <v>45</v>
      </c>
      <c r="I2532" s="20" t="s">
        <v>3726</v>
      </c>
      <c r="J2532" s="20" t="s">
        <v>3727</v>
      </c>
      <c r="K2532" s="7" t="s">
        <v>110</v>
      </c>
      <c r="L2532" s="61">
        <v>45910</v>
      </c>
      <c r="M2532" s="7" t="s">
        <v>111</v>
      </c>
      <c r="N2532" s="61">
        <v>45910</v>
      </c>
      <c r="O2532" s="58">
        <v>45911</v>
      </c>
      <c r="P2532" s="59"/>
      <c r="Q2532" s="124" t="e">
        <f>P2532*#REF!</f>
        <v>#REF!</v>
      </c>
      <c r="R2532" s="126">
        <v>45912</v>
      </c>
    </row>
    <row r="2533" spans="2:18" ht="17.25" hidden="1" customHeight="1">
      <c r="B2533" s="23">
        <v>45908</v>
      </c>
      <c r="C2533" s="7">
        <v>2003784121</v>
      </c>
      <c r="D2533" s="20">
        <v>6363903</v>
      </c>
      <c r="E2533" s="27" t="s">
        <v>185</v>
      </c>
      <c r="F2533" s="7" t="s">
        <v>107</v>
      </c>
      <c r="G2533" s="7" t="s">
        <v>18</v>
      </c>
      <c r="H2533" s="7" t="s">
        <v>45</v>
      </c>
      <c r="I2533" s="20" t="s">
        <v>3728</v>
      </c>
      <c r="J2533" s="20" t="s">
        <v>3729</v>
      </c>
      <c r="K2533" s="7" t="s">
        <v>110</v>
      </c>
      <c r="L2533" s="61">
        <v>45915</v>
      </c>
      <c r="M2533" s="7" t="s">
        <v>111</v>
      </c>
      <c r="N2533" s="61">
        <v>45915</v>
      </c>
      <c r="O2533" s="58">
        <v>45916</v>
      </c>
      <c r="P2533" s="59"/>
      <c r="Q2533" s="124" t="e">
        <f>P2533*#REF!</f>
        <v>#REF!</v>
      </c>
      <c r="R2533" s="126">
        <v>45918</v>
      </c>
    </row>
    <row r="2534" spans="2:18" ht="17.25" hidden="1" customHeight="1">
      <c r="B2534" s="23">
        <v>45909</v>
      </c>
      <c r="C2534" s="7">
        <v>2003702032</v>
      </c>
      <c r="D2534" s="20">
        <v>281076</v>
      </c>
      <c r="E2534" s="27" t="s">
        <v>106</v>
      </c>
      <c r="F2534" s="7" t="s">
        <v>107</v>
      </c>
      <c r="G2534" s="7" t="s">
        <v>18</v>
      </c>
      <c r="H2534" s="7" t="s">
        <v>45</v>
      </c>
      <c r="I2534" s="20" t="s">
        <v>3730</v>
      </c>
      <c r="J2534" s="20" t="s">
        <v>3731</v>
      </c>
      <c r="K2534" s="7" t="s">
        <v>110</v>
      </c>
      <c r="L2534" s="61">
        <v>45911</v>
      </c>
      <c r="M2534" s="7" t="s">
        <v>111</v>
      </c>
      <c r="N2534" s="24">
        <v>45912</v>
      </c>
      <c r="O2534" s="61">
        <v>45918</v>
      </c>
      <c r="P2534" s="59"/>
      <c r="Q2534" s="124" t="e">
        <f>P2534*#REF!</f>
        <v>#REF!</v>
      </c>
      <c r="R2534" s="126">
        <v>45918</v>
      </c>
    </row>
    <row r="2535" spans="2:18" ht="17.25" hidden="1" customHeight="1">
      <c r="B2535" s="23">
        <v>45909</v>
      </c>
      <c r="C2535" s="7">
        <v>2003736567</v>
      </c>
      <c r="D2535" s="20">
        <v>281028</v>
      </c>
      <c r="E2535" s="27" t="s">
        <v>157</v>
      </c>
      <c r="F2535" s="7" t="s">
        <v>107</v>
      </c>
      <c r="G2535" s="7" t="s">
        <v>15</v>
      </c>
      <c r="H2535" s="7" t="s">
        <v>45</v>
      </c>
      <c r="I2535" s="20" t="s">
        <v>3732</v>
      </c>
      <c r="J2535" s="20" t="s">
        <v>3733</v>
      </c>
      <c r="K2535" s="7" t="s">
        <v>119</v>
      </c>
      <c r="L2535" s="61">
        <v>45912</v>
      </c>
      <c r="M2535" s="7" t="s">
        <v>111</v>
      </c>
      <c r="N2535" s="24">
        <v>45915</v>
      </c>
      <c r="O2535" s="24">
        <v>45915</v>
      </c>
      <c r="P2535" s="59"/>
      <c r="Q2535" s="124" t="e">
        <f>P2535*#REF!</f>
        <v>#REF!</v>
      </c>
      <c r="R2535" s="126">
        <v>45916</v>
      </c>
    </row>
    <row r="2536" spans="2:18" ht="17.25" hidden="1" customHeight="1">
      <c r="B2536" s="23">
        <v>45909</v>
      </c>
      <c r="C2536" s="7">
        <v>2003772403</v>
      </c>
      <c r="D2536" s="20">
        <v>280950</v>
      </c>
      <c r="E2536" s="27" t="s">
        <v>126</v>
      </c>
      <c r="F2536" s="7" t="s">
        <v>107</v>
      </c>
      <c r="G2536" s="7" t="s">
        <v>10</v>
      </c>
      <c r="H2536" s="7" t="s">
        <v>45</v>
      </c>
      <c r="I2536" s="20" t="s">
        <v>3734</v>
      </c>
      <c r="J2536" s="20" t="s">
        <v>3735</v>
      </c>
      <c r="K2536" s="7" t="s">
        <v>110</v>
      </c>
      <c r="L2536" s="61">
        <v>45911</v>
      </c>
      <c r="M2536" s="7" t="s">
        <v>111</v>
      </c>
      <c r="N2536" s="24">
        <v>45912</v>
      </c>
      <c r="O2536" s="58">
        <v>45915</v>
      </c>
      <c r="P2536" s="59"/>
      <c r="Q2536" s="124" t="e">
        <f>P2536*#REF!</f>
        <v>#REF!</v>
      </c>
      <c r="R2536" s="126">
        <v>45916</v>
      </c>
    </row>
    <row r="2537" spans="2:18" ht="17.25" hidden="1" customHeight="1">
      <c r="B2537" s="23">
        <v>45909</v>
      </c>
      <c r="C2537" s="7">
        <v>2003761905</v>
      </c>
      <c r="D2537" s="20">
        <v>280596</v>
      </c>
      <c r="E2537" s="27" t="s">
        <v>622</v>
      </c>
      <c r="F2537" s="7" t="s">
        <v>107</v>
      </c>
      <c r="G2537" s="7" t="s">
        <v>10</v>
      </c>
      <c r="H2537" s="7" t="s">
        <v>45</v>
      </c>
      <c r="I2537" s="20" t="s">
        <v>3736</v>
      </c>
      <c r="J2537" s="20" t="s">
        <v>3737</v>
      </c>
      <c r="K2537" s="7" t="s">
        <v>119</v>
      </c>
      <c r="L2537" s="61">
        <v>45915</v>
      </c>
      <c r="M2537" s="7" t="s">
        <v>111</v>
      </c>
      <c r="N2537" s="61">
        <v>45915</v>
      </c>
      <c r="O2537" s="58">
        <v>45916</v>
      </c>
      <c r="P2537" s="59"/>
      <c r="Q2537" s="124" t="e">
        <f>P2537*#REF!</f>
        <v>#REF!</v>
      </c>
      <c r="R2537" s="126">
        <v>45916</v>
      </c>
    </row>
    <row r="2538" spans="2:18" ht="17.25" hidden="1" customHeight="1">
      <c r="B2538" s="23">
        <v>45909</v>
      </c>
      <c r="C2538" s="7">
        <v>2003774375</v>
      </c>
      <c r="D2538" s="20">
        <v>280167</v>
      </c>
      <c r="E2538" s="27" t="s">
        <v>106</v>
      </c>
      <c r="F2538" s="7" t="s">
        <v>107</v>
      </c>
      <c r="G2538" s="7" t="s">
        <v>10</v>
      </c>
      <c r="H2538" s="7" t="s">
        <v>45</v>
      </c>
      <c r="I2538" s="20" t="s">
        <v>3738</v>
      </c>
      <c r="J2538" s="20" t="s">
        <v>3731</v>
      </c>
      <c r="K2538" s="7" t="s">
        <v>110</v>
      </c>
      <c r="L2538" s="61">
        <v>45911</v>
      </c>
      <c r="M2538" s="7" t="s">
        <v>111</v>
      </c>
      <c r="N2538" s="24">
        <v>45929</v>
      </c>
      <c r="O2538" s="58">
        <v>45929</v>
      </c>
      <c r="P2538" s="59"/>
      <c r="Q2538" s="124" t="e">
        <f>P2538*#REF!</f>
        <v>#REF!</v>
      </c>
      <c r="R2538" s="126">
        <v>45929</v>
      </c>
    </row>
    <row r="2539" spans="2:18" ht="17.25" hidden="1" customHeight="1">
      <c r="B2539" s="23">
        <v>45909</v>
      </c>
      <c r="C2539" s="7">
        <v>2003771428</v>
      </c>
      <c r="D2539" s="20">
        <v>280160</v>
      </c>
      <c r="E2539" s="27" t="s">
        <v>106</v>
      </c>
      <c r="F2539" s="7" t="s">
        <v>107</v>
      </c>
      <c r="G2539" s="7" t="s">
        <v>10</v>
      </c>
      <c r="H2539" s="7" t="s">
        <v>45</v>
      </c>
      <c r="I2539" s="20" t="s">
        <v>3730</v>
      </c>
      <c r="J2539" s="20" t="s">
        <v>3731</v>
      </c>
      <c r="K2539" s="7" t="s">
        <v>110</v>
      </c>
      <c r="L2539" s="61">
        <v>45911</v>
      </c>
      <c r="M2539" s="7" t="s">
        <v>111</v>
      </c>
      <c r="N2539" s="24">
        <v>45912</v>
      </c>
      <c r="O2539" s="61">
        <v>45918</v>
      </c>
      <c r="P2539" s="59"/>
      <c r="Q2539" s="124" t="e">
        <f>P2539*#REF!</f>
        <v>#REF!</v>
      </c>
      <c r="R2539" s="237">
        <v>45918</v>
      </c>
    </row>
    <row r="2540" spans="2:18" ht="17.25" hidden="1" customHeight="1">
      <c r="B2540" s="23">
        <v>45909</v>
      </c>
      <c r="C2540" s="7">
        <v>2003782796</v>
      </c>
      <c r="D2540" s="20">
        <v>280096</v>
      </c>
      <c r="E2540" s="27" t="s">
        <v>149</v>
      </c>
      <c r="F2540" s="7" t="s">
        <v>107</v>
      </c>
      <c r="G2540" s="7" t="s">
        <v>10</v>
      </c>
      <c r="H2540" s="7" t="s">
        <v>45</v>
      </c>
      <c r="I2540" s="20" t="s">
        <v>3739</v>
      </c>
      <c r="J2540" s="20" t="s">
        <v>3099</v>
      </c>
      <c r="K2540" s="7" t="s">
        <v>119</v>
      </c>
      <c r="L2540" s="61">
        <v>45911</v>
      </c>
      <c r="M2540" s="7" t="s">
        <v>111</v>
      </c>
      <c r="N2540" s="24">
        <v>45912</v>
      </c>
      <c r="O2540" s="58">
        <v>45915</v>
      </c>
      <c r="P2540" s="59"/>
      <c r="Q2540" s="124" t="e">
        <f>P2540*#REF!</f>
        <v>#REF!</v>
      </c>
      <c r="R2540" s="126">
        <v>45916</v>
      </c>
    </row>
    <row r="2541" spans="2:18" ht="17.25" hidden="1" customHeight="1">
      <c r="B2541" s="23">
        <v>45909</v>
      </c>
      <c r="C2541" s="7">
        <v>2003772948</v>
      </c>
      <c r="D2541" s="20">
        <v>6363986</v>
      </c>
      <c r="E2541" s="27" t="s">
        <v>177</v>
      </c>
      <c r="F2541" s="7" t="s">
        <v>107</v>
      </c>
      <c r="G2541" s="7" t="s">
        <v>15</v>
      </c>
      <c r="H2541" s="7" t="s">
        <v>45</v>
      </c>
      <c r="I2541" s="20" t="s">
        <v>3740</v>
      </c>
      <c r="J2541" s="20" t="s">
        <v>3741</v>
      </c>
      <c r="K2541" s="7" t="s">
        <v>110</v>
      </c>
      <c r="L2541" s="61">
        <v>45910</v>
      </c>
      <c r="M2541" s="7" t="s">
        <v>111</v>
      </c>
      <c r="N2541" s="61">
        <v>45910</v>
      </c>
      <c r="O2541" s="58">
        <v>45911</v>
      </c>
      <c r="P2541" s="59"/>
      <c r="Q2541" s="124" t="e">
        <f>P2541*#REF!</f>
        <v>#REF!</v>
      </c>
      <c r="R2541" s="126">
        <v>45912</v>
      </c>
    </row>
    <row r="2542" spans="2:18" ht="17.25" hidden="1" customHeight="1">
      <c r="B2542" s="23">
        <v>45909</v>
      </c>
      <c r="C2542" s="7">
        <v>2003786486</v>
      </c>
      <c r="D2542" s="20">
        <v>6364447</v>
      </c>
      <c r="E2542" s="27" t="s">
        <v>1225</v>
      </c>
      <c r="F2542" s="7" t="s">
        <v>107</v>
      </c>
      <c r="G2542" s="7" t="s">
        <v>10</v>
      </c>
      <c r="H2542" s="7" t="s">
        <v>45</v>
      </c>
      <c r="I2542" s="20" t="s">
        <v>3742</v>
      </c>
      <c r="J2542" s="20" t="s">
        <v>3743</v>
      </c>
      <c r="K2542" s="7" t="s">
        <v>119</v>
      </c>
      <c r="L2542" s="61">
        <v>45915</v>
      </c>
      <c r="M2542" s="7" t="s">
        <v>111</v>
      </c>
      <c r="N2542" s="61">
        <v>45915</v>
      </c>
      <c r="O2542" s="58">
        <v>45917</v>
      </c>
      <c r="P2542" s="59"/>
      <c r="Q2542" s="124" t="e">
        <f>P2542*#REF!</f>
        <v>#REF!</v>
      </c>
      <c r="R2542" s="126">
        <v>45918</v>
      </c>
    </row>
    <row r="2543" spans="2:18" ht="17.25" hidden="1" customHeight="1">
      <c r="B2543" s="23">
        <v>45909</v>
      </c>
      <c r="C2543" s="7">
        <v>2003703152</v>
      </c>
      <c r="D2543" s="20">
        <v>6364621</v>
      </c>
      <c r="E2543" s="27" t="s">
        <v>230</v>
      </c>
      <c r="F2543" s="7" t="s">
        <v>107</v>
      </c>
      <c r="G2543" s="7" t="s">
        <v>26</v>
      </c>
      <c r="H2543" s="7" t="s">
        <v>45</v>
      </c>
      <c r="I2543" s="20" t="s">
        <v>3744</v>
      </c>
      <c r="J2543" s="20" t="s">
        <v>3745</v>
      </c>
      <c r="K2543" s="7" t="s">
        <v>110</v>
      </c>
      <c r="L2543" s="61">
        <v>45915</v>
      </c>
      <c r="M2543" s="7" t="s">
        <v>111</v>
      </c>
      <c r="N2543" s="24">
        <v>45916</v>
      </c>
      <c r="O2543" s="58">
        <v>45916</v>
      </c>
      <c r="P2543" s="59"/>
      <c r="Q2543" s="124" t="e">
        <f>P2543*#REF!</f>
        <v>#REF!</v>
      </c>
      <c r="R2543" s="126">
        <v>45916</v>
      </c>
    </row>
    <row r="2544" spans="2:18" ht="17.25" hidden="1" customHeight="1">
      <c r="B2544" s="23">
        <v>45909</v>
      </c>
      <c r="C2544" s="7">
        <v>2003776968</v>
      </c>
      <c r="D2544" s="20">
        <v>6364625</v>
      </c>
      <c r="E2544" s="27" t="s">
        <v>230</v>
      </c>
      <c r="F2544" s="7" t="s">
        <v>107</v>
      </c>
      <c r="G2544" s="7" t="s">
        <v>10</v>
      </c>
      <c r="H2544" s="7" t="s">
        <v>45</v>
      </c>
      <c r="I2544" s="20" t="s">
        <v>3746</v>
      </c>
      <c r="J2544" s="20" t="s">
        <v>3747</v>
      </c>
      <c r="K2544" s="7" t="s">
        <v>110</v>
      </c>
      <c r="L2544" s="61">
        <v>45915</v>
      </c>
      <c r="M2544" s="7" t="s">
        <v>111</v>
      </c>
      <c r="N2544" s="61">
        <v>45915</v>
      </c>
      <c r="O2544" s="58">
        <v>45916</v>
      </c>
      <c r="P2544" s="59"/>
      <c r="Q2544" s="124" t="e">
        <f>P2544*#REF!</f>
        <v>#REF!</v>
      </c>
      <c r="R2544" s="126">
        <v>45918</v>
      </c>
    </row>
    <row r="2545" spans="2:18" ht="17.25" hidden="1" customHeight="1">
      <c r="B2545" s="23">
        <v>45909</v>
      </c>
      <c r="C2545" s="7">
        <v>2003730813</v>
      </c>
      <c r="D2545" s="20">
        <v>6364660</v>
      </c>
      <c r="E2545" s="27" t="s">
        <v>129</v>
      </c>
      <c r="F2545" s="7" t="s">
        <v>107</v>
      </c>
      <c r="G2545" s="7" t="s">
        <v>166</v>
      </c>
      <c r="H2545" s="7" t="s">
        <v>45</v>
      </c>
      <c r="I2545" s="20" t="s">
        <v>912</v>
      </c>
      <c r="J2545" s="20" t="s">
        <v>913</v>
      </c>
      <c r="K2545" s="7" t="s">
        <v>111</v>
      </c>
      <c r="L2545" s="61">
        <v>45910</v>
      </c>
      <c r="M2545" s="7" t="s">
        <v>111</v>
      </c>
      <c r="N2545" s="61">
        <v>45910</v>
      </c>
      <c r="O2545" s="61">
        <v>45910</v>
      </c>
      <c r="P2545" s="59"/>
      <c r="Q2545" s="124" t="e">
        <f>P2545*#REF!</f>
        <v>#REF!</v>
      </c>
      <c r="R2545" s="126">
        <v>45911</v>
      </c>
    </row>
    <row r="2546" spans="2:18" ht="17.25" hidden="1" customHeight="1">
      <c r="B2546" s="23">
        <v>45909</v>
      </c>
      <c r="C2546" s="7">
        <v>2003787758</v>
      </c>
      <c r="D2546" s="20">
        <v>6364736</v>
      </c>
      <c r="E2546" s="27" t="s">
        <v>230</v>
      </c>
      <c r="F2546" s="7" t="s">
        <v>107</v>
      </c>
      <c r="G2546" s="7" t="s">
        <v>18</v>
      </c>
      <c r="H2546" s="7" t="s">
        <v>45</v>
      </c>
      <c r="I2546" s="20" t="s">
        <v>3748</v>
      </c>
      <c r="J2546" s="20" t="s">
        <v>3749</v>
      </c>
      <c r="K2546" s="7" t="s">
        <v>119</v>
      </c>
      <c r="L2546" s="61">
        <v>45912</v>
      </c>
      <c r="M2546" s="7" t="s">
        <v>111</v>
      </c>
      <c r="N2546" s="24">
        <v>45915</v>
      </c>
      <c r="O2546" s="58">
        <v>45922</v>
      </c>
      <c r="P2546" s="59"/>
      <c r="Q2546" s="124" t="e">
        <f>P2546*#REF!</f>
        <v>#REF!</v>
      </c>
      <c r="R2546" s="126">
        <v>45922</v>
      </c>
    </row>
    <row r="2547" spans="2:18" ht="17.25" hidden="1" customHeight="1">
      <c r="B2547" s="23">
        <v>45910</v>
      </c>
      <c r="C2547" s="7">
        <v>2003635597</v>
      </c>
      <c r="D2547" s="20">
        <v>282586</v>
      </c>
      <c r="E2547" s="27" t="s">
        <v>123</v>
      </c>
      <c r="F2547" s="7" t="s">
        <v>107</v>
      </c>
      <c r="G2547" s="7" t="s">
        <v>10</v>
      </c>
      <c r="H2547" s="7" t="s">
        <v>45</v>
      </c>
      <c r="I2547" s="20" t="s">
        <v>3750</v>
      </c>
      <c r="J2547" s="20" t="s">
        <v>3751</v>
      </c>
      <c r="K2547" s="7" t="s">
        <v>119</v>
      </c>
      <c r="L2547" s="61">
        <v>45915</v>
      </c>
      <c r="M2547" s="7" t="s">
        <v>111</v>
      </c>
      <c r="N2547" s="61">
        <v>45915</v>
      </c>
      <c r="O2547" s="58">
        <v>45917</v>
      </c>
      <c r="P2547" s="59"/>
      <c r="Q2547" s="124" t="e">
        <f>P2547*#REF!</f>
        <v>#REF!</v>
      </c>
      <c r="R2547" s="126">
        <v>45918</v>
      </c>
    </row>
    <row r="2548" spans="2:18" ht="17.25" hidden="1" customHeight="1">
      <c r="B2548" s="23">
        <v>45910</v>
      </c>
      <c r="C2548" s="7">
        <v>2003769656</v>
      </c>
      <c r="D2548" s="20">
        <v>282001</v>
      </c>
      <c r="E2548" s="27" t="s">
        <v>180</v>
      </c>
      <c r="F2548" s="7" t="s">
        <v>107</v>
      </c>
      <c r="G2548" s="7" t="s">
        <v>30</v>
      </c>
      <c r="H2548" s="7" t="s">
        <v>45</v>
      </c>
      <c r="I2548" s="20" t="s">
        <v>390</v>
      </c>
      <c r="J2548" s="20" t="s">
        <v>3752</v>
      </c>
      <c r="K2548" s="7" t="s">
        <v>111</v>
      </c>
      <c r="L2548" s="61">
        <v>45911</v>
      </c>
      <c r="M2548" s="7" t="s">
        <v>111</v>
      </c>
      <c r="N2548" s="24">
        <v>45912</v>
      </c>
      <c r="O2548" s="58">
        <v>45922</v>
      </c>
      <c r="P2548" s="59"/>
      <c r="Q2548" s="124" t="e">
        <f>P2548*#REF!</f>
        <v>#REF!</v>
      </c>
      <c r="R2548" s="126">
        <v>45923</v>
      </c>
    </row>
    <row r="2549" spans="2:18" ht="17.25" hidden="1" customHeight="1">
      <c r="B2549" s="23">
        <v>45910</v>
      </c>
      <c r="C2549" s="7">
        <v>2003785767</v>
      </c>
      <c r="D2549" s="20">
        <v>281985</v>
      </c>
      <c r="E2549" s="27" t="s">
        <v>123</v>
      </c>
      <c r="F2549" s="7" t="s">
        <v>107</v>
      </c>
      <c r="G2549" s="7" t="s">
        <v>10</v>
      </c>
      <c r="H2549" s="7" t="s">
        <v>45</v>
      </c>
      <c r="I2549" s="20" t="s">
        <v>3753</v>
      </c>
      <c r="J2549" s="20" t="s">
        <v>3754</v>
      </c>
      <c r="K2549" s="7" t="s">
        <v>119</v>
      </c>
      <c r="L2549" s="61">
        <v>45912</v>
      </c>
      <c r="M2549" s="7" t="s">
        <v>111</v>
      </c>
      <c r="N2549" s="24">
        <v>45915</v>
      </c>
      <c r="O2549" s="58">
        <v>45917</v>
      </c>
      <c r="P2549" s="59"/>
      <c r="Q2549" s="124" t="e">
        <f>P2549*#REF!</f>
        <v>#REF!</v>
      </c>
      <c r="R2549" s="126">
        <v>45918</v>
      </c>
    </row>
    <row r="2550" spans="2:18" ht="17.25" hidden="1" customHeight="1">
      <c r="B2550" s="23">
        <v>45910</v>
      </c>
      <c r="C2550" s="7">
        <v>2003558668</v>
      </c>
      <c r="D2550" s="20">
        <v>6365143</v>
      </c>
      <c r="E2550" s="27" t="s">
        <v>123</v>
      </c>
      <c r="F2550" s="7" t="s">
        <v>107</v>
      </c>
      <c r="G2550" s="7" t="s">
        <v>26</v>
      </c>
      <c r="H2550" s="7" t="s">
        <v>45</v>
      </c>
      <c r="I2550" s="20" t="s">
        <v>856</v>
      </c>
      <c r="J2550" s="20" t="s">
        <v>3755</v>
      </c>
      <c r="K2550" s="7" t="s">
        <v>119</v>
      </c>
      <c r="L2550" s="61">
        <v>45915</v>
      </c>
      <c r="M2550" s="7" t="s">
        <v>111</v>
      </c>
      <c r="N2550" s="24">
        <v>45916</v>
      </c>
      <c r="O2550" s="58">
        <v>45916</v>
      </c>
      <c r="P2550" s="59"/>
      <c r="Q2550" s="124" t="e">
        <f>P2550*#REF!</f>
        <v>#REF!</v>
      </c>
      <c r="R2550" s="126">
        <v>45916</v>
      </c>
    </row>
    <row r="2551" spans="2:18" ht="17.25" hidden="1" customHeight="1">
      <c r="B2551" s="23">
        <v>45910</v>
      </c>
      <c r="C2551" s="7">
        <v>2003787478</v>
      </c>
      <c r="D2551" s="20">
        <v>6365416</v>
      </c>
      <c r="E2551" s="27" t="s">
        <v>408</v>
      </c>
      <c r="F2551" s="7" t="s">
        <v>107</v>
      </c>
      <c r="G2551" s="7" t="s">
        <v>10</v>
      </c>
      <c r="H2551" s="7" t="s">
        <v>45</v>
      </c>
      <c r="I2551" s="20" t="s">
        <v>814</v>
      </c>
      <c r="J2551" s="20" t="s">
        <v>3756</v>
      </c>
      <c r="K2551" s="7" t="s">
        <v>110</v>
      </c>
      <c r="L2551" s="61">
        <v>45911</v>
      </c>
      <c r="M2551" s="7" t="s">
        <v>111</v>
      </c>
      <c r="N2551" s="24">
        <v>45912</v>
      </c>
      <c r="O2551" s="58">
        <v>45915</v>
      </c>
      <c r="P2551" s="59"/>
      <c r="Q2551" s="124" t="e">
        <f>P2551*#REF!</f>
        <v>#REF!</v>
      </c>
      <c r="R2551" s="126">
        <v>45916</v>
      </c>
    </row>
    <row r="2552" spans="2:18" ht="17.25" hidden="1" customHeight="1">
      <c r="B2552" s="23">
        <v>45910</v>
      </c>
      <c r="C2552" s="7">
        <v>2003745777</v>
      </c>
      <c r="D2552" s="20">
        <v>6365487</v>
      </c>
      <c r="E2552" s="27" t="s">
        <v>135</v>
      </c>
      <c r="F2552" s="7" t="s">
        <v>107</v>
      </c>
      <c r="G2552" s="7" t="s">
        <v>15</v>
      </c>
      <c r="H2552" s="7" t="s">
        <v>45</v>
      </c>
      <c r="I2552" s="20" t="s">
        <v>3757</v>
      </c>
      <c r="J2552" s="20" t="s">
        <v>3758</v>
      </c>
      <c r="K2552" s="7" t="s">
        <v>110</v>
      </c>
      <c r="L2552" s="61">
        <v>45916</v>
      </c>
      <c r="M2552" s="7" t="s">
        <v>111</v>
      </c>
      <c r="N2552" s="61">
        <v>45916</v>
      </c>
      <c r="O2552" s="58">
        <v>45922</v>
      </c>
      <c r="P2552" s="59"/>
      <c r="Q2552" s="124" t="e">
        <f>P2552*#REF!</f>
        <v>#REF!</v>
      </c>
      <c r="R2552" s="126">
        <v>45922</v>
      </c>
    </row>
    <row r="2553" spans="2:18" ht="17.25" hidden="1" customHeight="1">
      <c r="B2553" s="23">
        <v>45911</v>
      </c>
      <c r="C2553" s="7">
        <v>2003787523</v>
      </c>
      <c r="D2553" s="20">
        <v>284039</v>
      </c>
      <c r="E2553" s="27" t="s">
        <v>185</v>
      </c>
      <c r="F2553" s="7" t="s">
        <v>107</v>
      </c>
      <c r="G2553" s="7" t="s">
        <v>10</v>
      </c>
      <c r="H2553" s="7" t="s">
        <v>45</v>
      </c>
      <c r="I2553" s="20" t="s">
        <v>3759</v>
      </c>
      <c r="J2553" s="20" t="s">
        <v>3760</v>
      </c>
      <c r="K2553" s="7" t="s">
        <v>110</v>
      </c>
      <c r="L2553" s="61">
        <v>45916</v>
      </c>
      <c r="M2553" s="7" t="s">
        <v>111</v>
      </c>
      <c r="N2553" s="61">
        <v>45916</v>
      </c>
      <c r="O2553" s="61">
        <v>45918</v>
      </c>
      <c r="P2553" s="59"/>
      <c r="Q2553" s="124" t="e">
        <f>P2553*#REF!</f>
        <v>#REF!</v>
      </c>
      <c r="R2553" s="126">
        <v>45918</v>
      </c>
    </row>
    <row r="2554" spans="2:18" ht="17.25" hidden="1" customHeight="1">
      <c r="B2554" s="23">
        <v>45911</v>
      </c>
      <c r="C2554" s="7">
        <v>2003785547</v>
      </c>
      <c r="D2554" s="20">
        <v>284143</v>
      </c>
      <c r="E2554" s="27" t="s">
        <v>404</v>
      </c>
      <c r="F2554" s="7" t="s">
        <v>113</v>
      </c>
      <c r="G2554" s="7" t="s">
        <v>70</v>
      </c>
      <c r="H2554" s="7" t="s">
        <v>47</v>
      </c>
      <c r="I2554" s="20" t="s">
        <v>631</v>
      </c>
      <c r="J2554" s="20" t="s">
        <v>3761</v>
      </c>
      <c r="K2554" s="7" t="s">
        <v>160</v>
      </c>
      <c r="P2554" s="59"/>
      <c r="Q2554" s="124" t="e">
        <f>P2554*#REF!</f>
        <v>#REF!</v>
      </c>
      <c r="R2554" s="126">
        <v>45916</v>
      </c>
    </row>
    <row r="2555" spans="2:18" ht="17.25" hidden="1" customHeight="1">
      <c r="B2555" s="23">
        <v>45911</v>
      </c>
      <c r="C2555" s="7">
        <v>2003530073</v>
      </c>
      <c r="D2555" s="20">
        <v>6365797</v>
      </c>
      <c r="E2555" s="27" t="s">
        <v>408</v>
      </c>
      <c r="F2555" s="7" t="s">
        <v>107</v>
      </c>
      <c r="G2555" s="7" t="s">
        <v>18</v>
      </c>
      <c r="H2555" s="7" t="s">
        <v>45</v>
      </c>
      <c r="I2555" s="20" t="s">
        <v>3762</v>
      </c>
      <c r="J2555" s="20" t="s">
        <v>3763</v>
      </c>
      <c r="K2555" s="7" t="s">
        <v>119</v>
      </c>
      <c r="L2555" s="61">
        <v>45912</v>
      </c>
      <c r="M2555" s="7" t="s">
        <v>111</v>
      </c>
      <c r="N2555" s="24">
        <v>45915</v>
      </c>
      <c r="O2555" s="58">
        <v>45916</v>
      </c>
      <c r="P2555" s="59"/>
      <c r="Q2555" s="124" t="e">
        <f>P2555*#REF!</f>
        <v>#REF!</v>
      </c>
      <c r="R2555" s="126">
        <v>45918</v>
      </c>
    </row>
    <row r="2556" spans="2:18" ht="17.25" hidden="1" customHeight="1">
      <c r="B2556" s="23">
        <v>45911</v>
      </c>
      <c r="C2556" s="7">
        <v>2003771719</v>
      </c>
      <c r="D2556" s="20">
        <v>6365996</v>
      </c>
      <c r="E2556" s="27" t="s">
        <v>3586</v>
      </c>
      <c r="F2556" s="7" t="s">
        <v>107</v>
      </c>
      <c r="G2556" s="7" t="s">
        <v>15</v>
      </c>
      <c r="H2556" s="7" t="s">
        <v>45</v>
      </c>
      <c r="I2556" s="20" t="s">
        <v>3764</v>
      </c>
      <c r="J2556" s="20" t="s">
        <v>3765</v>
      </c>
      <c r="K2556" s="7" t="s">
        <v>119</v>
      </c>
      <c r="L2556" s="61">
        <v>45916</v>
      </c>
      <c r="M2556" s="7" t="s">
        <v>111</v>
      </c>
      <c r="N2556" s="61">
        <v>45922</v>
      </c>
      <c r="O2556" s="61">
        <v>45922</v>
      </c>
      <c r="P2556" s="59"/>
      <c r="Q2556" s="124" t="e">
        <f>P2556*#REF!</f>
        <v>#REF!</v>
      </c>
      <c r="R2556" s="126">
        <v>45923</v>
      </c>
    </row>
    <row r="2557" spans="2:18" ht="17.25" hidden="1" customHeight="1">
      <c r="B2557" s="23">
        <v>45911</v>
      </c>
      <c r="C2557" s="7">
        <v>2003665100</v>
      </c>
      <c r="D2557" s="20">
        <v>6366192</v>
      </c>
      <c r="E2557" s="27" t="s">
        <v>143</v>
      </c>
      <c r="F2557" s="7" t="s">
        <v>107</v>
      </c>
      <c r="G2557" s="7" t="s">
        <v>21</v>
      </c>
      <c r="H2557" s="7" t="s">
        <v>45</v>
      </c>
      <c r="I2557" s="20" t="s">
        <v>3766</v>
      </c>
      <c r="J2557" s="20" t="s">
        <v>3412</v>
      </c>
      <c r="K2557" s="7" t="s">
        <v>111</v>
      </c>
      <c r="L2557" s="61">
        <v>45912</v>
      </c>
      <c r="M2557" s="7" t="s">
        <v>111</v>
      </c>
      <c r="N2557" s="61">
        <v>45912</v>
      </c>
      <c r="O2557" s="61">
        <v>45912</v>
      </c>
      <c r="P2557" s="59"/>
      <c r="Q2557" s="124" t="e">
        <f>P2557*#REF!</f>
        <v>#REF!</v>
      </c>
      <c r="R2557" s="126">
        <v>45912</v>
      </c>
    </row>
    <row r="2558" spans="2:18" ht="17.25" hidden="1" customHeight="1">
      <c r="B2558" s="23">
        <v>45911</v>
      </c>
      <c r="C2558" s="7">
        <v>2003789211</v>
      </c>
      <c r="D2558" s="20">
        <v>6366193</v>
      </c>
      <c r="E2558" s="27" t="s">
        <v>152</v>
      </c>
      <c r="F2558" s="7" t="s">
        <v>107</v>
      </c>
      <c r="G2558" s="7" t="s">
        <v>10</v>
      </c>
      <c r="H2558" s="7" t="s">
        <v>45</v>
      </c>
      <c r="I2558" s="20" t="s">
        <v>810</v>
      </c>
      <c r="J2558" s="20" t="s">
        <v>3767</v>
      </c>
      <c r="K2558" s="7" t="s">
        <v>110</v>
      </c>
      <c r="L2558" s="61">
        <v>45915</v>
      </c>
      <c r="M2558" s="7" t="s">
        <v>111</v>
      </c>
      <c r="N2558" s="61">
        <v>45915</v>
      </c>
      <c r="O2558" s="58">
        <v>45916</v>
      </c>
      <c r="P2558" s="59"/>
      <c r="Q2558" s="124" t="e">
        <f>P2558*#REF!</f>
        <v>#REF!</v>
      </c>
      <c r="R2558" s="126">
        <v>45918</v>
      </c>
    </row>
    <row r="2559" spans="2:18" ht="17.25" hidden="1" customHeight="1">
      <c r="B2559" s="23">
        <v>45912</v>
      </c>
      <c r="C2559" s="7">
        <v>2003728752</v>
      </c>
      <c r="D2559" s="20">
        <v>285359</v>
      </c>
      <c r="E2559" s="27" t="s">
        <v>265</v>
      </c>
      <c r="F2559" s="7" t="s">
        <v>107</v>
      </c>
      <c r="G2559" s="7" t="s">
        <v>26</v>
      </c>
      <c r="H2559" s="7" t="s">
        <v>45</v>
      </c>
      <c r="I2559" s="20" t="s">
        <v>3664</v>
      </c>
      <c r="J2559" s="20" t="s">
        <v>3665</v>
      </c>
      <c r="K2559" s="7" t="s">
        <v>119</v>
      </c>
      <c r="L2559" s="61">
        <v>45915</v>
      </c>
      <c r="M2559" s="7" t="s">
        <v>111</v>
      </c>
      <c r="N2559" s="24">
        <v>45916</v>
      </c>
      <c r="O2559" s="58">
        <v>45916</v>
      </c>
      <c r="P2559" s="59"/>
      <c r="Q2559" s="124" t="e">
        <f>P2559*#REF!</f>
        <v>#REF!</v>
      </c>
      <c r="R2559" s="126">
        <v>45916</v>
      </c>
    </row>
    <row r="2560" spans="2:18" ht="17.25" hidden="1" customHeight="1">
      <c r="B2560" s="23">
        <v>45912</v>
      </c>
      <c r="C2560" s="7">
        <v>2003789663</v>
      </c>
      <c r="D2560" s="20">
        <v>284647</v>
      </c>
      <c r="E2560" s="27" t="s">
        <v>143</v>
      </c>
      <c r="F2560" s="7" t="s">
        <v>107</v>
      </c>
      <c r="G2560" s="7" t="s">
        <v>18</v>
      </c>
      <c r="H2560" s="7" t="s">
        <v>45</v>
      </c>
      <c r="I2560" s="20" t="s">
        <v>3768</v>
      </c>
      <c r="J2560" s="20" t="s">
        <v>3769</v>
      </c>
      <c r="K2560" s="7" t="s">
        <v>110</v>
      </c>
      <c r="L2560" s="61">
        <v>45917</v>
      </c>
      <c r="M2560" s="7" t="s">
        <v>111</v>
      </c>
      <c r="N2560" s="61">
        <v>45917</v>
      </c>
      <c r="O2560" s="58">
        <v>45922</v>
      </c>
      <c r="P2560" s="59"/>
      <c r="Q2560" s="124" t="e">
        <f>P2560*#REF!</f>
        <v>#REF!</v>
      </c>
      <c r="R2560" s="126">
        <v>45922</v>
      </c>
    </row>
    <row r="2561" spans="2:18" ht="17.25" hidden="1" customHeight="1">
      <c r="B2561" s="23">
        <v>45912</v>
      </c>
      <c r="C2561" s="7">
        <v>2003783282</v>
      </c>
      <c r="D2561" s="20">
        <v>6366413</v>
      </c>
      <c r="E2561" s="27" t="s">
        <v>191</v>
      </c>
      <c r="F2561" s="7" t="s">
        <v>107</v>
      </c>
      <c r="G2561" s="7" t="s">
        <v>10</v>
      </c>
      <c r="H2561" s="7" t="s">
        <v>45</v>
      </c>
      <c r="I2561" s="20" t="s">
        <v>282</v>
      </c>
      <c r="J2561" s="20" t="s">
        <v>3770</v>
      </c>
      <c r="K2561" s="7" t="s">
        <v>110</v>
      </c>
      <c r="L2561" s="61">
        <v>45916</v>
      </c>
      <c r="M2561" s="7" t="s">
        <v>111</v>
      </c>
      <c r="N2561" s="61">
        <v>45916</v>
      </c>
      <c r="O2561" s="61">
        <v>45916</v>
      </c>
      <c r="P2561" s="59"/>
      <c r="Q2561" s="124" t="e">
        <f>P2561*#REF!</f>
        <v>#REF!</v>
      </c>
      <c r="R2561" s="126">
        <v>45918</v>
      </c>
    </row>
    <row r="2562" spans="2:18" ht="17.25" hidden="1" customHeight="1">
      <c r="B2562" s="23">
        <v>45912</v>
      </c>
      <c r="C2562" s="7">
        <v>2003782114</v>
      </c>
      <c r="D2562" s="20">
        <v>6366418</v>
      </c>
      <c r="E2562" s="27" t="s">
        <v>191</v>
      </c>
      <c r="F2562" s="7" t="s">
        <v>107</v>
      </c>
      <c r="G2562" s="7" t="s">
        <v>10</v>
      </c>
      <c r="H2562" s="7" t="s">
        <v>45</v>
      </c>
      <c r="I2562" s="20" t="s">
        <v>282</v>
      </c>
      <c r="J2562" s="20" t="s">
        <v>3770</v>
      </c>
      <c r="K2562" s="7" t="s">
        <v>110</v>
      </c>
      <c r="L2562" s="61">
        <v>45916</v>
      </c>
      <c r="M2562" s="7" t="s">
        <v>111</v>
      </c>
      <c r="N2562" s="61">
        <v>45916</v>
      </c>
      <c r="O2562" s="61">
        <v>45918</v>
      </c>
      <c r="P2562" s="59"/>
      <c r="Q2562" s="124" t="e">
        <f>P2562*#REF!</f>
        <v>#REF!</v>
      </c>
      <c r="R2562" s="126">
        <v>45918</v>
      </c>
    </row>
    <row r="2563" spans="2:18" ht="17.25" hidden="1" customHeight="1">
      <c r="B2563" s="23">
        <v>45912</v>
      </c>
      <c r="C2563" s="7">
        <v>2003737258</v>
      </c>
      <c r="D2563" s="20">
        <v>6366647</v>
      </c>
      <c r="E2563" s="27" t="s">
        <v>123</v>
      </c>
      <c r="F2563" s="7" t="s">
        <v>107</v>
      </c>
      <c r="G2563" s="7" t="s">
        <v>18</v>
      </c>
      <c r="H2563" s="7" t="s">
        <v>45</v>
      </c>
      <c r="I2563" s="20" t="s">
        <v>3771</v>
      </c>
      <c r="J2563" s="20" t="s">
        <v>3772</v>
      </c>
      <c r="K2563" s="7" t="s">
        <v>119</v>
      </c>
      <c r="L2563" s="61">
        <v>45917</v>
      </c>
      <c r="M2563" s="7" t="s">
        <v>111</v>
      </c>
      <c r="N2563" s="61">
        <v>45917</v>
      </c>
      <c r="O2563" s="58">
        <v>45922</v>
      </c>
      <c r="P2563" s="59"/>
      <c r="Q2563" s="124" t="e">
        <f>P2563*#REF!</f>
        <v>#REF!</v>
      </c>
      <c r="R2563" s="126">
        <v>45923</v>
      </c>
    </row>
    <row r="2564" spans="2:18" ht="17.25" hidden="1" customHeight="1">
      <c r="B2564" s="23">
        <v>45912</v>
      </c>
      <c r="C2564" s="7">
        <v>2003774906</v>
      </c>
      <c r="D2564" s="20">
        <v>6366745</v>
      </c>
      <c r="E2564" s="27" t="s">
        <v>1225</v>
      </c>
      <c r="F2564" s="7" t="s">
        <v>107</v>
      </c>
      <c r="G2564" s="7" t="s">
        <v>10</v>
      </c>
      <c r="H2564" s="7" t="s">
        <v>45</v>
      </c>
      <c r="I2564" s="20" t="s">
        <v>3773</v>
      </c>
      <c r="J2564" s="20" t="s">
        <v>3774</v>
      </c>
      <c r="K2564" s="7" t="s">
        <v>110</v>
      </c>
      <c r="L2564" s="61">
        <v>45916</v>
      </c>
      <c r="M2564" s="7" t="s">
        <v>111</v>
      </c>
      <c r="N2564" s="61">
        <v>45916</v>
      </c>
      <c r="O2564" s="61">
        <v>45916</v>
      </c>
      <c r="P2564" s="59"/>
      <c r="Q2564" s="124" t="e">
        <f>P2564*#REF!</f>
        <v>#REF!</v>
      </c>
      <c r="R2564" s="126">
        <v>45918</v>
      </c>
    </row>
    <row r="2565" spans="2:18" ht="17.25" hidden="1" customHeight="1">
      <c r="B2565" s="23">
        <v>45912</v>
      </c>
      <c r="C2565" s="7">
        <v>2003788760</v>
      </c>
      <c r="D2565" s="20">
        <v>6366760</v>
      </c>
      <c r="E2565" s="27" t="s">
        <v>106</v>
      </c>
      <c r="F2565" s="7" t="s">
        <v>107</v>
      </c>
      <c r="G2565" s="7" t="s">
        <v>10</v>
      </c>
      <c r="H2565" s="7" t="s">
        <v>45</v>
      </c>
      <c r="I2565" s="20" t="s">
        <v>878</v>
      </c>
      <c r="J2565" s="20" t="s">
        <v>3775</v>
      </c>
      <c r="K2565" s="7" t="s">
        <v>119</v>
      </c>
      <c r="L2565" s="61">
        <v>45919</v>
      </c>
      <c r="M2565" s="7" t="s">
        <v>111</v>
      </c>
      <c r="N2565" s="61">
        <v>45922</v>
      </c>
      <c r="O2565" s="61">
        <v>45922</v>
      </c>
      <c r="P2565" s="59"/>
      <c r="Q2565" s="124" t="e">
        <f>P2565*#REF!</f>
        <v>#REF!</v>
      </c>
      <c r="R2565" s="126">
        <v>45923</v>
      </c>
    </row>
    <row r="2566" spans="2:18" ht="17.25" hidden="1" customHeight="1">
      <c r="B2566" s="23">
        <v>45915</v>
      </c>
      <c r="C2566" s="7">
        <v>2003786398</v>
      </c>
      <c r="D2566" s="20">
        <v>287615</v>
      </c>
      <c r="E2566" s="27" t="s">
        <v>185</v>
      </c>
      <c r="F2566" s="7" t="s">
        <v>107</v>
      </c>
      <c r="G2566" s="7" t="s">
        <v>18</v>
      </c>
      <c r="H2566" s="7" t="s">
        <v>45</v>
      </c>
      <c r="I2566" s="20" t="s">
        <v>1786</v>
      </c>
      <c r="J2566" s="20" t="s">
        <v>3776</v>
      </c>
      <c r="K2566" s="7" t="s">
        <v>110</v>
      </c>
      <c r="L2566" s="61">
        <v>45918</v>
      </c>
      <c r="M2566" s="7" t="s">
        <v>111</v>
      </c>
      <c r="N2566" s="61">
        <v>45918</v>
      </c>
      <c r="O2566" s="61">
        <v>45918</v>
      </c>
      <c r="P2566" s="59"/>
      <c r="Q2566" s="124" t="e">
        <f>P2566*#REF!</f>
        <v>#REF!</v>
      </c>
      <c r="R2566" s="126">
        <v>45918</v>
      </c>
    </row>
    <row r="2567" spans="2:18" ht="17.25" hidden="1" customHeight="1">
      <c r="B2567" s="23">
        <v>45915</v>
      </c>
      <c r="C2567" s="7">
        <v>2003792555</v>
      </c>
      <c r="D2567" s="20">
        <v>287388</v>
      </c>
      <c r="E2567" s="27" t="s">
        <v>123</v>
      </c>
      <c r="F2567" s="7" t="s">
        <v>107</v>
      </c>
      <c r="G2567" s="7" t="s">
        <v>10</v>
      </c>
      <c r="H2567" s="7" t="s">
        <v>45</v>
      </c>
      <c r="I2567" s="20" t="s">
        <v>1839</v>
      </c>
      <c r="J2567" s="20" t="s">
        <v>3777</v>
      </c>
      <c r="K2567" s="7" t="s">
        <v>110</v>
      </c>
      <c r="L2567" s="61">
        <v>45918</v>
      </c>
      <c r="M2567" s="7" t="s">
        <v>111</v>
      </c>
      <c r="N2567" s="61">
        <v>45918</v>
      </c>
      <c r="O2567" s="58">
        <v>45922</v>
      </c>
      <c r="P2567" s="59"/>
      <c r="Q2567" s="124" t="e">
        <f>P2567*#REF!</f>
        <v>#REF!</v>
      </c>
      <c r="R2567" s="126">
        <v>45922</v>
      </c>
    </row>
    <row r="2568" spans="2:18" ht="17.25" hidden="1" customHeight="1">
      <c r="B2568" s="23">
        <v>45915</v>
      </c>
      <c r="C2568" s="7">
        <v>2003665550</v>
      </c>
      <c r="D2568" s="20">
        <v>287375</v>
      </c>
      <c r="E2568" s="27" t="s">
        <v>123</v>
      </c>
      <c r="F2568" s="7" t="s">
        <v>107</v>
      </c>
      <c r="G2568" s="7" t="s">
        <v>26</v>
      </c>
      <c r="H2568" s="7" t="s">
        <v>45</v>
      </c>
      <c r="I2568" s="20" t="s">
        <v>3778</v>
      </c>
      <c r="J2568" s="20" t="s">
        <v>3779</v>
      </c>
      <c r="K2568" s="7" t="s">
        <v>119</v>
      </c>
      <c r="L2568" s="61">
        <v>45917</v>
      </c>
      <c r="M2568" s="7" t="s">
        <v>111</v>
      </c>
      <c r="N2568" s="24">
        <v>45918</v>
      </c>
      <c r="O2568" s="58">
        <v>45918</v>
      </c>
      <c r="P2568" s="59"/>
      <c r="Q2568" s="124" t="e">
        <f>P2568*#REF!</f>
        <v>#REF!</v>
      </c>
      <c r="R2568" s="126">
        <v>45918</v>
      </c>
    </row>
    <row r="2569" spans="2:18" ht="17.25" hidden="1" customHeight="1">
      <c r="B2569" s="23">
        <v>45915</v>
      </c>
      <c r="C2569" s="7">
        <v>2003791414</v>
      </c>
      <c r="D2569" s="20">
        <v>287298</v>
      </c>
      <c r="E2569" s="27" t="s">
        <v>185</v>
      </c>
      <c r="F2569" s="7" t="s">
        <v>107</v>
      </c>
      <c r="G2569" s="7" t="s">
        <v>10</v>
      </c>
      <c r="H2569" s="7" t="s">
        <v>45</v>
      </c>
      <c r="I2569" s="20" t="s">
        <v>3364</v>
      </c>
      <c r="J2569" s="20" t="s">
        <v>3713</v>
      </c>
      <c r="K2569" s="7" t="s">
        <v>119</v>
      </c>
      <c r="L2569" s="61">
        <v>45917</v>
      </c>
      <c r="M2569" s="7" t="s">
        <v>111</v>
      </c>
      <c r="N2569" s="24">
        <v>45918</v>
      </c>
      <c r="O2569" s="58">
        <v>45922</v>
      </c>
      <c r="P2569" s="59"/>
      <c r="Q2569" s="124" t="e">
        <f>P2569*#REF!</f>
        <v>#REF!</v>
      </c>
      <c r="R2569" s="126">
        <v>45922</v>
      </c>
    </row>
    <row r="2570" spans="2:18" ht="17.25" hidden="1" customHeight="1">
      <c r="B2570" s="23">
        <v>45915</v>
      </c>
      <c r="C2570" s="7">
        <v>2003746451</v>
      </c>
      <c r="D2570" s="20">
        <v>287218</v>
      </c>
      <c r="E2570" s="27" t="s">
        <v>185</v>
      </c>
      <c r="F2570" s="7" t="s">
        <v>107</v>
      </c>
      <c r="G2570" s="7" t="s">
        <v>21</v>
      </c>
      <c r="H2570" s="7" t="s">
        <v>45</v>
      </c>
      <c r="I2570" s="20" t="s">
        <v>1619</v>
      </c>
      <c r="J2570" s="20" t="s">
        <v>3573</v>
      </c>
      <c r="K2570" s="7" t="s">
        <v>110</v>
      </c>
      <c r="L2570" s="61">
        <v>45916</v>
      </c>
      <c r="M2570" s="7" t="s">
        <v>111</v>
      </c>
      <c r="N2570" s="61">
        <v>45916</v>
      </c>
      <c r="O2570" s="61">
        <v>45916</v>
      </c>
      <c r="P2570" s="59"/>
      <c r="Q2570" s="124" t="e">
        <f>P2570*#REF!</f>
        <v>#REF!</v>
      </c>
      <c r="R2570" s="126">
        <v>45918</v>
      </c>
    </row>
    <row r="2571" spans="2:18" ht="17.25" hidden="1" customHeight="1">
      <c r="B2571" s="23">
        <v>45915</v>
      </c>
      <c r="C2571" s="7">
        <v>2003749504</v>
      </c>
      <c r="D2571" s="20">
        <v>286804</v>
      </c>
      <c r="E2571" s="27" t="s">
        <v>123</v>
      </c>
      <c r="F2571" s="7" t="s">
        <v>107</v>
      </c>
      <c r="G2571" s="7" t="s">
        <v>10</v>
      </c>
      <c r="H2571" s="7" t="s">
        <v>45</v>
      </c>
      <c r="I2571" s="20" t="s">
        <v>3780</v>
      </c>
      <c r="J2571" s="20" t="s">
        <v>3781</v>
      </c>
      <c r="K2571" s="7" t="s">
        <v>119</v>
      </c>
      <c r="L2571" s="61">
        <v>45917</v>
      </c>
      <c r="M2571" s="7" t="s">
        <v>111</v>
      </c>
      <c r="N2571" s="61">
        <v>45917</v>
      </c>
      <c r="O2571" s="61">
        <v>45917</v>
      </c>
      <c r="P2571" s="59"/>
      <c r="Q2571" s="124" t="e">
        <f>P2571*#REF!</f>
        <v>#REF!</v>
      </c>
      <c r="R2571" s="126">
        <v>45918</v>
      </c>
    </row>
    <row r="2572" spans="2:18" ht="17.25" hidden="1" customHeight="1">
      <c r="B2572" s="23">
        <v>45915</v>
      </c>
      <c r="C2572" s="7">
        <v>2003755818</v>
      </c>
      <c r="D2572" s="20">
        <v>6367123</v>
      </c>
      <c r="E2572" s="27" t="s">
        <v>486</v>
      </c>
      <c r="F2572" s="7" t="s">
        <v>107</v>
      </c>
      <c r="G2572" s="7" t="s">
        <v>10</v>
      </c>
      <c r="H2572" s="7" t="s">
        <v>45</v>
      </c>
      <c r="I2572" s="20" t="s">
        <v>3782</v>
      </c>
      <c r="J2572" s="20" t="s">
        <v>3405</v>
      </c>
      <c r="K2572" s="7" t="s">
        <v>111</v>
      </c>
      <c r="L2572" s="61">
        <v>45916</v>
      </c>
      <c r="M2572" s="7" t="s">
        <v>111</v>
      </c>
      <c r="N2572" s="61">
        <v>45916</v>
      </c>
      <c r="O2572" s="58">
        <v>45918</v>
      </c>
      <c r="P2572" s="59"/>
      <c r="Q2572" s="124" t="e">
        <f>P2572*#REF!</f>
        <v>#REF!</v>
      </c>
      <c r="R2572" s="126">
        <v>45918</v>
      </c>
    </row>
    <row r="2573" spans="2:18" ht="17.25" hidden="1" customHeight="1">
      <c r="B2573" s="23">
        <v>45915</v>
      </c>
      <c r="C2573" s="7">
        <v>2003791199</v>
      </c>
      <c r="D2573" s="20">
        <v>6367186</v>
      </c>
      <c r="E2573" s="27" t="s">
        <v>191</v>
      </c>
      <c r="F2573" s="7" t="s">
        <v>107</v>
      </c>
      <c r="G2573" s="7" t="s">
        <v>10</v>
      </c>
      <c r="H2573" s="7" t="s">
        <v>45</v>
      </c>
      <c r="I2573" s="20" t="s">
        <v>2232</v>
      </c>
      <c r="J2573" s="20" t="s">
        <v>2233</v>
      </c>
      <c r="K2573" s="7" t="s">
        <v>110</v>
      </c>
      <c r="L2573" s="61">
        <v>45918</v>
      </c>
      <c r="M2573" s="7" t="s">
        <v>111</v>
      </c>
      <c r="N2573" s="61">
        <v>45918</v>
      </c>
      <c r="O2573" s="58">
        <v>45922</v>
      </c>
      <c r="P2573" s="59"/>
      <c r="Q2573" s="124" t="e">
        <f>P2573*#REF!</f>
        <v>#REF!</v>
      </c>
      <c r="R2573" s="126">
        <v>45922</v>
      </c>
    </row>
    <row r="2574" spans="2:18" ht="17.25" hidden="1" customHeight="1">
      <c r="B2574" s="23">
        <v>45915</v>
      </c>
      <c r="C2574" s="7">
        <v>2003771557</v>
      </c>
      <c r="D2574" s="20">
        <v>6367227</v>
      </c>
      <c r="E2574" s="27" t="s">
        <v>191</v>
      </c>
      <c r="F2574" s="7" t="s">
        <v>107</v>
      </c>
      <c r="G2574" s="7" t="s">
        <v>10</v>
      </c>
      <c r="H2574" s="7" t="s">
        <v>45</v>
      </c>
      <c r="I2574" s="20" t="s">
        <v>3783</v>
      </c>
      <c r="J2574" s="20" t="s">
        <v>3784</v>
      </c>
      <c r="K2574" s="7" t="s">
        <v>119</v>
      </c>
      <c r="L2574" s="61">
        <v>45916</v>
      </c>
      <c r="M2574" s="7" t="s">
        <v>111</v>
      </c>
      <c r="N2574" s="24">
        <v>45918</v>
      </c>
      <c r="O2574" s="24">
        <v>45918</v>
      </c>
      <c r="P2574" s="59"/>
      <c r="Q2574" s="124" t="e">
        <f>P2574*#REF!</f>
        <v>#REF!</v>
      </c>
      <c r="R2574" s="126">
        <v>45918</v>
      </c>
    </row>
    <row r="2575" spans="2:18" ht="17.25" hidden="1" customHeight="1">
      <c r="B2575" s="23">
        <v>45915</v>
      </c>
      <c r="C2575" s="7">
        <v>2003619506</v>
      </c>
      <c r="D2575" s="20">
        <v>6367364</v>
      </c>
      <c r="E2575" s="27" t="s">
        <v>191</v>
      </c>
      <c r="F2575" s="7" t="s">
        <v>107</v>
      </c>
      <c r="G2575" s="7" t="s">
        <v>10</v>
      </c>
      <c r="H2575" s="7" t="s">
        <v>45</v>
      </c>
      <c r="I2575" s="20" t="s">
        <v>3785</v>
      </c>
      <c r="J2575" s="20" t="s">
        <v>3786</v>
      </c>
      <c r="K2575" s="7" t="s">
        <v>110</v>
      </c>
      <c r="L2575" s="61">
        <v>45919</v>
      </c>
      <c r="M2575" s="7" t="s">
        <v>111</v>
      </c>
      <c r="N2575" s="61">
        <v>45922</v>
      </c>
      <c r="O2575" s="61">
        <v>45922</v>
      </c>
      <c r="P2575" s="59"/>
      <c r="Q2575" s="124" t="e">
        <f>P2575*#REF!</f>
        <v>#REF!</v>
      </c>
      <c r="R2575" s="126">
        <v>45923</v>
      </c>
    </row>
    <row r="2576" spans="2:18" ht="17.25" hidden="1" customHeight="1">
      <c r="B2576" s="23">
        <v>45915</v>
      </c>
      <c r="C2576" s="7">
        <v>2003694539</v>
      </c>
      <c r="D2576" s="20">
        <v>6367569</v>
      </c>
      <c r="E2576" s="27" t="s">
        <v>149</v>
      </c>
      <c r="F2576" s="7" t="s">
        <v>107</v>
      </c>
      <c r="G2576" s="7" t="s">
        <v>21</v>
      </c>
      <c r="H2576" s="7" t="s">
        <v>45</v>
      </c>
      <c r="I2576" s="20" t="s">
        <v>3787</v>
      </c>
      <c r="J2576" s="20" t="s">
        <v>3091</v>
      </c>
      <c r="K2576" s="7" t="s">
        <v>110</v>
      </c>
      <c r="L2576" s="61">
        <v>45916</v>
      </c>
      <c r="M2576" s="7" t="s">
        <v>111</v>
      </c>
      <c r="N2576" s="61">
        <v>45916</v>
      </c>
      <c r="O2576" s="61">
        <v>45916</v>
      </c>
      <c r="P2576" s="59"/>
      <c r="Q2576" s="124" t="e">
        <f>P2576*#REF!</f>
        <v>#REF!</v>
      </c>
      <c r="R2576" s="126">
        <v>45918</v>
      </c>
    </row>
    <row r="2577" spans="2:18" ht="17.25" hidden="1" customHeight="1">
      <c r="B2577" s="23">
        <v>45916</v>
      </c>
      <c r="C2577" s="7">
        <v>2003715950</v>
      </c>
      <c r="D2577" s="20">
        <v>6367649</v>
      </c>
      <c r="E2577" s="27" t="s">
        <v>201</v>
      </c>
      <c r="F2577" s="7" t="s">
        <v>107</v>
      </c>
      <c r="G2577" s="7" t="s">
        <v>21</v>
      </c>
      <c r="H2577" s="7" t="s">
        <v>42</v>
      </c>
      <c r="I2577" s="20" t="s">
        <v>282</v>
      </c>
      <c r="J2577" s="20" t="s">
        <v>3366</v>
      </c>
      <c r="K2577" s="7" t="s">
        <v>119</v>
      </c>
      <c r="L2577" s="61">
        <v>45918</v>
      </c>
      <c r="M2577" s="7" t="s">
        <v>111</v>
      </c>
      <c r="N2577" s="61">
        <v>45918</v>
      </c>
      <c r="O2577" s="61">
        <v>45918</v>
      </c>
      <c r="P2577" s="59"/>
      <c r="Q2577" s="124" t="e">
        <f>P2577*#REF!</f>
        <v>#REF!</v>
      </c>
    </row>
    <row r="2578" spans="2:18" ht="17.25" hidden="1" customHeight="1">
      <c r="B2578" s="23">
        <v>45916</v>
      </c>
      <c r="C2578" s="7">
        <v>2003770937</v>
      </c>
      <c r="D2578" s="20">
        <v>6367956</v>
      </c>
      <c r="E2578" s="27" t="s">
        <v>149</v>
      </c>
      <c r="F2578" s="7" t="s">
        <v>107</v>
      </c>
      <c r="G2578" s="7" t="s">
        <v>18</v>
      </c>
      <c r="H2578" s="7" t="s">
        <v>45</v>
      </c>
      <c r="I2578" s="20" t="s">
        <v>938</v>
      </c>
      <c r="J2578" s="20" t="s">
        <v>3788</v>
      </c>
      <c r="K2578" s="7" t="s">
        <v>119</v>
      </c>
      <c r="L2578" s="61">
        <v>45917</v>
      </c>
      <c r="M2578" s="7" t="s">
        <v>111</v>
      </c>
      <c r="N2578" s="61">
        <v>45917</v>
      </c>
      <c r="O2578" s="61">
        <v>45917</v>
      </c>
      <c r="P2578" s="59"/>
      <c r="Q2578" s="124" t="e">
        <f>P2578*#REF!</f>
        <v>#REF!</v>
      </c>
      <c r="R2578" s="126">
        <v>45918</v>
      </c>
    </row>
    <row r="2579" spans="2:18" ht="17.25" hidden="1" customHeight="1">
      <c r="B2579" s="23">
        <v>45916</v>
      </c>
      <c r="C2579" s="7">
        <v>2003738107</v>
      </c>
      <c r="D2579" s="20">
        <v>6368062</v>
      </c>
      <c r="E2579" s="27" t="s">
        <v>135</v>
      </c>
      <c r="F2579" s="7" t="s">
        <v>113</v>
      </c>
      <c r="G2579" s="7" t="s">
        <v>70</v>
      </c>
      <c r="H2579" s="7" t="s">
        <v>47</v>
      </c>
      <c r="I2579" s="20" t="s">
        <v>1343</v>
      </c>
      <c r="J2579" s="20" t="s">
        <v>3789</v>
      </c>
      <c r="K2579" s="7" t="s">
        <v>160</v>
      </c>
      <c r="P2579" s="59"/>
      <c r="Q2579" s="124" t="e">
        <f>P2579*#REF!</f>
        <v>#REF!</v>
      </c>
      <c r="R2579" s="126">
        <v>45929</v>
      </c>
    </row>
    <row r="2580" spans="2:18" ht="17.25" hidden="1" customHeight="1">
      <c r="B2580" s="23">
        <v>45916</v>
      </c>
      <c r="C2580" s="7">
        <v>2003779535</v>
      </c>
      <c r="D2580" s="20">
        <v>6368062</v>
      </c>
      <c r="E2580" s="27" t="s">
        <v>180</v>
      </c>
      <c r="F2580" s="7" t="s">
        <v>107</v>
      </c>
      <c r="G2580" s="7" t="s">
        <v>18</v>
      </c>
      <c r="H2580" s="7" t="s">
        <v>45</v>
      </c>
      <c r="I2580" s="20" t="s">
        <v>1000</v>
      </c>
      <c r="J2580" s="20" t="s">
        <v>3790</v>
      </c>
      <c r="K2580" s="7" t="s">
        <v>111</v>
      </c>
      <c r="L2580" s="61">
        <v>45917</v>
      </c>
      <c r="M2580" s="7" t="s">
        <v>111</v>
      </c>
      <c r="N2580" s="61">
        <v>45917</v>
      </c>
      <c r="O2580" s="58">
        <v>45929</v>
      </c>
      <c r="P2580" s="59"/>
      <c r="Q2580" s="124" t="e">
        <f>P2580*#REF!</f>
        <v>#REF!</v>
      </c>
      <c r="R2580" s="126">
        <v>45929</v>
      </c>
    </row>
    <row r="2581" spans="2:18" ht="17.25" hidden="1" customHeight="1">
      <c r="B2581" s="23">
        <v>45916</v>
      </c>
      <c r="C2581" s="7">
        <v>2003791967</v>
      </c>
      <c r="D2581" s="20">
        <v>6368152</v>
      </c>
      <c r="E2581" s="27" t="s">
        <v>123</v>
      </c>
      <c r="F2581" s="7" t="s">
        <v>107</v>
      </c>
      <c r="G2581" s="7" t="s">
        <v>18</v>
      </c>
      <c r="H2581" s="7" t="s">
        <v>45</v>
      </c>
      <c r="I2581" s="20" t="s">
        <v>3791</v>
      </c>
      <c r="J2581" s="20" t="s">
        <v>3792</v>
      </c>
      <c r="K2581" s="7" t="s">
        <v>110</v>
      </c>
      <c r="L2581" s="61">
        <v>45918</v>
      </c>
      <c r="M2581" s="7" t="s">
        <v>111</v>
      </c>
      <c r="N2581" s="61">
        <v>45918</v>
      </c>
      <c r="O2581" s="58">
        <v>45922</v>
      </c>
      <c r="P2581" s="59"/>
      <c r="Q2581" s="124" t="e">
        <f>P2581*#REF!</f>
        <v>#REF!</v>
      </c>
      <c r="R2581" s="126">
        <v>45922</v>
      </c>
    </row>
    <row r="2582" spans="2:18" ht="17.25" hidden="1" customHeight="1">
      <c r="B2582" s="23">
        <v>45916</v>
      </c>
      <c r="C2582" s="7">
        <v>2003793291</v>
      </c>
      <c r="D2582" s="20">
        <v>6368200</v>
      </c>
      <c r="E2582" s="27" t="s">
        <v>126</v>
      </c>
      <c r="F2582" s="7" t="s">
        <v>107</v>
      </c>
      <c r="G2582" s="7" t="s">
        <v>10</v>
      </c>
      <c r="H2582" s="7" t="s">
        <v>45</v>
      </c>
      <c r="I2582" s="20" t="s">
        <v>1348</v>
      </c>
      <c r="J2582" s="20" t="s">
        <v>3793</v>
      </c>
      <c r="K2582" s="7" t="s">
        <v>110</v>
      </c>
      <c r="L2582" s="61">
        <v>45918</v>
      </c>
      <c r="M2582" s="7" t="s">
        <v>111</v>
      </c>
      <c r="N2582" s="61">
        <v>45918</v>
      </c>
      <c r="O2582" s="58">
        <v>45922</v>
      </c>
      <c r="P2582" s="59"/>
      <c r="Q2582" s="124" t="e">
        <f>P2582*#REF!</f>
        <v>#REF!</v>
      </c>
      <c r="R2582" s="126">
        <v>45922</v>
      </c>
    </row>
    <row r="2583" spans="2:18" ht="17.25" hidden="1" customHeight="1">
      <c r="B2583" s="23">
        <v>45918</v>
      </c>
      <c r="C2583" s="7">
        <v>2003728752</v>
      </c>
      <c r="D2583" s="20">
        <v>291971</v>
      </c>
      <c r="E2583" s="27" t="s">
        <v>3586</v>
      </c>
      <c r="F2583" s="7" t="s">
        <v>107</v>
      </c>
      <c r="G2583" s="7" t="s">
        <v>10</v>
      </c>
      <c r="H2583" s="7" t="s">
        <v>45</v>
      </c>
      <c r="I2583" s="20" t="s">
        <v>3794</v>
      </c>
      <c r="J2583" s="20" t="s">
        <v>3665</v>
      </c>
      <c r="K2583" s="7" t="s">
        <v>119</v>
      </c>
      <c r="L2583" s="61">
        <v>45919</v>
      </c>
      <c r="M2583" s="7" t="s">
        <v>111</v>
      </c>
      <c r="N2583" s="24">
        <v>45925</v>
      </c>
      <c r="O2583" s="58">
        <v>45929</v>
      </c>
      <c r="P2583" s="59"/>
      <c r="Q2583" s="124" t="e">
        <f>P2583*#REF!</f>
        <v>#REF!</v>
      </c>
      <c r="R2583" s="126">
        <v>45929</v>
      </c>
    </row>
    <row r="2584" spans="2:18" ht="17.25" hidden="1" customHeight="1">
      <c r="B2584" s="23">
        <v>45916</v>
      </c>
      <c r="C2584" s="7">
        <v>2003773078</v>
      </c>
      <c r="D2584" s="20">
        <v>6368236</v>
      </c>
      <c r="E2584" s="27" t="s">
        <v>185</v>
      </c>
      <c r="F2584" s="7" t="s">
        <v>107</v>
      </c>
      <c r="G2584" s="7" t="s">
        <v>10</v>
      </c>
      <c r="H2584" s="7" t="s">
        <v>45</v>
      </c>
      <c r="I2584" s="20" t="s">
        <v>1306</v>
      </c>
      <c r="J2584" s="20" t="s">
        <v>3511</v>
      </c>
      <c r="K2584" s="7" t="s">
        <v>119</v>
      </c>
      <c r="L2584" s="61">
        <v>45918</v>
      </c>
      <c r="M2584" s="7" t="s">
        <v>111</v>
      </c>
      <c r="N2584" s="24">
        <v>45922</v>
      </c>
      <c r="O2584" s="58">
        <v>45925</v>
      </c>
      <c r="P2584" s="59"/>
      <c r="Q2584" s="124" t="e">
        <f>P2584*#REF!</f>
        <v>#REF!</v>
      </c>
      <c r="R2584" s="126">
        <v>45929</v>
      </c>
    </row>
    <row r="2585" spans="2:18" ht="17.25" hidden="1" customHeight="1">
      <c r="B2585" s="23">
        <v>45916</v>
      </c>
      <c r="C2585" s="7">
        <v>2003793916</v>
      </c>
      <c r="D2585" s="20">
        <v>6368335</v>
      </c>
      <c r="E2585" s="27" t="s">
        <v>1225</v>
      </c>
      <c r="F2585" s="7" t="s">
        <v>107</v>
      </c>
      <c r="G2585" s="7" t="s">
        <v>10</v>
      </c>
      <c r="H2585" s="7" t="s">
        <v>45</v>
      </c>
      <c r="I2585" s="20" t="s">
        <v>136</v>
      </c>
      <c r="J2585" s="20" t="s">
        <v>3795</v>
      </c>
      <c r="K2585" s="7" t="s">
        <v>119</v>
      </c>
      <c r="L2585" s="61">
        <v>45918</v>
      </c>
      <c r="M2585" s="7" t="s">
        <v>111</v>
      </c>
      <c r="N2585" s="61">
        <v>45918</v>
      </c>
      <c r="O2585" s="61">
        <v>45918</v>
      </c>
      <c r="P2585" s="59"/>
      <c r="Q2585" s="124" t="e">
        <f>P2585*#REF!</f>
        <v>#REF!</v>
      </c>
      <c r="R2585" s="126">
        <v>45918</v>
      </c>
    </row>
    <row r="2586" spans="2:18" ht="17.25" hidden="1" customHeight="1">
      <c r="B2586" s="23">
        <v>45918</v>
      </c>
      <c r="C2586" s="7">
        <v>2003658346</v>
      </c>
      <c r="D2586" s="20">
        <v>291540</v>
      </c>
      <c r="E2586" s="27" t="s">
        <v>123</v>
      </c>
      <c r="F2586" s="7" t="s">
        <v>107</v>
      </c>
      <c r="G2586" s="7" t="s">
        <v>15</v>
      </c>
      <c r="H2586" s="7" t="s">
        <v>45</v>
      </c>
      <c r="I2586" s="20" t="s">
        <v>3796</v>
      </c>
      <c r="J2586" s="20" t="s">
        <v>3797</v>
      </c>
      <c r="K2586" s="7" t="s">
        <v>119</v>
      </c>
      <c r="L2586" s="61">
        <v>45922</v>
      </c>
      <c r="M2586" s="7" t="s">
        <v>111</v>
      </c>
      <c r="N2586" s="24">
        <v>45925</v>
      </c>
      <c r="O2586" s="58">
        <v>45929</v>
      </c>
      <c r="P2586" s="59"/>
      <c r="Q2586" s="124" t="e">
        <f>P2586*#REF!</f>
        <v>#REF!</v>
      </c>
      <c r="R2586" s="126">
        <v>45929</v>
      </c>
    </row>
    <row r="2587" spans="2:18" ht="17.25" hidden="1" customHeight="1">
      <c r="B2587" s="23">
        <v>45916</v>
      </c>
      <c r="C2587" s="7">
        <v>2003720379</v>
      </c>
      <c r="D2587" s="20">
        <v>257722</v>
      </c>
      <c r="E2587" s="27" t="s">
        <v>892</v>
      </c>
      <c r="F2587" s="7" t="s">
        <v>113</v>
      </c>
      <c r="G2587" s="7" t="s">
        <v>70</v>
      </c>
      <c r="H2587" s="7" t="s">
        <v>47</v>
      </c>
      <c r="I2587" s="20" t="s">
        <v>3798</v>
      </c>
      <c r="J2587" s="20" t="s">
        <v>3799</v>
      </c>
      <c r="K2587" s="7" t="s">
        <v>160</v>
      </c>
      <c r="L2587" s="61">
        <v>45929</v>
      </c>
      <c r="M2587" s="7" t="s">
        <v>111</v>
      </c>
      <c r="N2587" s="24">
        <v>45929</v>
      </c>
      <c r="O2587" s="58">
        <v>45929</v>
      </c>
      <c r="P2587" s="59"/>
      <c r="Q2587" s="124" t="e">
        <f>P2587*#REF!</f>
        <v>#REF!</v>
      </c>
      <c r="R2587" s="126">
        <v>45929</v>
      </c>
    </row>
    <row r="2588" spans="2:18" ht="17.25" hidden="1" customHeight="1">
      <c r="B2588" s="23">
        <v>45916</v>
      </c>
      <c r="C2588" s="7">
        <v>2003752340</v>
      </c>
      <c r="D2588" s="20">
        <v>287738</v>
      </c>
      <c r="E2588" s="27" t="s">
        <v>177</v>
      </c>
      <c r="F2588" s="7" t="s">
        <v>107</v>
      </c>
      <c r="G2588" s="7" t="s">
        <v>18</v>
      </c>
      <c r="H2588" s="7" t="s">
        <v>45</v>
      </c>
      <c r="I2588" s="20" t="s">
        <v>2895</v>
      </c>
      <c r="J2588" s="20" t="s">
        <v>3402</v>
      </c>
      <c r="K2588" s="7" t="s">
        <v>110</v>
      </c>
      <c r="L2588" s="61">
        <v>45917</v>
      </c>
      <c r="M2588" s="7" t="s">
        <v>111</v>
      </c>
      <c r="N2588" s="61">
        <v>45917</v>
      </c>
      <c r="O2588" s="61">
        <v>45918</v>
      </c>
      <c r="P2588" s="59"/>
      <c r="Q2588" s="124" t="e">
        <f>P2588*#REF!</f>
        <v>#REF!</v>
      </c>
      <c r="R2588" s="126">
        <v>45918</v>
      </c>
    </row>
    <row r="2589" spans="2:18" ht="17.25" hidden="1" customHeight="1">
      <c r="B2589" s="23">
        <v>45916</v>
      </c>
      <c r="C2589" s="7">
        <v>2003790982</v>
      </c>
      <c r="D2589" s="20">
        <v>289472</v>
      </c>
      <c r="E2589" s="27" t="s">
        <v>185</v>
      </c>
      <c r="F2589" s="7" t="s">
        <v>107</v>
      </c>
      <c r="G2589" s="7" t="s">
        <v>18</v>
      </c>
      <c r="H2589" s="7" t="s">
        <v>45</v>
      </c>
      <c r="I2589" s="20" t="s">
        <v>453</v>
      </c>
      <c r="J2589" s="20" t="s">
        <v>3800</v>
      </c>
      <c r="K2589" s="7" t="s">
        <v>110</v>
      </c>
      <c r="L2589" s="61">
        <v>45918</v>
      </c>
      <c r="M2589" s="7" t="s">
        <v>111</v>
      </c>
      <c r="N2589" s="61">
        <v>45918</v>
      </c>
      <c r="O2589" s="61">
        <v>45918</v>
      </c>
      <c r="P2589" s="59"/>
      <c r="Q2589" s="124" t="e">
        <f>P2589*#REF!</f>
        <v>#REF!</v>
      </c>
      <c r="R2589" s="126">
        <v>45918</v>
      </c>
    </row>
    <row r="2590" spans="2:18" ht="17.25" hidden="1" customHeight="1">
      <c r="B2590" s="23">
        <v>45916</v>
      </c>
      <c r="C2590" s="7">
        <v>2003788503</v>
      </c>
      <c r="D2590" s="20">
        <v>289464</v>
      </c>
      <c r="E2590" s="27" t="s">
        <v>185</v>
      </c>
      <c r="F2590" s="7" t="s">
        <v>107</v>
      </c>
      <c r="G2590" s="7" t="s">
        <v>10</v>
      </c>
      <c r="H2590" s="7" t="s">
        <v>45</v>
      </c>
      <c r="I2590" s="20" t="s">
        <v>2708</v>
      </c>
      <c r="J2590" s="20" t="s">
        <v>3801</v>
      </c>
      <c r="K2590" s="7" t="s">
        <v>110</v>
      </c>
      <c r="L2590" s="61">
        <v>45922</v>
      </c>
      <c r="M2590" s="7" t="s">
        <v>111</v>
      </c>
      <c r="N2590" s="61">
        <v>45922</v>
      </c>
      <c r="O2590" s="58">
        <v>45923</v>
      </c>
      <c r="P2590" s="59"/>
      <c r="Q2590" s="124" t="e">
        <f>P2590*#REF!</f>
        <v>#REF!</v>
      </c>
      <c r="R2590" s="126">
        <v>45925</v>
      </c>
    </row>
    <row r="2591" spans="2:18" ht="17.25" hidden="1" customHeight="1">
      <c r="B2591" s="23">
        <v>45916</v>
      </c>
      <c r="C2591" s="7">
        <v>2003792433</v>
      </c>
      <c r="D2591" s="20">
        <v>289398</v>
      </c>
      <c r="E2591" s="27" t="s">
        <v>201</v>
      </c>
      <c r="F2591" s="7" t="s">
        <v>107</v>
      </c>
      <c r="G2591" s="7" t="s">
        <v>10</v>
      </c>
      <c r="H2591" s="7" t="s">
        <v>45</v>
      </c>
      <c r="I2591" s="20" t="s">
        <v>657</v>
      </c>
      <c r="J2591" s="20" t="s">
        <v>3802</v>
      </c>
      <c r="K2591" s="7" t="s">
        <v>110</v>
      </c>
      <c r="L2591" s="61">
        <v>45918</v>
      </c>
      <c r="M2591" s="7" t="s">
        <v>111</v>
      </c>
      <c r="N2591" s="61">
        <v>45918</v>
      </c>
      <c r="O2591" s="58">
        <v>45922</v>
      </c>
      <c r="P2591" s="59"/>
      <c r="Q2591" s="124" t="e">
        <f>P2591*#REF!</f>
        <v>#REF!</v>
      </c>
      <c r="R2591" s="126">
        <v>45922</v>
      </c>
    </row>
    <row r="2592" spans="2:18" ht="17.25" hidden="1" customHeight="1">
      <c r="B2592" s="23">
        <v>45916</v>
      </c>
      <c r="C2592" s="7">
        <v>2003790709</v>
      </c>
      <c r="D2592" s="20">
        <v>289176</v>
      </c>
      <c r="E2592" s="27" t="s">
        <v>143</v>
      </c>
      <c r="F2592" s="7" t="s">
        <v>107</v>
      </c>
      <c r="G2592" s="7" t="s">
        <v>10</v>
      </c>
      <c r="H2592" s="7" t="s">
        <v>45</v>
      </c>
      <c r="I2592" s="20" t="s">
        <v>1831</v>
      </c>
      <c r="J2592" s="20" t="s">
        <v>3803</v>
      </c>
      <c r="K2592" s="7" t="s">
        <v>110</v>
      </c>
      <c r="L2592" s="61">
        <v>45917</v>
      </c>
      <c r="M2592" s="7" t="s">
        <v>111</v>
      </c>
      <c r="N2592" s="61">
        <v>45917</v>
      </c>
      <c r="O2592" s="61">
        <v>45918</v>
      </c>
      <c r="P2592" s="59"/>
      <c r="Q2592" s="124" t="e">
        <f>P2592*#REF!</f>
        <v>#REF!</v>
      </c>
      <c r="R2592" s="126">
        <v>45918</v>
      </c>
    </row>
    <row r="2593" spans="2:18" ht="17.25" hidden="1" customHeight="1">
      <c r="B2593" s="23">
        <v>45916</v>
      </c>
      <c r="C2593" s="7">
        <v>2003785507</v>
      </c>
      <c r="D2593" s="20">
        <v>289090</v>
      </c>
      <c r="E2593" s="27" t="s">
        <v>180</v>
      </c>
      <c r="F2593" s="7" t="s">
        <v>107</v>
      </c>
      <c r="G2593" s="7" t="s">
        <v>18</v>
      </c>
      <c r="H2593" s="7" t="s">
        <v>45</v>
      </c>
      <c r="I2593" s="20" t="s">
        <v>3804</v>
      </c>
      <c r="J2593" s="20" t="s">
        <v>3805</v>
      </c>
      <c r="K2593" s="7" t="s">
        <v>111</v>
      </c>
      <c r="L2593" s="61">
        <v>45923</v>
      </c>
      <c r="M2593" s="7" t="s">
        <v>111</v>
      </c>
      <c r="N2593" s="61">
        <v>45923</v>
      </c>
      <c r="O2593" s="58">
        <v>45925</v>
      </c>
      <c r="P2593" s="59"/>
      <c r="Q2593" s="124" t="e">
        <f>P2593*#REF!</f>
        <v>#REF!</v>
      </c>
      <c r="R2593" s="126">
        <v>45925</v>
      </c>
    </row>
    <row r="2594" spans="2:18" ht="17.25" hidden="1" customHeight="1">
      <c r="B2594" s="23">
        <v>45916</v>
      </c>
      <c r="C2594" s="7">
        <v>2003680093</v>
      </c>
      <c r="D2594" s="20">
        <v>288720</v>
      </c>
      <c r="E2594" s="27" t="s">
        <v>949</v>
      </c>
      <c r="F2594" s="7" t="s">
        <v>107</v>
      </c>
      <c r="G2594" s="7" t="s">
        <v>21</v>
      </c>
      <c r="H2594" s="7" t="s">
        <v>45</v>
      </c>
      <c r="I2594" s="20" t="s">
        <v>2933</v>
      </c>
      <c r="J2594" s="20" t="s">
        <v>2934</v>
      </c>
      <c r="K2594" s="7" t="s">
        <v>119</v>
      </c>
      <c r="L2594" s="61">
        <v>45925</v>
      </c>
      <c r="M2594" s="7" t="s">
        <v>111</v>
      </c>
      <c r="N2594" s="24">
        <v>45927</v>
      </c>
      <c r="O2594" s="24">
        <v>45927</v>
      </c>
      <c r="P2594" s="59"/>
      <c r="Q2594" s="124" t="e">
        <f>P2594*#REF!</f>
        <v>#REF!</v>
      </c>
      <c r="R2594" s="126">
        <v>45929</v>
      </c>
    </row>
    <row r="2595" spans="2:18" ht="17.25" hidden="1" customHeight="1">
      <c r="B2595" s="23">
        <v>45916</v>
      </c>
      <c r="C2595" s="7">
        <v>2003786531</v>
      </c>
      <c r="D2595" s="20">
        <v>288503</v>
      </c>
      <c r="E2595" s="27" t="s">
        <v>138</v>
      </c>
      <c r="F2595" s="7" t="s">
        <v>107</v>
      </c>
      <c r="G2595" s="7" t="s">
        <v>10</v>
      </c>
      <c r="H2595" s="7" t="s">
        <v>45</v>
      </c>
      <c r="I2595" s="20" t="s">
        <v>3806</v>
      </c>
      <c r="J2595" s="20" t="s">
        <v>3807</v>
      </c>
      <c r="K2595" s="7" t="s">
        <v>119</v>
      </c>
      <c r="L2595" s="61">
        <v>45917</v>
      </c>
      <c r="M2595" s="7" t="s">
        <v>111</v>
      </c>
      <c r="N2595" s="24">
        <v>45924</v>
      </c>
      <c r="O2595" s="24">
        <v>45924</v>
      </c>
      <c r="P2595" s="59"/>
      <c r="Q2595" s="124" t="e">
        <f>P2595*#REF!</f>
        <v>#REF!</v>
      </c>
      <c r="R2595" s="126">
        <v>45925</v>
      </c>
    </row>
    <row r="2596" spans="2:18" ht="17.25" hidden="1" customHeight="1">
      <c r="B2596" s="23">
        <v>45916</v>
      </c>
      <c r="C2596" s="7">
        <v>2003731072</v>
      </c>
      <c r="D2596" s="20">
        <v>288129</v>
      </c>
      <c r="E2596" s="27" t="s">
        <v>389</v>
      </c>
      <c r="F2596" s="7" t="s">
        <v>107</v>
      </c>
      <c r="G2596" s="7" t="s">
        <v>21</v>
      </c>
      <c r="H2596" s="7" t="s">
        <v>45</v>
      </c>
      <c r="I2596" s="20" t="s">
        <v>923</v>
      </c>
      <c r="J2596" s="20" t="s">
        <v>2433</v>
      </c>
      <c r="K2596" s="7" t="s">
        <v>119</v>
      </c>
      <c r="L2596" s="61">
        <v>45917</v>
      </c>
      <c r="M2596" s="7" t="s">
        <v>111</v>
      </c>
      <c r="N2596" s="61">
        <v>45917</v>
      </c>
      <c r="O2596" s="61">
        <v>45918</v>
      </c>
      <c r="P2596" s="59"/>
      <c r="Q2596" s="124" t="e">
        <f>P2596*#REF!</f>
        <v>#REF!</v>
      </c>
      <c r="R2596" s="126">
        <v>45918</v>
      </c>
    </row>
    <row r="2597" spans="2:18" ht="17.25" hidden="1" customHeight="1">
      <c r="B2597" s="23">
        <v>45916</v>
      </c>
      <c r="C2597" s="7">
        <v>2003769127</v>
      </c>
      <c r="D2597" s="20">
        <v>287766</v>
      </c>
      <c r="E2597" s="27" t="s">
        <v>201</v>
      </c>
      <c r="F2597" s="7" t="s">
        <v>107</v>
      </c>
      <c r="G2597" s="7" t="s">
        <v>18</v>
      </c>
      <c r="H2597" s="7" t="s">
        <v>45</v>
      </c>
      <c r="I2597" s="20" t="s">
        <v>2000</v>
      </c>
      <c r="J2597" s="20" t="s">
        <v>3808</v>
      </c>
      <c r="K2597" s="7" t="s">
        <v>110</v>
      </c>
      <c r="L2597" s="61">
        <v>45918</v>
      </c>
      <c r="M2597" s="7" t="s">
        <v>111</v>
      </c>
      <c r="N2597" s="61">
        <v>45918</v>
      </c>
      <c r="O2597" s="58">
        <v>45922</v>
      </c>
      <c r="P2597" s="59"/>
      <c r="Q2597" s="124" t="e">
        <f>P2597*#REF!</f>
        <v>#REF!</v>
      </c>
      <c r="R2597" s="126">
        <v>45922</v>
      </c>
    </row>
    <row r="2598" spans="2:18" ht="17.25" hidden="1" customHeight="1">
      <c r="B2598" s="23">
        <v>45916</v>
      </c>
      <c r="C2598" s="7">
        <v>2003792493</v>
      </c>
      <c r="D2598" s="20">
        <v>287758</v>
      </c>
      <c r="E2598" s="27" t="s">
        <v>201</v>
      </c>
      <c r="F2598" s="7" t="s">
        <v>107</v>
      </c>
      <c r="G2598" s="7" t="s">
        <v>18</v>
      </c>
      <c r="H2598" s="7" t="s">
        <v>45</v>
      </c>
      <c r="I2598" s="20" t="s">
        <v>3809</v>
      </c>
      <c r="J2598" s="20" t="s">
        <v>3810</v>
      </c>
      <c r="K2598" s="7" t="s">
        <v>119</v>
      </c>
      <c r="L2598" s="61">
        <v>45917</v>
      </c>
      <c r="M2598" s="7" t="s">
        <v>111</v>
      </c>
      <c r="N2598" s="61">
        <v>45917</v>
      </c>
      <c r="O2598" s="61">
        <v>45918</v>
      </c>
      <c r="P2598" s="59"/>
      <c r="Q2598" s="124" t="e">
        <f>P2598*#REF!</f>
        <v>#REF!</v>
      </c>
      <c r="R2598" s="126">
        <v>45918</v>
      </c>
    </row>
    <row r="2599" spans="2:18" ht="17.25" hidden="1" customHeight="1">
      <c r="B2599" s="23">
        <v>45917</v>
      </c>
      <c r="C2599" s="7">
        <v>2003789890</v>
      </c>
      <c r="D2599" s="20">
        <v>290865</v>
      </c>
      <c r="E2599" s="27" t="s">
        <v>3189</v>
      </c>
      <c r="F2599" s="7" t="s">
        <v>107</v>
      </c>
      <c r="G2599" s="7" t="s">
        <v>10</v>
      </c>
      <c r="H2599" s="7" t="s">
        <v>45</v>
      </c>
      <c r="I2599" s="20" t="s">
        <v>220</v>
      </c>
      <c r="J2599" s="20" t="s">
        <v>2063</v>
      </c>
      <c r="K2599" s="7" t="s">
        <v>119</v>
      </c>
      <c r="L2599" s="61">
        <v>45918</v>
      </c>
      <c r="M2599" s="7" t="s">
        <v>111</v>
      </c>
      <c r="N2599" s="24">
        <v>45922</v>
      </c>
      <c r="O2599" s="24">
        <v>45922</v>
      </c>
      <c r="P2599" s="59"/>
      <c r="Q2599" s="124" t="e">
        <f>P2599*#REF!</f>
        <v>#REF!</v>
      </c>
      <c r="R2599" s="126">
        <v>45923</v>
      </c>
    </row>
    <row r="2600" spans="2:18" ht="17.25" hidden="1" customHeight="1">
      <c r="B2600" s="23">
        <v>45917</v>
      </c>
      <c r="C2600" s="7">
        <v>2003588305</v>
      </c>
      <c r="D2600" s="20">
        <v>290465</v>
      </c>
      <c r="E2600" s="27" t="s">
        <v>123</v>
      </c>
      <c r="F2600" s="7" t="s">
        <v>107</v>
      </c>
      <c r="G2600" s="7" t="s">
        <v>21</v>
      </c>
      <c r="H2600" s="7" t="s">
        <v>45</v>
      </c>
      <c r="I2600" s="20" t="s">
        <v>608</v>
      </c>
      <c r="J2600" s="20" t="s">
        <v>860</v>
      </c>
      <c r="K2600" s="7" t="s">
        <v>119</v>
      </c>
      <c r="L2600" s="61">
        <v>45918</v>
      </c>
      <c r="M2600" s="7" t="s">
        <v>111</v>
      </c>
      <c r="N2600" s="61">
        <v>45922</v>
      </c>
      <c r="O2600" s="61">
        <v>45922</v>
      </c>
      <c r="P2600" s="59"/>
      <c r="Q2600" s="124" t="e">
        <f>P2600*#REF!</f>
        <v>#REF!</v>
      </c>
      <c r="R2600" s="126">
        <v>45923</v>
      </c>
    </row>
    <row r="2601" spans="2:18" ht="17.25" hidden="1" customHeight="1">
      <c r="B2601" s="23">
        <v>45917</v>
      </c>
      <c r="C2601" s="7">
        <v>2003793816</v>
      </c>
      <c r="D2601" s="20">
        <v>290454</v>
      </c>
      <c r="E2601" s="27" t="s">
        <v>123</v>
      </c>
      <c r="F2601" s="7" t="s">
        <v>107</v>
      </c>
      <c r="G2601" s="7" t="s">
        <v>18</v>
      </c>
      <c r="H2601" s="7" t="s">
        <v>45</v>
      </c>
      <c r="I2601" s="20" t="s">
        <v>1319</v>
      </c>
      <c r="J2601" s="20" t="s">
        <v>3811</v>
      </c>
      <c r="K2601" s="7" t="s">
        <v>119</v>
      </c>
      <c r="L2601" s="61">
        <v>45925</v>
      </c>
      <c r="M2601" s="7" t="s">
        <v>111</v>
      </c>
      <c r="N2601" s="24">
        <v>45927</v>
      </c>
      <c r="O2601" s="24">
        <v>45927</v>
      </c>
      <c r="P2601" s="59"/>
      <c r="Q2601" s="124" t="e">
        <f>P2601*#REF!</f>
        <v>#REF!</v>
      </c>
      <c r="R2601" s="126">
        <v>45929</v>
      </c>
    </row>
    <row r="2602" spans="2:18" ht="17.25" hidden="1" customHeight="1">
      <c r="B2602" s="23">
        <v>45917</v>
      </c>
      <c r="C2602" s="7">
        <v>2003784752</v>
      </c>
      <c r="D2602" s="20">
        <v>290120</v>
      </c>
      <c r="E2602" s="27" t="s">
        <v>152</v>
      </c>
      <c r="F2602" s="7" t="s">
        <v>113</v>
      </c>
      <c r="G2602" s="7" t="s">
        <v>70</v>
      </c>
      <c r="H2602" s="7" t="s">
        <v>47</v>
      </c>
      <c r="I2602" s="20" t="s">
        <v>1831</v>
      </c>
      <c r="J2602" s="20" t="s">
        <v>3812</v>
      </c>
      <c r="K2602" s="7" t="s">
        <v>119</v>
      </c>
      <c r="L2602" s="61">
        <v>45924</v>
      </c>
      <c r="M2602" s="7" t="s">
        <v>111</v>
      </c>
      <c r="N2602" s="24">
        <v>45924</v>
      </c>
      <c r="O2602" s="58">
        <v>45924</v>
      </c>
      <c r="P2602" s="59"/>
      <c r="Q2602" s="124" t="e">
        <f>P2602*#REF!</f>
        <v>#REF!</v>
      </c>
      <c r="R2602" s="126">
        <v>45924</v>
      </c>
    </row>
    <row r="2603" spans="2:18" ht="17.25" hidden="1" customHeight="1">
      <c r="B2603" s="23">
        <v>45917</v>
      </c>
      <c r="C2603" s="7">
        <v>2003792931</v>
      </c>
      <c r="D2603" s="20">
        <v>290009</v>
      </c>
      <c r="E2603" s="27" t="s">
        <v>566</v>
      </c>
      <c r="F2603" s="7" t="s">
        <v>107</v>
      </c>
      <c r="G2603" s="7" t="s">
        <v>10</v>
      </c>
      <c r="H2603" s="7" t="s">
        <v>45</v>
      </c>
      <c r="I2603" s="20" t="s">
        <v>335</v>
      </c>
      <c r="J2603" s="20" t="s">
        <v>3813</v>
      </c>
      <c r="K2603" s="7" t="s">
        <v>110</v>
      </c>
      <c r="L2603" s="61">
        <v>45919</v>
      </c>
      <c r="M2603" s="7" t="s">
        <v>111</v>
      </c>
      <c r="N2603" s="61">
        <v>45922</v>
      </c>
      <c r="O2603" s="58">
        <v>45923</v>
      </c>
      <c r="P2603" s="59"/>
      <c r="Q2603" s="124" t="e">
        <f>P2603*#REF!</f>
        <v>#REF!</v>
      </c>
      <c r="R2603" s="126">
        <v>45925</v>
      </c>
    </row>
    <row r="2604" spans="2:18" ht="17.25" hidden="1" customHeight="1">
      <c r="B2604" s="23">
        <v>45917</v>
      </c>
      <c r="C2604" s="7">
        <v>2003766231</v>
      </c>
      <c r="D2604" s="20">
        <v>6368716</v>
      </c>
      <c r="E2604" s="27" t="s">
        <v>230</v>
      </c>
      <c r="F2604" s="7" t="s">
        <v>107</v>
      </c>
      <c r="G2604" s="7" t="s">
        <v>18</v>
      </c>
      <c r="H2604" s="7" t="s">
        <v>45</v>
      </c>
      <c r="I2604" s="20" t="s">
        <v>3814</v>
      </c>
      <c r="J2604" s="20" t="s">
        <v>3815</v>
      </c>
      <c r="K2604" s="7" t="s">
        <v>119</v>
      </c>
      <c r="L2604" s="61">
        <v>45919</v>
      </c>
      <c r="M2604" s="7" t="s">
        <v>111</v>
      </c>
      <c r="N2604" s="61">
        <v>45922</v>
      </c>
      <c r="O2604" s="58">
        <v>45923</v>
      </c>
      <c r="P2604" s="59"/>
      <c r="Q2604" s="124" t="e">
        <f>P2604*#REF!</f>
        <v>#REF!</v>
      </c>
      <c r="R2604" s="126">
        <v>45925</v>
      </c>
    </row>
    <row r="2605" spans="2:18" ht="17.25" hidden="1" customHeight="1">
      <c r="B2605" s="23">
        <v>45917</v>
      </c>
      <c r="C2605" s="7">
        <v>2003780390</v>
      </c>
      <c r="D2605" s="20">
        <v>6368935</v>
      </c>
      <c r="E2605" s="27" t="s">
        <v>123</v>
      </c>
      <c r="F2605" s="7" t="s">
        <v>107</v>
      </c>
      <c r="G2605" s="7" t="s">
        <v>18</v>
      </c>
      <c r="H2605" s="7" t="s">
        <v>45</v>
      </c>
      <c r="I2605" s="20" t="s">
        <v>3816</v>
      </c>
      <c r="J2605" s="20" t="s">
        <v>3817</v>
      </c>
      <c r="K2605" s="7" t="s">
        <v>119</v>
      </c>
      <c r="L2605" s="61">
        <v>45918</v>
      </c>
      <c r="M2605" s="7" t="s">
        <v>111</v>
      </c>
      <c r="N2605" s="24">
        <v>45924</v>
      </c>
      <c r="O2605" s="24">
        <v>45924</v>
      </c>
      <c r="P2605" s="59"/>
      <c r="Q2605" s="124" t="e">
        <f>P2605*#REF!</f>
        <v>#REF!</v>
      </c>
      <c r="R2605" s="126">
        <v>45925</v>
      </c>
    </row>
    <row r="2606" spans="2:18" ht="17.25" hidden="1" customHeight="1">
      <c r="B2606" s="23">
        <v>45917</v>
      </c>
      <c r="C2606" s="7">
        <v>2003772094</v>
      </c>
      <c r="D2606" s="20">
        <v>6368966</v>
      </c>
      <c r="E2606" s="27" t="s">
        <v>201</v>
      </c>
      <c r="F2606" s="7" t="s">
        <v>107</v>
      </c>
      <c r="G2606" s="7" t="s">
        <v>18</v>
      </c>
      <c r="H2606" s="7" t="s">
        <v>45</v>
      </c>
      <c r="I2606" s="20" t="s">
        <v>2634</v>
      </c>
      <c r="J2606" s="20" t="s">
        <v>2635</v>
      </c>
      <c r="K2606" s="7" t="s">
        <v>110</v>
      </c>
      <c r="L2606" s="61">
        <v>45919</v>
      </c>
      <c r="M2606" s="7" t="s">
        <v>111</v>
      </c>
      <c r="N2606" s="61">
        <v>45922</v>
      </c>
      <c r="O2606" s="61">
        <v>45922</v>
      </c>
      <c r="P2606" s="59"/>
      <c r="Q2606" s="124" t="e">
        <f>P2606*#REF!</f>
        <v>#REF!</v>
      </c>
      <c r="R2606" s="126">
        <v>45923</v>
      </c>
    </row>
    <row r="2607" spans="2:18" ht="17.25" hidden="1" customHeight="1">
      <c r="B2607" s="23">
        <v>45916</v>
      </c>
      <c r="C2607" s="7">
        <v>2003710838</v>
      </c>
      <c r="D2607" s="20">
        <v>6368209</v>
      </c>
      <c r="E2607" s="27" t="s">
        <v>191</v>
      </c>
      <c r="F2607" s="7" t="s">
        <v>107</v>
      </c>
      <c r="G2607" s="7" t="s">
        <v>10</v>
      </c>
      <c r="H2607" s="7" t="s">
        <v>45</v>
      </c>
      <c r="I2607" s="20" t="s">
        <v>3818</v>
      </c>
      <c r="J2607" s="20" t="s">
        <v>3819</v>
      </c>
      <c r="K2607" s="7" t="s">
        <v>119</v>
      </c>
      <c r="L2607" s="61">
        <v>45923</v>
      </c>
      <c r="M2607" s="7" t="s">
        <v>111</v>
      </c>
      <c r="N2607" s="24">
        <v>45925</v>
      </c>
      <c r="O2607" s="58">
        <v>45929</v>
      </c>
      <c r="P2607" s="59"/>
      <c r="Q2607" s="124" t="e">
        <f>P2607*#REF!</f>
        <v>#REF!</v>
      </c>
      <c r="R2607" s="126">
        <v>45929</v>
      </c>
    </row>
    <row r="2608" spans="2:18" ht="17.25" hidden="1" customHeight="1">
      <c r="B2608" s="23">
        <v>45918</v>
      </c>
      <c r="C2608" s="7">
        <v>2003659603</v>
      </c>
      <c r="D2608" s="20">
        <v>292506</v>
      </c>
      <c r="E2608" s="27" t="s">
        <v>408</v>
      </c>
      <c r="F2608" s="7" t="s">
        <v>107</v>
      </c>
      <c r="G2608" s="7" t="s">
        <v>21</v>
      </c>
      <c r="H2608" s="7" t="s">
        <v>45</v>
      </c>
      <c r="I2608" s="20" t="s">
        <v>385</v>
      </c>
      <c r="J2608" s="20" t="s">
        <v>3126</v>
      </c>
      <c r="K2608" s="7" t="s">
        <v>119</v>
      </c>
      <c r="L2608" s="61">
        <v>45919</v>
      </c>
      <c r="M2608" s="7" t="s">
        <v>111</v>
      </c>
      <c r="N2608" s="61">
        <v>45922</v>
      </c>
      <c r="O2608" s="61">
        <v>45922</v>
      </c>
      <c r="P2608" s="59"/>
      <c r="Q2608" s="124" t="e">
        <f>P2608*#REF!</f>
        <v>#REF!</v>
      </c>
      <c r="R2608" s="126">
        <v>45923</v>
      </c>
    </row>
    <row r="2609" spans="2:18" ht="17.25" hidden="1" customHeight="1">
      <c r="B2609" s="23">
        <v>45916</v>
      </c>
      <c r="C2609" s="7">
        <v>2003726530</v>
      </c>
      <c r="D2609" s="20">
        <v>257666</v>
      </c>
      <c r="E2609" s="27" t="s">
        <v>892</v>
      </c>
      <c r="F2609" s="7" t="s">
        <v>107</v>
      </c>
      <c r="G2609" s="7" t="s">
        <v>18</v>
      </c>
      <c r="H2609" s="7" t="s">
        <v>45</v>
      </c>
      <c r="I2609" s="20" t="s">
        <v>3820</v>
      </c>
      <c r="J2609" s="20" t="s">
        <v>3821</v>
      </c>
      <c r="K2609" s="7" t="s">
        <v>119</v>
      </c>
      <c r="L2609" s="61">
        <v>45923</v>
      </c>
      <c r="M2609" s="7" t="s">
        <v>111</v>
      </c>
      <c r="N2609" s="24">
        <v>45925</v>
      </c>
      <c r="O2609" s="58">
        <v>45929</v>
      </c>
      <c r="P2609" s="59"/>
      <c r="Q2609" s="124" t="e">
        <f>P2609*#REF!</f>
        <v>#REF!</v>
      </c>
      <c r="R2609" s="126">
        <v>45929</v>
      </c>
    </row>
    <row r="2610" spans="2:18" ht="17.25" hidden="1" customHeight="1">
      <c r="B2610" s="23">
        <v>45918</v>
      </c>
      <c r="C2610" s="7">
        <v>2003778858</v>
      </c>
      <c r="D2610" s="20">
        <v>292623</v>
      </c>
      <c r="E2610" s="27" t="s">
        <v>622</v>
      </c>
      <c r="F2610" s="7" t="s">
        <v>107</v>
      </c>
      <c r="G2610" s="7" t="s">
        <v>10</v>
      </c>
      <c r="H2610" s="7" t="s">
        <v>45</v>
      </c>
      <c r="I2610" s="20" t="s">
        <v>3822</v>
      </c>
      <c r="J2610" s="20" t="s">
        <v>3823</v>
      </c>
      <c r="K2610" s="7" t="s">
        <v>119</v>
      </c>
      <c r="L2610" s="61">
        <v>45924</v>
      </c>
      <c r="M2610" s="7" t="s">
        <v>111</v>
      </c>
      <c r="N2610" s="61">
        <v>45926</v>
      </c>
      <c r="O2610" s="58">
        <v>45929</v>
      </c>
      <c r="P2610" s="59"/>
      <c r="Q2610" s="124" t="e">
        <f>P2610*#REF!</f>
        <v>#REF!</v>
      </c>
      <c r="R2610" s="126">
        <v>45929</v>
      </c>
    </row>
    <row r="2611" spans="2:18" ht="17.25" hidden="1" customHeight="1">
      <c r="B2611" s="23">
        <v>45918</v>
      </c>
      <c r="C2611" s="7">
        <v>2003742355</v>
      </c>
      <c r="D2611" s="20">
        <v>6369521</v>
      </c>
      <c r="E2611" s="27" t="s">
        <v>3586</v>
      </c>
      <c r="F2611" s="7" t="s">
        <v>113</v>
      </c>
      <c r="G2611" s="7" t="s">
        <v>70</v>
      </c>
      <c r="H2611" s="7" t="s">
        <v>47</v>
      </c>
      <c r="I2611" s="20" t="s">
        <v>3824</v>
      </c>
      <c r="J2611" s="20" t="s">
        <v>3659</v>
      </c>
      <c r="K2611" s="7" t="s">
        <v>160</v>
      </c>
      <c r="P2611" s="59"/>
      <c r="Q2611" s="124" t="e">
        <f>P2611*#REF!</f>
        <v>#REF!</v>
      </c>
      <c r="R2611" s="126">
        <v>45929</v>
      </c>
    </row>
    <row r="2612" spans="2:18" ht="17.25" hidden="1" customHeight="1">
      <c r="B2612" s="23">
        <v>45919</v>
      </c>
      <c r="C2612" s="7">
        <v>2003765834</v>
      </c>
      <c r="D2612" s="20">
        <v>6370158</v>
      </c>
      <c r="E2612" s="27" t="s">
        <v>198</v>
      </c>
      <c r="F2612" s="7" t="s">
        <v>107</v>
      </c>
      <c r="G2612" s="7" t="s">
        <v>26</v>
      </c>
      <c r="H2612" s="7" t="s">
        <v>45</v>
      </c>
      <c r="I2612" s="20" t="s">
        <v>3825</v>
      </c>
      <c r="J2612" s="20" t="s">
        <v>3554</v>
      </c>
      <c r="K2612" s="7" t="s">
        <v>119</v>
      </c>
      <c r="L2612" s="61">
        <v>45922</v>
      </c>
      <c r="M2612" s="7" t="s">
        <v>111</v>
      </c>
      <c r="N2612" s="24">
        <v>45923</v>
      </c>
      <c r="O2612" s="58">
        <v>45923</v>
      </c>
      <c r="P2612" s="59"/>
      <c r="Q2612" s="124" t="e">
        <f>P2612*#REF!</f>
        <v>#REF!</v>
      </c>
      <c r="R2612" s="126">
        <v>45923</v>
      </c>
    </row>
    <row r="2613" spans="2:18" ht="17.25" hidden="1" customHeight="1">
      <c r="B2613" s="23">
        <v>45919</v>
      </c>
      <c r="C2613" s="7">
        <v>2003671079</v>
      </c>
      <c r="D2613" s="20">
        <v>6370289</v>
      </c>
      <c r="E2613" s="27" t="s">
        <v>191</v>
      </c>
      <c r="F2613" s="7" t="s">
        <v>107</v>
      </c>
      <c r="G2613" s="7" t="s">
        <v>10</v>
      </c>
      <c r="H2613" s="7" t="s">
        <v>45</v>
      </c>
      <c r="I2613" s="20" t="s">
        <v>3826</v>
      </c>
      <c r="J2613" s="20" t="s">
        <v>2193</v>
      </c>
      <c r="K2613" s="7" t="s">
        <v>110</v>
      </c>
      <c r="L2613" s="61">
        <v>45923</v>
      </c>
      <c r="M2613" s="7" t="s">
        <v>111</v>
      </c>
      <c r="N2613" s="61">
        <v>45924</v>
      </c>
      <c r="O2613" s="61">
        <v>45924</v>
      </c>
      <c r="P2613" s="59"/>
      <c r="Q2613" s="124" t="e">
        <f>P2613*#REF!</f>
        <v>#REF!</v>
      </c>
      <c r="R2613" s="126">
        <v>45925</v>
      </c>
    </row>
    <row r="2614" spans="2:18" ht="17.25" hidden="1" customHeight="1">
      <c r="B2614" s="23">
        <v>45919</v>
      </c>
      <c r="C2614" s="7">
        <v>2003678455</v>
      </c>
      <c r="D2614" s="20">
        <v>6370296</v>
      </c>
      <c r="E2614" s="27" t="s">
        <v>191</v>
      </c>
      <c r="F2614" s="7" t="s">
        <v>107</v>
      </c>
      <c r="G2614" s="7" t="s">
        <v>10</v>
      </c>
      <c r="H2614" s="7" t="s">
        <v>45</v>
      </c>
      <c r="I2614" s="20" t="s">
        <v>1562</v>
      </c>
      <c r="J2614" s="20" t="s">
        <v>3827</v>
      </c>
      <c r="K2614" s="7" t="s">
        <v>119</v>
      </c>
      <c r="L2614" s="61">
        <v>45926</v>
      </c>
      <c r="M2614" s="7" t="s">
        <v>111</v>
      </c>
      <c r="N2614" s="24">
        <v>45929</v>
      </c>
      <c r="O2614" s="24">
        <v>45929</v>
      </c>
      <c r="P2614" s="59"/>
      <c r="Q2614" s="124" t="e">
        <f>P2614*#REF!</f>
        <v>#REF!</v>
      </c>
      <c r="R2614" s="126">
        <v>45929</v>
      </c>
    </row>
    <row r="2615" spans="2:18" ht="17.25" hidden="1" customHeight="1">
      <c r="B2615" s="23">
        <v>45919</v>
      </c>
      <c r="C2615" s="7">
        <v>2003792017</v>
      </c>
      <c r="D2615" s="20">
        <v>294224</v>
      </c>
      <c r="E2615" s="27" t="s">
        <v>258</v>
      </c>
      <c r="F2615" s="7" t="s">
        <v>107</v>
      </c>
      <c r="G2615" s="7" t="s">
        <v>10</v>
      </c>
      <c r="H2615" s="7" t="s">
        <v>45</v>
      </c>
      <c r="I2615" s="20" t="s">
        <v>1523</v>
      </c>
      <c r="J2615" s="20" t="s">
        <v>3828</v>
      </c>
      <c r="K2615" s="7" t="s">
        <v>119</v>
      </c>
      <c r="L2615" s="61">
        <v>45924</v>
      </c>
      <c r="M2615" s="7" t="s">
        <v>111</v>
      </c>
      <c r="N2615" s="24">
        <v>45925</v>
      </c>
      <c r="O2615" s="58">
        <v>45929</v>
      </c>
      <c r="P2615" s="59"/>
      <c r="Q2615" s="124" t="e">
        <f>P2615*#REF!</f>
        <v>#REF!</v>
      </c>
      <c r="R2615" s="126">
        <v>45929</v>
      </c>
    </row>
    <row r="2616" spans="2:18" ht="17.25" hidden="1" customHeight="1">
      <c r="B2616" s="23">
        <v>45919</v>
      </c>
      <c r="C2616" s="7">
        <v>2003760722</v>
      </c>
      <c r="D2616" s="20">
        <v>294043</v>
      </c>
      <c r="E2616" s="27" t="s">
        <v>143</v>
      </c>
      <c r="F2616" s="7" t="s">
        <v>107</v>
      </c>
      <c r="G2616" s="7" t="s">
        <v>18</v>
      </c>
      <c r="H2616" s="7" t="s">
        <v>45</v>
      </c>
      <c r="I2616" s="20" t="s">
        <v>3829</v>
      </c>
      <c r="J2616" s="20" t="s">
        <v>3830</v>
      </c>
      <c r="K2616" s="7" t="s">
        <v>111</v>
      </c>
      <c r="L2616" s="61">
        <v>45922</v>
      </c>
      <c r="M2616" s="7" t="s">
        <v>111</v>
      </c>
      <c r="N2616" s="61">
        <v>45922</v>
      </c>
      <c r="O2616" s="58">
        <v>45933</v>
      </c>
      <c r="P2616" s="59"/>
      <c r="Q2616" s="124" t="e">
        <f>P2616*#REF!</f>
        <v>#REF!</v>
      </c>
      <c r="R2616" s="126">
        <v>45938</v>
      </c>
    </row>
    <row r="2617" spans="2:18" ht="17.25" hidden="1" customHeight="1">
      <c r="B2617" s="23">
        <v>45919</v>
      </c>
      <c r="C2617" s="7">
        <v>2003795166</v>
      </c>
      <c r="D2617" s="20">
        <v>293640</v>
      </c>
      <c r="E2617" s="27" t="s">
        <v>191</v>
      </c>
      <c r="F2617" s="7" t="s">
        <v>107</v>
      </c>
      <c r="G2617" s="7" t="s">
        <v>10</v>
      </c>
      <c r="H2617" s="7" t="s">
        <v>45</v>
      </c>
      <c r="I2617" s="20" t="s">
        <v>1138</v>
      </c>
      <c r="J2617" s="20" t="s">
        <v>3831</v>
      </c>
      <c r="K2617" s="7" t="s">
        <v>110</v>
      </c>
      <c r="L2617" s="61">
        <v>45923</v>
      </c>
      <c r="M2617" s="7" t="s">
        <v>111</v>
      </c>
      <c r="N2617" s="61">
        <v>45923</v>
      </c>
      <c r="O2617" s="61">
        <v>45923</v>
      </c>
      <c r="P2617" s="59"/>
      <c r="Q2617" s="124" t="e">
        <f>P2617*#REF!</f>
        <v>#REF!</v>
      </c>
      <c r="R2617" s="126">
        <v>45925</v>
      </c>
    </row>
    <row r="2618" spans="2:18" ht="17.25" hidden="1" customHeight="1">
      <c r="B2618" s="23">
        <v>45919</v>
      </c>
      <c r="C2618" s="7">
        <v>2003792169</v>
      </c>
      <c r="D2618" s="20">
        <v>293484</v>
      </c>
      <c r="E2618" s="27" t="s">
        <v>106</v>
      </c>
      <c r="F2618" s="7" t="s">
        <v>107</v>
      </c>
      <c r="G2618" s="7" t="s">
        <v>10</v>
      </c>
      <c r="H2618" s="7" t="s">
        <v>45</v>
      </c>
      <c r="I2618" s="20" t="s">
        <v>714</v>
      </c>
      <c r="J2618" s="20" t="s">
        <v>3832</v>
      </c>
      <c r="K2618" s="7" t="s">
        <v>119</v>
      </c>
      <c r="L2618" s="61">
        <v>45926</v>
      </c>
      <c r="M2618" s="7" t="s">
        <v>111</v>
      </c>
      <c r="N2618" s="24">
        <v>45929</v>
      </c>
      <c r="O2618" s="24">
        <v>45929</v>
      </c>
      <c r="P2618" s="59"/>
      <c r="Q2618" s="124" t="e">
        <f>P2618*#REF!</f>
        <v>#REF!</v>
      </c>
      <c r="R2618" s="126">
        <v>45929</v>
      </c>
    </row>
    <row r="2619" spans="2:18" ht="17.25" hidden="1" customHeight="1">
      <c r="B2619" s="23">
        <v>45919</v>
      </c>
      <c r="C2619" s="7">
        <v>2003793894</v>
      </c>
      <c r="D2619" s="20">
        <v>293168</v>
      </c>
      <c r="E2619" s="27" t="s">
        <v>1225</v>
      </c>
      <c r="F2619" s="7" t="s">
        <v>107</v>
      </c>
      <c r="G2619" s="7" t="s">
        <v>10</v>
      </c>
      <c r="H2619" s="7" t="s">
        <v>45</v>
      </c>
      <c r="I2619" s="20" t="s">
        <v>3833</v>
      </c>
      <c r="J2619" s="20" t="s">
        <v>3834</v>
      </c>
      <c r="K2619" s="7" t="s">
        <v>119</v>
      </c>
      <c r="L2619" s="61">
        <v>45922</v>
      </c>
      <c r="M2619" s="7" t="s">
        <v>111</v>
      </c>
      <c r="N2619" s="61">
        <v>45923</v>
      </c>
      <c r="O2619" s="58">
        <v>45925</v>
      </c>
      <c r="P2619" s="59"/>
      <c r="Q2619" s="124" t="e">
        <f>P2619*#REF!</f>
        <v>#REF!</v>
      </c>
      <c r="R2619" s="126">
        <v>45929</v>
      </c>
    </row>
    <row r="2620" spans="2:18" ht="17.25" hidden="1" customHeight="1">
      <c r="B2620" s="23">
        <v>45922</v>
      </c>
      <c r="C2620" s="7">
        <v>310024016</v>
      </c>
      <c r="D2620" s="20">
        <v>296390</v>
      </c>
      <c r="E2620" s="27" t="s">
        <v>177</v>
      </c>
      <c r="F2620" s="7" t="s">
        <v>107</v>
      </c>
      <c r="G2620" s="7" t="s">
        <v>15</v>
      </c>
      <c r="H2620" s="7" t="s">
        <v>45</v>
      </c>
      <c r="I2620" s="20" t="s">
        <v>3835</v>
      </c>
      <c r="J2620" s="20" t="s">
        <v>3836</v>
      </c>
      <c r="K2620" s="7" t="s">
        <v>119</v>
      </c>
      <c r="L2620" s="61">
        <v>45925</v>
      </c>
      <c r="M2620" s="7" t="s">
        <v>111</v>
      </c>
      <c r="N2620" s="24">
        <v>45927</v>
      </c>
      <c r="O2620" s="24">
        <v>45927</v>
      </c>
      <c r="P2620" s="59"/>
      <c r="Q2620" s="124" t="e">
        <f>P2620*#REF!</f>
        <v>#REF!</v>
      </c>
      <c r="R2620" s="126">
        <v>45929</v>
      </c>
    </row>
    <row r="2621" spans="2:18" ht="17.25" hidden="1" customHeight="1">
      <c r="B2621" s="23">
        <v>45922</v>
      </c>
      <c r="C2621" s="7">
        <v>2003796848</v>
      </c>
      <c r="D2621" s="20">
        <v>296445</v>
      </c>
      <c r="E2621" s="27" t="s">
        <v>191</v>
      </c>
      <c r="F2621" s="7" t="s">
        <v>107</v>
      </c>
      <c r="G2621" s="7" t="s">
        <v>10</v>
      </c>
      <c r="H2621" s="7" t="s">
        <v>45</v>
      </c>
      <c r="I2621" s="20" t="s">
        <v>1515</v>
      </c>
      <c r="J2621" s="20" t="s">
        <v>3837</v>
      </c>
      <c r="K2621" s="7" t="s">
        <v>119</v>
      </c>
      <c r="L2621" s="61">
        <v>45924</v>
      </c>
      <c r="M2621" s="7" t="s">
        <v>111</v>
      </c>
      <c r="N2621" s="24">
        <v>45925</v>
      </c>
      <c r="O2621" s="58">
        <v>45929</v>
      </c>
      <c r="P2621" s="59"/>
      <c r="Q2621" s="124" t="e">
        <f>P2621*#REF!</f>
        <v>#REF!</v>
      </c>
      <c r="R2621" s="126">
        <v>45929</v>
      </c>
    </row>
    <row r="2622" spans="2:18" ht="17.25" hidden="1" customHeight="1">
      <c r="B2622" s="23">
        <v>45922</v>
      </c>
      <c r="C2622" s="7">
        <v>2003789070</v>
      </c>
      <c r="D2622" s="20">
        <v>6371098</v>
      </c>
      <c r="E2622" s="27" t="s">
        <v>408</v>
      </c>
      <c r="F2622" s="7" t="s">
        <v>107</v>
      </c>
      <c r="G2622" s="7" t="s">
        <v>10</v>
      </c>
      <c r="H2622" s="7" t="s">
        <v>45</v>
      </c>
      <c r="I2622" s="20" t="s">
        <v>3838</v>
      </c>
      <c r="J2622" s="20" t="s">
        <v>3839</v>
      </c>
      <c r="K2622" s="7" t="s">
        <v>119</v>
      </c>
      <c r="L2622" s="61">
        <v>45924</v>
      </c>
      <c r="M2622" s="7" t="s">
        <v>111</v>
      </c>
      <c r="N2622" s="61">
        <v>45926</v>
      </c>
      <c r="O2622" s="58">
        <v>45929</v>
      </c>
      <c r="P2622" s="59"/>
      <c r="Q2622" s="124" t="e">
        <f>P2622*#REF!</f>
        <v>#REF!</v>
      </c>
      <c r="R2622" s="126">
        <v>45929</v>
      </c>
    </row>
    <row r="2623" spans="2:18" ht="17.25" hidden="1" customHeight="1">
      <c r="B2623" s="23">
        <v>45922</v>
      </c>
      <c r="C2623" s="7">
        <v>2003798759</v>
      </c>
      <c r="D2623" s="20">
        <v>296277</v>
      </c>
      <c r="E2623" s="27" t="s">
        <v>123</v>
      </c>
      <c r="F2623" s="7" t="s">
        <v>107</v>
      </c>
      <c r="G2623" s="7" t="s">
        <v>26</v>
      </c>
      <c r="H2623" s="7" t="s">
        <v>45</v>
      </c>
      <c r="I2623" s="20" t="s">
        <v>3840</v>
      </c>
      <c r="J2623" s="20" t="s">
        <v>3841</v>
      </c>
      <c r="K2623" s="7" t="s">
        <v>119</v>
      </c>
      <c r="L2623" s="61">
        <v>45924</v>
      </c>
      <c r="M2623" s="7" t="s">
        <v>111</v>
      </c>
      <c r="N2623" s="24">
        <v>45929</v>
      </c>
      <c r="O2623" s="58">
        <v>45929</v>
      </c>
      <c r="P2623" s="59"/>
      <c r="Q2623" s="124" t="e">
        <f>P2623*#REF!</f>
        <v>#REF!</v>
      </c>
      <c r="R2623" s="126">
        <v>45929</v>
      </c>
    </row>
    <row r="2624" spans="2:18" ht="17.25" hidden="1" customHeight="1">
      <c r="B2624" s="23">
        <v>45922</v>
      </c>
      <c r="C2624" s="7">
        <v>2003778074</v>
      </c>
      <c r="D2624" s="20">
        <v>296220</v>
      </c>
      <c r="E2624" s="27" t="s">
        <v>143</v>
      </c>
      <c r="F2624" s="7" t="s">
        <v>107</v>
      </c>
      <c r="G2624" s="7" t="s">
        <v>18</v>
      </c>
      <c r="H2624" s="7" t="s">
        <v>45</v>
      </c>
      <c r="I2624" s="20" t="s">
        <v>3842</v>
      </c>
      <c r="J2624" s="20" t="s">
        <v>3843</v>
      </c>
      <c r="K2624" s="7" t="s">
        <v>111</v>
      </c>
      <c r="L2624" s="61">
        <v>45923</v>
      </c>
      <c r="M2624" s="7" t="s">
        <v>111</v>
      </c>
      <c r="N2624" s="61">
        <v>45923</v>
      </c>
      <c r="O2624" s="58">
        <v>45933</v>
      </c>
      <c r="P2624" s="59"/>
      <c r="Q2624" s="124" t="e">
        <f>P2624*#REF!</f>
        <v>#REF!</v>
      </c>
      <c r="R2624" s="126">
        <v>45938</v>
      </c>
    </row>
    <row r="2625" spans="2:18" ht="17.25" hidden="1" customHeight="1">
      <c r="B2625" s="23">
        <v>45922</v>
      </c>
      <c r="C2625" s="7">
        <v>2003788253</v>
      </c>
      <c r="D2625" s="20">
        <v>295830</v>
      </c>
      <c r="E2625" s="27" t="s">
        <v>265</v>
      </c>
      <c r="F2625" s="7" t="s">
        <v>107</v>
      </c>
      <c r="G2625" s="7" t="s">
        <v>15</v>
      </c>
      <c r="H2625" s="7" t="s">
        <v>45</v>
      </c>
      <c r="I2625" s="20" t="s">
        <v>3844</v>
      </c>
      <c r="J2625" s="20" t="s">
        <v>3845</v>
      </c>
      <c r="K2625" s="7" t="s">
        <v>119</v>
      </c>
      <c r="L2625" s="61">
        <v>45924</v>
      </c>
      <c r="M2625" s="7" t="s">
        <v>111</v>
      </c>
      <c r="N2625" s="61">
        <v>45926</v>
      </c>
      <c r="O2625" s="61">
        <v>45926</v>
      </c>
      <c r="P2625" s="59"/>
      <c r="Q2625" s="124" t="e">
        <f>P2625*#REF!</f>
        <v>#REF!</v>
      </c>
      <c r="R2625" s="126">
        <v>45929</v>
      </c>
    </row>
    <row r="2626" spans="2:18" ht="17.25" hidden="1" customHeight="1">
      <c r="B2626" s="23">
        <v>45922</v>
      </c>
      <c r="C2626" s="7">
        <v>2003796988</v>
      </c>
      <c r="D2626" s="20">
        <v>296291</v>
      </c>
      <c r="E2626" s="27" t="s">
        <v>198</v>
      </c>
      <c r="F2626" s="7" t="s">
        <v>107</v>
      </c>
      <c r="G2626" s="7" t="s">
        <v>10</v>
      </c>
      <c r="H2626" s="7" t="s">
        <v>45</v>
      </c>
      <c r="I2626" s="20" t="s">
        <v>2837</v>
      </c>
      <c r="J2626" s="20" t="s">
        <v>3846</v>
      </c>
      <c r="K2626" s="7" t="s">
        <v>119</v>
      </c>
      <c r="L2626" s="61">
        <v>45925</v>
      </c>
      <c r="M2626" s="7" t="s">
        <v>111</v>
      </c>
      <c r="N2626" s="24">
        <v>45927</v>
      </c>
      <c r="O2626" s="58">
        <v>45929</v>
      </c>
      <c r="P2626" s="59"/>
      <c r="Q2626" s="124" t="e">
        <f>P2626*#REF!</f>
        <v>#REF!</v>
      </c>
      <c r="R2626" s="126">
        <v>45929</v>
      </c>
    </row>
    <row r="2627" spans="2:18" ht="17.25" hidden="1" customHeight="1">
      <c r="B2627" s="23">
        <v>45922</v>
      </c>
      <c r="C2627" s="7">
        <v>2003665550</v>
      </c>
      <c r="D2627" s="20">
        <v>295167</v>
      </c>
      <c r="E2627" s="27" t="s">
        <v>123</v>
      </c>
      <c r="F2627" s="7" t="s">
        <v>107</v>
      </c>
      <c r="G2627" s="7" t="s">
        <v>10</v>
      </c>
      <c r="H2627" s="7" t="s">
        <v>45</v>
      </c>
      <c r="I2627" s="20" t="s">
        <v>3847</v>
      </c>
      <c r="J2627" s="20" t="s">
        <v>3779</v>
      </c>
      <c r="K2627" s="7" t="s">
        <v>119</v>
      </c>
      <c r="L2627" s="61">
        <v>45924</v>
      </c>
      <c r="M2627" s="7" t="s">
        <v>111</v>
      </c>
      <c r="N2627" s="61">
        <v>45926</v>
      </c>
      <c r="O2627" s="61">
        <v>45926</v>
      </c>
      <c r="P2627" s="59"/>
      <c r="Q2627" s="124" t="e">
        <f>P2627*#REF!</f>
        <v>#REF!</v>
      </c>
      <c r="R2627" s="126">
        <v>45929</v>
      </c>
    </row>
    <row r="2628" spans="2:18" ht="17.25" hidden="1" customHeight="1">
      <c r="B2628" s="23">
        <v>45922</v>
      </c>
      <c r="C2628" s="7">
        <v>2003796152</v>
      </c>
      <c r="D2628" s="20">
        <v>295156</v>
      </c>
      <c r="E2628" s="27" t="s">
        <v>123</v>
      </c>
      <c r="F2628" s="7" t="s">
        <v>107</v>
      </c>
      <c r="G2628" s="7" t="s">
        <v>18</v>
      </c>
      <c r="H2628" s="7" t="s">
        <v>45</v>
      </c>
      <c r="I2628" s="20" t="s">
        <v>3848</v>
      </c>
      <c r="J2628" s="20" t="s">
        <v>3849</v>
      </c>
      <c r="K2628" s="7" t="s">
        <v>119</v>
      </c>
      <c r="L2628" s="61">
        <v>45925</v>
      </c>
      <c r="M2628" s="7" t="s">
        <v>111</v>
      </c>
      <c r="N2628" s="24">
        <v>45927</v>
      </c>
      <c r="O2628" s="58">
        <v>45929</v>
      </c>
      <c r="P2628" s="59"/>
      <c r="Q2628" s="124" t="e">
        <f>P2628*#REF!</f>
        <v>#REF!</v>
      </c>
      <c r="R2628" s="126">
        <v>45929</v>
      </c>
    </row>
    <row r="2629" spans="2:18" ht="17.25" hidden="1" customHeight="1">
      <c r="B2629" s="23">
        <v>45922</v>
      </c>
      <c r="C2629" s="7">
        <v>2003790114</v>
      </c>
      <c r="D2629" s="20">
        <v>6370450</v>
      </c>
      <c r="E2629" s="27" t="s">
        <v>143</v>
      </c>
      <c r="F2629" s="7" t="s">
        <v>107</v>
      </c>
      <c r="G2629" s="7" t="s">
        <v>10</v>
      </c>
      <c r="H2629" s="7" t="s">
        <v>45</v>
      </c>
      <c r="I2629" s="20" t="s">
        <v>1698</v>
      </c>
      <c r="J2629" s="20" t="s">
        <v>3850</v>
      </c>
      <c r="K2629" s="7" t="s">
        <v>119</v>
      </c>
      <c r="L2629" s="61">
        <v>45925</v>
      </c>
      <c r="M2629" s="7" t="s">
        <v>111</v>
      </c>
      <c r="N2629" s="24">
        <v>45927</v>
      </c>
      <c r="O2629" s="58">
        <v>45929</v>
      </c>
      <c r="P2629" s="59"/>
      <c r="Q2629" s="124" t="e">
        <f>P2629*#REF!</f>
        <v>#REF!</v>
      </c>
      <c r="R2629" s="126">
        <v>45929</v>
      </c>
    </row>
    <row r="2630" spans="2:18" ht="17.25" hidden="1" customHeight="1">
      <c r="B2630" s="23">
        <v>45922</v>
      </c>
      <c r="C2630" s="7">
        <v>2003647786</v>
      </c>
      <c r="D2630" s="20">
        <v>6370479</v>
      </c>
      <c r="E2630" s="27" t="s">
        <v>129</v>
      </c>
      <c r="F2630" s="7" t="s">
        <v>107</v>
      </c>
      <c r="G2630" s="7" t="s">
        <v>21</v>
      </c>
      <c r="H2630" s="7" t="s">
        <v>45</v>
      </c>
      <c r="I2630" s="20" t="s">
        <v>2369</v>
      </c>
      <c r="J2630" s="20" t="s">
        <v>2370</v>
      </c>
      <c r="K2630" s="7" t="s">
        <v>111</v>
      </c>
      <c r="L2630" s="61">
        <v>45923</v>
      </c>
      <c r="M2630" s="7" t="s">
        <v>111</v>
      </c>
      <c r="N2630" s="61">
        <v>45923</v>
      </c>
      <c r="O2630" s="58">
        <v>45924</v>
      </c>
      <c r="P2630" s="59"/>
      <c r="Q2630" s="124" t="e">
        <f>P2630*#REF!</f>
        <v>#REF!</v>
      </c>
      <c r="R2630" s="126">
        <v>45925</v>
      </c>
    </row>
    <row r="2631" spans="2:18" ht="17.25" hidden="1" customHeight="1">
      <c r="B2631" s="23">
        <v>45922</v>
      </c>
      <c r="C2631" s="7">
        <v>2003793372</v>
      </c>
      <c r="D2631" s="20">
        <v>6370506</v>
      </c>
      <c r="E2631" s="27" t="s">
        <v>201</v>
      </c>
      <c r="F2631" s="7" t="s">
        <v>107</v>
      </c>
      <c r="G2631" s="7" t="s">
        <v>10</v>
      </c>
      <c r="H2631" s="7" t="s">
        <v>45</v>
      </c>
      <c r="I2631" s="20" t="s">
        <v>3851</v>
      </c>
      <c r="J2631" s="20" t="s">
        <v>3852</v>
      </c>
      <c r="K2631" s="7" t="s">
        <v>119</v>
      </c>
      <c r="L2631" s="61">
        <v>45924</v>
      </c>
      <c r="M2631" s="7" t="s">
        <v>111</v>
      </c>
      <c r="N2631" s="61">
        <v>45926</v>
      </c>
      <c r="O2631" s="61">
        <v>45926</v>
      </c>
      <c r="P2631" s="59"/>
      <c r="Q2631" s="124" t="e">
        <f>P2631*#REF!</f>
        <v>#REF!</v>
      </c>
      <c r="R2631" s="126">
        <v>45929</v>
      </c>
    </row>
    <row r="2632" spans="2:18" ht="17.25" hidden="1" customHeight="1">
      <c r="B2632" s="23">
        <v>45922</v>
      </c>
      <c r="C2632" s="7">
        <v>2003726443</v>
      </c>
      <c r="D2632" s="20">
        <v>6370545</v>
      </c>
      <c r="E2632" s="27" t="s">
        <v>123</v>
      </c>
      <c r="F2632" s="7" t="s">
        <v>107</v>
      </c>
      <c r="G2632" s="7" t="s">
        <v>10</v>
      </c>
      <c r="H2632" s="7" t="s">
        <v>45</v>
      </c>
      <c r="I2632" s="20" t="s">
        <v>1474</v>
      </c>
      <c r="J2632" s="20" t="s">
        <v>3518</v>
      </c>
      <c r="K2632" s="7" t="s">
        <v>119</v>
      </c>
      <c r="L2632" s="61">
        <v>45926</v>
      </c>
      <c r="M2632" s="7" t="s">
        <v>111</v>
      </c>
      <c r="N2632" s="24">
        <v>45929</v>
      </c>
      <c r="O2632" s="24">
        <v>45929</v>
      </c>
      <c r="P2632" s="59"/>
      <c r="Q2632" s="124" t="e">
        <f>P2632*#REF!</f>
        <v>#REF!</v>
      </c>
      <c r="R2632" s="126">
        <v>45929</v>
      </c>
    </row>
    <row r="2633" spans="2:18" ht="17.25" hidden="1" customHeight="1">
      <c r="B2633" s="23">
        <v>45922</v>
      </c>
      <c r="C2633" s="7">
        <v>2003793159</v>
      </c>
      <c r="D2633" s="20">
        <v>6370554</v>
      </c>
      <c r="E2633" s="27" t="s">
        <v>126</v>
      </c>
      <c r="F2633" s="7" t="s">
        <v>107</v>
      </c>
      <c r="G2633" s="7" t="s">
        <v>18</v>
      </c>
      <c r="H2633" s="7" t="s">
        <v>45</v>
      </c>
      <c r="I2633" s="20" t="s">
        <v>3853</v>
      </c>
      <c r="J2633" s="20" t="s">
        <v>3854</v>
      </c>
      <c r="K2633" s="7" t="s">
        <v>119</v>
      </c>
      <c r="L2633" s="61">
        <v>45925</v>
      </c>
      <c r="M2633" s="7" t="s">
        <v>111</v>
      </c>
      <c r="N2633" s="24">
        <v>45927</v>
      </c>
      <c r="O2633" s="58">
        <v>45929</v>
      </c>
      <c r="P2633" s="59"/>
      <c r="Q2633" s="124" t="e">
        <f>P2633*#REF!</f>
        <v>#REF!</v>
      </c>
      <c r="R2633" s="126">
        <v>45929</v>
      </c>
    </row>
    <row r="2634" spans="2:18" ht="17.25" hidden="1" customHeight="1">
      <c r="B2634" s="23">
        <v>45922</v>
      </c>
      <c r="C2634" s="7">
        <v>2003796147</v>
      </c>
      <c r="D2634" s="20">
        <v>6370684</v>
      </c>
      <c r="E2634" s="27" t="s">
        <v>366</v>
      </c>
      <c r="F2634" s="7" t="s">
        <v>107</v>
      </c>
      <c r="G2634" s="7" t="s">
        <v>15</v>
      </c>
      <c r="H2634" s="7" t="s">
        <v>45</v>
      </c>
      <c r="I2634" s="20" t="s">
        <v>3855</v>
      </c>
      <c r="J2634" s="20" t="s">
        <v>3856</v>
      </c>
      <c r="K2634" s="7" t="s">
        <v>119</v>
      </c>
      <c r="L2634" s="61">
        <v>45925</v>
      </c>
      <c r="M2634" s="7" t="s">
        <v>111</v>
      </c>
      <c r="N2634" s="24">
        <v>45927</v>
      </c>
      <c r="O2634" s="24">
        <v>45927</v>
      </c>
      <c r="P2634" s="59"/>
      <c r="Q2634" s="124" t="e">
        <f>P2634*#REF!</f>
        <v>#REF!</v>
      </c>
      <c r="R2634" s="126">
        <v>45929</v>
      </c>
    </row>
    <row r="2635" spans="2:18" ht="17.25" hidden="1" customHeight="1">
      <c r="B2635" s="23">
        <v>45922</v>
      </c>
      <c r="C2635" s="7">
        <v>2003795605</v>
      </c>
      <c r="D2635" s="20">
        <v>6370909</v>
      </c>
      <c r="E2635" s="27" t="s">
        <v>185</v>
      </c>
      <c r="F2635" s="7" t="s">
        <v>107</v>
      </c>
      <c r="G2635" s="7" t="s">
        <v>18</v>
      </c>
      <c r="H2635" s="7" t="s">
        <v>45</v>
      </c>
      <c r="I2635" s="20" t="s">
        <v>3857</v>
      </c>
      <c r="J2635" s="20" t="s">
        <v>3858</v>
      </c>
      <c r="K2635" s="7" t="s">
        <v>119</v>
      </c>
      <c r="L2635" s="61">
        <v>45925</v>
      </c>
      <c r="M2635" s="7" t="s">
        <v>111</v>
      </c>
      <c r="N2635" s="24">
        <v>45927</v>
      </c>
      <c r="O2635" s="58">
        <v>45929</v>
      </c>
      <c r="P2635" s="59"/>
      <c r="Q2635" s="124" t="e">
        <f>P2635*#REF!</f>
        <v>#REF!</v>
      </c>
      <c r="R2635" s="126">
        <v>45929</v>
      </c>
    </row>
    <row r="2636" spans="2:18" ht="17.25" hidden="1" customHeight="1">
      <c r="B2636" s="23">
        <v>45922</v>
      </c>
      <c r="C2636" s="7">
        <v>2003796745</v>
      </c>
      <c r="D2636" s="20">
        <v>6370950</v>
      </c>
      <c r="E2636" s="27" t="s">
        <v>201</v>
      </c>
      <c r="F2636" s="7" t="s">
        <v>107</v>
      </c>
      <c r="G2636" s="7" t="s">
        <v>10</v>
      </c>
      <c r="H2636" s="7" t="s">
        <v>45</v>
      </c>
      <c r="I2636" s="20" t="s">
        <v>3859</v>
      </c>
      <c r="J2636" s="20" t="s">
        <v>3860</v>
      </c>
      <c r="K2636" s="7" t="s">
        <v>119</v>
      </c>
      <c r="L2636" s="61">
        <v>45924</v>
      </c>
      <c r="M2636" s="7" t="s">
        <v>111</v>
      </c>
      <c r="N2636" s="24">
        <v>45925</v>
      </c>
      <c r="O2636" s="24">
        <v>45925</v>
      </c>
      <c r="P2636" s="59"/>
      <c r="Q2636" s="124" t="e">
        <f>P2636*#REF!</f>
        <v>#REF!</v>
      </c>
      <c r="R2636" s="126">
        <v>45925</v>
      </c>
    </row>
    <row r="2637" spans="2:18" ht="17.25" hidden="1" customHeight="1">
      <c r="B2637" s="23">
        <v>45922</v>
      </c>
      <c r="C2637" s="7">
        <v>2003750925</v>
      </c>
      <c r="D2637" s="20">
        <v>6371067</v>
      </c>
      <c r="E2637" s="27" t="s">
        <v>112</v>
      </c>
      <c r="F2637" s="7" t="s">
        <v>107</v>
      </c>
      <c r="G2637" s="7" t="s">
        <v>15</v>
      </c>
      <c r="H2637" s="7" t="s">
        <v>45</v>
      </c>
      <c r="I2637" s="20" t="s">
        <v>3861</v>
      </c>
      <c r="J2637" s="20" t="s">
        <v>3862</v>
      </c>
      <c r="K2637" s="7" t="s">
        <v>119</v>
      </c>
      <c r="L2637" s="61">
        <v>45925</v>
      </c>
      <c r="M2637" s="7" t="s">
        <v>111</v>
      </c>
      <c r="N2637" s="24">
        <v>45927</v>
      </c>
      <c r="O2637" s="58">
        <v>45929</v>
      </c>
      <c r="P2637" s="59"/>
      <c r="Q2637" s="124" t="e">
        <f>P2637*#REF!</f>
        <v>#REF!</v>
      </c>
      <c r="R2637" s="126">
        <v>45929</v>
      </c>
    </row>
    <row r="2638" spans="2:18" ht="17.25" hidden="1" customHeight="1">
      <c r="B2638" s="23">
        <v>45923</v>
      </c>
      <c r="C2638" s="7">
        <v>2003798666</v>
      </c>
      <c r="D2638" s="20">
        <v>297564</v>
      </c>
      <c r="E2638" s="27" t="s">
        <v>201</v>
      </c>
      <c r="F2638" s="7" t="s">
        <v>107</v>
      </c>
      <c r="G2638" s="7" t="s">
        <v>10</v>
      </c>
      <c r="H2638" s="7" t="s">
        <v>45</v>
      </c>
      <c r="I2638" s="20" t="s">
        <v>3031</v>
      </c>
      <c r="J2638" s="20" t="s">
        <v>3863</v>
      </c>
      <c r="K2638" s="7" t="s">
        <v>119</v>
      </c>
      <c r="L2638" s="61">
        <v>45925</v>
      </c>
      <c r="M2638" s="7" t="s">
        <v>111</v>
      </c>
      <c r="N2638" s="24">
        <v>45927</v>
      </c>
      <c r="O2638" s="58">
        <v>45929</v>
      </c>
      <c r="P2638" s="59"/>
      <c r="Q2638" s="124" t="e">
        <f>P2638*#REF!</f>
        <v>#REF!</v>
      </c>
      <c r="R2638" s="126">
        <v>45929</v>
      </c>
    </row>
    <row r="2639" spans="2:18" ht="17.25" hidden="1" customHeight="1">
      <c r="B2639" s="23">
        <v>45922</v>
      </c>
      <c r="C2639" s="7">
        <v>2003694846</v>
      </c>
      <c r="D2639" s="20">
        <v>6371124</v>
      </c>
      <c r="E2639" s="27" t="s">
        <v>198</v>
      </c>
      <c r="F2639" s="7" t="s">
        <v>107</v>
      </c>
      <c r="G2639" s="7" t="s">
        <v>10</v>
      </c>
      <c r="H2639" s="7" t="s">
        <v>45</v>
      </c>
      <c r="I2639" s="20" t="s">
        <v>451</v>
      </c>
      <c r="J2639" s="20" t="s">
        <v>3864</v>
      </c>
      <c r="K2639" s="7" t="s">
        <v>119</v>
      </c>
      <c r="L2639" s="61">
        <v>45930</v>
      </c>
      <c r="M2639" s="7" t="s">
        <v>111</v>
      </c>
      <c r="N2639" s="61">
        <v>45931</v>
      </c>
      <c r="O2639" s="61">
        <v>45931</v>
      </c>
      <c r="P2639" s="59"/>
      <c r="Q2639" s="124" t="e">
        <f>P2639*#REF!</f>
        <v>#REF!</v>
      </c>
      <c r="R2639" s="126">
        <v>45933</v>
      </c>
    </row>
    <row r="2640" spans="2:18" ht="17.25" hidden="1" customHeight="1">
      <c r="B2640" s="23">
        <v>45923</v>
      </c>
      <c r="C2640" s="7">
        <v>2003798867</v>
      </c>
      <c r="D2640" s="20">
        <v>6371344</v>
      </c>
      <c r="E2640" s="27" t="s">
        <v>106</v>
      </c>
      <c r="F2640" s="7" t="s">
        <v>107</v>
      </c>
      <c r="G2640" s="7" t="s">
        <v>10</v>
      </c>
      <c r="H2640" s="7" t="s">
        <v>45</v>
      </c>
      <c r="I2640" s="20" t="s">
        <v>671</v>
      </c>
      <c r="J2640" s="20" t="s">
        <v>3865</v>
      </c>
      <c r="K2640" s="7" t="s">
        <v>119</v>
      </c>
      <c r="L2640" s="61">
        <v>45925</v>
      </c>
      <c r="M2640" s="7" t="s">
        <v>111</v>
      </c>
      <c r="N2640" s="24">
        <v>45927</v>
      </c>
      <c r="O2640" s="58">
        <v>45929</v>
      </c>
      <c r="P2640" s="59"/>
      <c r="Q2640" s="124" t="e">
        <f>P2640*#REF!</f>
        <v>#REF!</v>
      </c>
      <c r="R2640" s="126">
        <v>45929</v>
      </c>
    </row>
    <row r="2641" spans="2:18" ht="17.25" hidden="1" customHeight="1">
      <c r="B2641" s="23">
        <v>45923</v>
      </c>
      <c r="C2641" s="7">
        <v>2003751957</v>
      </c>
      <c r="D2641" s="20">
        <v>297493</v>
      </c>
      <c r="E2641" s="27" t="s">
        <v>106</v>
      </c>
      <c r="F2641" s="7" t="s">
        <v>107</v>
      </c>
      <c r="G2641" s="7" t="s">
        <v>21</v>
      </c>
      <c r="H2641" s="7" t="s">
        <v>45</v>
      </c>
      <c r="I2641" s="20" t="s">
        <v>3866</v>
      </c>
      <c r="J2641" s="20" t="s">
        <v>3614</v>
      </c>
      <c r="K2641" s="7" t="s">
        <v>119</v>
      </c>
      <c r="L2641" s="61">
        <v>45924</v>
      </c>
      <c r="M2641" s="7" t="s">
        <v>111</v>
      </c>
      <c r="N2641" s="61">
        <v>45926</v>
      </c>
      <c r="O2641" s="61">
        <v>45926</v>
      </c>
      <c r="P2641" s="59"/>
      <c r="Q2641" s="124" t="e">
        <f>P2641*#REF!</f>
        <v>#REF!</v>
      </c>
      <c r="R2641" s="126">
        <v>45929</v>
      </c>
    </row>
    <row r="2642" spans="2:18" ht="17.25" hidden="1" customHeight="1">
      <c r="B2642" s="23">
        <v>45922</v>
      </c>
      <c r="C2642" s="7">
        <v>2003779229</v>
      </c>
      <c r="D2642" s="20">
        <v>295792</v>
      </c>
      <c r="E2642" s="27" t="s">
        <v>1245</v>
      </c>
      <c r="F2642" s="7" t="s">
        <v>107</v>
      </c>
      <c r="G2642" s="7" t="s">
        <v>15</v>
      </c>
      <c r="H2642" s="7" t="s">
        <v>45</v>
      </c>
      <c r="I2642" s="20" t="s">
        <v>498</v>
      </c>
      <c r="J2642" s="20" t="s">
        <v>3867</v>
      </c>
      <c r="K2642" s="7" t="s">
        <v>119</v>
      </c>
      <c r="L2642" s="61">
        <v>45926</v>
      </c>
      <c r="M2642" s="7" t="s">
        <v>111</v>
      </c>
      <c r="N2642" s="24">
        <v>45929</v>
      </c>
      <c r="O2642" s="58">
        <v>45931</v>
      </c>
      <c r="P2642" s="59"/>
      <c r="Q2642" s="124" t="e">
        <f>P2642*#REF!</f>
        <v>#REF!</v>
      </c>
      <c r="R2642" s="126">
        <v>45933</v>
      </c>
    </row>
    <row r="2643" spans="2:18" ht="17.25" hidden="1" customHeight="1">
      <c r="B2643" s="23">
        <v>45923</v>
      </c>
      <c r="C2643" s="7">
        <v>2003680900</v>
      </c>
      <c r="D2643" s="20">
        <v>6371440</v>
      </c>
      <c r="E2643" s="27" t="s">
        <v>201</v>
      </c>
      <c r="F2643" s="7" t="s">
        <v>107</v>
      </c>
      <c r="G2643" s="7" t="s">
        <v>10</v>
      </c>
      <c r="H2643" s="7" t="s">
        <v>45</v>
      </c>
      <c r="I2643" s="20" t="s">
        <v>3868</v>
      </c>
      <c r="J2643" s="20">
        <v>1773619</v>
      </c>
      <c r="K2643" s="7" t="s">
        <v>110</v>
      </c>
      <c r="L2643" s="61">
        <v>45930</v>
      </c>
      <c r="M2643" s="7" t="s">
        <v>111</v>
      </c>
      <c r="N2643" s="61">
        <v>45930</v>
      </c>
      <c r="O2643" s="61">
        <v>45930</v>
      </c>
      <c r="P2643" s="59"/>
      <c r="Q2643" s="124" t="e">
        <f>P2643*#REF!</f>
        <v>#REF!</v>
      </c>
      <c r="R2643" s="126">
        <v>45933</v>
      </c>
    </row>
    <row r="2644" spans="2:18" ht="17.25" hidden="1" customHeight="1">
      <c r="B2644" s="23">
        <v>45923</v>
      </c>
      <c r="C2644" s="7">
        <v>2003772334</v>
      </c>
      <c r="D2644" s="20">
        <v>6371842</v>
      </c>
      <c r="E2644" s="27" t="s">
        <v>191</v>
      </c>
      <c r="F2644" s="7" t="s">
        <v>107</v>
      </c>
      <c r="G2644" s="7" t="s">
        <v>10</v>
      </c>
      <c r="H2644" s="7" t="s">
        <v>45</v>
      </c>
      <c r="I2644" s="20" t="s">
        <v>1474</v>
      </c>
      <c r="J2644" s="20" t="s">
        <v>3569</v>
      </c>
      <c r="K2644" s="7" t="s">
        <v>119</v>
      </c>
      <c r="L2644" s="61">
        <v>45925</v>
      </c>
      <c r="M2644" s="7" t="s">
        <v>111</v>
      </c>
      <c r="N2644" s="24">
        <v>45927</v>
      </c>
      <c r="O2644" s="24">
        <v>45927</v>
      </c>
      <c r="P2644" s="59"/>
      <c r="Q2644" s="124" t="e">
        <f>P2644*#REF!</f>
        <v>#REF!</v>
      </c>
      <c r="R2644" s="126">
        <v>45929</v>
      </c>
    </row>
    <row r="2645" spans="2:18" ht="17.25" hidden="1" customHeight="1">
      <c r="B2645" s="23">
        <v>45924</v>
      </c>
      <c r="C2645" s="7">
        <v>2003801070</v>
      </c>
      <c r="D2645" s="20">
        <v>299772</v>
      </c>
      <c r="E2645" s="27" t="s">
        <v>123</v>
      </c>
      <c r="F2645" s="7" t="s">
        <v>107</v>
      </c>
      <c r="G2645" s="7" t="s">
        <v>10</v>
      </c>
      <c r="H2645" s="7" t="s">
        <v>45</v>
      </c>
      <c r="I2645" s="20" t="s">
        <v>1813</v>
      </c>
      <c r="J2645" s="20" t="s">
        <v>937</v>
      </c>
      <c r="K2645" s="7" t="s">
        <v>119</v>
      </c>
      <c r="L2645" s="61">
        <v>45929</v>
      </c>
      <c r="M2645" s="7" t="s">
        <v>111</v>
      </c>
      <c r="N2645" s="61">
        <v>45930</v>
      </c>
      <c r="O2645" s="58">
        <v>45931</v>
      </c>
      <c r="P2645" s="59"/>
      <c r="Q2645" s="124" t="e">
        <f>P2645*#REF!</f>
        <v>#REF!</v>
      </c>
      <c r="R2645" s="126">
        <v>45933</v>
      </c>
    </row>
    <row r="2646" spans="2:18" ht="17.25" hidden="1" customHeight="1">
      <c r="B2646" s="23">
        <v>45924</v>
      </c>
      <c r="C2646" s="7">
        <v>2003799893</v>
      </c>
      <c r="D2646" s="20">
        <v>299755</v>
      </c>
      <c r="E2646" s="27" t="s">
        <v>566</v>
      </c>
      <c r="F2646" s="7" t="s">
        <v>107</v>
      </c>
      <c r="G2646" s="7" t="s">
        <v>10</v>
      </c>
      <c r="H2646" s="7" t="s">
        <v>45</v>
      </c>
      <c r="I2646" s="20" t="s">
        <v>782</v>
      </c>
      <c r="J2646" s="20" t="s">
        <v>3869</v>
      </c>
      <c r="K2646" s="7" t="s">
        <v>119</v>
      </c>
      <c r="L2646" s="61">
        <v>45926</v>
      </c>
      <c r="M2646" s="7" t="s">
        <v>111</v>
      </c>
      <c r="N2646" s="24">
        <v>45929</v>
      </c>
      <c r="O2646" s="58">
        <v>45933</v>
      </c>
      <c r="P2646" s="59"/>
      <c r="Q2646" s="124" t="e">
        <f>P2646*#REF!</f>
        <v>#REF!</v>
      </c>
      <c r="R2646" s="126">
        <v>45933</v>
      </c>
    </row>
    <row r="2647" spans="2:18" ht="17.25" hidden="1" customHeight="1">
      <c r="B2647" s="23">
        <v>45924</v>
      </c>
      <c r="C2647" s="7">
        <v>2003797917</v>
      </c>
      <c r="D2647" s="20">
        <v>299353</v>
      </c>
      <c r="E2647" s="27" t="s">
        <v>566</v>
      </c>
      <c r="F2647" s="7" t="s">
        <v>107</v>
      </c>
      <c r="G2647" s="7" t="s">
        <v>10</v>
      </c>
      <c r="H2647" s="7" t="s">
        <v>45</v>
      </c>
      <c r="I2647" s="20" t="s">
        <v>3870</v>
      </c>
      <c r="J2647" s="20" t="s">
        <v>3871</v>
      </c>
      <c r="K2647" s="7" t="s">
        <v>119</v>
      </c>
      <c r="L2647" s="61">
        <v>45926</v>
      </c>
      <c r="M2647" s="7" t="s">
        <v>111</v>
      </c>
      <c r="N2647" s="24">
        <v>45929</v>
      </c>
      <c r="O2647" s="58">
        <v>45931</v>
      </c>
      <c r="P2647" s="59"/>
      <c r="Q2647" s="124" t="e">
        <f>P2647*#REF!</f>
        <v>#REF!</v>
      </c>
      <c r="R2647" s="126">
        <v>45933</v>
      </c>
    </row>
    <row r="2648" spans="2:18" ht="17.25" hidden="1" customHeight="1">
      <c r="B2648" s="23">
        <v>45924</v>
      </c>
      <c r="C2648" s="7">
        <v>2003799449</v>
      </c>
      <c r="D2648" s="20">
        <v>298855</v>
      </c>
      <c r="E2648" s="27" t="s">
        <v>180</v>
      </c>
      <c r="F2648" s="7" t="s">
        <v>107</v>
      </c>
      <c r="G2648" s="7" t="s">
        <v>10</v>
      </c>
      <c r="H2648" s="7" t="s">
        <v>45</v>
      </c>
      <c r="I2648" s="20" t="s">
        <v>136</v>
      </c>
      <c r="J2648" s="20" t="s">
        <v>3872</v>
      </c>
      <c r="K2648" s="7" t="s">
        <v>119</v>
      </c>
      <c r="L2648" s="61">
        <v>45929</v>
      </c>
      <c r="M2648" s="7" t="s">
        <v>111</v>
      </c>
      <c r="N2648" s="61">
        <v>45930</v>
      </c>
      <c r="O2648" s="61">
        <v>45930</v>
      </c>
      <c r="P2648" s="59"/>
      <c r="Q2648" s="124" t="e">
        <f>P2648*#REF!</f>
        <v>#REF!</v>
      </c>
      <c r="R2648" s="126">
        <v>45930</v>
      </c>
    </row>
    <row r="2649" spans="2:18" ht="17.25" hidden="1" customHeight="1">
      <c r="B2649" s="23">
        <v>45924</v>
      </c>
      <c r="C2649" s="7">
        <v>2003799119</v>
      </c>
      <c r="D2649" s="20">
        <v>298832</v>
      </c>
      <c r="E2649" s="27" t="s">
        <v>180</v>
      </c>
      <c r="F2649" s="7" t="s">
        <v>113</v>
      </c>
      <c r="G2649" s="7" t="s">
        <v>70</v>
      </c>
      <c r="H2649" s="7" t="s">
        <v>47</v>
      </c>
      <c r="I2649" s="20" t="s">
        <v>3873</v>
      </c>
      <c r="J2649" s="20" t="s">
        <v>3874</v>
      </c>
      <c r="K2649" s="7" t="s">
        <v>160</v>
      </c>
      <c r="P2649" s="59"/>
      <c r="Q2649" s="124" t="e">
        <f>P2649*#REF!</f>
        <v>#REF!</v>
      </c>
      <c r="R2649" s="126">
        <v>45944</v>
      </c>
    </row>
    <row r="2650" spans="2:18" ht="17.25" hidden="1" customHeight="1">
      <c r="B2650" s="23">
        <v>45924</v>
      </c>
      <c r="C2650" s="7">
        <v>2003799119</v>
      </c>
      <c r="D2650" s="20">
        <v>298821</v>
      </c>
      <c r="E2650" s="27" t="s">
        <v>180</v>
      </c>
      <c r="F2650" s="7" t="s">
        <v>107</v>
      </c>
      <c r="G2650" s="7" t="s">
        <v>18</v>
      </c>
      <c r="H2650" s="7" t="s">
        <v>45</v>
      </c>
      <c r="I2650" s="20" t="s">
        <v>3875</v>
      </c>
      <c r="J2650" s="20" t="s">
        <v>3876</v>
      </c>
      <c r="K2650" s="7" t="s">
        <v>119</v>
      </c>
      <c r="L2650" s="61">
        <v>45938</v>
      </c>
      <c r="M2650" s="7" t="s">
        <v>111</v>
      </c>
      <c r="N2650" s="24">
        <v>45944</v>
      </c>
      <c r="O2650" s="24">
        <v>45945</v>
      </c>
      <c r="P2650" s="59"/>
      <c r="Q2650" s="124" t="e">
        <f>P2650*#REF!</f>
        <v>#REF!</v>
      </c>
      <c r="R2650" s="126">
        <v>45946</v>
      </c>
    </row>
    <row r="2651" spans="2:18" ht="17.25" hidden="1" customHeight="1">
      <c r="B2651" s="23">
        <v>45924</v>
      </c>
      <c r="C2651" s="7">
        <v>2003675670</v>
      </c>
      <c r="D2651" s="20">
        <v>6372164</v>
      </c>
      <c r="E2651" s="27" t="s">
        <v>3086</v>
      </c>
      <c r="F2651" s="7" t="s">
        <v>107</v>
      </c>
      <c r="G2651" s="7" t="s">
        <v>10</v>
      </c>
      <c r="H2651" s="7" t="s">
        <v>45</v>
      </c>
      <c r="I2651" s="20" t="s">
        <v>3877</v>
      </c>
      <c r="J2651" s="20" t="s">
        <v>2388</v>
      </c>
      <c r="K2651" s="7" t="s">
        <v>111</v>
      </c>
      <c r="L2651" s="61">
        <v>45925</v>
      </c>
      <c r="M2651" s="7" t="s">
        <v>111</v>
      </c>
      <c r="N2651" s="24">
        <v>45931</v>
      </c>
      <c r="O2651" s="24">
        <v>45931</v>
      </c>
      <c r="P2651" s="59"/>
      <c r="Q2651" s="124" t="e">
        <f>P2651*#REF!</f>
        <v>#REF!</v>
      </c>
      <c r="R2651" s="126">
        <v>45933</v>
      </c>
    </row>
    <row r="2652" spans="2:18" ht="17.25" hidden="1" customHeight="1">
      <c r="B2652" s="23">
        <v>45924</v>
      </c>
      <c r="C2652" s="7">
        <v>2003800572</v>
      </c>
      <c r="D2652" s="20">
        <v>6372250</v>
      </c>
      <c r="E2652" s="27" t="s">
        <v>185</v>
      </c>
      <c r="F2652" s="7" t="s">
        <v>107</v>
      </c>
      <c r="G2652" s="7" t="s">
        <v>18</v>
      </c>
      <c r="H2652" s="7" t="s">
        <v>45</v>
      </c>
      <c r="I2652" s="20" t="s">
        <v>204</v>
      </c>
      <c r="J2652" s="20" t="s">
        <v>3878</v>
      </c>
      <c r="K2652" s="7" t="s">
        <v>119</v>
      </c>
      <c r="L2652" s="61">
        <v>45929</v>
      </c>
      <c r="M2652" s="7" t="s">
        <v>111</v>
      </c>
      <c r="N2652" s="61">
        <v>45930</v>
      </c>
      <c r="O2652" s="58">
        <v>45931</v>
      </c>
      <c r="P2652" s="59"/>
      <c r="Q2652" s="124" t="e">
        <f>P2652*#REF!</f>
        <v>#REF!</v>
      </c>
      <c r="R2652" s="126">
        <v>45933</v>
      </c>
    </row>
    <row r="2653" spans="2:18" ht="17.25" hidden="1" customHeight="1">
      <c r="B2653" s="23">
        <v>45924</v>
      </c>
      <c r="C2653" s="7">
        <v>2003727667</v>
      </c>
      <c r="D2653" s="20">
        <v>6372396</v>
      </c>
      <c r="E2653" s="27" t="s">
        <v>1225</v>
      </c>
      <c r="F2653" s="7" t="s">
        <v>107</v>
      </c>
      <c r="G2653" s="7" t="s">
        <v>10</v>
      </c>
      <c r="H2653" s="7" t="s">
        <v>45</v>
      </c>
      <c r="I2653" s="20" t="s">
        <v>3879</v>
      </c>
      <c r="J2653" s="20" t="s">
        <v>3880</v>
      </c>
      <c r="K2653" s="7" t="s">
        <v>119</v>
      </c>
      <c r="L2653" s="61">
        <v>45926</v>
      </c>
      <c r="M2653" s="7" t="s">
        <v>111</v>
      </c>
      <c r="N2653" s="24">
        <v>45929</v>
      </c>
      <c r="O2653" s="58">
        <v>45931</v>
      </c>
      <c r="P2653" s="59"/>
      <c r="Q2653" s="124" t="e">
        <f>P2653*#REF!</f>
        <v>#REF!</v>
      </c>
      <c r="R2653" s="126">
        <v>45933</v>
      </c>
    </row>
    <row r="2654" spans="2:18" ht="17.25" hidden="1" customHeight="1">
      <c r="B2654" s="23">
        <v>45925</v>
      </c>
      <c r="C2654" s="7">
        <v>2003797029</v>
      </c>
      <c r="D2654" s="20">
        <v>301560</v>
      </c>
      <c r="E2654" s="27" t="s">
        <v>149</v>
      </c>
      <c r="F2654" s="7" t="s">
        <v>107</v>
      </c>
      <c r="G2654" s="7" t="s">
        <v>10</v>
      </c>
      <c r="H2654" s="7" t="s">
        <v>45</v>
      </c>
      <c r="I2654" s="20" t="s">
        <v>263</v>
      </c>
      <c r="J2654" s="20" t="s">
        <v>3881</v>
      </c>
      <c r="K2654" s="7" t="s">
        <v>119</v>
      </c>
      <c r="L2654" s="61">
        <v>45932</v>
      </c>
      <c r="M2654" s="7" t="s">
        <v>111</v>
      </c>
      <c r="N2654" s="24">
        <v>45933</v>
      </c>
      <c r="O2654" s="24">
        <v>45933</v>
      </c>
      <c r="P2654" s="59"/>
      <c r="Q2654" s="124" t="e">
        <f>P2654*#REF!</f>
        <v>#REF!</v>
      </c>
      <c r="R2654" s="126">
        <v>45933</v>
      </c>
    </row>
    <row r="2655" spans="2:18" ht="17.25" hidden="1" customHeight="1">
      <c r="B2655" s="23">
        <v>45925</v>
      </c>
      <c r="C2655" s="7">
        <v>2003776475</v>
      </c>
      <c r="D2655" s="20">
        <v>301049</v>
      </c>
      <c r="E2655" s="27" t="s">
        <v>404</v>
      </c>
      <c r="F2655" s="7" t="s">
        <v>113</v>
      </c>
      <c r="G2655" s="7" t="s">
        <v>70</v>
      </c>
      <c r="H2655" s="7" t="s">
        <v>47</v>
      </c>
      <c r="I2655" s="20" t="s">
        <v>1015</v>
      </c>
      <c r="J2655" s="20" t="s">
        <v>3882</v>
      </c>
      <c r="K2655" s="7" t="s">
        <v>160</v>
      </c>
      <c r="P2655" s="59"/>
      <c r="Q2655" s="124" t="e">
        <f>P2655*#REF!</f>
        <v>#REF!</v>
      </c>
      <c r="R2655" s="126">
        <v>45944</v>
      </c>
    </row>
    <row r="2656" spans="2:18" ht="17.25" hidden="1" customHeight="1">
      <c r="B2656" s="23">
        <v>45925</v>
      </c>
      <c r="C2656" s="7">
        <v>2003789527</v>
      </c>
      <c r="D2656" s="20">
        <v>300877</v>
      </c>
      <c r="E2656" s="27" t="s">
        <v>201</v>
      </c>
      <c r="F2656" s="7" t="s">
        <v>107</v>
      </c>
      <c r="G2656" s="7" t="s">
        <v>10</v>
      </c>
      <c r="H2656" s="7" t="s">
        <v>45</v>
      </c>
      <c r="I2656" s="20" t="s">
        <v>1717</v>
      </c>
      <c r="J2656" s="20" t="s">
        <v>3883</v>
      </c>
      <c r="K2656" s="7" t="s">
        <v>119</v>
      </c>
      <c r="L2656" s="61">
        <v>45939</v>
      </c>
      <c r="M2656" s="7" t="s">
        <v>111</v>
      </c>
      <c r="N2656" s="24">
        <v>45943</v>
      </c>
      <c r="O2656" s="24">
        <v>45945</v>
      </c>
      <c r="P2656" s="59"/>
      <c r="Q2656" s="124" t="e">
        <f>P2656*#REF!</f>
        <v>#REF!</v>
      </c>
      <c r="R2656" s="126">
        <v>45946</v>
      </c>
    </row>
    <row r="2657" spans="2:18" ht="17.25" hidden="1" customHeight="1">
      <c r="B2657" s="23">
        <v>45925</v>
      </c>
      <c r="C2657" s="7">
        <v>2003799698</v>
      </c>
      <c r="D2657" s="20">
        <v>300800</v>
      </c>
      <c r="E2657" s="27" t="s">
        <v>191</v>
      </c>
      <c r="F2657" s="7" t="s">
        <v>107</v>
      </c>
      <c r="G2657" s="7" t="s">
        <v>10</v>
      </c>
      <c r="H2657" s="7" t="s">
        <v>45</v>
      </c>
      <c r="I2657" s="20" t="s">
        <v>952</v>
      </c>
      <c r="J2657" s="20" t="s">
        <v>3884</v>
      </c>
      <c r="K2657" s="7" t="s">
        <v>119</v>
      </c>
      <c r="L2657" s="61">
        <v>45929</v>
      </c>
      <c r="M2657" s="7" t="s">
        <v>111</v>
      </c>
      <c r="N2657" s="61">
        <v>45930</v>
      </c>
      <c r="O2657" s="61">
        <v>45930</v>
      </c>
      <c r="P2657" s="59"/>
      <c r="Q2657" s="124" t="e">
        <f>P2657*#REF!</f>
        <v>#REF!</v>
      </c>
      <c r="R2657" s="126">
        <v>45930</v>
      </c>
    </row>
    <row r="2658" spans="2:18" ht="17.25" hidden="1" customHeight="1">
      <c r="B2658" s="23">
        <v>45925</v>
      </c>
      <c r="C2658" s="7">
        <v>2003800209</v>
      </c>
      <c r="D2658" s="20">
        <v>300527</v>
      </c>
      <c r="E2658" s="27" t="s">
        <v>198</v>
      </c>
      <c r="F2658" s="7" t="s">
        <v>107</v>
      </c>
      <c r="G2658" s="7" t="s">
        <v>10</v>
      </c>
      <c r="H2658" s="7" t="s">
        <v>45</v>
      </c>
      <c r="I2658" s="20" t="s">
        <v>1879</v>
      </c>
      <c r="J2658" s="20" t="s">
        <v>1880</v>
      </c>
      <c r="K2658" s="7" t="s">
        <v>119</v>
      </c>
      <c r="L2658" s="61">
        <v>45931</v>
      </c>
      <c r="M2658" s="7" t="s">
        <v>111</v>
      </c>
      <c r="N2658" s="24">
        <v>45938</v>
      </c>
      <c r="O2658" s="24">
        <v>45938</v>
      </c>
      <c r="P2658" s="59"/>
      <c r="Q2658" s="124" t="e">
        <f>P2658*#REF!</f>
        <v>#REF!</v>
      </c>
      <c r="R2658" s="126">
        <v>45938</v>
      </c>
    </row>
    <row r="2659" spans="2:18" ht="17.25" hidden="1" customHeight="1">
      <c r="B2659" s="23">
        <v>45925</v>
      </c>
      <c r="C2659" s="7">
        <v>2003800719</v>
      </c>
      <c r="D2659" s="20">
        <v>6372642</v>
      </c>
      <c r="E2659" s="27" t="s">
        <v>106</v>
      </c>
      <c r="F2659" s="7" t="s">
        <v>107</v>
      </c>
      <c r="G2659" s="7" t="s">
        <v>18</v>
      </c>
      <c r="H2659" s="7" t="s">
        <v>45</v>
      </c>
      <c r="I2659" s="20" t="s">
        <v>3885</v>
      </c>
      <c r="J2659" s="20" t="s">
        <v>3886</v>
      </c>
      <c r="K2659" s="7" t="s">
        <v>119</v>
      </c>
      <c r="L2659" s="61">
        <v>45929</v>
      </c>
      <c r="M2659" s="7" t="s">
        <v>111</v>
      </c>
      <c r="N2659" s="61">
        <v>45930</v>
      </c>
      <c r="O2659" s="61">
        <v>45930</v>
      </c>
      <c r="P2659" s="59"/>
      <c r="Q2659" s="124" t="e">
        <f>P2659*#REF!</f>
        <v>#REF!</v>
      </c>
      <c r="R2659" s="126">
        <v>45930</v>
      </c>
    </row>
    <row r="2660" spans="2:18" ht="17.25" hidden="1" customHeight="1">
      <c r="B2660" s="23">
        <v>45925</v>
      </c>
      <c r="C2660" s="7">
        <v>2003783368</v>
      </c>
      <c r="D2660" s="20">
        <v>6372732</v>
      </c>
      <c r="E2660" s="27" t="s">
        <v>3887</v>
      </c>
      <c r="F2660" s="7" t="s">
        <v>107</v>
      </c>
      <c r="G2660" s="7" t="s">
        <v>18</v>
      </c>
      <c r="H2660" s="7" t="s">
        <v>45</v>
      </c>
      <c r="I2660" s="20" t="s">
        <v>3888</v>
      </c>
      <c r="J2660" s="20" t="s">
        <v>3889</v>
      </c>
      <c r="K2660" s="7" t="s">
        <v>119</v>
      </c>
      <c r="L2660" s="61">
        <v>45932</v>
      </c>
      <c r="M2660" s="7" t="s">
        <v>111</v>
      </c>
      <c r="N2660" s="24">
        <v>45938</v>
      </c>
      <c r="O2660" s="58">
        <v>45938</v>
      </c>
      <c r="P2660" s="59"/>
      <c r="Q2660" s="124" t="e">
        <f>P2660*#REF!</f>
        <v>#REF!</v>
      </c>
      <c r="R2660" s="126">
        <v>45938</v>
      </c>
    </row>
    <row r="2661" spans="2:18" ht="17.25" hidden="1" customHeight="1">
      <c r="B2661" s="23">
        <v>45925</v>
      </c>
      <c r="C2661" s="7">
        <v>2003794900</v>
      </c>
      <c r="D2661" s="20">
        <v>6372807</v>
      </c>
      <c r="E2661" s="27" t="s">
        <v>408</v>
      </c>
      <c r="F2661" s="7" t="s">
        <v>107</v>
      </c>
      <c r="G2661" s="7" t="s">
        <v>18</v>
      </c>
      <c r="H2661" s="7" t="s">
        <v>45</v>
      </c>
      <c r="I2661" s="20" t="s">
        <v>3890</v>
      </c>
      <c r="J2661" s="20" t="s">
        <v>3891</v>
      </c>
      <c r="K2661" s="7" t="s">
        <v>119</v>
      </c>
      <c r="L2661" s="61">
        <v>45926</v>
      </c>
      <c r="M2661" s="7" t="s">
        <v>111</v>
      </c>
      <c r="N2661" s="24">
        <v>45929</v>
      </c>
      <c r="O2661" s="58">
        <v>45933</v>
      </c>
      <c r="P2661" s="59"/>
      <c r="Q2661" s="124" t="e">
        <f>P2661*#REF!</f>
        <v>#REF!</v>
      </c>
      <c r="R2661" s="126">
        <v>45933</v>
      </c>
    </row>
    <row r="2662" spans="2:18" ht="17.25" hidden="1" customHeight="1">
      <c r="B2662" s="23">
        <v>45925</v>
      </c>
      <c r="C2662" s="7">
        <v>2003781940</v>
      </c>
      <c r="D2662" s="20">
        <v>6372817</v>
      </c>
      <c r="E2662" s="27" t="s">
        <v>622</v>
      </c>
      <c r="F2662" s="7" t="s">
        <v>107</v>
      </c>
      <c r="G2662" s="7" t="s">
        <v>21</v>
      </c>
      <c r="H2662" s="7" t="s">
        <v>45</v>
      </c>
      <c r="I2662" s="20" t="s">
        <v>3892</v>
      </c>
      <c r="J2662" s="20" t="s">
        <v>3702</v>
      </c>
      <c r="K2662" s="7" t="s">
        <v>119</v>
      </c>
      <c r="L2662" s="61">
        <v>45926</v>
      </c>
      <c r="M2662" s="7" t="s">
        <v>111</v>
      </c>
      <c r="N2662" s="24">
        <v>45927</v>
      </c>
      <c r="O2662" s="24">
        <v>45927</v>
      </c>
      <c r="P2662" s="59"/>
      <c r="Q2662" s="124" t="e">
        <f>P2662*#REF!</f>
        <v>#REF!</v>
      </c>
      <c r="R2662" s="126">
        <v>45929</v>
      </c>
    </row>
    <row r="2663" spans="2:18" ht="17.25" hidden="1" customHeight="1">
      <c r="B2663" s="23">
        <v>45925</v>
      </c>
      <c r="C2663" s="7">
        <v>2003801801</v>
      </c>
      <c r="D2663" s="20">
        <v>6372819</v>
      </c>
      <c r="E2663" s="27" t="s">
        <v>138</v>
      </c>
      <c r="F2663" s="7" t="s">
        <v>107</v>
      </c>
      <c r="G2663" s="7" t="s">
        <v>10</v>
      </c>
      <c r="H2663" s="7" t="s">
        <v>45</v>
      </c>
      <c r="I2663" s="20" t="s">
        <v>3893</v>
      </c>
      <c r="J2663" s="20" t="s">
        <v>3894</v>
      </c>
      <c r="K2663" s="7" t="s">
        <v>119</v>
      </c>
      <c r="L2663" s="61">
        <v>45929</v>
      </c>
      <c r="M2663" s="7" t="s">
        <v>111</v>
      </c>
      <c r="N2663" s="61">
        <v>45930</v>
      </c>
      <c r="O2663" s="61">
        <v>45930</v>
      </c>
      <c r="P2663" s="59"/>
      <c r="Q2663" s="124" t="e">
        <f>P2663*#REF!</f>
        <v>#REF!</v>
      </c>
      <c r="R2663" s="126">
        <v>45930</v>
      </c>
    </row>
    <row r="2664" spans="2:18" ht="17.25" hidden="1" customHeight="1">
      <c r="B2664" s="23">
        <v>45925</v>
      </c>
      <c r="C2664" s="7">
        <v>2003800412</v>
      </c>
      <c r="D2664" s="20">
        <v>6373132</v>
      </c>
      <c r="E2664" s="27" t="s">
        <v>201</v>
      </c>
      <c r="F2664" s="7" t="s">
        <v>107</v>
      </c>
      <c r="G2664" s="7" t="s">
        <v>18</v>
      </c>
      <c r="H2664" s="7" t="s">
        <v>45</v>
      </c>
      <c r="I2664" s="20" t="s">
        <v>3895</v>
      </c>
      <c r="J2664" s="20" t="s">
        <v>3896</v>
      </c>
      <c r="K2664" s="7" t="s">
        <v>119</v>
      </c>
      <c r="L2664" s="61">
        <v>45929</v>
      </c>
      <c r="M2664" s="7" t="s">
        <v>111</v>
      </c>
      <c r="N2664" s="61">
        <v>45930</v>
      </c>
      <c r="O2664" s="58">
        <v>45931</v>
      </c>
      <c r="P2664" s="59"/>
      <c r="Q2664" s="124" t="e">
        <f>P2664*#REF!</f>
        <v>#REF!</v>
      </c>
      <c r="R2664" s="126">
        <v>45933</v>
      </c>
    </row>
    <row r="2665" spans="2:18" ht="17.25" hidden="1" customHeight="1">
      <c r="B2665" s="23">
        <v>45926</v>
      </c>
      <c r="C2665" s="7">
        <v>2003787523</v>
      </c>
      <c r="D2665" s="20">
        <v>302843</v>
      </c>
      <c r="E2665" s="27" t="s">
        <v>185</v>
      </c>
      <c r="F2665" s="7" t="s">
        <v>107</v>
      </c>
      <c r="G2665" s="7" t="s">
        <v>21</v>
      </c>
      <c r="H2665" s="7" t="s">
        <v>45</v>
      </c>
      <c r="I2665" s="20" t="s">
        <v>3759</v>
      </c>
      <c r="J2665" s="20" t="s">
        <v>3760</v>
      </c>
      <c r="K2665" s="7" t="s">
        <v>110</v>
      </c>
      <c r="L2665" s="61">
        <v>45930</v>
      </c>
      <c r="M2665" s="7" t="s">
        <v>111</v>
      </c>
      <c r="N2665" s="61">
        <v>45930</v>
      </c>
      <c r="O2665" s="58">
        <v>45931</v>
      </c>
      <c r="P2665" s="59"/>
      <c r="Q2665" s="124" t="e">
        <f>P2665*#REF!</f>
        <v>#REF!</v>
      </c>
      <c r="R2665" s="126">
        <v>45933</v>
      </c>
    </row>
    <row r="2666" spans="2:18" ht="17.25" hidden="1" customHeight="1">
      <c r="B2666" s="23">
        <v>45926</v>
      </c>
      <c r="C2666" s="7">
        <v>2003799386</v>
      </c>
      <c r="D2666" s="20">
        <v>302806</v>
      </c>
      <c r="E2666" s="27" t="s">
        <v>191</v>
      </c>
      <c r="F2666" s="7" t="s">
        <v>107</v>
      </c>
      <c r="G2666" s="7" t="s">
        <v>10</v>
      </c>
      <c r="H2666" s="7" t="s">
        <v>45</v>
      </c>
      <c r="I2666" s="20" t="s">
        <v>861</v>
      </c>
      <c r="J2666" s="20" t="s">
        <v>3897</v>
      </c>
      <c r="K2666" s="7" t="s">
        <v>119</v>
      </c>
      <c r="L2666" s="61">
        <v>45930</v>
      </c>
      <c r="M2666" s="7" t="s">
        <v>111</v>
      </c>
      <c r="N2666" s="61">
        <v>45931</v>
      </c>
      <c r="O2666" s="58">
        <v>45933</v>
      </c>
      <c r="P2666" s="59"/>
      <c r="Q2666" s="124" t="e">
        <f>P2666*#REF!</f>
        <v>#REF!</v>
      </c>
      <c r="R2666" s="126">
        <v>45933</v>
      </c>
    </row>
    <row r="2667" spans="2:18" ht="17.25" hidden="1" customHeight="1">
      <c r="B2667" s="23">
        <v>45926</v>
      </c>
      <c r="C2667" s="7">
        <v>2003802274</v>
      </c>
      <c r="D2667" s="20">
        <v>302721</v>
      </c>
      <c r="E2667" s="27" t="s">
        <v>123</v>
      </c>
      <c r="F2667" s="7" t="s">
        <v>107</v>
      </c>
      <c r="G2667" s="7" t="s">
        <v>10</v>
      </c>
      <c r="H2667" s="7" t="s">
        <v>45</v>
      </c>
      <c r="I2667" s="20" t="s">
        <v>164</v>
      </c>
      <c r="J2667" s="20" t="s">
        <v>3898</v>
      </c>
      <c r="K2667" s="7" t="s">
        <v>119</v>
      </c>
      <c r="L2667" s="61">
        <v>45931</v>
      </c>
      <c r="M2667" s="7" t="s">
        <v>111</v>
      </c>
      <c r="N2667" s="61">
        <v>45931</v>
      </c>
      <c r="O2667" s="58">
        <v>45933</v>
      </c>
      <c r="P2667" s="59"/>
      <c r="Q2667" s="124" t="e">
        <f>P2667*#REF!</f>
        <v>#REF!</v>
      </c>
      <c r="R2667" s="126">
        <v>45933</v>
      </c>
    </row>
    <row r="2668" spans="2:18" ht="17.25" hidden="1" customHeight="1">
      <c r="B2668" s="23">
        <v>45926</v>
      </c>
      <c r="C2668" s="7">
        <v>2003790709</v>
      </c>
      <c r="D2668" s="20">
        <v>302539</v>
      </c>
      <c r="E2668" s="27" t="s">
        <v>143</v>
      </c>
      <c r="F2668" s="7" t="s">
        <v>107</v>
      </c>
      <c r="G2668" s="7" t="s">
        <v>21</v>
      </c>
      <c r="H2668" s="7" t="s">
        <v>45</v>
      </c>
      <c r="I2668" s="20" t="s">
        <v>3899</v>
      </c>
      <c r="J2668" s="20" t="s">
        <v>3803</v>
      </c>
      <c r="K2668" s="7" t="s">
        <v>119</v>
      </c>
      <c r="L2668" s="61">
        <v>45929</v>
      </c>
      <c r="M2668" s="7" t="s">
        <v>111</v>
      </c>
      <c r="N2668" s="61">
        <v>45930</v>
      </c>
      <c r="O2668" s="58">
        <v>45931</v>
      </c>
      <c r="P2668" s="59"/>
      <c r="Q2668" s="124" t="e">
        <f>P2668*#REF!</f>
        <v>#REF!</v>
      </c>
      <c r="R2668" s="126">
        <v>45933</v>
      </c>
    </row>
    <row r="2669" spans="2:18" ht="17.25" hidden="1" customHeight="1">
      <c r="B2669" s="23">
        <v>45926</v>
      </c>
      <c r="C2669" s="7">
        <v>2003800883</v>
      </c>
      <c r="D2669" s="20">
        <v>302394</v>
      </c>
      <c r="E2669" s="27" t="s">
        <v>622</v>
      </c>
      <c r="F2669" s="7" t="s">
        <v>107</v>
      </c>
      <c r="G2669" s="7" t="s">
        <v>10</v>
      </c>
      <c r="H2669" s="7" t="s">
        <v>45</v>
      </c>
      <c r="I2669" s="20" t="s">
        <v>3900</v>
      </c>
      <c r="J2669" s="20" t="s">
        <v>3901</v>
      </c>
      <c r="K2669" s="7" t="s">
        <v>119</v>
      </c>
      <c r="L2669" s="61">
        <v>45932</v>
      </c>
      <c r="M2669" s="7" t="s">
        <v>111</v>
      </c>
      <c r="N2669" s="24">
        <v>45933</v>
      </c>
      <c r="O2669" s="24">
        <v>45933</v>
      </c>
      <c r="P2669" s="59"/>
      <c r="Q2669" s="124" t="e">
        <f>P2669*#REF!</f>
        <v>#REF!</v>
      </c>
      <c r="R2669" s="126">
        <v>45933</v>
      </c>
    </row>
    <row r="2670" spans="2:18" ht="17.25" hidden="1" customHeight="1">
      <c r="B2670" s="23">
        <v>45926</v>
      </c>
      <c r="C2670" s="7">
        <v>2003799635</v>
      </c>
      <c r="D2670" s="20">
        <v>302388</v>
      </c>
      <c r="E2670" s="27" t="s">
        <v>1225</v>
      </c>
      <c r="F2670" s="7" t="s">
        <v>107</v>
      </c>
      <c r="G2670" s="7" t="s">
        <v>10</v>
      </c>
      <c r="H2670" s="7" t="s">
        <v>45</v>
      </c>
      <c r="I2670" s="20" t="s">
        <v>631</v>
      </c>
      <c r="J2670" s="20" t="s">
        <v>3902</v>
      </c>
      <c r="K2670" s="7" t="s">
        <v>110</v>
      </c>
      <c r="L2670" s="61">
        <v>45930</v>
      </c>
      <c r="M2670" s="7" t="s">
        <v>111</v>
      </c>
      <c r="N2670" s="61">
        <v>45930</v>
      </c>
      <c r="O2670" s="61">
        <v>45930</v>
      </c>
      <c r="P2670" s="59"/>
      <c r="Q2670" s="124" t="e">
        <f>P2670*#REF!</f>
        <v>#REF!</v>
      </c>
      <c r="R2670" s="126">
        <v>45933</v>
      </c>
    </row>
    <row r="2671" spans="2:18" ht="17.25" hidden="1" customHeight="1">
      <c r="B2671" s="23">
        <v>45926</v>
      </c>
      <c r="C2671" s="7">
        <v>2003796773</v>
      </c>
      <c r="D2671" s="20">
        <v>302419</v>
      </c>
      <c r="E2671" s="27" t="s">
        <v>258</v>
      </c>
      <c r="F2671" s="7" t="s">
        <v>107</v>
      </c>
      <c r="G2671" s="7" t="s">
        <v>18</v>
      </c>
      <c r="H2671" s="7" t="s">
        <v>45</v>
      </c>
      <c r="I2671" s="20" t="s">
        <v>1728</v>
      </c>
      <c r="J2671" s="20" t="s">
        <v>3903</v>
      </c>
      <c r="K2671" s="7" t="s">
        <v>119</v>
      </c>
      <c r="L2671" s="61">
        <v>45929</v>
      </c>
      <c r="M2671" s="7" t="s">
        <v>111</v>
      </c>
      <c r="N2671" s="61">
        <v>45930</v>
      </c>
      <c r="O2671" s="58">
        <v>45931</v>
      </c>
      <c r="P2671" s="59"/>
      <c r="Q2671" s="124" t="e">
        <f>P2671*#REF!</f>
        <v>#REF!</v>
      </c>
      <c r="R2671" s="126">
        <v>45933</v>
      </c>
    </row>
    <row r="2672" spans="2:18" ht="17.25" hidden="1" customHeight="1">
      <c r="B2672" s="23">
        <v>45926</v>
      </c>
      <c r="C2672" s="7">
        <v>2003777929</v>
      </c>
      <c r="D2672" s="20">
        <v>6373369</v>
      </c>
      <c r="E2672" s="27" t="s">
        <v>408</v>
      </c>
      <c r="F2672" s="7" t="s">
        <v>107</v>
      </c>
      <c r="G2672" s="7" t="s">
        <v>18</v>
      </c>
      <c r="H2672" s="7" t="s">
        <v>45</v>
      </c>
      <c r="I2672" s="20" t="s">
        <v>3904</v>
      </c>
      <c r="J2672" s="20" t="s">
        <v>3905</v>
      </c>
      <c r="K2672" s="7" t="s">
        <v>110</v>
      </c>
      <c r="L2672" s="61">
        <v>45932</v>
      </c>
      <c r="M2672" s="7" t="s">
        <v>111</v>
      </c>
      <c r="N2672" s="24">
        <v>45938</v>
      </c>
      <c r="O2672" s="58">
        <v>45946</v>
      </c>
      <c r="P2672" s="59"/>
      <c r="Q2672" s="124" t="e">
        <f>P2672*#REF!</f>
        <v>#REF!</v>
      </c>
      <c r="R2672" s="126">
        <v>45946</v>
      </c>
    </row>
    <row r="2673" spans="2:18" ht="17.25" hidden="1" customHeight="1">
      <c r="B2673" s="23">
        <v>45926</v>
      </c>
      <c r="C2673" s="7">
        <v>2003795277</v>
      </c>
      <c r="D2673" s="20">
        <v>6373392</v>
      </c>
      <c r="E2673" s="27" t="s">
        <v>185</v>
      </c>
      <c r="F2673" s="7" t="s">
        <v>107</v>
      </c>
      <c r="G2673" s="7" t="s">
        <v>18</v>
      </c>
      <c r="H2673" s="7" t="s">
        <v>45</v>
      </c>
      <c r="I2673" s="20" t="s">
        <v>3906</v>
      </c>
      <c r="J2673" s="20" t="s">
        <v>3907</v>
      </c>
      <c r="K2673" s="7" t="s">
        <v>119</v>
      </c>
      <c r="L2673" s="61">
        <v>45929</v>
      </c>
      <c r="M2673" s="7" t="s">
        <v>111</v>
      </c>
      <c r="N2673" s="61">
        <v>45930</v>
      </c>
      <c r="O2673" s="58">
        <v>45931</v>
      </c>
      <c r="P2673" s="59"/>
      <c r="Q2673" s="124" t="e">
        <f>P2673*#REF!</f>
        <v>#REF!</v>
      </c>
      <c r="R2673" s="126">
        <v>45933</v>
      </c>
    </row>
    <row r="2674" spans="2:18" ht="17.25" hidden="1" customHeight="1">
      <c r="B2674" s="23">
        <v>45926</v>
      </c>
      <c r="C2674" s="7">
        <v>2003673732</v>
      </c>
      <c r="D2674" s="20">
        <v>6373405</v>
      </c>
      <c r="E2674" s="27" t="s">
        <v>185</v>
      </c>
      <c r="F2674" s="7" t="s">
        <v>107</v>
      </c>
      <c r="G2674" s="7" t="s">
        <v>18</v>
      </c>
      <c r="H2674" s="7" t="s">
        <v>45</v>
      </c>
      <c r="I2674" s="20" t="s">
        <v>3906</v>
      </c>
      <c r="J2674" s="20" t="s">
        <v>3907</v>
      </c>
      <c r="K2674" s="7" t="s">
        <v>119</v>
      </c>
      <c r="L2674" s="61">
        <v>45929</v>
      </c>
      <c r="M2674" s="7" t="s">
        <v>111</v>
      </c>
      <c r="N2674" s="61">
        <v>45930</v>
      </c>
      <c r="O2674" s="58">
        <v>45931</v>
      </c>
      <c r="P2674" s="59"/>
      <c r="Q2674" s="124" t="e">
        <f>P2674*#REF!</f>
        <v>#REF!</v>
      </c>
      <c r="R2674" s="126">
        <v>45933</v>
      </c>
    </row>
    <row r="2675" spans="2:18" ht="17.25" hidden="1" customHeight="1">
      <c r="B2675" s="23">
        <v>45926</v>
      </c>
      <c r="C2675" s="7">
        <v>2003728365</v>
      </c>
      <c r="D2675" s="20">
        <v>6373655</v>
      </c>
      <c r="E2675" s="27" t="s">
        <v>106</v>
      </c>
      <c r="F2675" s="7" t="s">
        <v>107</v>
      </c>
      <c r="G2675" s="7" t="s">
        <v>10</v>
      </c>
      <c r="H2675" s="7" t="s">
        <v>45</v>
      </c>
      <c r="I2675" s="20" t="s">
        <v>3908</v>
      </c>
      <c r="J2675" s="20" t="s">
        <v>3909</v>
      </c>
      <c r="K2675" s="7" t="s">
        <v>119</v>
      </c>
      <c r="L2675" s="61">
        <v>45933</v>
      </c>
      <c r="M2675" s="7" t="s">
        <v>111</v>
      </c>
      <c r="N2675" s="24">
        <v>45938</v>
      </c>
      <c r="O2675" s="24">
        <v>45938</v>
      </c>
      <c r="P2675" s="59"/>
      <c r="Q2675" s="124" t="e">
        <f>P2675*#REF!</f>
        <v>#REF!</v>
      </c>
      <c r="R2675" s="126">
        <v>45938</v>
      </c>
    </row>
    <row r="2676" spans="2:18" ht="17.25" hidden="1" customHeight="1">
      <c r="B2676" s="23">
        <v>45926</v>
      </c>
      <c r="C2676" s="7">
        <v>2003799339</v>
      </c>
      <c r="D2676" s="20">
        <v>6373744</v>
      </c>
      <c r="E2676" s="27" t="s">
        <v>123</v>
      </c>
      <c r="F2676" s="7" t="s">
        <v>107</v>
      </c>
      <c r="G2676" s="7" t="s">
        <v>10</v>
      </c>
      <c r="H2676" s="7" t="s">
        <v>45</v>
      </c>
      <c r="I2676" s="20" t="s">
        <v>3910</v>
      </c>
      <c r="J2676" s="20" t="s">
        <v>3911</v>
      </c>
      <c r="K2676" s="7" t="s">
        <v>119</v>
      </c>
      <c r="L2676" s="61">
        <v>45931</v>
      </c>
      <c r="M2676" s="7" t="s">
        <v>111</v>
      </c>
      <c r="N2676" s="61">
        <v>45931</v>
      </c>
      <c r="O2676" s="58">
        <v>45933</v>
      </c>
      <c r="P2676" s="59"/>
      <c r="Q2676" s="124" t="e">
        <f>P2676*#REF!</f>
        <v>#REF!</v>
      </c>
      <c r="R2676" s="126">
        <v>45933</v>
      </c>
    </row>
    <row r="2677" spans="2:18" ht="17.25" hidden="1" customHeight="1">
      <c r="B2677" s="23">
        <v>45929</v>
      </c>
      <c r="C2677" s="7">
        <v>2003755265</v>
      </c>
      <c r="D2677" s="20">
        <v>304290</v>
      </c>
      <c r="E2677" s="27" t="s">
        <v>185</v>
      </c>
      <c r="F2677" s="7" t="s">
        <v>107</v>
      </c>
      <c r="G2677" s="7" t="s">
        <v>18</v>
      </c>
      <c r="H2677" s="7" t="s">
        <v>45</v>
      </c>
      <c r="I2677" s="20" t="s">
        <v>1171</v>
      </c>
      <c r="J2677" s="20" t="s">
        <v>3912</v>
      </c>
      <c r="K2677" s="7" t="s">
        <v>119</v>
      </c>
      <c r="L2677" s="61">
        <v>45931</v>
      </c>
      <c r="M2677" s="7" t="s">
        <v>111</v>
      </c>
      <c r="N2677" s="61">
        <v>45931</v>
      </c>
      <c r="O2677" s="61">
        <v>45931</v>
      </c>
      <c r="P2677" s="59"/>
      <c r="Q2677" s="124" t="e">
        <f>P2677*#REF!</f>
        <v>#REF!</v>
      </c>
      <c r="R2677" s="126">
        <v>45933</v>
      </c>
    </row>
    <row r="2678" spans="2:18" ht="17.25" hidden="1" customHeight="1">
      <c r="B2678" s="23">
        <v>45929</v>
      </c>
      <c r="C2678" s="7">
        <v>2003789461</v>
      </c>
      <c r="D2678" s="20">
        <v>303933</v>
      </c>
      <c r="E2678" s="27" t="s">
        <v>622</v>
      </c>
      <c r="F2678" s="7" t="s">
        <v>107</v>
      </c>
      <c r="G2678" s="7" t="s">
        <v>18</v>
      </c>
      <c r="H2678" s="7" t="s">
        <v>45</v>
      </c>
      <c r="I2678" s="20" t="s">
        <v>1171</v>
      </c>
      <c r="J2678" s="20" t="s">
        <v>3912</v>
      </c>
      <c r="K2678" s="7" t="s">
        <v>119</v>
      </c>
      <c r="L2678" s="61">
        <v>45931</v>
      </c>
      <c r="M2678" s="7" t="s">
        <v>111</v>
      </c>
      <c r="N2678" s="61">
        <v>45931</v>
      </c>
      <c r="O2678" s="58">
        <v>45933</v>
      </c>
      <c r="P2678" s="59"/>
      <c r="Q2678" s="124" t="e">
        <f>P2678*#REF!</f>
        <v>#REF!</v>
      </c>
      <c r="R2678" s="126">
        <v>45933</v>
      </c>
    </row>
    <row r="2679" spans="2:18" ht="17.25" hidden="1" customHeight="1">
      <c r="B2679" s="23">
        <v>45930</v>
      </c>
      <c r="C2679" s="7">
        <v>2003667661</v>
      </c>
      <c r="D2679" s="20">
        <v>6374203</v>
      </c>
      <c r="E2679" s="27" t="s">
        <v>201</v>
      </c>
      <c r="F2679" s="7" t="s">
        <v>107</v>
      </c>
      <c r="G2679" s="7" t="s">
        <v>10</v>
      </c>
      <c r="H2679" s="7" t="s">
        <v>45</v>
      </c>
      <c r="I2679" s="20" t="s">
        <v>708</v>
      </c>
      <c r="J2679" s="20" t="s">
        <v>3913</v>
      </c>
      <c r="K2679" s="7" t="s">
        <v>110</v>
      </c>
      <c r="L2679" s="61">
        <v>45932</v>
      </c>
      <c r="M2679" s="7" t="s">
        <v>111</v>
      </c>
      <c r="N2679" s="24">
        <v>45933</v>
      </c>
      <c r="O2679" s="24">
        <v>45933</v>
      </c>
      <c r="P2679" s="59"/>
      <c r="Q2679" s="124" t="e">
        <f>P2679*#REF!</f>
        <v>#REF!</v>
      </c>
      <c r="R2679" s="126">
        <v>45933</v>
      </c>
    </row>
    <row r="2680" spans="2:18" ht="17.25" hidden="1" customHeight="1">
      <c r="B2680" s="23">
        <v>45930</v>
      </c>
      <c r="C2680" s="7">
        <v>2003733103</v>
      </c>
      <c r="D2680" s="20">
        <v>6385720</v>
      </c>
      <c r="E2680" s="27" t="s">
        <v>152</v>
      </c>
      <c r="F2680" s="7" t="s">
        <v>107</v>
      </c>
      <c r="G2680" s="7" t="s">
        <v>10</v>
      </c>
      <c r="H2680" s="7" t="s">
        <v>45</v>
      </c>
      <c r="I2680" s="20" t="s">
        <v>3914</v>
      </c>
      <c r="J2680" s="20" t="s">
        <v>3132</v>
      </c>
      <c r="K2680" s="7" t="s">
        <v>119</v>
      </c>
      <c r="L2680" s="61">
        <v>45932</v>
      </c>
      <c r="M2680" s="7" t="s">
        <v>111</v>
      </c>
      <c r="N2680" s="24">
        <v>45933</v>
      </c>
      <c r="O2680" s="24">
        <v>45933</v>
      </c>
      <c r="P2680" s="59"/>
      <c r="Q2680" s="124" t="e">
        <f>P2680*#REF!</f>
        <v>#REF!</v>
      </c>
      <c r="R2680" s="126">
        <v>45933</v>
      </c>
    </row>
    <row r="2681" spans="2:18" ht="17.25" hidden="1" customHeight="1">
      <c r="B2681" s="23">
        <v>45930</v>
      </c>
      <c r="C2681" s="7">
        <v>2003797819</v>
      </c>
      <c r="D2681" s="20">
        <v>6386250</v>
      </c>
      <c r="E2681" s="27" t="s">
        <v>366</v>
      </c>
      <c r="F2681" s="7" t="s">
        <v>107</v>
      </c>
      <c r="G2681" s="7" t="s">
        <v>10</v>
      </c>
      <c r="H2681" s="7" t="s">
        <v>45</v>
      </c>
      <c r="I2681" s="20" t="s">
        <v>2134</v>
      </c>
      <c r="J2681" s="20" t="s">
        <v>3915</v>
      </c>
      <c r="K2681" s="7" t="s">
        <v>119</v>
      </c>
      <c r="L2681" s="61">
        <v>45936</v>
      </c>
      <c r="M2681" s="7" t="s">
        <v>111</v>
      </c>
      <c r="N2681" s="24">
        <v>45938</v>
      </c>
      <c r="O2681" s="24">
        <v>45938</v>
      </c>
      <c r="P2681" s="59"/>
      <c r="Q2681" s="124" t="e">
        <f>P2681*#REF!</f>
        <v>#REF!</v>
      </c>
      <c r="R2681" s="126">
        <v>45938</v>
      </c>
    </row>
    <row r="2682" spans="2:18" ht="17.25" hidden="1" customHeight="1">
      <c r="B2682" s="23">
        <v>45931</v>
      </c>
      <c r="C2682" s="7">
        <v>2003731072</v>
      </c>
      <c r="D2682" s="20">
        <v>306841</v>
      </c>
      <c r="E2682" s="27" t="s">
        <v>389</v>
      </c>
      <c r="F2682" s="7" t="s">
        <v>107</v>
      </c>
      <c r="G2682" s="7" t="s">
        <v>21</v>
      </c>
      <c r="H2682" s="7" t="s">
        <v>45</v>
      </c>
      <c r="I2682" s="20" t="s">
        <v>923</v>
      </c>
      <c r="J2682" s="20" t="s">
        <v>2433</v>
      </c>
      <c r="K2682" s="7" t="s">
        <v>119</v>
      </c>
      <c r="L2682" s="61">
        <v>45931</v>
      </c>
      <c r="M2682" s="7" t="s">
        <v>111</v>
      </c>
      <c r="N2682" s="61">
        <v>45931</v>
      </c>
      <c r="O2682" s="58">
        <v>45937</v>
      </c>
      <c r="P2682" s="59"/>
      <c r="Q2682" s="124" t="e">
        <f>P2682*#REF!</f>
        <v>#REF!</v>
      </c>
      <c r="R2682" s="126">
        <v>45938</v>
      </c>
    </row>
    <row r="2683" spans="2:18" ht="17.25" hidden="1" customHeight="1">
      <c r="B2683" s="23">
        <v>45931</v>
      </c>
      <c r="C2683" s="7">
        <v>2003800187</v>
      </c>
      <c r="D2683" s="20">
        <v>306839</v>
      </c>
      <c r="E2683" s="27" t="s">
        <v>106</v>
      </c>
      <c r="F2683" s="7" t="s">
        <v>107</v>
      </c>
      <c r="G2683" s="7" t="s">
        <v>10</v>
      </c>
      <c r="H2683" s="7" t="s">
        <v>45</v>
      </c>
      <c r="I2683" s="20" t="s">
        <v>423</v>
      </c>
      <c r="J2683" s="20" t="s">
        <v>3916</v>
      </c>
      <c r="K2683" s="7" t="s">
        <v>119</v>
      </c>
      <c r="L2683" s="61">
        <v>45938</v>
      </c>
      <c r="M2683" s="7" t="s">
        <v>111</v>
      </c>
      <c r="N2683" s="24">
        <v>45944</v>
      </c>
      <c r="O2683" s="24">
        <v>45944</v>
      </c>
      <c r="P2683" s="59"/>
      <c r="Q2683" s="124" t="e">
        <f>P2683*#REF!</f>
        <v>#REF!</v>
      </c>
      <c r="R2683" s="126">
        <v>45946</v>
      </c>
    </row>
    <row r="2684" spans="2:18" ht="17.25" hidden="1" customHeight="1">
      <c r="B2684" s="23">
        <v>45931</v>
      </c>
      <c r="C2684" s="7">
        <v>2003803177</v>
      </c>
      <c r="D2684" s="20">
        <v>306833</v>
      </c>
      <c r="E2684" s="27" t="s">
        <v>106</v>
      </c>
      <c r="F2684" s="7" t="s">
        <v>107</v>
      </c>
      <c r="G2684" s="7" t="s">
        <v>18</v>
      </c>
      <c r="H2684" s="7" t="s">
        <v>45</v>
      </c>
      <c r="I2684" s="20" t="s">
        <v>3166</v>
      </c>
      <c r="J2684" s="20" t="s">
        <v>3917</v>
      </c>
      <c r="K2684" s="7" t="s">
        <v>110</v>
      </c>
      <c r="L2684" s="61">
        <v>45937</v>
      </c>
      <c r="M2684" s="7" t="s">
        <v>111</v>
      </c>
      <c r="N2684" s="24">
        <v>45938</v>
      </c>
      <c r="O2684" s="58">
        <v>45943</v>
      </c>
      <c r="P2684" s="59"/>
      <c r="Q2684" s="124" t="e">
        <f>P2684*#REF!</f>
        <v>#REF!</v>
      </c>
      <c r="R2684" s="126">
        <v>45944</v>
      </c>
    </row>
    <row r="2685" spans="2:18" ht="17.25" hidden="1" customHeight="1">
      <c r="B2685" s="23">
        <v>45931</v>
      </c>
      <c r="C2685" s="7">
        <v>2003803692</v>
      </c>
      <c r="D2685" s="20">
        <v>306647</v>
      </c>
      <c r="E2685" s="27" t="s">
        <v>126</v>
      </c>
      <c r="F2685" s="7" t="s">
        <v>107</v>
      </c>
      <c r="G2685" s="7" t="s">
        <v>10</v>
      </c>
      <c r="H2685" s="7" t="s">
        <v>45</v>
      </c>
      <c r="I2685" s="20" t="s">
        <v>1042</v>
      </c>
      <c r="J2685" s="20" t="s">
        <v>3918</v>
      </c>
      <c r="K2685" s="7" t="s">
        <v>119</v>
      </c>
      <c r="L2685" s="61">
        <v>45932</v>
      </c>
      <c r="M2685" s="7" t="s">
        <v>111</v>
      </c>
      <c r="N2685" s="24">
        <v>45933</v>
      </c>
      <c r="O2685" s="58">
        <v>45937</v>
      </c>
      <c r="P2685" s="59"/>
      <c r="Q2685" s="124" t="e">
        <f>P2685*#REF!</f>
        <v>#REF!</v>
      </c>
      <c r="R2685" s="126">
        <v>45938</v>
      </c>
    </row>
    <row r="2686" spans="2:18" ht="17.25" hidden="1" customHeight="1">
      <c r="B2686" s="23">
        <v>45931</v>
      </c>
      <c r="C2686" s="7">
        <v>2003805048</v>
      </c>
      <c r="D2686" s="20">
        <v>308405</v>
      </c>
      <c r="E2686" s="27" t="s">
        <v>949</v>
      </c>
      <c r="F2686" s="7" t="s">
        <v>107</v>
      </c>
      <c r="G2686" s="7" t="s">
        <v>10</v>
      </c>
      <c r="H2686" s="7" t="s">
        <v>45</v>
      </c>
      <c r="I2686" s="20" t="s">
        <v>2708</v>
      </c>
      <c r="J2686" s="20" t="s">
        <v>3919</v>
      </c>
      <c r="K2686" s="7" t="s">
        <v>110</v>
      </c>
      <c r="L2686" s="61">
        <v>45933</v>
      </c>
      <c r="M2686" s="7" t="s">
        <v>111</v>
      </c>
      <c r="N2686" s="61">
        <v>45933</v>
      </c>
      <c r="O2686" s="58">
        <v>45938</v>
      </c>
      <c r="P2686" s="59"/>
      <c r="Q2686" s="124" t="e">
        <f>P2686*#REF!</f>
        <v>#REF!</v>
      </c>
      <c r="R2686" s="126">
        <v>45938</v>
      </c>
    </row>
    <row r="2687" spans="2:18" ht="17.25" hidden="1" customHeight="1">
      <c r="B2687" s="23">
        <v>45931</v>
      </c>
      <c r="C2687" s="7">
        <v>2003803487</v>
      </c>
      <c r="D2687" s="20">
        <v>308264</v>
      </c>
      <c r="E2687" s="27" t="s">
        <v>404</v>
      </c>
      <c r="F2687" s="7" t="s">
        <v>107</v>
      </c>
      <c r="G2687" s="7" t="s">
        <v>18</v>
      </c>
      <c r="H2687" s="7" t="s">
        <v>45</v>
      </c>
      <c r="I2687" s="20" t="s">
        <v>3920</v>
      </c>
      <c r="J2687" s="20" t="s">
        <v>3921</v>
      </c>
      <c r="K2687" s="7" t="s">
        <v>119</v>
      </c>
      <c r="L2687" s="61">
        <v>45937</v>
      </c>
      <c r="M2687" s="7" t="s">
        <v>111</v>
      </c>
      <c r="N2687" s="24">
        <v>45938</v>
      </c>
      <c r="O2687" s="58">
        <v>45943</v>
      </c>
      <c r="P2687" s="59"/>
      <c r="Q2687" s="124" t="e">
        <f>P2687*#REF!</f>
        <v>#REF!</v>
      </c>
      <c r="R2687" s="126">
        <v>45944</v>
      </c>
    </row>
    <row r="2688" spans="2:18" ht="17.25" hidden="1" customHeight="1">
      <c r="B2688" s="23">
        <v>45931</v>
      </c>
      <c r="C2688" s="7">
        <v>2003791446</v>
      </c>
      <c r="D2688" s="20">
        <v>308200</v>
      </c>
      <c r="E2688" s="27" t="s">
        <v>106</v>
      </c>
      <c r="F2688" s="7" t="s">
        <v>107</v>
      </c>
      <c r="G2688" s="7" t="s">
        <v>10</v>
      </c>
      <c r="H2688" s="7" t="s">
        <v>45</v>
      </c>
      <c r="I2688" s="20" t="s">
        <v>612</v>
      </c>
      <c r="J2688" s="20" t="s">
        <v>3922</v>
      </c>
      <c r="K2688" s="7" t="s">
        <v>110</v>
      </c>
      <c r="L2688" s="61">
        <v>45933</v>
      </c>
      <c r="M2688" s="7" t="s">
        <v>111</v>
      </c>
      <c r="N2688" s="61">
        <v>45933</v>
      </c>
      <c r="O2688" s="58">
        <v>45938</v>
      </c>
      <c r="P2688" s="59"/>
      <c r="Q2688" s="124" t="e">
        <f>P2688*#REF!</f>
        <v>#REF!</v>
      </c>
      <c r="R2688" s="126">
        <v>45938</v>
      </c>
    </row>
    <row r="2689" spans="2:18" ht="17.25" hidden="1" customHeight="1">
      <c r="B2689" s="23">
        <v>45931</v>
      </c>
      <c r="C2689" s="7">
        <v>2003800211</v>
      </c>
      <c r="D2689" s="20">
        <v>308104</v>
      </c>
      <c r="E2689" s="27" t="s">
        <v>949</v>
      </c>
      <c r="F2689" s="7" t="s">
        <v>107</v>
      </c>
      <c r="G2689" s="7" t="s">
        <v>18</v>
      </c>
      <c r="H2689" s="7" t="s">
        <v>45</v>
      </c>
      <c r="I2689" s="20" t="s">
        <v>423</v>
      </c>
      <c r="J2689" s="20" t="s">
        <v>3916</v>
      </c>
      <c r="K2689" s="7" t="s">
        <v>119</v>
      </c>
      <c r="L2689" s="61">
        <v>45938</v>
      </c>
      <c r="M2689" s="7" t="s">
        <v>111</v>
      </c>
      <c r="N2689" s="24">
        <v>45944</v>
      </c>
      <c r="O2689" s="24">
        <v>45944</v>
      </c>
      <c r="P2689" s="59"/>
      <c r="Q2689" s="124" t="e">
        <f>P2689*#REF!</f>
        <v>#REF!</v>
      </c>
      <c r="R2689" s="126">
        <v>45946</v>
      </c>
    </row>
    <row r="2690" spans="2:18" ht="17.25" hidden="1" customHeight="1">
      <c r="B2690" s="23">
        <v>45931</v>
      </c>
      <c r="C2690" s="7">
        <v>2003762710</v>
      </c>
      <c r="D2690" s="20">
        <v>307616</v>
      </c>
      <c r="E2690" s="27" t="s">
        <v>185</v>
      </c>
      <c r="F2690" s="7" t="s">
        <v>107</v>
      </c>
      <c r="G2690" s="7" t="s">
        <v>26</v>
      </c>
      <c r="H2690" s="7" t="s">
        <v>45</v>
      </c>
      <c r="I2690" s="20" t="s">
        <v>971</v>
      </c>
      <c r="J2690" s="20" t="s">
        <v>3923</v>
      </c>
      <c r="K2690" s="7" t="s">
        <v>110</v>
      </c>
      <c r="L2690" s="61">
        <v>45939</v>
      </c>
      <c r="M2690" s="7" t="s">
        <v>111</v>
      </c>
      <c r="N2690" s="24">
        <v>45944</v>
      </c>
      <c r="O2690" s="58">
        <v>45944</v>
      </c>
      <c r="P2690" s="59"/>
      <c r="Q2690" s="124" t="e">
        <f>P2690*#REF!</f>
        <v>#REF!</v>
      </c>
      <c r="R2690" s="126">
        <v>45944</v>
      </c>
    </row>
    <row r="2691" spans="2:18" ht="17.25" hidden="1" customHeight="1">
      <c r="B2691" s="23">
        <v>45931</v>
      </c>
      <c r="C2691" s="7">
        <v>2003784933</v>
      </c>
      <c r="D2691" s="20">
        <v>306787</v>
      </c>
      <c r="E2691" s="27" t="s">
        <v>177</v>
      </c>
      <c r="F2691" s="7" t="s">
        <v>107</v>
      </c>
      <c r="G2691" s="7" t="s">
        <v>15</v>
      </c>
      <c r="H2691" s="7" t="s">
        <v>45</v>
      </c>
      <c r="I2691" s="20" t="s">
        <v>3924</v>
      </c>
      <c r="J2691" s="20" t="s">
        <v>3889</v>
      </c>
      <c r="K2691" s="7" t="s">
        <v>119</v>
      </c>
      <c r="L2691" s="61">
        <v>45932</v>
      </c>
      <c r="M2691" s="7" t="s">
        <v>111</v>
      </c>
      <c r="N2691" s="24">
        <v>45933</v>
      </c>
      <c r="O2691" s="58">
        <v>45937</v>
      </c>
      <c r="P2691" s="59"/>
      <c r="Q2691" s="124" t="e">
        <f>P2691*#REF!</f>
        <v>#REF!</v>
      </c>
      <c r="R2691" s="126">
        <v>45938</v>
      </c>
    </row>
    <row r="2692" spans="2:18" ht="17.25" hidden="1" customHeight="1">
      <c r="B2692" s="23">
        <v>45931</v>
      </c>
      <c r="C2692" s="7">
        <v>2003794353</v>
      </c>
      <c r="D2692" s="20">
        <v>6386674</v>
      </c>
      <c r="E2692" s="27" t="s">
        <v>143</v>
      </c>
      <c r="F2692" s="7" t="s">
        <v>107</v>
      </c>
      <c r="G2692" s="7" t="s">
        <v>10</v>
      </c>
      <c r="H2692" s="7" t="s">
        <v>45</v>
      </c>
      <c r="I2692" s="20" t="s">
        <v>3925</v>
      </c>
      <c r="J2692" s="20" t="s">
        <v>3926</v>
      </c>
      <c r="K2692" s="7" t="s">
        <v>119</v>
      </c>
      <c r="L2692" s="61">
        <v>45943</v>
      </c>
      <c r="M2692" s="7" t="s">
        <v>111</v>
      </c>
      <c r="N2692" s="24">
        <v>45944</v>
      </c>
      <c r="O2692" s="58">
        <v>45946</v>
      </c>
      <c r="P2692" s="59"/>
      <c r="Q2692" s="124" t="e">
        <f>P2692*#REF!</f>
        <v>#REF!</v>
      </c>
      <c r="R2692" s="126">
        <v>45947</v>
      </c>
    </row>
    <row r="2693" spans="2:18" ht="17.25" hidden="1" customHeight="1">
      <c r="B2693" s="23">
        <v>45931</v>
      </c>
      <c r="C2693" s="7">
        <v>2003725124</v>
      </c>
      <c r="D2693" s="20">
        <v>6386727</v>
      </c>
      <c r="E2693" s="27" t="s">
        <v>3586</v>
      </c>
      <c r="F2693" s="7" t="s">
        <v>107</v>
      </c>
      <c r="G2693" s="7" t="s">
        <v>10</v>
      </c>
      <c r="H2693" s="7" t="s">
        <v>45</v>
      </c>
      <c r="I2693" s="20" t="s">
        <v>1367</v>
      </c>
      <c r="J2693" s="20" t="s">
        <v>3927</v>
      </c>
      <c r="K2693" s="7" t="s">
        <v>110</v>
      </c>
      <c r="L2693" s="61">
        <v>45938</v>
      </c>
      <c r="M2693" s="7" t="s">
        <v>111</v>
      </c>
      <c r="N2693" s="24">
        <v>45943</v>
      </c>
      <c r="O2693" s="24">
        <v>45945</v>
      </c>
      <c r="P2693" s="59"/>
      <c r="Q2693" s="124" t="e">
        <f>P2693*#REF!</f>
        <v>#REF!</v>
      </c>
      <c r="R2693" s="126">
        <v>45946</v>
      </c>
    </row>
    <row r="2694" spans="2:18" ht="17.25" hidden="1" customHeight="1">
      <c r="B2694" s="23">
        <v>45931</v>
      </c>
      <c r="C2694" s="7">
        <v>2003768944</v>
      </c>
      <c r="D2694" s="20">
        <v>6386750</v>
      </c>
      <c r="E2694" s="27" t="s">
        <v>1225</v>
      </c>
      <c r="F2694" s="7" t="s">
        <v>107</v>
      </c>
      <c r="G2694" s="7" t="s">
        <v>18</v>
      </c>
      <c r="H2694" s="7" t="s">
        <v>45</v>
      </c>
      <c r="I2694" s="20" t="s">
        <v>3928</v>
      </c>
      <c r="J2694" s="20" t="s">
        <v>3929</v>
      </c>
      <c r="K2694" s="7" t="s">
        <v>110</v>
      </c>
      <c r="L2694" s="61">
        <v>45933</v>
      </c>
      <c r="M2694" s="7" t="s">
        <v>111</v>
      </c>
      <c r="N2694" s="61">
        <v>45933</v>
      </c>
      <c r="O2694" s="61">
        <v>45933</v>
      </c>
      <c r="P2694" s="59"/>
      <c r="Q2694" s="124" t="e">
        <f>P2694*#REF!</f>
        <v>#REF!</v>
      </c>
      <c r="R2694" s="126">
        <v>45936</v>
      </c>
    </row>
    <row r="2695" spans="2:18" ht="17.25" hidden="1" customHeight="1">
      <c r="B2695" s="23">
        <v>45931</v>
      </c>
      <c r="C2695" s="7">
        <v>2003772334</v>
      </c>
      <c r="D2695" s="20">
        <v>6386867</v>
      </c>
      <c r="E2695" s="27" t="s">
        <v>185</v>
      </c>
      <c r="F2695" s="7" t="s">
        <v>107</v>
      </c>
      <c r="G2695" s="7" t="s">
        <v>21</v>
      </c>
      <c r="H2695" s="7" t="s">
        <v>45</v>
      </c>
      <c r="I2695" s="20" t="s">
        <v>1474</v>
      </c>
      <c r="J2695" s="20" t="s">
        <v>3569</v>
      </c>
      <c r="K2695" s="7" t="s">
        <v>119</v>
      </c>
      <c r="L2695" s="61">
        <v>45932</v>
      </c>
      <c r="M2695" s="7" t="s">
        <v>111</v>
      </c>
      <c r="N2695" s="24">
        <v>45933</v>
      </c>
      <c r="O2695" s="58">
        <v>45937</v>
      </c>
      <c r="P2695" s="59"/>
      <c r="Q2695" s="124" t="e">
        <f>P2695*#REF!</f>
        <v>#REF!</v>
      </c>
      <c r="R2695" s="126">
        <v>45938</v>
      </c>
    </row>
    <row r="2696" spans="2:18" ht="17.25" hidden="1" customHeight="1">
      <c r="B2696" s="23">
        <v>45932</v>
      </c>
      <c r="C2696" s="7">
        <v>2003681055</v>
      </c>
      <c r="D2696" s="20">
        <v>6387091</v>
      </c>
      <c r="E2696" s="27" t="s">
        <v>408</v>
      </c>
      <c r="F2696" s="7" t="s">
        <v>113</v>
      </c>
      <c r="G2696" s="7" t="s">
        <v>70</v>
      </c>
      <c r="H2696" s="7" t="s">
        <v>47</v>
      </c>
      <c r="I2696" s="20" t="s">
        <v>2269</v>
      </c>
      <c r="J2696" s="20" t="s">
        <v>3930</v>
      </c>
      <c r="K2696" s="7" t="s">
        <v>110</v>
      </c>
      <c r="L2696" s="61">
        <v>45939</v>
      </c>
      <c r="M2696" s="7" t="s">
        <v>111</v>
      </c>
      <c r="P2696" s="59"/>
      <c r="Q2696" s="124" t="e">
        <f>P2696*#REF!</f>
        <v>#REF!</v>
      </c>
      <c r="R2696" s="126">
        <v>45938</v>
      </c>
    </row>
    <row r="2697" spans="2:18" ht="17.25" hidden="1" customHeight="1">
      <c r="B2697" s="23">
        <v>45932</v>
      </c>
      <c r="C2697" s="7">
        <v>2003627662</v>
      </c>
      <c r="D2697" s="20">
        <v>6387100</v>
      </c>
      <c r="E2697" s="27" t="s">
        <v>408</v>
      </c>
      <c r="F2697" s="7" t="s">
        <v>113</v>
      </c>
      <c r="G2697" s="7" t="s">
        <v>70</v>
      </c>
      <c r="H2697" s="7" t="s">
        <v>47</v>
      </c>
      <c r="I2697" s="20" t="s">
        <v>3931</v>
      </c>
      <c r="J2697" s="20" t="s">
        <v>1114</v>
      </c>
      <c r="K2697" s="7" t="s">
        <v>110</v>
      </c>
      <c r="L2697" s="61">
        <v>45939</v>
      </c>
      <c r="M2697" s="7" t="s">
        <v>111</v>
      </c>
      <c r="P2697" s="59"/>
      <c r="Q2697" s="124" t="e">
        <f>P2697*#REF!</f>
        <v>#REF!</v>
      </c>
      <c r="R2697" s="126">
        <v>45937</v>
      </c>
    </row>
    <row r="2698" spans="2:18" ht="17.25" hidden="1" customHeight="1">
      <c r="B2698" s="23">
        <v>45932</v>
      </c>
      <c r="C2698" s="7">
        <v>2003791967</v>
      </c>
      <c r="D2698" s="20">
        <v>6387219</v>
      </c>
      <c r="E2698" s="27" t="s">
        <v>123</v>
      </c>
      <c r="F2698" s="7" t="s">
        <v>107</v>
      </c>
      <c r="G2698" s="7" t="s">
        <v>21</v>
      </c>
      <c r="H2698" s="7" t="s">
        <v>45</v>
      </c>
      <c r="I2698" s="20" t="s">
        <v>3791</v>
      </c>
      <c r="J2698" s="20" t="s">
        <v>3792</v>
      </c>
      <c r="K2698" s="7" t="s">
        <v>110</v>
      </c>
      <c r="L2698" s="61">
        <v>45937</v>
      </c>
      <c r="M2698" s="7" t="s">
        <v>111</v>
      </c>
      <c r="N2698" s="24">
        <v>45938</v>
      </c>
      <c r="O2698" s="58">
        <v>45943</v>
      </c>
      <c r="P2698" s="59"/>
      <c r="Q2698" s="124" t="e">
        <f>P2698*#REF!</f>
        <v>#REF!</v>
      </c>
      <c r="R2698" s="126">
        <v>45944</v>
      </c>
    </row>
    <row r="2699" spans="2:18" ht="17.25" hidden="1" customHeight="1">
      <c r="B2699" s="23">
        <v>45932</v>
      </c>
      <c r="C2699" s="7">
        <v>2003761388</v>
      </c>
      <c r="D2699" s="20">
        <v>6387223</v>
      </c>
      <c r="E2699" s="27" t="s">
        <v>143</v>
      </c>
      <c r="F2699" s="7" t="s">
        <v>107</v>
      </c>
      <c r="G2699" s="7" t="s">
        <v>18</v>
      </c>
      <c r="H2699" s="7" t="s">
        <v>45</v>
      </c>
      <c r="I2699" s="238" t="s">
        <v>3932</v>
      </c>
      <c r="J2699" s="20" t="s">
        <v>3498</v>
      </c>
      <c r="K2699" s="7" t="s">
        <v>119</v>
      </c>
      <c r="L2699" s="61">
        <v>45938</v>
      </c>
      <c r="M2699" s="7" t="s">
        <v>111</v>
      </c>
      <c r="N2699" s="24">
        <v>45943</v>
      </c>
      <c r="O2699" s="24">
        <v>45943</v>
      </c>
      <c r="P2699" s="59"/>
      <c r="Q2699" s="124" t="e">
        <f>P2699*#REF!</f>
        <v>#REF!</v>
      </c>
      <c r="R2699" s="126">
        <v>45944</v>
      </c>
    </row>
    <row r="2700" spans="2:18" ht="17.25" hidden="1" customHeight="1">
      <c r="B2700" s="23">
        <v>45932</v>
      </c>
      <c r="C2700" s="7">
        <v>2003767078</v>
      </c>
      <c r="D2700" s="20">
        <v>6387257</v>
      </c>
      <c r="E2700" s="27" t="s">
        <v>191</v>
      </c>
      <c r="F2700" s="7" t="s">
        <v>107</v>
      </c>
      <c r="G2700" s="7" t="s">
        <v>21</v>
      </c>
      <c r="H2700" s="7" t="s">
        <v>45</v>
      </c>
      <c r="I2700" s="20" t="s">
        <v>1474</v>
      </c>
      <c r="J2700" s="20" t="s">
        <v>3569</v>
      </c>
      <c r="K2700" s="7" t="s">
        <v>110</v>
      </c>
      <c r="L2700" s="61">
        <v>45933</v>
      </c>
      <c r="M2700" s="7" t="s">
        <v>111</v>
      </c>
      <c r="N2700" s="61">
        <v>45933</v>
      </c>
      <c r="O2700" s="58">
        <v>45943</v>
      </c>
      <c r="P2700" s="59"/>
      <c r="Q2700" s="124" t="e">
        <f>P2700*#REF!</f>
        <v>#REF!</v>
      </c>
      <c r="R2700" s="126">
        <v>45944</v>
      </c>
    </row>
    <row r="2701" spans="2:18" ht="17.25" hidden="1" customHeight="1">
      <c r="B2701" s="23">
        <v>45932</v>
      </c>
      <c r="C2701" s="7">
        <v>2003807174</v>
      </c>
      <c r="D2701" s="20">
        <v>6387459</v>
      </c>
      <c r="E2701" s="27" t="s">
        <v>129</v>
      </c>
      <c r="F2701" s="7" t="s">
        <v>113</v>
      </c>
      <c r="G2701" s="7" t="s">
        <v>70</v>
      </c>
      <c r="H2701" s="7" t="s">
        <v>47</v>
      </c>
      <c r="I2701" s="20" t="s">
        <v>965</v>
      </c>
      <c r="J2701" s="20" t="s">
        <v>3933</v>
      </c>
      <c r="K2701" s="7" t="s">
        <v>160</v>
      </c>
      <c r="P2701" s="59"/>
      <c r="Q2701" s="124" t="e">
        <f>P2701*#REF!</f>
        <v>#REF!</v>
      </c>
      <c r="R2701" s="126">
        <v>45944</v>
      </c>
    </row>
    <row r="2702" spans="2:18" ht="17.25" hidden="1" customHeight="1">
      <c r="B2702" s="23">
        <v>45932</v>
      </c>
      <c r="C2702" s="7">
        <v>2003804696</v>
      </c>
      <c r="D2702" s="20">
        <v>309613</v>
      </c>
      <c r="E2702" s="27" t="s">
        <v>1225</v>
      </c>
      <c r="F2702" s="7" t="s">
        <v>107</v>
      </c>
      <c r="G2702" s="7" t="s">
        <v>10</v>
      </c>
      <c r="H2702" s="7" t="s">
        <v>45</v>
      </c>
      <c r="I2702" s="20" t="s">
        <v>2464</v>
      </c>
      <c r="J2702" s="20" t="s">
        <v>3934</v>
      </c>
      <c r="K2702" s="7" t="s">
        <v>119</v>
      </c>
      <c r="L2702" s="61">
        <v>45937</v>
      </c>
      <c r="M2702" s="7" t="s">
        <v>111</v>
      </c>
      <c r="N2702" s="24">
        <v>45938</v>
      </c>
      <c r="O2702" s="58">
        <v>45943</v>
      </c>
      <c r="P2702" s="59"/>
      <c r="Q2702" s="124" t="e">
        <f>P2702*#REF!</f>
        <v>#REF!</v>
      </c>
      <c r="R2702" s="126">
        <v>45944</v>
      </c>
    </row>
    <row r="2703" spans="2:18" ht="17.25" hidden="1" customHeight="1">
      <c r="B2703" s="23">
        <v>45932</v>
      </c>
      <c r="C2703" s="7">
        <v>2003741607</v>
      </c>
      <c r="D2703" s="20">
        <v>309573</v>
      </c>
      <c r="E2703" s="27" t="s">
        <v>123</v>
      </c>
      <c r="F2703" s="7" t="s">
        <v>107</v>
      </c>
      <c r="G2703" s="7" t="s">
        <v>18</v>
      </c>
      <c r="H2703" s="7" t="s">
        <v>45</v>
      </c>
      <c r="I2703" s="20" t="s">
        <v>3935</v>
      </c>
      <c r="J2703" s="20" t="s">
        <v>262</v>
      </c>
      <c r="K2703" s="7" t="s">
        <v>119</v>
      </c>
      <c r="L2703" s="61">
        <v>45939</v>
      </c>
      <c r="M2703" s="7" t="s">
        <v>111</v>
      </c>
      <c r="N2703" s="24">
        <v>45943</v>
      </c>
      <c r="O2703" s="24">
        <v>45945</v>
      </c>
      <c r="P2703" s="59"/>
      <c r="Q2703" s="124" t="e">
        <f>P2703*#REF!</f>
        <v>#REF!</v>
      </c>
      <c r="R2703" s="126">
        <v>45946</v>
      </c>
    </row>
    <row r="2704" spans="2:18" ht="17.25" hidden="1" customHeight="1">
      <c r="B2704" s="23">
        <v>45932</v>
      </c>
      <c r="C2704" s="7">
        <v>2003797345</v>
      </c>
      <c r="D2704" s="20">
        <v>309455</v>
      </c>
      <c r="E2704" s="20" t="s">
        <v>1225</v>
      </c>
      <c r="F2704" s="7" t="s">
        <v>107</v>
      </c>
      <c r="G2704" s="7" t="s">
        <v>10</v>
      </c>
      <c r="H2704" s="7" t="s">
        <v>45</v>
      </c>
      <c r="I2704" s="20" t="s">
        <v>1019</v>
      </c>
      <c r="J2704" s="20" t="s">
        <v>3936</v>
      </c>
      <c r="K2704" s="7" t="s">
        <v>119</v>
      </c>
      <c r="L2704" s="61">
        <v>45933</v>
      </c>
      <c r="M2704" s="7" t="s">
        <v>111</v>
      </c>
      <c r="N2704" s="24">
        <v>45933</v>
      </c>
      <c r="O2704" s="58">
        <v>45938</v>
      </c>
      <c r="P2704" s="59"/>
      <c r="Q2704" s="124" t="e">
        <f>P2704*#REF!</f>
        <v>#REF!</v>
      </c>
      <c r="R2704" s="126">
        <v>45938</v>
      </c>
    </row>
    <row r="2705" spans="2:18" ht="17.25" hidden="1" customHeight="1">
      <c r="B2705" s="23">
        <v>45932</v>
      </c>
      <c r="C2705" s="7">
        <v>2003673591</v>
      </c>
      <c r="D2705" s="20">
        <v>309425</v>
      </c>
      <c r="E2705" s="27" t="s">
        <v>191</v>
      </c>
      <c r="F2705" s="7" t="s">
        <v>107</v>
      </c>
      <c r="G2705" s="7" t="s">
        <v>21</v>
      </c>
      <c r="H2705" s="7" t="s">
        <v>45</v>
      </c>
      <c r="I2705" s="20" t="s">
        <v>1938</v>
      </c>
      <c r="J2705" s="20" t="s">
        <v>1939</v>
      </c>
      <c r="K2705" s="7" t="s">
        <v>119</v>
      </c>
      <c r="L2705" s="61">
        <v>45936</v>
      </c>
      <c r="M2705" s="7" t="s">
        <v>111</v>
      </c>
      <c r="N2705" s="24">
        <v>45938</v>
      </c>
      <c r="O2705" s="24">
        <v>45938</v>
      </c>
      <c r="P2705" s="59"/>
      <c r="Q2705" s="124" t="e">
        <f>P2705*#REF!</f>
        <v>#REF!</v>
      </c>
      <c r="R2705" s="126">
        <v>45938</v>
      </c>
    </row>
    <row r="2706" spans="2:18" ht="17.25" hidden="1" customHeight="1">
      <c r="B2706" s="23">
        <v>45932</v>
      </c>
      <c r="C2706" s="7">
        <v>2003802228</v>
      </c>
      <c r="D2706" s="20">
        <v>309276</v>
      </c>
      <c r="E2706" s="27" t="s">
        <v>106</v>
      </c>
      <c r="F2706" s="7" t="s">
        <v>107</v>
      </c>
      <c r="G2706" s="7" t="s">
        <v>18</v>
      </c>
      <c r="H2706" s="7" t="s">
        <v>45</v>
      </c>
      <c r="I2706" s="20" t="s">
        <v>973</v>
      </c>
      <c r="J2706" s="20" t="s">
        <v>3937</v>
      </c>
      <c r="K2706" s="7" t="s">
        <v>119</v>
      </c>
      <c r="L2706" s="61">
        <v>45938</v>
      </c>
      <c r="M2706" s="7" t="s">
        <v>111</v>
      </c>
      <c r="N2706" s="24">
        <v>45943</v>
      </c>
      <c r="O2706" s="24">
        <v>45945</v>
      </c>
      <c r="P2706" s="59"/>
      <c r="Q2706" s="124" t="e">
        <f>P2706*#REF!</f>
        <v>#REF!</v>
      </c>
      <c r="R2706" s="126">
        <v>45946</v>
      </c>
    </row>
    <row r="2707" spans="2:18" ht="17.25" hidden="1" customHeight="1">
      <c r="B2707" s="23">
        <v>45933</v>
      </c>
      <c r="C2707" s="7">
        <v>2003739808</v>
      </c>
      <c r="D2707" s="20">
        <v>6387591</v>
      </c>
      <c r="E2707" s="27" t="s">
        <v>135</v>
      </c>
      <c r="F2707" s="7" t="s">
        <v>107</v>
      </c>
      <c r="G2707" s="7" t="s">
        <v>15</v>
      </c>
      <c r="H2707" s="7" t="s">
        <v>45</v>
      </c>
      <c r="I2707" s="20" t="s">
        <v>3938</v>
      </c>
      <c r="J2707" s="20" t="s">
        <v>3939</v>
      </c>
      <c r="K2707" s="7" t="s">
        <v>110</v>
      </c>
      <c r="L2707" s="61">
        <v>45950</v>
      </c>
      <c r="M2707" s="7" t="s">
        <v>111</v>
      </c>
      <c r="N2707" s="61">
        <v>45950</v>
      </c>
      <c r="O2707" s="61">
        <v>45950</v>
      </c>
      <c r="P2707" s="59"/>
      <c r="Q2707" s="124" t="e">
        <f>P2707*#REF!</f>
        <v>#REF!</v>
      </c>
      <c r="R2707" s="126">
        <v>45957</v>
      </c>
    </row>
    <row r="2708" spans="2:18" ht="17.25" hidden="1" customHeight="1">
      <c r="B2708" s="23">
        <v>45933</v>
      </c>
      <c r="C2708" s="7">
        <v>2003798887</v>
      </c>
      <c r="D2708" s="20">
        <v>6387880</v>
      </c>
      <c r="E2708" s="27" t="s">
        <v>143</v>
      </c>
      <c r="F2708" s="7" t="s">
        <v>107</v>
      </c>
      <c r="G2708" s="7" t="s">
        <v>10</v>
      </c>
      <c r="H2708" s="7" t="s">
        <v>45</v>
      </c>
      <c r="I2708" s="20" t="s">
        <v>3940</v>
      </c>
      <c r="J2708" s="20" t="s">
        <v>3941</v>
      </c>
      <c r="K2708" s="7" t="s">
        <v>110</v>
      </c>
      <c r="L2708" s="61">
        <v>45939</v>
      </c>
      <c r="M2708" s="7" t="s">
        <v>111</v>
      </c>
      <c r="N2708" s="24">
        <v>45944</v>
      </c>
      <c r="O2708" s="24">
        <v>45944</v>
      </c>
      <c r="P2708" s="59"/>
      <c r="Q2708" s="124" t="e">
        <f>P2708*#REF!</f>
        <v>#REF!</v>
      </c>
      <c r="R2708" s="126">
        <v>45946</v>
      </c>
    </row>
    <row r="2709" spans="2:18" ht="17.25" hidden="1" customHeight="1">
      <c r="B2709" s="23">
        <v>45933</v>
      </c>
      <c r="C2709" s="7">
        <v>2003791471</v>
      </c>
      <c r="D2709" s="20">
        <v>6387936</v>
      </c>
      <c r="E2709" s="27" t="s">
        <v>1225</v>
      </c>
      <c r="F2709" s="7" t="s">
        <v>107</v>
      </c>
      <c r="G2709" s="7" t="s">
        <v>10</v>
      </c>
      <c r="H2709" s="7" t="s">
        <v>45</v>
      </c>
      <c r="I2709" s="20" t="s">
        <v>3581</v>
      </c>
      <c r="J2709" s="20" t="s">
        <v>3582</v>
      </c>
      <c r="K2709" s="7" t="s">
        <v>110</v>
      </c>
      <c r="L2709" s="61">
        <v>45938</v>
      </c>
      <c r="M2709" s="7" t="s">
        <v>111</v>
      </c>
      <c r="N2709" s="24">
        <v>45943</v>
      </c>
      <c r="O2709" s="24">
        <v>45943</v>
      </c>
      <c r="P2709" s="59"/>
      <c r="Q2709" s="124" t="e">
        <f>P2709*#REF!</f>
        <v>#REF!</v>
      </c>
      <c r="R2709" s="126">
        <v>45944</v>
      </c>
    </row>
    <row r="2710" spans="2:18" ht="17.25" hidden="1" customHeight="1">
      <c r="B2710" s="23">
        <v>45933</v>
      </c>
      <c r="C2710" s="7">
        <v>2003807597</v>
      </c>
      <c r="D2710" s="20">
        <v>6387977</v>
      </c>
      <c r="E2710" s="27" t="s">
        <v>201</v>
      </c>
      <c r="F2710" s="7" t="s">
        <v>107</v>
      </c>
      <c r="G2710" s="7" t="s">
        <v>10</v>
      </c>
      <c r="H2710" s="7" t="s">
        <v>45</v>
      </c>
      <c r="I2710" s="20" t="s">
        <v>1248</v>
      </c>
      <c r="J2710" s="20" t="s">
        <v>3942</v>
      </c>
      <c r="K2710" s="7" t="s">
        <v>119</v>
      </c>
      <c r="L2710" s="61">
        <v>45952</v>
      </c>
      <c r="M2710" s="7" t="s">
        <v>111</v>
      </c>
      <c r="N2710" s="61">
        <v>45958</v>
      </c>
      <c r="O2710" s="61">
        <v>45958</v>
      </c>
      <c r="P2710" s="59"/>
      <c r="Q2710" s="124" t="e">
        <f>P2710*#REF!</f>
        <v>#REF!</v>
      </c>
      <c r="R2710" s="126">
        <v>45961</v>
      </c>
    </row>
    <row r="2711" spans="2:18" ht="17.25" hidden="1" customHeight="1">
      <c r="B2711" s="23">
        <v>45933</v>
      </c>
      <c r="C2711" s="7">
        <v>2003800466</v>
      </c>
      <c r="D2711" s="20">
        <v>6388017</v>
      </c>
      <c r="E2711" s="27" t="s">
        <v>152</v>
      </c>
      <c r="F2711" s="7" t="s">
        <v>107</v>
      </c>
      <c r="G2711" s="7" t="s">
        <v>18</v>
      </c>
      <c r="H2711" s="7" t="s">
        <v>45</v>
      </c>
      <c r="I2711" s="20" t="s">
        <v>1317</v>
      </c>
      <c r="J2711" s="20" t="s">
        <v>3943</v>
      </c>
      <c r="K2711" s="7" t="s">
        <v>119</v>
      </c>
      <c r="L2711" s="61">
        <v>45937</v>
      </c>
      <c r="M2711" s="7" t="s">
        <v>111</v>
      </c>
      <c r="N2711" s="24">
        <v>45938</v>
      </c>
      <c r="O2711" s="58">
        <v>45943</v>
      </c>
      <c r="P2711" s="59"/>
      <c r="Q2711" s="124" t="e">
        <f>P2711*#REF!</f>
        <v>#REF!</v>
      </c>
      <c r="R2711" s="126">
        <v>45944</v>
      </c>
    </row>
    <row r="2712" spans="2:18" ht="17.25" hidden="1" customHeight="1">
      <c r="B2712" s="23">
        <v>45933</v>
      </c>
      <c r="C2712" s="7">
        <v>2003750178</v>
      </c>
      <c r="D2712" s="20">
        <v>6388078</v>
      </c>
      <c r="E2712" s="27" t="s">
        <v>149</v>
      </c>
      <c r="F2712" s="7" t="s">
        <v>107</v>
      </c>
      <c r="G2712" s="7" t="s">
        <v>21</v>
      </c>
      <c r="H2712" s="7" t="s">
        <v>45</v>
      </c>
      <c r="I2712" s="20" t="s">
        <v>784</v>
      </c>
      <c r="J2712" s="20" t="s">
        <v>3424</v>
      </c>
      <c r="K2712" s="7" t="s">
        <v>111</v>
      </c>
      <c r="L2712" s="61">
        <v>45933</v>
      </c>
      <c r="M2712" s="7" t="s">
        <v>111</v>
      </c>
      <c r="N2712" s="24">
        <v>45936</v>
      </c>
      <c r="O2712" s="58">
        <v>45938</v>
      </c>
      <c r="P2712" s="59"/>
      <c r="Q2712" s="124" t="e">
        <f>P2712*#REF!</f>
        <v>#REF!</v>
      </c>
      <c r="R2712" s="126">
        <v>45938</v>
      </c>
    </row>
    <row r="2713" spans="2:18" ht="17.25" hidden="1" customHeight="1">
      <c r="B2713" s="23">
        <v>45933</v>
      </c>
      <c r="C2713" s="7">
        <v>2003804855</v>
      </c>
      <c r="D2713" s="20">
        <v>311031</v>
      </c>
      <c r="E2713" s="27" t="s">
        <v>149</v>
      </c>
      <c r="F2713" s="7" t="s">
        <v>107</v>
      </c>
      <c r="G2713" s="7" t="s">
        <v>10</v>
      </c>
      <c r="H2713" s="7" t="s">
        <v>45</v>
      </c>
      <c r="I2713" s="20" t="s">
        <v>3944</v>
      </c>
      <c r="J2713" s="20" t="s">
        <v>3945</v>
      </c>
      <c r="K2713" s="7" t="s">
        <v>119</v>
      </c>
      <c r="L2713" s="61">
        <v>45937</v>
      </c>
      <c r="M2713" s="7" t="s">
        <v>111</v>
      </c>
      <c r="N2713" s="24">
        <v>45938</v>
      </c>
      <c r="O2713" s="58">
        <v>45943</v>
      </c>
      <c r="P2713" s="59"/>
      <c r="Q2713" s="124" t="e">
        <f>P2713*#REF!</f>
        <v>#REF!</v>
      </c>
      <c r="R2713" s="126">
        <v>45944</v>
      </c>
    </row>
    <row r="2714" spans="2:18" ht="17.25" hidden="1" customHeight="1">
      <c r="B2714" s="23">
        <v>45933</v>
      </c>
      <c r="C2714" s="7">
        <v>2003803637</v>
      </c>
      <c r="D2714" s="20">
        <v>310534</v>
      </c>
      <c r="E2714" s="27" t="s">
        <v>201</v>
      </c>
      <c r="F2714" s="7" t="s">
        <v>107</v>
      </c>
      <c r="G2714" s="7" t="s">
        <v>26</v>
      </c>
      <c r="H2714" s="7" t="s">
        <v>45</v>
      </c>
      <c r="I2714" s="20" t="s">
        <v>2686</v>
      </c>
      <c r="J2714" s="20" t="s">
        <v>3946</v>
      </c>
      <c r="K2714" s="7" t="s">
        <v>110</v>
      </c>
      <c r="L2714" s="61">
        <v>45937</v>
      </c>
      <c r="M2714" s="7" t="s">
        <v>111</v>
      </c>
      <c r="N2714" s="24">
        <v>45937</v>
      </c>
      <c r="O2714" s="58">
        <v>45937</v>
      </c>
      <c r="P2714" s="59"/>
      <c r="Q2714" s="124" t="e">
        <f>P2714*#REF!</f>
        <v>#REF!</v>
      </c>
      <c r="R2714" s="126">
        <v>45937</v>
      </c>
    </row>
    <row r="2715" spans="2:18" ht="17.25" hidden="1" customHeight="1">
      <c r="B2715" s="23">
        <v>45933</v>
      </c>
      <c r="C2715" s="7">
        <v>2003807374</v>
      </c>
      <c r="D2715" s="20">
        <v>310345</v>
      </c>
      <c r="E2715" s="27" t="s">
        <v>106</v>
      </c>
      <c r="F2715" s="7" t="s">
        <v>107</v>
      </c>
      <c r="G2715" s="7" t="s">
        <v>10</v>
      </c>
      <c r="H2715" s="7" t="s">
        <v>45</v>
      </c>
      <c r="I2715" s="20" t="s">
        <v>3947</v>
      </c>
      <c r="J2715" s="20" t="s">
        <v>3948</v>
      </c>
      <c r="K2715" s="7" t="s">
        <v>119</v>
      </c>
      <c r="L2715" s="61">
        <v>45937</v>
      </c>
      <c r="M2715" s="7" t="s">
        <v>111</v>
      </c>
      <c r="N2715" s="61">
        <v>45950</v>
      </c>
      <c r="O2715" s="61">
        <v>45950</v>
      </c>
      <c r="P2715" s="59"/>
      <c r="Q2715" s="124" t="e">
        <f>P2715*#REF!</f>
        <v>#REF!</v>
      </c>
      <c r="R2715" s="126">
        <v>45957</v>
      </c>
    </row>
    <row r="2716" spans="2:18" ht="17.25" hidden="1" customHeight="1">
      <c r="B2716" s="23">
        <v>45933</v>
      </c>
      <c r="C2716" s="7">
        <v>2003807591</v>
      </c>
      <c r="D2716" s="20">
        <v>310222</v>
      </c>
      <c r="E2716" s="27" t="s">
        <v>408</v>
      </c>
      <c r="F2716" s="7" t="s">
        <v>107</v>
      </c>
      <c r="G2716" s="7" t="s">
        <v>10</v>
      </c>
      <c r="H2716" s="7" t="s">
        <v>45</v>
      </c>
      <c r="I2716" s="20" t="s">
        <v>3949</v>
      </c>
      <c r="J2716" s="20" t="s">
        <v>3950</v>
      </c>
      <c r="K2716" s="7" t="s">
        <v>119</v>
      </c>
      <c r="L2716" s="61">
        <v>45938</v>
      </c>
      <c r="M2716" s="7" t="s">
        <v>111</v>
      </c>
      <c r="N2716" s="24">
        <v>45944</v>
      </c>
      <c r="O2716" s="24">
        <v>45945</v>
      </c>
      <c r="P2716" s="59"/>
      <c r="Q2716" s="124" t="e">
        <f>P2716*#REF!</f>
        <v>#REF!</v>
      </c>
      <c r="R2716" s="126">
        <v>45946</v>
      </c>
    </row>
    <row r="2717" spans="2:18" ht="17.25" hidden="1" customHeight="1">
      <c r="B2717" s="23">
        <v>45936</v>
      </c>
      <c r="C2717" s="7">
        <v>2003755624</v>
      </c>
      <c r="D2717" s="20">
        <v>312760</v>
      </c>
      <c r="E2717" s="27" t="s">
        <v>157</v>
      </c>
      <c r="F2717" s="7" t="s">
        <v>113</v>
      </c>
      <c r="G2717" s="7" t="s">
        <v>70</v>
      </c>
      <c r="H2717" s="7" t="s">
        <v>47</v>
      </c>
      <c r="I2717" s="20" t="s">
        <v>3951</v>
      </c>
      <c r="J2717" s="20" t="s">
        <v>3952</v>
      </c>
      <c r="K2717" s="7" t="s">
        <v>119</v>
      </c>
      <c r="L2717" s="61">
        <v>45944</v>
      </c>
      <c r="M2717" s="7" t="s">
        <v>111</v>
      </c>
      <c r="P2717" s="59"/>
      <c r="Q2717" s="124" t="e">
        <f>P2717*#REF!</f>
        <v>#REF!</v>
      </c>
      <c r="R2717" s="126">
        <v>45947</v>
      </c>
    </row>
    <row r="2718" spans="2:18" ht="17.25" hidden="1" customHeight="1">
      <c r="B2718" s="23">
        <v>45936</v>
      </c>
      <c r="C2718" s="7">
        <v>2003762710</v>
      </c>
      <c r="D2718" s="20">
        <v>312822</v>
      </c>
      <c r="E2718" s="27" t="s">
        <v>185</v>
      </c>
      <c r="F2718" s="7" t="s">
        <v>107</v>
      </c>
      <c r="G2718" s="7" t="s">
        <v>26</v>
      </c>
      <c r="H2718" s="7" t="s">
        <v>45</v>
      </c>
      <c r="I2718" s="20" t="s">
        <v>971</v>
      </c>
      <c r="J2718" s="20" t="s">
        <v>3923</v>
      </c>
      <c r="K2718" s="7" t="s">
        <v>110</v>
      </c>
      <c r="L2718" s="61">
        <v>45939</v>
      </c>
      <c r="M2718" s="7" t="s">
        <v>111</v>
      </c>
      <c r="N2718" s="24">
        <v>45944</v>
      </c>
      <c r="O2718" s="58">
        <v>45944</v>
      </c>
      <c r="P2718" s="59"/>
      <c r="Q2718" s="124" t="e">
        <f>P2718*#REF!</f>
        <v>#REF!</v>
      </c>
      <c r="R2718" s="126">
        <v>45944</v>
      </c>
    </row>
    <row r="2719" spans="2:18" ht="17.25" hidden="1" customHeight="1">
      <c r="B2719" s="23">
        <v>45936</v>
      </c>
      <c r="C2719" s="7">
        <v>2003752678</v>
      </c>
      <c r="D2719" s="20">
        <v>312434</v>
      </c>
      <c r="E2719" s="27" t="s">
        <v>123</v>
      </c>
      <c r="F2719" s="7" t="s">
        <v>107</v>
      </c>
      <c r="G2719" s="7" t="s">
        <v>10</v>
      </c>
      <c r="H2719" s="7" t="s">
        <v>45</v>
      </c>
      <c r="I2719" s="20" t="s">
        <v>3953</v>
      </c>
      <c r="J2719" s="20" t="s">
        <v>3954</v>
      </c>
      <c r="K2719" s="7" t="s">
        <v>111</v>
      </c>
      <c r="L2719" s="61">
        <v>45937</v>
      </c>
      <c r="M2719" s="7" t="s">
        <v>111</v>
      </c>
      <c r="N2719" s="24">
        <v>45938</v>
      </c>
      <c r="O2719" s="24">
        <v>45938</v>
      </c>
      <c r="P2719" s="59"/>
      <c r="Q2719" s="124" t="e">
        <f>P2719*#REF!</f>
        <v>#REF!</v>
      </c>
      <c r="R2719" s="126">
        <v>45938</v>
      </c>
    </row>
    <row r="2720" spans="2:18" ht="17.25" hidden="1" customHeight="1">
      <c r="B2720" s="23">
        <v>45936</v>
      </c>
      <c r="C2720" s="7">
        <v>2003808863</v>
      </c>
      <c r="D2720" s="20">
        <v>312412</v>
      </c>
      <c r="E2720" s="27" t="s">
        <v>129</v>
      </c>
      <c r="F2720" s="7" t="s">
        <v>107</v>
      </c>
      <c r="G2720" s="7" t="s">
        <v>10</v>
      </c>
      <c r="H2720" s="7" t="s">
        <v>45</v>
      </c>
      <c r="I2720" s="20" t="s">
        <v>1843</v>
      </c>
      <c r="J2720" s="20" t="s">
        <v>3955</v>
      </c>
      <c r="K2720" s="7" t="s">
        <v>119</v>
      </c>
      <c r="L2720" s="61">
        <v>45939</v>
      </c>
      <c r="M2720" s="7" t="s">
        <v>111</v>
      </c>
      <c r="N2720" s="24">
        <v>45943</v>
      </c>
      <c r="O2720" s="24">
        <v>45945</v>
      </c>
      <c r="P2720" s="59"/>
      <c r="Q2720" s="124" t="e">
        <f>P2720*#REF!</f>
        <v>#REF!</v>
      </c>
      <c r="R2720" s="126">
        <v>45946</v>
      </c>
    </row>
    <row r="2721" spans="2:18" ht="17.25" hidden="1" customHeight="1">
      <c r="B2721" s="23">
        <v>45936</v>
      </c>
      <c r="C2721" s="7">
        <v>2003771428</v>
      </c>
      <c r="D2721" s="20">
        <v>312094</v>
      </c>
      <c r="E2721" s="27" t="s">
        <v>106</v>
      </c>
      <c r="F2721" s="7" t="s">
        <v>107</v>
      </c>
      <c r="G2721" s="7" t="s">
        <v>21</v>
      </c>
      <c r="H2721" s="7" t="s">
        <v>45</v>
      </c>
      <c r="I2721" s="20" t="s">
        <v>330</v>
      </c>
      <c r="J2721" s="20" t="s">
        <v>3731</v>
      </c>
      <c r="K2721" s="7" t="s">
        <v>110</v>
      </c>
      <c r="L2721" s="61">
        <v>45937</v>
      </c>
      <c r="M2721" s="7" t="s">
        <v>111</v>
      </c>
      <c r="N2721" s="24">
        <v>45938</v>
      </c>
      <c r="O2721" s="24">
        <v>45945</v>
      </c>
      <c r="P2721" s="59"/>
      <c r="Q2721" s="124" t="e">
        <f>P2721*#REF!</f>
        <v>#REF!</v>
      </c>
      <c r="R2721" s="126">
        <v>45946</v>
      </c>
    </row>
    <row r="2722" spans="2:18" ht="17.25" hidden="1" customHeight="1">
      <c r="B2722" s="23">
        <v>45936</v>
      </c>
      <c r="C2722" s="7">
        <v>2003806909</v>
      </c>
      <c r="D2722" s="20">
        <v>311981</v>
      </c>
      <c r="E2722" s="27" t="s">
        <v>138</v>
      </c>
      <c r="F2722" s="7" t="s">
        <v>107</v>
      </c>
      <c r="G2722" s="7" t="s">
        <v>10</v>
      </c>
      <c r="H2722" s="7" t="s">
        <v>45</v>
      </c>
      <c r="I2722" s="20" t="s">
        <v>1009</v>
      </c>
      <c r="J2722" s="20" t="s">
        <v>3956</v>
      </c>
      <c r="K2722" s="7" t="s">
        <v>110</v>
      </c>
      <c r="L2722" s="61">
        <v>45937</v>
      </c>
      <c r="M2722" s="7" t="s">
        <v>111</v>
      </c>
      <c r="N2722" s="24">
        <v>45938</v>
      </c>
      <c r="O2722" s="58">
        <v>45943</v>
      </c>
      <c r="P2722" s="59"/>
      <c r="Q2722" s="124" t="e">
        <f>P2722*#REF!</f>
        <v>#REF!</v>
      </c>
      <c r="R2722" s="126">
        <v>45944</v>
      </c>
    </row>
    <row r="2723" spans="2:18" ht="17.25" hidden="1" customHeight="1">
      <c r="B2723" s="23">
        <v>45936</v>
      </c>
      <c r="C2723" s="7">
        <v>2003807451</v>
      </c>
      <c r="D2723" s="20">
        <v>311748</v>
      </c>
      <c r="E2723" s="27" t="s">
        <v>143</v>
      </c>
      <c r="F2723" s="7" t="s">
        <v>113</v>
      </c>
      <c r="G2723" s="7" t="s">
        <v>70</v>
      </c>
      <c r="H2723" s="7" t="s">
        <v>47</v>
      </c>
      <c r="I2723" s="20" t="s">
        <v>462</v>
      </c>
      <c r="J2723" s="20" t="s">
        <v>3957</v>
      </c>
      <c r="K2723" s="7" t="s">
        <v>160</v>
      </c>
      <c r="P2723" s="59"/>
      <c r="Q2723" s="124" t="e">
        <f>P2723*#REF!</f>
        <v>#REF!</v>
      </c>
      <c r="R2723" s="126">
        <v>45944</v>
      </c>
    </row>
    <row r="2724" spans="2:18" ht="17.25" hidden="1" customHeight="1">
      <c r="B2724" s="23">
        <v>45936</v>
      </c>
      <c r="C2724" s="7">
        <v>2003709788</v>
      </c>
      <c r="D2724" s="20">
        <v>6388518</v>
      </c>
      <c r="E2724" s="27" t="s">
        <v>622</v>
      </c>
      <c r="F2724" s="7" t="s">
        <v>107</v>
      </c>
      <c r="G2724" s="7" t="s">
        <v>10</v>
      </c>
      <c r="H2724" s="7" t="s">
        <v>45</v>
      </c>
      <c r="I2724" s="20" t="s">
        <v>1015</v>
      </c>
      <c r="J2724" s="20" t="s">
        <v>3958</v>
      </c>
      <c r="K2724" s="7" t="s">
        <v>119</v>
      </c>
      <c r="L2724" s="61">
        <v>45938</v>
      </c>
      <c r="M2724" s="7" t="s">
        <v>111</v>
      </c>
      <c r="N2724" s="24">
        <v>45943</v>
      </c>
      <c r="O2724" s="24">
        <v>45945</v>
      </c>
      <c r="P2724" s="59"/>
      <c r="Q2724" s="124" t="e">
        <f>P2724*#REF!</f>
        <v>#REF!</v>
      </c>
      <c r="R2724" s="126">
        <v>45946</v>
      </c>
    </row>
    <row r="2725" spans="2:18" ht="17.25" hidden="1" customHeight="1">
      <c r="B2725" s="23">
        <v>45936</v>
      </c>
      <c r="C2725" s="7">
        <v>2003808211</v>
      </c>
      <c r="D2725" s="20">
        <v>6388789</v>
      </c>
      <c r="E2725" s="27" t="s">
        <v>408</v>
      </c>
      <c r="F2725" s="7" t="s">
        <v>107</v>
      </c>
      <c r="G2725" s="7" t="s">
        <v>18</v>
      </c>
      <c r="H2725" s="7" t="s">
        <v>45</v>
      </c>
      <c r="I2725" s="20" t="s">
        <v>3959</v>
      </c>
      <c r="J2725" s="20" t="s">
        <v>3960</v>
      </c>
      <c r="K2725" s="7" t="s">
        <v>119</v>
      </c>
      <c r="L2725" s="61">
        <v>45938</v>
      </c>
      <c r="M2725" s="7" t="s">
        <v>111</v>
      </c>
      <c r="N2725" s="24">
        <v>45943</v>
      </c>
      <c r="O2725" s="24">
        <v>45945</v>
      </c>
      <c r="P2725" s="59"/>
      <c r="Q2725" s="124" t="e">
        <f>P2725*#REF!</f>
        <v>#REF!</v>
      </c>
      <c r="R2725" s="126">
        <v>45946</v>
      </c>
    </row>
    <row r="2726" spans="2:18" ht="17.25" hidden="1" customHeight="1">
      <c r="B2726" s="23">
        <v>45936</v>
      </c>
      <c r="C2726" s="7">
        <v>2003777043</v>
      </c>
      <c r="D2726" s="20">
        <v>6388815</v>
      </c>
      <c r="E2726" s="27" t="s">
        <v>126</v>
      </c>
      <c r="F2726" s="7" t="s">
        <v>107</v>
      </c>
      <c r="G2726" s="7" t="s">
        <v>21</v>
      </c>
      <c r="H2726" s="7" t="s">
        <v>45</v>
      </c>
      <c r="I2726" s="20" t="s">
        <v>3961</v>
      </c>
      <c r="J2726" s="20" t="s">
        <v>3715</v>
      </c>
      <c r="K2726" s="7" t="s">
        <v>111</v>
      </c>
      <c r="L2726" s="61">
        <v>45937</v>
      </c>
      <c r="M2726" s="7" t="s">
        <v>111</v>
      </c>
      <c r="N2726" s="24">
        <v>45938</v>
      </c>
      <c r="O2726" s="24">
        <v>45938</v>
      </c>
      <c r="P2726" s="59"/>
      <c r="Q2726" s="124" t="e">
        <f>P2726*#REF!</f>
        <v>#REF!</v>
      </c>
      <c r="R2726" s="126">
        <v>45938</v>
      </c>
    </row>
    <row r="2727" spans="2:18" ht="17.25" hidden="1" customHeight="1">
      <c r="B2727" s="23">
        <v>45936</v>
      </c>
      <c r="C2727" s="7">
        <v>2003808670</v>
      </c>
      <c r="D2727" s="20">
        <v>6399751</v>
      </c>
      <c r="E2727" s="27" t="s">
        <v>106</v>
      </c>
      <c r="F2727" s="7" t="s">
        <v>107</v>
      </c>
      <c r="G2727" s="7" t="s">
        <v>10</v>
      </c>
      <c r="H2727" s="7" t="s">
        <v>45</v>
      </c>
      <c r="I2727" s="20" t="s">
        <v>3962</v>
      </c>
      <c r="J2727" s="20" t="s">
        <v>3963</v>
      </c>
      <c r="K2727" s="7" t="s">
        <v>119</v>
      </c>
      <c r="L2727" s="61">
        <v>45953</v>
      </c>
      <c r="M2727" s="7" t="s">
        <v>111</v>
      </c>
      <c r="N2727" s="24">
        <v>45966</v>
      </c>
      <c r="O2727" s="24">
        <v>45966</v>
      </c>
      <c r="P2727" s="59"/>
      <c r="Q2727" s="124" t="e">
        <f>P2727*#REF!</f>
        <v>#REF!</v>
      </c>
      <c r="R2727" s="126">
        <v>45967</v>
      </c>
    </row>
    <row r="2728" spans="2:18" ht="17.25" hidden="1" customHeight="1">
      <c r="B2728" s="23">
        <v>45937</v>
      </c>
      <c r="C2728" s="7">
        <v>2003717087</v>
      </c>
      <c r="D2728" s="20">
        <v>314765</v>
      </c>
      <c r="E2728" s="27" t="s">
        <v>157</v>
      </c>
      <c r="F2728" s="7" t="s">
        <v>107</v>
      </c>
      <c r="G2728" s="7" t="s">
        <v>15</v>
      </c>
      <c r="H2728" s="7" t="s">
        <v>45</v>
      </c>
      <c r="I2728" s="20" t="s">
        <v>3964</v>
      </c>
      <c r="J2728" s="20" t="s">
        <v>3722</v>
      </c>
      <c r="K2728" s="7" t="s">
        <v>119</v>
      </c>
      <c r="L2728" s="61">
        <v>45944</v>
      </c>
      <c r="M2728" s="7" t="s">
        <v>111</v>
      </c>
      <c r="N2728" s="24">
        <v>45945</v>
      </c>
      <c r="O2728" s="24">
        <v>45945</v>
      </c>
      <c r="P2728" s="59"/>
      <c r="Q2728" s="124" t="e">
        <f>P2728*#REF!</f>
        <v>#REF!</v>
      </c>
      <c r="R2728" s="126">
        <v>45947</v>
      </c>
    </row>
    <row r="2729" spans="2:18" ht="17.25" hidden="1" customHeight="1">
      <c r="B2729" s="23">
        <v>45937</v>
      </c>
      <c r="C2729" s="7">
        <v>2003680093</v>
      </c>
      <c r="D2729" s="20">
        <v>314175</v>
      </c>
      <c r="E2729" s="27" t="s">
        <v>949</v>
      </c>
      <c r="F2729" s="7" t="s">
        <v>107</v>
      </c>
      <c r="G2729" s="7" t="s">
        <v>21</v>
      </c>
      <c r="H2729" s="7" t="s">
        <v>45</v>
      </c>
      <c r="I2729" s="20" t="s">
        <v>2933</v>
      </c>
      <c r="J2729" s="20" t="s">
        <v>2934</v>
      </c>
      <c r="K2729" s="7" t="s">
        <v>119</v>
      </c>
      <c r="L2729" s="61">
        <v>45938</v>
      </c>
      <c r="M2729" s="7" t="s">
        <v>111</v>
      </c>
      <c r="N2729" s="24">
        <v>45943</v>
      </c>
      <c r="O2729" s="24">
        <v>45943</v>
      </c>
      <c r="P2729" s="59"/>
      <c r="Q2729" s="124" t="e">
        <f>P2729*#REF!</f>
        <v>#REF!</v>
      </c>
      <c r="R2729" s="126">
        <v>45944</v>
      </c>
    </row>
    <row r="2730" spans="2:18" ht="17.25" hidden="1" customHeight="1">
      <c r="B2730" s="23">
        <v>45937</v>
      </c>
      <c r="C2730" s="7">
        <v>2003769533</v>
      </c>
      <c r="D2730" s="20">
        <v>313753</v>
      </c>
      <c r="E2730" s="27" t="s">
        <v>185</v>
      </c>
      <c r="F2730" s="7" t="s">
        <v>107</v>
      </c>
      <c r="G2730" s="7" t="s">
        <v>10</v>
      </c>
      <c r="H2730" s="7" t="s">
        <v>45</v>
      </c>
      <c r="I2730" s="20" t="s">
        <v>392</v>
      </c>
      <c r="J2730" s="20" t="s">
        <v>3965</v>
      </c>
      <c r="K2730" s="7" t="s">
        <v>119</v>
      </c>
      <c r="L2730" s="61">
        <v>45944</v>
      </c>
      <c r="M2730" s="7" t="s">
        <v>111</v>
      </c>
      <c r="N2730" s="24">
        <v>45945</v>
      </c>
      <c r="O2730" s="24">
        <v>45945</v>
      </c>
      <c r="P2730" s="59"/>
      <c r="Q2730" s="124" t="e">
        <f>P2730*#REF!</f>
        <v>#REF!</v>
      </c>
      <c r="R2730" s="126">
        <v>45947</v>
      </c>
    </row>
    <row r="2731" spans="2:18" ht="17.25" hidden="1" customHeight="1">
      <c r="B2731" s="23">
        <v>45937</v>
      </c>
      <c r="C2731" s="7">
        <v>2003808786</v>
      </c>
      <c r="D2731" s="20">
        <v>313611</v>
      </c>
      <c r="E2731" s="27" t="s">
        <v>135</v>
      </c>
      <c r="F2731" s="7" t="s">
        <v>107</v>
      </c>
      <c r="G2731" s="7" t="s">
        <v>15</v>
      </c>
      <c r="H2731" s="7" t="s">
        <v>45</v>
      </c>
      <c r="I2731" s="20" t="s">
        <v>3966</v>
      </c>
      <c r="J2731" s="20" t="s">
        <v>3967</v>
      </c>
      <c r="K2731" s="7" t="s">
        <v>119</v>
      </c>
      <c r="L2731" s="61">
        <v>45939</v>
      </c>
      <c r="M2731" s="7" t="s">
        <v>111</v>
      </c>
      <c r="N2731" s="61">
        <v>45944</v>
      </c>
      <c r="O2731" s="61">
        <v>45944</v>
      </c>
      <c r="P2731" s="59"/>
      <c r="Q2731" s="124" t="e">
        <f>P2731*#REF!</f>
        <v>#REF!</v>
      </c>
      <c r="R2731" s="126">
        <v>45946</v>
      </c>
    </row>
    <row r="2732" spans="2:18" ht="17.25" hidden="1" customHeight="1">
      <c r="B2732" s="23">
        <v>45937</v>
      </c>
      <c r="C2732" s="7">
        <v>2003806825</v>
      </c>
      <c r="D2732" s="20">
        <v>313384</v>
      </c>
      <c r="E2732" s="20" t="s">
        <v>135</v>
      </c>
      <c r="F2732" s="7" t="s">
        <v>107</v>
      </c>
      <c r="G2732" s="7" t="s">
        <v>15</v>
      </c>
      <c r="H2732" s="7" t="s">
        <v>45</v>
      </c>
      <c r="I2732" s="20" t="s">
        <v>3968</v>
      </c>
      <c r="J2732" s="20" t="s">
        <v>3969</v>
      </c>
      <c r="K2732" s="7" t="s">
        <v>119</v>
      </c>
      <c r="L2732" s="61">
        <v>45939</v>
      </c>
      <c r="M2732" s="7" t="s">
        <v>111</v>
      </c>
      <c r="N2732" s="61">
        <v>45944</v>
      </c>
      <c r="O2732" s="24">
        <v>45945</v>
      </c>
      <c r="P2732" s="59"/>
      <c r="Q2732" s="124" t="e">
        <f>P2732*#REF!</f>
        <v>#REF!</v>
      </c>
      <c r="R2732" s="126">
        <v>45946</v>
      </c>
    </row>
    <row r="2733" spans="2:18" ht="17.25" hidden="1" customHeight="1">
      <c r="B2733" s="23">
        <v>45937</v>
      </c>
      <c r="C2733" s="7">
        <v>2003376702</v>
      </c>
      <c r="D2733" s="20">
        <v>6432289</v>
      </c>
      <c r="E2733" s="27" t="s">
        <v>3970</v>
      </c>
      <c r="F2733" s="7" t="s">
        <v>107</v>
      </c>
      <c r="G2733" s="7" t="s">
        <v>10</v>
      </c>
      <c r="H2733" s="7" t="s">
        <v>45</v>
      </c>
      <c r="I2733" s="20" t="s">
        <v>2672</v>
      </c>
      <c r="J2733" s="20" t="s">
        <v>2533</v>
      </c>
      <c r="K2733" s="7" t="s">
        <v>119</v>
      </c>
      <c r="L2733" s="61">
        <v>45945</v>
      </c>
      <c r="M2733" s="7" t="s">
        <v>111</v>
      </c>
      <c r="N2733" s="24">
        <v>45947</v>
      </c>
      <c r="O2733" s="24">
        <v>45947</v>
      </c>
      <c r="P2733" s="59"/>
      <c r="Q2733" s="124" t="e">
        <f>P2733*#REF!</f>
        <v>#REF!</v>
      </c>
      <c r="R2733" s="126">
        <v>45947</v>
      </c>
    </row>
    <row r="2734" spans="2:18" ht="17.25" hidden="1" customHeight="1">
      <c r="B2734" s="23">
        <v>45937</v>
      </c>
      <c r="C2734" s="7">
        <v>2003810161</v>
      </c>
      <c r="D2734" s="20">
        <v>6432485</v>
      </c>
      <c r="E2734" s="27" t="s">
        <v>1225</v>
      </c>
      <c r="F2734" s="7" t="s">
        <v>107</v>
      </c>
      <c r="G2734" s="7" t="s">
        <v>18</v>
      </c>
      <c r="H2734" s="7" t="s">
        <v>45</v>
      </c>
      <c r="I2734" s="20" t="s">
        <v>3971</v>
      </c>
      <c r="J2734" s="20" t="s">
        <v>3972</v>
      </c>
      <c r="K2734" s="7" t="s">
        <v>119</v>
      </c>
      <c r="L2734" s="61">
        <v>45943</v>
      </c>
      <c r="M2734" s="7" t="s">
        <v>111</v>
      </c>
      <c r="N2734" s="24">
        <v>45944</v>
      </c>
      <c r="O2734" s="58">
        <v>45946</v>
      </c>
      <c r="P2734" s="59"/>
      <c r="Q2734" s="124" t="e">
        <f>P2734*#REF!</f>
        <v>#REF!</v>
      </c>
      <c r="R2734" s="126">
        <v>45947</v>
      </c>
    </row>
    <row r="2735" spans="2:18" ht="17.25" hidden="1" customHeight="1">
      <c r="B2735" s="23">
        <v>45937</v>
      </c>
      <c r="C2735" s="7">
        <v>2003775987</v>
      </c>
      <c r="D2735" s="20">
        <v>6432576</v>
      </c>
      <c r="E2735" s="27" t="s">
        <v>1225</v>
      </c>
      <c r="F2735" s="7" t="s">
        <v>107</v>
      </c>
      <c r="G2735" s="7" t="s">
        <v>10</v>
      </c>
      <c r="H2735" s="7" t="s">
        <v>45</v>
      </c>
      <c r="I2735" s="20" t="s">
        <v>553</v>
      </c>
      <c r="J2735" s="20" t="s">
        <v>3973</v>
      </c>
      <c r="K2735" s="7" t="s">
        <v>119</v>
      </c>
      <c r="L2735" s="61">
        <v>45944</v>
      </c>
      <c r="M2735" s="7" t="s">
        <v>111</v>
      </c>
      <c r="N2735" s="24">
        <v>45945</v>
      </c>
      <c r="O2735" s="58">
        <v>45946</v>
      </c>
      <c r="P2735" s="59"/>
      <c r="Q2735" s="124" t="e">
        <f>P2735*#REF!</f>
        <v>#REF!</v>
      </c>
      <c r="R2735" s="126">
        <v>45947</v>
      </c>
    </row>
    <row r="2736" spans="2:18" ht="17.25" hidden="1" customHeight="1">
      <c r="B2736" s="23">
        <v>45937</v>
      </c>
      <c r="C2736" s="7">
        <v>2003809085</v>
      </c>
      <c r="D2736" s="20">
        <v>6432585</v>
      </c>
      <c r="E2736" s="27" t="s">
        <v>191</v>
      </c>
      <c r="F2736" s="7" t="s">
        <v>107</v>
      </c>
      <c r="G2736" s="7" t="s">
        <v>10</v>
      </c>
      <c r="H2736" s="7" t="s">
        <v>45</v>
      </c>
      <c r="I2736" s="20" t="s">
        <v>3974</v>
      </c>
      <c r="J2736" s="20" t="s">
        <v>3975</v>
      </c>
      <c r="K2736" s="7" t="s">
        <v>119</v>
      </c>
      <c r="L2736" s="61">
        <v>45943</v>
      </c>
      <c r="M2736" s="7" t="s">
        <v>111</v>
      </c>
      <c r="N2736" s="24">
        <v>45944</v>
      </c>
      <c r="O2736" s="58">
        <v>45946</v>
      </c>
      <c r="P2736" s="59"/>
      <c r="Q2736" s="124" t="e">
        <f>P2736*#REF!</f>
        <v>#REF!</v>
      </c>
      <c r="R2736" s="126">
        <v>45947</v>
      </c>
    </row>
    <row r="2737" spans="2:18" ht="17.25" hidden="1" customHeight="1">
      <c r="B2737" s="23">
        <v>45938</v>
      </c>
      <c r="C2737" s="7">
        <v>2003812767</v>
      </c>
      <c r="D2737" s="20">
        <v>316482</v>
      </c>
      <c r="E2737" s="27" t="s">
        <v>143</v>
      </c>
      <c r="F2737" s="7" t="s">
        <v>107</v>
      </c>
      <c r="G2737" s="7" t="s">
        <v>10</v>
      </c>
      <c r="H2737" s="7" t="s">
        <v>45</v>
      </c>
      <c r="I2737" s="20" t="s">
        <v>3976</v>
      </c>
      <c r="J2737" s="20" t="s">
        <v>3977</v>
      </c>
      <c r="K2737" s="7" t="s">
        <v>110</v>
      </c>
      <c r="L2737" s="61">
        <v>45951</v>
      </c>
      <c r="M2737" s="7" t="s">
        <v>111</v>
      </c>
      <c r="N2737" s="61">
        <v>45951</v>
      </c>
      <c r="O2737" s="61">
        <v>45951</v>
      </c>
      <c r="P2737" s="59"/>
      <c r="Q2737" s="124" t="e">
        <f>P2737*#REF!</f>
        <v>#REF!</v>
      </c>
      <c r="R2737" s="126">
        <v>45957</v>
      </c>
    </row>
    <row r="2738" spans="2:18" ht="17.25" hidden="1" customHeight="1">
      <c r="B2738" s="23">
        <v>45938</v>
      </c>
      <c r="C2738" s="7">
        <v>2003775696</v>
      </c>
      <c r="D2738" s="20">
        <v>316274</v>
      </c>
      <c r="E2738" s="27" t="s">
        <v>138</v>
      </c>
      <c r="F2738" s="7" t="s">
        <v>107</v>
      </c>
      <c r="G2738" s="7" t="s">
        <v>21</v>
      </c>
      <c r="H2738" s="7" t="s">
        <v>45</v>
      </c>
      <c r="I2738" s="20" t="s">
        <v>3670</v>
      </c>
      <c r="J2738" s="20" t="s">
        <v>3671</v>
      </c>
      <c r="K2738" s="7" t="s">
        <v>111</v>
      </c>
      <c r="L2738" s="61">
        <v>45939</v>
      </c>
      <c r="M2738" s="7" t="s">
        <v>111</v>
      </c>
      <c r="N2738" s="24">
        <v>45943</v>
      </c>
      <c r="O2738" s="24">
        <v>45943</v>
      </c>
      <c r="P2738" s="59"/>
      <c r="Q2738" s="124" t="e">
        <f>P2738*#REF!</f>
        <v>#REF!</v>
      </c>
      <c r="R2738" s="126">
        <v>45944</v>
      </c>
    </row>
    <row r="2739" spans="2:18" ht="17.25" hidden="1" customHeight="1">
      <c r="B2739" s="23">
        <v>45938</v>
      </c>
      <c r="C2739" s="7">
        <v>2003798759</v>
      </c>
      <c r="D2739" s="20">
        <v>315805</v>
      </c>
      <c r="E2739" s="27" t="s">
        <v>123</v>
      </c>
      <c r="F2739" s="7" t="s">
        <v>107</v>
      </c>
      <c r="G2739" s="7" t="s">
        <v>18</v>
      </c>
      <c r="H2739" s="7" t="s">
        <v>45</v>
      </c>
      <c r="I2739" s="20" t="s">
        <v>3978</v>
      </c>
      <c r="J2739" s="20" t="s">
        <v>3979</v>
      </c>
      <c r="K2739" s="7" t="s">
        <v>119</v>
      </c>
      <c r="L2739" s="61">
        <v>45939</v>
      </c>
      <c r="M2739" s="7" t="s">
        <v>111</v>
      </c>
      <c r="N2739" s="24">
        <v>45943</v>
      </c>
      <c r="O2739" s="24">
        <v>45945</v>
      </c>
      <c r="P2739" s="59"/>
      <c r="Q2739" s="124" t="e">
        <f>P2739*#REF!</f>
        <v>#REF!</v>
      </c>
      <c r="R2739" s="126">
        <v>45946</v>
      </c>
    </row>
    <row r="2740" spans="2:18" ht="17.25" hidden="1" customHeight="1">
      <c r="B2740" s="23">
        <v>45938</v>
      </c>
      <c r="C2740" s="7">
        <v>2003803366</v>
      </c>
      <c r="D2740" s="20">
        <v>315239</v>
      </c>
      <c r="E2740" s="27" t="s">
        <v>3189</v>
      </c>
      <c r="F2740" s="7" t="s">
        <v>107</v>
      </c>
      <c r="G2740" s="7" t="s">
        <v>26</v>
      </c>
      <c r="H2740" s="7" t="s">
        <v>45</v>
      </c>
      <c r="I2740" s="20" t="s">
        <v>3110</v>
      </c>
      <c r="J2740" s="20" t="s">
        <v>3980</v>
      </c>
      <c r="K2740" s="7" t="s">
        <v>119</v>
      </c>
      <c r="L2740" s="61">
        <v>45939</v>
      </c>
      <c r="M2740" s="7" t="s">
        <v>111</v>
      </c>
      <c r="N2740" s="24">
        <v>45944</v>
      </c>
      <c r="O2740" s="58">
        <v>45944</v>
      </c>
      <c r="P2740" s="59"/>
      <c r="Q2740" s="124" t="e">
        <f>P2740*#REF!</f>
        <v>#REF!</v>
      </c>
      <c r="R2740" s="126">
        <v>45944</v>
      </c>
    </row>
    <row r="2741" spans="2:18" ht="17.25" hidden="1" customHeight="1">
      <c r="B2741" s="23">
        <v>45938</v>
      </c>
      <c r="C2741" s="7">
        <v>2003803637</v>
      </c>
      <c r="D2741" s="20">
        <v>315089</v>
      </c>
      <c r="E2741" s="27" t="s">
        <v>201</v>
      </c>
      <c r="F2741" s="7" t="s">
        <v>107</v>
      </c>
      <c r="G2741" s="7" t="s">
        <v>26</v>
      </c>
      <c r="H2741" s="7" t="s">
        <v>45</v>
      </c>
      <c r="I2741" s="20" t="s">
        <v>2686</v>
      </c>
      <c r="J2741" s="20" t="s">
        <v>3946</v>
      </c>
      <c r="K2741" s="7" t="s">
        <v>110</v>
      </c>
      <c r="L2741" s="61">
        <v>45939</v>
      </c>
      <c r="M2741" s="7" t="s">
        <v>111</v>
      </c>
      <c r="N2741" s="24">
        <v>45944</v>
      </c>
      <c r="O2741" s="58">
        <v>45944</v>
      </c>
      <c r="P2741" s="59"/>
      <c r="Q2741" s="124" t="e">
        <f>P2741*#REF!</f>
        <v>#REF!</v>
      </c>
      <c r="R2741" s="126">
        <v>45944</v>
      </c>
    </row>
    <row r="2742" spans="2:18" ht="17.25" hidden="1" customHeight="1">
      <c r="B2742" s="23">
        <v>45938</v>
      </c>
      <c r="C2742" s="7">
        <v>2003810306</v>
      </c>
      <c r="D2742" s="20">
        <v>315081</v>
      </c>
      <c r="E2742" s="20" t="s">
        <v>123</v>
      </c>
      <c r="F2742" s="7" t="s">
        <v>107</v>
      </c>
      <c r="G2742" s="7" t="s">
        <v>18</v>
      </c>
      <c r="H2742" s="7" t="s">
        <v>45</v>
      </c>
      <c r="I2742" s="20" t="s">
        <v>1042</v>
      </c>
      <c r="J2742" s="20" t="s">
        <v>1043</v>
      </c>
      <c r="K2742" s="7" t="s">
        <v>119</v>
      </c>
      <c r="L2742" s="61">
        <v>45939</v>
      </c>
      <c r="M2742" s="7" t="s">
        <v>111</v>
      </c>
      <c r="N2742" s="24">
        <v>45943</v>
      </c>
      <c r="O2742" s="24">
        <v>45943</v>
      </c>
      <c r="P2742" s="59"/>
      <c r="Q2742" s="124" t="e">
        <f>P2742*#REF!</f>
        <v>#REF!</v>
      </c>
      <c r="R2742" s="126">
        <v>45944</v>
      </c>
    </row>
    <row r="2743" spans="2:18" ht="17.25" hidden="1" customHeight="1">
      <c r="B2743" s="23">
        <v>45938</v>
      </c>
      <c r="C2743" s="7">
        <v>2003808005</v>
      </c>
      <c r="D2743" s="20">
        <v>6432750</v>
      </c>
      <c r="E2743" s="27" t="s">
        <v>201</v>
      </c>
      <c r="F2743" s="7" t="s">
        <v>107</v>
      </c>
      <c r="G2743" s="7" t="s">
        <v>10</v>
      </c>
      <c r="H2743" s="7" t="s">
        <v>45</v>
      </c>
      <c r="I2743" s="20" t="s">
        <v>3981</v>
      </c>
      <c r="J2743" s="20" t="s">
        <v>3436</v>
      </c>
      <c r="K2743" s="7" t="s">
        <v>119</v>
      </c>
      <c r="L2743" s="61">
        <v>45946</v>
      </c>
      <c r="M2743" s="7" t="s">
        <v>111</v>
      </c>
      <c r="N2743" s="61">
        <v>45947</v>
      </c>
      <c r="O2743" s="58">
        <v>45950</v>
      </c>
      <c r="P2743" s="59"/>
      <c r="Q2743" s="124" t="e">
        <f>P2743*#REF!</f>
        <v>#REF!</v>
      </c>
      <c r="R2743" s="126">
        <v>45957</v>
      </c>
    </row>
    <row r="2744" spans="2:18" ht="17.25" hidden="1" customHeight="1">
      <c r="B2744" s="23">
        <v>45938</v>
      </c>
      <c r="C2744" s="7">
        <v>2003765834</v>
      </c>
      <c r="D2744" s="20">
        <v>6433025</v>
      </c>
      <c r="E2744" s="27" t="s">
        <v>198</v>
      </c>
      <c r="F2744" s="7" t="s">
        <v>107</v>
      </c>
      <c r="G2744" s="7" t="s">
        <v>26</v>
      </c>
      <c r="H2744" s="7" t="s">
        <v>45</v>
      </c>
      <c r="I2744" s="20" t="s">
        <v>3553</v>
      </c>
      <c r="J2744" s="20" t="s">
        <v>3554</v>
      </c>
      <c r="K2744" s="7" t="s">
        <v>119</v>
      </c>
      <c r="L2744" s="61">
        <v>45939</v>
      </c>
      <c r="M2744" s="7" t="s">
        <v>111</v>
      </c>
      <c r="N2744" s="24">
        <v>45944</v>
      </c>
      <c r="O2744" s="58">
        <v>45944</v>
      </c>
      <c r="P2744" s="59"/>
      <c r="Q2744" s="124" t="e">
        <f>P2744*#REF!</f>
        <v>#REF!</v>
      </c>
      <c r="R2744" s="126">
        <v>45944</v>
      </c>
    </row>
    <row r="2745" spans="2:18" ht="17.25" hidden="1" customHeight="1">
      <c r="B2745" s="23">
        <v>45938</v>
      </c>
      <c r="C2745" s="7">
        <v>2003811359</v>
      </c>
      <c r="D2745" s="20">
        <v>6433141</v>
      </c>
      <c r="E2745" s="27" t="s">
        <v>106</v>
      </c>
      <c r="F2745" s="7" t="s">
        <v>107</v>
      </c>
      <c r="G2745" s="7" t="s">
        <v>10</v>
      </c>
      <c r="H2745" s="7" t="s">
        <v>45</v>
      </c>
      <c r="I2745" s="20" t="s">
        <v>3982</v>
      </c>
      <c r="J2745" s="20" t="s">
        <v>3983</v>
      </c>
      <c r="K2745" s="7" t="s">
        <v>110</v>
      </c>
      <c r="L2745" s="61">
        <v>45943</v>
      </c>
      <c r="M2745" s="7" t="s">
        <v>111</v>
      </c>
      <c r="N2745" s="61">
        <v>45944</v>
      </c>
      <c r="O2745" s="58">
        <v>45946</v>
      </c>
      <c r="P2745" s="59"/>
      <c r="Q2745" s="124" t="e">
        <f>P2745*#REF!</f>
        <v>#REF!</v>
      </c>
      <c r="R2745" s="126">
        <v>45947</v>
      </c>
    </row>
    <row r="2746" spans="2:18" ht="17.25" hidden="1" customHeight="1">
      <c r="B2746" s="23">
        <v>45938</v>
      </c>
      <c r="C2746" s="7">
        <v>2003812304</v>
      </c>
      <c r="D2746" s="20">
        <v>6433238</v>
      </c>
      <c r="E2746" s="27" t="s">
        <v>1225</v>
      </c>
      <c r="F2746" s="7" t="s">
        <v>107</v>
      </c>
      <c r="G2746" s="7" t="s">
        <v>10</v>
      </c>
      <c r="H2746" s="7" t="s">
        <v>45</v>
      </c>
      <c r="I2746" s="20" t="s">
        <v>3984</v>
      </c>
      <c r="J2746" s="20" t="s">
        <v>3985</v>
      </c>
      <c r="K2746" s="7" t="s">
        <v>110</v>
      </c>
      <c r="L2746" s="61">
        <v>45944</v>
      </c>
      <c r="M2746" s="7" t="s">
        <v>111</v>
      </c>
      <c r="N2746" s="61">
        <v>45944</v>
      </c>
      <c r="O2746" s="58">
        <v>45946</v>
      </c>
      <c r="P2746" s="59"/>
      <c r="Q2746" s="124" t="e">
        <f>P2746*#REF!</f>
        <v>#REF!</v>
      </c>
      <c r="R2746" s="126">
        <v>45947</v>
      </c>
    </row>
    <row r="2747" spans="2:18" ht="17.25" hidden="1" customHeight="1">
      <c r="B2747" s="23">
        <v>45939</v>
      </c>
      <c r="C2747" s="7">
        <v>2003808179</v>
      </c>
      <c r="D2747" s="20">
        <v>318124</v>
      </c>
      <c r="E2747" s="27" t="s">
        <v>3086</v>
      </c>
      <c r="F2747" s="7" t="s">
        <v>107</v>
      </c>
      <c r="G2747" s="7" t="s">
        <v>10</v>
      </c>
      <c r="H2747" s="7" t="s">
        <v>45</v>
      </c>
      <c r="I2747" s="20" t="s">
        <v>3986</v>
      </c>
      <c r="J2747" s="20" t="s">
        <v>3987</v>
      </c>
      <c r="K2747" s="7" t="s">
        <v>110</v>
      </c>
      <c r="L2747" s="61">
        <v>45944</v>
      </c>
      <c r="M2747" s="7" t="s">
        <v>111</v>
      </c>
      <c r="N2747" s="24">
        <v>45947</v>
      </c>
      <c r="O2747" s="58">
        <v>45953</v>
      </c>
      <c r="P2747" s="59"/>
      <c r="Q2747" s="124" t="e">
        <f>P2747*#REF!</f>
        <v>#REF!</v>
      </c>
      <c r="R2747" s="126">
        <v>45957</v>
      </c>
    </row>
    <row r="2748" spans="2:18" ht="17.25" hidden="1" customHeight="1">
      <c r="B2748" s="23">
        <v>45939</v>
      </c>
      <c r="C2748" s="7">
        <v>2003810713</v>
      </c>
      <c r="D2748" s="20">
        <v>318116</v>
      </c>
      <c r="E2748" s="27" t="s">
        <v>152</v>
      </c>
      <c r="F2748" s="7" t="s">
        <v>107</v>
      </c>
      <c r="G2748" s="7" t="s">
        <v>26</v>
      </c>
      <c r="H2748" s="7" t="s">
        <v>45</v>
      </c>
      <c r="I2748" s="20" t="s">
        <v>3988</v>
      </c>
      <c r="J2748" s="20" t="s">
        <v>3989</v>
      </c>
      <c r="K2748" s="7" t="s">
        <v>110</v>
      </c>
      <c r="L2748" s="61">
        <v>45943</v>
      </c>
      <c r="M2748" s="7" t="s">
        <v>111</v>
      </c>
      <c r="N2748" s="24">
        <v>45947</v>
      </c>
      <c r="O2748" s="58">
        <v>45947</v>
      </c>
      <c r="P2748" s="59"/>
      <c r="Q2748" s="124" t="e">
        <f>P2748*#REF!</f>
        <v>#REF!</v>
      </c>
      <c r="R2748" s="126">
        <v>45947</v>
      </c>
    </row>
    <row r="2749" spans="2:18" ht="17.25" hidden="1" customHeight="1">
      <c r="B2749" s="23">
        <v>45939</v>
      </c>
      <c r="C2749" s="7">
        <v>2003813630</v>
      </c>
      <c r="D2749" s="20">
        <v>318094</v>
      </c>
      <c r="E2749" s="27" t="s">
        <v>230</v>
      </c>
      <c r="F2749" s="7" t="s">
        <v>107</v>
      </c>
      <c r="G2749" s="7" t="s">
        <v>10</v>
      </c>
      <c r="H2749" s="7" t="s">
        <v>45</v>
      </c>
      <c r="I2749" s="20" t="s">
        <v>3990</v>
      </c>
      <c r="J2749" s="20" t="s">
        <v>3991</v>
      </c>
      <c r="K2749" s="7" t="s">
        <v>110</v>
      </c>
      <c r="L2749" s="61">
        <v>45945</v>
      </c>
      <c r="M2749" s="7" t="s">
        <v>111</v>
      </c>
      <c r="N2749" s="24">
        <v>45946</v>
      </c>
      <c r="O2749" s="58">
        <v>45950</v>
      </c>
      <c r="P2749" s="59"/>
      <c r="Q2749" s="124" t="e">
        <f>P2749*#REF!</f>
        <v>#REF!</v>
      </c>
      <c r="R2749" s="126">
        <v>45957</v>
      </c>
    </row>
    <row r="2750" spans="2:18" ht="17.25" hidden="1" customHeight="1">
      <c r="B2750" s="23">
        <v>45939</v>
      </c>
      <c r="C2750" s="7">
        <v>2003812923</v>
      </c>
      <c r="D2750" s="20">
        <v>318087</v>
      </c>
      <c r="E2750" s="27" t="s">
        <v>1225</v>
      </c>
      <c r="F2750" s="7" t="s">
        <v>107</v>
      </c>
      <c r="G2750" s="7" t="s">
        <v>10</v>
      </c>
      <c r="H2750" s="7" t="s">
        <v>45</v>
      </c>
      <c r="I2750" s="20" t="s">
        <v>3553</v>
      </c>
      <c r="J2750" s="20" t="s">
        <v>3992</v>
      </c>
      <c r="K2750" s="7" t="s">
        <v>119</v>
      </c>
      <c r="L2750" s="61">
        <v>45945</v>
      </c>
      <c r="M2750" s="7" t="s">
        <v>111</v>
      </c>
      <c r="N2750" s="24">
        <v>45947</v>
      </c>
      <c r="O2750" s="58">
        <v>45950</v>
      </c>
      <c r="P2750" s="59"/>
      <c r="Q2750" s="124" t="e">
        <f>P2750*#REF!</f>
        <v>#REF!</v>
      </c>
      <c r="R2750" s="126">
        <v>45957</v>
      </c>
    </row>
    <row r="2751" spans="2:18" ht="17.25" hidden="1" customHeight="1">
      <c r="B2751" s="23">
        <v>45939</v>
      </c>
      <c r="C2751" s="7">
        <v>2003809190</v>
      </c>
      <c r="D2751" s="20">
        <v>317968</v>
      </c>
      <c r="E2751" s="27" t="s">
        <v>180</v>
      </c>
      <c r="F2751" s="7" t="s">
        <v>107</v>
      </c>
      <c r="G2751" s="7" t="s">
        <v>18</v>
      </c>
      <c r="H2751" s="7" t="s">
        <v>45</v>
      </c>
      <c r="I2751" s="20" t="s">
        <v>3993</v>
      </c>
      <c r="J2751" s="20" t="s">
        <v>3994</v>
      </c>
      <c r="K2751" s="7" t="s">
        <v>110</v>
      </c>
      <c r="L2751" s="61">
        <v>45960</v>
      </c>
      <c r="M2751" s="7" t="s">
        <v>111</v>
      </c>
      <c r="N2751" s="61">
        <v>45960</v>
      </c>
      <c r="O2751" s="58">
        <v>45964</v>
      </c>
      <c r="P2751" s="59"/>
      <c r="Q2751" s="124" t="e">
        <f>P2751*#REF!</f>
        <v>#REF!</v>
      </c>
      <c r="R2751" s="126">
        <v>45965</v>
      </c>
    </row>
    <row r="2752" spans="2:18" ht="17.25" hidden="1" customHeight="1">
      <c r="B2752" s="23">
        <v>45939</v>
      </c>
      <c r="C2752" s="7">
        <v>2003811000</v>
      </c>
      <c r="D2752" s="20">
        <v>317732</v>
      </c>
      <c r="E2752" s="27" t="s">
        <v>191</v>
      </c>
      <c r="F2752" s="7" t="s">
        <v>107</v>
      </c>
      <c r="G2752" s="7" t="s">
        <v>18</v>
      </c>
      <c r="H2752" s="7" t="s">
        <v>45</v>
      </c>
      <c r="I2752" s="20" t="s">
        <v>981</v>
      </c>
      <c r="J2752" s="20" t="s">
        <v>3995</v>
      </c>
      <c r="K2752" s="7" t="s">
        <v>119</v>
      </c>
      <c r="L2752" s="61">
        <v>45944</v>
      </c>
      <c r="M2752" s="7" t="s">
        <v>111</v>
      </c>
      <c r="N2752" s="24">
        <v>45945</v>
      </c>
      <c r="O2752" s="24">
        <v>45945</v>
      </c>
      <c r="P2752" s="59"/>
      <c r="Q2752" s="124" t="e">
        <f>P2752*#REF!</f>
        <v>#REF!</v>
      </c>
      <c r="R2752" s="126">
        <v>45947</v>
      </c>
    </row>
    <row r="2753" spans="2:18" ht="17.25" hidden="1" customHeight="1">
      <c r="B2753" s="23">
        <v>45939</v>
      </c>
      <c r="C2753" s="7">
        <v>2003789783</v>
      </c>
      <c r="D2753" s="20">
        <v>317659</v>
      </c>
      <c r="E2753" s="27" t="s">
        <v>408</v>
      </c>
      <c r="F2753" s="7" t="s">
        <v>107</v>
      </c>
      <c r="G2753" s="7" t="s">
        <v>18</v>
      </c>
      <c r="H2753" s="7" t="s">
        <v>45</v>
      </c>
      <c r="I2753" s="20" t="s">
        <v>1319</v>
      </c>
      <c r="J2753" s="20" t="s">
        <v>3996</v>
      </c>
      <c r="K2753" s="7" t="s">
        <v>110</v>
      </c>
      <c r="L2753" s="61">
        <v>45945</v>
      </c>
      <c r="M2753" s="7" t="s">
        <v>111</v>
      </c>
      <c r="N2753" s="24">
        <v>45946</v>
      </c>
      <c r="O2753" s="58">
        <v>45950</v>
      </c>
      <c r="P2753" s="59"/>
      <c r="Q2753" s="124" t="e">
        <f>P2753*#REF!</f>
        <v>#REF!</v>
      </c>
      <c r="R2753" s="126">
        <v>45957</v>
      </c>
    </row>
    <row r="2754" spans="2:18" ht="17.25" hidden="1" customHeight="1">
      <c r="B2754" s="23">
        <v>45939</v>
      </c>
      <c r="C2754" s="7">
        <v>2003811895</v>
      </c>
      <c r="D2754" s="20">
        <v>317218</v>
      </c>
      <c r="E2754" s="27" t="s">
        <v>123</v>
      </c>
      <c r="F2754" s="7" t="s">
        <v>107</v>
      </c>
      <c r="G2754" s="7" t="s">
        <v>10</v>
      </c>
      <c r="H2754" s="7" t="s">
        <v>45</v>
      </c>
      <c r="I2754" s="20" t="s">
        <v>3997</v>
      </c>
      <c r="J2754" s="20" t="s">
        <v>3998</v>
      </c>
      <c r="K2754" s="7" t="s">
        <v>119</v>
      </c>
      <c r="L2754" s="61">
        <v>45944</v>
      </c>
      <c r="M2754" s="7" t="s">
        <v>111</v>
      </c>
      <c r="N2754" s="24">
        <v>45946</v>
      </c>
      <c r="O2754" s="24">
        <v>45946</v>
      </c>
      <c r="P2754" s="59"/>
      <c r="Q2754" s="124" t="e">
        <f>P2754*#REF!</f>
        <v>#REF!</v>
      </c>
      <c r="R2754" s="126">
        <v>45947</v>
      </c>
    </row>
    <row r="2755" spans="2:18" ht="17.25" hidden="1" customHeight="1">
      <c r="B2755" s="23">
        <v>45939</v>
      </c>
      <c r="C2755" s="7">
        <v>2003813134</v>
      </c>
      <c r="D2755" s="20">
        <v>6433500</v>
      </c>
      <c r="E2755" s="27" t="s">
        <v>258</v>
      </c>
      <c r="F2755" s="7" t="s">
        <v>107</v>
      </c>
      <c r="G2755" s="7" t="s">
        <v>18</v>
      </c>
      <c r="H2755" s="7" t="s">
        <v>45</v>
      </c>
      <c r="I2755" s="20" t="s">
        <v>3999</v>
      </c>
      <c r="J2755" s="20" t="s">
        <v>4000</v>
      </c>
      <c r="K2755" s="7" t="s">
        <v>110</v>
      </c>
      <c r="L2755" s="61">
        <v>45947</v>
      </c>
      <c r="M2755" s="7" t="s">
        <v>111</v>
      </c>
      <c r="N2755" s="24">
        <v>45950</v>
      </c>
      <c r="O2755" s="58">
        <v>45953</v>
      </c>
      <c r="P2755" s="59"/>
      <c r="Q2755" s="124" t="e">
        <f>P2755*#REF!</f>
        <v>#REF!</v>
      </c>
      <c r="R2755" s="126">
        <v>45957</v>
      </c>
    </row>
    <row r="2756" spans="2:18" ht="17.25" hidden="1" customHeight="1">
      <c r="B2756" s="23">
        <v>45939</v>
      </c>
      <c r="C2756" s="7">
        <v>2003806340</v>
      </c>
      <c r="D2756" s="20">
        <v>6433562</v>
      </c>
      <c r="E2756" s="27" t="s">
        <v>106</v>
      </c>
      <c r="F2756" s="7" t="s">
        <v>107</v>
      </c>
      <c r="G2756" s="7" t="s">
        <v>18</v>
      </c>
      <c r="H2756" s="7" t="s">
        <v>45</v>
      </c>
      <c r="I2756" s="20" t="s">
        <v>4001</v>
      </c>
      <c r="J2756" s="20" t="s">
        <v>4002</v>
      </c>
      <c r="K2756" s="7" t="s">
        <v>110</v>
      </c>
      <c r="L2756" s="61">
        <v>45945</v>
      </c>
      <c r="M2756" s="7" t="s">
        <v>111</v>
      </c>
      <c r="N2756" s="24">
        <v>45946</v>
      </c>
      <c r="O2756" s="58">
        <v>45950</v>
      </c>
      <c r="P2756" s="59"/>
      <c r="Q2756" s="124" t="e">
        <f>P2756*#REF!</f>
        <v>#REF!</v>
      </c>
      <c r="R2756" s="126">
        <v>45957</v>
      </c>
    </row>
    <row r="2757" spans="2:18" ht="17.25" hidden="1" customHeight="1">
      <c r="B2757" s="23">
        <v>45939</v>
      </c>
      <c r="C2757" s="7">
        <v>2003801757</v>
      </c>
      <c r="D2757" s="20">
        <v>6433616</v>
      </c>
      <c r="E2757" s="27" t="s">
        <v>185</v>
      </c>
      <c r="F2757" s="7" t="s">
        <v>107</v>
      </c>
      <c r="G2757" s="7" t="s">
        <v>10</v>
      </c>
      <c r="H2757" s="7" t="s">
        <v>45</v>
      </c>
      <c r="I2757" s="20" t="s">
        <v>1269</v>
      </c>
      <c r="J2757" s="20" t="s">
        <v>4003</v>
      </c>
      <c r="K2757" s="7" t="s">
        <v>119</v>
      </c>
      <c r="L2757" s="61">
        <v>45945</v>
      </c>
      <c r="M2757" s="7" t="s">
        <v>111</v>
      </c>
      <c r="N2757" s="24">
        <v>45947</v>
      </c>
      <c r="O2757" s="24">
        <v>45947</v>
      </c>
      <c r="P2757" s="59"/>
      <c r="Q2757" s="124" t="e">
        <f>P2757*#REF!</f>
        <v>#REF!</v>
      </c>
      <c r="R2757" s="126">
        <v>45947</v>
      </c>
    </row>
    <row r="2758" spans="2:18" ht="17.25" hidden="1" customHeight="1">
      <c r="B2758" s="23">
        <v>45939</v>
      </c>
      <c r="C2758" s="7">
        <v>310024243</v>
      </c>
      <c r="D2758" s="20">
        <v>6433629</v>
      </c>
      <c r="E2758" s="27" t="s">
        <v>129</v>
      </c>
      <c r="F2758" s="7" t="s">
        <v>113</v>
      </c>
      <c r="G2758" s="7" t="s">
        <v>10</v>
      </c>
      <c r="H2758" s="7" t="s">
        <v>47</v>
      </c>
      <c r="I2758" s="20" t="s">
        <v>4004</v>
      </c>
      <c r="J2758" s="20" t="s">
        <v>4005</v>
      </c>
      <c r="K2758" s="7" t="s">
        <v>160</v>
      </c>
      <c r="P2758" s="59"/>
      <c r="Q2758" s="124" t="e">
        <f>P2758*#REF!</f>
        <v>#REF!</v>
      </c>
      <c r="R2758" s="126">
        <v>45957</v>
      </c>
    </row>
    <row r="2759" spans="2:18" ht="17.25" hidden="1" customHeight="1">
      <c r="B2759" s="23">
        <v>45939</v>
      </c>
      <c r="C2759" s="7">
        <v>2003810784</v>
      </c>
      <c r="D2759" s="20">
        <v>6433856</v>
      </c>
      <c r="E2759" s="27" t="s">
        <v>143</v>
      </c>
      <c r="F2759" s="7" t="s">
        <v>107</v>
      </c>
      <c r="G2759" s="7" t="s">
        <v>10</v>
      </c>
      <c r="H2759" s="7" t="s">
        <v>45</v>
      </c>
      <c r="I2759" s="20" t="s">
        <v>4006</v>
      </c>
      <c r="J2759" s="20" t="s">
        <v>4007</v>
      </c>
      <c r="K2759" s="7" t="s">
        <v>119</v>
      </c>
      <c r="L2759" s="61">
        <v>45947</v>
      </c>
      <c r="M2759" s="7" t="s">
        <v>111</v>
      </c>
      <c r="N2759" s="24">
        <v>45950</v>
      </c>
      <c r="O2759" s="58">
        <v>45953</v>
      </c>
      <c r="P2759" s="59"/>
      <c r="Q2759" s="124" t="e">
        <f>P2759*#REF!</f>
        <v>#REF!</v>
      </c>
      <c r="R2759" s="126">
        <v>45957</v>
      </c>
    </row>
    <row r="2760" spans="2:18" ht="17.25" hidden="1" customHeight="1">
      <c r="B2760" s="23">
        <v>45939</v>
      </c>
      <c r="C2760" s="7">
        <v>2003810493</v>
      </c>
      <c r="D2760" s="20">
        <v>6434027</v>
      </c>
      <c r="E2760" s="27" t="s">
        <v>138</v>
      </c>
      <c r="F2760" s="7" t="s">
        <v>107</v>
      </c>
      <c r="G2760" s="7" t="s">
        <v>10</v>
      </c>
      <c r="H2760" s="7" t="s">
        <v>45</v>
      </c>
      <c r="I2760" s="20" t="s">
        <v>3473</v>
      </c>
      <c r="J2760" s="20" t="s">
        <v>2948</v>
      </c>
      <c r="K2760" s="7" t="s">
        <v>119</v>
      </c>
      <c r="L2760" s="61">
        <v>45943</v>
      </c>
      <c r="M2760" s="7" t="s">
        <v>111</v>
      </c>
      <c r="N2760" s="61">
        <v>45944</v>
      </c>
      <c r="O2760" s="61">
        <v>45944</v>
      </c>
      <c r="P2760" s="59"/>
      <c r="Q2760" s="124" t="e">
        <f>P2760*#REF!</f>
        <v>#REF!</v>
      </c>
      <c r="R2760" s="126">
        <v>45947</v>
      </c>
    </row>
    <row r="2761" spans="2:18" ht="17.25" hidden="1" customHeight="1">
      <c r="B2761" s="23">
        <v>45943</v>
      </c>
      <c r="C2761" s="7">
        <v>2003809795</v>
      </c>
      <c r="D2761" s="20">
        <v>320632</v>
      </c>
      <c r="E2761" s="27" t="s">
        <v>185</v>
      </c>
      <c r="F2761" s="7" t="s">
        <v>107</v>
      </c>
      <c r="G2761" s="7" t="s">
        <v>10</v>
      </c>
      <c r="H2761" s="7" t="s">
        <v>45</v>
      </c>
      <c r="I2761" s="20" t="s">
        <v>4008</v>
      </c>
      <c r="J2761" s="20" t="s">
        <v>4009</v>
      </c>
      <c r="K2761" s="7" t="s">
        <v>119</v>
      </c>
      <c r="L2761" s="61">
        <v>45945</v>
      </c>
      <c r="M2761" s="7" t="s">
        <v>111</v>
      </c>
      <c r="N2761" s="24">
        <v>45947</v>
      </c>
      <c r="O2761" s="58">
        <v>45953</v>
      </c>
      <c r="P2761" s="59"/>
      <c r="Q2761" s="124" t="e">
        <f>P2761*#REF!</f>
        <v>#REF!</v>
      </c>
      <c r="R2761" s="126">
        <v>45957</v>
      </c>
    </row>
    <row r="2762" spans="2:18" ht="17.25" hidden="1" customHeight="1">
      <c r="B2762" s="23">
        <v>45943</v>
      </c>
      <c r="C2762" s="7">
        <v>2003812899</v>
      </c>
      <c r="D2762" s="20">
        <v>320624</v>
      </c>
      <c r="E2762" s="27" t="s">
        <v>265</v>
      </c>
      <c r="F2762" s="7" t="s">
        <v>107</v>
      </c>
      <c r="G2762" s="7" t="s">
        <v>26</v>
      </c>
      <c r="H2762" s="7" t="s">
        <v>45</v>
      </c>
      <c r="I2762" s="20" t="s">
        <v>2140</v>
      </c>
      <c r="J2762" s="20" t="s">
        <v>4010</v>
      </c>
      <c r="K2762" s="7" t="s">
        <v>110</v>
      </c>
      <c r="L2762" s="61">
        <v>45950</v>
      </c>
      <c r="M2762" s="7" t="s">
        <v>111</v>
      </c>
      <c r="N2762" s="24">
        <v>45957</v>
      </c>
      <c r="O2762" s="58">
        <v>45957</v>
      </c>
      <c r="P2762" s="59"/>
      <c r="Q2762" s="124" t="e">
        <f>P2762*#REF!</f>
        <v>#REF!</v>
      </c>
      <c r="R2762" s="126">
        <v>45957</v>
      </c>
    </row>
    <row r="2763" spans="2:18" ht="17.25" hidden="1" customHeight="1">
      <c r="B2763" s="23">
        <v>45943</v>
      </c>
      <c r="C2763" s="7">
        <v>2003813973</v>
      </c>
      <c r="D2763" s="20">
        <v>320475</v>
      </c>
      <c r="E2763" s="27" t="s">
        <v>1225</v>
      </c>
      <c r="F2763" s="7" t="s">
        <v>107</v>
      </c>
      <c r="G2763" s="7" t="s">
        <v>18</v>
      </c>
      <c r="H2763" s="7" t="s">
        <v>45</v>
      </c>
      <c r="I2763" s="20" t="s">
        <v>290</v>
      </c>
      <c r="J2763" s="20" t="s">
        <v>4011</v>
      </c>
      <c r="K2763" s="7" t="s">
        <v>110</v>
      </c>
      <c r="L2763" s="61">
        <v>45947</v>
      </c>
      <c r="M2763" s="7" t="s">
        <v>111</v>
      </c>
      <c r="N2763" s="24">
        <v>45950</v>
      </c>
      <c r="O2763" s="58">
        <v>45953</v>
      </c>
      <c r="P2763" s="59"/>
      <c r="Q2763" s="124" t="e">
        <f>P2763*#REF!</f>
        <v>#REF!</v>
      </c>
      <c r="R2763" s="126">
        <v>45957</v>
      </c>
    </row>
    <row r="2764" spans="2:18" ht="17.25" hidden="1" customHeight="1">
      <c r="B2764" s="23">
        <v>45943</v>
      </c>
      <c r="C2764" s="7">
        <v>2003804628</v>
      </c>
      <c r="D2764" s="20">
        <v>320091</v>
      </c>
      <c r="E2764" s="27" t="s">
        <v>408</v>
      </c>
      <c r="F2764" s="7" t="s">
        <v>107</v>
      </c>
      <c r="G2764" s="7" t="s">
        <v>18</v>
      </c>
      <c r="H2764" s="7" t="s">
        <v>45</v>
      </c>
      <c r="I2764" s="20" t="s">
        <v>4012</v>
      </c>
      <c r="J2764" s="20" t="s">
        <v>4013</v>
      </c>
      <c r="K2764" s="7" t="s">
        <v>119</v>
      </c>
      <c r="L2764" s="61">
        <v>45945</v>
      </c>
      <c r="M2764" s="7" t="s">
        <v>111</v>
      </c>
      <c r="N2764" s="24">
        <v>45947</v>
      </c>
      <c r="O2764" s="58">
        <v>45950</v>
      </c>
      <c r="P2764" s="59"/>
      <c r="Q2764" s="124" t="e">
        <f>P2764*#REF!</f>
        <v>#REF!</v>
      </c>
      <c r="R2764" s="126">
        <v>45957</v>
      </c>
    </row>
    <row r="2765" spans="2:18" ht="17.25" hidden="1" customHeight="1">
      <c r="B2765" s="23">
        <v>45943</v>
      </c>
      <c r="C2765" s="7">
        <v>2003816174</v>
      </c>
      <c r="D2765" s="20">
        <v>319960</v>
      </c>
      <c r="E2765" s="27" t="s">
        <v>622</v>
      </c>
      <c r="F2765" s="7" t="s">
        <v>107</v>
      </c>
      <c r="G2765" s="7" t="s">
        <v>10</v>
      </c>
      <c r="H2765" s="7" t="s">
        <v>45</v>
      </c>
      <c r="I2765" s="20" t="s">
        <v>1011</v>
      </c>
      <c r="J2765" s="20" t="s">
        <v>1012</v>
      </c>
      <c r="K2765" s="7" t="s">
        <v>119</v>
      </c>
      <c r="L2765" s="61">
        <v>45946</v>
      </c>
      <c r="M2765" s="7" t="s">
        <v>111</v>
      </c>
      <c r="N2765" s="61">
        <v>45947</v>
      </c>
      <c r="O2765" s="58">
        <v>45950</v>
      </c>
      <c r="P2765" s="59"/>
      <c r="Q2765" s="124" t="e">
        <f>P2765*#REF!</f>
        <v>#REF!</v>
      </c>
      <c r="R2765" s="126">
        <v>45957</v>
      </c>
    </row>
    <row r="2766" spans="2:18" ht="17.25" hidden="1" customHeight="1">
      <c r="B2766" s="23">
        <v>45943</v>
      </c>
      <c r="C2766" s="7">
        <v>2003799893</v>
      </c>
      <c r="D2766" s="20">
        <v>320022</v>
      </c>
      <c r="E2766" s="27" t="s">
        <v>566</v>
      </c>
      <c r="F2766" s="7" t="s">
        <v>107</v>
      </c>
      <c r="G2766" s="7" t="s">
        <v>21</v>
      </c>
      <c r="H2766" s="7" t="s">
        <v>45</v>
      </c>
      <c r="I2766" s="20" t="s">
        <v>782</v>
      </c>
      <c r="J2766" s="20" t="s">
        <v>3869</v>
      </c>
      <c r="K2766" s="7" t="s">
        <v>119</v>
      </c>
      <c r="L2766" s="61">
        <v>45945</v>
      </c>
      <c r="M2766" s="7" t="s">
        <v>111</v>
      </c>
      <c r="N2766" s="24">
        <v>45947</v>
      </c>
      <c r="O2766" s="58">
        <v>45950</v>
      </c>
      <c r="P2766" s="59"/>
      <c r="Q2766" s="124" t="e">
        <f>P2766*#REF!</f>
        <v>#REF!</v>
      </c>
      <c r="R2766" s="126">
        <v>45957</v>
      </c>
    </row>
    <row r="2767" spans="2:18" ht="17.25" hidden="1" customHeight="1">
      <c r="B2767" s="23">
        <v>45943</v>
      </c>
      <c r="C2767" s="7">
        <v>2003802378</v>
      </c>
      <c r="D2767" s="20">
        <v>319906</v>
      </c>
      <c r="E2767" s="27" t="s">
        <v>123</v>
      </c>
      <c r="F2767" s="7" t="s">
        <v>107</v>
      </c>
      <c r="G2767" s="7" t="s">
        <v>10</v>
      </c>
      <c r="H2767" s="7" t="s">
        <v>45</v>
      </c>
      <c r="I2767" s="20" t="s">
        <v>4014</v>
      </c>
      <c r="J2767" s="20" t="s">
        <v>4015</v>
      </c>
      <c r="K2767" s="7" t="s">
        <v>119</v>
      </c>
      <c r="L2767" s="61">
        <v>45946</v>
      </c>
      <c r="M2767" s="7" t="s">
        <v>111</v>
      </c>
      <c r="N2767" s="61">
        <v>45947</v>
      </c>
      <c r="O2767" s="58">
        <v>45950</v>
      </c>
      <c r="P2767" s="59"/>
      <c r="Q2767" s="124" t="e">
        <f>P2767*#REF!</f>
        <v>#REF!</v>
      </c>
      <c r="R2767" s="126">
        <v>45957</v>
      </c>
    </row>
    <row r="2768" spans="2:18" ht="17.25" hidden="1" customHeight="1">
      <c r="B2768" s="23">
        <v>45943</v>
      </c>
      <c r="C2768" s="7">
        <v>2003778858</v>
      </c>
      <c r="D2768" s="20">
        <v>319536</v>
      </c>
      <c r="E2768" s="20" t="s">
        <v>622</v>
      </c>
      <c r="F2768" s="7" t="s">
        <v>107</v>
      </c>
      <c r="G2768" s="7" t="s">
        <v>21</v>
      </c>
      <c r="H2768" s="7" t="s">
        <v>45</v>
      </c>
      <c r="I2768" s="20" t="s">
        <v>577</v>
      </c>
      <c r="J2768" s="20" t="s">
        <v>3823</v>
      </c>
      <c r="K2768" s="7" t="s">
        <v>119</v>
      </c>
      <c r="L2768" s="61">
        <v>45944</v>
      </c>
      <c r="M2768" s="7" t="s">
        <v>111</v>
      </c>
      <c r="N2768" s="24">
        <v>45945</v>
      </c>
      <c r="O2768" s="24">
        <v>45945</v>
      </c>
      <c r="P2768" s="59"/>
      <c r="Q2768" s="124" t="e">
        <f>P2768*#REF!</f>
        <v>#REF!</v>
      </c>
      <c r="R2768" s="126">
        <v>45947</v>
      </c>
    </row>
    <row r="2769" spans="2:18" ht="17.25" hidden="1" customHeight="1">
      <c r="B2769" s="23">
        <v>45943</v>
      </c>
      <c r="C2769" s="7">
        <v>2003808356</v>
      </c>
      <c r="D2769" s="20">
        <v>319531</v>
      </c>
      <c r="E2769" s="27" t="s">
        <v>1225</v>
      </c>
      <c r="F2769" s="7" t="s">
        <v>107</v>
      </c>
      <c r="G2769" s="7" t="s">
        <v>10</v>
      </c>
      <c r="H2769" s="7" t="s">
        <v>45</v>
      </c>
      <c r="I2769" s="20" t="s">
        <v>657</v>
      </c>
      <c r="J2769" s="20" t="s">
        <v>4016</v>
      </c>
      <c r="K2769" s="7" t="s">
        <v>119</v>
      </c>
      <c r="L2769" s="61">
        <v>45945</v>
      </c>
      <c r="M2769" s="7" t="s">
        <v>111</v>
      </c>
      <c r="N2769" s="24">
        <v>45947</v>
      </c>
      <c r="O2769" s="24">
        <v>45947</v>
      </c>
      <c r="P2769" s="59"/>
      <c r="Q2769" s="124" t="e">
        <f>P2769*#REF!</f>
        <v>#REF!</v>
      </c>
      <c r="R2769" s="126">
        <v>45947</v>
      </c>
    </row>
    <row r="2770" spans="2:18" ht="17.25" hidden="1" customHeight="1">
      <c r="B2770" s="23">
        <v>45943</v>
      </c>
      <c r="C2770" s="7">
        <v>2003813954</v>
      </c>
      <c r="D2770" s="20">
        <v>6434340</v>
      </c>
      <c r="E2770" s="27" t="s">
        <v>185</v>
      </c>
      <c r="F2770" s="7" t="s">
        <v>107</v>
      </c>
      <c r="G2770" s="7" t="s">
        <v>10</v>
      </c>
      <c r="H2770" s="7" t="s">
        <v>45</v>
      </c>
      <c r="I2770" s="20" t="s">
        <v>1079</v>
      </c>
      <c r="J2770" s="20" t="s">
        <v>4017</v>
      </c>
      <c r="K2770" s="7" t="s">
        <v>110</v>
      </c>
      <c r="L2770" s="61">
        <v>45946</v>
      </c>
      <c r="M2770" s="7" t="s">
        <v>111</v>
      </c>
      <c r="N2770" s="24">
        <v>45947</v>
      </c>
      <c r="O2770" s="24">
        <v>45947</v>
      </c>
      <c r="P2770" s="59"/>
      <c r="Q2770" s="124" t="e">
        <f>P2770*#REF!</f>
        <v>#REF!</v>
      </c>
      <c r="R2770" s="126">
        <v>45947</v>
      </c>
    </row>
    <row r="2771" spans="2:18" ht="17.25" hidden="1" customHeight="1">
      <c r="B2771" s="23">
        <v>45943</v>
      </c>
      <c r="C2771" s="7">
        <v>2003783585</v>
      </c>
      <c r="D2771" s="20">
        <v>6434974</v>
      </c>
      <c r="E2771" s="27" t="s">
        <v>230</v>
      </c>
      <c r="F2771" s="7" t="s">
        <v>107</v>
      </c>
      <c r="G2771" s="7" t="s">
        <v>26</v>
      </c>
      <c r="H2771" s="7" t="s">
        <v>45</v>
      </c>
      <c r="I2771" s="20" t="s">
        <v>4018</v>
      </c>
      <c r="J2771" s="20" t="s">
        <v>4019</v>
      </c>
      <c r="K2771" s="7" t="s">
        <v>119</v>
      </c>
      <c r="L2771" s="61">
        <v>45947</v>
      </c>
      <c r="M2771" s="7" t="s">
        <v>111</v>
      </c>
      <c r="N2771" s="24">
        <v>45957</v>
      </c>
      <c r="O2771" s="58">
        <v>45957</v>
      </c>
      <c r="P2771" s="59"/>
      <c r="Q2771" s="124" t="e">
        <f>P2771*#REF!</f>
        <v>#REF!</v>
      </c>
      <c r="R2771" s="126">
        <v>45957</v>
      </c>
    </row>
    <row r="2772" spans="2:18" ht="17.25" hidden="1" customHeight="1">
      <c r="B2772" s="23">
        <v>45944</v>
      </c>
      <c r="C2772" s="7">
        <v>2003803637</v>
      </c>
      <c r="D2772" s="20">
        <v>322704</v>
      </c>
      <c r="E2772" s="27" t="s">
        <v>201</v>
      </c>
      <c r="F2772" s="7" t="s">
        <v>107</v>
      </c>
      <c r="G2772" s="7" t="s">
        <v>10</v>
      </c>
      <c r="H2772" s="7" t="s">
        <v>45</v>
      </c>
      <c r="I2772" s="20" t="s">
        <v>2686</v>
      </c>
      <c r="J2772" s="20" t="s">
        <v>3946</v>
      </c>
      <c r="K2772" s="7" t="s">
        <v>111</v>
      </c>
      <c r="L2772" s="61">
        <v>45945</v>
      </c>
      <c r="M2772" s="7" t="s">
        <v>111</v>
      </c>
      <c r="N2772" s="24">
        <v>45946</v>
      </c>
      <c r="O2772" s="58">
        <v>45950</v>
      </c>
      <c r="Q2772" s="245"/>
      <c r="R2772" s="126">
        <v>45957</v>
      </c>
    </row>
    <row r="2773" spans="2:18" ht="17.25" hidden="1" customHeight="1">
      <c r="B2773" s="23">
        <v>45944</v>
      </c>
      <c r="C2773" s="7">
        <v>2003813821</v>
      </c>
      <c r="D2773" s="20">
        <v>322595</v>
      </c>
      <c r="E2773" s="27" t="s">
        <v>106</v>
      </c>
      <c r="F2773" s="7" t="s">
        <v>107</v>
      </c>
      <c r="G2773" s="7" t="s">
        <v>18</v>
      </c>
      <c r="H2773" s="7" t="s">
        <v>45</v>
      </c>
      <c r="I2773" s="20" t="s">
        <v>4020</v>
      </c>
      <c r="J2773" s="20" t="s">
        <v>4021</v>
      </c>
      <c r="K2773" s="7" t="s">
        <v>110</v>
      </c>
      <c r="L2773" s="61">
        <v>45947</v>
      </c>
      <c r="M2773" s="7" t="s">
        <v>111</v>
      </c>
      <c r="N2773" s="24">
        <v>45950</v>
      </c>
      <c r="O2773" s="58">
        <v>45953</v>
      </c>
      <c r="Q2773" s="245"/>
      <c r="R2773" s="126">
        <v>45957</v>
      </c>
    </row>
    <row r="2774" spans="2:18" ht="17.25" hidden="1" customHeight="1">
      <c r="B2774" s="23">
        <v>45944</v>
      </c>
      <c r="C2774" s="7">
        <v>2003771588</v>
      </c>
      <c r="D2774" s="20">
        <v>322622</v>
      </c>
      <c r="E2774" s="27" t="s">
        <v>622</v>
      </c>
      <c r="F2774" s="7" t="s">
        <v>107</v>
      </c>
      <c r="G2774" s="7" t="s">
        <v>10</v>
      </c>
      <c r="H2774" s="7" t="s">
        <v>45</v>
      </c>
      <c r="I2774" s="20" t="s">
        <v>2042</v>
      </c>
      <c r="J2774" s="20" t="s">
        <v>4022</v>
      </c>
      <c r="K2774" s="7" t="s">
        <v>119</v>
      </c>
      <c r="L2774" s="61">
        <v>45947</v>
      </c>
      <c r="M2774" s="7" t="s">
        <v>111</v>
      </c>
      <c r="N2774" s="24">
        <v>45950</v>
      </c>
      <c r="O2774" s="58">
        <v>45953</v>
      </c>
      <c r="Q2774" s="245"/>
      <c r="R2774" s="126">
        <v>45957</v>
      </c>
    </row>
    <row r="2775" spans="2:18" ht="17.25" hidden="1" customHeight="1">
      <c r="B2775" s="23">
        <v>45944</v>
      </c>
      <c r="C2775" s="7">
        <v>2003816647</v>
      </c>
      <c r="D2775" s="20">
        <v>321808</v>
      </c>
      <c r="E2775" s="27" t="s">
        <v>129</v>
      </c>
      <c r="F2775" s="7" t="s">
        <v>113</v>
      </c>
      <c r="G2775" s="7" t="s">
        <v>10</v>
      </c>
      <c r="H2775" s="7" t="s">
        <v>47</v>
      </c>
      <c r="I2775" s="20" t="s">
        <v>4023</v>
      </c>
      <c r="J2775" s="20" t="s">
        <v>4024</v>
      </c>
      <c r="K2775" s="7" t="s">
        <v>160</v>
      </c>
      <c r="R2775" s="126">
        <v>45957</v>
      </c>
    </row>
    <row r="2776" spans="2:18" ht="17.25" hidden="1" customHeight="1">
      <c r="B2776" s="23">
        <v>45944</v>
      </c>
      <c r="C2776" s="7">
        <v>2003812681</v>
      </c>
      <c r="D2776" s="20">
        <v>321764</v>
      </c>
      <c r="E2776" s="27" t="s">
        <v>185</v>
      </c>
      <c r="F2776" s="7" t="s">
        <v>107</v>
      </c>
      <c r="G2776" s="7" t="s">
        <v>18</v>
      </c>
      <c r="H2776" s="7" t="s">
        <v>45</v>
      </c>
      <c r="I2776" s="20" t="s">
        <v>2000</v>
      </c>
      <c r="J2776" s="20" t="s">
        <v>3808</v>
      </c>
      <c r="K2776" s="7" t="s">
        <v>110</v>
      </c>
      <c r="L2776" s="61">
        <v>45947</v>
      </c>
      <c r="M2776" s="7" t="s">
        <v>111</v>
      </c>
      <c r="N2776" s="24">
        <v>45950</v>
      </c>
      <c r="O2776" s="24">
        <v>45950</v>
      </c>
      <c r="Q2776" s="245"/>
      <c r="R2776" s="126">
        <v>45957</v>
      </c>
    </row>
    <row r="2777" spans="2:18" ht="17.25" hidden="1" customHeight="1">
      <c r="B2777" s="23">
        <v>45944</v>
      </c>
      <c r="C2777" s="7">
        <v>2003816808</v>
      </c>
      <c r="D2777" s="20">
        <v>321754</v>
      </c>
      <c r="E2777" s="27" t="s">
        <v>143</v>
      </c>
      <c r="F2777" s="7" t="s">
        <v>113</v>
      </c>
      <c r="G2777" s="7" t="s">
        <v>10</v>
      </c>
      <c r="H2777" s="7" t="s">
        <v>47</v>
      </c>
      <c r="I2777" s="20" t="s">
        <v>1964</v>
      </c>
      <c r="J2777" s="20" t="s">
        <v>3504</v>
      </c>
      <c r="K2777" s="7" t="s">
        <v>160</v>
      </c>
      <c r="R2777" s="126">
        <v>45957</v>
      </c>
    </row>
    <row r="2778" spans="2:18" ht="17.25" hidden="1" customHeight="1">
      <c r="B2778" s="23">
        <v>45944</v>
      </c>
      <c r="C2778" s="7">
        <v>2003811976</v>
      </c>
      <c r="D2778" s="20">
        <v>321671</v>
      </c>
      <c r="E2778" s="27" t="s">
        <v>129</v>
      </c>
      <c r="F2778" s="7" t="s">
        <v>107</v>
      </c>
      <c r="G2778" s="7" t="s">
        <v>18</v>
      </c>
      <c r="H2778" s="7" t="s">
        <v>45</v>
      </c>
      <c r="I2778" s="20" t="s">
        <v>1282</v>
      </c>
      <c r="J2778" s="20" t="s">
        <v>4025</v>
      </c>
      <c r="K2778" s="7" t="s">
        <v>111</v>
      </c>
      <c r="L2778" s="61">
        <v>45958</v>
      </c>
      <c r="M2778" s="7" t="s">
        <v>111</v>
      </c>
      <c r="N2778" s="24">
        <v>45959</v>
      </c>
      <c r="O2778" s="24">
        <v>45959</v>
      </c>
      <c r="Q2778" s="245"/>
    </row>
    <row r="2779" spans="2:18" ht="17.25" hidden="1" customHeight="1">
      <c r="B2779" s="23">
        <v>45944</v>
      </c>
      <c r="C2779" s="7">
        <v>2003814726</v>
      </c>
      <c r="D2779" s="20">
        <v>321704</v>
      </c>
      <c r="E2779" s="27" t="s">
        <v>180</v>
      </c>
      <c r="F2779" s="7" t="s">
        <v>107</v>
      </c>
      <c r="G2779" s="7" t="s">
        <v>10</v>
      </c>
      <c r="H2779" s="7" t="s">
        <v>45</v>
      </c>
      <c r="I2779" s="20" t="s">
        <v>451</v>
      </c>
      <c r="J2779" s="20" t="s">
        <v>914</v>
      </c>
      <c r="K2779" s="7" t="s">
        <v>119</v>
      </c>
      <c r="L2779" s="61">
        <v>45946</v>
      </c>
      <c r="M2779" s="7" t="s">
        <v>111</v>
      </c>
      <c r="N2779" s="61">
        <v>45947</v>
      </c>
      <c r="O2779" s="61">
        <v>45947</v>
      </c>
      <c r="Q2779" s="245"/>
      <c r="R2779" s="126">
        <v>45947</v>
      </c>
    </row>
    <row r="2780" spans="2:18" ht="17.25" hidden="1" customHeight="1">
      <c r="B2780" s="23">
        <v>45944</v>
      </c>
      <c r="C2780" s="7">
        <v>2003784412</v>
      </c>
      <c r="D2780" s="20">
        <v>6435330</v>
      </c>
      <c r="E2780" s="27" t="s">
        <v>1225</v>
      </c>
      <c r="F2780" s="7" t="s">
        <v>107</v>
      </c>
      <c r="G2780" s="7" t="s">
        <v>10</v>
      </c>
      <c r="H2780" s="7" t="s">
        <v>45</v>
      </c>
      <c r="I2780" s="20" t="s">
        <v>3629</v>
      </c>
      <c r="J2780" s="20" t="s">
        <v>4026</v>
      </c>
      <c r="K2780" s="7" t="s">
        <v>110</v>
      </c>
      <c r="L2780" s="61">
        <v>45946</v>
      </c>
      <c r="M2780" s="7" t="s">
        <v>111</v>
      </c>
      <c r="N2780" s="24">
        <v>45947</v>
      </c>
      <c r="O2780" s="58">
        <v>45950</v>
      </c>
      <c r="Q2780" s="245"/>
      <c r="R2780" s="126">
        <v>45957</v>
      </c>
    </row>
    <row r="2781" spans="2:18" ht="17.25" hidden="1" customHeight="1">
      <c r="B2781" s="23">
        <v>45944</v>
      </c>
      <c r="C2781" s="7">
        <v>2003816982</v>
      </c>
      <c r="D2781" s="20">
        <v>6435408</v>
      </c>
      <c r="E2781" s="27" t="s">
        <v>191</v>
      </c>
      <c r="F2781" s="7" t="s">
        <v>107</v>
      </c>
      <c r="G2781" s="7" t="s">
        <v>18</v>
      </c>
      <c r="H2781" s="7" t="s">
        <v>45</v>
      </c>
      <c r="I2781" s="20" t="s">
        <v>4027</v>
      </c>
      <c r="J2781" s="20" t="s">
        <v>4028</v>
      </c>
      <c r="K2781" s="7" t="s">
        <v>119</v>
      </c>
      <c r="L2781" s="61">
        <v>45951</v>
      </c>
      <c r="M2781" s="7" t="s">
        <v>111</v>
      </c>
      <c r="N2781" s="24">
        <v>45953</v>
      </c>
      <c r="O2781" s="24">
        <v>45953</v>
      </c>
      <c r="Q2781" s="245"/>
      <c r="R2781" s="126">
        <v>45957</v>
      </c>
    </row>
    <row r="2782" spans="2:18" ht="17.25" hidden="1" customHeight="1">
      <c r="B2782" s="23">
        <v>45944</v>
      </c>
      <c r="C2782" s="7">
        <v>2003807699</v>
      </c>
      <c r="D2782" s="20">
        <v>6435490</v>
      </c>
      <c r="E2782" s="27" t="s">
        <v>112</v>
      </c>
      <c r="F2782" s="7" t="s">
        <v>107</v>
      </c>
      <c r="G2782" s="7" t="s">
        <v>10</v>
      </c>
      <c r="H2782" s="7" t="s">
        <v>45</v>
      </c>
      <c r="I2782" s="20" t="s">
        <v>4029</v>
      </c>
      <c r="J2782" s="20" t="s">
        <v>4030</v>
      </c>
      <c r="K2782" s="7" t="s">
        <v>119</v>
      </c>
      <c r="L2782" s="61">
        <v>45945</v>
      </c>
      <c r="M2782" s="7" t="s">
        <v>111</v>
      </c>
      <c r="N2782" s="61">
        <v>45947</v>
      </c>
      <c r="O2782" s="58">
        <v>45953</v>
      </c>
      <c r="Q2782" s="245"/>
      <c r="R2782" s="126">
        <v>45957</v>
      </c>
    </row>
    <row r="2783" spans="2:18" ht="17.25" hidden="1" customHeight="1">
      <c r="B2783" s="23">
        <v>45944</v>
      </c>
      <c r="C2783" s="7">
        <v>2003812472</v>
      </c>
      <c r="D2783" s="20">
        <v>6435539</v>
      </c>
      <c r="E2783" s="27" t="s">
        <v>126</v>
      </c>
      <c r="F2783" s="7" t="s">
        <v>107</v>
      </c>
      <c r="G2783" s="7" t="s">
        <v>10</v>
      </c>
      <c r="H2783" s="7" t="s">
        <v>45</v>
      </c>
      <c r="I2783" s="20" t="s">
        <v>4031</v>
      </c>
      <c r="J2783" s="20" t="s">
        <v>4032</v>
      </c>
      <c r="K2783" s="7" t="s">
        <v>119</v>
      </c>
      <c r="L2783" s="61">
        <v>45946</v>
      </c>
      <c r="M2783" s="7" t="s">
        <v>111</v>
      </c>
      <c r="N2783" s="61">
        <v>45947</v>
      </c>
      <c r="O2783" s="58">
        <v>45953</v>
      </c>
      <c r="Q2783" s="245"/>
      <c r="R2783" s="126">
        <v>45957</v>
      </c>
    </row>
    <row r="2784" spans="2:18" ht="17.25" hidden="1" customHeight="1">
      <c r="B2784" s="23">
        <v>45944</v>
      </c>
      <c r="C2784" s="7">
        <v>2003806624</v>
      </c>
      <c r="D2784" s="20">
        <v>6435586</v>
      </c>
      <c r="E2784" s="27" t="s">
        <v>1225</v>
      </c>
      <c r="F2784" s="7" t="s">
        <v>107</v>
      </c>
      <c r="G2784" s="7" t="s">
        <v>18</v>
      </c>
      <c r="H2784" s="7" t="s">
        <v>45</v>
      </c>
      <c r="I2784" s="20" t="s">
        <v>618</v>
      </c>
      <c r="J2784" s="20" t="s">
        <v>4033</v>
      </c>
      <c r="K2784" s="7" t="s">
        <v>110</v>
      </c>
      <c r="L2784" s="61">
        <v>45946</v>
      </c>
      <c r="M2784" s="7" t="s">
        <v>111</v>
      </c>
      <c r="N2784" s="24">
        <v>45947</v>
      </c>
      <c r="O2784" s="58">
        <v>45950</v>
      </c>
      <c r="Q2784" s="245"/>
      <c r="R2784" s="126">
        <v>45957</v>
      </c>
    </row>
    <row r="2785" spans="2:18" ht="17.25" hidden="1" customHeight="1">
      <c r="B2785" s="23">
        <v>45944</v>
      </c>
      <c r="C2785" s="7">
        <v>2003750178</v>
      </c>
      <c r="D2785" s="20">
        <v>6435602</v>
      </c>
      <c r="E2785" s="27" t="s">
        <v>149</v>
      </c>
      <c r="F2785" s="7" t="s">
        <v>107</v>
      </c>
      <c r="G2785" s="7" t="s">
        <v>21</v>
      </c>
      <c r="H2785" s="7" t="s">
        <v>42</v>
      </c>
      <c r="I2785" s="20" t="s">
        <v>784</v>
      </c>
      <c r="J2785" s="20" t="s">
        <v>3424</v>
      </c>
      <c r="K2785" s="7" t="s">
        <v>111</v>
      </c>
      <c r="L2785" s="61">
        <v>45944</v>
      </c>
      <c r="M2785" s="7" t="s">
        <v>111</v>
      </c>
      <c r="N2785" s="24">
        <v>45944</v>
      </c>
      <c r="O2785" s="58">
        <v>45944</v>
      </c>
      <c r="Q2785" s="245"/>
      <c r="R2785" s="126">
        <v>45947</v>
      </c>
    </row>
    <row r="2786" spans="2:18" ht="17.25" hidden="1" customHeight="1">
      <c r="B2786" s="23">
        <v>45944</v>
      </c>
      <c r="C2786" s="7">
        <v>2003784121</v>
      </c>
      <c r="D2786" s="20">
        <v>6435772</v>
      </c>
      <c r="E2786" s="27" t="s">
        <v>185</v>
      </c>
      <c r="F2786" s="7" t="s">
        <v>107</v>
      </c>
      <c r="G2786" s="7" t="s">
        <v>18</v>
      </c>
      <c r="H2786" s="7" t="s">
        <v>45</v>
      </c>
      <c r="I2786" s="20" t="s">
        <v>3728</v>
      </c>
      <c r="J2786" s="20" t="s">
        <v>3729</v>
      </c>
      <c r="K2786" s="7" t="s">
        <v>110</v>
      </c>
      <c r="L2786" s="61">
        <v>45947</v>
      </c>
      <c r="M2786" s="7" t="s">
        <v>111</v>
      </c>
      <c r="N2786" s="24">
        <v>45950</v>
      </c>
      <c r="O2786" s="58">
        <v>45957</v>
      </c>
      <c r="Q2786" s="245"/>
      <c r="R2786" s="126">
        <v>45957</v>
      </c>
    </row>
    <row r="2787" spans="2:18" ht="17.25" hidden="1" customHeight="1">
      <c r="B2787" s="23">
        <v>45945</v>
      </c>
      <c r="C2787" s="7">
        <v>2003807434</v>
      </c>
      <c r="D2787" s="20">
        <v>324211</v>
      </c>
      <c r="E2787" s="27" t="s">
        <v>157</v>
      </c>
      <c r="F2787" s="7" t="s">
        <v>113</v>
      </c>
      <c r="G2787" s="7" t="s">
        <v>15</v>
      </c>
      <c r="H2787" s="7" t="s">
        <v>47</v>
      </c>
      <c r="I2787" s="20" t="s">
        <v>1319</v>
      </c>
      <c r="J2787" s="20" t="s">
        <v>4034</v>
      </c>
      <c r="K2787" s="7" t="s">
        <v>119</v>
      </c>
      <c r="L2787" s="61">
        <v>45959</v>
      </c>
      <c r="Q2787" s="245"/>
      <c r="R2787" s="126">
        <v>45957</v>
      </c>
    </row>
    <row r="2788" spans="2:18" ht="17.25" hidden="1" customHeight="1">
      <c r="B2788" s="23">
        <v>45945</v>
      </c>
      <c r="C2788" s="7">
        <v>2003803366</v>
      </c>
      <c r="D2788" s="20">
        <v>323586</v>
      </c>
      <c r="E2788" s="27" t="s">
        <v>3189</v>
      </c>
      <c r="F2788" s="7" t="s">
        <v>107</v>
      </c>
      <c r="G2788" s="7" t="s">
        <v>10</v>
      </c>
      <c r="H2788" s="7" t="s">
        <v>45</v>
      </c>
      <c r="I2788" s="20" t="s">
        <v>3110</v>
      </c>
      <c r="J2788" s="20" t="s">
        <v>3980</v>
      </c>
      <c r="K2788" s="7" t="s">
        <v>119</v>
      </c>
      <c r="L2788" s="61">
        <v>45951</v>
      </c>
      <c r="M2788" s="7" t="s">
        <v>111</v>
      </c>
      <c r="N2788" s="61">
        <v>45951</v>
      </c>
      <c r="O2788" s="61">
        <v>45951</v>
      </c>
      <c r="Q2788" s="245"/>
      <c r="R2788" s="126">
        <v>45957</v>
      </c>
    </row>
    <row r="2789" spans="2:18" ht="17.25" hidden="1" customHeight="1">
      <c r="B2789" s="23">
        <v>45945</v>
      </c>
      <c r="C2789" s="7">
        <v>2003818447</v>
      </c>
      <c r="D2789" s="20">
        <v>323389</v>
      </c>
      <c r="E2789" s="27" t="s">
        <v>622</v>
      </c>
      <c r="F2789" s="7" t="s">
        <v>107</v>
      </c>
      <c r="G2789" s="7" t="s">
        <v>18</v>
      </c>
      <c r="H2789" s="7" t="s">
        <v>45</v>
      </c>
      <c r="I2789" s="20" t="s">
        <v>1002</v>
      </c>
      <c r="J2789" s="20" t="s">
        <v>4035</v>
      </c>
      <c r="K2789" s="7" t="s">
        <v>119</v>
      </c>
      <c r="L2789" s="61">
        <v>45947</v>
      </c>
      <c r="M2789" s="7" t="s">
        <v>111</v>
      </c>
      <c r="N2789" s="24">
        <v>45950</v>
      </c>
      <c r="O2789" s="24">
        <v>45950</v>
      </c>
      <c r="Q2789" s="245"/>
      <c r="R2789" s="126">
        <v>45957</v>
      </c>
    </row>
    <row r="2790" spans="2:18" ht="17.25" hidden="1" customHeight="1">
      <c r="B2790" s="23">
        <v>45945</v>
      </c>
      <c r="C2790" s="7">
        <v>2003818033</v>
      </c>
      <c r="D2790" s="20">
        <v>323376</v>
      </c>
      <c r="E2790" s="27" t="s">
        <v>201</v>
      </c>
      <c r="F2790" s="7" t="s">
        <v>107</v>
      </c>
      <c r="G2790" s="7" t="s">
        <v>10</v>
      </c>
      <c r="H2790" s="7" t="s">
        <v>45</v>
      </c>
      <c r="I2790" s="20" t="s">
        <v>310</v>
      </c>
      <c r="J2790" s="20" t="s">
        <v>4036</v>
      </c>
      <c r="K2790" s="7" t="s">
        <v>119</v>
      </c>
      <c r="L2790" s="61">
        <v>45950</v>
      </c>
      <c r="M2790" s="7" t="s">
        <v>111</v>
      </c>
      <c r="N2790" s="61">
        <v>45951</v>
      </c>
      <c r="O2790" s="58">
        <v>45953</v>
      </c>
      <c r="Q2790" s="245"/>
      <c r="R2790" s="126">
        <v>45957</v>
      </c>
    </row>
    <row r="2791" spans="2:18" ht="17.25" hidden="1" customHeight="1">
      <c r="B2791" s="23">
        <v>45945</v>
      </c>
      <c r="C2791" s="7">
        <v>2003801509</v>
      </c>
      <c r="D2791" s="20">
        <v>323235</v>
      </c>
      <c r="E2791" s="27" t="s">
        <v>157</v>
      </c>
      <c r="F2791" s="7" t="s">
        <v>107</v>
      </c>
      <c r="G2791" s="7" t="s">
        <v>15</v>
      </c>
      <c r="H2791" s="7" t="s">
        <v>45</v>
      </c>
      <c r="I2791" s="20" t="s">
        <v>4037</v>
      </c>
      <c r="J2791" s="20" t="s">
        <v>4038</v>
      </c>
      <c r="K2791" s="7" t="s">
        <v>119</v>
      </c>
      <c r="L2791" s="61">
        <v>45964</v>
      </c>
      <c r="M2791" s="7" t="s">
        <v>111</v>
      </c>
      <c r="N2791" s="61">
        <v>45965</v>
      </c>
      <c r="O2791" s="61">
        <v>45965</v>
      </c>
      <c r="Q2791" s="245"/>
      <c r="R2791" s="126">
        <v>45965</v>
      </c>
    </row>
    <row r="2792" spans="2:18" ht="17.25" hidden="1" customHeight="1">
      <c r="B2792" s="23">
        <v>45945</v>
      </c>
      <c r="C2792" s="7">
        <v>2003815510</v>
      </c>
      <c r="D2792" s="20">
        <v>323233</v>
      </c>
      <c r="E2792" s="27" t="s">
        <v>143</v>
      </c>
      <c r="F2792" s="7" t="s">
        <v>107</v>
      </c>
      <c r="G2792" s="7" t="s">
        <v>10</v>
      </c>
      <c r="H2792" s="7" t="s">
        <v>45</v>
      </c>
      <c r="I2792" s="20" t="s">
        <v>1607</v>
      </c>
      <c r="J2792" s="20" t="s">
        <v>1685</v>
      </c>
      <c r="K2792" s="7" t="s">
        <v>110</v>
      </c>
      <c r="L2792" s="61">
        <v>45946</v>
      </c>
      <c r="M2792" s="7" t="s">
        <v>111</v>
      </c>
      <c r="N2792" s="24">
        <v>45947</v>
      </c>
      <c r="O2792" s="58">
        <v>45950</v>
      </c>
      <c r="Q2792" s="245"/>
      <c r="R2792" s="126">
        <v>45957</v>
      </c>
    </row>
    <row r="2793" spans="2:18" ht="17.25" hidden="1" customHeight="1">
      <c r="B2793" s="23">
        <v>45945</v>
      </c>
      <c r="C2793" s="7">
        <v>2003558668</v>
      </c>
      <c r="D2793" s="20">
        <v>6436035</v>
      </c>
      <c r="E2793" s="27" t="s">
        <v>123</v>
      </c>
      <c r="F2793" s="7" t="s">
        <v>107</v>
      </c>
      <c r="G2793" s="7" t="s">
        <v>10</v>
      </c>
      <c r="H2793" s="7" t="s">
        <v>45</v>
      </c>
      <c r="I2793" s="20" t="s">
        <v>856</v>
      </c>
      <c r="J2793" s="20" t="s">
        <v>3755</v>
      </c>
      <c r="K2793" s="7" t="s">
        <v>119</v>
      </c>
      <c r="L2793" s="61">
        <v>45950</v>
      </c>
      <c r="M2793" s="7" t="s">
        <v>111</v>
      </c>
      <c r="N2793" s="61">
        <v>45951</v>
      </c>
      <c r="O2793" s="61">
        <v>45951</v>
      </c>
      <c r="Q2793" s="245"/>
      <c r="R2793" s="126">
        <v>45957</v>
      </c>
    </row>
    <row r="2794" spans="2:18" ht="17.25" hidden="1" customHeight="1">
      <c r="B2794" s="23">
        <v>45945</v>
      </c>
      <c r="C2794" s="7">
        <v>2003812352</v>
      </c>
      <c r="D2794" s="20">
        <v>6436479</v>
      </c>
      <c r="E2794" s="27" t="s">
        <v>230</v>
      </c>
      <c r="F2794" s="7" t="s">
        <v>107</v>
      </c>
      <c r="G2794" s="7" t="s">
        <v>10</v>
      </c>
      <c r="H2794" s="7" t="s">
        <v>45</v>
      </c>
      <c r="I2794" s="20" t="s">
        <v>2634</v>
      </c>
      <c r="J2794" s="20" t="s">
        <v>4039</v>
      </c>
      <c r="K2794" s="7" t="s">
        <v>119</v>
      </c>
      <c r="L2794" s="61">
        <v>45950</v>
      </c>
      <c r="M2794" s="7" t="s">
        <v>111</v>
      </c>
      <c r="N2794" s="61">
        <v>45951</v>
      </c>
      <c r="O2794" s="58">
        <v>45953</v>
      </c>
      <c r="Q2794" s="245"/>
      <c r="R2794" s="126">
        <v>45957</v>
      </c>
    </row>
    <row r="2795" spans="2:18" ht="17.25" hidden="1" customHeight="1">
      <c r="B2795" s="23">
        <v>45945</v>
      </c>
      <c r="C2795" s="7">
        <v>2003803562</v>
      </c>
      <c r="D2795" s="20">
        <v>6436502</v>
      </c>
      <c r="E2795" s="27" t="s">
        <v>408</v>
      </c>
      <c r="F2795" s="7" t="s">
        <v>107</v>
      </c>
      <c r="G2795" s="7" t="s">
        <v>10</v>
      </c>
      <c r="H2795" s="7" t="s">
        <v>45</v>
      </c>
      <c r="I2795" s="20" t="s">
        <v>4040</v>
      </c>
      <c r="J2795" s="20" t="s">
        <v>4041</v>
      </c>
      <c r="K2795" s="7" t="s">
        <v>119</v>
      </c>
      <c r="L2795" s="61">
        <v>45947</v>
      </c>
      <c r="M2795" s="7" t="s">
        <v>111</v>
      </c>
      <c r="N2795" s="61">
        <v>45958</v>
      </c>
      <c r="O2795" s="61">
        <v>45958</v>
      </c>
      <c r="Q2795" s="245"/>
      <c r="R2795" s="126">
        <v>45961</v>
      </c>
    </row>
    <row r="2796" spans="2:18" ht="17.25" hidden="1" customHeight="1">
      <c r="B2796" s="23">
        <v>45945</v>
      </c>
      <c r="C2796" s="7">
        <v>2003778389</v>
      </c>
      <c r="E2796" s="27" t="s">
        <v>756</v>
      </c>
      <c r="F2796" s="7" t="s">
        <v>107</v>
      </c>
      <c r="G2796" s="7" t="s">
        <v>26</v>
      </c>
      <c r="H2796" s="7" t="s">
        <v>45</v>
      </c>
      <c r="I2796" s="20" t="s">
        <v>4042</v>
      </c>
      <c r="J2796" s="20" t="s">
        <v>4043</v>
      </c>
      <c r="K2796" s="7" t="s">
        <v>110</v>
      </c>
      <c r="L2796" s="61">
        <v>45947</v>
      </c>
      <c r="M2796" s="7" t="s">
        <v>111</v>
      </c>
      <c r="N2796" s="24">
        <v>45957</v>
      </c>
      <c r="O2796" s="58">
        <v>45957</v>
      </c>
      <c r="Q2796" s="245"/>
      <c r="R2796" s="126">
        <v>45957</v>
      </c>
    </row>
    <row r="2797" spans="2:18" ht="17.25" hidden="1" customHeight="1">
      <c r="B2797" s="23">
        <v>45946</v>
      </c>
      <c r="C2797" s="7">
        <v>2003817676</v>
      </c>
      <c r="D2797" s="20">
        <v>325854</v>
      </c>
      <c r="E2797" s="27" t="s">
        <v>849</v>
      </c>
      <c r="F2797" s="7" t="s">
        <v>107</v>
      </c>
      <c r="G2797" s="7" t="s">
        <v>18</v>
      </c>
      <c r="H2797" s="7" t="s">
        <v>45</v>
      </c>
      <c r="I2797" s="20" t="s">
        <v>4044</v>
      </c>
      <c r="J2797" s="20" t="s">
        <v>4045</v>
      </c>
      <c r="K2797" s="7" t="s">
        <v>119</v>
      </c>
      <c r="L2797" s="61">
        <v>45950</v>
      </c>
      <c r="M2797" s="7" t="s">
        <v>111</v>
      </c>
      <c r="N2797" s="61">
        <v>45951</v>
      </c>
      <c r="O2797" s="61">
        <v>45951</v>
      </c>
      <c r="Q2797" s="245"/>
      <c r="R2797" s="126">
        <v>45957</v>
      </c>
    </row>
    <row r="2798" spans="2:18" ht="17.25" hidden="1" customHeight="1">
      <c r="B2798" s="23">
        <v>45946</v>
      </c>
      <c r="C2798" s="7">
        <v>2003815786</v>
      </c>
      <c r="D2798" s="20">
        <v>325331</v>
      </c>
      <c r="E2798" s="27" t="s">
        <v>106</v>
      </c>
      <c r="F2798" s="7" t="s">
        <v>107</v>
      </c>
      <c r="G2798" s="7" t="s">
        <v>10</v>
      </c>
      <c r="H2798" s="7" t="s">
        <v>45</v>
      </c>
      <c r="I2798" s="20" t="s">
        <v>631</v>
      </c>
      <c r="J2798" s="20" t="s">
        <v>4046</v>
      </c>
      <c r="K2798" s="7" t="s">
        <v>119</v>
      </c>
      <c r="L2798" s="61">
        <v>45951</v>
      </c>
      <c r="M2798" s="7" t="s">
        <v>111</v>
      </c>
      <c r="N2798" s="24">
        <v>45953</v>
      </c>
      <c r="O2798" s="24">
        <v>45953</v>
      </c>
      <c r="Q2798" s="245"/>
      <c r="R2798" s="126">
        <v>45957</v>
      </c>
    </row>
    <row r="2799" spans="2:18" ht="17.25" hidden="1" customHeight="1">
      <c r="B2799" s="23">
        <v>45946</v>
      </c>
      <c r="C2799" s="7">
        <v>2003809226</v>
      </c>
      <c r="D2799" s="20">
        <v>6536710</v>
      </c>
      <c r="E2799" s="27" t="s">
        <v>408</v>
      </c>
      <c r="F2799" s="7" t="s">
        <v>107</v>
      </c>
      <c r="G2799" s="7" t="s">
        <v>10</v>
      </c>
      <c r="H2799" s="7" t="s">
        <v>45</v>
      </c>
      <c r="I2799" s="20" t="s">
        <v>4047</v>
      </c>
      <c r="J2799" s="20" t="s">
        <v>4048</v>
      </c>
      <c r="K2799" s="7" t="s">
        <v>110</v>
      </c>
      <c r="L2799" s="61">
        <v>45950</v>
      </c>
      <c r="M2799" s="7" t="s">
        <v>111</v>
      </c>
      <c r="N2799" s="61">
        <v>45950</v>
      </c>
      <c r="O2799" s="58">
        <v>45953</v>
      </c>
      <c r="Q2799" s="245"/>
      <c r="R2799" s="126">
        <v>45957</v>
      </c>
    </row>
    <row r="2800" spans="2:18" ht="17.25" hidden="1" customHeight="1">
      <c r="B2800" s="23">
        <v>45946</v>
      </c>
      <c r="C2800" s="7">
        <v>2003685138</v>
      </c>
      <c r="D2800" s="20">
        <v>6436795</v>
      </c>
      <c r="E2800" s="27" t="s">
        <v>149</v>
      </c>
      <c r="F2800" s="7" t="s">
        <v>107</v>
      </c>
      <c r="G2800" s="7" t="s">
        <v>10</v>
      </c>
      <c r="H2800" s="7" t="s">
        <v>45</v>
      </c>
      <c r="I2800" s="20" t="s">
        <v>4049</v>
      </c>
      <c r="J2800" s="20" t="s">
        <v>4050</v>
      </c>
      <c r="K2800" s="7" t="s">
        <v>119</v>
      </c>
      <c r="L2800" s="61">
        <v>45951</v>
      </c>
      <c r="M2800" s="7" t="s">
        <v>111</v>
      </c>
      <c r="N2800" s="61">
        <v>45951</v>
      </c>
      <c r="O2800" s="61">
        <v>45951</v>
      </c>
      <c r="Q2800" s="245"/>
      <c r="R2800" s="126">
        <v>45957</v>
      </c>
    </row>
    <row r="2801" spans="2:18" ht="17.25" hidden="1" customHeight="1">
      <c r="B2801" s="23">
        <v>45946</v>
      </c>
      <c r="C2801" s="7">
        <v>2003815420</v>
      </c>
      <c r="D2801" s="20">
        <v>6436901</v>
      </c>
      <c r="E2801" s="27" t="s">
        <v>106</v>
      </c>
      <c r="F2801" s="7" t="s">
        <v>107</v>
      </c>
      <c r="G2801" s="7" t="s">
        <v>10</v>
      </c>
      <c r="H2801" s="7" t="s">
        <v>45</v>
      </c>
      <c r="I2801" s="20" t="s">
        <v>3296</v>
      </c>
      <c r="J2801" s="20" t="s">
        <v>4051</v>
      </c>
      <c r="K2801" s="7" t="s">
        <v>110</v>
      </c>
      <c r="L2801" s="61">
        <v>45947</v>
      </c>
      <c r="M2801" s="7" t="s">
        <v>111</v>
      </c>
      <c r="N2801" s="24">
        <v>45950</v>
      </c>
      <c r="O2801" s="58">
        <v>45953</v>
      </c>
      <c r="Q2801" s="245"/>
      <c r="R2801" s="126">
        <v>45957</v>
      </c>
    </row>
    <row r="2802" spans="2:18" ht="17.25" hidden="1" customHeight="1">
      <c r="B2802" s="23">
        <v>45946</v>
      </c>
      <c r="C2802" s="7">
        <v>2003718071</v>
      </c>
      <c r="D2802" s="20">
        <v>6436910</v>
      </c>
      <c r="E2802" s="27" t="s">
        <v>1225</v>
      </c>
      <c r="F2802" s="7" t="s">
        <v>107</v>
      </c>
      <c r="G2802" s="7" t="s">
        <v>10</v>
      </c>
      <c r="H2802" s="7" t="s">
        <v>45</v>
      </c>
      <c r="I2802" s="20" t="s">
        <v>1410</v>
      </c>
      <c r="J2802" s="20" t="s">
        <v>4052</v>
      </c>
      <c r="K2802" s="7" t="s">
        <v>119</v>
      </c>
      <c r="L2802" s="61">
        <v>45950</v>
      </c>
      <c r="M2802" s="7" t="s">
        <v>111</v>
      </c>
      <c r="N2802" s="61">
        <v>45951</v>
      </c>
      <c r="O2802" s="61">
        <v>45951</v>
      </c>
      <c r="Q2802" s="245"/>
      <c r="R2802" s="126">
        <v>45957</v>
      </c>
    </row>
    <row r="2803" spans="2:18" ht="17.25" hidden="1" customHeight="1">
      <c r="B2803" s="23">
        <v>45946</v>
      </c>
      <c r="C2803" s="7">
        <v>2003665905</v>
      </c>
      <c r="D2803" s="20">
        <v>6436952</v>
      </c>
      <c r="E2803" s="27" t="s">
        <v>185</v>
      </c>
      <c r="F2803" s="7" t="s">
        <v>107</v>
      </c>
      <c r="G2803" s="7" t="s">
        <v>10</v>
      </c>
      <c r="H2803" s="7" t="s">
        <v>45</v>
      </c>
      <c r="I2803" s="20" t="s">
        <v>3974</v>
      </c>
      <c r="J2803" s="20" t="s">
        <v>4053</v>
      </c>
      <c r="K2803" s="7" t="s">
        <v>119</v>
      </c>
      <c r="L2803" s="61">
        <v>45952</v>
      </c>
      <c r="M2803" s="7" t="s">
        <v>111</v>
      </c>
      <c r="N2803" s="61">
        <v>45952</v>
      </c>
      <c r="O2803" s="61">
        <v>45952</v>
      </c>
      <c r="Q2803" s="245"/>
      <c r="R2803" s="126">
        <v>45957</v>
      </c>
    </row>
    <row r="2804" spans="2:18" ht="17.25" hidden="1" customHeight="1">
      <c r="B2804" s="23">
        <v>45946</v>
      </c>
      <c r="C2804" s="7">
        <v>2003812174</v>
      </c>
      <c r="D2804" s="20">
        <v>6437149</v>
      </c>
      <c r="E2804" s="27" t="s">
        <v>143</v>
      </c>
      <c r="F2804" s="7" t="s">
        <v>107</v>
      </c>
      <c r="G2804" s="7" t="s">
        <v>18</v>
      </c>
      <c r="H2804" s="7" t="s">
        <v>45</v>
      </c>
      <c r="I2804" s="20" t="s">
        <v>4054</v>
      </c>
      <c r="J2804" s="20" t="s">
        <v>4055</v>
      </c>
      <c r="K2804" s="7" t="s">
        <v>110</v>
      </c>
      <c r="L2804" s="61">
        <v>45960</v>
      </c>
      <c r="M2804" s="7" t="s">
        <v>111</v>
      </c>
      <c r="N2804" s="61">
        <v>45960</v>
      </c>
      <c r="O2804" s="58">
        <v>45964</v>
      </c>
      <c r="Q2804" s="245"/>
      <c r="R2804" s="126">
        <v>45965</v>
      </c>
    </row>
    <row r="2805" spans="2:18" ht="17.25" hidden="1" customHeight="1">
      <c r="B2805" s="23">
        <v>45947</v>
      </c>
      <c r="C2805" s="7">
        <v>2003798514</v>
      </c>
      <c r="D2805" s="20">
        <v>6437412</v>
      </c>
      <c r="E2805" s="27" t="s">
        <v>408</v>
      </c>
      <c r="F2805" s="7" t="s">
        <v>107</v>
      </c>
      <c r="G2805" s="7" t="s">
        <v>10</v>
      </c>
      <c r="H2805" s="7" t="s">
        <v>45</v>
      </c>
      <c r="I2805" s="20" t="s">
        <v>4056</v>
      </c>
      <c r="J2805" s="20" t="s">
        <v>4057</v>
      </c>
      <c r="K2805" s="7" t="s">
        <v>110</v>
      </c>
      <c r="L2805" s="61">
        <v>45951</v>
      </c>
      <c r="M2805" s="7" t="s">
        <v>111</v>
      </c>
      <c r="N2805" s="61">
        <v>45951</v>
      </c>
      <c r="O2805" s="61">
        <v>45951</v>
      </c>
      <c r="Q2805" s="245"/>
      <c r="R2805" s="126">
        <v>45957</v>
      </c>
    </row>
    <row r="2806" spans="2:18" ht="17.25" hidden="1" customHeight="1">
      <c r="B2806" s="23">
        <v>45947</v>
      </c>
      <c r="C2806" s="7">
        <v>2003748869</v>
      </c>
      <c r="D2806" s="20">
        <v>6437535</v>
      </c>
      <c r="E2806" s="27" t="s">
        <v>129</v>
      </c>
      <c r="F2806" s="7" t="s">
        <v>107</v>
      </c>
      <c r="G2806" s="7" t="s">
        <v>21</v>
      </c>
      <c r="H2806" s="7" t="s">
        <v>45</v>
      </c>
      <c r="I2806" s="239" t="s">
        <v>3439</v>
      </c>
      <c r="J2806" s="20" t="s">
        <v>3440</v>
      </c>
      <c r="K2806" s="7" t="s">
        <v>111</v>
      </c>
      <c r="L2806" s="61">
        <v>45950</v>
      </c>
      <c r="M2806" s="7" t="s">
        <v>111</v>
      </c>
      <c r="N2806" s="61">
        <v>45950</v>
      </c>
      <c r="O2806" s="58">
        <v>45953</v>
      </c>
      <c r="Q2806" s="245"/>
      <c r="R2806" s="126">
        <v>45957</v>
      </c>
    </row>
    <row r="2807" spans="2:18" ht="17.25" hidden="1" customHeight="1">
      <c r="B2807" s="23">
        <v>45947</v>
      </c>
      <c r="C2807" s="7">
        <v>2003820192</v>
      </c>
      <c r="D2807" s="20">
        <v>6437547</v>
      </c>
      <c r="E2807" s="27" t="s">
        <v>191</v>
      </c>
      <c r="F2807" s="7" t="s">
        <v>107</v>
      </c>
      <c r="G2807" s="7" t="s">
        <v>10</v>
      </c>
      <c r="H2807" s="7" t="s">
        <v>45</v>
      </c>
      <c r="I2807" s="20" t="s">
        <v>2686</v>
      </c>
      <c r="J2807" s="20" t="s">
        <v>4058</v>
      </c>
      <c r="K2807" s="7" t="s">
        <v>119</v>
      </c>
      <c r="L2807" s="61">
        <v>45958</v>
      </c>
      <c r="M2807" s="7" t="s">
        <v>111</v>
      </c>
      <c r="N2807" s="24">
        <v>45959</v>
      </c>
      <c r="O2807" s="58">
        <v>45964</v>
      </c>
      <c r="Q2807" s="245"/>
      <c r="R2807" s="126">
        <v>45965</v>
      </c>
    </row>
    <row r="2808" spans="2:18" ht="17.25" hidden="1" customHeight="1">
      <c r="B2808" s="23">
        <v>45947</v>
      </c>
      <c r="C2808" s="7">
        <v>2003805025</v>
      </c>
      <c r="D2808" s="20">
        <v>6437837</v>
      </c>
      <c r="E2808" s="27" t="s">
        <v>408</v>
      </c>
      <c r="F2808" s="7" t="s">
        <v>107</v>
      </c>
      <c r="G2808" s="7" t="s">
        <v>10</v>
      </c>
      <c r="H2808" s="7" t="s">
        <v>45</v>
      </c>
      <c r="I2808" s="20" t="s">
        <v>1367</v>
      </c>
      <c r="J2808" s="20" t="s">
        <v>2282</v>
      </c>
      <c r="K2808" s="7" t="s">
        <v>110</v>
      </c>
      <c r="L2808" s="61">
        <v>45952</v>
      </c>
      <c r="M2808" s="7" t="s">
        <v>111</v>
      </c>
      <c r="N2808" s="61">
        <v>45952</v>
      </c>
      <c r="O2808" s="61">
        <v>45952</v>
      </c>
      <c r="Q2808" s="245"/>
      <c r="R2808" s="126">
        <v>45957</v>
      </c>
    </row>
    <row r="2809" spans="2:18" ht="17.25" hidden="1" customHeight="1">
      <c r="B2809" s="23">
        <v>45947</v>
      </c>
      <c r="C2809" s="7">
        <v>2003681098</v>
      </c>
      <c r="D2809" s="20">
        <v>6437867</v>
      </c>
      <c r="E2809" s="27" t="s">
        <v>126</v>
      </c>
      <c r="F2809" s="7" t="s">
        <v>107</v>
      </c>
      <c r="G2809" s="7" t="s">
        <v>10</v>
      </c>
      <c r="H2809" s="7" t="s">
        <v>45</v>
      </c>
      <c r="I2809" s="20" t="s">
        <v>4059</v>
      </c>
      <c r="J2809" s="20" t="s">
        <v>4060</v>
      </c>
      <c r="K2809" s="7" t="s">
        <v>119</v>
      </c>
      <c r="L2809" s="61">
        <v>45953</v>
      </c>
      <c r="M2809" s="7" t="s">
        <v>111</v>
      </c>
      <c r="N2809" s="61">
        <v>45953</v>
      </c>
      <c r="O2809" s="58">
        <v>45957</v>
      </c>
      <c r="Q2809" s="245"/>
      <c r="R2809" s="126">
        <v>45957</v>
      </c>
    </row>
    <row r="2810" spans="2:18" ht="17.25" hidden="1" customHeight="1">
      <c r="B2810" s="23">
        <v>45947</v>
      </c>
      <c r="C2810" s="7">
        <v>2003820639</v>
      </c>
      <c r="D2810" s="20">
        <v>327596</v>
      </c>
      <c r="E2810" s="27" t="s">
        <v>198</v>
      </c>
      <c r="F2810" s="7" t="s">
        <v>107</v>
      </c>
      <c r="G2810" s="7" t="s">
        <v>10</v>
      </c>
      <c r="H2810" s="7" t="s">
        <v>45</v>
      </c>
      <c r="I2810" s="20" t="s">
        <v>2629</v>
      </c>
      <c r="J2810" s="20" t="s">
        <v>4061</v>
      </c>
      <c r="K2810" s="7" t="s">
        <v>119</v>
      </c>
      <c r="L2810" s="61">
        <v>45951</v>
      </c>
      <c r="M2810" s="7" t="s">
        <v>111</v>
      </c>
      <c r="N2810" s="61">
        <v>45951</v>
      </c>
      <c r="O2810" s="58">
        <v>45953</v>
      </c>
      <c r="Q2810" s="245"/>
      <c r="R2810" s="126">
        <v>45957</v>
      </c>
    </row>
    <row r="2811" spans="2:18" ht="17.25" hidden="1" customHeight="1">
      <c r="B2811" s="23">
        <v>45947</v>
      </c>
      <c r="C2811" s="7">
        <v>2003807451</v>
      </c>
      <c r="D2811" s="20">
        <v>327567</v>
      </c>
      <c r="E2811" s="27" t="s">
        <v>143</v>
      </c>
      <c r="F2811" s="7" t="s">
        <v>107</v>
      </c>
      <c r="G2811" s="7" t="s">
        <v>18</v>
      </c>
      <c r="H2811" s="7" t="s">
        <v>45</v>
      </c>
      <c r="I2811" s="20" t="s">
        <v>462</v>
      </c>
      <c r="J2811" s="20" t="s">
        <v>3957</v>
      </c>
      <c r="K2811" s="7" t="s">
        <v>119</v>
      </c>
      <c r="L2811" s="61">
        <v>45952</v>
      </c>
      <c r="M2811" s="7" t="s">
        <v>111</v>
      </c>
      <c r="N2811" s="24">
        <v>45953</v>
      </c>
      <c r="O2811" s="24">
        <v>45953</v>
      </c>
      <c r="Q2811" s="245"/>
      <c r="R2811" s="126">
        <v>45957</v>
      </c>
    </row>
    <row r="2812" spans="2:18" ht="17.25" hidden="1" customHeight="1">
      <c r="B2812" s="23">
        <v>45947</v>
      </c>
      <c r="C2812" s="7">
        <v>2003798759</v>
      </c>
      <c r="D2812" s="20">
        <v>327378</v>
      </c>
      <c r="E2812" s="27" t="s">
        <v>123</v>
      </c>
      <c r="F2812" s="7" t="s">
        <v>107</v>
      </c>
      <c r="G2812" s="7" t="s">
        <v>21</v>
      </c>
      <c r="H2812" s="7" t="s">
        <v>45</v>
      </c>
      <c r="I2812" s="20" t="s">
        <v>4062</v>
      </c>
      <c r="J2812" s="20" t="s">
        <v>3841</v>
      </c>
      <c r="K2812" s="7" t="s">
        <v>111</v>
      </c>
      <c r="L2812" s="61">
        <v>45950</v>
      </c>
      <c r="M2812" s="7" t="s">
        <v>111</v>
      </c>
      <c r="N2812" s="24">
        <v>45971</v>
      </c>
      <c r="O2812" s="58">
        <v>45971</v>
      </c>
      <c r="Q2812" s="245"/>
    </row>
    <row r="2813" spans="2:18" ht="17.25" hidden="1" customHeight="1">
      <c r="B2813" s="23">
        <v>45947</v>
      </c>
      <c r="C2813" s="7">
        <v>2003762710</v>
      </c>
      <c r="D2813" s="20">
        <v>326965</v>
      </c>
      <c r="E2813" s="27" t="s">
        <v>185</v>
      </c>
      <c r="F2813" s="7" t="s">
        <v>107</v>
      </c>
      <c r="G2813" s="7" t="s">
        <v>10</v>
      </c>
      <c r="H2813" s="7" t="s">
        <v>45</v>
      </c>
      <c r="I2813" s="20" t="s">
        <v>4063</v>
      </c>
      <c r="J2813" s="20" t="s">
        <v>3923</v>
      </c>
      <c r="K2813" s="7" t="s">
        <v>110</v>
      </c>
      <c r="L2813" s="61">
        <v>45954</v>
      </c>
      <c r="M2813" s="7" t="s">
        <v>111</v>
      </c>
      <c r="N2813" s="24">
        <v>45958</v>
      </c>
      <c r="O2813" s="58">
        <v>45960</v>
      </c>
      <c r="Q2813" s="245"/>
      <c r="R2813" s="126">
        <v>45961</v>
      </c>
    </row>
    <row r="2814" spans="2:18" ht="17.25" hidden="1" customHeight="1">
      <c r="B2814" s="23">
        <v>45947</v>
      </c>
      <c r="C2814" s="7">
        <v>2003796848</v>
      </c>
      <c r="D2814" s="20">
        <v>326953</v>
      </c>
      <c r="E2814" s="27" t="s">
        <v>3189</v>
      </c>
      <c r="F2814" s="7" t="s">
        <v>107</v>
      </c>
      <c r="G2814" s="7" t="s">
        <v>21</v>
      </c>
      <c r="H2814" s="7" t="s">
        <v>45</v>
      </c>
      <c r="I2814" s="20" t="s">
        <v>1515</v>
      </c>
      <c r="J2814" s="20" t="s">
        <v>3837</v>
      </c>
      <c r="K2814" s="7" t="s">
        <v>110</v>
      </c>
      <c r="L2814" s="61">
        <v>45950</v>
      </c>
      <c r="M2814" s="7" t="s">
        <v>111</v>
      </c>
      <c r="N2814" s="24">
        <v>45953</v>
      </c>
      <c r="O2814" s="24">
        <v>45953</v>
      </c>
      <c r="Q2814" s="245"/>
      <c r="R2814" s="126">
        <v>45957</v>
      </c>
    </row>
    <row r="2815" spans="2:18" ht="17.25" hidden="1" customHeight="1">
      <c r="B2815" s="23">
        <v>45947</v>
      </c>
      <c r="C2815" s="7">
        <v>2003812634</v>
      </c>
      <c r="D2815" s="20">
        <v>326757</v>
      </c>
      <c r="E2815" s="27" t="s">
        <v>112</v>
      </c>
      <c r="F2815" s="7" t="s">
        <v>107</v>
      </c>
      <c r="G2815" s="7" t="s">
        <v>15</v>
      </c>
      <c r="H2815" s="7" t="s">
        <v>45</v>
      </c>
      <c r="I2815" s="20" t="s">
        <v>2933</v>
      </c>
      <c r="J2815" s="20" t="s">
        <v>4064</v>
      </c>
      <c r="K2815" s="7" t="s">
        <v>119</v>
      </c>
      <c r="L2815" s="61">
        <v>45960</v>
      </c>
      <c r="M2815" s="7" t="s">
        <v>111</v>
      </c>
      <c r="N2815" s="61">
        <v>45961</v>
      </c>
      <c r="O2815" s="58">
        <v>45964</v>
      </c>
      <c r="Q2815" s="245"/>
      <c r="R2815" s="126">
        <v>45965</v>
      </c>
    </row>
    <row r="2816" spans="2:18" ht="17.25" hidden="1" customHeight="1">
      <c r="B2816" s="23">
        <v>45947</v>
      </c>
      <c r="C2816" s="7">
        <v>2003817821</v>
      </c>
      <c r="D2816" s="20">
        <v>326535</v>
      </c>
      <c r="E2816" s="27" t="s">
        <v>568</v>
      </c>
      <c r="F2816" s="7" t="s">
        <v>107</v>
      </c>
      <c r="G2816" s="7" t="s">
        <v>10</v>
      </c>
      <c r="H2816" s="7" t="s">
        <v>45</v>
      </c>
      <c r="I2816" s="20" t="s">
        <v>623</v>
      </c>
      <c r="J2816" s="20" t="s">
        <v>4065</v>
      </c>
      <c r="K2816" s="7" t="s">
        <v>119</v>
      </c>
      <c r="L2816" s="61">
        <v>45950</v>
      </c>
      <c r="M2816" s="7" t="s">
        <v>111</v>
      </c>
      <c r="N2816" s="61">
        <v>45951</v>
      </c>
      <c r="O2816" s="58">
        <v>45953</v>
      </c>
      <c r="Q2816" s="245"/>
      <c r="R2816" s="126">
        <v>45957</v>
      </c>
    </row>
    <row r="2817" spans="2:18" ht="17.25" hidden="1" customHeight="1">
      <c r="B2817" s="23">
        <v>45947</v>
      </c>
      <c r="C2817" s="7">
        <v>2003758445</v>
      </c>
      <c r="D2817" s="20">
        <v>326395</v>
      </c>
      <c r="E2817" s="27" t="s">
        <v>129</v>
      </c>
      <c r="F2817" s="7" t="s">
        <v>107</v>
      </c>
      <c r="G2817" s="7" t="s">
        <v>26</v>
      </c>
      <c r="H2817" s="7" t="s">
        <v>45</v>
      </c>
      <c r="I2817" s="20" t="s">
        <v>3482</v>
      </c>
      <c r="J2817" s="20" t="s">
        <v>3483</v>
      </c>
      <c r="K2817" s="7" t="s">
        <v>110</v>
      </c>
      <c r="L2817" s="61">
        <v>45950</v>
      </c>
      <c r="M2817" s="7" t="s">
        <v>111</v>
      </c>
      <c r="N2817" s="24">
        <v>45957</v>
      </c>
      <c r="O2817" s="58">
        <v>45957</v>
      </c>
      <c r="Q2817" s="245"/>
      <c r="R2817" s="126">
        <v>45957</v>
      </c>
    </row>
    <row r="2818" spans="2:18" ht="17.25" hidden="1" customHeight="1">
      <c r="B2818" s="23">
        <v>45950</v>
      </c>
      <c r="C2818" s="7">
        <v>2003821704</v>
      </c>
      <c r="E2818" s="20" t="s">
        <v>123</v>
      </c>
      <c r="F2818" s="7" t="s">
        <v>107</v>
      </c>
      <c r="G2818" s="7" t="s">
        <v>10</v>
      </c>
      <c r="H2818" s="7" t="s">
        <v>45</v>
      </c>
      <c r="I2818" s="20" t="s">
        <v>4066</v>
      </c>
      <c r="J2818" s="20" t="s">
        <v>4067</v>
      </c>
      <c r="K2818" s="7" t="s">
        <v>119</v>
      </c>
      <c r="L2818" s="61">
        <v>45953</v>
      </c>
      <c r="M2818" s="7" t="s">
        <v>111</v>
      </c>
      <c r="N2818" s="61">
        <v>45953</v>
      </c>
      <c r="O2818" s="58">
        <v>45960</v>
      </c>
      <c r="Q2818" s="245"/>
      <c r="R2818" s="126">
        <v>45961</v>
      </c>
    </row>
    <row r="2819" spans="2:18" ht="17.25" hidden="1" customHeight="1">
      <c r="B2819" s="23">
        <v>45950</v>
      </c>
      <c r="C2819" s="7">
        <v>2003731072</v>
      </c>
      <c r="E2819" s="20" t="s">
        <v>106</v>
      </c>
      <c r="F2819" s="7" t="s">
        <v>107</v>
      </c>
      <c r="G2819" s="7" t="s">
        <v>21</v>
      </c>
      <c r="H2819" s="7" t="s">
        <v>45</v>
      </c>
      <c r="I2819" s="20" t="s">
        <v>4068</v>
      </c>
      <c r="J2819" s="20" t="s">
        <v>2433</v>
      </c>
      <c r="K2819" s="7" t="s">
        <v>119</v>
      </c>
      <c r="L2819" s="61">
        <v>45951</v>
      </c>
      <c r="M2819" s="7" t="s">
        <v>111</v>
      </c>
      <c r="N2819" s="61">
        <v>45951</v>
      </c>
      <c r="O2819" s="58">
        <v>45953</v>
      </c>
      <c r="Q2819" s="245"/>
      <c r="R2819" s="126">
        <v>45957</v>
      </c>
    </row>
    <row r="2820" spans="2:18" ht="17.25" hidden="1" customHeight="1">
      <c r="B2820" s="23">
        <v>45950</v>
      </c>
      <c r="C2820" s="7">
        <v>2003792017</v>
      </c>
      <c r="E2820" s="20" t="s">
        <v>258</v>
      </c>
      <c r="F2820" s="7" t="s">
        <v>107</v>
      </c>
      <c r="G2820" s="7" t="s">
        <v>21</v>
      </c>
      <c r="H2820" s="7" t="s">
        <v>45</v>
      </c>
      <c r="I2820" s="20" t="s">
        <v>4069</v>
      </c>
      <c r="J2820" s="20" t="s">
        <v>3828</v>
      </c>
      <c r="K2820" s="7" t="s">
        <v>119</v>
      </c>
      <c r="L2820" s="61">
        <v>45951</v>
      </c>
      <c r="M2820" s="7" t="s">
        <v>111</v>
      </c>
      <c r="N2820" s="61">
        <v>45951</v>
      </c>
      <c r="O2820" s="58">
        <v>45953</v>
      </c>
      <c r="Q2820" s="245"/>
      <c r="R2820" s="126">
        <v>45957</v>
      </c>
    </row>
    <row r="2821" spans="2:18" ht="17.25" hidden="1" customHeight="1">
      <c r="B2821" s="23">
        <v>45950</v>
      </c>
      <c r="C2821" s="7">
        <v>2003814060</v>
      </c>
      <c r="E2821" s="20" t="s">
        <v>201</v>
      </c>
      <c r="F2821" s="7" t="s">
        <v>107</v>
      </c>
      <c r="G2821" s="7" t="s">
        <v>18</v>
      </c>
      <c r="H2821" s="7" t="s">
        <v>45</v>
      </c>
      <c r="I2821" s="20" t="s">
        <v>909</v>
      </c>
      <c r="J2821" s="20" t="s">
        <v>4070</v>
      </c>
      <c r="K2821" s="7" t="s">
        <v>119</v>
      </c>
      <c r="L2821" s="61">
        <v>45959</v>
      </c>
      <c r="M2821" s="7" t="s">
        <v>111</v>
      </c>
      <c r="N2821" s="24">
        <v>45960</v>
      </c>
      <c r="O2821" s="24">
        <v>45960</v>
      </c>
      <c r="Q2821" s="245"/>
      <c r="R2821" s="126">
        <v>45961</v>
      </c>
    </row>
    <row r="2822" spans="2:18" ht="17.25" hidden="1" customHeight="1">
      <c r="B2822" s="23">
        <v>45950</v>
      </c>
      <c r="C2822" s="7">
        <v>2003809887</v>
      </c>
      <c r="E2822" s="20" t="s">
        <v>566</v>
      </c>
      <c r="F2822" s="7" t="s">
        <v>107</v>
      </c>
      <c r="G2822" s="7" t="s">
        <v>18</v>
      </c>
      <c r="H2822" s="7" t="s">
        <v>45</v>
      </c>
      <c r="I2822" s="20" t="s">
        <v>4071</v>
      </c>
      <c r="J2822" s="20" t="s">
        <v>4072</v>
      </c>
      <c r="K2822" s="7" t="s">
        <v>110</v>
      </c>
      <c r="L2822" s="61">
        <v>45952</v>
      </c>
      <c r="M2822" s="7" t="s">
        <v>111</v>
      </c>
      <c r="N2822" s="61">
        <v>45952</v>
      </c>
      <c r="O2822" s="58">
        <v>45953</v>
      </c>
      <c r="Q2822" s="245"/>
      <c r="R2822" s="126">
        <v>45957</v>
      </c>
    </row>
    <row r="2823" spans="2:18" ht="17.25" hidden="1" customHeight="1">
      <c r="B2823" s="23">
        <v>45950</v>
      </c>
      <c r="C2823" s="7">
        <v>2003795207</v>
      </c>
      <c r="E2823" s="20" t="s">
        <v>1225</v>
      </c>
      <c r="F2823" s="7" t="s">
        <v>107</v>
      </c>
      <c r="G2823" s="7" t="s">
        <v>10</v>
      </c>
      <c r="H2823" s="7" t="s">
        <v>45</v>
      </c>
      <c r="I2823" s="20" t="s">
        <v>4073</v>
      </c>
      <c r="J2823" s="20" t="s">
        <v>4074</v>
      </c>
      <c r="K2823" s="7" t="s">
        <v>119</v>
      </c>
      <c r="L2823" s="61">
        <v>45952</v>
      </c>
      <c r="M2823" s="7" t="s">
        <v>111</v>
      </c>
      <c r="N2823" s="61">
        <v>45952</v>
      </c>
      <c r="O2823" s="58">
        <v>45953</v>
      </c>
      <c r="Q2823" s="245"/>
      <c r="R2823" s="126">
        <v>45957</v>
      </c>
    </row>
    <row r="2824" spans="2:18" ht="17.25" hidden="1" customHeight="1">
      <c r="B2824" s="23">
        <v>45950</v>
      </c>
      <c r="C2824" s="7">
        <v>2003752802</v>
      </c>
      <c r="E2824" s="20" t="s">
        <v>566</v>
      </c>
      <c r="F2824" s="7" t="s">
        <v>107</v>
      </c>
      <c r="G2824" s="7" t="s">
        <v>10</v>
      </c>
      <c r="H2824" s="7" t="s">
        <v>45</v>
      </c>
      <c r="I2824" s="20" t="s">
        <v>4075</v>
      </c>
      <c r="J2824" s="20" t="s">
        <v>4076</v>
      </c>
      <c r="K2824" s="7" t="s">
        <v>110</v>
      </c>
      <c r="L2824" s="61">
        <v>45952</v>
      </c>
      <c r="M2824" s="7" t="s">
        <v>111</v>
      </c>
      <c r="N2824" s="61">
        <v>45952</v>
      </c>
      <c r="O2824" s="58">
        <v>45953</v>
      </c>
      <c r="Q2824" s="245"/>
      <c r="R2824" s="126">
        <v>45957</v>
      </c>
    </row>
    <row r="2825" spans="2:18" ht="17.25" hidden="1" customHeight="1">
      <c r="B2825" s="23">
        <v>45950</v>
      </c>
      <c r="C2825" s="7">
        <v>2003822245</v>
      </c>
      <c r="E2825" s="20" t="s">
        <v>1225</v>
      </c>
      <c r="F2825" s="7" t="s">
        <v>107</v>
      </c>
      <c r="G2825" s="7" t="s">
        <v>10</v>
      </c>
      <c r="H2825" s="7" t="s">
        <v>45</v>
      </c>
      <c r="I2825" s="20" t="s">
        <v>4077</v>
      </c>
      <c r="J2825" s="20" t="s">
        <v>4078</v>
      </c>
      <c r="K2825" s="7" t="s">
        <v>110</v>
      </c>
      <c r="L2825" s="61">
        <v>45952</v>
      </c>
      <c r="M2825" s="7" t="s">
        <v>111</v>
      </c>
      <c r="N2825" s="61">
        <v>45952</v>
      </c>
      <c r="O2825" s="58">
        <v>45953</v>
      </c>
      <c r="Q2825" s="245"/>
      <c r="R2825" s="126">
        <v>45957</v>
      </c>
    </row>
    <row r="2826" spans="2:18" ht="17.25" hidden="1" customHeight="1">
      <c r="B2826" s="23">
        <v>45950</v>
      </c>
      <c r="C2826" s="7">
        <v>2003664908</v>
      </c>
      <c r="E2826" s="20" t="s">
        <v>949</v>
      </c>
      <c r="F2826" s="7" t="s">
        <v>107</v>
      </c>
      <c r="G2826" s="7" t="s">
        <v>21</v>
      </c>
      <c r="H2826" s="7" t="s">
        <v>45</v>
      </c>
      <c r="I2826" s="20" t="s">
        <v>4079</v>
      </c>
      <c r="J2826" s="20" t="s">
        <v>3150</v>
      </c>
      <c r="K2826" s="7" t="s">
        <v>110</v>
      </c>
      <c r="L2826" s="61">
        <v>45951</v>
      </c>
      <c r="M2826" s="7" t="s">
        <v>111</v>
      </c>
      <c r="N2826" s="61">
        <v>45951</v>
      </c>
      <c r="O2826" s="61">
        <v>45951</v>
      </c>
      <c r="Q2826" s="245"/>
      <c r="R2826" s="126">
        <v>45957</v>
      </c>
    </row>
    <row r="2827" spans="2:18" ht="17.25" hidden="1" customHeight="1">
      <c r="B2827" s="23">
        <v>45951</v>
      </c>
      <c r="C2827" s="7">
        <v>2003813069</v>
      </c>
      <c r="E2827" s="20" t="s">
        <v>201</v>
      </c>
      <c r="F2827" s="7" t="s">
        <v>107</v>
      </c>
      <c r="G2827" s="7" t="s">
        <v>10</v>
      </c>
      <c r="H2827" s="7" t="s">
        <v>45</v>
      </c>
      <c r="I2827" s="20" t="s">
        <v>4080</v>
      </c>
      <c r="J2827" s="20" t="s">
        <v>4081</v>
      </c>
      <c r="K2827" s="7" t="s">
        <v>119</v>
      </c>
      <c r="L2827" s="61">
        <v>45958</v>
      </c>
      <c r="M2827" s="7" t="s">
        <v>111</v>
      </c>
      <c r="N2827" s="24">
        <v>45959</v>
      </c>
      <c r="O2827" s="58">
        <v>45964</v>
      </c>
      <c r="Q2827" s="245"/>
      <c r="R2827" s="126">
        <v>45965</v>
      </c>
    </row>
    <row r="2828" spans="2:18" ht="17.25" hidden="1" customHeight="1">
      <c r="B2828" s="23">
        <v>45951</v>
      </c>
      <c r="C2828" s="7">
        <v>2003823082</v>
      </c>
      <c r="E2828" s="20" t="s">
        <v>1225</v>
      </c>
      <c r="F2828" s="7" t="s">
        <v>107</v>
      </c>
      <c r="G2828" s="7" t="s">
        <v>26</v>
      </c>
      <c r="H2828" s="7" t="s">
        <v>45</v>
      </c>
      <c r="I2828" s="20" t="s">
        <v>4082</v>
      </c>
      <c r="J2828" s="20" t="s">
        <v>4083</v>
      </c>
      <c r="K2828" s="7" t="s">
        <v>119</v>
      </c>
      <c r="L2828" s="61">
        <v>45953</v>
      </c>
      <c r="M2828" s="7" t="s">
        <v>111</v>
      </c>
      <c r="N2828" s="24">
        <v>45957</v>
      </c>
      <c r="O2828" s="58">
        <v>45957</v>
      </c>
      <c r="Q2828" s="245"/>
      <c r="R2828" s="126">
        <v>45957</v>
      </c>
    </row>
    <row r="2829" spans="2:18" ht="17.25" hidden="1" customHeight="1">
      <c r="B2829" s="23">
        <v>45951</v>
      </c>
      <c r="C2829" s="7">
        <v>2003823473</v>
      </c>
      <c r="E2829" s="20" t="s">
        <v>143</v>
      </c>
      <c r="F2829" s="7" t="s">
        <v>107</v>
      </c>
      <c r="G2829" s="7" t="s">
        <v>18</v>
      </c>
      <c r="H2829" s="7" t="s">
        <v>45</v>
      </c>
      <c r="I2829" s="20" t="s">
        <v>4084</v>
      </c>
      <c r="J2829" s="20" t="s">
        <v>4085</v>
      </c>
      <c r="K2829" s="7" t="s">
        <v>119</v>
      </c>
      <c r="L2829" s="61">
        <v>45953</v>
      </c>
      <c r="M2829" s="7" t="s">
        <v>111</v>
      </c>
      <c r="N2829" s="61">
        <v>45953</v>
      </c>
      <c r="O2829" s="58">
        <v>45960</v>
      </c>
      <c r="Q2829" s="245"/>
      <c r="R2829" s="126">
        <v>45961</v>
      </c>
    </row>
    <row r="2830" spans="2:18" ht="17.25" hidden="1" customHeight="1">
      <c r="B2830" s="23">
        <v>45951</v>
      </c>
      <c r="C2830" s="7">
        <v>2003800883</v>
      </c>
      <c r="E2830" s="20" t="s">
        <v>622</v>
      </c>
      <c r="F2830" s="7" t="s">
        <v>107</v>
      </c>
      <c r="G2830" s="7" t="s">
        <v>21</v>
      </c>
      <c r="H2830" s="7" t="s">
        <v>45</v>
      </c>
      <c r="I2830" s="20" t="s">
        <v>4086</v>
      </c>
      <c r="J2830" s="20" t="s">
        <v>3901</v>
      </c>
      <c r="K2830" s="7" t="s">
        <v>119</v>
      </c>
      <c r="L2830" s="61">
        <v>45952</v>
      </c>
      <c r="M2830" s="7" t="s">
        <v>111</v>
      </c>
      <c r="N2830" s="61">
        <v>45952</v>
      </c>
      <c r="O2830" s="61">
        <v>45952</v>
      </c>
      <c r="Q2830" s="245"/>
      <c r="R2830" s="126">
        <v>45957</v>
      </c>
    </row>
    <row r="2831" spans="2:18" ht="17.25" hidden="1" customHeight="1">
      <c r="B2831" s="23">
        <v>45952</v>
      </c>
      <c r="C2831" s="7">
        <v>2003751061</v>
      </c>
      <c r="E2831" s="20" t="s">
        <v>1225</v>
      </c>
      <c r="F2831" s="7" t="s">
        <v>107</v>
      </c>
      <c r="G2831" s="7" t="s">
        <v>26</v>
      </c>
      <c r="H2831" s="7" t="s">
        <v>45</v>
      </c>
      <c r="I2831" s="20" t="s">
        <v>4087</v>
      </c>
      <c r="J2831" s="20" t="s">
        <v>4088</v>
      </c>
      <c r="K2831" s="7" t="s">
        <v>119</v>
      </c>
      <c r="L2831" s="61">
        <v>45957</v>
      </c>
      <c r="M2831" s="7" t="s">
        <v>111</v>
      </c>
      <c r="Q2831" s="245"/>
      <c r="R2831" s="126">
        <v>45961</v>
      </c>
    </row>
    <row r="2832" spans="2:18" ht="17.25" hidden="1" customHeight="1">
      <c r="B2832" s="23">
        <v>45952</v>
      </c>
      <c r="C2832" s="7">
        <v>2003787460</v>
      </c>
      <c r="E2832" s="20" t="s">
        <v>112</v>
      </c>
      <c r="F2832" s="7" t="s">
        <v>107</v>
      </c>
      <c r="G2832" s="7" t="s">
        <v>15</v>
      </c>
      <c r="H2832" s="7" t="s">
        <v>45</v>
      </c>
      <c r="I2832" s="20" t="s">
        <v>4089</v>
      </c>
      <c r="J2832" s="20" t="s">
        <v>4090</v>
      </c>
      <c r="K2832" s="7" t="s">
        <v>119</v>
      </c>
      <c r="L2832" s="61">
        <v>45961</v>
      </c>
      <c r="M2832" s="7" t="s">
        <v>111</v>
      </c>
      <c r="N2832" s="24">
        <v>45964</v>
      </c>
      <c r="O2832" s="58">
        <v>45966</v>
      </c>
      <c r="Q2832" s="245"/>
      <c r="R2832" s="126">
        <v>45967</v>
      </c>
    </row>
    <row r="2833" spans="2:18" ht="17.25" hidden="1" customHeight="1">
      <c r="B2833" s="23">
        <v>45952</v>
      </c>
      <c r="C2833" s="7">
        <v>2003823082</v>
      </c>
      <c r="E2833" s="20" t="s">
        <v>1225</v>
      </c>
      <c r="F2833" s="7" t="s">
        <v>107</v>
      </c>
      <c r="G2833" s="7" t="s">
        <v>10</v>
      </c>
      <c r="H2833" s="7" t="s">
        <v>45</v>
      </c>
      <c r="I2833" s="20" t="s">
        <v>4091</v>
      </c>
      <c r="J2833" s="20" t="s">
        <v>4092</v>
      </c>
      <c r="K2833" s="7" t="s">
        <v>119</v>
      </c>
      <c r="L2833" s="61">
        <v>45958</v>
      </c>
      <c r="M2833" s="7" t="s">
        <v>111</v>
      </c>
      <c r="N2833" s="24">
        <v>45966</v>
      </c>
      <c r="O2833" s="24">
        <v>45966</v>
      </c>
      <c r="Q2833" s="245"/>
      <c r="R2833" s="126">
        <v>45971</v>
      </c>
    </row>
    <row r="2834" spans="2:18" ht="17.25" hidden="1" customHeight="1">
      <c r="B2834" s="23">
        <v>45952</v>
      </c>
      <c r="C2834" s="7">
        <v>2003805382</v>
      </c>
      <c r="E2834" s="20" t="s">
        <v>123</v>
      </c>
      <c r="F2834" s="7" t="s">
        <v>107</v>
      </c>
      <c r="G2834" s="7" t="s">
        <v>10</v>
      </c>
      <c r="H2834" s="7" t="s">
        <v>45</v>
      </c>
      <c r="I2834" s="20" t="s">
        <v>4080</v>
      </c>
      <c r="J2834" s="20" t="s">
        <v>4093</v>
      </c>
      <c r="K2834" s="7" t="s">
        <v>110</v>
      </c>
      <c r="L2834" s="61">
        <v>45954</v>
      </c>
      <c r="M2834" s="7" t="s">
        <v>111</v>
      </c>
      <c r="N2834" s="61">
        <v>45954</v>
      </c>
      <c r="O2834" s="61">
        <v>45954</v>
      </c>
      <c r="Q2834" s="245"/>
      <c r="R2834" s="126">
        <v>45957</v>
      </c>
    </row>
    <row r="2835" spans="2:18" ht="17.25" hidden="1" customHeight="1">
      <c r="B2835" s="23">
        <v>45952</v>
      </c>
      <c r="C2835" s="7">
        <v>2003801232</v>
      </c>
      <c r="E2835" s="20" t="s">
        <v>123</v>
      </c>
      <c r="F2835" s="7" t="s">
        <v>107</v>
      </c>
      <c r="G2835" s="7" t="s">
        <v>15</v>
      </c>
      <c r="H2835" s="7" t="s">
        <v>45</v>
      </c>
      <c r="I2835" s="20" t="s">
        <v>4094</v>
      </c>
      <c r="J2835" s="20" t="s">
        <v>4095</v>
      </c>
      <c r="K2835" s="7" t="s">
        <v>119</v>
      </c>
      <c r="L2835" s="61">
        <v>45958</v>
      </c>
      <c r="M2835" s="7" t="s">
        <v>111</v>
      </c>
      <c r="N2835" s="24">
        <v>45964</v>
      </c>
      <c r="O2835" s="24">
        <v>45964</v>
      </c>
      <c r="Q2835" s="245"/>
      <c r="R2835" s="126">
        <v>45965</v>
      </c>
    </row>
    <row r="2836" spans="2:18" ht="17.25" hidden="1" customHeight="1">
      <c r="B2836" s="23">
        <v>45952</v>
      </c>
      <c r="C2836" s="7">
        <v>2003824774</v>
      </c>
      <c r="E2836" s="20" t="s">
        <v>888</v>
      </c>
      <c r="F2836" s="7" t="s">
        <v>107</v>
      </c>
      <c r="G2836" s="7" t="s">
        <v>10</v>
      </c>
      <c r="H2836" s="7" t="s">
        <v>45</v>
      </c>
      <c r="I2836" s="20" t="s">
        <v>4096</v>
      </c>
      <c r="J2836" s="20" t="s">
        <v>4097</v>
      </c>
      <c r="K2836" s="7" t="s">
        <v>119</v>
      </c>
      <c r="L2836" s="61">
        <v>45954</v>
      </c>
      <c r="M2836" s="7" t="s">
        <v>111</v>
      </c>
      <c r="N2836" s="24">
        <v>45958</v>
      </c>
      <c r="O2836" s="58">
        <v>45960</v>
      </c>
      <c r="Q2836" s="245"/>
      <c r="R2836" s="126">
        <v>45961</v>
      </c>
    </row>
    <row r="2837" spans="2:18" ht="17.25" hidden="1" customHeight="1">
      <c r="B2837" s="23">
        <v>45953</v>
      </c>
      <c r="C2837" s="7">
        <v>2003814758</v>
      </c>
      <c r="E2837" s="20" t="s">
        <v>138</v>
      </c>
      <c r="F2837" s="7" t="s">
        <v>107</v>
      </c>
      <c r="G2837" s="7" t="s">
        <v>10</v>
      </c>
      <c r="H2837" s="7" t="s">
        <v>45</v>
      </c>
      <c r="I2837" s="20" t="s">
        <v>4098</v>
      </c>
      <c r="J2837" s="20" t="s">
        <v>4099</v>
      </c>
      <c r="K2837" s="7" t="s">
        <v>119</v>
      </c>
      <c r="L2837" s="61">
        <v>45960</v>
      </c>
      <c r="M2837" s="7" t="s">
        <v>111</v>
      </c>
      <c r="N2837" s="24">
        <v>45966</v>
      </c>
      <c r="O2837" s="24">
        <v>45966</v>
      </c>
      <c r="Q2837" s="245"/>
      <c r="R2837" s="126">
        <v>45967</v>
      </c>
    </row>
    <row r="2838" spans="2:18" ht="17.25" hidden="1" customHeight="1">
      <c r="B2838" s="23">
        <v>45953</v>
      </c>
      <c r="C2838" s="7">
        <v>2003824593</v>
      </c>
      <c r="E2838" s="20" t="s">
        <v>106</v>
      </c>
      <c r="F2838" s="7" t="s">
        <v>107</v>
      </c>
      <c r="G2838" s="7" t="s">
        <v>18</v>
      </c>
      <c r="H2838" s="7" t="s">
        <v>45</v>
      </c>
      <c r="I2838" s="20" t="s">
        <v>4100</v>
      </c>
      <c r="J2838" s="20" t="s">
        <v>4101</v>
      </c>
      <c r="K2838" s="7" t="s">
        <v>110</v>
      </c>
      <c r="L2838" s="61">
        <v>45957</v>
      </c>
      <c r="M2838" s="7" t="s">
        <v>111</v>
      </c>
      <c r="N2838" s="24">
        <v>45958</v>
      </c>
      <c r="O2838" s="58">
        <v>45966</v>
      </c>
      <c r="Q2838" s="245"/>
      <c r="R2838" s="126">
        <v>45967</v>
      </c>
    </row>
    <row r="2839" spans="2:18" ht="17.25" hidden="1" customHeight="1">
      <c r="B2839" s="23">
        <v>45953</v>
      </c>
      <c r="C2839" s="7">
        <v>2003781604</v>
      </c>
      <c r="E2839" s="20" t="s">
        <v>152</v>
      </c>
      <c r="F2839" s="7" t="s">
        <v>107</v>
      </c>
      <c r="G2839" s="7" t="s">
        <v>26</v>
      </c>
      <c r="H2839" s="7" t="s">
        <v>45</v>
      </c>
      <c r="I2839" s="20" t="s">
        <v>4102</v>
      </c>
      <c r="J2839" s="20" t="s">
        <v>4103</v>
      </c>
      <c r="K2839" s="7" t="s">
        <v>119</v>
      </c>
      <c r="L2839" s="61">
        <v>45964</v>
      </c>
      <c r="M2839" s="7" t="s">
        <v>111</v>
      </c>
      <c r="N2839" s="24">
        <v>45965</v>
      </c>
      <c r="O2839" s="58">
        <v>45965</v>
      </c>
      <c r="Q2839" s="245"/>
      <c r="R2839" s="126">
        <v>45965</v>
      </c>
    </row>
    <row r="2840" spans="2:18" ht="17.25" hidden="1" customHeight="1">
      <c r="B2840" s="23">
        <v>45953</v>
      </c>
      <c r="C2840" s="7">
        <v>2003789890</v>
      </c>
      <c r="E2840" s="20" t="s">
        <v>3189</v>
      </c>
      <c r="F2840" s="7" t="s">
        <v>107</v>
      </c>
      <c r="G2840" s="7" t="s">
        <v>21</v>
      </c>
      <c r="H2840" s="7" t="s">
        <v>45</v>
      </c>
      <c r="I2840" s="20" t="s">
        <v>4104</v>
      </c>
      <c r="J2840" s="20" t="s">
        <v>2063</v>
      </c>
      <c r="K2840" s="7" t="s">
        <v>119</v>
      </c>
      <c r="L2840" s="61">
        <v>45954</v>
      </c>
      <c r="M2840" s="7" t="s">
        <v>111</v>
      </c>
      <c r="N2840" s="24">
        <v>45958</v>
      </c>
      <c r="O2840" s="58">
        <v>45965</v>
      </c>
      <c r="Q2840" s="245"/>
      <c r="R2840" s="126">
        <v>45965</v>
      </c>
    </row>
    <row r="2841" spans="2:18" ht="17.25" hidden="1" customHeight="1">
      <c r="B2841" s="23">
        <v>45953</v>
      </c>
      <c r="C2841" s="7">
        <v>2003825326</v>
      </c>
      <c r="E2841" s="20" t="s">
        <v>408</v>
      </c>
      <c r="F2841" s="7" t="s">
        <v>107</v>
      </c>
      <c r="G2841" s="7" t="s">
        <v>18</v>
      </c>
      <c r="H2841" s="7" t="s">
        <v>45</v>
      </c>
      <c r="I2841" s="20" t="s">
        <v>4105</v>
      </c>
      <c r="J2841" s="20" t="s">
        <v>4106</v>
      </c>
      <c r="K2841" s="7" t="s">
        <v>110</v>
      </c>
      <c r="L2841" s="61">
        <v>45954</v>
      </c>
      <c r="M2841" s="7" t="s">
        <v>111</v>
      </c>
      <c r="N2841" s="61">
        <v>45954</v>
      </c>
      <c r="O2841" s="58">
        <v>45960</v>
      </c>
      <c r="Q2841" s="245"/>
      <c r="R2841" s="126">
        <v>45965</v>
      </c>
    </row>
    <row r="2842" spans="2:18" ht="17.25" hidden="1" customHeight="1">
      <c r="B2842" s="23">
        <v>45953</v>
      </c>
      <c r="C2842" s="7">
        <v>2003824978</v>
      </c>
      <c r="E2842" s="20" t="s">
        <v>201</v>
      </c>
      <c r="F2842" s="7" t="s">
        <v>107</v>
      </c>
      <c r="G2842" s="7" t="s">
        <v>18</v>
      </c>
      <c r="H2842" s="7" t="s">
        <v>45</v>
      </c>
      <c r="I2842" s="20" t="s">
        <v>4107</v>
      </c>
      <c r="J2842" s="20" t="s">
        <v>4108</v>
      </c>
      <c r="K2842" s="7" t="s">
        <v>119</v>
      </c>
      <c r="L2842" s="61">
        <v>45960</v>
      </c>
      <c r="M2842" s="7" t="s">
        <v>111</v>
      </c>
      <c r="N2842" s="61">
        <v>45961</v>
      </c>
      <c r="O2842" s="61">
        <v>45961</v>
      </c>
      <c r="Q2842" s="245"/>
      <c r="R2842" s="126">
        <v>45965</v>
      </c>
    </row>
    <row r="2843" spans="2:18" ht="17.25" hidden="1" customHeight="1">
      <c r="B2843" s="23">
        <v>45954</v>
      </c>
      <c r="C2843" s="7">
        <v>2003826106</v>
      </c>
      <c r="D2843" s="20">
        <v>336200</v>
      </c>
      <c r="E2843" s="27" t="s">
        <v>123</v>
      </c>
      <c r="F2843" s="7" t="s">
        <v>107</v>
      </c>
      <c r="G2843" s="7" t="s">
        <v>10</v>
      </c>
      <c r="H2843" s="7" t="s">
        <v>45</v>
      </c>
      <c r="I2843" s="20" t="s">
        <v>4109</v>
      </c>
      <c r="J2843" s="20" t="s">
        <v>4110</v>
      </c>
      <c r="K2843" s="7" t="s">
        <v>119</v>
      </c>
      <c r="L2843" s="61">
        <v>45959</v>
      </c>
      <c r="M2843" s="7" t="s">
        <v>111</v>
      </c>
      <c r="N2843" s="24">
        <v>45960</v>
      </c>
      <c r="O2843" s="58">
        <v>45964</v>
      </c>
      <c r="Q2843" s="245"/>
      <c r="R2843" s="126">
        <v>45965</v>
      </c>
    </row>
    <row r="2844" spans="2:18" ht="17.25" hidden="1" customHeight="1">
      <c r="B2844" s="23">
        <v>45954</v>
      </c>
      <c r="C2844" s="7">
        <v>2003793159</v>
      </c>
      <c r="D2844" s="20">
        <v>6440399</v>
      </c>
      <c r="E2844" s="27" t="s">
        <v>126</v>
      </c>
      <c r="F2844" s="7" t="s">
        <v>107</v>
      </c>
      <c r="G2844" s="7" t="s">
        <v>21</v>
      </c>
      <c r="H2844" s="7" t="s">
        <v>45</v>
      </c>
      <c r="I2844" s="20" t="s">
        <v>4111</v>
      </c>
      <c r="J2844" s="20" t="s">
        <v>3854</v>
      </c>
      <c r="K2844" s="7" t="s">
        <v>119</v>
      </c>
      <c r="L2844" s="61">
        <v>45958</v>
      </c>
      <c r="M2844" s="7" t="s">
        <v>111</v>
      </c>
      <c r="N2844" s="24">
        <v>45959</v>
      </c>
      <c r="O2844" s="58">
        <v>45964</v>
      </c>
      <c r="Q2844" s="245"/>
      <c r="R2844" s="126">
        <v>45965</v>
      </c>
    </row>
    <row r="2845" spans="2:18" ht="17.25" hidden="1" customHeight="1">
      <c r="B2845" s="23">
        <v>45954</v>
      </c>
      <c r="C2845" s="7">
        <v>2003773216</v>
      </c>
      <c r="D2845" s="20">
        <v>6440594</v>
      </c>
      <c r="E2845" s="27" t="s">
        <v>143</v>
      </c>
      <c r="F2845" s="7" t="s">
        <v>113</v>
      </c>
      <c r="G2845" s="7" t="s">
        <v>70</v>
      </c>
      <c r="H2845" s="7" t="s">
        <v>47</v>
      </c>
      <c r="I2845" s="20" t="s">
        <v>938</v>
      </c>
      <c r="J2845" s="20">
        <v>1793046</v>
      </c>
      <c r="K2845" s="7" t="s">
        <v>160</v>
      </c>
      <c r="R2845" s="126">
        <v>45971</v>
      </c>
    </row>
    <row r="2846" spans="2:18" ht="17.25" hidden="1" customHeight="1">
      <c r="B2846" s="23">
        <v>45954</v>
      </c>
      <c r="C2846" s="7">
        <v>2003791751</v>
      </c>
      <c r="D2846" s="20">
        <v>6440844</v>
      </c>
      <c r="E2846" s="27" t="s">
        <v>3586</v>
      </c>
      <c r="F2846" s="7" t="s">
        <v>107</v>
      </c>
      <c r="G2846" s="7" t="s">
        <v>15</v>
      </c>
      <c r="H2846" s="7" t="s">
        <v>45</v>
      </c>
      <c r="I2846" s="20" t="s">
        <v>4112</v>
      </c>
      <c r="J2846" s="20" t="s">
        <v>4113</v>
      </c>
      <c r="K2846" s="7" t="s">
        <v>119</v>
      </c>
      <c r="L2846" s="61">
        <v>45960</v>
      </c>
      <c r="M2846" s="7" t="s">
        <v>111</v>
      </c>
      <c r="N2846" s="61">
        <v>45961</v>
      </c>
      <c r="O2846" s="58">
        <v>45964</v>
      </c>
      <c r="Q2846" s="245"/>
      <c r="R2846" s="126">
        <v>45965</v>
      </c>
    </row>
    <row r="2847" spans="2:18" ht="17.25" hidden="1" customHeight="1">
      <c r="B2847" s="23">
        <v>45954</v>
      </c>
      <c r="C2847" s="7">
        <v>2003711134</v>
      </c>
      <c r="D2847" s="20">
        <v>6441009</v>
      </c>
      <c r="E2847" s="27" t="s">
        <v>566</v>
      </c>
      <c r="F2847" s="7" t="s">
        <v>107</v>
      </c>
      <c r="G2847" s="7" t="s">
        <v>21</v>
      </c>
      <c r="H2847" s="7" t="s">
        <v>45</v>
      </c>
      <c r="I2847" s="20" t="s">
        <v>4114</v>
      </c>
      <c r="J2847" s="20" t="s">
        <v>3303</v>
      </c>
      <c r="K2847" s="7" t="s">
        <v>111</v>
      </c>
      <c r="L2847" s="61">
        <v>45953</v>
      </c>
      <c r="M2847" s="7" t="s">
        <v>111</v>
      </c>
      <c r="N2847" s="24">
        <v>45953</v>
      </c>
      <c r="O2847" s="58">
        <v>45953</v>
      </c>
      <c r="Q2847" s="245"/>
      <c r="R2847" s="126">
        <v>45957</v>
      </c>
    </row>
    <row r="2848" spans="2:18" ht="17.25" hidden="1" customHeight="1">
      <c r="B2848" s="23">
        <v>45954</v>
      </c>
      <c r="C2848" s="7">
        <v>2003668658</v>
      </c>
      <c r="D2848" s="20">
        <v>6441060</v>
      </c>
      <c r="E2848" s="27" t="s">
        <v>123</v>
      </c>
      <c r="F2848" s="7" t="s">
        <v>107</v>
      </c>
      <c r="G2848" s="7" t="s">
        <v>26</v>
      </c>
      <c r="H2848" s="7" t="s">
        <v>45</v>
      </c>
      <c r="I2848" s="20" t="s">
        <v>4115</v>
      </c>
      <c r="J2848" s="20" t="s">
        <v>4116</v>
      </c>
      <c r="K2848" s="7" t="s">
        <v>119</v>
      </c>
      <c r="L2848" s="61">
        <v>45957</v>
      </c>
      <c r="M2848" s="7" t="s">
        <v>111</v>
      </c>
      <c r="N2848" s="24">
        <v>45958</v>
      </c>
      <c r="Q2848" s="245"/>
      <c r="R2848" s="126">
        <v>45961</v>
      </c>
    </row>
    <row r="2849" spans="2:18" ht="17.25" hidden="1" customHeight="1">
      <c r="B2849" s="23">
        <v>45954</v>
      </c>
      <c r="C2849" s="7">
        <v>2003807432</v>
      </c>
      <c r="D2849" s="20">
        <v>6441104</v>
      </c>
      <c r="E2849" s="27" t="s">
        <v>126</v>
      </c>
      <c r="F2849" s="7" t="s">
        <v>107</v>
      </c>
      <c r="G2849" s="7" t="s">
        <v>10</v>
      </c>
      <c r="H2849" s="7" t="s">
        <v>45</v>
      </c>
      <c r="I2849" s="20" t="s">
        <v>702</v>
      </c>
      <c r="J2849" s="20" t="s">
        <v>4117</v>
      </c>
      <c r="K2849" s="7" t="s">
        <v>110</v>
      </c>
      <c r="L2849" s="61">
        <v>45957</v>
      </c>
      <c r="M2849" s="7" t="s">
        <v>111</v>
      </c>
      <c r="N2849" s="24">
        <v>45959</v>
      </c>
      <c r="O2849" s="58">
        <v>45964</v>
      </c>
      <c r="Q2849" s="245"/>
      <c r="R2849" s="126">
        <v>45965</v>
      </c>
    </row>
    <row r="2850" spans="2:18" ht="17.25" hidden="1" customHeight="1">
      <c r="B2850" s="23">
        <v>45954</v>
      </c>
      <c r="C2850" s="7">
        <v>2003825882</v>
      </c>
      <c r="D2850" s="20">
        <v>6441220</v>
      </c>
      <c r="E2850" s="27" t="s">
        <v>1225</v>
      </c>
      <c r="F2850" s="7" t="s">
        <v>107</v>
      </c>
      <c r="G2850" s="7" t="s">
        <v>18</v>
      </c>
      <c r="H2850" s="7" t="s">
        <v>45</v>
      </c>
      <c r="I2850" s="20" t="s">
        <v>524</v>
      </c>
      <c r="J2850" s="20" t="s">
        <v>4118</v>
      </c>
      <c r="K2850" s="7" t="s">
        <v>110</v>
      </c>
      <c r="L2850" s="61">
        <v>45959</v>
      </c>
      <c r="M2850" s="7" t="s">
        <v>111</v>
      </c>
      <c r="N2850" s="61">
        <v>45960</v>
      </c>
      <c r="O2850" s="58">
        <v>45964</v>
      </c>
      <c r="Q2850" s="245"/>
      <c r="R2850" s="126">
        <v>45965</v>
      </c>
    </row>
    <row r="2851" spans="2:18" ht="17.25" hidden="1" customHeight="1">
      <c r="B2851" s="23">
        <v>45954</v>
      </c>
      <c r="C2851" s="7">
        <v>2003825249</v>
      </c>
      <c r="D2851" s="20">
        <v>6441370</v>
      </c>
      <c r="E2851" s="27" t="s">
        <v>123</v>
      </c>
      <c r="F2851" s="7" t="s">
        <v>107</v>
      </c>
      <c r="G2851" s="7" t="s">
        <v>18</v>
      </c>
      <c r="H2851" s="7" t="s">
        <v>45</v>
      </c>
      <c r="I2851" s="20" t="s">
        <v>4119</v>
      </c>
      <c r="J2851" s="20" t="s">
        <v>4120</v>
      </c>
      <c r="K2851" s="7" t="s">
        <v>119</v>
      </c>
      <c r="L2851" s="61">
        <v>45959</v>
      </c>
      <c r="M2851" s="7" t="s">
        <v>111</v>
      </c>
      <c r="N2851" s="24">
        <v>45960</v>
      </c>
      <c r="O2851" s="24">
        <v>45960</v>
      </c>
      <c r="Q2851" s="245"/>
      <c r="R2851" s="126">
        <v>45961</v>
      </c>
    </row>
    <row r="2852" spans="2:18" ht="17.25" hidden="1" customHeight="1">
      <c r="B2852" s="23">
        <v>45958</v>
      </c>
      <c r="C2852" s="7">
        <v>2003827994</v>
      </c>
      <c r="D2852" s="20">
        <v>339348</v>
      </c>
      <c r="E2852" s="27" t="s">
        <v>126</v>
      </c>
      <c r="F2852" s="7" t="s">
        <v>107</v>
      </c>
      <c r="G2852" s="7" t="s">
        <v>10</v>
      </c>
      <c r="H2852" s="7" t="s">
        <v>45</v>
      </c>
      <c r="I2852" s="20" t="s">
        <v>4121</v>
      </c>
      <c r="J2852" s="20" t="s">
        <v>4122</v>
      </c>
      <c r="K2852" s="7" t="s">
        <v>119</v>
      </c>
      <c r="L2852" s="61">
        <v>45960</v>
      </c>
      <c r="M2852" s="7" t="s">
        <v>111</v>
      </c>
      <c r="N2852" s="61">
        <v>45961</v>
      </c>
      <c r="O2852" s="58">
        <v>45964</v>
      </c>
      <c r="Q2852" s="245"/>
      <c r="R2852" s="126">
        <v>45965</v>
      </c>
    </row>
    <row r="2853" spans="2:18" ht="17.25" hidden="1" customHeight="1">
      <c r="B2853" s="23">
        <v>45958</v>
      </c>
      <c r="C2853" s="7">
        <v>2003825675</v>
      </c>
      <c r="D2853" s="20">
        <v>338928</v>
      </c>
      <c r="E2853" s="27" t="s">
        <v>622</v>
      </c>
      <c r="F2853" s="7" t="s">
        <v>107</v>
      </c>
      <c r="G2853" s="7" t="s">
        <v>10</v>
      </c>
      <c r="H2853" s="7" t="s">
        <v>45</v>
      </c>
      <c r="I2853" s="20" t="s">
        <v>4123</v>
      </c>
      <c r="J2853" s="20" t="s">
        <v>4124</v>
      </c>
      <c r="K2853" s="7" t="s">
        <v>110</v>
      </c>
      <c r="L2853" s="61">
        <v>45965</v>
      </c>
      <c r="M2853" s="7" t="s">
        <v>111</v>
      </c>
      <c r="N2853" s="61">
        <v>45965</v>
      </c>
      <c r="O2853" s="61">
        <v>45965</v>
      </c>
      <c r="Q2853" s="245"/>
      <c r="R2853" s="126">
        <v>45971</v>
      </c>
    </row>
    <row r="2854" spans="2:18" ht="17.25" hidden="1" customHeight="1">
      <c r="B2854" s="23">
        <v>45958</v>
      </c>
      <c r="C2854" s="7">
        <v>2003737590</v>
      </c>
      <c r="D2854" s="20">
        <v>338570</v>
      </c>
      <c r="E2854" s="27" t="s">
        <v>949</v>
      </c>
      <c r="F2854" s="7" t="s">
        <v>107</v>
      </c>
      <c r="G2854" s="7" t="s">
        <v>10</v>
      </c>
      <c r="H2854" s="7" t="s">
        <v>45</v>
      </c>
      <c r="I2854" s="20" t="s">
        <v>909</v>
      </c>
      <c r="J2854" s="20" t="s">
        <v>4070</v>
      </c>
      <c r="K2854" s="7" t="s">
        <v>119</v>
      </c>
      <c r="L2854" s="61">
        <v>45959</v>
      </c>
      <c r="M2854" s="7" t="s">
        <v>111</v>
      </c>
      <c r="N2854" s="24">
        <v>45960</v>
      </c>
      <c r="O2854" s="24">
        <v>45960</v>
      </c>
      <c r="Q2854" s="245"/>
      <c r="R2854" s="126">
        <v>45961</v>
      </c>
    </row>
    <row r="2855" spans="2:18" ht="17.25" hidden="1" customHeight="1">
      <c r="B2855" s="23">
        <v>45958</v>
      </c>
      <c r="C2855" s="7">
        <v>2003709702</v>
      </c>
      <c r="D2855" s="20">
        <v>338567</v>
      </c>
      <c r="E2855" s="27" t="s">
        <v>949</v>
      </c>
      <c r="F2855" s="7" t="s">
        <v>107</v>
      </c>
      <c r="G2855" s="7" t="s">
        <v>10</v>
      </c>
      <c r="H2855" s="7" t="s">
        <v>45</v>
      </c>
      <c r="I2855" s="20" t="s">
        <v>909</v>
      </c>
      <c r="J2855" s="20" t="s">
        <v>4070</v>
      </c>
      <c r="K2855" s="7" t="s">
        <v>119</v>
      </c>
      <c r="L2855" s="61">
        <v>45959</v>
      </c>
      <c r="M2855" s="7" t="s">
        <v>111</v>
      </c>
      <c r="N2855" s="24">
        <v>45960</v>
      </c>
      <c r="O2855" s="24">
        <v>45960</v>
      </c>
      <c r="Q2855" s="245"/>
      <c r="R2855" s="126">
        <v>45961</v>
      </c>
    </row>
    <row r="2856" spans="2:18" ht="17.25" hidden="1" customHeight="1">
      <c r="B2856" s="23">
        <v>45958</v>
      </c>
      <c r="C2856" s="7">
        <v>2003826363</v>
      </c>
      <c r="D2856" s="20">
        <v>338233</v>
      </c>
      <c r="E2856" s="27" t="s">
        <v>408</v>
      </c>
      <c r="F2856" s="7" t="s">
        <v>107</v>
      </c>
      <c r="G2856" s="7" t="s">
        <v>26</v>
      </c>
      <c r="H2856" s="7" t="s">
        <v>45</v>
      </c>
      <c r="I2856" s="20" t="s">
        <v>1974</v>
      </c>
      <c r="J2856" s="20" t="s">
        <v>4125</v>
      </c>
      <c r="K2856" s="7" t="s">
        <v>119</v>
      </c>
      <c r="L2856" s="61">
        <v>45964</v>
      </c>
      <c r="M2856" s="7" t="s">
        <v>111</v>
      </c>
      <c r="N2856" s="24">
        <v>45965</v>
      </c>
      <c r="O2856" s="58">
        <v>45965</v>
      </c>
      <c r="R2856" s="126">
        <v>45965</v>
      </c>
    </row>
    <row r="2857" spans="2:18" ht="17.25" hidden="1" customHeight="1">
      <c r="B2857" s="23">
        <v>45958</v>
      </c>
      <c r="C2857" s="7">
        <v>2003762084</v>
      </c>
      <c r="D2857" s="20">
        <v>6443048</v>
      </c>
      <c r="E2857" s="27" t="s">
        <v>191</v>
      </c>
      <c r="F2857" s="7" t="s">
        <v>107</v>
      </c>
      <c r="G2857" s="7" t="s">
        <v>10</v>
      </c>
      <c r="H2857" s="7" t="s">
        <v>45</v>
      </c>
      <c r="I2857" s="20" t="s">
        <v>2524</v>
      </c>
      <c r="J2857" s="20" t="s">
        <v>4126</v>
      </c>
      <c r="K2857" s="7" t="s">
        <v>119</v>
      </c>
      <c r="L2857" s="61">
        <v>45960</v>
      </c>
      <c r="M2857" s="7" t="s">
        <v>111</v>
      </c>
      <c r="N2857" s="61">
        <v>45961</v>
      </c>
      <c r="O2857" s="61">
        <v>45961</v>
      </c>
      <c r="P2857" s="61"/>
      <c r="R2857" s="126">
        <v>45965</v>
      </c>
    </row>
    <row r="2858" spans="2:18" ht="17.25" hidden="1" customHeight="1">
      <c r="B2858" s="23">
        <v>45958</v>
      </c>
      <c r="C2858" s="7">
        <v>2003699171</v>
      </c>
      <c r="D2858" s="20">
        <v>6443510</v>
      </c>
      <c r="E2858" s="27" t="s">
        <v>132</v>
      </c>
      <c r="F2858" s="7" t="s">
        <v>107</v>
      </c>
      <c r="G2858" s="7" t="s">
        <v>18</v>
      </c>
      <c r="H2858" s="7" t="s">
        <v>45</v>
      </c>
      <c r="I2858" s="20" t="s">
        <v>4127</v>
      </c>
      <c r="J2858" s="20" t="s">
        <v>1111</v>
      </c>
      <c r="K2858" s="7" t="s">
        <v>119</v>
      </c>
      <c r="L2858" s="61">
        <v>45961</v>
      </c>
      <c r="M2858" s="7" t="s">
        <v>111</v>
      </c>
      <c r="N2858" s="24">
        <v>45964</v>
      </c>
      <c r="O2858" s="58">
        <v>45966</v>
      </c>
      <c r="R2858" s="126">
        <v>45967</v>
      </c>
    </row>
    <row r="2859" spans="2:18" ht="17.25" hidden="1" customHeight="1">
      <c r="B2859" s="23">
        <v>45958</v>
      </c>
      <c r="C2859" s="7">
        <v>2003750468</v>
      </c>
      <c r="D2859" s="20">
        <v>6443543</v>
      </c>
      <c r="E2859" s="27" t="s">
        <v>566</v>
      </c>
      <c r="F2859" s="7" t="s">
        <v>107</v>
      </c>
      <c r="G2859" s="7" t="s">
        <v>10</v>
      </c>
      <c r="H2859" s="7" t="s">
        <v>45</v>
      </c>
      <c r="I2859" s="20" t="s">
        <v>4128</v>
      </c>
      <c r="J2859" s="20" t="s">
        <v>4129</v>
      </c>
      <c r="K2859" s="7" t="s">
        <v>119</v>
      </c>
      <c r="L2859" s="61">
        <v>45960</v>
      </c>
      <c r="M2859" s="7" t="s">
        <v>111</v>
      </c>
      <c r="N2859" s="61">
        <v>45961</v>
      </c>
      <c r="O2859" s="58">
        <v>45964</v>
      </c>
      <c r="R2859" s="126">
        <v>45965</v>
      </c>
    </row>
    <row r="2860" spans="2:18" ht="17.25" hidden="1" customHeight="1">
      <c r="B2860" s="23">
        <v>45958</v>
      </c>
      <c r="C2860" s="7">
        <v>2003827092</v>
      </c>
      <c r="D2860" s="20">
        <v>6443575</v>
      </c>
      <c r="E2860" s="27" t="s">
        <v>566</v>
      </c>
      <c r="F2860" s="7" t="s">
        <v>107</v>
      </c>
      <c r="G2860" s="7" t="s">
        <v>10</v>
      </c>
      <c r="H2860" s="7" t="s">
        <v>45</v>
      </c>
      <c r="I2860" s="20" t="s">
        <v>4130</v>
      </c>
      <c r="J2860" s="20" t="s">
        <v>4131</v>
      </c>
      <c r="K2860" s="7" t="s">
        <v>110</v>
      </c>
      <c r="L2860" s="61">
        <v>45965</v>
      </c>
      <c r="M2860" s="7" t="s">
        <v>111</v>
      </c>
      <c r="N2860" s="61">
        <v>45965</v>
      </c>
      <c r="O2860" s="61">
        <v>45966</v>
      </c>
      <c r="Q2860" s="245"/>
      <c r="R2860" s="126">
        <v>45971</v>
      </c>
    </row>
    <row r="2861" spans="2:18" ht="17.25" hidden="1" customHeight="1">
      <c r="B2861" s="23">
        <v>45958</v>
      </c>
      <c r="C2861" s="7">
        <v>2003822807</v>
      </c>
      <c r="D2861" s="20">
        <v>6443579</v>
      </c>
      <c r="E2861" s="27" t="s">
        <v>1225</v>
      </c>
      <c r="F2861" s="7" t="s">
        <v>107</v>
      </c>
      <c r="G2861" s="7" t="s">
        <v>10</v>
      </c>
      <c r="H2861" s="7" t="s">
        <v>45</v>
      </c>
      <c r="I2861" s="20" t="s">
        <v>1200</v>
      </c>
      <c r="J2861" s="20" t="s">
        <v>2185</v>
      </c>
      <c r="K2861" s="7" t="s">
        <v>110</v>
      </c>
      <c r="L2861" s="61">
        <v>45959</v>
      </c>
      <c r="M2861" s="7" t="s">
        <v>111</v>
      </c>
      <c r="N2861" s="61">
        <v>45960</v>
      </c>
      <c r="O2861" s="58">
        <v>45964</v>
      </c>
      <c r="Q2861" s="245"/>
      <c r="R2861" s="126">
        <v>45965</v>
      </c>
    </row>
    <row r="2862" spans="2:18" ht="17.25" hidden="1" customHeight="1">
      <c r="B2862" s="23">
        <v>45958</v>
      </c>
      <c r="C2862" s="7">
        <v>2003712192</v>
      </c>
      <c r="D2862" s="20">
        <v>6443980</v>
      </c>
      <c r="E2862" s="27" t="s">
        <v>622</v>
      </c>
      <c r="F2862" s="7" t="s">
        <v>107</v>
      </c>
      <c r="G2862" s="7" t="s">
        <v>21</v>
      </c>
      <c r="H2862" s="7" t="s">
        <v>45</v>
      </c>
      <c r="I2862" s="20" t="s">
        <v>4132</v>
      </c>
      <c r="J2862" s="20" t="s">
        <v>2909</v>
      </c>
      <c r="K2862" s="7" t="s">
        <v>119</v>
      </c>
      <c r="L2862" s="61">
        <v>45959</v>
      </c>
      <c r="M2862" s="7" t="s">
        <v>111</v>
      </c>
      <c r="N2862" s="24">
        <v>45960</v>
      </c>
      <c r="O2862" s="24">
        <v>45960</v>
      </c>
      <c r="R2862" s="126">
        <v>45961</v>
      </c>
    </row>
    <row r="2863" spans="2:18" ht="17.25" hidden="1" customHeight="1">
      <c r="B2863" s="23">
        <v>45959</v>
      </c>
      <c r="C2863" s="7">
        <v>2003831592</v>
      </c>
      <c r="D2863" s="20">
        <v>341776</v>
      </c>
      <c r="E2863" s="27" t="s">
        <v>191</v>
      </c>
      <c r="F2863" s="7" t="s">
        <v>107</v>
      </c>
      <c r="G2863" s="7" t="s">
        <v>18</v>
      </c>
      <c r="H2863" s="7" t="s">
        <v>45</v>
      </c>
      <c r="I2863" s="20" t="s">
        <v>1904</v>
      </c>
      <c r="J2863" s="20" t="s">
        <v>4133</v>
      </c>
      <c r="K2863" s="7" t="s">
        <v>110</v>
      </c>
      <c r="L2863" s="61">
        <v>45964</v>
      </c>
      <c r="M2863" s="7" t="s">
        <v>111</v>
      </c>
      <c r="N2863" s="61">
        <v>45964</v>
      </c>
      <c r="O2863" s="58">
        <v>45966</v>
      </c>
      <c r="Q2863" s="245"/>
      <c r="R2863" s="126">
        <v>45967</v>
      </c>
    </row>
    <row r="2864" spans="2:18" ht="17.25" hidden="1" customHeight="1">
      <c r="B2864" s="23">
        <v>45959</v>
      </c>
      <c r="C2864" s="7">
        <v>2003758445</v>
      </c>
      <c r="D2864" s="20">
        <v>341446</v>
      </c>
      <c r="E2864" s="27" t="s">
        <v>129</v>
      </c>
      <c r="F2864" s="7" t="s">
        <v>107</v>
      </c>
      <c r="G2864" s="7" t="s">
        <v>10</v>
      </c>
      <c r="H2864" s="7" t="s">
        <v>45</v>
      </c>
      <c r="I2864" s="20" t="s">
        <v>3482</v>
      </c>
      <c r="J2864" s="20" t="s">
        <v>3483</v>
      </c>
      <c r="K2864" s="7" t="s">
        <v>110</v>
      </c>
      <c r="L2864" s="61">
        <v>45965</v>
      </c>
      <c r="M2864" s="7" t="s">
        <v>111</v>
      </c>
      <c r="N2864" s="61">
        <v>45965</v>
      </c>
      <c r="O2864" s="61">
        <v>45965</v>
      </c>
      <c r="Q2864" s="245"/>
      <c r="R2864" s="126">
        <v>45961</v>
      </c>
    </row>
    <row r="2865" spans="2:18" ht="17.25" hidden="1" customHeight="1">
      <c r="B2865" s="23">
        <v>45959</v>
      </c>
      <c r="C2865" s="7">
        <v>2003813435</v>
      </c>
      <c r="D2865" s="20">
        <v>341276</v>
      </c>
      <c r="E2865" s="27" t="s">
        <v>126</v>
      </c>
      <c r="F2865" s="7" t="s">
        <v>107</v>
      </c>
      <c r="G2865" s="7" t="s">
        <v>26</v>
      </c>
      <c r="H2865" s="7" t="s">
        <v>45</v>
      </c>
      <c r="I2865" s="20" t="s">
        <v>1841</v>
      </c>
      <c r="J2865" s="20" t="s">
        <v>4134</v>
      </c>
      <c r="K2865" s="7" t="s">
        <v>110</v>
      </c>
      <c r="L2865" s="61">
        <v>45966</v>
      </c>
      <c r="M2865" s="7" t="s">
        <v>111</v>
      </c>
      <c r="N2865" s="24">
        <v>45971</v>
      </c>
      <c r="O2865" s="58">
        <v>45971</v>
      </c>
      <c r="Q2865" s="245"/>
      <c r="R2865" s="126">
        <v>45971</v>
      </c>
    </row>
    <row r="2866" spans="2:18" ht="17.25" hidden="1" customHeight="1">
      <c r="B2866" s="23">
        <v>45959</v>
      </c>
      <c r="C2866" s="7">
        <v>2003724807</v>
      </c>
      <c r="D2866" s="20">
        <v>341025</v>
      </c>
      <c r="E2866" s="27" t="s">
        <v>258</v>
      </c>
      <c r="F2866" s="7" t="s">
        <v>107</v>
      </c>
      <c r="G2866" s="7" t="s">
        <v>26</v>
      </c>
      <c r="H2866" s="7" t="s">
        <v>45</v>
      </c>
      <c r="I2866" s="20" t="s">
        <v>3031</v>
      </c>
      <c r="J2866" s="20" t="s">
        <v>3032</v>
      </c>
      <c r="K2866" s="7" t="s">
        <v>119</v>
      </c>
      <c r="L2866" s="61">
        <v>45960</v>
      </c>
      <c r="M2866" s="7" t="s">
        <v>111</v>
      </c>
      <c r="N2866" s="24">
        <v>45965</v>
      </c>
      <c r="O2866" s="58">
        <v>45965</v>
      </c>
      <c r="R2866" s="126">
        <v>45965</v>
      </c>
    </row>
    <row r="2867" spans="2:18" ht="17.25" hidden="1" customHeight="1">
      <c r="B2867" s="23">
        <v>45959</v>
      </c>
      <c r="C2867" s="7">
        <v>2003828758</v>
      </c>
      <c r="D2867" s="20">
        <v>340885</v>
      </c>
      <c r="E2867" s="27" t="s">
        <v>1225</v>
      </c>
      <c r="F2867" s="7" t="s">
        <v>107</v>
      </c>
      <c r="G2867" s="7" t="s">
        <v>10</v>
      </c>
      <c r="H2867" s="7" t="s">
        <v>45</v>
      </c>
      <c r="I2867" s="20" t="s">
        <v>4135</v>
      </c>
      <c r="J2867" s="20" t="s">
        <v>4136</v>
      </c>
      <c r="K2867" s="7" t="s">
        <v>119</v>
      </c>
      <c r="L2867" s="61">
        <v>45965</v>
      </c>
      <c r="M2867" s="7" t="s">
        <v>111</v>
      </c>
      <c r="N2867" s="24">
        <v>45980</v>
      </c>
      <c r="O2867" s="24">
        <v>45980</v>
      </c>
      <c r="R2867" s="126">
        <v>45983</v>
      </c>
    </row>
    <row r="2868" spans="2:18" ht="17.25" hidden="1" customHeight="1">
      <c r="B2868" s="23">
        <v>45959</v>
      </c>
      <c r="C2868" s="7">
        <v>2003829825</v>
      </c>
      <c r="D2868" s="20">
        <v>340831</v>
      </c>
      <c r="E2868" s="27" t="s">
        <v>4137</v>
      </c>
      <c r="F2868" s="7" t="s">
        <v>107</v>
      </c>
      <c r="G2868" s="7" t="s">
        <v>10</v>
      </c>
      <c r="H2868" s="7" t="s">
        <v>45</v>
      </c>
      <c r="I2868" s="20" t="s">
        <v>714</v>
      </c>
      <c r="J2868" s="20" t="s">
        <v>4138</v>
      </c>
      <c r="K2868" s="7" t="s">
        <v>119</v>
      </c>
      <c r="L2868" s="61">
        <v>45965</v>
      </c>
      <c r="M2868" s="7" t="s">
        <v>111</v>
      </c>
      <c r="N2868" s="61">
        <v>45965</v>
      </c>
      <c r="O2868" s="61">
        <v>45966</v>
      </c>
      <c r="R2868" s="126">
        <v>45971</v>
      </c>
    </row>
    <row r="2869" spans="2:18" ht="17.25" hidden="1" customHeight="1">
      <c r="B2869" s="23">
        <v>45959</v>
      </c>
      <c r="C2869" s="7">
        <v>2003825352</v>
      </c>
      <c r="D2869" s="20">
        <v>340453</v>
      </c>
      <c r="E2869" s="27" t="s">
        <v>123</v>
      </c>
      <c r="F2869" s="7" t="s">
        <v>107</v>
      </c>
      <c r="G2869" s="7" t="s">
        <v>10</v>
      </c>
      <c r="H2869" s="7" t="s">
        <v>45</v>
      </c>
      <c r="I2869" s="20" t="s">
        <v>419</v>
      </c>
      <c r="J2869" s="20" t="s">
        <v>4139</v>
      </c>
      <c r="K2869" s="7" t="s">
        <v>119</v>
      </c>
      <c r="L2869" s="61">
        <v>45961</v>
      </c>
      <c r="M2869" s="7" t="s">
        <v>111</v>
      </c>
      <c r="N2869" s="61">
        <v>45961</v>
      </c>
      <c r="O2869" s="58">
        <v>45964</v>
      </c>
      <c r="R2869" s="126">
        <v>45965</v>
      </c>
    </row>
    <row r="2870" spans="2:18" ht="17.25" hidden="1" customHeight="1">
      <c r="B2870" s="23">
        <v>45959</v>
      </c>
      <c r="C2870" s="7">
        <v>2003807434</v>
      </c>
      <c r="D2870" s="20">
        <v>340423</v>
      </c>
      <c r="E2870" s="27" t="s">
        <v>157</v>
      </c>
      <c r="F2870" s="7" t="s">
        <v>107</v>
      </c>
      <c r="G2870" s="7" t="s">
        <v>15</v>
      </c>
      <c r="H2870" s="7" t="s">
        <v>45</v>
      </c>
      <c r="I2870" s="236" t="s">
        <v>1319</v>
      </c>
      <c r="J2870" s="20" t="s">
        <v>4034</v>
      </c>
      <c r="K2870" s="7" t="s">
        <v>119</v>
      </c>
      <c r="L2870" s="61">
        <v>45959</v>
      </c>
      <c r="M2870" s="7" t="s">
        <v>111</v>
      </c>
      <c r="N2870" s="24">
        <v>45960</v>
      </c>
      <c r="O2870" s="58">
        <v>45964</v>
      </c>
      <c r="R2870" s="126">
        <v>45965</v>
      </c>
    </row>
    <row r="2871" spans="2:18" ht="17.25" hidden="1" customHeight="1">
      <c r="B2871" s="23">
        <v>45959</v>
      </c>
      <c r="C2871" s="7">
        <v>2003733103</v>
      </c>
      <c r="D2871" s="20">
        <v>6465221</v>
      </c>
      <c r="E2871" s="27" t="s">
        <v>152</v>
      </c>
      <c r="F2871" s="7" t="s">
        <v>107</v>
      </c>
      <c r="G2871" s="7" t="s">
        <v>166</v>
      </c>
      <c r="H2871" s="7" t="s">
        <v>45</v>
      </c>
      <c r="I2871" s="20" t="s">
        <v>3914</v>
      </c>
      <c r="J2871" s="20" t="s">
        <v>3132</v>
      </c>
      <c r="K2871" s="7" t="s">
        <v>119</v>
      </c>
      <c r="L2871" s="61">
        <v>45960</v>
      </c>
      <c r="M2871" s="7" t="s">
        <v>111</v>
      </c>
      <c r="N2871" s="61">
        <v>45961</v>
      </c>
      <c r="O2871" s="61">
        <v>45961</v>
      </c>
      <c r="R2871" s="126">
        <v>45965</v>
      </c>
    </row>
    <row r="2872" spans="2:18" ht="17.25" hidden="1" customHeight="1">
      <c r="B2872" s="23">
        <v>45959</v>
      </c>
      <c r="C2872" s="7">
        <v>2003804696</v>
      </c>
      <c r="D2872" s="20">
        <v>6465383</v>
      </c>
      <c r="E2872" s="27" t="s">
        <v>106</v>
      </c>
      <c r="F2872" s="7" t="s">
        <v>107</v>
      </c>
      <c r="G2872" s="7" t="s">
        <v>21</v>
      </c>
      <c r="H2872" s="7" t="s">
        <v>45</v>
      </c>
      <c r="I2872" s="20" t="s">
        <v>335</v>
      </c>
      <c r="J2872" s="20" t="s">
        <v>4140</v>
      </c>
      <c r="K2872" s="7" t="s">
        <v>110</v>
      </c>
      <c r="L2872" s="61">
        <v>45964</v>
      </c>
      <c r="M2872" s="7" t="s">
        <v>111</v>
      </c>
      <c r="N2872" s="61">
        <v>45964</v>
      </c>
      <c r="O2872" s="58">
        <v>45966</v>
      </c>
      <c r="Q2872" s="245"/>
      <c r="R2872" s="126">
        <v>45967</v>
      </c>
    </row>
    <row r="2873" spans="2:18" ht="17.25" hidden="1" customHeight="1">
      <c r="B2873" s="23">
        <v>45959</v>
      </c>
      <c r="C2873" s="7">
        <v>2003738213</v>
      </c>
      <c r="D2873" s="20">
        <v>6465477</v>
      </c>
      <c r="E2873" s="27" t="s">
        <v>126</v>
      </c>
      <c r="F2873" s="7" t="s">
        <v>107</v>
      </c>
      <c r="G2873" s="7" t="s">
        <v>21</v>
      </c>
      <c r="H2873" s="7" t="s">
        <v>45</v>
      </c>
      <c r="I2873" s="20" t="s">
        <v>2708</v>
      </c>
      <c r="J2873" s="20" t="s">
        <v>3275</v>
      </c>
      <c r="K2873" s="7" t="s">
        <v>111</v>
      </c>
      <c r="L2873" s="61">
        <v>45960</v>
      </c>
      <c r="M2873" s="7" t="s">
        <v>111</v>
      </c>
      <c r="N2873" s="61">
        <v>45960</v>
      </c>
      <c r="O2873" s="58">
        <v>45964</v>
      </c>
      <c r="Q2873" s="245"/>
      <c r="R2873" s="126">
        <v>45965</v>
      </c>
    </row>
    <row r="2874" spans="2:18" ht="17.25" hidden="1" customHeight="1">
      <c r="B2874" s="23">
        <v>45960</v>
      </c>
      <c r="C2874" s="7">
        <v>2003799386</v>
      </c>
      <c r="D2874" s="20">
        <v>343618</v>
      </c>
      <c r="E2874" s="27" t="s">
        <v>191</v>
      </c>
      <c r="F2874" s="7" t="s">
        <v>107</v>
      </c>
      <c r="G2874" s="7" t="s">
        <v>21</v>
      </c>
      <c r="H2874" s="7" t="s">
        <v>45</v>
      </c>
      <c r="I2874" s="20" t="s">
        <v>4141</v>
      </c>
      <c r="J2874" s="20" t="s">
        <v>3897</v>
      </c>
      <c r="K2874" s="7" t="s">
        <v>119</v>
      </c>
      <c r="L2874" s="61">
        <v>45961</v>
      </c>
      <c r="M2874" s="7" t="s">
        <v>111</v>
      </c>
      <c r="N2874" s="24">
        <v>45964</v>
      </c>
      <c r="O2874" s="58">
        <v>45966</v>
      </c>
      <c r="R2874" s="126">
        <v>45967</v>
      </c>
    </row>
    <row r="2875" spans="2:18" ht="17.25" hidden="1" customHeight="1">
      <c r="B2875" s="23">
        <v>45960</v>
      </c>
      <c r="C2875" s="7">
        <v>2003592291</v>
      </c>
      <c r="D2875" s="20">
        <v>343616</v>
      </c>
      <c r="E2875" s="27" t="s">
        <v>123</v>
      </c>
      <c r="F2875" s="7" t="s">
        <v>107</v>
      </c>
      <c r="G2875" s="7" t="s">
        <v>18</v>
      </c>
      <c r="H2875" s="7" t="s">
        <v>45</v>
      </c>
      <c r="I2875" s="20" t="s">
        <v>4142</v>
      </c>
      <c r="J2875" s="20" t="s">
        <v>4143</v>
      </c>
      <c r="K2875" s="7" t="s">
        <v>119</v>
      </c>
      <c r="L2875" s="61">
        <v>45966</v>
      </c>
      <c r="M2875" s="7" t="s">
        <v>111</v>
      </c>
      <c r="N2875" s="24">
        <v>45968</v>
      </c>
      <c r="O2875" s="24">
        <v>45972</v>
      </c>
      <c r="R2875" s="126">
        <v>45972</v>
      </c>
    </row>
    <row r="2876" spans="2:18" ht="17.25" hidden="1" customHeight="1">
      <c r="B2876" s="23">
        <v>45960</v>
      </c>
      <c r="C2876" s="7">
        <v>2003822946</v>
      </c>
      <c r="D2876" s="20">
        <v>343440</v>
      </c>
      <c r="E2876" s="27" t="s">
        <v>185</v>
      </c>
      <c r="F2876" s="7" t="s">
        <v>107</v>
      </c>
      <c r="G2876" s="7" t="s">
        <v>10</v>
      </c>
      <c r="H2876" s="7" t="s">
        <v>45</v>
      </c>
      <c r="I2876" s="20" t="s">
        <v>4144</v>
      </c>
      <c r="J2876" s="20" t="s">
        <v>4145</v>
      </c>
      <c r="K2876" s="7" t="s">
        <v>119</v>
      </c>
      <c r="L2876" s="61">
        <v>45964</v>
      </c>
      <c r="M2876" s="7" t="s">
        <v>111</v>
      </c>
      <c r="N2876" s="61">
        <v>45965</v>
      </c>
      <c r="O2876" s="61">
        <v>45966</v>
      </c>
      <c r="R2876" s="126">
        <v>45967</v>
      </c>
    </row>
    <row r="2877" spans="2:18" ht="17.25" hidden="1" customHeight="1">
      <c r="B2877" s="23">
        <v>45960</v>
      </c>
      <c r="C2877" s="7">
        <v>2003824094</v>
      </c>
      <c r="D2877" s="20">
        <v>343427</v>
      </c>
      <c r="E2877" s="27" t="s">
        <v>138</v>
      </c>
      <c r="F2877" s="7" t="s">
        <v>107</v>
      </c>
      <c r="G2877" s="7" t="s">
        <v>10</v>
      </c>
      <c r="H2877" s="7" t="s">
        <v>45</v>
      </c>
      <c r="I2877" s="20" t="s">
        <v>816</v>
      </c>
      <c r="J2877" s="20" t="s">
        <v>4146</v>
      </c>
      <c r="K2877" s="7" t="s">
        <v>119</v>
      </c>
      <c r="L2877" s="61">
        <v>45961</v>
      </c>
      <c r="M2877" s="7" t="s">
        <v>111</v>
      </c>
      <c r="N2877" s="61">
        <v>45961</v>
      </c>
      <c r="O2877" s="58">
        <v>45964</v>
      </c>
      <c r="R2877" s="126">
        <v>45965</v>
      </c>
    </row>
    <row r="2878" spans="2:18" ht="17.25" hidden="1" customHeight="1">
      <c r="B2878" s="23">
        <v>45960</v>
      </c>
      <c r="C2878" s="7">
        <v>2003825668</v>
      </c>
      <c r="D2878" s="20">
        <v>343313</v>
      </c>
      <c r="E2878" s="27" t="s">
        <v>622</v>
      </c>
      <c r="F2878" s="7" t="s">
        <v>107</v>
      </c>
      <c r="G2878" s="7" t="s">
        <v>10</v>
      </c>
      <c r="H2878" s="7" t="s">
        <v>45</v>
      </c>
      <c r="I2878" s="20" t="s">
        <v>564</v>
      </c>
      <c r="J2878" s="20" t="s">
        <v>4147</v>
      </c>
      <c r="K2878" s="7" t="s">
        <v>119</v>
      </c>
      <c r="L2878" s="61">
        <v>45965</v>
      </c>
      <c r="M2878" s="7" t="s">
        <v>111</v>
      </c>
      <c r="N2878" s="61">
        <v>45965</v>
      </c>
      <c r="O2878" s="61">
        <v>45966</v>
      </c>
      <c r="R2878" s="126">
        <v>45971</v>
      </c>
    </row>
    <row r="2879" spans="2:18" ht="17.25" hidden="1" customHeight="1">
      <c r="B2879" s="23">
        <v>45960</v>
      </c>
      <c r="C2879" s="7">
        <v>2003822001</v>
      </c>
      <c r="D2879" s="20">
        <v>343296</v>
      </c>
      <c r="E2879" s="27" t="s">
        <v>949</v>
      </c>
      <c r="F2879" s="7" t="s">
        <v>107</v>
      </c>
      <c r="G2879" s="7" t="s">
        <v>18</v>
      </c>
      <c r="H2879" s="7" t="s">
        <v>45</v>
      </c>
      <c r="I2879" s="20" t="s">
        <v>4148</v>
      </c>
      <c r="J2879" s="20" t="s">
        <v>4149</v>
      </c>
      <c r="K2879" s="7" t="s">
        <v>119</v>
      </c>
      <c r="L2879" s="61">
        <v>45964</v>
      </c>
      <c r="M2879" s="7" t="s">
        <v>111</v>
      </c>
      <c r="N2879" s="61">
        <v>45965</v>
      </c>
      <c r="O2879" s="61">
        <v>45966</v>
      </c>
      <c r="R2879" s="126">
        <v>45967</v>
      </c>
    </row>
    <row r="2880" spans="2:18" ht="17.25" hidden="1" customHeight="1">
      <c r="B2880" s="23">
        <v>45960</v>
      </c>
      <c r="C2880" s="7">
        <v>2003831717</v>
      </c>
      <c r="D2880" s="20">
        <v>342920</v>
      </c>
      <c r="E2880" s="27" t="s">
        <v>1225</v>
      </c>
      <c r="F2880" s="7" t="s">
        <v>107</v>
      </c>
      <c r="G2880" s="7" t="s">
        <v>10</v>
      </c>
      <c r="H2880" s="7" t="s">
        <v>45</v>
      </c>
      <c r="I2880" s="20" t="s">
        <v>4150</v>
      </c>
      <c r="J2880" s="20" t="s">
        <v>4151</v>
      </c>
      <c r="K2880" s="7" t="s">
        <v>110</v>
      </c>
      <c r="L2880" s="61">
        <v>45968</v>
      </c>
      <c r="M2880" s="7" t="s">
        <v>111</v>
      </c>
      <c r="N2880" s="61">
        <v>45968</v>
      </c>
      <c r="O2880" s="61">
        <v>45968</v>
      </c>
      <c r="Q2880" s="245"/>
      <c r="R2880" s="126">
        <v>45971</v>
      </c>
    </row>
    <row r="2881" spans="2:18" ht="17.25" hidden="1" customHeight="1">
      <c r="B2881" s="23">
        <v>45960</v>
      </c>
      <c r="C2881" s="7">
        <v>2003804696</v>
      </c>
      <c r="D2881" s="20">
        <v>342713</v>
      </c>
      <c r="E2881" s="27" t="s">
        <v>1225</v>
      </c>
      <c r="F2881" s="7" t="s">
        <v>107</v>
      </c>
      <c r="G2881" s="7" t="s">
        <v>21</v>
      </c>
      <c r="H2881" s="7" t="s">
        <v>45</v>
      </c>
      <c r="I2881" s="20" t="s">
        <v>2464</v>
      </c>
      <c r="J2881" s="20" t="s">
        <v>3934</v>
      </c>
      <c r="K2881" s="7" t="s">
        <v>119</v>
      </c>
      <c r="L2881" s="61">
        <v>45961</v>
      </c>
      <c r="M2881" s="7" t="s">
        <v>111</v>
      </c>
      <c r="N2881" s="61">
        <v>45961</v>
      </c>
      <c r="O2881" s="58">
        <v>45964</v>
      </c>
      <c r="R2881" s="126">
        <v>45965</v>
      </c>
    </row>
    <row r="2882" spans="2:18" ht="17.25" hidden="1" customHeight="1">
      <c r="B2882" s="23">
        <v>45960</v>
      </c>
      <c r="C2882" s="7">
        <v>2003715950</v>
      </c>
      <c r="D2882" s="20">
        <v>6466019</v>
      </c>
      <c r="E2882" s="27" t="s">
        <v>201</v>
      </c>
      <c r="F2882" s="7" t="s">
        <v>107</v>
      </c>
      <c r="G2882" s="7" t="s">
        <v>21</v>
      </c>
      <c r="H2882" s="7" t="s">
        <v>45</v>
      </c>
      <c r="I2882" s="20" t="s">
        <v>282</v>
      </c>
      <c r="J2882" s="20" t="s">
        <v>3366</v>
      </c>
      <c r="K2882" s="7" t="s">
        <v>119</v>
      </c>
      <c r="L2882" s="61">
        <v>45960</v>
      </c>
      <c r="M2882" s="7" t="s">
        <v>111</v>
      </c>
      <c r="N2882" s="61">
        <v>45961</v>
      </c>
      <c r="O2882" s="58">
        <v>45966</v>
      </c>
      <c r="R2882" s="126">
        <v>45967</v>
      </c>
    </row>
    <row r="2883" spans="2:18" ht="17.25" hidden="1" customHeight="1">
      <c r="B2883" s="23">
        <v>45960</v>
      </c>
      <c r="C2883" s="7">
        <v>2003823087</v>
      </c>
      <c r="D2883" s="20">
        <v>6466039</v>
      </c>
      <c r="E2883" s="27" t="s">
        <v>112</v>
      </c>
      <c r="F2883" s="7" t="s">
        <v>107</v>
      </c>
      <c r="G2883" s="7" t="s">
        <v>26</v>
      </c>
      <c r="H2883" s="7" t="s">
        <v>45</v>
      </c>
      <c r="I2883" s="20" t="s">
        <v>1348</v>
      </c>
      <c r="J2883" s="20" t="s">
        <v>4152</v>
      </c>
      <c r="K2883" s="7" t="s">
        <v>119</v>
      </c>
      <c r="L2883" s="61">
        <v>45966</v>
      </c>
      <c r="M2883" s="7" t="s">
        <v>111</v>
      </c>
      <c r="N2883" s="24">
        <v>45971</v>
      </c>
      <c r="O2883" s="58">
        <v>45971</v>
      </c>
      <c r="R2883" s="126">
        <v>45971</v>
      </c>
    </row>
    <row r="2884" spans="2:18" ht="17.25" hidden="1" customHeight="1">
      <c r="B2884" s="23">
        <v>45960</v>
      </c>
      <c r="C2884" s="7">
        <v>2003829379</v>
      </c>
      <c r="D2884" s="20">
        <v>6466101</v>
      </c>
      <c r="E2884" s="27" t="s">
        <v>1225</v>
      </c>
      <c r="F2884" s="7" t="s">
        <v>107</v>
      </c>
      <c r="G2884" s="7" t="s">
        <v>10</v>
      </c>
      <c r="H2884" s="7" t="s">
        <v>45</v>
      </c>
      <c r="I2884" s="20" t="s">
        <v>1348</v>
      </c>
      <c r="J2884" s="20" t="s">
        <v>4153</v>
      </c>
      <c r="K2884" s="7" t="s">
        <v>110</v>
      </c>
      <c r="L2884" s="61">
        <v>45964</v>
      </c>
      <c r="M2884" s="7" t="s">
        <v>111</v>
      </c>
      <c r="N2884" s="61">
        <v>45964</v>
      </c>
      <c r="O2884" s="58">
        <v>45966</v>
      </c>
      <c r="Q2884" s="245"/>
      <c r="R2884" s="126">
        <v>45967</v>
      </c>
    </row>
    <row r="2885" spans="2:18" ht="17.25" hidden="1" customHeight="1">
      <c r="B2885" s="23">
        <v>45960</v>
      </c>
      <c r="C2885" s="7">
        <v>2003761388</v>
      </c>
      <c r="D2885" s="20">
        <v>6466219</v>
      </c>
      <c r="E2885" s="27" t="s">
        <v>143</v>
      </c>
      <c r="F2885" s="7" t="s">
        <v>107</v>
      </c>
      <c r="G2885" s="7" t="s">
        <v>21</v>
      </c>
      <c r="H2885" s="7" t="s">
        <v>45</v>
      </c>
      <c r="I2885" s="20" t="s">
        <v>4154</v>
      </c>
      <c r="J2885" s="20" t="s">
        <v>3498</v>
      </c>
      <c r="K2885" s="7" t="s">
        <v>111</v>
      </c>
      <c r="L2885" s="61">
        <v>45960</v>
      </c>
      <c r="M2885" s="7" t="s">
        <v>111</v>
      </c>
      <c r="N2885" s="24">
        <v>45961</v>
      </c>
      <c r="O2885" s="58">
        <v>45961</v>
      </c>
      <c r="Q2885" s="245"/>
      <c r="R2885" s="126">
        <v>45961</v>
      </c>
    </row>
    <row r="2886" spans="2:18" ht="17.25" hidden="1" customHeight="1">
      <c r="B2886" s="23">
        <v>45960</v>
      </c>
      <c r="C2886" s="7">
        <v>2003810614</v>
      </c>
      <c r="D2886" s="20">
        <v>6466302</v>
      </c>
      <c r="E2886" s="27" t="s">
        <v>408</v>
      </c>
      <c r="F2886" s="7" t="s">
        <v>107</v>
      </c>
      <c r="G2886" s="7" t="s">
        <v>18</v>
      </c>
      <c r="H2886" s="7" t="s">
        <v>45</v>
      </c>
      <c r="I2886" s="20" t="s">
        <v>4155</v>
      </c>
      <c r="J2886" s="20" t="s">
        <v>4156</v>
      </c>
      <c r="K2886" s="7" t="s">
        <v>110</v>
      </c>
      <c r="L2886" s="61">
        <v>45964</v>
      </c>
      <c r="M2886" s="7" t="s">
        <v>111</v>
      </c>
      <c r="N2886" s="24">
        <v>45965</v>
      </c>
      <c r="O2886" s="58">
        <v>45968</v>
      </c>
      <c r="Q2886" s="245"/>
      <c r="R2886" s="126">
        <v>45971</v>
      </c>
    </row>
    <row r="2887" spans="2:18" ht="17.25" hidden="1" customHeight="1">
      <c r="B2887" s="23">
        <v>45960</v>
      </c>
      <c r="C2887" s="7">
        <v>2003831956</v>
      </c>
      <c r="D2887" s="20">
        <v>6466482</v>
      </c>
      <c r="E2887" s="27" t="s">
        <v>185</v>
      </c>
      <c r="F2887" s="7" t="s">
        <v>107</v>
      </c>
      <c r="G2887" s="7" t="s">
        <v>18</v>
      </c>
      <c r="H2887" s="7" t="s">
        <v>45</v>
      </c>
      <c r="I2887" s="20" t="s">
        <v>4157</v>
      </c>
      <c r="J2887" s="20" t="s">
        <v>4158</v>
      </c>
      <c r="K2887" s="7" t="s">
        <v>110</v>
      </c>
      <c r="L2887" s="61">
        <v>45964</v>
      </c>
      <c r="M2887" s="7" t="s">
        <v>111</v>
      </c>
      <c r="N2887" s="61">
        <v>45964</v>
      </c>
      <c r="O2887" s="58">
        <v>45966</v>
      </c>
      <c r="Q2887" s="245"/>
      <c r="R2887" s="126">
        <v>45967</v>
      </c>
    </row>
    <row r="2888" spans="2:18" ht="17.25" hidden="1" customHeight="1">
      <c r="B2888" s="23">
        <v>45960</v>
      </c>
      <c r="C2888" s="7">
        <v>2003736220</v>
      </c>
      <c r="D2888" s="20">
        <v>6466494</v>
      </c>
      <c r="E2888" s="27" t="s">
        <v>185</v>
      </c>
      <c r="F2888" s="7" t="s">
        <v>107</v>
      </c>
      <c r="G2888" s="7" t="s">
        <v>10</v>
      </c>
      <c r="H2888" s="7" t="s">
        <v>45</v>
      </c>
      <c r="I2888" s="20" t="s">
        <v>1944</v>
      </c>
      <c r="J2888" s="20" t="s">
        <v>4159</v>
      </c>
      <c r="K2888" s="7" t="s">
        <v>110</v>
      </c>
      <c r="L2888" s="61">
        <v>45964</v>
      </c>
      <c r="M2888" s="7" t="s">
        <v>111</v>
      </c>
      <c r="N2888" s="61">
        <v>45964</v>
      </c>
      <c r="O2888" s="58">
        <v>45966</v>
      </c>
      <c r="Q2888" s="245"/>
      <c r="R2888" s="126">
        <v>45971</v>
      </c>
    </row>
    <row r="2889" spans="2:18" ht="17.25" hidden="1" customHeight="1">
      <c r="B2889" s="23">
        <v>45960</v>
      </c>
      <c r="C2889" s="7">
        <v>2003831952</v>
      </c>
      <c r="D2889" s="20">
        <v>6466559</v>
      </c>
      <c r="E2889" s="27" t="s">
        <v>191</v>
      </c>
      <c r="F2889" s="7" t="s">
        <v>107</v>
      </c>
      <c r="G2889" s="7" t="s">
        <v>10</v>
      </c>
      <c r="H2889" s="7" t="s">
        <v>45</v>
      </c>
      <c r="I2889" s="20" t="s">
        <v>4160</v>
      </c>
      <c r="J2889" s="20" t="s">
        <v>4161</v>
      </c>
      <c r="K2889" s="7" t="s">
        <v>119</v>
      </c>
      <c r="L2889" s="61">
        <v>45964</v>
      </c>
      <c r="M2889" s="7" t="s">
        <v>111</v>
      </c>
      <c r="N2889" s="61">
        <v>45965</v>
      </c>
      <c r="O2889" s="58">
        <v>45968</v>
      </c>
      <c r="R2889" s="126">
        <v>45971</v>
      </c>
    </row>
    <row r="2890" spans="2:18" ht="17.25" hidden="1" customHeight="1">
      <c r="B2890" s="23">
        <v>45960</v>
      </c>
      <c r="C2890" s="7">
        <v>2003667592</v>
      </c>
      <c r="D2890" s="20">
        <v>6466582</v>
      </c>
      <c r="E2890" s="27" t="s">
        <v>106</v>
      </c>
      <c r="F2890" s="7" t="s">
        <v>107</v>
      </c>
      <c r="G2890" s="7" t="s">
        <v>10</v>
      </c>
      <c r="H2890" s="7" t="s">
        <v>45</v>
      </c>
      <c r="I2890" s="20" t="s">
        <v>786</v>
      </c>
      <c r="J2890" s="20" t="s">
        <v>4162</v>
      </c>
      <c r="K2890" s="7" t="s">
        <v>110</v>
      </c>
      <c r="L2890" s="61">
        <v>45972</v>
      </c>
      <c r="M2890" s="7" t="s">
        <v>111</v>
      </c>
      <c r="N2890" s="61">
        <v>45972</v>
      </c>
      <c r="O2890" s="61">
        <v>45972</v>
      </c>
      <c r="Q2890" s="245"/>
      <c r="R2890" s="126">
        <v>45972</v>
      </c>
    </row>
    <row r="2891" spans="2:18" ht="17.25" hidden="1" customHeight="1">
      <c r="B2891" s="23">
        <v>45960</v>
      </c>
      <c r="C2891" s="7">
        <v>2003813117</v>
      </c>
      <c r="D2891" s="20">
        <v>6466608</v>
      </c>
      <c r="E2891" s="27" t="s">
        <v>191</v>
      </c>
      <c r="F2891" s="7" t="s">
        <v>107</v>
      </c>
      <c r="G2891" s="7" t="s">
        <v>10</v>
      </c>
      <c r="H2891" s="7" t="s">
        <v>45</v>
      </c>
      <c r="I2891" s="20" t="s">
        <v>4163</v>
      </c>
      <c r="J2891" s="20" t="s">
        <v>4164</v>
      </c>
      <c r="K2891" s="7" t="s">
        <v>119</v>
      </c>
      <c r="L2891" s="61">
        <v>45965</v>
      </c>
      <c r="M2891" s="7" t="s">
        <v>111</v>
      </c>
      <c r="N2891" s="61">
        <v>45965</v>
      </c>
      <c r="O2891" s="61">
        <v>45965</v>
      </c>
      <c r="R2891" s="126">
        <v>45971</v>
      </c>
    </row>
    <row r="2892" spans="2:18" ht="17.25" hidden="1" customHeight="1">
      <c r="B2892" s="23">
        <v>45961</v>
      </c>
      <c r="C2892" s="7">
        <v>2003826969</v>
      </c>
      <c r="D2892" s="20">
        <v>345163</v>
      </c>
      <c r="E2892" s="27" t="s">
        <v>106</v>
      </c>
      <c r="F2892" s="7" t="s">
        <v>107</v>
      </c>
      <c r="G2892" s="7" t="s">
        <v>26</v>
      </c>
      <c r="H2892" s="7" t="s">
        <v>45</v>
      </c>
      <c r="I2892" s="20" t="s">
        <v>480</v>
      </c>
      <c r="J2892" s="20" t="s">
        <v>4165</v>
      </c>
      <c r="K2892" s="7" t="s">
        <v>119</v>
      </c>
      <c r="L2892" s="61">
        <v>45965</v>
      </c>
      <c r="M2892" s="7" t="s">
        <v>111</v>
      </c>
      <c r="N2892" s="24">
        <v>45971</v>
      </c>
      <c r="O2892" s="58">
        <v>45971</v>
      </c>
      <c r="R2892" s="126">
        <v>45971</v>
      </c>
    </row>
    <row r="2893" spans="2:18" ht="17.25" hidden="1" customHeight="1">
      <c r="B2893" s="23">
        <v>45961</v>
      </c>
      <c r="C2893" s="7">
        <v>2003831161</v>
      </c>
      <c r="D2893" s="20">
        <v>345210</v>
      </c>
      <c r="E2893" s="27" t="s">
        <v>408</v>
      </c>
      <c r="F2893" s="7" t="s">
        <v>107</v>
      </c>
      <c r="G2893" s="7" t="s">
        <v>18</v>
      </c>
      <c r="H2893" s="7" t="s">
        <v>45</v>
      </c>
      <c r="I2893" s="20" t="s">
        <v>1319</v>
      </c>
      <c r="J2893" s="20" t="s">
        <v>3996</v>
      </c>
      <c r="K2893" s="7" t="s">
        <v>110</v>
      </c>
      <c r="L2893" s="61">
        <v>45965</v>
      </c>
      <c r="M2893" s="7" t="s">
        <v>111</v>
      </c>
      <c r="N2893" s="61">
        <v>45965</v>
      </c>
      <c r="O2893" s="61">
        <v>45966</v>
      </c>
      <c r="Q2893" s="245"/>
      <c r="R2893" s="126">
        <v>45971</v>
      </c>
    </row>
    <row r="2894" spans="2:18" ht="17.25" hidden="1" customHeight="1">
      <c r="B2894" s="23">
        <v>45961</v>
      </c>
      <c r="C2894" s="7">
        <v>2003728617</v>
      </c>
      <c r="D2894" s="20">
        <v>345090</v>
      </c>
      <c r="E2894" s="27" t="s">
        <v>185</v>
      </c>
      <c r="F2894" s="7" t="s">
        <v>107</v>
      </c>
      <c r="G2894" s="7" t="s">
        <v>10</v>
      </c>
      <c r="H2894" s="7" t="s">
        <v>45</v>
      </c>
      <c r="I2894" s="20" t="s">
        <v>648</v>
      </c>
      <c r="J2894" s="20" t="s">
        <v>4166</v>
      </c>
      <c r="K2894" s="7" t="s">
        <v>119</v>
      </c>
      <c r="L2894" s="61">
        <v>45966</v>
      </c>
      <c r="M2894" s="7" t="s">
        <v>111</v>
      </c>
      <c r="N2894" s="24">
        <v>45968</v>
      </c>
      <c r="O2894" s="24">
        <v>45968</v>
      </c>
      <c r="R2894" s="126">
        <v>45971</v>
      </c>
    </row>
    <row r="2895" spans="2:18" ht="17.25" hidden="1" customHeight="1">
      <c r="B2895" s="23">
        <v>45961</v>
      </c>
      <c r="C2895" s="7">
        <v>2003815458</v>
      </c>
      <c r="D2895" s="20">
        <v>344885</v>
      </c>
      <c r="E2895" s="27" t="s">
        <v>3586</v>
      </c>
      <c r="F2895" s="7" t="s">
        <v>107</v>
      </c>
      <c r="G2895" s="7" t="s">
        <v>15</v>
      </c>
      <c r="H2895" s="7" t="s">
        <v>45</v>
      </c>
      <c r="I2895" s="20" t="s">
        <v>3981</v>
      </c>
      <c r="J2895" s="20" t="s">
        <v>4167</v>
      </c>
      <c r="K2895" s="7" t="s">
        <v>110</v>
      </c>
      <c r="L2895" s="61">
        <v>45967</v>
      </c>
      <c r="M2895" s="7" t="s">
        <v>111</v>
      </c>
      <c r="N2895" s="61">
        <v>45968</v>
      </c>
      <c r="O2895" s="24">
        <v>45972</v>
      </c>
      <c r="Q2895" s="245"/>
      <c r="R2895" s="126">
        <v>45972</v>
      </c>
    </row>
    <row r="2896" spans="2:18" ht="17.25" hidden="1" customHeight="1">
      <c r="B2896" s="23">
        <v>45961</v>
      </c>
      <c r="C2896" s="7">
        <v>2003751061</v>
      </c>
      <c r="D2896" s="20">
        <v>344701</v>
      </c>
      <c r="E2896" s="27" t="s">
        <v>1225</v>
      </c>
      <c r="F2896" s="7" t="s">
        <v>107</v>
      </c>
      <c r="G2896" s="7" t="s">
        <v>18</v>
      </c>
      <c r="H2896" s="7" t="s">
        <v>45</v>
      </c>
      <c r="I2896" s="20" t="s">
        <v>4168</v>
      </c>
      <c r="J2896" s="20" t="s">
        <v>4088</v>
      </c>
      <c r="K2896" s="7" t="s">
        <v>119</v>
      </c>
      <c r="L2896" s="61">
        <v>45961</v>
      </c>
      <c r="M2896" s="7" t="s">
        <v>111</v>
      </c>
      <c r="N2896" s="61">
        <v>45965</v>
      </c>
      <c r="O2896" s="61">
        <v>45966</v>
      </c>
      <c r="R2896" s="126">
        <v>45967</v>
      </c>
    </row>
    <row r="2897" spans="2:18" ht="17.25" hidden="1" customHeight="1">
      <c r="B2897" s="23">
        <v>45961</v>
      </c>
      <c r="C2897" s="7">
        <v>2003828124</v>
      </c>
      <c r="D2897" s="20">
        <v>344551</v>
      </c>
      <c r="E2897" s="27" t="s">
        <v>123</v>
      </c>
      <c r="F2897" s="7" t="s">
        <v>107</v>
      </c>
      <c r="G2897" s="7" t="s">
        <v>10</v>
      </c>
      <c r="H2897" s="7" t="s">
        <v>45</v>
      </c>
      <c r="I2897" s="20" t="s">
        <v>2570</v>
      </c>
      <c r="J2897" s="20" t="s">
        <v>4169</v>
      </c>
      <c r="K2897" s="7" t="s">
        <v>119</v>
      </c>
      <c r="L2897" s="61">
        <v>45966</v>
      </c>
      <c r="M2897" s="7" t="s">
        <v>111</v>
      </c>
      <c r="N2897" s="24">
        <v>45968</v>
      </c>
      <c r="O2897" s="24">
        <v>45968</v>
      </c>
      <c r="R2897" s="126">
        <v>45971</v>
      </c>
    </row>
    <row r="2898" spans="2:18" ht="17.25" hidden="1" customHeight="1">
      <c r="B2898" s="23">
        <v>45961</v>
      </c>
      <c r="C2898" s="7">
        <v>2003829339</v>
      </c>
      <c r="D2898" s="20">
        <v>344413</v>
      </c>
      <c r="E2898" s="27" t="s">
        <v>1225</v>
      </c>
      <c r="F2898" s="7" t="s">
        <v>107</v>
      </c>
      <c r="G2898" s="7" t="s">
        <v>10</v>
      </c>
      <c r="H2898" s="7" t="s">
        <v>45</v>
      </c>
      <c r="I2898" s="20" t="s">
        <v>4170</v>
      </c>
      <c r="J2898" s="20" t="s">
        <v>4171</v>
      </c>
      <c r="K2898" s="7" t="s">
        <v>119</v>
      </c>
      <c r="L2898" s="61">
        <v>45964</v>
      </c>
      <c r="M2898" s="7" t="s">
        <v>111</v>
      </c>
      <c r="N2898" s="61">
        <v>45965</v>
      </c>
      <c r="O2898" s="61">
        <v>45966</v>
      </c>
      <c r="R2898" s="126">
        <v>45967</v>
      </c>
    </row>
    <row r="2899" spans="2:18" ht="17.25" hidden="1" customHeight="1">
      <c r="B2899" s="23">
        <v>45964</v>
      </c>
      <c r="C2899" s="7">
        <v>2003830099</v>
      </c>
      <c r="D2899" s="20">
        <v>347315</v>
      </c>
      <c r="E2899" s="27" t="s">
        <v>123</v>
      </c>
      <c r="F2899" s="7" t="s">
        <v>107</v>
      </c>
      <c r="G2899" s="7" t="s">
        <v>18</v>
      </c>
      <c r="H2899" s="7" t="s">
        <v>45</v>
      </c>
      <c r="I2899" s="20" t="s">
        <v>4172</v>
      </c>
      <c r="J2899" s="20" t="s">
        <v>4173</v>
      </c>
      <c r="K2899" s="7" t="s">
        <v>119</v>
      </c>
      <c r="L2899" s="61">
        <v>45967</v>
      </c>
      <c r="M2899" s="7" t="s">
        <v>111</v>
      </c>
      <c r="N2899" s="24">
        <v>45973</v>
      </c>
      <c r="O2899" s="24">
        <v>45978</v>
      </c>
      <c r="R2899" s="126">
        <v>45979</v>
      </c>
    </row>
    <row r="2900" spans="2:18" ht="17.25" hidden="1" customHeight="1">
      <c r="B2900" s="23">
        <v>45964</v>
      </c>
      <c r="C2900" s="7">
        <v>2003792692</v>
      </c>
      <c r="D2900" s="20">
        <v>347180</v>
      </c>
      <c r="E2900" s="27" t="s">
        <v>149</v>
      </c>
      <c r="F2900" s="7" t="s">
        <v>107</v>
      </c>
      <c r="G2900" s="7" t="s">
        <v>10</v>
      </c>
      <c r="H2900" s="7" t="s">
        <v>45</v>
      </c>
      <c r="I2900" s="20" t="s">
        <v>3466</v>
      </c>
      <c r="J2900" s="20" t="s">
        <v>3467</v>
      </c>
      <c r="K2900" s="7" t="s">
        <v>119</v>
      </c>
      <c r="L2900" s="61">
        <v>45966</v>
      </c>
      <c r="M2900" s="7" t="s">
        <v>111</v>
      </c>
      <c r="N2900" s="24">
        <v>45968</v>
      </c>
      <c r="O2900" s="24">
        <v>45972</v>
      </c>
      <c r="R2900" s="126">
        <v>45972</v>
      </c>
    </row>
    <row r="2901" spans="2:18" ht="17.25" hidden="1" customHeight="1">
      <c r="B2901" s="23">
        <v>45964</v>
      </c>
      <c r="C2901" s="7">
        <v>2003832537</v>
      </c>
      <c r="D2901" s="20">
        <v>347154</v>
      </c>
      <c r="E2901" s="27" t="s">
        <v>152</v>
      </c>
      <c r="F2901" s="7" t="s">
        <v>107</v>
      </c>
      <c r="G2901" s="7" t="s">
        <v>10</v>
      </c>
      <c r="H2901" s="7" t="s">
        <v>45</v>
      </c>
      <c r="I2901" s="20" t="s">
        <v>226</v>
      </c>
      <c r="J2901" s="20" t="s">
        <v>4174</v>
      </c>
      <c r="K2901" s="7" t="s">
        <v>119</v>
      </c>
      <c r="L2901" s="61">
        <v>45966</v>
      </c>
      <c r="M2901" s="7" t="s">
        <v>111</v>
      </c>
      <c r="N2901" s="61">
        <v>45966</v>
      </c>
      <c r="O2901" s="58">
        <v>45968</v>
      </c>
      <c r="R2901" s="126">
        <v>45971</v>
      </c>
    </row>
    <row r="2902" spans="2:18" ht="17.25" hidden="1" customHeight="1">
      <c r="B2902" s="23">
        <v>45964</v>
      </c>
      <c r="C2902" s="7">
        <v>2003731072</v>
      </c>
      <c r="D2902" s="20">
        <v>346850</v>
      </c>
      <c r="E2902" s="27" t="s">
        <v>4175</v>
      </c>
      <c r="F2902" s="7" t="s">
        <v>107</v>
      </c>
      <c r="G2902" s="7" t="s">
        <v>21</v>
      </c>
      <c r="H2902" s="7" t="s">
        <v>45</v>
      </c>
      <c r="I2902" s="20" t="s">
        <v>4176</v>
      </c>
      <c r="J2902" s="20" t="s">
        <v>2433</v>
      </c>
      <c r="K2902" s="7" t="s">
        <v>111</v>
      </c>
      <c r="L2902" s="61">
        <v>45971</v>
      </c>
      <c r="M2902" s="7" t="s">
        <v>111</v>
      </c>
      <c r="N2902" s="24">
        <v>45972</v>
      </c>
      <c r="O2902" s="24">
        <v>45972</v>
      </c>
      <c r="Q2902" s="245"/>
      <c r="R2902" s="126">
        <v>45972</v>
      </c>
    </row>
    <row r="2903" spans="2:18" ht="17.25" hidden="1" customHeight="1">
      <c r="B2903" s="23">
        <v>45964</v>
      </c>
      <c r="C2903" s="7">
        <v>2003834736</v>
      </c>
      <c r="D2903" s="20">
        <v>346412</v>
      </c>
      <c r="E2903" s="27" t="s">
        <v>123</v>
      </c>
      <c r="F2903" s="7" t="s">
        <v>107</v>
      </c>
      <c r="G2903" s="7" t="s">
        <v>10</v>
      </c>
      <c r="H2903" s="7" t="s">
        <v>45</v>
      </c>
      <c r="I2903" s="20" t="s">
        <v>1813</v>
      </c>
      <c r="J2903" s="20" t="s">
        <v>4177</v>
      </c>
      <c r="K2903" s="7" t="s">
        <v>119</v>
      </c>
      <c r="L2903" s="61">
        <v>45967</v>
      </c>
      <c r="M2903" s="7" t="s">
        <v>111</v>
      </c>
      <c r="N2903" s="24">
        <v>45968</v>
      </c>
      <c r="O2903" s="24">
        <v>45972</v>
      </c>
      <c r="R2903" s="126">
        <v>45972</v>
      </c>
    </row>
    <row r="2904" spans="2:18" ht="17.25" hidden="1" customHeight="1">
      <c r="B2904" s="23">
        <v>45964</v>
      </c>
      <c r="C2904" s="7">
        <v>2003829413</v>
      </c>
      <c r="D2904" s="20">
        <v>346403</v>
      </c>
      <c r="E2904" s="27" t="s">
        <v>149</v>
      </c>
      <c r="F2904" s="7" t="s">
        <v>107</v>
      </c>
      <c r="G2904" s="7" t="s">
        <v>18</v>
      </c>
      <c r="H2904" s="7" t="s">
        <v>45</v>
      </c>
      <c r="I2904" s="20" t="s">
        <v>4178</v>
      </c>
      <c r="J2904" s="20" t="s">
        <v>4179</v>
      </c>
      <c r="K2904" s="7" t="s">
        <v>119</v>
      </c>
      <c r="L2904" s="61">
        <v>45968</v>
      </c>
      <c r="M2904" s="7" t="s">
        <v>111</v>
      </c>
      <c r="N2904" s="24">
        <v>45972</v>
      </c>
      <c r="O2904" s="58">
        <v>45973</v>
      </c>
      <c r="R2904" s="126">
        <v>45974</v>
      </c>
    </row>
    <row r="2905" spans="2:18" ht="17.25" hidden="1" customHeight="1">
      <c r="B2905" s="23">
        <v>45964</v>
      </c>
      <c r="C2905" s="7">
        <v>2003808800</v>
      </c>
      <c r="D2905" s="20">
        <v>346286</v>
      </c>
      <c r="E2905" s="27" t="s">
        <v>152</v>
      </c>
      <c r="F2905" s="7" t="s">
        <v>107</v>
      </c>
      <c r="G2905" s="7" t="s">
        <v>10</v>
      </c>
      <c r="H2905" s="7" t="s">
        <v>45</v>
      </c>
      <c r="I2905" s="20" t="s">
        <v>4180</v>
      </c>
      <c r="J2905" s="20" t="s">
        <v>4181</v>
      </c>
      <c r="K2905" s="7" t="s">
        <v>119</v>
      </c>
      <c r="L2905" s="61">
        <v>45966</v>
      </c>
      <c r="M2905" s="7" t="s">
        <v>111</v>
      </c>
      <c r="N2905" s="24">
        <v>45968</v>
      </c>
      <c r="O2905" s="24">
        <v>45968</v>
      </c>
      <c r="R2905" s="126">
        <v>45971</v>
      </c>
    </row>
    <row r="2906" spans="2:18" ht="17.25" hidden="1" customHeight="1">
      <c r="B2906" s="23">
        <v>45964</v>
      </c>
      <c r="C2906" s="7">
        <v>2003822434</v>
      </c>
      <c r="D2906" s="20">
        <v>346160</v>
      </c>
      <c r="E2906" s="27" t="s">
        <v>622</v>
      </c>
      <c r="F2906" s="7" t="s">
        <v>107</v>
      </c>
      <c r="G2906" s="7" t="s">
        <v>18</v>
      </c>
      <c r="H2906" s="7" t="s">
        <v>45</v>
      </c>
      <c r="I2906" s="20" t="s">
        <v>263</v>
      </c>
      <c r="J2906" s="236" t="s">
        <v>4182</v>
      </c>
      <c r="K2906" s="7" t="s">
        <v>119</v>
      </c>
      <c r="L2906" s="61">
        <v>45965</v>
      </c>
      <c r="M2906" s="7" t="s">
        <v>111</v>
      </c>
      <c r="N2906" s="61">
        <v>45965</v>
      </c>
      <c r="O2906" s="61">
        <v>45966</v>
      </c>
      <c r="R2906" s="126">
        <v>45971</v>
      </c>
    </row>
    <row r="2907" spans="2:18" ht="17.25" hidden="1" customHeight="1">
      <c r="B2907" s="23">
        <v>45964</v>
      </c>
      <c r="C2907" s="7">
        <v>2003832469</v>
      </c>
      <c r="D2907" s="20">
        <v>345977</v>
      </c>
      <c r="E2907" s="27" t="s">
        <v>408</v>
      </c>
      <c r="F2907" s="7" t="s">
        <v>107</v>
      </c>
      <c r="G2907" s="7" t="s">
        <v>10</v>
      </c>
      <c r="H2907" s="7" t="s">
        <v>45</v>
      </c>
      <c r="I2907" s="20" t="s">
        <v>204</v>
      </c>
      <c r="J2907" s="20" t="s">
        <v>205</v>
      </c>
      <c r="K2907" s="7" t="s">
        <v>110</v>
      </c>
      <c r="L2907" s="61">
        <v>45966</v>
      </c>
      <c r="M2907" s="7" t="s">
        <v>111</v>
      </c>
      <c r="N2907" s="61">
        <v>45966</v>
      </c>
      <c r="O2907" s="58">
        <v>45968</v>
      </c>
      <c r="Q2907" s="245"/>
      <c r="R2907" s="126">
        <v>45971</v>
      </c>
    </row>
    <row r="2908" spans="2:18" ht="17.25" hidden="1" customHeight="1">
      <c r="B2908" s="23">
        <v>45964</v>
      </c>
      <c r="C2908" s="7">
        <v>2003827841</v>
      </c>
      <c r="D2908" s="20">
        <v>346017</v>
      </c>
      <c r="E2908" s="27" t="s">
        <v>123</v>
      </c>
      <c r="F2908" s="7" t="s">
        <v>107</v>
      </c>
      <c r="G2908" s="7" t="s">
        <v>10</v>
      </c>
      <c r="H2908" s="7" t="s">
        <v>45</v>
      </c>
      <c r="I2908" s="20" t="s">
        <v>904</v>
      </c>
      <c r="J2908" s="20" t="s">
        <v>4183</v>
      </c>
      <c r="K2908" s="7" t="s">
        <v>119</v>
      </c>
      <c r="L2908" s="61">
        <v>45966</v>
      </c>
      <c r="M2908" s="7" t="s">
        <v>111</v>
      </c>
      <c r="N2908" s="61">
        <v>45966</v>
      </c>
      <c r="O2908" s="58">
        <v>45968</v>
      </c>
      <c r="R2908" s="126">
        <v>45971</v>
      </c>
    </row>
    <row r="2909" spans="2:18" ht="17.25" hidden="1" customHeight="1">
      <c r="B2909" s="23">
        <v>45964</v>
      </c>
      <c r="C2909" s="7">
        <v>2003376150</v>
      </c>
      <c r="D2909" s="20">
        <v>6467620</v>
      </c>
      <c r="E2909" s="27" t="s">
        <v>123</v>
      </c>
      <c r="F2909" s="7" t="s">
        <v>107</v>
      </c>
      <c r="G2909" s="7" t="s">
        <v>21</v>
      </c>
      <c r="H2909" s="7" t="s">
        <v>45</v>
      </c>
      <c r="I2909" s="20" t="s">
        <v>4184</v>
      </c>
      <c r="J2909" s="20" t="s">
        <v>528</v>
      </c>
      <c r="K2909" s="7" t="s">
        <v>111</v>
      </c>
      <c r="L2909" s="61">
        <v>45965</v>
      </c>
      <c r="M2909" s="7" t="s">
        <v>111</v>
      </c>
      <c r="N2909" s="61">
        <v>45965</v>
      </c>
      <c r="O2909" s="61">
        <v>45965</v>
      </c>
      <c r="Q2909" s="245"/>
      <c r="R2909" s="126">
        <v>45971</v>
      </c>
    </row>
    <row r="2910" spans="2:18" ht="17.25" hidden="1" customHeight="1">
      <c r="B2910" s="23">
        <v>45964</v>
      </c>
      <c r="C2910" s="7">
        <v>2003835017</v>
      </c>
      <c r="D2910" s="20">
        <v>6467827</v>
      </c>
      <c r="E2910" s="27" t="s">
        <v>622</v>
      </c>
      <c r="F2910" s="7" t="s">
        <v>107</v>
      </c>
      <c r="G2910" s="7" t="s">
        <v>10</v>
      </c>
      <c r="H2910" s="7" t="s">
        <v>45</v>
      </c>
      <c r="I2910" s="20" t="s">
        <v>4185</v>
      </c>
      <c r="J2910" s="20" t="s">
        <v>4186</v>
      </c>
      <c r="K2910" s="7" t="s">
        <v>119</v>
      </c>
      <c r="L2910" s="61">
        <v>45967</v>
      </c>
      <c r="M2910" s="7" t="s">
        <v>111</v>
      </c>
      <c r="N2910" s="24">
        <v>45968</v>
      </c>
      <c r="O2910" s="24">
        <v>45968</v>
      </c>
      <c r="R2910" s="126">
        <v>45971</v>
      </c>
    </row>
    <row r="2911" spans="2:18" ht="17.25" hidden="1" customHeight="1">
      <c r="B2911" s="23">
        <v>45964</v>
      </c>
      <c r="C2911" s="7">
        <v>2003812472</v>
      </c>
      <c r="D2911" s="20">
        <v>6467879</v>
      </c>
      <c r="E2911" s="27" t="s">
        <v>126</v>
      </c>
      <c r="F2911" s="7" t="s">
        <v>107</v>
      </c>
      <c r="G2911" s="7" t="s">
        <v>21</v>
      </c>
      <c r="H2911" s="7" t="s">
        <v>45</v>
      </c>
      <c r="I2911" s="20" t="s">
        <v>147</v>
      </c>
      <c r="J2911" s="20" t="s">
        <v>4032</v>
      </c>
      <c r="K2911" s="7" t="s">
        <v>111</v>
      </c>
      <c r="L2911" s="61">
        <v>45965</v>
      </c>
      <c r="M2911" s="7" t="s">
        <v>111</v>
      </c>
      <c r="N2911" s="61">
        <v>45965</v>
      </c>
      <c r="O2911" s="58">
        <v>45968</v>
      </c>
      <c r="Q2911" s="245"/>
      <c r="R2911" s="126">
        <v>45971</v>
      </c>
    </row>
    <row r="2912" spans="2:18" ht="17.25" hidden="1" customHeight="1">
      <c r="B2912" s="23">
        <v>45964</v>
      </c>
      <c r="C2912" s="7">
        <v>2003711134</v>
      </c>
      <c r="D2912" s="20">
        <v>6467907</v>
      </c>
      <c r="E2912" s="27" t="s">
        <v>566</v>
      </c>
      <c r="F2912" s="7" t="s">
        <v>107</v>
      </c>
      <c r="G2912" s="7" t="s">
        <v>21</v>
      </c>
      <c r="H2912" s="7" t="s">
        <v>45</v>
      </c>
      <c r="I2912" s="20" t="s">
        <v>4187</v>
      </c>
      <c r="J2912" s="20" t="s">
        <v>3303</v>
      </c>
      <c r="K2912" s="7" t="s">
        <v>110</v>
      </c>
      <c r="L2912" s="61">
        <v>45965</v>
      </c>
      <c r="M2912" s="7" t="s">
        <v>111</v>
      </c>
      <c r="N2912" s="24">
        <v>45978</v>
      </c>
      <c r="O2912" s="24">
        <v>45978</v>
      </c>
      <c r="Q2912" s="245"/>
      <c r="R2912" s="126">
        <v>45983</v>
      </c>
    </row>
    <row r="2913" spans="2:18 16384:16384" ht="17.25" hidden="1" customHeight="1">
      <c r="B2913" s="23">
        <v>45964</v>
      </c>
      <c r="C2913" s="7">
        <v>2003724751</v>
      </c>
      <c r="D2913" s="20">
        <v>6467935</v>
      </c>
      <c r="E2913" s="27" t="s">
        <v>265</v>
      </c>
      <c r="F2913" s="7" t="s">
        <v>107</v>
      </c>
      <c r="G2913" s="7" t="s">
        <v>15</v>
      </c>
      <c r="H2913" s="7" t="s">
        <v>45</v>
      </c>
      <c r="I2913" s="20" t="s">
        <v>4188</v>
      </c>
      <c r="J2913" s="20" t="s">
        <v>4189</v>
      </c>
      <c r="K2913" s="7" t="s">
        <v>110</v>
      </c>
      <c r="L2913" s="61">
        <v>45968</v>
      </c>
      <c r="M2913" s="7" t="s">
        <v>111</v>
      </c>
      <c r="N2913" s="61">
        <v>45968</v>
      </c>
      <c r="O2913" s="58">
        <v>45973</v>
      </c>
      <c r="Q2913" s="245"/>
      <c r="R2913" s="126">
        <v>45974</v>
      </c>
    </row>
    <row r="2914" spans="2:18 16384:16384" ht="17.25" hidden="1" customHeight="1">
      <c r="B2914" s="23">
        <v>45965</v>
      </c>
      <c r="C2914" s="7">
        <v>2003834336</v>
      </c>
      <c r="D2914" s="20">
        <v>349052</v>
      </c>
      <c r="E2914" s="27" t="s">
        <v>112</v>
      </c>
      <c r="F2914" s="7" t="s">
        <v>107</v>
      </c>
      <c r="G2914" s="7" t="s">
        <v>15</v>
      </c>
      <c r="H2914" s="7" t="s">
        <v>45</v>
      </c>
      <c r="I2914" s="20" t="s">
        <v>1933</v>
      </c>
      <c r="J2914" s="20" t="s">
        <v>4190</v>
      </c>
      <c r="K2914" s="7" t="s">
        <v>119</v>
      </c>
      <c r="L2914" s="61">
        <v>45968</v>
      </c>
      <c r="M2914" s="7" t="s">
        <v>111</v>
      </c>
      <c r="N2914" s="61">
        <v>45968</v>
      </c>
      <c r="O2914" s="58">
        <v>45973</v>
      </c>
      <c r="R2914" s="126">
        <v>45974</v>
      </c>
    </row>
    <row r="2915" spans="2:18 16384:16384" ht="17.25" hidden="1" customHeight="1">
      <c r="B2915" s="23">
        <v>45965</v>
      </c>
      <c r="C2915" s="7">
        <v>2003835719</v>
      </c>
      <c r="D2915" s="20">
        <v>348854</v>
      </c>
      <c r="E2915" s="27" t="s">
        <v>258</v>
      </c>
      <c r="F2915" s="7" t="s">
        <v>107</v>
      </c>
      <c r="G2915" s="7" t="s">
        <v>18</v>
      </c>
      <c r="H2915" s="7" t="s">
        <v>45</v>
      </c>
      <c r="I2915" s="20" t="s">
        <v>4191</v>
      </c>
      <c r="J2915" s="20" t="s">
        <v>4192</v>
      </c>
      <c r="K2915" s="7" t="s">
        <v>110</v>
      </c>
      <c r="L2915" s="61">
        <v>45971</v>
      </c>
      <c r="M2915" s="7" t="s">
        <v>111</v>
      </c>
      <c r="N2915" s="24">
        <v>45972</v>
      </c>
      <c r="O2915" s="24">
        <v>45972</v>
      </c>
      <c r="Q2915" s="245"/>
      <c r="R2915" s="126">
        <v>45972</v>
      </c>
    </row>
    <row r="2916" spans="2:18 16384:16384" ht="17.25" hidden="1" customHeight="1">
      <c r="B2916" s="23">
        <v>45965</v>
      </c>
      <c r="C2916" s="7">
        <v>2003666358</v>
      </c>
      <c r="D2916" s="20">
        <v>348941</v>
      </c>
      <c r="E2916" s="27" t="s">
        <v>132</v>
      </c>
      <c r="F2916" s="7" t="s">
        <v>107</v>
      </c>
      <c r="G2916" s="7" t="s">
        <v>10</v>
      </c>
      <c r="H2916" s="7" t="s">
        <v>45</v>
      </c>
      <c r="I2916" s="20" t="s">
        <v>4193</v>
      </c>
      <c r="J2916" s="20" t="s">
        <v>4194</v>
      </c>
      <c r="K2916" s="7" t="s">
        <v>110</v>
      </c>
      <c r="L2916" s="61">
        <v>45968</v>
      </c>
      <c r="M2916" s="7" t="s">
        <v>111</v>
      </c>
      <c r="N2916" s="61">
        <v>45968</v>
      </c>
      <c r="O2916" s="61">
        <v>45968</v>
      </c>
      <c r="Q2916" s="245"/>
      <c r="R2916" s="126">
        <v>45971</v>
      </c>
    </row>
    <row r="2917" spans="2:18 16384:16384" ht="17.25" hidden="1" customHeight="1">
      <c r="B2917" s="23">
        <v>45965</v>
      </c>
      <c r="C2917" s="7">
        <v>2003826571</v>
      </c>
      <c r="D2917" s="20">
        <v>348463</v>
      </c>
      <c r="E2917" s="27" t="s">
        <v>265</v>
      </c>
      <c r="F2917" s="7" t="s">
        <v>107</v>
      </c>
      <c r="G2917" s="7" t="s">
        <v>15</v>
      </c>
      <c r="H2917" s="7" t="s">
        <v>45</v>
      </c>
      <c r="I2917" s="20" t="s">
        <v>2555</v>
      </c>
      <c r="J2917" s="20" t="s">
        <v>4195</v>
      </c>
      <c r="K2917" s="7" t="s">
        <v>119</v>
      </c>
      <c r="L2917" s="61">
        <v>45975</v>
      </c>
      <c r="M2917" s="7" t="s">
        <v>111</v>
      </c>
      <c r="N2917" s="24">
        <v>45978</v>
      </c>
      <c r="O2917" s="58">
        <v>45981</v>
      </c>
      <c r="R2917" s="126">
        <v>45983</v>
      </c>
    </row>
    <row r="2918" spans="2:18 16384:16384" ht="17.25" hidden="1" customHeight="1">
      <c r="B2918" s="23">
        <v>45965</v>
      </c>
      <c r="C2918" s="7">
        <v>2003789578</v>
      </c>
      <c r="D2918" s="20">
        <v>348441</v>
      </c>
      <c r="E2918" s="27" t="s">
        <v>106</v>
      </c>
      <c r="F2918" s="7" t="s">
        <v>107</v>
      </c>
      <c r="G2918" s="7" t="s">
        <v>18</v>
      </c>
      <c r="H2918" s="7" t="s">
        <v>45</v>
      </c>
      <c r="I2918" s="20" t="s">
        <v>3256</v>
      </c>
      <c r="J2918" s="20" t="s">
        <v>3257</v>
      </c>
      <c r="K2918" s="7" t="s">
        <v>119</v>
      </c>
      <c r="L2918" s="61">
        <v>45967</v>
      </c>
      <c r="M2918" s="7" t="s">
        <v>111</v>
      </c>
      <c r="N2918" s="61">
        <v>45967</v>
      </c>
      <c r="O2918" s="61">
        <v>45967</v>
      </c>
      <c r="R2918" s="126">
        <v>45971</v>
      </c>
    </row>
    <row r="2919" spans="2:18 16384:16384" ht="17.25" hidden="1" customHeight="1">
      <c r="B2919" s="23">
        <v>45965</v>
      </c>
      <c r="C2919" s="7">
        <v>2003743199</v>
      </c>
      <c r="D2919" s="20">
        <v>347787</v>
      </c>
      <c r="E2919" s="27" t="s">
        <v>191</v>
      </c>
      <c r="F2919" s="7" t="s">
        <v>107</v>
      </c>
      <c r="G2919" s="7" t="s">
        <v>10</v>
      </c>
      <c r="H2919" s="7" t="s">
        <v>45</v>
      </c>
      <c r="I2919" s="20" t="s">
        <v>4196</v>
      </c>
      <c r="J2919" s="20" t="s">
        <v>4197</v>
      </c>
      <c r="K2919" s="7" t="s">
        <v>119</v>
      </c>
      <c r="L2919" s="61">
        <v>45967</v>
      </c>
      <c r="M2919" s="7" t="s">
        <v>111</v>
      </c>
      <c r="N2919" s="24">
        <v>45968</v>
      </c>
      <c r="O2919" s="24">
        <v>45968</v>
      </c>
      <c r="R2919" s="126">
        <v>45971</v>
      </c>
    </row>
    <row r="2920" spans="2:18 16384:16384" ht="17.25" hidden="1" customHeight="1">
      <c r="B2920" s="23">
        <v>45965</v>
      </c>
      <c r="C2920" s="7">
        <v>2003831834</v>
      </c>
      <c r="D2920" s="20">
        <v>347407</v>
      </c>
      <c r="E2920" s="27" t="s">
        <v>135</v>
      </c>
      <c r="F2920" s="7" t="s">
        <v>107</v>
      </c>
      <c r="G2920" s="7" t="s">
        <v>15</v>
      </c>
      <c r="H2920" s="7" t="s">
        <v>45</v>
      </c>
      <c r="I2920" s="20" t="s">
        <v>263</v>
      </c>
      <c r="J2920" s="20" t="s">
        <v>4198</v>
      </c>
      <c r="K2920" s="7" t="s">
        <v>110</v>
      </c>
      <c r="L2920" s="61">
        <v>45967</v>
      </c>
      <c r="M2920" s="7" t="s">
        <v>111</v>
      </c>
      <c r="N2920" s="61">
        <v>45968</v>
      </c>
      <c r="O2920" s="58">
        <v>45974</v>
      </c>
      <c r="Q2920" s="245"/>
      <c r="R2920" s="126">
        <v>45974</v>
      </c>
    </row>
    <row r="2921" spans="2:18 16384:16384" ht="17.25" hidden="1" customHeight="1">
      <c r="B2921" s="23">
        <v>45965</v>
      </c>
      <c r="C2921" s="7">
        <v>2003834171</v>
      </c>
      <c r="D2921" s="20">
        <v>6468167</v>
      </c>
      <c r="E2921" s="27" t="s">
        <v>408</v>
      </c>
      <c r="F2921" s="7" t="s">
        <v>107</v>
      </c>
      <c r="G2921" s="7" t="s">
        <v>18</v>
      </c>
      <c r="H2921" s="7" t="s">
        <v>45</v>
      </c>
      <c r="I2921" s="20" t="s">
        <v>4199</v>
      </c>
      <c r="J2921" s="20" t="s">
        <v>4200</v>
      </c>
      <c r="K2921" s="7" t="s">
        <v>110</v>
      </c>
      <c r="L2921" s="61">
        <v>45971</v>
      </c>
      <c r="M2921" s="7" t="s">
        <v>111</v>
      </c>
      <c r="N2921" s="24">
        <v>45972</v>
      </c>
      <c r="O2921" s="58">
        <v>45974</v>
      </c>
      <c r="Q2921" s="245"/>
      <c r="R2921" s="126">
        <v>45974</v>
      </c>
    </row>
    <row r="2922" spans="2:18 16384:16384" ht="17.25" hidden="1" customHeight="1">
      <c r="B2922" s="23">
        <v>45965</v>
      </c>
      <c r="C2922" s="7">
        <v>2003827750</v>
      </c>
      <c r="D2922" s="20">
        <v>6468251</v>
      </c>
      <c r="E2922" s="27" t="s">
        <v>230</v>
      </c>
      <c r="F2922" s="7" t="s">
        <v>107</v>
      </c>
      <c r="G2922" s="7" t="s">
        <v>10</v>
      </c>
      <c r="H2922" s="7" t="s">
        <v>45</v>
      </c>
      <c r="I2922" s="20" t="s">
        <v>4201</v>
      </c>
      <c r="J2922" s="20" t="s">
        <v>4202</v>
      </c>
      <c r="K2922" s="7" t="s">
        <v>110</v>
      </c>
      <c r="L2922" s="61">
        <v>45966</v>
      </c>
      <c r="M2922" s="7" t="s">
        <v>111</v>
      </c>
      <c r="N2922" s="24">
        <v>45968</v>
      </c>
      <c r="O2922" s="24">
        <v>45974</v>
      </c>
      <c r="Q2922" s="245"/>
      <c r="R2922" s="126">
        <v>45979</v>
      </c>
    </row>
    <row r="2923" spans="2:18 16384:16384" ht="17.25" hidden="1" customHeight="1">
      <c r="B2923" s="23">
        <v>45965</v>
      </c>
      <c r="C2923" s="7">
        <v>2003822493</v>
      </c>
      <c r="D2923" s="20">
        <v>6468552</v>
      </c>
      <c r="E2923" s="27" t="s">
        <v>265</v>
      </c>
      <c r="F2923" s="7" t="s">
        <v>107</v>
      </c>
      <c r="G2923" s="7" t="s">
        <v>15</v>
      </c>
      <c r="H2923" s="7" t="s">
        <v>45</v>
      </c>
      <c r="I2923" s="20" t="s">
        <v>1966</v>
      </c>
      <c r="J2923" s="20" t="s">
        <v>4203</v>
      </c>
      <c r="K2923" s="7" t="s">
        <v>110</v>
      </c>
      <c r="L2923" s="61">
        <v>45972</v>
      </c>
      <c r="M2923" s="7" t="s">
        <v>111</v>
      </c>
      <c r="N2923" s="61">
        <v>45972</v>
      </c>
      <c r="O2923" s="58">
        <v>45974</v>
      </c>
      <c r="Q2923" s="245"/>
      <c r="R2923" s="126">
        <v>45974</v>
      </c>
    </row>
    <row r="2924" spans="2:18 16384:16384" ht="17.25" hidden="1" customHeight="1">
      <c r="B2924" s="23">
        <v>45966</v>
      </c>
      <c r="C2924" s="7">
        <v>2003832634</v>
      </c>
      <c r="D2924" s="20">
        <v>350643</v>
      </c>
      <c r="E2924" s="27" t="s">
        <v>135</v>
      </c>
      <c r="F2924" s="7" t="s">
        <v>107</v>
      </c>
      <c r="G2924" s="7" t="s">
        <v>15</v>
      </c>
      <c r="H2924" s="7" t="s">
        <v>45</v>
      </c>
      <c r="I2924" s="20" t="s">
        <v>868</v>
      </c>
      <c r="J2924" s="20" t="s">
        <v>4204</v>
      </c>
      <c r="K2924" s="7" t="s">
        <v>110</v>
      </c>
      <c r="L2924" s="61">
        <v>45972</v>
      </c>
      <c r="M2924" s="7" t="s">
        <v>111</v>
      </c>
      <c r="N2924" s="61">
        <v>45972</v>
      </c>
      <c r="O2924" s="24">
        <v>45974</v>
      </c>
      <c r="Q2924" s="245"/>
      <c r="R2924" s="126">
        <v>45979</v>
      </c>
    </row>
    <row r="2925" spans="2:18 16384:16384" ht="17.25" hidden="1" customHeight="1">
      <c r="B2925" s="23">
        <v>45966</v>
      </c>
      <c r="C2925" s="7">
        <v>2003803111</v>
      </c>
      <c r="D2925" s="20">
        <v>350628</v>
      </c>
      <c r="E2925" s="27" t="s">
        <v>185</v>
      </c>
      <c r="F2925" s="7" t="s">
        <v>107</v>
      </c>
      <c r="G2925" s="7" t="s">
        <v>10</v>
      </c>
      <c r="H2925" s="7" t="s">
        <v>45</v>
      </c>
      <c r="I2925" s="20" t="s">
        <v>4205</v>
      </c>
      <c r="J2925" s="20" t="s">
        <v>4206</v>
      </c>
      <c r="K2925" s="7" t="s">
        <v>110</v>
      </c>
      <c r="L2925" s="61">
        <v>45971</v>
      </c>
      <c r="M2925" s="7" t="s">
        <v>111</v>
      </c>
      <c r="N2925" s="24">
        <v>45972</v>
      </c>
      <c r="O2925" s="24">
        <v>45972</v>
      </c>
      <c r="Q2925" s="245"/>
      <c r="R2925" s="126">
        <v>45972</v>
      </c>
    </row>
    <row r="2926" spans="2:18 16384:16384" ht="17.25" hidden="1" customHeight="1">
      <c r="B2926" s="23">
        <v>45966</v>
      </c>
      <c r="C2926" s="7">
        <v>2003824702</v>
      </c>
      <c r="D2926" s="20">
        <v>350406</v>
      </c>
      <c r="E2926" s="27" t="s">
        <v>3189</v>
      </c>
      <c r="F2926" s="7" t="s">
        <v>107</v>
      </c>
      <c r="G2926" s="7" t="s">
        <v>10</v>
      </c>
      <c r="H2926" s="7" t="s">
        <v>45</v>
      </c>
      <c r="I2926" s="20" t="s">
        <v>453</v>
      </c>
      <c r="J2926" s="20" t="s">
        <v>4207</v>
      </c>
      <c r="K2926" s="7" t="s">
        <v>110</v>
      </c>
      <c r="L2926" s="61">
        <v>45973</v>
      </c>
      <c r="M2926" s="7" t="s">
        <v>111</v>
      </c>
      <c r="N2926" s="24">
        <v>45974</v>
      </c>
      <c r="O2926" s="24">
        <v>45974</v>
      </c>
      <c r="Q2926" s="245"/>
      <c r="R2926" s="126">
        <v>45974</v>
      </c>
      <c r="XFD2926" s="24">
        <v>45974</v>
      </c>
    </row>
    <row r="2927" spans="2:18 16384:16384" ht="17.25" hidden="1" customHeight="1">
      <c r="B2927" s="23">
        <v>45966</v>
      </c>
      <c r="C2927" s="7">
        <v>2003725124</v>
      </c>
      <c r="D2927" s="20">
        <v>6468856</v>
      </c>
      <c r="E2927" s="27" t="s">
        <v>3586</v>
      </c>
      <c r="F2927" s="7" t="s">
        <v>107</v>
      </c>
      <c r="G2927" s="7" t="s">
        <v>15</v>
      </c>
      <c r="H2927" s="7" t="s">
        <v>45</v>
      </c>
      <c r="I2927" s="20" t="s">
        <v>4208</v>
      </c>
      <c r="J2927" s="20" t="s">
        <v>3927</v>
      </c>
      <c r="K2927" s="7" t="s">
        <v>110</v>
      </c>
      <c r="L2927" s="61">
        <v>45967</v>
      </c>
      <c r="M2927" s="7" t="s">
        <v>111</v>
      </c>
      <c r="N2927" s="24">
        <v>45980</v>
      </c>
      <c r="O2927" s="24">
        <v>45980</v>
      </c>
      <c r="Q2927" s="245"/>
      <c r="R2927" s="126">
        <v>45983</v>
      </c>
    </row>
    <row r="2928" spans="2:18 16384:16384" ht="17.25" hidden="1" customHeight="1">
      <c r="B2928" s="23">
        <v>45966</v>
      </c>
      <c r="C2928" s="7">
        <v>2003837208</v>
      </c>
      <c r="D2928" s="20">
        <v>6469117</v>
      </c>
      <c r="E2928" s="27" t="s">
        <v>622</v>
      </c>
      <c r="F2928" s="7" t="s">
        <v>107</v>
      </c>
      <c r="G2928" s="7" t="s">
        <v>18</v>
      </c>
      <c r="H2928" s="7" t="s">
        <v>45</v>
      </c>
      <c r="I2928" s="20" t="s">
        <v>4209</v>
      </c>
      <c r="J2928" s="20" t="s">
        <v>1787</v>
      </c>
      <c r="K2928" s="7" t="s">
        <v>119</v>
      </c>
      <c r="L2928" s="61">
        <v>45968</v>
      </c>
      <c r="M2928" s="7" t="s">
        <v>111</v>
      </c>
      <c r="N2928" s="61">
        <v>45968</v>
      </c>
      <c r="O2928" s="58">
        <v>45973</v>
      </c>
      <c r="R2928" s="126">
        <v>45974</v>
      </c>
    </row>
    <row r="2929" spans="2:18" ht="17.25" hidden="1" customHeight="1">
      <c r="B2929" s="23">
        <v>45966</v>
      </c>
      <c r="C2929" s="7">
        <v>2003784496</v>
      </c>
      <c r="D2929" s="20">
        <v>6469394</v>
      </c>
      <c r="E2929" s="27" t="s">
        <v>138</v>
      </c>
      <c r="F2929" s="7" t="s">
        <v>107</v>
      </c>
      <c r="G2929" s="7" t="s">
        <v>10</v>
      </c>
      <c r="H2929" s="7" t="s">
        <v>45</v>
      </c>
      <c r="I2929" s="20" t="s">
        <v>4210</v>
      </c>
      <c r="J2929" s="20" t="s">
        <v>4211</v>
      </c>
      <c r="K2929" s="7" t="s">
        <v>119</v>
      </c>
      <c r="L2929" s="61">
        <v>45967</v>
      </c>
      <c r="M2929" s="7" t="s">
        <v>111</v>
      </c>
      <c r="N2929" s="24">
        <v>45968</v>
      </c>
      <c r="O2929" s="24">
        <v>45972</v>
      </c>
      <c r="R2929" s="126">
        <v>45972</v>
      </c>
    </row>
    <row r="2930" spans="2:18" ht="17.25" hidden="1" customHeight="1">
      <c r="B2930" s="23">
        <v>45966</v>
      </c>
      <c r="C2930" s="7">
        <v>2003834628</v>
      </c>
      <c r="D2930" s="20">
        <v>6469495</v>
      </c>
      <c r="E2930" s="27" t="s">
        <v>1225</v>
      </c>
      <c r="F2930" s="7" t="s">
        <v>107</v>
      </c>
      <c r="G2930" s="7" t="s">
        <v>10</v>
      </c>
      <c r="H2930" s="7" t="s">
        <v>45</v>
      </c>
      <c r="I2930" s="20" t="s">
        <v>3300</v>
      </c>
      <c r="J2930" s="20" t="s">
        <v>4212</v>
      </c>
      <c r="K2930" s="7" t="s">
        <v>110</v>
      </c>
      <c r="L2930" s="61">
        <v>45975</v>
      </c>
      <c r="M2930" s="7" t="s">
        <v>111</v>
      </c>
      <c r="N2930" s="24">
        <v>45978</v>
      </c>
      <c r="O2930" s="24">
        <v>45978</v>
      </c>
      <c r="Q2930" s="245"/>
      <c r="R2930" s="126">
        <v>45979</v>
      </c>
    </row>
    <row r="2931" spans="2:18" ht="17.25" hidden="1" customHeight="1">
      <c r="B2931" s="23">
        <v>45967</v>
      </c>
      <c r="C2931" s="7">
        <v>2003817951</v>
      </c>
      <c r="D2931" s="20">
        <v>352296</v>
      </c>
      <c r="E2931" s="27" t="s">
        <v>185</v>
      </c>
      <c r="F2931" s="7" t="s">
        <v>107</v>
      </c>
      <c r="G2931" s="7" t="s">
        <v>26</v>
      </c>
      <c r="H2931" s="7" t="s">
        <v>45</v>
      </c>
      <c r="I2931" s="20" t="s">
        <v>4213</v>
      </c>
      <c r="J2931" s="20" t="s">
        <v>4214</v>
      </c>
      <c r="K2931" s="7" t="s">
        <v>110</v>
      </c>
      <c r="L2931" s="61">
        <v>45973</v>
      </c>
      <c r="M2931" s="7" t="s">
        <v>111</v>
      </c>
      <c r="N2931" s="24">
        <v>45974</v>
      </c>
      <c r="O2931" s="58">
        <v>45974</v>
      </c>
      <c r="Q2931" s="245"/>
      <c r="R2931" s="126">
        <v>45974</v>
      </c>
    </row>
    <row r="2932" spans="2:18" ht="17.25" hidden="1" customHeight="1">
      <c r="B2932" s="23">
        <v>45967</v>
      </c>
      <c r="C2932" s="7">
        <v>2003785196</v>
      </c>
      <c r="D2932" s="20">
        <v>352073</v>
      </c>
      <c r="E2932" s="27" t="s">
        <v>157</v>
      </c>
      <c r="F2932" s="7" t="s">
        <v>107</v>
      </c>
      <c r="G2932" s="7" t="s">
        <v>15</v>
      </c>
      <c r="H2932" s="7" t="s">
        <v>45</v>
      </c>
      <c r="I2932" s="20" t="s">
        <v>4215</v>
      </c>
      <c r="J2932" s="20" t="s">
        <v>4216</v>
      </c>
      <c r="K2932" s="7" t="s">
        <v>110</v>
      </c>
      <c r="L2932" s="61">
        <v>45973</v>
      </c>
      <c r="M2932" s="7" t="s">
        <v>111</v>
      </c>
      <c r="N2932" s="24">
        <v>45974</v>
      </c>
      <c r="O2932" s="24">
        <v>45978</v>
      </c>
      <c r="Q2932" s="245"/>
      <c r="R2932" s="126">
        <v>45979</v>
      </c>
    </row>
    <row r="2933" spans="2:18" ht="17.25" hidden="1" customHeight="1">
      <c r="B2933" s="23">
        <v>45967</v>
      </c>
      <c r="C2933" s="7">
        <v>2003838410</v>
      </c>
      <c r="D2933" s="20">
        <v>351771</v>
      </c>
      <c r="E2933" s="27" t="s">
        <v>4217</v>
      </c>
      <c r="F2933" s="7" t="s">
        <v>107</v>
      </c>
      <c r="G2933" s="7" t="s">
        <v>18</v>
      </c>
      <c r="H2933" s="7" t="s">
        <v>45</v>
      </c>
      <c r="I2933" s="20" t="s">
        <v>3166</v>
      </c>
      <c r="J2933" s="20" t="s">
        <v>4218</v>
      </c>
      <c r="K2933" s="7" t="s">
        <v>110</v>
      </c>
      <c r="L2933" s="61">
        <v>45973</v>
      </c>
      <c r="M2933" s="7" t="s">
        <v>111</v>
      </c>
      <c r="N2933" s="24">
        <v>45974</v>
      </c>
      <c r="O2933" s="24">
        <v>45974</v>
      </c>
      <c r="Q2933" s="245"/>
      <c r="R2933" s="126">
        <v>45979</v>
      </c>
    </row>
    <row r="2934" spans="2:18" ht="17.25" hidden="1" customHeight="1">
      <c r="B2934" s="23">
        <v>45967</v>
      </c>
      <c r="C2934" s="7">
        <v>2003827830</v>
      </c>
      <c r="D2934" s="20">
        <v>351731</v>
      </c>
      <c r="E2934" s="27" t="s">
        <v>138</v>
      </c>
      <c r="F2934" s="7" t="s">
        <v>107</v>
      </c>
      <c r="G2934" s="7" t="s">
        <v>10</v>
      </c>
      <c r="H2934" s="7" t="s">
        <v>45</v>
      </c>
      <c r="I2934" s="20" t="s">
        <v>4219</v>
      </c>
      <c r="J2934" s="20" t="s">
        <v>2788</v>
      </c>
      <c r="K2934" s="7" t="s">
        <v>110</v>
      </c>
      <c r="L2934" s="61">
        <v>45971</v>
      </c>
      <c r="M2934" s="7" t="s">
        <v>111</v>
      </c>
      <c r="N2934" s="24">
        <v>45980</v>
      </c>
      <c r="O2934" s="24">
        <v>45980</v>
      </c>
      <c r="Q2934" s="245"/>
      <c r="R2934" s="126">
        <v>45983</v>
      </c>
    </row>
    <row r="2935" spans="2:18" ht="17.25" hidden="1" customHeight="1">
      <c r="B2935" s="23">
        <v>45967</v>
      </c>
      <c r="C2935" s="7">
        <v>2003836943</v>
      </c>
      <c r="D2935" s="20">
        <v>6469939</v>
      </c>
      <c r="E2935" s="27" t="s">
        <v>1225</v>
      </c>
      <c r="F2935" s="7" t="s">
        <v>107</v>
      </c>
      <c r="G2935" s="7" t="s">
        <v>18</v>
      </c>
      <c r="H2935" s="7" t="s">
        <v>45</v>
      </c>
      <c r="I2935" s="20" t="s">
        <v>4220</v>
      </c>
      <c r="J2935" s="20" t="s">
        <v>4221</v>
      </c>
      <c r="K2935" s="7" t="s">
        <v>110</v>
      </c>
      <c r="L2935" s="61">
        <v>45972</v>
      </c>
      <c r="M2935" s="7" t="s">
        <v>111</v>
      </c>
      <c r="N2935" s="61">
        <v>45972</v>
      </c>
      <c r="O2935" s="61">
        <v>45972</v>
      </c>
      <c r="Q2935" s="245"/>
      <c r="R2935" s="126">
        <v>45972</v>
      </c>
    </row>
    <row r="2936" spans="2:18" ht="17.25" hidden="1" customHeight="1">
      <c r="B2936" s="23">
        <v>45967</v>
      </c>
      <c r="C2936" s="7">
        <v>2003822807</v>
      </c>
      <c r="D2936" s="20">
        <v>6470283</v>
      </c>
      <c r="E2936" s="27" t="s">
        <v>1225</v>
      </c>
      <c r="F2936" s="7" t="s">
        <v>107</v>
      </c>
      <c r="G2936" s="7" t="s">
        <v>26</v>
      </c>
      <c r="H2936" s="7" t="s">
        <v>45</v>
      </c>
      <c r="I2936" s="20" t="s">
        <v>1200</v>
      </c>
      <c r="J2936" s="20" t="s">
        <v>2185</v>
      </c>
      <c r="K2936" s="7" t="s">
        <v>110</v>
      </c>
      <c r="L2936" s="61">
        <v>45971</v>
      </c>
      <c r="M2936" s="7" t="s">
        <v>111</v>
      </c>
      <c r="N2936" s="24">
        <v>45974</v>
      </c>
      <c r="O2936" s="58">
        <v>45974</v>
      </c>
      <c r="Q2936" s="245"/>
      <c r="R2936" s="126">
        <v>45974</v>
      </c>
    </row>
    <row r="2937" spans="2:18" ht="17.25" hidden="1" customHeight="1">
      <c r="B2937" s="23">
        <v>45968</v>
      </c>
      <c r="C2937" s="7">
        <v>2003838933</v>
      </c>
      <c r="D2937" s="20">
        <v>353566</v>
      </c>
      <c r="E2937" s="27" t="s">
        <v>1225</v>
      </c>
      <c r="F2937" s="7" t="s">
        <v>107</v>
      </c>
      <c r="G2937" s="7" t="s">
        <v>10</v>
      </c>
      <c r="H2937" s="7" t="s">
        <v>45</v>
      </c>
      <c r="I2937" s="20" t="s">
        <v>4222</v>
      </c>
      <c r="J2937" s="20" t="s">
        <v>4223</v>
      </c>
      <c r="K2937" s="7" t="s">
        <v>110</v>
      </c>
      <c r="L2937" s="61">
        <v>45972</v>
      </c>
      <c r="M2937" s="7" t="s">
        <v>111</v>
      </c>
      <c r="N2937" s="61">
        <v>45972</v>
      </c>
      <c r="O2937" s="24">
        <v>45978</v>
      </c>
      <c r="Q2937" s="245"/>
      <c r="R2937" s="126">
        <v>45979</v>
      </c>
    </row>
    <row r="2938" spans="2:18" ht="17.25" hidden="1" customHeight="1">
      <c r="B2938" s="23">
        <v>45968</v>
      </c>
      <c r="C2938" s="7">
        <v>2003836358</v>
      </c>
      <c r="D2938" s="20">
        <v>353514</v>
      </c>
      <c r="E2938" s="27" t="s">
        <v>138</v>
      </c>
      <c r="F2938" s="7" t="s">
        <v>107</v>
      </c>
      <c r="G2938" s="7" t="s">
        <v>10</v>
      </c>
      <c r="H2938" s="7" t="s">
        <v>45</v>
      </c>
      <c r="I2938" s="20" t="s">
        <v>606</v>
      </c>
      <c r="J2938" s="20" t="s">
        <v>4224</v>
      </c>
      <c r="K2938" s="7" t="s">
        <v>110</v>
      </c>
      <c r="L2938" s="61">
        <v>45971</v>
      </c>
      <c r="M2938" s="7" t="s">
        <v>111</v>
      </c>
      <c r="N2938" s="24">
        <v>45972</v>
      </c>
      <c r="O2938" s="24">
        <v>45974</v>
      </c>
      <c r="Q2938" s="245"/>
      <c r="R2938" s="126">
        <v>45979</v>
      </c>
    </row>
    <row r="2939" spans="2:18" ht="17.25" hidden="1" customHeight="1">
      <c r="B2939" s="23">
        <v>45968</v>
      </c>
      <c r="C2939" s="7">
        <v>2003783585</v>
      </c>
      <c r="D2939" s="20">
        <v>6470555</v>
      </c>
      <c r="E2939" s="27" t="s">
        <v>230</v>
      </c>
      <c r="F2939" s="7" t="s">
        <v>107</v>
      </c>
      <c r="G2939" s="7" t="s">
        <v>18</v>
      </c>
      <c r="H2939" s="7" t="s">
        <v>45</v>
      </c>
      <c r="I2939" s="20" t="s">
        <v>4225</v>
      </c>
      <c r="J2939" s="20" t="s">
        <v>4019</v>
      </c>
      <c r="K2939" s="7" t="s">
        <v>119</v>
      </c>
      <c r="L2939" s="61">
        <v>45974</v>
      </c>
      <c r="M2939" s="7" t="s">
        <v>111</v>
      </c>
      <c r="N2939" s="24">
        <v>45978</v>
      </c>
      <c r="O2939" s="58">
        <v>45981</v>
      </c>
      <c r="R2939" s="126">
        <v>45983</v>
      </c>
    </row>
    <row r="2940" spans="2:18" ht="17.25" hidden="1" customHeight="1">
      <c r="B2940" s="23">
        <v>45968</v>
      </c>
      <c r="C2940" s="7">
        <v>2003701392</v>
      </c>
      <c r="D2940" s="20">
        <v>6470721</v>
      </c>
      <c r="E2940" s="27" t="s">
        <v>126</v>
      </c>
      <c r="F2940" s="7" t="s">
        <v>107</v>
      </c>
      <c r="G2940" s="7" t="s">
        <v>10</v>
      </c>
      <c r="H2940" s="7" t="s">
        <v>45</v>
      </c>
      <c r="I2940" s="20" t="s">
        <v>4226</v>
      </c>
      <c r="J2940" s="20" t="s">
        <v>4227</v>
      </c>
      <c r="K2940" s="7" t="s">
        <v>110</v>
      </c>
      <c r="L2940" s="61">
        <v>45973</v>
      </c>
      <c r="M2940" s="7" t="s">
        <v>111</v>
      </c>
      <c r="N2940" s="24">
        <v>45974</v>
      </c>
      <c r="O2940" s="24">
        <v>45974</v>
      </c>
      <c r="Q2940" s="245"/>
      <c r="R2940" s="126">
        <v>45979</v>
      </c>
    </row>
    <row r="2941" spans="2:18" ht="17.25" hidden="1" customHeight="1">
      <c r="B2941" s="23">
        <v>45968</v>
      </c>
      <c r="C2941" s="7">
        <v>2003797241</v>
      </c>
      <c r="D2941" s="20">
        <v>6470759</v>
      </c>
      <c r="E2941" s="27" t="s">
        <v>888</v>
      </c>
      <c r="F2941" s="7" t="s">
        <v>107</v>
      </c>
      <c r="G2941" s="7" t="s">
        <v>10</v>
      </c>
      <c r="H2941" s="7" t="s">
        <v>45</v>
      </c>
      <c r="I2941" s="20" t="s">
        <v>3364</v>
      </c>
      <c r="J2941" s="20" t="s">
        <v>3881</v>
      </c>
      <c r="K2941" s="7" t="s">
        <v>111</v>
      </c>
      <c r="L2941" s="61">
        <v>45968</v>
      </c>
      <c r="M2941" s="7" t="s">
        <v>111</v>
      </c>
      <c r="N2941" s="24">
        <v>45972</v>
      </c>
      <c r="O2941" s="24">
        <v>45972</v>
      </c>
      <c r="Q2941" s="245"/>
      <c r="R2941" s="126">
        <v>45972</v>
      </c>
    </row>
    <row r="2942" spans="2:18" ht="17.25" hidden="1" customHeight="1">
      <c r="B2942" s="23">
        <v>45968</v>
      </c>
      <c r="C2942" s="7">
        <v>2003789185</v>
      </c>
      <c r="D2942" s="20">
        <v>6470786</v>
      </c>
      <c r="E2942" s="27" t="s">
        <v>138</v>
      </c>
      <c r="F2942" s="7" t="s">
        <v>107</v>
      </c>
      <c r="G2942" s="7" t="s">
        <v>10</v>
      </c>
      <c r="H2942" s="7" t="s">
        <v>45</v>
      </c>
      <c r="I2942" s="20" t="s">
        <v>4228</v>
      </c>
      <c r="J2942" s="20" t="s">
        <v>4229</v>
      </c>
      <c r="K2942" s="7" t="s">
        <v>110</v>
      </c>
      <c r="L2942" s="61">
        <v>45971</v>
      </c>
      <c r="M2942" s="7" t="s">
        <v>111</v>
      </c>
      <c r="N2942" s="24">
        <v>45973</v>
      </c>
      <c r="O2942" s="24">
        <v>45973</v>
      </c>
      <c r="Q2942" s="245"/>
      <c r="R2942" s="126">
        <v>45974</v>
      </c>
    </row>
    <row r="2943" spans="2:18" ht="17.25" hidden="1" customHeight="1">
      <c r="B2943" s="23">
        <v>45968</v>
      </c>
      <c r="C2943" s="7">
        <v>2003820118</v>
      </c>
      <c r="D2943" s="20">
        <v>6470798</v>
      </c>
      <c r="E2943" s="27" t="s">
        <v>143</v>
      </c>
      <c r="F2943" s="7" t="s">
        <v>107</v>
      </c>
      <c r="G2943" s="7" t="s">
        <v>10</v>
      </c>
      <c r="H2943" s="7" t="s">
        <v>45</v>
      </c>
      <c r="I2943" s="20" t="s">
        <v>4230</v>
      </c>
      <c r="J2943" s="20" t="s">
        <v>4231</v>
      </c>
      <c r="K2943" s="7" t="s">
        <v>110</v>
      </c>
      <c r="L2943" s="61">
        <v>45972</v>
      </c>
      <c r="M2943" s="7" t="s">
        <v>111</v>
      </c>
      <c r="N2943" s="24">
        <v>45978</v>
      </c>
      <c r="O2943" s="24">
        <v>45978</v>
      </c>
      <c r="Q2943" s="245"/>
      <c r="R2943" s="126">
        <v>45979</v>
      </c>
    </row>
    <row r="2944" spans="2:18" ht="17.25" hidden="1" customHeight="1">
      <c r="B2944" s="23">
        <v>45968</v>
      </c>
      <c r="C2944" s="7">
        <v>2003817989</v>
      </c>
      <c r="D2944" s="20">
        <v>6470910</v>
      </c>
      <c r="E2944" s="27" t="s">
        <v>157</v>
      </c>
      <c r="F2944" s="7" t="s">
        <v>107</v>
      </c>
      <c r="G2944" s="7" t="s">
        <v>15</v>
      </c>
      <c r="H2944" s="7" t="s">
        <v>45</v>
      </c>
      <c r="I2944" s="20" t="s">
        <v>4232</v>
      </c>
      <c r="J2944" s="20" t="s">
        <v>4233</v>
      </c>
      <c r="K2944" s="7" t="s">
        <v>110</v>
      </c>
      <c r="L2944" s="61">
        <v>45973</v>
      </c>
      <c r="M2944" s="7" t="s">
        <v>111</v>
      </c>
      <c r="N2944" s="24">
        <v>45974</v>
      </c>
      <c r="O2944" s="24">
        <v>45978</v>
      </c>
      <c r="Q2944" s="245"/>
      <c r="R2944" s="126">
        <v>45979</v>
      </c>
    </row>
    <row r="2945" spans="2:18" ht="17.25" hidden="1" customHeight="1">
      <c r="B2945" s="23">
        <v>45971</v>
      </c>
      <c r="C2945" s="7">
        <v>2003838592</v>
      </c>
      <c r="D2945" s="20">
        <v>355936</v>
      </c>
      <c r="E2945" s="27" t="s">
        <v>622</v>
      </c>
      <c r="F2945" s="7" t="s">
        <v>107</v>
      </c>
      <c r="G2945" s="7" t="s">
        <v>10</v>
      </c>
      <c r="H2945" s="7" t="s">
        <v>45</v>
      </c>
      <c r="I2945" s="20" t="s">
        <v>4234</v>
      </c>
      <c r="J2945" s="20" t="s">
        <v>4235</v>
      </c>
      <c r="K2945" s="7" t="s">
        <v>119</v>
      </c>
      <c r="L2945" s="61">
        <v>45975</v>
      </c>
      <c r="M2945" s="7" t="s">
        <v>111</v>
      </c>
      <c r="N2945" s="24">
        <v>45992</v>
      </c>
      <c r="O2945" s="24">
        <v>45992</v>
      </c>
      <c r="R2945" s="126">
        <v>45993</v>
      </c>
    </row>
    <row r="2946" spans="2:18" ht="17.25" hidden="1" customHeight="1">
      <c r="B2946" s="23">
        <v>45971</v>
      </c>
      <c r="C2946" s="7">
        <v>2003831717</v>
      </c>
      <c r="D2946" s="20">
        <v>355892</v>
      </c>
      <c r="E2946" s="27" t="s">
        <v>1225</v>
      </c>
      <c r="F2946" s="7" t="s">
        <v>107</v>
      </c>
      <c r="G2946" s="7" t="s">
        <v>21</v>
      </c>
      <c r="H2946" s="7" t="s">
        <v>45</v>
      </c>
      <c r="I2946" s="20" t="s">
        <v>4236</v>
      </c>
      <c r="J2946" s="20" t="s">
        <v>4151</v>
      </c>
      <c r="K2946" s="7" t="s">
        <v>111</v>
      </c>
      <c r="L2946" s="61">
        <v>45972</v>
      </c>
      <c r="M2946" s="7" t="s">
        <v>111</v>
      </c>
      <c r="N2946" s="24">
        <v>45978</v>
      </c>
      <c r="O2946" s="24">
        <v>45978</v>
      </c>
      <c r="Q2946" s="245"/>
      <c r="R2946" s="126">
        <v>45983</v>
      </c>
    </row>
    <row r="2947" spans="2:18" ht="17.25" hidden="1" customHeight="1">
      <c r="B2947" s="23">
        <v>45971</v>
      </c>
      <c r="C2947" s="7">
        <v>2003837622</v>
      </c>
      <c r="D2947" s="20">
        <v>355543</v>
      </c>
      <c r="E2947" s="27" t="s">
        <v>566</v>
      </c>
      <c r="F2947" s="7" t="s">
        <v>107</v>
      </c>
      <c r="G2947" s="7" t="s">
        <v>18</v>
      </c>
      <c r="H2947" s="7" t="s">
        <v>45</v>
      </c>
      <c r="I2947" s="20" t="s">
        <v>1543</v>
      </c>
      <c r="J2947" s="20" t="s">
        <v>4237</v>
      </c>
      <c r="K2947" s="7" t="s">
        <v>119</v>
      </c>
      <c r="L2947" s="61">
        <v>45974</v>
      </c>
      <c r="M2947" s="7" t="s">
        <v>111</v>
      </c>
      <c r="N2947" s="24">
        <v>45978</v>
      </c>
      <c r="O2947" s="24">
        <v>45978</v>
      </c>
      <c r="R2947" s="126">
        <v>45979</v>
      </c>
    </row>
    <row r="2948" spans="2:18" ht="17.25" hidden="1" customHeight="1">
      <c r="B2948" s="23">
        <v>45971</v>
      </c>
      <c r="C2948" s="7">
        <v>2003837936</v>
      </c>
      <c r="D2948" s="20">
        <v>355063</v>
      </c>
      <c r="E2948" s="27" t="s">
        <v>185</v>
      </c>
      <c r="F2948" s="7" t="s">
        <v>107</v>
      </c>
      <c r="G2948" s="7" t="s">
        <v>10</v>
      </c>
      <c r="H2948" s="7" t="s">
        <v>45</v>
      </c>
      <c r="I2948" s="20" t="s">
        <v>2920</v>
      </c>
      <c r="J2948" s="20" t="s">
        <v>4238</v>
      </c>
      <c r="K2948" s="7" t="s">
        <v>110</v>
      </c>
      <c r="L2948" s="61">
        <v>45975</v>
      </c>
      <c r="M2948" s="7" t="s">
        <v>111</v>
      </c>
      <c r="N2948" s="24">
        <v>45978</v>
      </c>
      <c r="O2948" s="24">
        <v>45978</v>
      </c>
      <c r="Q2948" s="245"/>
      <c r="R2948" s="126">
        <v>45979</v>
      </c>
    </row>
    <row r="2949" spans="2:18" ht="17.25" hidden="1" customHeight="1">
      <c r="B2949" s="23">
        <v>45971</v>
      </c>
      <c r="C2949" s="7">
        <v>2003669316</v>
      </c>
      <c r="D2949" s="20">
        <v>6471501</v>
      </c>
      <c r="E2949" s="27" t="s">
        <v>157</v>
      </c>
      <c r="F2949" s="7" t="s">
        <v>107</v>
      </c>
      <c r="G2949" s="7" t="s">
        <v>15</v>
      </c>
      <c r="H2949" s="7" t="s">
        <v>45</v>
      </c>
      <c r="I2949" s="20" t="s">
        <v>4239</v>
      </c>
      <c r="J2949" s="20" t="s">
        <v>4240</v>
      </c>
      <c r="K2949" s="7" t="s">
        <v>110</v>
      </c>
      <c r="L2949" s="61">
        <v>45973</v>
      </c>
      <c r="M2949" s="7" t="s">
        <v>111</v>
      </c>
      <c r="N2949" s="24">
        <v>45974</v>
      </c>
      <c r="O2949" s="24">
        <v>45978</v>
      </c>
      <c r="Q2949" s="245"/>
      <c r="R2949" s="126">
        <v>45979</v>
      </c>
    </row>
    <row r="2950" spans="2:18" ht="17.25" hidden="1" customHeight="1">
      <c r="B2950" s="23">
        <v>45971</v>
      </c>
      <c r="C2950" s="7">
        <v>2003829954</v>
      </c>
      <c r="D2950" s="20">
        <v>6471604</v>
      </c>
      <c r="E2950" s="27" t="s">
        <v>143</v>
      </c>
      <c r="F2950" s="7" t="s">
        <v>107</v>
      </c>
      <c r="G2950" s="7" t="s">
        <v>26</v>
      </c>
      <c r="H2950" s="7" t="s">
        <v>45</v>
      </c>
      <c r="I2950" s="20" t="s">
        <v>591</v>
      </c>
      <c r="J2950" s="20" t="s">
        <v>4241</v>
      </c>
      <c r="K2950" s="7" t="s">
        <v>110</v>
      </c>
      <c r="L2950" s="61">
        <v>45974</v>
      </c>
      <c r="M2950" s="7" t="s">
        <v>111</v>
      </c>
      <c r="N2950" s="24">
        <v>45979</v>
      </c>
      <c r="O2950" s="58">
        <v>45979</v>
      </c>
      <c r="Q2950" s="245"/>
      <c r="R2950" s="126">
        <v>45979</v>
      </c>
    </row>
    <row r="2951" spans="2:18" ht="17.25" hidden="1" customHeight="1">
      <c r="B2951" s="23">
        <v>45971</v>
      </c>
      <c r="C2951" s="7">
        <v>2003833096</v>
      </c>
      <c r="D2951" s="20">
        <v>6471785</v>
      </c>
      <c r="E2951" s="27" t="s">
        <v>138</v>
      </c>
      <c r="F2951" s="7" t="s">
        <v>107</v>
      </c>
      <c r="G2951" s="7" t="s">
        <v>10</v>
      </c>
      <c r="H2951" s="7" t="s">
        <v>45</v>
      </c>
      <c r="I2951" s="20" t="s">
        <v>1843</v>
      </c>
      <c r="J2951" s="20" t="s">
        <v>4242</v>
      </c>
      <c r="K2951" s="7" t="s">
        <v>110</v>
      </c>
      <c r="L2951" s="61">
        <v>45972</v>
      </c>
      <c r="M2951" s="7" t="s">
        <v>111</v>
      </c>
      <c r="N2951" s="61">
        <v>45972</v>
      </c>
      <c r="O2951" s="24">
        <v>45974</v>
      </c>
      <c r="Q2951" s="245"/>
      <c r="R2951" s="126">
        <v>45974</v>
      </c>
    </row>
    <row r="2952" spans="2:18" ht="17.25" hidden="1" customHeight="1">
      <c r="B2952" s="23">
        <v>45972</v>
      </c>
      <c r="C2952" s="7">
        <v>2003833905</v>
      </c>
      <c r="D2952" s="20">
        <v>357525</v>
      </c>
      <c r="E2952" s="27" t="s">
        <v>4243</v>
      </c>
      <c r="F2952" s="7" t="s">
        <v>107</v>
      </c>
      <c r="G2952" s="7" t="s">
        <v>10</v>
      </c>
      <c r="H2952" s="7" t="s">
        <v>45</v>
      </c>
      <c r="I2952" s="20" t="s">
        <v>1956</v>
      </c>
      <c r="J2952" s="20" t="s">
        <v>4244</v>
      </c>
      <c r="K2952" s="7" t="s">
        <v>110</v>
      </c>
      <c r="L2952" s="61">
        <v>45974</v>
      </c>
      <c r="M2952" s="7" t="s">
        <v>111</v>
      </c>
      <c r="N2952" s="24">
        <v>45978</v>
      </c>
      <c r="O2952" s="24">
        <v>45978</v>
      </c>
      <c r="Q2952" s="245"/>
      <c r="R2952" s="126">
        <v>45979</v>
      </c>
    </row>
    <row r="2953" spans="2:18" ht="17.25" hidden="1" customHeight="1">
      <c r="B2953" s="23">
        <v>45972</v>
      </c>
      <c r="C2953" s="7">
        <v>2003827852</v>
      </c>
      <c r="D2953" s="20">
        <v>357395</v>
      </c>
      <c r="E2953" s="27" t="s">
        <v>185</v>
      </c>
      <c r="F2953" s="7" t="s">
        <v>107</v>
      </c>
      <c r="G2953" s="7" t="s">
        <v>10</v>
      </c>
      <c r="H2953" s="7" t="s">
        <v>45</v>
      </c>
      <c r="I2953" s="20" t="s">
        <v>4245</v>
      </c>
      <c r="J2953" s="20" t="s">
        <v>4246</v>
      </c>
      <c r="K2953" s="7" t="s">
        <v>110</v>
      </c>
      <c r="L2953" s="61">
        <v>45975</v>
      </c>
      <c r="M2953" s="7" t="s">
        <v>111</v>
      </c>
      <c r="N2953" s="24">
        <v>45978</v>
      </c>
      <c r="O2953" s="24">
        <v>45978</v>
      </c>
      <c r="Q2953" s="245"/>
      <c r="R2953" s="126">
        <v>45979</v>
      </c>
    </row>
    <row r="2954" spans="2:18" ht="17.25" hidden="1" customHeight="1">
      <c r="B2954" s="23">
        <v>45972</v>
      </c>
      <c r="C2954" s="7">
        <v>2003775896</v>
      </c>
      <c r="D2954" s="20">
        <v>357165</v>
      </c>
      <c r="E2954" s="27" t="s">
        <v>126</v>
      </c>
      <c r="F2954" s="7" t="s">
        <v>107</v>
      </c>
      <c r="G2954" s="7" t="s">
        <v>10</v>
      </c>
      <c r="H2954" s="7" t="s">
        <v>45</v>
      </c>
      <c r="I2954" s="20" t="s">
        <v>4247</v>
      </c>
      <c r="J2954" s="20" t="s">
        <v>4248</v>
      </c>
      <c r="K2954" s="7" t="s">
        <v>119</v>
      </c>
      <c r="L2954" s="61">
        <v>45978</v>
      </c>
      <c r="M2954" s="7" t="s">
        <v>111</v>
      </c>
      <c r="N2954" s="24">
        <v>45986</v>
      </c>
      <c r="O2954" s="24">
        <v>45986</v>
      </c>
      <c r="R2954" s="126">
        <v>45983</v>
      </c>
    </row>
    <row r="2955" spans="2:18" ht="17.25" hidden="1" customHeight="1">
      <c r="B2955" s="23">
        <v>45972</v>
      </c>
      <c r="C2955" s="7">
        <v>2003841172</v>
      </c>
      <c r="D2955" s="20">
        <v>357022</v>
      </c>
      <c r="E2955" s="27" t="s">
        <v>191</v>
      </c>
      <c r="F2955" s="7" t="s">
        <v>107</v>
      </c>
      <c r="G2955" s="7" t="s">
        <v>18</v>
      </c>
      <c r="H2955" s="7" t="s">
        <v>45</v>
      </c>
      <c r="I2955" s="20" t="s">
        <v>3703</v>
      </c>
      <c r="J2955" s="20" t="s">
        <v>4249</v>
      </c>
      <c r="K2955" s="7" t="s">
        <v>110</v>
      </c>
      <c r="L2955" s="61">
        <v>45980</v>
      </c>
      <c r="M2955" s="7" t="s">
        <v>111</v>
      </c>
      <c r="N2955" s="24">
        <v>45981</v>
      </c>
      <c r="O2955" s="58">
        <v>45987</v>
      </c>
      <c r="Q2955" s="245"/>
      <c r="R2955" s="126">
        <v>45987</v>
      </c>
    </row>
    <row r="2956" spans="2:18" ht="17.25" hidden="1" customHeight="1">
      <c r="B2956" s="23">
        <v>45972</v>
      </c>
      <c r="C2956" s="7">
        <v>2003821849</v>
      </c>
      <c r="D2956" s="20">
        <v>356287</v>
      </c>
      <c r="E2956" s="27" t="s">
        <v>135</v>
      </c>
      <c r="F2956" s="7" t="s">
        <v>113</v>
      </c>
      <c r="G2956" s="7" t="s">
        <v>70</v>
      </c>
      <c r="H2956" s="7" t="s">
        <v>47</v>
      </c>
      <c r="I2956" s="20" t="s">
        <v>1023</v>
      </c>
      <c r="J2956" s="20" t="s">
        <v>3233</v>
      </c>
      <c r="K2956" s="7" t="s">
        <v>160</v>
      </c>
    </row>
    <row r="2957" spans="2:18" ht="17.25" hidden="1" customHeight="1">
      <c r="B2957" s="23">
        <v>45972</v>
      </c>
      <c r="C2957" s="7">
        <v>2003839088</v>
      </c>
      <c r="D2957" s="20">
        <v>6471978</v>
      </c>
      <c r="E2957" s="27" t="s">
        <v>185</v>
      </c>
      <c r="F2957" s="7" t="s">
        <v>107</v>
      </c>
      <c r="G2957" s="7" t="s">
        <v>18</v>
      </c>
      <c r="H2957" s="7" t="s">
        <v>45</v>
      </c>
      <c r="I2957" s="20" t="s">
        <v>419</v>
      </c>
      <c r="J2957" s="20" t="s">
        <v>4250</v>
      </c>
      <c r="K2957" s="7" t="s">
        <v>110</v>
      </c>
      <c r="L2957" s="61">
        <v>45973</v>
      </c>
      <c r="M2957" s="7" t="s">
        <v>111</v>
      </c>
      <c r="N2957" s="24">
        <v>45974</v>
      </c>
      <c r="O2957" s="24">
        <v>45978</v>
      </c>
      <c r="Q2957" s="245"/>
      <c r="R2957" s="126">
        <v>45979</v>
      </c>
    </row>
    <row r="2958" spans="2:18" ht="17.25" hidden="1" customHeight="1">
      <c r="B2958" s="23">
        <v>45972</v>
      </c>
      <c r="C2958" s="7">
        <v>2003803886</v>
      </c>
      <c r="D2958" s="20">
        <v>6472026</v>
      </c>
      <c r="E2958" s="27" t="s">
        <v>265</v>
      </c>
      <c r="F2958" s="7" t="s">
        <v>107</v>
      </c>
      <c r="G2958" s="7" t="s">
        <v>26</v>
      </c>
      <c r="H2958" s="7" t="s">
        <v>45</v>
      </c>
      <c r="I2958" s="20" t="s">
        <v>2099</v>
      </c>
      <c r="J2958" s="20" t="s">
        <v>4251</v>
      </c>
      <c r="K2958" s="7" t="s">
        <v>110</v>
      </c>
      <c r="L2958" s="61">
        <v>45973</v>
      </c>
      <c r="M2958" s="7" t="s">
        <v>111</v>
      </c>
      <c r="N2958" s="24">
        <v>45974</v>
      </c>
      <c r="O2958" s="58">
        <v>45974</v>
      </c>
      <c r="Q2958" s="245"/>
      <c r="R2958" s="126">
        <v>45974</v>
      </c>
    </row>
    <row r="2959" spans="2:18" ht="17.25" hidden="1" customHeight="1">
      <c r="B2959" s="23">
        <v>45972</v>
      </c>
      <c r="C2959" s="7">
        <v>2003819782</v>
      </c>
      <c r="D2959" s="20">
        <v>6472071</v>
      </c>
      <c r="E2959" s="27" t="s">
        <v>622</v>
      </c>
      <c r="F2959" s="7" t="s">
        <v>107</v>
      </c>
      <c r="G2959" s="7" t="s">
        <v>10</v>
      </c>
      <c r="H2959" s="7" t="s">
        <v>45</v>
      </c>
      <c r="I2959" s="20" t="s">
        <v>3302</v>
      </c>
      <c r="J2959" s="20" t="s">
        <v>4252</v>
      </c>
      <c r="K2959" s="7" t="s">
        <v>119</v>
      </c>
      <c r="L2959" s="61">
        <v>45975</v>
      </c>
      <c r="M2959" s="7" t="s">
        <v>111</v>
      </c>
      <c r="N2959" s="24">
        <v>45978</v>
      </c>
      <c r="O2959" s="58">
        <v>45981</v>
      </c>
      <c r="R2959" s="126">
        <v>45983</v>
      </c>
    </row>
    <row r="2960" spans="2:18" ht="17.25" hidden="1" customHeight="1">
      <c r="B2960" s="23">
        <v>45972</v>
      </c>
      <c r="C2960" s="7">
        <v>2003662637</v>
      </c>
      <c r="D2960" s="20">
        <v>6472339</v>
      </c>
      <c r="E2960" s="27" t="s">
        <v>135</v>
      </c>
      <c r="F2960" s="7" t="s">
        <v>107</v>
      </c>
      <c r="G2960" s="7" t="s">
        <v>15</v>
      </c>
      <c r="H2960" s="7" t="s">
        <v>45</v>
      </c>
      <c r="I2960" s="20" t="s">
        <v>4253</v>
      </c>
      <c r="J2960" s="20" t="s">
        <v>4254</v>
      </c>
      <c r="K2960" s="7" t="s">
        <v>110</v>
      </c>
      <c r="L2960" s="61">
        <v>45975</v>
      </c>
      <c r="M2960" s="7" t="s">
        <v>111</v>
      </c>
      <c r="N2960" s="24">
        <v>45978</v>
      </c>
      <c r="O2960" s="58">
        <v>45981</v>
      </c>
      <c r="Q2960" s="245"/>
      <c r="R2960" s="126">
        <v>45983</v>
      </c>
    </row>
    <row r="2961" spans="2:18" ht="17.25" hidden="1" customHeight="1">
      <c r="B2961" s="23">
        <v>45973</v>
      </c>
      <c r="C2961" s="7">
        <v>2003841114</v>
      </c>
      <c r="D2961" s="20">
        <v>359186</v>
      </c>
      <c r="E2961" s="27" t="s">
        <v>1225</v>
      </c>
      <c r="F2961" s="7" t="s">
        <v>107</v>
      </c>
      <c r="G2961" s="7" t="s">
        <v>10</v>
      </c>
      <c r="H2961" s="7" t="s">
        <v>45</v>
      </c>
      <c r="I2961" s="20" t="s">
        <v>4255</v>
      </c>
      <c r="J2961" s="20" t="s">
        <v>4256</v>
      </c>
      <c r="K2961" s="7" t="s">
        <v>119</v>
      </c>
      <c r="L2961" s="61">
        <v>45978</v>
      </c>
      <c r="M2961" s="7" t="s">
        <v>111</v>
      </c>
      <c r="N2961" s="24">
        <v>45979</v>
      </c>
      <c r="O2961" s="58">
        <v>45981</v>
      </c>
      <c r="R2961" s="126">
        <v>45983</v>
      </c>
    </row>
    <row r="2962" spans="2:18" ht="17.25" hidden="1" customHeight="1">
      <c r="B2962" s="23">
        <v>45973</v>
      </c>
      <c r="C2962" s="7">
        <v>2003820639</v>
      </c>
      <c r="D2962" s="20">
        <v>359122</v>
      </c>
      <c r="E2962" s="27" t="s">
        <v>198</v>
      </c>
      <c r="F2962" s="7" t="s">
        <v>107</v>
      </c>
      <c r="G2962" s="7" t="s">
        <v>21</v>
      </c>
      <c r="H2962" s="7" t="s">
        <v>45</v>
      </c>
      <c r="I2962" s="20" t="s">
        <v>2629</v>
      </c>
      <c r="J2962" s="20" t="s">
        <v>4061</v>
      </c>
      <c r="K2962" s="7" t="s">
        <v>119</v>
      </c>
      <c r="L2962" s="61">
        <v>45974</v>
      </c>
      <c r="M2962" s="7" t="s">
        <v>111</v>
      </c>
      <c r="N2962" s="24">
        <v>45978</v>
      </c>
      <c r="O2962" s="24">
        <v>45978</v>
      </c>
      <c r="R2962" s="126">
        <v>45979</v>
      </c>
    </row>
    <row r="2963" spans="2:18" ht="17.25" hidden="1" customHeight="1">
      <c r="B2963" s="23">
        <v>45973</v>
      </c>
      <c r="C2963" s="7">
        <v>2003841900</v>
      </c>
      <c r="D2963" s="20">
        <v>359114</v>
      </c>
      <c r="E2963" s="27" t="s">
        <v>123</v>
      </c>
      <c r="F2963" s="7" t="s">
        <v>107</v>
      </c>
      <c r="G2963" s="7" t="s">
        <v>18</v>
      </c>
      <c r="H2963" s="7" t="s">
        <v>45</v>
      </c>
      <c r="I2963" s="20" t="s">
        <v>501</v>
      </c>
      <c r="J2963" s="20" t="s">
        <v>4257</v>
      </c>
      <c r="K2963" s="7" t="s">
        <v>119</v>
      </c>
      <c r="L2963" s="61">
        <v>45975</v>
      </c>
      <c r="M2963" s="7" t="s">
        <v>111</v>
      </c>
      <c r="N2963" s="24">
        <v>45978</v>
      </c>
      <c r="O2963" s="58">
        <v>45981</v>
      </c>
      <c r="R2963" s="126">
        <v>45983</v>
      </c>
    </row>
    <row r="2964" spans="2:18" ht="17.25" hidden="1" customHeight="1">
      <c r="B2964" s="23">
        <v>45973</v>
      </c>
      <c r="C2964" s="7">
        <v>2003838618</v>
      </c>
      <c r="D2964" s="20">
        <v>359105</v>
      </c>
      <c r="E2964" s="27" t="s">
        <v>123</v>
      </c>
      <c r="F2964" s="7" t="s">
        <v>107</v>
      </c>
      <c r="G2964" s="7" t="s">
        <v>10</v>
      </c>
      <c r="H2964" s="7" t="s">
        <v>45</v>
      </c>
      <c r="I2964" s="20" t="s">
        <v>501</v>
      </c>
      <c r="J2964" s="20" t="s">
        <v>4257</v>
      </c>
      <c r="K2964" s="7" t="s">
        <v>119</v>
      </c>
      <c r="L2964" s="61">
        <v>45975</v>
      </c>
      <c r="M2964" s="7" t="s">
        <v>111</v>
      </c>
      <c r="N2964" s="24">
        <v>45978</v>
      </c>
      <c r="O2964" s="58">
        <v>45981</v>
      </c>
      <c r="R2964" s="126">
        <v>45983</v>
      </c>
    </row>
    <row r="2965" spans="2:18" ht="17.25" hidden="1" customHeight="1">
      <c r="B2965" s="23">
        <v>45973</v>
      </c>
      <c r="C2965" s="7">
        <v>2003808356</v>
      </c>
      <c r="D2965" s="20">
        <v>358430</v>
      </c>
      <c r="E2965" s="27" t="s">
        <v>1225</v>
      </c>
      <c r="F2965" s="7" t="s">
        <v>107</v>
      </c>
      <c r="G2965" s="7" t="s">
        <v>21</v>
      </c>
      <c r="H2965" s="7" t="s">
        <v>45</v>
      </c>
      <c r="I2965" s="20" t="s">
        <v>657</v>
      </c>
      <c r="J2965" s="20" t="s">
        <v>4016</v>
      </c>
      <c r="K2965" s="7" t="s">
        <v>111</v>
      </c>
      <c r="L2965" s="61">
        <v>45974</v>
      </c>
      <c r="M2965" s="7" t="s">
        <v>111</v>
      </c>
      <c r="N2965" s="24">
        <v>45979</v>
      </c>
      <c r="O2965" s="58">
        <v>45979</v>
      </c>
      <c r="Q2965" s="245"/>
      <c r="R2965" s="126">
        <v>45979</v>
      </c>
    </row>
    <row r="2966" spans="2:18" ht="17.25" hidden="1" customHeight="1">
      <c r="B2966" s="23">
        <v>45973</v>
      </c>
      <c r="C2966" s="7">
        <v>2003771555</v>
      </c>
      <c r="D2966" s="20">
        <v>6473052</v>
      </c>
      <c r="E2966" s="27" t="s">
        <v>152</v>
      </c>
      <c r="F2966" s="7" t="s">
        <v>107</v>
      </c>
      <c r="G2966" s="7" t="s">
        <v>21</v>
      </c>
      <c r="H2966" s="7" t="s">
        <v>45</v>
      </c>
      <c r="I2966" s="20" t="s">
        <v>4258</v>
      </c>
      <c r="J2966" s="20" t="s">
        <v>344</v>
      </c>
      <c r="K2966" s="7" t="s">
        <v>110</v>
      </c>
      <c r="L2966" s="61">
        <v>45975</v>
      </c>
      <c r="M2966" s="7" t="s">
        <v>111</v>
      </c>
      <c r="N2966" s="24">
        <v>45978</v>
      </c>
      <c r="O2966" s="24">
        <v>45978</v>
      </c>
      <c r="Q2966" s="245"/>
      <c r="R2966" s="126">
        <v>45979</v>
      </c>
    </row>
    <row r="2967" spans="2:18" ht="17.25" hidden="1" customHeight="1">
      <c r="B2967" s="23">
        <v>45973</v>
      </c>
      <c r="C2967" s="7">
        <v>2003686127</v>
      </c>
      <c r="D2967" s="20">
        <v>6473131</v>
      </c>
      <c r="E2967" s="27" t="s">
        <v>123</v>
      </c>
      <c r="F2967" s="7" t="s">
        <v>107</v>
      </c>
      <c r="G2967" s="7" t="s">
        <v>26</v>
      </c>
      <c r="H2967" s="7" t="s">
        <v>45</v>
      </c>
      <c r="I2967" s="20" t="s">
        <v>778</v>
      </c>
      <c r="J2967" s="20" t="s">
        <v>4259</v>
      </c>
      <c r="K2967" s="7" t="s">
        <v>119</v>
      </c>
      <c r="L2967" s="61">
        <v>45975</v>
      </c>
      <c r="M2967" s="7" t="s">
        <v>111</v>
      </c>
      <c r="N2967" s="24">
        <v>45979</v>
      </c>
      <c r="O2967" s="58">
        <v>45979</v>
      </c>
      <c r="R2967" s="126">
        <v>45979</v>
      </c>
    </row>
    <row r="2968" spans="2:18" ht="17.25" hidden="1" customHeight="1">
      <c r="B2968" s="23">
        <v>45973</v>
      </c>
      <c r="C2968" s="7">
        <v>2003772120</v>
      </c>
      <c r="D2968" s="20">
        <v>6473155</v>
      </c>
      <c r="E2968" s="27" t="s">
        <v>138</v>
      </c>
      <c r="F2968" s="7" t="s">
        <v>107</v>
      </c>
      <c r="G2968" s="7" t="s">
        <v>18</v>
      </c>
      <c r="H2968" s="7" t="s">
        <v>45</v>
      </c>
      <c r="I2968" s="20" t="s">
        <v>4260</v>
      </c>
      <c r="J2968" s="20" t="s">
        <v>4261</v>
      </c>
      <c r="K2968" s="7" t="s">
        <v>119</v>
      </c>
      <c r="L2968" s="61">
        <v>45980</v>
      </c>
      <c r="M2968" s="7" t="s">
        <v>111</v>
      </c>
      <c r="N2968" s="24">
        <v>45989</v>
      </c>
      <c r="O2968" s="24">
        <v>45989</v>
      </c>
      <c r="R2968" s="126">
        <v>45993</v>
      </c>
    </row>
    <row r="2969" spans="2:18" ht="17.25" hidden="1" customHeight="1">
      <c r="B2969" s="23">
        <v>45973</v>
      </c>
      <c r="C2969" s="7">
        <v>2003842407</v>
      </c>
      <c r="D2969" s="20">
        <v>6473371</v>
      </c>
      <c r="E2969" s="27" t="s">
        <v>191</v>
      </c>
      <c r="F2969" s="7" t="s">
        <v>107</v>
      </c>
      <c r="G2969" s="7" t="s">
        <v>26</v>
      </c>
      <c r="H2969" s="7" t="s">
        <v>45</v>
      </c>
      <c r="I2969" s="20" t="s">
        <v>466</v>
      </c>
      <c r="J2969" s="20" t="s">
        <v>4262</v>
      </c>
      <c r="K2969" s="7" t="s">
        <v>110</v>
      </c>
      <c r="L2969" s="61">
        <v>45975</v>
      </c>
      <c r="M2969" s="7" t="s">
        <v>111</v>
      </c>
      <c r="N2969" s="24">
        <v>45975</v>
      </c>
      <c r="O2969" s="58">
        <v>45975</v>
      </c>
      <c r="Q2969" s="245"/>
      <c r="R2969" s="126">
        <v>45975</v>
      </c>
    </row>
    <row r="2970" spans="2:18" ht="17.25" hidden="1" customHeight="1">
      <c r="B2970" s="23">
        <v>45973</v>
      </c>
      <c r="C2970" s="7">
        <v>2003837805</v>
      </c>
      <c r="D2970" s="20">
        <v>6473387</v>
      </c>
      <c r="E2970" s="27" t="s">
        <v>185</v>
      </c>
      <c r="F2970" s="7" t="s">
        <v>107</v>
      </c>
      <c r="G2970" s="7" t="s">
        <v>10</v>
      </c>
      <c r="H2970" s="7" t="s">
        <v>45</v>
      </c>
      <c r="I2970" s="20" t="s">
        <v>4263</v>
      </c>
      <c r="J2970" s="20" t="s">
        <v>2678</v>
      </c>
      <c r="K2970" s="7" t="s">
        <v>110</v>
      </c>
      <c r="L2970" s="61">
        <v>45975</v>
      </c>
      <c r="M2970" s="7" t="s">
        <v>111</v>
      </c>
      <c r="N2970" s="24">
        <v>45978</v>
      </c>
      <c r="O2970" s="24">
        <v>45978</v>
      </c>
      <c r="Q2970" s="245"/>
      <c r="R2970" s="126">
        <v>45979</v>
      </c>
    </row>
    <row r="2971" spans="2:18" ht="17.25" hidden="1" customHeight="1">
      <c r="B2971" s="23">
        <v>45973</v>
      </c>
      <c r="C2971" s="7">
        <v>2003750468</v>
      </c>
      <c r="D2971" s="20">
        <v>6473396</v>
      </c>
      <c r="E2971" s="27" t="s">
        <v>230</v>
      </c>
      <c r="F2971" s="7" t="s">
        <v>107</v>
      </c>
      <c r="G2971" s="7" t="s">
        <v>10</v>
      </c>
      <c r="H2971" s="7" t="s">
        <v>45</v>
      </c>
      <c r="I2971" s="20" t="s">
        <v>4128</v>
      </c>
      <c r="J2971" s="20" t="s">
        <v>4129</v>
      </c>
      <c r="K2971" s="7" t="s">
        <v>119</v>
      </c>
      <c r="L2971" s="61">
        <v>45978</v>
      </c>
      <c r="M2971" s="7" t="s">
        <v>111</v>
      </c>
      <c r="N2971" s="24">
        <v>45979</v>
      </c>
      <c r="O2971" s="58">
        <v>45981</v>
      </c>
      <c r="R2971" s="126">
        <v>45983</v>
      </c>
    </row>
    <row r="2972" spans="2:18" ht="17.25" hidden="1" customHeight="1">
      <c r="B2972" s="23">
        <v>45973</v>
      </c>
      <c r="C2972" s="7">
        <v>2003841576</v>
      </c>
      <c r="D2972" s="20">
        <v>6473409</v>
      </c>
      <c r="E2972" s="27" t="s">
        <v>230</v>
      </c>
      <c r="F2972" s="7" t="s">
        <v>107</v>
      </c>
      <c r="G2972" s="7" t="s">
        <v>10</v>
      </c>
      <c r="H2972" s="7" t="s">
        <v>45</v>
      </c>
      <c r="I2972" s="20" t="s">
        <v>4264</v>
      </c>
      <c r="J2972" s="20" t="s">
        <v>4129</v>
      </c>
      <c r="K2972" s="7" t="s">
        <v>119</v>
      </c>
      <c r="L2972" s="61">
        <v>45978</v>
      </c>
      <c r="M2972" s="7" t="s">
        <v>111</v>
      </c>
      <c r="N2972" s="24">
        <v>45979</v>
      </c>
      <c r="O2972" s="58">
        <v>45981</v>
      </c>
      <c r="R2972" s="126">
        <v>45983</v>
      </c>
    </row>
    <row r="2973" spans="2:18" ht="17.25" hidden="1" customHeight="1">
      <c r="B2973" s="23">
        <v>45973</v>
      </c>
      <c r="C2973" s="7">
        <v>2003843112</v>
      </c>
      <c r="D2973" s="20">
        <v>6473411</v>
      </c>
      <c r="E2973" s="27" t="s">
        <v>230</v>
      </c>
      <c r="F2973" s="7" t="s">
        <v>107</v>
      </c>
      <c r="G2973" s="7" t="s">
        <v>10</v>
      </c>
      <c r="H2973" s="7" t="s">
        <v>45</v>
      </c>
      <c r="I2973" s="20" t="s">
        <v>4264</v>
      </c>
      <c r="J2973" s="20" t="s">
        <v>4129</v>
      </c>
      <c r="K2973" s="7" t="s">
        <v>119</v>
      </c>
      <c r="L2973" s="61">
        <v>45978</v>
      </c>
      <c r="M2973" s="7" t="s">
        <v>111</v>
      </c>
      <c r="N2973" s="24">
        <v>45979</v>
      </c>
      <c r="O2973" s="58">
        <v>45987</v>
      </c>
      <c r="R2973" s="126">
        <v>45983</v>
      </c>
    </row>
    <row r="2974" spans="2:18" ht="17.25" hidden="1" customHeight="1">
      <c r="B2974" s="23">
        <v>45974</v>
      </c>
      <c r="C2974" s="7">
        <v>2003840875</v>
      </c>
      <c r="D2974" s="20">
        <v>360896</v>
      </c>
      <c r="E2974" s="27" t="s">
        <v>622</v>
      </c>
      <c r="F2974" s="7" t="s">
        <v>107</v>
      </c>
      <c r="G2974" s="7" t="s">
        <v>10</v>
      </c>
      <c r="H2974" s="7" t="s">
        <v>45</v>
      </c>
      <c r="I2974" s="20" t="s">
        <v>627</v>
      </c>
      <c r="J2974" s="20" t="s">
        <v>4265</v>
      </c>
      <c r="K2974" s="7" t="s">
        <v>119</v>
      </c>
      <c r="L2974" s="61">
        <v>45978</v>
      </c>
      <c r="M2974" s="7" t="s">
        <v>111</v>
      </c>
      <c r="N2974" s="24">
        <v>45980</v>
      </c>
      <c r="O2974" s="24">
        <v>45980</v>
      </c>
      <c r="R2974" s="126">
        <v>45983</v>
      </c>
    </row>
    <row r="2975" spans="2:18" ht="17.25" hidden="1" customHeight="1">
      <c r="B2975" s="23">
        <v>45974</v>
      </c>
      <c r="C2975" s="7">
        <v>2003838874</v>
      </c>
      <c r="D2975" s="20">
        <v>359890</v>
      </c>
      <c r="E2975" s="27" t="s">
        <v>123</v>
      </c>
      <c r="F2975" s="7" t="s">
        <v>107</v>
      </c>
      <c r="G2975" s="7" t="s">
        <v>10</v>
      </c>
      <c r="H2975" s="7" t="s">
        <v>45</v>
      </c>
      <c r="I2975" s="20" t="s">
        <v>4266</v>
      </c>
      <c r="J2975" s="20" t="s">
        <v>4223</v>
      </c>
      <c r="K2975" s="7" t="s">
        <v>111</v>
      </c>
      <c r="L2975" s="61">
        <v>45975</v>
      </c>
      <c r="M2975" s="7" t="s">
        <v>111</v>
      </c>
      <c r="N2975" s="24">
        <v>45978</v>
      </c>
      <c r="O2975" s="24">
        <v>45978</v>
      </c>
      <c r="Q2975" s="245"/>
      <c r="R2975" s="126">
        <v>45979</v>
      </c>
    </row>
    <row r="2976" spans="2:18" ht="17.25" hidden="1" customHeight="1">
      <c r="B2976" s="23">
        <v>45974</v>
      </c>
      <c r="C2976" s="7">
        <v>2003838999</v>
      </c>
      <c r="D2976" s="20">
        <v>359907</v>
      </c>
      <c r="E2976" s="27" t="s">
        <v>129</v>
      </c>
      <c r="F2976" s="7" t="s">
        <v>113</v>
      </c>
      <c r="G2976" s="7" t="s">
        <v>70</v>
      </c>
      <c r="H2976" s="7" t="s">
        <v>47</v>
      </c>
      <c r="I2976" s="20" t="s">
        <v>453</v>
      </c>
      <c r="J2976" s="20" t="s">
        <v>4267</v>
      </c>
      <c r="K2976" s="7" t="s">
        <v>160</v>
      </c>
    </row>
    <row r="2977" spans="2:18" ht="17.25" hidden="1" customHeight="1">
      <c r="B2977" s="23">
        <v>45974</v>
      </c>
      <c r="C2977" s="7">
        <v>2003844625</v>
      </c>
      <c r="D2977" s="20">
        <v>6473747</v>
      </c>
      <c r="E2977" s="27" t="s">
        <v>201</v>
      </c>
      <c r="F2977" s="7" t="s">
        <v>107</v>
      </c>
      <c r="G2977" s="7" t="s">
        <v>18</v>
      </c>
      <c r="H2977" s="7" t="s">
        <v>45</v>
      </c>
      <c r="I2977" s="20" t="s">
        <v>4268</v>
      </c>
      <c r="J2977" s="20" t="s">
        <v>4269</v>
      </c>
      <c r="K2977" s="7" t="s">
        <v>119</v>
      </c>
      <c r="L2977" s="61">
        <v>45979</v>
      </c>
      <c r="M2977" s="7" t="s">
        <v>111</v>
      </c>
      <c r="N2977" s="24">
        <v>45980</v>
      </c>
      <c r="O2977" s="58">
        <v>45981</v>
      </c>
      <c r="R2977" s="126">
        <v>45983</v>
      </c>
    </row>
    <row r="2978" spans="2:18" ht="17.25" hidden="1" customHeight="1">
      <c r="B2978" s="23">
        <v>45975</v>
      </c>
      <c r="C2978" s="7">
        <v>2003845257</v>
      </c>
      <c r="D2978" s="20">
        <v>363319</v>
      </c>
      <c r="E2978" s="27" t="s">
        <v>123</v>
      </c>
      <c r="F2978" s="7" t="s">
        <v>107</v>
      </c>
      <c r="G2978" s="7" t="s">
        <v>10</v>
      </c>
      <c r="H2978" s="7" t="s">
        <v>45</v>
      </c>
      <c r="I2978" s="20" t="s">
        <v>657</v>
      </c>
      <c r="J2978" s="20" t="s">
        <v>4270</v>
      </c>
      <c r="K2978" s="7" t="s">
        <v>119</v>
      </c>
      <c r="L2978" s="61">
        <v>45979</v>
      </c>
      <c r="M2978" s="7" t="s">
        <v>111</v>
      </c>
      <c r="N2978" s="24">
        <v>45980</v>
      </c>
      <c r="O2978" s="58">
        <v>45981</v>
      </c>
      <c r="R2978" s="126">
        <v>45983</v>
      </c>
    </row>
    <row r="2979" spans="2:18" ht="17.25" hidden="1" customHeight="1">
      <c r="B2979" s="23">
        <v>45975</v>
      </c>
      <c r="C2979" s="7">
        <v>2003835614</v>
      </c>
      <c r="D2979" s="20">
        <v>363315</v>
      </c>
      <c r="E2979" s="27" t="s">
        <v>949</v>
      </c>
      <c r="F2979" s="7" t="s">
        <v>107</v>
      </c>
      <c r="G2979" s="7" t="s">
        <v>10</v>
      </c>
      <c r="H2979" s="7" t="s">
        <v>45</v>
      </c>
      <c r="I2979" s="20" t="s">
        <v>735</v>
      </c>
      <c r="J2979" s="20" t="s">
        <v>4271</v>
      </c>
      <c r="K2979" s="7" t="s">
        <v>110</v>
      </c>
      <c r="L2979" s="61">
        <v>45980</v>
      </c>
      <c r="M2979" s="7" t="s">
        <v>111</v>
      </c>
      <c r="N2979" s="24">
        <v>45981</v>
      </c>
      <c r="O2979" s="58">
        <v>45987</v>
      </c>
      <c r="Q2979" s="245"/>
      <c r="R2979" s="126">
        <v>45987</v>
      </c>
    </row>
    <row r="2980" spans="2:18" ht="17.25" hidden="1" customHeight="1">
      <c r="B2980" s="23">
        <v>45975</v>
      </c>
      <c r="C2980" s="7">
        <v>2003842083</v>
      </c>
      <c r="D2980" s="20">
        <v>363128</v>
      </c>
      <c r="E2980" s="27" t="s">
        <v>123</v>
      </c>
      <c r="F2980" s="7" t="s">
        <v>107</v>
      </c>
      <c r="G2980" s="7" t="s">
        <v>10</v>
      </c>
      <c r="H2980" s="7" t="s">
        <v>45</v>
      </c>
      <c r="I2980" s="20" t="s">
        <v>1319</v>
      </c>
      <c r="J2980" s="20" t="s">
        <v>4272</v>
      </c>
      <c r="K2980" s="7" t="s">
        <v>119</v>
      </c>
      <c r="L2980" s="61">
        <v>45979</v>
      </c>
      <c r="M2980" s="7" t="s">
        <v>111</v>
      </c>
      <c r="N2980" s="24">
        <v>45980</v>
      </c>
      <c r="O2980" s="58">
        <v>45981</v>
      </c>
      <c r="R2980" s="126">
        <v>45983</v>
      </c>
    </row>
    <row r="2981" spans="2:18" ht="17.25" hidden="1" customHeight="1">
      <c r="B2981" s="23">
        <v>45975</v>
      </c>
      <c r="C2981" s="7">
        <v>2003833812</v>
      </c>
      <c r="D2981" s="20">
        <v>361970</v>
      </c>
      <c r="E2981" s="27" t="s">
        <v>622</v>
      </c>
      <c r="F2981" s="7" t="s">
        <v>107</v>
      </c>
      <c r="G2981" s="7" t="s">
        <v>10</v>
      </c>
      <c r="H2981" s="7" t="s">
        <v>45</v>
      </c>
      <c r="I2981" s="20" t="s">
        <v>434</v>
      </c>
      <c r="J2981" s="20" t="s">
        <v>4273</v>
      </c>
      <c r="K2981" s="7" t="s">
        <v>119</v>
      </c>
      <c r="L2981" s="61">
        <v>45979</v>
      </c>
      <c r="M2981" s="7" t="s">
        <v>111</v>
      </c>
      <c r="N2981" s="24">
        <v>45980</v>
      </c>
      <c r="O2981" s="58">
        <v>45981</v>
      </c>
      <c r="R2981" s="126">
        <v>45983</v>
      </c>
    </row>
    <row r="2982" spans="2:18" ht="17.25" hidden="1" customHeight="1">
      <c r="B2982" s="23">
        <v>45975</v>
      </c>
      <c r="C2982" s="7">
        <v>2003837201</v>
      </c>
      <c r="D2982" s="20">
        <v>361963</v>
      </c>
      <c r="E2982" s="27" t="s">
        <v>568</v>
      </c>
      <c r="F2982" s="7" t="s">
        <v>107</v>
      </c>
      <c r="G2982" s="7" t="s">
        <v>10</v>
      </c>
      <c r="H2982" s="7" t="s">
        <v>45</v>
      </c>
      <c r="I2982" s="20" t="s">
        <v>4274</v>
      </c>
      <c r="J2982" s="20" t="s">
        <v>4275</v>
      </c>
      <c r="K2982" s="7" t="s">
        <v>119</v>
      </c>
      <c r="L2982" s="61">
        <v>45980</v>
      </c>
      <c r="M2982" s="7" t="s">
        <v>111</v>
      </c>
      <c r="N2982" s="24">
        <v>45988</v>
      </c>
      <c r="O2982" s="58">
        <v>45993</v>
      </c>
      <c r="R2982" s="126">
        <v>45993</v>
      </c>
    </row>
    <row r="2983" spans="2:18" ht="17.25" hidden="1" customHeight="1">
      <c r="B2983" s="23">
        <v>45975</v>
      </c>
      <c r="C2983" s="7">
        <v>2003843487</v>
      </c>
      <c r="D2983" s="20">
        <v>361954</v>
      </c>
      <c r="E2983" s="27" t="s">
        <v>568</v>
      </c>
      <c r="F2983" s="7" t="s">
        <v>107</v>
      </c>
      <c r="G2983" s="7" t="s">
        <v>18</v>
      </c>
      <c r="H2983" s="7" t="s">
        <v>45</v>
      </c>
      <c r="I2983" s="20" t="s">
        <v>1731</v>
      </c>
      <c r="J2983" s="20" t="s">
        <v>4276</v>
      </c>
      <c r="K2983" s="7" t="s">
        <v>110</v>
      </c>
      <c r="L2983" s="61">
        <v>45978</v>
      </c>
      <c r="M2983" s="7" t="s">
        <v>111</v>
      </c>
      <c r="N2983" s="24">
        <v>45979</v>
      </c>
      <c r="O2983" s="58">
        <v>45981</v>
      </c>
      <c r="Q2983" s="245"/>
      <c r="R2983" s="126">
        <v>45983</v>
      </c>
    </row>
    <row r="2984" spans="2:18" ht="17.25" hidden="1" customHeight="1">
      <c r="B2984" s="23">
        <v>45975</v>
      </c>
      <c r="C2984" s="7">
        <v>2003837480</v>
      </c>
      <c r="D2984" s="20">
        <v>361664</v>
      </c>
      <c r="E2984" s="27" t="s">
        <v>123</v>
      </c>
      <c r="F2984" s="7" t="s">
        <v>107</v>
      </c>
      <c r="G2984" s="7" t="s">
        <v>10</v>
      </c>
      <c r="H2984" s="7" t="s">
        <v>45</v>
      </c>
      <c r="I2984" s="20" t="s">
        <v>1879</v>
      </c>
      <c r="J2984" s="20" t="s">
        <v>4277</v>
      </c>
      <c r="K2984" s="7" t="s">
        <v>119</v>
      </c>
      <c r="L2984" s="61">
        <v>45979</v>
      </c>
      <c r="M2984" s="7" t="s">
        <v>111</v>
      </c>
      <c r="N2984" s="24">
        <v>45986</v>
      </c>
      <c r="O2984" s="58">
        <v>45988</v>
      </c>
      <c r="R2984" s="126">
        <v>45993</v>
      </c>
    </row>
    <row r="2985" spans="2:18" ht="17.25" hidden="1" customHeight="1">
      <c r="B2985" s="23">
        <v>45975</v>
      </c>
      <c r="C2985" s="7">
        <v>2003840113</v>
      </c>
      <c r="D2985" s="20">
        <v>361631</v>
      </c>
      <c r="E2985" s="27" t="s">
        <v>123</v>
      </c>
      <c r="F2985" s="7" t="s">
        <v>107</v>
      </c>
      <c r="G2985" s="7" t="s">
        <v>10</v>
      </c>
      <c r="H2985" s="7" t="s">
        <v>45</v>
      </c>
      <c r="I2985" s="20" t="s">
        <v>623</v>
      </c>
      <c r="J2985" s="20" t="s">
        <v>954</v>
      </c>
      <c r="K2985" s="7" t="s">
        <v>119</v>
      </c>
      <c r="L2985" s="61">
        <v>45978</v>
      </c>
      <c r="M2985" s="7" t="s">
        <v>111</v>
      </c>
      <c r="N2985" s="24">
        <v>45980</v>
      </c>
      <c r="O2985" s="58">
        <v>45981</v>
      </c>
      <c r="R2985" s="126">
        <v>45983</v>
      </c>
    </row>
    <row r="2986" spans="2:18" ht="17.25" hidden="1" customHeight="1">
      <c r="B2986" s="23">
        <v>45975</v>
      </c>
      <c r="C2986" s="7">
        <v>2003803319</v>
      </c>
      <c r="D2986" s="20">
        <v>361355</v>
      </c>
      <c r="E2986" s="27" t="s">
        <v>191</v>
      </c>
      <c r="F2986" s="7" t="s">
        <v>107</v>
      </c>
      <c r="G2986" s="7" t="s">
        <v>10</v>
      </c>
      <c r="H2986" s="7" t="s">
        <v>45</v>
      </c>
      <c r="I2986" s="20" t="s">
        <v>4278</v>
      </c>
      <c r="J2986" s="20" t="s">
        <v>4279</v>
      </c>
      <c r="K2986" s="7" t="s">
        <v>119</v>
      </c>
      <c r="L2986" s="61">
        <v>45981</v>
      </c>
      <c r="M2986" s="7" t="s">
        <v>111</v>
      </c>
      <c r="N2986" s="24">
        <v>45986</v>
      </c>
      <c r="O2986" s="24">
        <v>45986</v>
      </c>
      <c r="R2986" s="126">
        <v>45987</v>
      </c>
    </row>
    <row r="2987" spans="2:18" ht="17.25" hidden="1" customHeight="1">
      <c r="B2987" s="23">
        <v>45975</v>
      </c>
      <c r="C2987" s="7">
        <v>2003803886</v>
      </c>
      <c r="D2987" s="20">
        <v>6474307</v>
      </c>
      <c r="E2987" s="27" t="s">
        <v>265</v>
      </c>
      <c r="F2987" s="7" t="s">
        <v>107</v>
      </c>
      <c r="G2987" s="7" t="s">
        <v>15</v>
      </c>
      <c r="H2987" s="7" t="s">
        <v>45</v>
      </c>
      <c r="I2987" s="20" t="s">
        <v>2099</v>
      </c>
      <c r="J2987" s="20" t="s">
        <v>4251</v>
      </c>
      <c r="K2987" s="7" t="s">
        <v>119</v>
      </c>
      <c r="L2987" s="61">
        <v>45978</v>
      </c>
      <c r="M2987" s="7" t="s">
        <v>111</v>
      </c>
      <c r="N2987" s="24">
        <v>45980</v>
      </c>
      <c r="O2987" s="58">
        <v>45981</v>
      </c>
      <c r="R2987" s="126">
        <v>45983</v>
      </c>
    </row>
    <row r="2988" spans="2:18" ht="17.25" hidden="1" customHeight="1">
      <c r="B2988" s="23">
        <v>45975</v>
      </c>
      <c r="C2988" s="7">
        <v>2003842407</v>
      </c>
      <c r="D2988" s="20">
        <v>6474782</v>
      </c>
      <c r="E2988" s="27" t="s">
        <v>191</v>
      </c>
      <c r="F2988" s="7" t="s">
        <v>107</v>
      </c>
      <c r="G2988" s="7" t="s">
        <v>10</v>
      </c>
      <c r="H2988" s="7" t="s">
        <v>45</v>
      </c>
      <c r="I2988" s="20" t="s">
        <v>4280</v>
      </c>
      <c r="J2988" s="20" t="s">
        <v>4262</v>
      </c>
      <c r="K2988" s="7" t="s">
        <v>110</v>
      </c>
      <c r="L2988" s="61">
        <v>45978</v>
      </c>
      <c r="M2988" s="7" t="s">
        <v>111</v>
      </c>
      <c r="N2988" s="24">
        <v>45979</v>
      </c>
      <c r="O2988" s="58">
        <v>45987</v>
      </c>
      <c r="Q2988" s="245"/>
      <c r="R2988" s="126">
        <v>45993</v>
      </c>
    </row>
    <row r="2989" spans="2:18" ht="17.25" hidden="1" customHeight="1">
      <c r="B2989" s="23">
        <v>45978</v>
      </c>
      <c r="C2989" s="7">
        <v>2003829413</v>
      </c>
      <c r="D2989" s="20">
        <v>366112</v>
      </c>
      <c r="E2989" s="27" t="s">
        <v>149</v>
      </c>
      <c r="F2989" s="7" t="s">
        <v>107</v>
      </c>
      <c r="G2989" s="7" t="s">
        <v>21</v>
      </c>
      <c r="H2989" s="7" t="s">
        <v>45</v>
      </c>
      <c r="I2989" s="128" t="s">
        <v>4281</v>
      </c>
      <c r="J2989" s="20" t="s">
        <v>4179</v>
      </c>
      <c r="K2989" s="7" t="s">
        <v>111</v>
      </c>
      <c r="L2989" s="61">
        <v>45979</v>
      </c>
      <c r="M2989" s="7" t="s">
        <v>111</v>
      </c>
      <c r="N2989" s="24">
        <v>45980</v>
      </c>
      <c r="O2989" s="58">
        <v>45983</v>
      </c>
      <c r="Q2989" s="245"/>
      <c r="R2989" s="126">
        <v>45983</v>
      </c>
    </row>
    <row r="2990" spans="2:18" ht="17.25" hidden="1" customHeight="1">
      <c r="B2990" s="23">
        <v>45978</v>
      </c>
      <c r="C2990" s="7">
        <v>2003781604</v>
      </c>
      <c r="D2990" s="20">
        <v>365220</v>
      </c>
      <c r="E2990" s="27" t="s">
        <v>152</v>
      </c>
      <c r="F2990" s="7" t="s">
        <v>107</v>
      </c>
      <c r="G2990" s="7" t="s">
        <v>10</v>
      </c>
      <c r="H2990" s="7" t="s">
        <v>45</v>
      </c>
      <c r="I2990" s="20" t="s">
        <v>4282</v>
      </c>
      <c r="J2990" s="20" t="s">
        <v>4103</v>
      </c>
      <c r="K2990" s="7" t="s">
        <v>119</v>
      </c>
      <c r="L2990" s="61">
        <v>45981</v>
      </c>
      <c r="M2990" s="7" t="s">
        <v>111</v>
      </c>
      <c r="N2990" s="24">
        <v>45986</v>
      </c>
      <c r="O2990" s="24">
        <v>45986</v>
      </c>
      <c r="R2990" s="126">
        <v>45987</v>
      </c>
    </row>
    <row r="2991" spans="2:18" ht="17.25" hidden="1" customHeight="1">
      <c r="B2991" s="23">
        <v>45978</v>
      </c>
      <c r="C2991" s="7">
        <v>2003842734</v>
      </c>
      <c r="D2991" s="20">
        <v>6475468</v>
      </c>
      <c r="E2991" s="27" t="s">
        <v>185</v>
      </c>
      <c r="F2991" s="7" t="s">
        <v>107</v>
      </c>
      <c r="G2991" s="7" t="s">
        <v>18</v>
      </c>
      <c r="H2991" s="7" t="s">
        <v>45</v>
      </c>
      <c r="I2991" s="20" t="s">
        <v>1296</v>
      </c>
      <c r="J2991" s="20" t="s">
        <v>4283</v>
      </c>
      <c r="K2991" s="7" t="s">
        <v>119</v>
      </c>
      <c r="L2991" s="61">
        <v>45979</v>
      </c>
      <c r="M2991" s="7" t="s">
        <v>111</v>
      </c>
      <c r="N2991" s="24">
        <v>45980</v>
      </c>
      <c r="O2991" s="58">
        <v>45981</v>
      </c>
      <c r="R2991" s="126">
        <v>45983</v>
      </c>
    </row>
    <row r="2992" spans="2:18" ht="17.25" hidden="1" customHeight="1">
      <c r="B2992" s="23">
        <v>45978</v>
      </c>
      <c r="C2992" s="7">
        <v>2003780351</v>
      </c>
      <c r="D2992" s="20">
        <v>6475611</v>
      </c>
      <c r="E2992" s="27" t="s">
        <v>135</v>
      </c>
      <c r="F2992" s="7" t="s">
        <v>107</v>
      </c>
      <c r="G2992" s="7" t="s">
        <v>10</v>
      </c>
      <c r="H2992" s="7" t="s">
        <v>45</v>
      </c>
      <c r="I2992" s="20" t="s">
        <v>4284</v>
      </c>
      <c r="J2992" s="20" t="s">
        <v>3689</v>
      </c>
      <c r="K2992" s="7" t="s">
        <v>110</v>
      </c>
      <c r="L2992" s="61">
        <v>45979</v>
      </c>
      <c r="M2992" s="7" t="s">
        <v>111</v>
      </c>
      <c r="N2992" s="24">
        <v>45980</v>
      </c>
      <c r="O2992" s="24">
        <v>45980</v>
      </c>
      <c r="Q2992" s="245"/>
      <c r="R2992" s="126">
        <v>45983</v>
      </c>
    </row>
    <row r="2993" spans="2:18" ht="17.25" hidden="1" customHeight="1">
      <c r="B2993" s="23">
        <v>45979</v>
      </c>
      <c r="C2993" s="7">
        <v>2003812634</v>
      </c>
      <c r="D2993" s="20">
        <v>369513</v>
      </c>
      <c r="E2993" s="27" t="s">
        <v>191</v>
      </c>
      <c r="F2993" s="7" t="s">
        <v>107</v>
      </c>
      <c r="G2993" s="7" t="s">
        <v>15</v>
      </c>
      <c r="H2993" s="7" t="s">
        <v>45</v>
      </c>
      <c r="I2993" s="20" t="s">
        <v>2933</v>
      </c>
      <c r="J2993" s="20" t="s">
        <v>4064</v>
      </c>
      <c r="K2993" s="7" t="s">
        <v>119</v>
      </c>
      <c r="L2993" s="61">
        <v>45994</v>
      </c>
      <c r="M2993" s="7" t="s">
        <v>111</v>
      </c>
      <c r="N2993" s="24">
        <v>46004</v>
      </c>
      <c r="O2993" s="24">
        <v>46004</v>
      </c>
      <c r="R2993" s="126">
        <v>46006</v>
      </c>
    </row>
    <row r="2994" spans="2:18" ht="17.25" hidden="1" customHeight="1">
      <c r="B2994" s="23">
        <v>45979</v>
      </c>
      <c r="C2994" s="7">
        <v>2003823907</v>
      </c>
      <c r="D2994" s="20">
        <v>368449</v>
      </c>
      <c r="E2994" s="27" t="s">
        <v>1225</v>
      </c>
      <c r="F2994" s="7" t="s">
        <v>107</v>
      </c>
      <c r="G2994" s="7" t="s">
        <v>10</v>
      </c>
      <c r="H2994" s="7" t="s">
        <v>45</v>
      </c>
      <c r="I2994" s="20" t="s">
        <v>1819</v>
      </c>
      <c r="J2994" s="20" t="s">
        <v>4285</v>
      </c>
      <c r="K2994" s="7" t="s">
        <v>110</v>
      </c>
      <c r="L2994" s="61">
        <v>45986</v>
      </c>
      <c r="M2994" s="7" t="s">
        <v>111</v>
      </c>
      <c r="N2994" s="24">
        <v>45988</v>
      </c>
      <c r="O2994" s="58">
        <v>45995</v>
      </c>
      <c r="Q2994" s="245"/>
      <c r="R2994" s="126">
        <v>45996</v>
      </c>
    </row>
    <row r="2995" spans="2:18" ht="17.25" hidden="1" customHeight="1">
      <c r="B2995" s="23">
        <v>45979</v>
      </c>
      <c r="C2995" s="7">
        <v>2003846915</v>
      </c>
      <c r="D2995" s="20">
        <v>367730</v>
      </c>
      <c r="E2995" s="27" t="s">
        <v>135</v>
      </c>
      <c r="F2995" s="7" t="s">
        <v>107</v>
      </c>
      <c r="G2995" s="7" t="s">
        <v>15</v>
      </c>
      <c r="H2995" s="7" t="s">
        <v>45</v>
      </c>
      <c r="I2995" s="20" t="s">
        <v>470</v>
      </c>
      <c r="J2995" s="20" t="s">
        <v>4286</v>
      </c>
      <c r="K2995" s="7" t="s">
        <v>110</v>
      </c>
      <c r="L2995" s="61">
        <v>45986</v>
      </c>
      <c r="M2995" s="7" t="s">
        <v>111</v>
      </c>
      <c r="N2995" s="24">
        <v>45986</v>
      </c>
      <c r="O2995" s="24">
        <v>45986</v>
      </c>
      <c r="Q2995" s="245"/>
      <c r="R2995" s="126">
        <v>45987</v>
      </c>
    </row>
    <row r="2996" spans="2:18" ht="17.25" hidden="1" customHeight="1">
      <c r="B2996" s="23">
        <v>45979</v>
      </c>
      <c r="C2996" s="7">
        <v>2003804723</v>
      </c>
      <c r="D2996" s="20">
        <v>6476239</v>
      </c>
      <c r="E2996" s="27" t="s">
        <v>1225</v>
      </c>
      <c r="F2996" s="7" t="s">
        <v>107</v>
      </c>
      <c r="G2996" s="7" t="s">
        <v>10</v>
      </c>
      <c r="H2996" s="7" t="s">
        <v>45</v>
      </c>
      <c r="I2996" s="20" t="s">
        <v>4287</v>
      </c>
      <c r="J2996" s="20" t="s">
        <v>4288</v>
      </c>
      <c r="K2996" s="7" t="s">
        <v>119</v>
      </c>
      <c r="L2996" s="61">
        <v>45980</v>
      </c>
      <c r="M2996" s="7" t="s">
        <v>111</v>
      </c>
      <c r="N2996" s="24">
        <v>45989</v>
      </c>
      <c r="O2996" s="24">
        <v>45989</v>
      </c>
      <c r="R2996" s="126">
        <v>45993</v>
      </c>
    </row>
    <row r="2997" spans="2:18" ht="17.25" hidden="1" customHeight="1">
      <c r="B2997" s="23">
        <v>45979</v>
      </c>
      <c r="C2997" s="7">
        <v>2003772470</v>
      </c>
      <c r="D2997" s="20">
        <v>6476349</v>
      </c>
      <c r="E2997" s="27" t="s">
        <v>408</v>
      </c>
      <c r="F2997" s="7" t="s">
        <v>107</v>
      </c>
      <c r="G2997" s="7" t="s">
        <v>10</v>
      </c>
      <c r="H2997" s="7" t="s">
        <v>45</v>
      </c>
      <c r="I2997" s="20" t="s">
        <v>256</v>
      </c>
      <c r="J2997" s="20" t="s">
        <v>4289</v>
      </c>
      <c r="K2997" s="7" t="s">
        <v>110</v>
      </c>
      <c r="L2997" s="61">
        <v>45988</v>
      </c>
      <c r="M2997" s="7" t="s">
        <v>111</v>
      </c>
      <c r="N2997" s="61">
        <v>45988</v>
      </c>
      <c r="O2997" s="58">
        <v>45992</v>
      </c>
      <c r="Q2997" s="245"/>
      <c r="R2997" s="126">
        <v>45993</v>
      </c>
    </row>
    <row r="2998" spans="2:18" ht="17.25" hidden="1" customHeight="1">
      <c r="B2998" s="23">
        <v>45979</v>
      </c>
      <c r="C2998" s="7">
        <v>2003601659</v>
      </c>
      <c r="D2998" s="20">
        <v>262144</v>
      </c>
      <c r="E2998" s="27" t="s">
        <v>4290</v>
      </c>
      <c r="F2998" s="7" t="s">
        <v>107</v>
      </c>
      <c r="G2998" s="7" t="s">
        <v>18</v>
      </c>
      <c r="H2998" s="7" t="s">
        <v>45</v>
      </c>
      <c r="I2998" s="20" t="s">
        <v>4291</v>
      </c>
      <c r="J2998" s="20" t="s">
        <v>4292</v>
      </c>
      <c r="K2998" s="7" t="s">
        <v>110</v>
      </c>
      <c r="L2998" s="61">
        <v>45986</v>
      </c>
      <c r="M2998" s="7" t="s">
        <v>111</v>
      </c>
      <c r="N2998" s="24">
        <v>45989</v>
      </c>
      <c r="O2998" s="58">
        <v>45995</v>
      </c>
      <c r="Q2998" s="245"/>
      <c r="R2998" s="126">
        <v>45996</v>
      </c>
    </row>
    <row r="2999" spans="2:18" ht="17.25" hidden="1" customHeight="1">
      <c r="B2999" s="23">
        <v>45980</v>
      </c>
      <c r="C2999" s="7">
        <v>2003809458</v>
      </c>
      <c r="D2999" s="20">
        <v>372391</v>
      </c>
      <c r="E2999" s="27" t="s">
        <v>1225</v>
      </c>
      <c r="F2999" s="7" t="s">
        <v>107</v>
      </c>
      <c r="G2999" s="7" t="s">
        <v>10</v>
      </c>
      <c r="H2999" s="7" t="s">
        <v>45</v>
      </c>
      <c r="I2999" s="20" t="s">
        <v>4293</v>
      </c>
      <c r="J2999" s="20" t="s">
        <v>4294</v>
      </c>
      <c r="K2999" s="7" t="s">
        <v>119</v>
      </c>
      <c r="L2999" s="61">
        <v>45981</v>
      </c>
      <c r="M2999" s="7" t="s">
        <v>111</v>
      </c>
      <c r="N2999" s="24">
        <v>45989</v>
      </c>
      <c r="O2999" s="58">
        <v>45995</v>
      </c>
      <c r="R2999" s="126">
        <v>45996</v>
      </c>
    </row>
    <row r="3000" spans="2:18" ht="17.25" hidden="1" customHeight="1">
      <c r="B3000" s="23">
        <v>45980</v>
      </c>
      <c r="C3000" s="7">
        <v>2003849143</v>
      </c>
      <c r="D3000" s="20">
        <v>372285</v>
      </c>
      <c r="E3000" s="27" t="s">
        <v>408</v>
      </c>
      <c r="F3000" s="7" t="s">
        <v>107</v>
      </c>
      <c r="G3000" s="7" t="s">
        <v>18</v>
      </c>
      <c r="H3000" s="7" t="s">
        <v>45</v>
      </c>
      <c r="I3000" s="20" t="s">
        <v>3482</v>
      </c>
      <c r="J3000" s="20" t="s">
        <v>4295</v>
      </c>
      <c r="K3000" s="7" t="s">
        <v>110</v>
      </c>
      <c r="L3000" s="61">
        <v>45981</v>
      </c>
      <c r="M3000" s="7" t="s">
        <v>111</v>
      </c>
      <c r="N3000" s="61">
        <v>45981</v>
      </c>
      <c r="O3000" s="58">
        <v>45987</v>
      </c>
      <c r="Q3000" s="245"/>
      <c r="R3000" s="126">
        <v>45987</v>
      </c>
    </row>
    <row r="3001" spans="2:18" ht="17.25" hidden="1" customHeight="1">
      <c r="B3001" s="23">
        <v>45980</v>
      </c>
      <c r="C3001" s="7">
        <v>2003811287</v>
      </c>
      <c r="D3001" s="20">
        <v>371830</v>
      </c>
      <c r="E3001" s="27" t="s">
        <v>566</v>
      </c>
      <c r="F3001" s="7" t="s">
        <v>107</v>
      </c>
      <c r="G3001" s="7" t="s">
        <v>10</v>
      </c>
      <c r="H3001" s="7" t="s">
        <v>45</v>
      </c>
      <c r="I3001" s="20" t="s">
        <v>671</v>
      </c>
      <c r="J3001" s="20" t="s">
        <v>4296</v>
      </c>
      <c r="K3001" s="7" t="s">
        <v>110</v>
      </c>
      <c r="L3001" s="61">
        <v>45987</v>
      </c>
      <c r="M3001" s="7" t="s">
        <v>111</v>
      </c>
      <c r="N3001" s="24">
        <v>45988</v>
      </c>
      <c r="O3001" s="58">
        <v>45989</v>
      </c>
      <c r="Q3001" s="245"/>
      <c r="R3001" s="126">
        <v>45989</v>
      </c>
    </row>
    <row r="3002" spans="2:18" ht="17.25" hidden="1" customHeight="1">
      <c r="B3002" s="23">
        <v>45980</v>
      </c>
      <c r="C3002" s="7">
        <v>2003839969</v>
      </c>
      <c r="D3002" s="20">
        <v>370660</v>
      </c>
      <c r="E3002" s="27" t="s">
        <v>123</v>
      </c>
      <c r="F3002" s="7" t="s">
        <v>107</v>
      </c>
      <c r="G3002" s="7" t="s">
        <v>10</v>
      </c>
      <c r="H3002" s="7" t="s">
        <v>45</v>
      </c>
      <c r="I3002" s="20" t="s">
        <v>636</v>
      </c>
      <c r="J3002" s="20" t="s">
        <v>4297</v>
      </c>
      <c r="K3002" s="7" t="s">
        <v>110</v>
      </c>
      <c r="L3002" s="61">
        <v>45986</v>
      </c>
      <c r="M3002" s="7" t="s">
        <v>111</v>
      </c>
      <c r="N3002" s="24">
        <v>45986</v>
      </c>
      <c r="O3002" s="58">
        <v>45988</v>
      </c>
      <c r="Q3002" s="245"/>
      <c r="R3002" s="126">
        <v>45989</v>
      </c>
    </row>
    <row r="3003" spans="2:18" ht="17.25" hidden="1" customHeight="1">
      <c r="B3003" s="23">
        <v>45980</v>
      </c>
      <c r="C3003" s="7">
        <v>2003668658</v>
      </c>
      <c r="D3003" s="20">
        <v>6476647</v>
      </c>
      <c r="E3003" s="27" t="s">
        <v>123</v>
      </c>
      <c r="F3003" s="7" t="s">
        <v>107</v>
      </c>
      <c r="G3003" s="7" t="s">
        <v>18</v>
      </c>
      <c r="H3003" s="7" t="s">
        <v>45</v>
      </c>
      <c r="I3003" s="20" t="s">
        <v>4298</v>
      </c>
      <c r="J3003" s="20" t="s">
        <v>4116</v>
      </c>
      <c r="K3003" s="7" t="s">
        <v>119</v>
      </c>
      <c r="L3003" s="61">
        <v>45981</v>
      </c>
      <c r="M3003" s="7" t="s">
        <v>111</v>
      </c>
      <c r="N3003" s="24">
        <v>45986</v>
      </c>
      <c r="O3003" s="24">
        <v>45986</v>
      </c>
      <c r="R3003" s="126">
        <v>45987</v>
      </c>
    </row>
    <row r="3004" spans="2:18" ht="17.25" hidden="1" customHeight="1">
      <c r="B3004" s="23">
        <v>45980</v>
      </c>
      <c r="C3004" s="7">
        <v>2003839397</v>
      </c>
      <c r="D3004" s="20">
        <v>6476702</v>
      </c>
      <c r="E3004" s="27" t="s">
        <v>1225</v>
      </c>
      <c r="F3004" s="7" t="s">
        <v>107</v>
      </c>
      <c r="G3004" s="7" t="s">
        <v>15</v>
      </c>
      <c r="H3004" s="7" t="s">
        <v>45</v>
      </c>
      <c r="I3004" s="20" t="s">
        <v>2075</v>
      </c>
      <c r="J3004" s="20" t="s">
        <v>4299</v>
      </c>
      <c r="K3004" s="7" t="s">
        <v>110</v>
      </c>
      <c r="L3004" s="61">
        <v>45987</v>
      </c>
      <c r="M3004" s="7" t="s">
        <v>111</v>
      </c>
      <c r="N3004" s="24">
        <v>45994</v>
      </c>
      <c r="O3004" s="24">
        <v>45994</v>
      </c>
      <c r="Q3004" s="245"/>
      <c r="R3004" s="126">
        <v>45996</v>
      </c>
    </row>
    <row r="3005" spans="2:18" ht="17.25" hidden="1" customHeight="1">
      <c r="B3005" s="23">
        <v>45980</v>
      </c>
      <c r="C3005" s="7">
        <v>2003558774</v>
      </c>
      <c r="D3005" s="20">
        <v>6476715</v>
      </c>
      <c r="E3005" s="27" t="s">
        <v>116</v>
      </c>
      <c r="F3005" s="7" t="s">
        <v>107</v>
      </c>
      <c r="G3005" s="7" t="s">
        <v>21</v>
      </c>
      <c r="H3005" s="7" t="s">
        <v>45</v>
      </c>
      <c r="I3005" s="20" t="s">
        <v>4300</v>
      </c>
      <c r="J3005" s="20" t="s">
        <v>305</v>
      </c>
      <c r="K3005" s="7" t="s">
        <v>119</v>
      </c>
      <c r="L3005" s="61">
        <v>45981</v>
      </c>
      <c r="M3005" s="7" t="s">
        <v>111</v>
      </c>
      <c r="N3005" s="24">
        <v>45986</v>
      </c>
      <c r="O3005" s="58">
        <v>45987</v>
      </c>
      <c r="R3005" s="126">
        <v>45987</v>
      </c>
    </row>
    <row r="3006" spans="2:18" ht="17.25" hidden="1" customHeight="1">
      <c r="B3006" s="23">
        <v>45980</v>
      </c>
      <c r="C3006" s="7">
        <v>2003792920</v>
      </c>
      <c r="D3006" s="20">
        <v>6477080</v>
      </c>
      <c r="E3006" s="27" t="s">
        <v>230</v>
      </c>
      <c r="F3006" s="7" t="s">
        <v>107</v>
      </c>
      <c r="G3006" s="7" t="s">
        <v>18</v>
      </c>
      <c r="H3006" s="7" t="s">
        <v>45</v>
      </c>
      <c r="I3006" s="20" t="s">
        <v>1291</v>
      </c>
      <c r="J3006" s="20" t="s">
        <v>4301</v>
      </c>
      <c r="K3006" s="7" t="s">
        <v>110</v>
      </c>
      <c r="L3006" s="61">
        <v>45986</v>
      </c>
      <c r="M3006" s="7" t="s">
        <v>111</v>
      </c>
      <c r="N3006" s="24">
        <v>45986</v>
      </c>
      <c r="O3006" s="24">
        <v>45986</v>
      </c>
      <c r="Q3006" s="245"/>
      <c r="R3006" s="126">
        <v>45987</v>
      </c>
    </row>
    <row r="3007" spans="2:18" ht="17.25" hidden="1" customHeight="1">
      <c r="B3007" s="23">
        <v>45980</v>
      </c>
      <c r="C3007" s="7">
        <v>2003711802</v>
      </c>
      <c r="D3007" s="20">
        <v>340688</v>
      </c>
      <c r="E3007" s="27" t="s">
        <v>949</v>
      </c>
      <c r="F3007" s="7" t="s">
        <v>107</v>
      </c>
      <c r="G3007" s="7" t="s">
        <v>18</v>
      </c>
      <c r="H3007" s="7" t="s">
        <v>45</v>
      </c>
      <c r="I3007" s="20" t="s">
        <v>4293</v>
      </c>
      <c r="J3007" s="20" t="s">
        <v>4294</v>
      </c>
      <c r="K3007" s="7" t="s">
        <v>119</v>
      </c>
      <c r="L3007" s="61">
        <v>45981</v>
      </c>
      <c r="M3007" s="7" t="s">
        <v>111</v>
      </c>
      <c r="N3007" s="24">
        <v>45989</v>
      </c>
      <c r="O3007" s="24">
        <v>45989</v>
      </c>
      <c r="R3007" s="126">
        <v>45993</v>
      </c>
    </row>
    <row r="3008" spans="2:18" ht="17.25" hidden="1" customHeight="1">
      <c r="B3008" s="23">
        <v>45981</v>
      </c>
      <c r="C3008" s="7">
        <v>2003806909</v>
      </c>
      <c r="D3008" s="20">
        <v>374585</v>
      </c>
      <c r="E3008" s="27" t="s">
        <v>138</v>
      </c>
      <c r="F3008" s="7" t="s">
        <v>107</v>
      </c>
      <c r="G3008" s="7" t="s">
        <v>21</v>
      </c>
      <c r="H3008" s="7" t="s">
        <v>45</v>
      </c>
      <c r="I3008" s="20" t="s">
        <v>1009</v>
      </c>
      <c r="J3008" s="20" t="s">
        <v>3956</v>
      </c>
      <c r="K3008" s="7" t="s">
        <v>110</v>
      </c>
      <c r="L3008" s="61">
        <v>45986</v>
      </c>
      <c r="M3008" s="7" t="s">
        <v>111</v>
      </c>
      <c r="N3008" s="24">
        <v>45986</v>
      </c>
      <c r="O3008" s="58">
        <v>45993</v>
      </c>
      <c r="Q3008" s="245"/>
      <c r="R3008" s="126">
        <v>45993</v>
      </c>
    </row>
    <row r="3009" spans="2:18" ht="17.25" hidden="1" customHeight="1">
      <c r="B3009" s="23">
        <v>45981</v>
      </c>
      <c r="C3009" s="7">
        <v>2003849876</v>
      </c>
      <c r="D3009" s="20">
        <v>374250</v>
      </c>
      <c r="E3009" s="27" t="s">
        <v>1225</v>
      </c>
      <c r="F3009" s="7" t="s">
        <v>107</v>
      </c>
      <c r="G3009" s="7" t="s">
        <v>26</v>
      </c>
      <c r="H3009" s="7" t="s">
        <v>45</v>
      </c>
      <c r="I3009" s="20" t="s">
        <v>4302</v>
      </c>
      <c r="J3009" s="20" t="s">
        <v>4303</v>
      </c>
      <c r="K3009" s="7" t="s">
        <v>110</v>
      </c>
      <c r="L3009" s="61">
        <v>45987</v>
      </c>
      <c r="M3009" s="7" t="s">
        <v>111</v>
      </c>
      <c r="N3009" s="24">
        <v>45989</v>
      </c>
      <c r="O3009" s="58">
        <v>45989</v>
      </c>
      <c r="Q3009" s="245"/>
      <c r="R3009" s="126">
        <v>45989</v>
      </c>
    </row>
    <row r="3010" spans="2:18" ht="17.25" hidden="1" customHeight="1">
      <c r="B3010" s="23">
        <v>45981</v>
      </c>
      <c r="C3010" s="7">
        <v>2003838914</v>
      </c>
      <c r="D3010" s="20">
        <v>374180</v>
      </c>
      <c r="E3010" s="27" t="s">
        <v>123</v>
      </c>
      <c r="F3010" s="7" t="s">
        <v>107</v>
      </c>
      <c r="G3010" s="7" t="s">
        <v>18</v>
      </c>
      <c r="H3010" s="7" t="s">
        <v>45</v>
      </c>
      <c r="I3010" s="20" t="s">
        <v>4304</v>
      </c>
      <c r="J3010" s="20" t="s">
        <v>4305</v>
      </c>
      <c r="K3010" s="7" t="s">
        <v>110</v>
      </c>
      <c r="L3010" s="61">
        <v>45986</v>
      </c>
      <c r="M3010" s="7" t="s">
        <v>111</v>
      </c>
      <c r="N3010" s="24">
        <v>45986</v>
      </c>
      <c r="O3010" s="58">
        <v>46001</v>
      </c>
      <c r="Q3010" s="245"/>
      <c r="R3010" s="126">
        <v>46001</v>
      </c>
    </row>
    <row r="3011" spans="2:18" ht="17.25" hidden="1" customHeight="1">
      <c r="B3011" s="23">
        <v>45981</v>
      </c>
      <c r="C3011" s="7">
        <v>2003846365</v>
      </c>
      <c r="D3011" s="20">
        <v>6477671</v>
      </c>
      <c r="E3011" s="27" t="s">
        <v>949</v>
      </c>
      <c r="F3011" s="7" t="s">
        <v>107</v>
      </c>
      <c r="G3011" s="7" t="s">
        <v>18</v>
      </c>
      <c r="H3011" s="7" t="s">
        <v>45</v>
      </c>
      <c r="I3011" s="20" t="s">
        <v>4306</v>
      </c>
      <c r="J3011" s="20" t="s">
        <v>4307</v>
      </c>
      <c r="K3011" s="7" t="s">
        <v>146</v>
      </c>
      <c r="L3011" s="61">
        <v>45982</v>
      </c>
      <c r="M3011" s="7" t="s">
        <v>111</v>
      </c>
      <c r="N3011" s="61">
        <v>45986</v>
      </c>
      <c r="O3011" s="58">
        <v>45987</v>
      </c>
      <c r="Q3011" s="245"/>
      <c r="R3011" s="126">
        <v>45987</v>
      </c>
    </row>
    <row r="3012" spans="2:18" ht="17.25" hidden="1" customHeight="1">
      <c r="B3012" s="23">
        <v>45981</v>
      </c>
      <c r="C3012" s="7">
        <v>2003851616</v>
      </c>
      <c r="D3012" s="20">
        <v>6477813</v>
      </c>
      <c r="E3012" s="27" t="s">
        <v>106</v>
      </c>
      <c r="F3012" s="7" t="s">
        <v>107</v>
      </c>
      <c r="G3012" s="7" t="s">
        <v>18</v>
      </c>
      <c r="H3012" s="7" t="s">
        <v>45</v>
      </c>
      <c r="I3012" s="20" t="s">
        <v>1208</v>
      </c>
      <c r="J3012" s="20" t="s">
        <v>4308</v>
      </c>
      <c r="K3012" s="7" t="s">
        <v>110</v>
      </c>
      <c r="L3012" s="61">
        <v>45988</v>
      </c>
      <c r="M3012" s="7" t="s">
        <v>111</v>
      </c>
      <c r="N3012" s="61">
        <v>45988</v>
      </c>
      <c r="O3012" s="61">
        <v>45988</v>
      </c>
      <c r="Q3012" s="245"/>
      <c r="R3012" s="126">
        <v>45989</v>
      </c>
    </row>
    <row r="3013" spans="2:18" ht="17.25" hidden="1" customHeight="1">
      <c r="B3013" s="23">
        <v>45981</v>
      </c>
      <c r="C3013" s="7">
        <v>2003820510</v>
      </c>
      <c r="D3013" s="20">
        <v>6477819</v>
      </c>
      <c r="E3013" s="27" t="s">
        <v>366</v>
      </c>
      <c r="F3013" s="7" t="s">
        <v>107</v>
      </c>
      <c r="G3013" s="7" t="s">
        <v>15</v>
      </c>
      <c r="H3013" s="7" t="s">
        <v>45</v>
      </c>
      <c r="I3013" s="20" t="s">
        <v>4309</v>
      </c>
      <c r="J3013" s="20" t="s">
        <v>4310</v>
      </c>
      <c r="K3013" s="7" t="s">
        <v>110</v>
      </c>
      <c r="L3013" s="61">
        <v>45994</v>
      </c>
      <c r="M3013" s="7" t="s">
        <v>111</v>
      </c>
      <c r="N3013" s="61">
        <v>45994</v>
      </c>
      <c r="O3013" s="58">
        <v>45995</v>
      </c>
      <c r="Q3013" s="245"/>
      <c r="R3013" s="126">
        <v>45996</v>
      </c>
    </row>
    <row r="3014" spans="2:18" ht="17.25" hidden="1" customHeight="1">
      <c r="B3014" s="23">
        <v>45986</v>
      </c>
      <c r="C3014" s="7">
        <v>2003849895</v>
      </c>
      <c r="D3014" s="20">
        <v>377915</v>
      </c>
      <c r="E3014" s="27" t="s">
        <v>185</v>
      </c>
      <c r="F3014" s="7" t="s">
        <v>107</v>
      </c>
      <c r="G3014" s="7" t="s">
        <v>18</v>
      </c>
      <c r="H3014" s="7" t="s">
        <v>45</v>
      </c>
      <c r="I3014" s="20" t="s">
        <v>2708</v>
      </c>
      <c r="J3014" s="20" t="s">
        <v>3919</v>
      </c>
      <c r="K3014" s="7" t="s">
        <v>110</v>
      </c>
      <c r="L3014" s="61">
        <v>45988</v>
      </c>
      <c r="M3014" s="7" t="s">
        <v>111</v>
      </c>
      <c r="N3014" s="61">
        <v>45988</v>
      </c>
      <c r="O3014" s="58">
        <v>45992</v>
      </c>
      <c r="Q3014" s="245"/>
      <c r="R3014" s="126">
        <v>45993</v>
      </c>
    </row>
    <row r="3015" spans="2:18" ht="17.25" hidden="1" customHeight="1">
      <c r="B3015" s="23">
        <v>45986</v>
      </c>
      <c r="C3015" s="7">
        <v>2003854926</v>
      </c>
      <c r="D3015" s="20">
        <v>377623</v>
      </c>
      <c r="E3015" s="27" t="s">
        <v>149</v>
      </c>
      <c r="F3015" s="7" t="s">
        <v>107</v>
      </c>
      <c r="G3015" s="7" t="s">
        <v>10</v>
      </c>
      <c r="H3015" s="7" t="s">
        <v>45</v>
      </c>
      <c r="I3015" s="20" t="s">
        <v>4311</v>
      </c>
      <c r="J3015" s="236" t="s">
        <v>4312</v>
      </c>
      <c r="K3015" s="7" t="s">
        <v>110</v>
      </c>
      <c r="L3015" s="61">
        <v>45989</v>
      </c>
      <c r="M3015" s="7" t="s">
        <v>111</v>
      </c>
      <c r="N3015" s="61">
        <v>45989</v>
      </c>
      <c r="O3015" s="61">
        <v>45989</v>
      </c>
      <c r="Q3015" s="245"/>
      <c r="R3015" s="126">
        <v>45993</v>
      </c>
    </row>
    <row r="3016" spans="2:18" ht="17.25" hidden="1" customHeight="1">
      <c r="B3016" s="23">
        <v>45986</v>
      </c>
      <c r="C3016" s="7">
        <v>2003849876</v>
      </c>
      <c r="D3016" s="20">
        <v>376859</v>
      </c>
      <c r="E3016" s="27" t="s">
        <v>1225</v>
      </c>
      <c r="F3016" s="7" t="s">
        <v>107</v>
      </c>
      <c r="G3016" s="7" t="s">
        <v>10</v>
      </c>
      <c r="H3016" s="7" t="s">
        <v>45</v>
      </c>
      <c r="I3016" s="20" t="s">
        <v>1980</v>
      </c>
      <c r="J3016" s="20" t="s">
        <v>4303</v>
      </c>
      <c r="K3016" s="7" t="s">
        <v>110</v>
      </c>
      <c r="L3016" s="61">
        <v>45987</v>
      </c>
      <c r="M3016" s="7" t="s">
        <v>111</v>
      </c>
      <c r="N3016" s="61">
        <v>45987</v>
      </c>
      <c r="O3016" s="24">
        <v>45988</v>
      </c>
      <c r="Q3016" s="245"/>
      <c r="R3016" s="126">
        <v>45989</v>
      </c>
    </row>
    <row r="3017" spans="2:18" ht="17.25" hidden="1" customHeight="1">
      <c r="B3017" s="23">
        <v>45986</v>
      </c>
      <c r="C3017" s="7">
        <v>2003851321</v>
      </c>
      <c r="D3017" s="20">
        <v>376761</v>
      </c>
      <c r="E3017" s="27" t="s">
        <v>123</v>
      </c>
      <c r="F3017" s="7" t="s">
        <v>107</v>
      </c>
      <c r="G3017" s="7" t="s">
        <v>10</v>
      </c>
      <c r="H3017" s="7" t="s">
        <v>45</v>
      </c>
      <c r="I3017" s="20" t="s">
        <v>3473</v>
      </c>
      <c r="J3017" s="20" t="s">
        <v>4313</v>
      </c>
      <c r="K3017" s="7" t="s">
        <v>110</v>
      </c>
      <c r="L3017" s="61">
        <v>45987</v>
      </c>
      <c r="M3017" s="7" t="s">
        <v>111</v>
      </c>
      <c r="N3017" s="61">
        <v>45987</v>
      </c>
      <c r="O3017" s="24">
        <v>45988</v>
      </c>
      <c r="Q3017" s="245"/>
      <c r="R3017" s="126">
        <v>45989</v>
      </c>
    </row>
    <row r="3018" spans="2:18" ht="17.25" hidden="1" customHeight="1">
      <c r="B3018" s="23">
        <v>45986</v>
      </c>
      <c r="C3018" s="7">
        <v>2003851324</v>
      </c>
      <c r="D3018" s="20">
        <v>375381</v>
      </c>
      <c r="E3018" s="27" t="s">
        <v>191</v>
      </c>
      <c r="F3018" s="7" t="s">
        <v>107</v>
      </c>
      <c r="G3018" s="7" t="s">
        <v>10</v>
      </c>
      <c r="H3018" s="7" t="s">
        <v>45</v>
      </c>
      <c r="I3018" s="20" t="s">
        <v>3383</v>
      </c>
      <c r="J3018" s="20" t="s">
        <v>4314</v>
      </c>
      <c r="K3018" s="7" t="s">
        <v>110</v>
      </c>
      <c r="L3018" s="61">
        <v>45988</v>
      </c>
      <c r="M3018" s="7" t="s">
        <v>111</v>
      </c>
      <c r="N3018" s="24">
        <v>45988</v>
      </c>
      <c r="O3018" s="58">
        <v>45992</v>
      </c>
      <c r="Q3018" s="245"/>
      <c r="R3018" s="126">
        <v>45993</v>
      </c>
    </row>
    <row r="3019" spans="2:18" ht="17.25" hidden="1" customHeight="1">
      <c r="B3019" s="23">
        <v>45986</v>
      </c>
      <c r="C3019" s="7">
        <v>2003852741</v>
      </c>
      <c r="D3019" s="20">
        <v>375374</v>
      </c>
      <c r="E3019" s="27" t="s">
        <v>191</v>
      </c>
      <c r="F3019" s="7" t="s">
        <v>107</v>
      </c>
      <c r="G3019" s="7" t="s">
        <v>10</v>
      </c>
      <c r="H3019" s="7" t="s">
        <v>45</v>
      </c>
      <c r="I3019" s="20" t="s">
        <v>3383</v>
      </c>
      <c r="J3019" s="20" t="s">
        <v>4314</v>
      </c>
      <c r="K3019" s="7" t="s">
        <v>110</v>
      </c>
      <c r="L3019" s="61">
        <v>45988</v>
      </c>
      <c r="M3019" s="7" t="s">
        <v>111</v>
      </c>
      <c r="N3019" s="61">
        <v>45988</v>
      </c>
      <c r="O3019" s="61">
        <v>45988</v>
      </c>
      <c r="Q3019" s="245"/>
      <c r="R3019" s="126">
        <v>45989</v>
      </c>
    </row>
    <row r="3020" spans="2:18" ht="17.25" hidden="1" customHeight="1">
      <c r="B3020" s="23">
        <v>45986</v>
      </c>
      <c r="C3020" s="7">
        <v>2003570400</v>
      </c>
      <c r="D3020" s="20">
        <v>6478527</v>
      </c>
      <c r="E3020" s="27" t="s">
        <v>123</v>
      </c>
      <c r="F3020" s="7" t="s">
        <v>107</v>
      </c>
      <c r="G3020" s="7" t="s">
        <v>18</v>
      </c>
      <c r="H3020" s="7" t="s">
        <v>45</v>
      </c>
      <c r="I3020" s="20" t="s">
        <v>4315</v>
      </c>
      <c r="J3020" s="20" t="s">
        <v>4316</v>
      </c>
      <c r="K3020" s="7" t="s">
        <v>110</v>
      </c>
      <c r="L3020" s="61">
        <v>45987</v>
      </c>
      <c r="M3020" s="7" t="s">
        <v>111</v>
      </c>
      <c r="N3020" s="61">
        <v>45987</v>
      </c>
      <c r="O3020" s="58">
        <v>45987</v>
      </c>
      <c r="Q3020" s="245"/>
      <c r="R3020" s="126">
        <v>45989</v>
      </c>
    </row>
    <row r="3021" spans="2:18" ht="17.25" hidden="1" customHeight="1">
      <c r="B3021" s="23">
        <v>45986</v>
      </c>
      <c r="C3021" s="7">
        <v>2003812472</v>
      </c>
      <c r="D3021" s="20">
        <v>6478755</v>
      </c>
      <c r="E3021" s="27" t="s">
        <v>126</v>
      </c>
      <c r="F3021" s="7" t="s">
        <v>107</v>
      </c>
      <c r="G3021" s="7" t="s">
        <v>26</v>
      </c>
      <c r="H3021" s="7" t="s">
        <v>45</v>
      </c>
      <c r="I3021" s="20" t="s">
        <v>3164</v>
      </c>
      <c r="J3021" s="20" t="s">
        <v>4032</v>
      </c>
      <c r="K3021" s="7" t="s">
        <v>119</v>
      </c>
      <c r="L3021" s="61">
        <v>45992</v>
      </c>
      <c r="M3021" s="7" t="s">
        <v>111</v>
      </c>
      <c r="N3021" s="24">
        <v>45993</v>
      </c>
      <c r="O3021" s="58">
        <v>45993</v>
      </c>
      <c r="R3021" s="126">
        <v>45993</v>
      </c>
    </row>
    <row r="3022" spans="2:18" ht="17.25" hidden="1" customHeight="1">
      <c r="B3022" s="23">
        <v>45987</v>
      </c>
      <c r="C3022" s="7">
        <v>2003855676</v>
      </c>
      <c r="D3022" s="20">
        <v>380083</v>
      </c>
      <c r="E3022" s="27" t="s">
        <v>123</v>
      </c>
      <c r="F3022" s="7" t="s">
        <v>107</v>
      </c>
      <c r="G3022" s="7" t="s">
        <v>10</v>
      </c>
      <c r="H3022" s="7" t="s">
        <v>45</v>
      </c>
      <c r="I3022" s="20" t="s">
        <v>1786</v>
      </c>
      <c r="J3022" s="20" t="s">
        <v>3701</v>
      </c>
      <c r="K3022" s="7" t="s">
        <v>110</v>
      </c>
      <c r="L3022" s="61">
        <v>45989</v>
      </c>
      <c r="M3022" s="7" t="s">
        <v>111</v>
      </c>
      <c r="N3022" s="61">
        <v>45989</v>
      </c>
      <c r="O3022" s="61">
        <v>45989</v>
      </c>
      <c r="Q3022" s="245"/>
      <c r="R3022" s="126">
        <v>45993</v>
      </c>
    </row>
    <row r="3023" spans="2:18" ht="17.25" hidden="1" customHeight="1">
      <c r="B3023" s="23">
        <v>45987</v>
      </c>
      <c r="C3023" s="7">
        <v>2003855362</v>
      </c>
      <c r="D3023" s="20">
        <v>379779</v>
      </c>
      <c r="E3023" s="27" t="s">
        <v>1225</v>
      </c>
      <c r="F3023" s="7" t="s">
        <v>107</v>
      </c>
      <c r="G3023" s="7" t="s">
        <v>10</v>
      </c>
      <c r="H3023" s="7" t="s">
        <v>45</v>
      </c>
      <c r="I3023" s="20" t="s">
        <v>1964</v>
      </c>
      <c r="J3023" s="20" t="s">
        <v>1965</v>
      </c>
      <c r="K3023" s="7" t="s">
        <v>110</v>
      </c>
      <c r="L3023" s="61">
        <v>45988</v>
      </c>
      <c r="M3023" s="7" t="s">
        <v>111</v>
      </c>
      <c r="N3023" s="61">
        <v>45988</v>
      </c>
      <c r="O3023" s="61">
        <v>45988</v>
      </c>
      <c r="Q3023" s="245"/>
      <c r="R3023" s="126">
        <v>45989</v>
      </c>
    </row>
    <row r="3024" spans="2:18" ht="17.25" hidden="1" customHeight="1">
      <c r="B3024" s="23">
        <v>45987</v>
      </c>
      <c r="C3024" s="7">
        <v>2003855143</v>
      </c>
      <c r="D3024" s="20">
        <v>379514</v>
      </c>
      <c r="E3024" s="27" t="s">
        <v>126</v>
      </c>
      <c r="F3024" s="7" t="s">
        <v>107</v>
      </c>
      <c r="G3024" s="7" t="s">
        <v>10</v>
      </c>
      <c r="H3024" s="7" t="s">
        <v>45</v>
      </c>
      <c r="I3024" s="20" t="s">
        <v>3502</v>
      </c>
      <c r="J3024" s="20" t="s">
        <v>4312</v>
      </c>
      <c r="K3024" s="7" t="s">
        <v>110</v>
      </c>
      <c r="L3024" s="61">
        <v>45989</v>
      </c>
      <c r="M3024" s="7" t="s">
        <v>111</v>
      </c>
      <c r="N3024" s="61">
        <v>45989</v>
      </c>
      <c r="O3024" s="61">
        <v>45989</v>
      </c>
      <c r="Q3024" s="245"/>
      <c r="R3024" s="126">
        <v>45993</v>
      </c>
    </row>
    <row r="3025" spans="2:18" ht="17.25" hidden="1" customHeight="1">
      <c r="B3025" s="23">
        <v>45987</v>
      </c>
      <c r="C3025" s="7">
        <v>2003854386</v>
      </c>
      <c r="D3025" s="20">
        <v>378972</v>
      </c>
      <c r="E3025" s="27" t="s">
        <v>143</v>
      </c>
      <c r="F3025" s="7" t="s">
        <v>107</v>
      </c>
      <c r="G3025" s="7" t="s">
        <v>10</v>
      </c>
      <c r="H3025" s="7" t="s">
        <v>45</v>
      </c>
      <c r="I3025" s="20" t="s">
        <v>1355</v>
      </c>
      <c r="J3025" s="20" t="s">
        <v>4317</v>
      </c>
      <c r="K3025" s="7" t="s">
        <v>119</v>
      </c>
      <c r="L3025" s="61">
        <v>45993</v>
      </c>
      <c r="M3025" s="7" t="s">
        <v>111</v>
      </c>
      <c r="N3025" s="61">
        <v>45994</v>
      </c>
      <c r="O3025" s="61">
        <v>45994</v>
      </c>
      <c r="R3025" s="126">
        <v>45996</v>
      </c>
    </row>
    <row r="3026" spans="2:18" ht="17.25" hidden="1" customHeight="1">
      <c r="B3026" s="23">
        <v>45987</v>
      </c>
      <c r="C3026" s="7">
        <v>2003853335</v>
      </c>
      <c r="D3026" s="20">
        <v>6479446</v>
      </c>
      <c r="E3026" s="27" t="s">
        <v>191</v>
      </c>
      <c r="F3026" s="7" t="s">
        <v>107</v>
      </c>
      <c r="G3026" s="7" t="s">
        <v>18</v>
      </c>
      <c r="H3026" s="7" t="s">
        <v>45</v>
      </c>
      <c r="I3026" s="20" t="s">
        <v>1639</v>
      </c>
      <c r="J3026" s="20" t="s">
        <v>4318</v>
      </c>
      <c r="K3026" s="7" t="s">
        <v>119</v>
      </c>
      <c r="L3026" s="61">
        <v>45992</v>
      </c>
      <c r="M3026" s="7" t="s">
        <v>111</v>
      </c>
      <c r="N3026" s="24">
        <v>45993</v>
      </c>
      <c r="O3026" s="58">
        <v>45995</v>
      </c>
      <c r="R3026" s="126">
        <v>45996</v>
      </c>
    </row>
    <row r="3027" spans="2:18" ht="17.25" hidden="1" customHeight="1">
      <c r="B3027" s="23">
        <v>45987</v>
      </c>
      <c r="C3027" s="7">
        <v>2003847278</v>
      </c>
      <c r="D3027" s="20">
        <v>6479475</v>
      </c>
      <c r="E3027" s="27" t="s">
        <v>106</v>
      </c>
      <c r="F3027" s="7" t="s">
        <v>107</v>
      </c>
      <c r="G3027" s="7" t="s">
        <v>10</v>
      </c>
      <c r="H3027" s="7" t="s">
        <v>45</v>
      </c>
      <c r="I3027" s="20" t="s">
        <v>2075</v>
      </c>
      <c r="J3027" s="20" t="s">
        <v>4319</v>
      </c>
      <c r="K3027" s="7" t="s">
        <v>110</v>
      </c>
      <c r="L3027" s="61">
        <v>45988</v>
      </c>
      <c r="M3027" s="7" t="s">
        <v>111</v>
      </c>
      <c r="N3027" s="61">
        <v>45988</v>
      </c>
      <c r="O3027" s="58">
        <v>45992</v>
      </c>
      <c r="Q3027" s="245"/>
      <c r="R3027" s="126">
        <v>45996</v>
      </c>
    </row>
    <row r="3028" spans="2:18" ht="17.25" hidden="1" customHeight="1">
      <c r="B3028" s="23">
        <v>45987</v>
      </c>
      <c r="C3028" s="7">
        <v>2003810784</v>
      </c>
      <c r="D3028" s="20">
        <v>6479730</v>
      </c>
      <c r="E3028" s="27" t="s">
        <v>143</v>
      </c>
      <c r="F3028" s="7" t="s">
        <v>107</v>
      </c>
      <c r="G3028" s="7" t="s">
        <v>21</v>
      </c>
      <c r="H3028" s="7" t="s">
        <v>45</v>
      </c>
      <c r="I3028" s="20" t="s">
        <v>4006</v>
      </c>
      <c r="J3028" s="20" t="s">
        <v>4007</v>
      </c>
      <c r="K3028" s="7" t="s">
        <v>111</v>
      </c>
      <c r="L3028" s="61">
        <v>45988</v>
      </c>
      <c r="M3028" s="7" t="s">
        <v>111</v>
      </c>
      <c r="N3028" s="61">
        <v>45988</v>
      </c>
      <c r="O3028" s="61">
        <v>45988</v>
      </c>
      <c r="Q3028" s="245"/>
      <c r="R3028" s="126">
        <v>45989</v>
      </c>
    </row>
    <row r="3029" spans="2:18" ht="17.25" hidden="1" customHeight="1">
      <c r="B3029" s="23">
        <v>45988</v>
      </c>
      <c r="C3029" s="7">
        <v>2003838567</v>
      </c>
      <c r="E3029" s="27" t="s">
        <v>185</v>
      </c>
      <c r="F3029" s="7" t="s">
        <v>107</v>
      </c>
      <c r="G3029" s="7" t="s">
        <v>10</v>
      </c>
      <c r="H3029" s="7" t="s">
        <v>45</v>
      </c>
      <c r="I3029" s="20" t="s">
        <v>4320</v>
      </c>
      <c r="J3029" s="20" t="s">
        <v>4321</v>
      </c>
      <c r="K3029" s="7" t="s">
        <v>110</v>
      </c>
      <c r="L3029" s="61">
        <v>45989</v>
      </c>
      <c r="M3029" s="7" t="s">
        <v>111</v>
      </c>
      <c r="N3029" s="61">
        <v>45989</v>
      </c>
      <c r="O3029" s="58">
        <v>45993</v>
      </c>
      <c r="Q3029" s="245"/>
      <c r="R3029" s="126">
        <v>45993</v>
      </c>
    </row>
    <row r="3030" spans="2:18" ht="17.25" hidden="1" customHeight="1">
      <c r="B3030" s="23">
        <v>45988</v>
      </c>
      <c r="C3030" s="7">
        <v>2003846782</v>
      </c>
      <c r="D3030" s="20">
        <v>382097</v>
      </c>
      <c r="E3030" s="27" t="s">
        <v>106</v>
      </c>
      <c r="F3030" s="7" t="s">
        <v>107</v>
      </c>
      <c r="G3030" s="7" t="s">
        <v>10</v>
      </c>
      <c r="H3030" s="7" t="s">
        <v>45</v>
      </c>
      <c r="I3030" s="20" t="s">
        <v>856</v>
      </c>
      <c r="J3030" s="20" t="s">
        <v>4322</v>
      </c>
      <c r="K3030" s="7" t="s">
        <v>119</v>
      </c>
      <c r="L3030" s="61">
        <v>45993</v>
      </c>
      <c r="M3030" s="7" t="s">
        <v>111</v>
      </c>
      <c r="N3030" s="61">
        <v>45994</v>
      </c>
      <c r="O3030" s="58">
        <v>45995</v>
      </c>
      <c r="R3030" s="126">
        <v>45996</v>
      </c>
    </row>
    <row r="3031" spans="2:18" ht="17.25" hidden="1" customHeight="1">
      <c r="B3031" s="23">
        <v>45988</v>
      </c>
      <c r="C3031" s="7">
        <v>2003826969</v>
      </c>
      <c r="D3031" s="20">
        <v>381795</v>
      </c>
      <c r="E3031" s="27" t="s">
        <v>106</v>
      </c>
      <c r="F3031" s="7" t="s">
        <v>107</v>
      </c>
      <c r="G3031" s="7" t="s">
        <v>10</v>
      </c>
      <c r="H3031" s="7" t="s">
        <v>45</v>
      </c>
      <c r="I3031" s="20" t="s">
        <v>480</v>
      </c>
      <c r="J3031" s="20" t="s">
        <v>4165</v>
      </c>
      <c r="K3031" s="7" t="s">
        <v>110</v>
      </c>
      <c r="L3031" s="61">
        <v>45989</v>
      </c>
      <c r="M3031" s="7" t="s">
        <v>111</v>
      </c>
      <c r="N3031" s="24">
        <v>45994</v>
      </c>
      <c r="O3031" s="58">
        <v>45995</v>
      </c>
      <c r="Q3031" s="245"/>
      <c r="R3031" s="126">
        <v>45996</v>
      </c>
    </row>
    <row r="3032" spans="2:18" ht="17.25" hidden="1" customHeight="1">
      <c r="B3032" s="23">
        <v>45988</v>
      </c>
      <c r="C3032" s="7">
        <v>2003831717</v>
      </c>
      <c r="D3032" s="20">
        <v>381565</v>
      </c>
      <c r="E3032" s="27" t="s">
        <v>1225</v>
      </c>
      <c r="F3032" s="7" t="s">
        <v>107</v>
      </c>
      <c r="G3032" s="7" t="s">
        <v>21</v>
      </c>
      <c r="H3032" s="7" t="s">
        <v>45</v>
      </c>
      <c r="I3032" s="20" t="s">
        <v>4150</v>
      </c>
      <c r="J3032" s="20" t="s">
        <v>4151</v>
      </c>
      <c r="K3032" s="7" t="s">
        <v>110</v>
      </c>
      <c r="L3032" s="61">
        <v>46009</v>
      </c>
      <c r="M3032" s="7" t="s">
        <v>111</v>
      </c>
      <c r="N3032" s="24">
        <v>46001</v>
      </c>
      <c r="O3032" s="61">
        <v>46006</v>
      </c>
      <c r="Q3032" s="245"/>
      <c r="R3032" s="126">
        <v>46008</v>
      </c>
    </row>
    <row r="3033" spans="2:18" ht="17.25" hidden="1" customHeight="1">
      <c r="B3033" s="23">
        <v>45988</v>
      </c>
      <c r="C3033" s="7">
        <v>2003805025</v>
      </c>
      <c r="D3033" s="20">
        <v>6480141</v>
      </c>
      <c r="E3033" s="27" t="s">
        <v>408</v>
      </c>
      <c r="F3033" s="7" t="s">
        <v>107</v>
      </c>
      <c r="G3033" s="7" t="s">
        <v>21</v>
      </c>
      <c r="H3033" s="7" t="s">
        <v>45</v>
      </c>
      <c r="I3033" s="20" t="s">
        <v>1367</v>
      </c>
      <c r="J3033" s="20" t="s">
        <v>2282</v>
      </c>
      <c r="K3033" s="7" t="s">
        <v>110</v>
      </c>
      <c r="L3033" s="61">
        <v>45989</v>
      </c>
      <c r="M3033" s="7" t="s">
        <v>111</v>
      </c>
      <c r="N3033" s="61">
        <v>45989</v>
      </c>
      <c r="O3033" s="58">
        <v>45995</v>
      </c>
      <c r="Q3033" s="245"/>
      <c r="R3033" s="126">
        <v>45996</v>
      </c>
    </row>
    <row r="3034" spans="2:18" ht="17.25" hidden="1" customHeight="1">
      <c r="B3034" s="23">
        <v>45988</v>
      </c>
      <c r="C3034" s="7">
        <v>2003737010</v>
      </c>
      <c r="D3034" s="20">
        <v>6480320</v>
      </c>
      <c r="E3034" s="27" t="s">
        <v>126</v>
      </c>
      <c r="F3034" s="7" t="s">
        <v>107</v>
      </c>
      <c r="G3034" s="7" t="s">
        <v>18</v>
      </c>
      <c r="H3034" s="7" t="s">
        <v>45</v>
      </c>
      <c r="I3034" s="20" t="s">
        <v>4323</v>
      </c>
      <c r="J3034" s="20" t="s">
        <v>4324</v>
      </c>
      <c r="K3034" s="7" t="s">
        <v>119</v>
      </c>
      <c r="L3034" s="61">
        <v>45992</v>
      </c>
      <c r="M3034" s="7" t="s">
        <v>111</v>
      </c>
      <c r="N3034" s="24">
        <v>45993</v>
      </c>
      <c r="O3034" s="58">
        <v>45995</v>
      </c>
      <c r="R3034" s="126">
        <v>45996</v>
      </c>
    </row>
    <row r="3035" spans="2:18" ht="17.25" hidden="1" customHeight="1">
      <c r="B3035" s="23">
        <v>45989</v>
      </c>
      <c r="C3035" s="7">
        <v>2003847535</v>
      </c>
      <c r="D3035" s="20">
        <v>384393</v>
      </c>
      <c r="E3035" s="27" t="s">
        <v>129</v>
      </c>
      <c r="F3035" s="7" t="s">
        <v>107</v>
      </c>
      <c r="G3035" s="7" t="s">
        <v>10</v>
      </c>
      <c r="H3035" s="7" t="s">
        <v>45</v>
      </c>
      <c r="I3035" s="20" t="s">
        <v>4325</v>
      </c>
      <c r="J3035" s="20" t="s">
        <v>2645</v>
      </c>
      <c r="K3035" s="7" t="s">
        <v>119</v>
      </c>
      <c r="L3035" s="61">
        <v>46043</v>
      </c>
      <c r="M3035" s="7" t="s">
        <v>111</v>
      </c>
      <c r="N3035" s="24">
        <v>46050</v>
      </c>
      <c r="O3035" s="24">
        <v>46050</v>
      </c>
      <c r="R3035" s="126">
        <v>46052</v>
      </c>
    </row>
    <row r="3036" spans="2:18" ht="17.25" hidden="1" customHeight="1">
      <c r="B3036" s="23">
        <v>45989</v>
      </c>
      <c r="C3036" s="7">
        <v>2003841355</v>
      </c>
      <c r="D3036" s="20">
        <v>384365</v>
      </c>
      <c r="E3036" s="27" t="s">
        <v>123</v>
      </c>
      <c r="F3036" s="7" t="s">
        <v>107</v>
      </c>
      <c r="G3036" s="7" t="s">
        <v>18</v>
      </c>
      <c r="H3036" s="7" t="s">
        <v>45</v>
      </c>
      <c r="I3036" s="20" t="s">
        <v>4326</v>
      </c>
      <c r="J3036" s="20" t="s">
        <v>4327</v>
      </c>
      <c r="K3036" s="7" t="s">
        <v>119</v>
      </c>
      <c r="L3036" s="61">
        <v>45993</v>
      </c>
      <c r="M3036" s="7" t="s">
        <v>111</v>
      </c>
      <c r="N3036" s="61">
        <v>45994</v>
      </c>
      <c r="O3036" s="58">
        <v>45995</v>
      </c>
      <c r="R3036" s="126">
        <v>45996</v>
      </c>
    </row>
    <row r="3037" spans="2:18" ht="17.25" hidden="1" customHeight="1">
      <c r="B3037" s="23">
        <v>45989</v>
      </c>
      <c r="C3037" s="7">
        <v>2003834736</v>
      </c>
      <c r="D3037" s="20">
        <v>384331</v>
      </c>
      <c r="E3037" s="27" t="s">
        <v>123</v>
      </c>
      <c r="F3037" s="7" t="s">
        <v>107</v>
      </c>
      <c r="G3037" s="7" t="s">
        <v>10</v>
      </c>
      <c r="H3037" s="7" t="s">
        <v>45</v>
      </c>
      <c r="I3037" s="20" t="s">
        <v>4328</v>
      </c>
      <c r="J3037" s="20" t="s">
        <v>4177</v>
      </c>
      <c r="K3037" s="7" t="s">
        <v>119</v>
      </c>
      <c r="L3037" s="61">
        <v>45994</v>
      </c>
      <c r="M3037" s="7" t="s">
        <v>111</v>
      </c>
      <c r="N3037" s="61">
        <v>45995</v>
      </c>
      <c r="O3037" s="61">
        <v>45995</v>
      </c>
      <c r="R3037" s="126">
        <v>45996</v>
      </c>
    </row>
    <row r="3038" spans="2:18" ht="17.25" hidden="1" customHeight="1">
      <c r="B3038" s="23">
        <v>45989</v>
      </c>
      <c r="C3038" s="7">
        <v>2003857128</v>
      </c>
      <c r="D3038" s="20">
        <v>6502091</v>
      </c>
      <c r="E3038" s="27" t="s">
        <v>123</v>
      </c>
      <c r="F3038" s="7" t="s">
        <v>113</v>
      </c>
      <c r="G3038" s="7" t="s">
        <v>70</v>
      </c>
      <c r="H3038" s="7" t="s">
        <v>47</v>
      </c>
      <c r="I3038" s="20" t="s">
        <v>981</v>
      </c>
      <c r="J3038" s="20" t="s">
        <v>4329</v>
      </c>
      <c r="K3038" s="7" t="s">
        <v>119</v>
      </c>
      <c r="L3038" s="61">
        <v>46000</v>
      </c>
      <c r="M3038" s="7" t="s">
        <v>111</v>
      </c>
    </row>
    <row r="3039" spans="2:18" ht="17.25" hidden="1" customHeight="1">
      <c r="B3039" s="23">
        <v>45989</v>
      </c>
      <c r="C3039" s="7">
        <v>2003855160</v>
      </c>
      <c r="D3039" s="20">
        <v>6502093</v>
      </c>
      <c r="E3039" s="27" t="s">
        <v>180</v>
      </c>
      <c r="F3039" s="7" t="s">
        <v>107</v>
      </c>
      <c r="G3039" s="7" t="s">
        <v>18</v>
      </c>
      <c r="H3039" s="7" t="s">
        <v>45</v>
      </c>
      <c r="I3039" s="20" t="s">
        <v>4330</v>
      </c>
      <c r="J3039" s="20" t="s">
        <v>913</v>
      </c>
      <c r="K3039" s="7" t="s">
        <v>119</v>
      </c>
      <c r="L3039" s="61">
        <v>45996</v>
      </c>
      <c r="M3039" s="7" t="s">
        <v>111</v>
      </c>
      <c r="N3039" s="24">
        <v>46000</v>
      </c>
      <c r="O3039" s="58">
        <v>46001</v>
      </c>
      <c r="R3039" s="126">
        <v>46001</v>
      </c>
    </row>
    <row r="3040" spans="2:18" ht="17.25" hidden="1" customHeight="1">
      <c r="B3040" s="23">
        <v>45989</v>
      </c>
      <c r="C3040" s="7">
        <v>2003506275</v>
      </c>
      <c r="D3040" s="20">
        <v>6502102</v>
      </c>
      <c r="E3040" s="27" t="s">
        <v>123</v>
      </c>
      <c r="F3040" s="7" t="s">
        <v>107</v>
      </c>
      <c r="G3040" s="7" t="s">
        <v>10</v>
      </c>
      <c r="H3040" s="7" t="s">
        <v>45</v>
      </c>
      <c r="I3040" s="20" t="s">
        <v>3474</v>
      </c>
      <c r="J3040" s="20" t="s">
        <v>4331</v>
      </c>
      <c r="K3040" s="7" t="s">
        <v>110</v>
      </c>
      <c r="L3040" s="61">
        <v>45994</v>
      </c>
      <c r="M3040" s="7" t="s">
        <v>111</v>
      </c>
      <c r="N3040" s="61">
        <v>45994</v>
      </c>
      <c r="O3040" s="58">
        <v>45995</v>
      </c>
      <c r="Q3040" s="245"/>
      <c r="R3040" s="126">
        <v>45996</v>
      </c>
    </row>
    <row r="3041" spans="2:18" ht="17.25" hidden="1" customHeight="1">
      <c r="B3041" s="23">
        <v>45992</v>
      </c>
      <c r="C3041" s="7">
        <v>2003860160</v>
      </c>
      <c r="D3041" s="20">
        <v>386447</v>
      </c>
      <c r="E3041" s="27" t="s">
        <v>129</v>
      </c>
      <c r="F3041" s="7" t="s">
        <v>113</v>
      </c>
      <c r="G3041" s="7" t="s">
        <v>70</v>
      </c>
      <c r="H3041" s="7" t="s">
        <v>47</v>
      </c>
      <c r="I3041" s="20" t="s">
        <v>4023</v>
      </c>
      <c r="J3041" s="20" t="s">
        <v>4332</v>
      </c>
      <c r="K3041" s="7" t="s">
        <v>160</v>
      </c>
    </row>
    <row r="3042" spans="2:18" ht="17.25" hidden="1" customHeight="1">
      <c r="B3042" s="23">
        <v>45992</v>
      </c>
      <c r="C3042" s="7">
        <v>2003858383</v>
      </c>
      <c r="D3042" s="20">
        <v>6502254</v>
      </c>
      <c r="E3042" s="27" t="s">
        <v>106</v>
      </c>
      <c r="F3042" s="7" t="s">
        <v>107</v>
      </c>
      <c r="G3042" s="7" t="s">
        <v>10</v>
      </c>
      <c r="H3042" s="7" t="s">
        <v>45</v>
      </c>
      <c r="I3042" s="20" t="s">
        <v>904</v>
      </c>
      <c r="J3042" s="20" t="s">
        <v>4333</v>
      </c>
      <c r="K3042" s="7" t="s">
        <v>119</v>
      </c>
      <c r="L3042" s="61">
        <v>45993</v>
      </c>
      <c r="M3042" s="7" t="s">
        <v>111</v>
      </c>
      <c r="N3042" s="61">
        <v>45994</v>
      </c>
      <c r="O3042" s="58">
        <v>45995</v>
      </c>
      <c r="R3042" s="126">
        <v>45996</v>
      </c>
    </row>
    <row r="3043" spans="2:18" ht="17.25" hidden="1" customHeight="1">
      <c r="B3043" s="23">
        <v>45992</v>
      </c>
      <c r="C3043" s="7">
        <v>2003838670</v>
      </c>
      <c r="D3043" s="20">
        <v>6502494</v>
      </c>
      <c r="E3043" s="27" t="s">
        <v>265</v>
      </c>
      <c r="F3043" s="7" t="s">
        <v>107</v>
      </c>
      <c r="G3043" s="7" t="s">
        <v>15</v>
      </c>
      <c r="H3043" s="7" t="s">
        <v>45</v>
      </c>
      <c r="I3043" s="20" t="s">
        <v>4334</v>
      </c>
      <c r="J3043" s="20" t="s">
        <v>4335</v>
      </c>
      <c r="K3043" s="7" t="s">
        <v>110</v>
      </c>
      <c r="L3043" s="61">
        <v>45994</v>
      </c>
      <c r="M3043" s="7" t="s">
        <v>111</v>
      </c>
      <c r="N3043" s="61">
        <v>45994</v>
      </c>
      <c r="O3043" s="58">
        <v>46001</v>
      </c>
      <c r="Q3043" s="245"/>
      <c r="R3043" s="126">
        <v>46001</v>
      </c>
    </row>
    <row r="3044" spans="2:18" ht="17.25" hidden="1" customHeight="1">
      <c r="B3044" s="23">
        <v>45992</v>
      </c>
      <c r="C3044" s="7">
        <v>2003823541</v>
      </c>
      <c r="D3044" s="20">
        <v>6502531</v>
      </c>
      <c r="E3044" s="243" t="s">
        <v>888</v>
      </c>
      <c r="F3044" s="7" t="s">
        <v>107</v>
      </c>
      <c r="G3044" s="7" t="s">
        <v>10</v>
      </c>
      <c r="H3044" s="7" t="s">
        <v>45</v>
      </c>
      <c r="I3044" s="20" t="s">
        <v>400</v>
      </c>
      <c r="J3044" s="20" t="s">
        <v>401</v>
      </c>
      <c r="K3044" s="7" t="s">
        <v>111</v>
      </c>
      <c r="L3044" s="61">
        <v>45993</v>
      </c>
      <c r="M3044" s="7" t="s">
        <v>111</v>
      </c>
      <c r="N3044" s="61">
        <v>45994</v>
      </c>
      <c r="O3044" s="61">
        <v>45994</v>
      </c>
      <c r="Q3044" s="245"/>
      <c r="R3044" s="126">
        <v>45996</v>
      </c>
    </row>
    <row r="3045" spans="2:18" ht="17.25" hidden="1" customHeight="1">
      <c r="B3045" s="23">
        <v>45992</v>
      </c>
      <c r="C3045" s="7">
        <v>2003809165</v>
      </c>
      <c r="D3045" s="20">
        <v>6503254</v>
      </c>
      <c r="E3045" s="27" t="s">
        <v>143</v>
      </c>
      <c r="F3045" s="7" t="s">
        <v>107</v>
      </c>
      <c r="G3045" s="7" t="s">
        <v>10</v>
      </c>
      <c r="H3045" s="7" t="s">
        <v>45</v>
      </c>
      <c r="I3045" s="20" t="s">
        <v>4336</v>
      </c>
      <c r="J3045" s="20" t="s">
        <v>4337</v>
      </c>
      <c r="K3045" s="7" t="s">
        <v>119</v>
      </c>
      <c r="L3045" s="61">
        <v>46008</v>
      </c>
      <c r="M3045" s="7" t="s">
        <v>111</v>
      </c>
      <c r="N3045" s="24">
        <v>46010</v>
      </c>
      <c r="O3045" s="58">
        <v>46013</v>
      </c>
      <c r="R3045" s="126">
        <v>46013</v>
      </c>
    </row>
    <row r="3046" spans="2:18" ht="17.25" hidden="1" customHeight="1">
      <c r="B3046" s="23">
        <v>45993</v>
      </c>
      <c r="C3046" s="7">
        <v>2003833880</v>
      </c>
      <c r="D3046" s="20">
        <v>390524</v>
      </c>
      <c r="E3046" s="27" t="s">
        <v>366</v>
      </c>
      <c r="F3046" s="7" t="s">
        <v>107</v>
      </c>
      <c r="G3046" s="7" t="s">
        <v>26</v>
      </c>
      <c r="H3046" s="7" t="s">
        <v>45</v>
      </c>
      <c r="I3046" s="20" t="s">
        <v>868</v>
      </c>
      <c r="J3046" s="20" t="s">
        <v>4338</v>
      </c>
      <c r="K3046" s="7" t="s">
        <v>110</v>
      </c>
      <c r="L3046" s="61">
        <v>45996</v>
      </c>
      <c r="M3046" s="7" t="s">
        <v>111</v>
      </c>
      <c r="N3046" s="24">
        <v>45996</v>
      </c>
      <c r="O3046" s="58">
        <v>45996</v>
      </c>
      <c r="Q3046" s="245"/>
      <c r="R3046" s="126">
        <v>45996</v>
      </c>
    </row>
    <row r="3047" spans="2:18" ht="17.25" hidden="1" customHeight="1">
      <c r="B3047" s="23">
        <v>45993</v>
      </c>
      <c r="C3047" s="7">
        <v>2003859233</v>
      </c>
      <c r="D3047" s="20">
        <v>390391</v>
      </c>
      <c r="E3047" s="27" t="s">
        <v>129</v>
      </c>
      <c r="F3047" s="7" t="s">
        <v>113</v>
      </c>
      <c r="G3047" s="7" t="s">
        <v>70</v>
      </c>
      <c r="H3047" s="7" t="s">
        <v>47</v>
      </c>
      <c r="I3047" s="20" t="s">
        <v>4339</v>
      </c>
      <c r="J3047" s="20" t="s">
        <v>4340</v>
      </c>
      <c r="K3047" s="7" t="s">
        <v>160</v>
      </c>
    </row>
    <row r="3048" spans="2:18" ht="17.25" hidden="1" customHeight="1">
      <c r="B3048" s="23">
        <v>45993</v>
      </c>
      <c r="C3048" s="7">
        <v>2003860564</v>
      </c>
      <c r="D3048" s="20">
        <v>389396</v>
      </c>
      <c r="E3048" s="27" t="s">
        <v>149</v>
      </c>
      <c r="F3048" s="7" t="s">
        <v>107</v>
      </c>
      <c r="G3048" s="7" t="s">
        <v>10</v>
      </c>
      <c r="H3048" s="7" t="s">
        <v>45</v>
      </c>
      <c r="I3048" s="20" t="s">
        <v>4341</v>
      </c>
      <c r="J3048" s="20" t="s">
        <v>4342</v>
      </c>
      <c r="K3048" s="7" t="s">
        <v>110</v>
      </c>
      <c r="L3048" s="61">
        <v>46001</v>
      </c>
      <c r="M3048" s="7" t="s">
        <v>111</v>
      </c>
      <c r="N3048" s="24">
        <v>46002</v>
      </c>
      <c r="O3048" s="58">
        <v>46006</v>
      </c>
      <c r="Q3048" s="245"/>
      <c r="R3048" s="126">
        <v>46006</v>
      </c>
    </row>
    <row r="3049" spans="2:18" ht="17.25" hidden="1" customHeight="1">
      <c r="B3049" s="23">
        <v>45993</v>
      </c>
      <c r="C3049" s="7">
        <v>2003831956</v>
      </c>
      <c r="D3049" s="20">
        <v>6503552</v>
      </c>
      <c r="E3049" s="27" t="s">
        <v>185</v>
      </c>
      <c r="F3049" s="7" t="s">
        <v>107</v>
      </c>
      <c r="G3049" s="7" t="s">
        <v>10</v>
      </c>
      <c r="H3049" s="7" t="s">
        <v>45</v>
      </c>
      <c r="I3049" s="20" t="s">
        <v>4157</v>
      </c>
      <c r="J3049" s="20" t="s">
        <v>4158</v>
      </c>
      <c r="K3049" s="7" t="s">
        <v>110</v>
      </c>
      <c r="L3049" s="61">
        <v>46050</v>
      </c>
      <c r="M3049" s="7" t="s">
        <v>111</v>
      </c>
      <c r="N3049" s="61">
        <v>45994</v>
      </c>
      <c r="O3049" s="61">
        <v>45994</v>
      </c>
      <c r="Q3049" s="245"/>
      <c r="R3049" s="126">
        <v>45996</v>
      </c>
    </row>
    <row r="3050" spans="2:18" ht="17.25" hidden="1" customHeight="1">
      <c r="B3050" s="23">
        <v>45993</v>
      </c>
      <c r="C3050" s="7">
        <v>2003838711</v>
      </c>
      <c r="D3050" s="20">
        <v>6503749</v>
      </c>
      <c r="E3050" s="27" t="s">
        <v>1225</v>
      </c>
      <c r="F3050" s="7" t="s">
        <v>107</v>
      </c>
      <c r="G3050" s="7" t="s">
        <v>10</v>
      </c>
      <c r="H3050" s="7" t="s">
        <v>45</v>
      </c>
      <c r="I3050" s="20" t="s">
        <v>4343</v>
      </c>
      <c r="J3050" s="20" t="s">
        <v>4344</v>
      </c>
      <c r="K3050" s="7" t="s">
        <v>119</v>
      </c>
      <c r="L3050" s="61">
        <v>46001</v>
      </c>
      <c r="M3050" s="7" t="s">
        <v>111</v>
      </c>
      <c r="N3050" s="24">
        <v>46006</v>
      </c>
      <c r="O3050" s="24">
        <v>46006</v>
      </c>
      <c r="R3050" s="126">
        <v>46009</v>
      </c>
    </row>
    <row r="3051" spans="2:18" ht="17.25" hidden="1" customHeight="1">
      <c r="B3051" s="23">
        <v>45993</v>
      </c>
      <c r="C3051" s="7">
        <v>2003701392</v>
      </c>
      <c r="D3051" s="20">
        <v>6503793</v>
      </c>
      <c r="E3051" s="27" t="s">
        <v>201</v>
      </c>
      <c r="F3051" s="7" t="s">
        <v>107</v>
      </c>
      <c r="G3051" s="7" t="s">
        <v>21</v>
      </c>
      <c r="H3051" s="7" t="s">
        <v>45</v>
      </c>
      <c r="I3051" s="20" t="s">
        <v>4226</v>
      </c>
      <c r="J3051" s="20" t="s">
        <v>4227</v>
      </c>
      <c r="K3051" s="7" t="s">
        <v>110</v>
      </c>
      <c r="L3051" s="61">
        <v>45994</v>
      </c>
      <c r="M3051" s="7" t="s">
        <v>111</v>
      </c>
      <c r="N3051" s="61">
        <v>45994</v>
      </c>
      <c r="O3051" s="58">
        <v>45995</v>
      </c>
      <c r="Q3051" s="245"/>
      <c r="R3051" s="126">
        <v>45996</v>
      </c>
    </row>
    <row r="3052" spans="2:18" ht="17.25" hidden="1" customHeight="1">
      <c r="B3052" s="23">
        <v>45993</v>
      </c>
      <c r="C3052" s="7">
        <v>2003666584</v>
      </c>
      <c r="D3052" s="20">
        <v>6504216</v>
      </c>
      <c r="E3052" s="27" t="s">
        <v>230</v>
      </c>
      <c r="F3052" s="7" t="s">
        <v>107</v>
      </c>
      <c r="G3052" s="7" t="s">
        <v>10</v>
      </c>
      <c r="H3052" s="7" t="s">
        <v>45</v>
      </c>
      <c r="I3052" s="20" t="s">
        <v>2561</v>
      </c>
      <c r="J3052" s="20" t="s">
        <v>4345</v>
      </c>
      <c r="K3052" s="7" t="s">
        <v>119</v>
      </c>
      <c r="L3052" s="61">
        <v>46002</v>
      </c>
      <c r="M3052" s="7" t="s">
        <v>111</v>
      </c>
      <c r="N3052" s="58">
        <v>46004</v>
      </c>
      <c r="O3052" s="58">
        <v>46004</v>
      </c>
      <c r="R3052" s="126">
        <v>46006</v>
      </c>
    </row>
    <row r="3053" spans="2:18" ht="17.25" hidden="1" customHeight="1">
      <c r="B3053" s="23">
        <v>45993</v>
      </c>
      <c r="C3053" s="7">
        <v>2003835017</v>
      </c>
      <c r="D3053" s="20">
        <v>6504312</v>
      </c>
      <c r="E3053" s="27" t="s">
        <v>3189</v>
      </c>
      <c r="F3053" s="7" t="s">
        <v>107</v>
      </c>
      <c r="G3053" s="7" t="s">
        <v>21</v>
      </c>
      <c r="H3053" s="7" t="s">
        <v>45</v>
      </c>
      <c r="I3053" s="20" t="s">
        <v>4346</v>
      </c>
      <c r="J3053" s="20" t="s">
        <v>4186</v>
      </c>
      <c r="K3053" s="7" t="s">
        <v>111</v>
      </c>
      <c r="L3053" s="61">
        <v>45994</v>
      </c>
      <c r="M3053" s="7" t="s">
        <v>111</v>
      </c>
      <c r="N3053" s="61">
        <v>45994</v>
      </c>
      <c r="O3053" s="61">
        <v>45994</v>
      </c>
      <c r="Q3053" s="245"/>
      <c r="R3053" s="126">
        <v>45996</v>
      </c>
    </row>
    <row r="3054" spans="2:18" ht="17.25" hidden="1" customHeight="1">
      <c r="B3054" s="23">
        <v>45993</v>
      </c>
      <c r="C3054" s="7">
        <v>2003847224</v>
      </c>
      <c r="D3054" s="20">
        <v>6504316</v>
      </c>
      <c r="E3054" s="27" t="s">
        <v>185</v>
      </c>
      <c r="F3054" s="7" t="s">
        <v>107</v>
      </c>
      <c r="G3054" s="7" t="s">
        <v>10</v>
      </c>
      <c r="H3054" s="7" t="s">
        <v>45</v>
      </c>
      <c r="I3054" s="20" t="s">
        <v>4347</v>
      </c>
      <c r="J3054" s="20" t="s">
        <v>4348</v>
      </c>
      <c r="K3054" s="7" t="s">
        <v>119</v>
      </c>
      <c r="L3054" s="61">
        <v>45996</v>
      </c>
      <c r="M3054" s="7" t="s">
        <v>111</v>
      </c>
      <c r="N3054" s="24">
        <v>46000</v>
      </c>
      <c r="O3054" s="24">
        <v>46000</v>
      </c>
      <c r="R3054" s="126">
        <v>46000</v>
      </c>
    </row>
    <row r="3055" spans="2:18" ht="17.25" hidden="1" customHeight="1">
      <c r="B3055" s="23">
        <v>45993</v>
      </c>
      <c r="C3055" s="7">
        <v>2003852054</v>
      </c>
      <c r="D3055" s="20">
        <v>6504318</v>
      </c>
      <c r="E3055" s="27" t="s">
        <v>185</v>
      </c>
      <c r="F3055" s="7" t="s">
        <v>107</v>
      </c>
      <c r="G3055" s="7" t="s">
        <v>18</v>
      </c>
      <c r="H3055" s="7" t="s">
        <v>45</v>
      </c>
      <c r="I3055" s="20" t="s">
        <v>1717</v>
      </c>
      <c r="J3055" s="20" t="s">
        <v>4349</v>
      </c>
      <c r="K3055" s="7" t="s">
        <v>110</v>
      </c>
      <c r="L3055" s="61">
        <v>45995</v>
      </c>
      <c r="M3055" s="7" t="s">
        <v>111</v>
      </c>
      <c r="N3055" s="61">
        <v>45995</v>
      </c>
      <c r="O3055" s="58">
        <v>46001</v>
      </c>
      <c r="Q3055" s="245"/>
      <c r="R3055" s="126">
        <v>46001</v>
      </c>
    </row>
    <row r="3056" spans="2:18" ht="17.25" hidden="1" customHeight="1">
      <c r="B3056" s="23">
        <v>45994</v>
      </c>
      <c r="C3056" s="7">
        <v>2003779023</v>
      </c>
      <c r="D3056" s="20">
        <v>392636</v>
      </c>
      <c r="E3056" s="27" t="s">
        <v>185</v>
      </c>
      <c r="F3056" s="7" t="s">
        <v>107</v>
      </c>
      <c r="G3056" s="7" t="s">
        <v>26</v>
      </c>
      <c r="H3056" s="7" t="s">
        <v>45</v>
      </c>
      <c r="I3056" s="20" t="s">
        <v>1954</v>
      </c>
      <c r="J3056" s="20" t="s">
        <v>4350</v>
      </c>
      <c r="K3056" s="7" t="s">
        <v>119</v>
      </c>
      <c r="L3056" s="61">
        <v>46066</v>
      </c>
      <c r="M3056" s="7" t="s">
        <v>111</v>
      </c>
      <c r="N3056" s="61">
        <v>46000</v>
      </c>
      <c r="O3056" s="58">
        <v>46000</v>
      </c>
      <c r="R3056" s="126">
        <v>46000</v>
      </c>
    </row>
    <row r="3057" spans="2:18" ht="17.25" hidden="1" customHeight="1">
      <c r="B3057" s="23">
        <v>45994</v>
      </c>
      <c r="C3057" s="7">
        <v>2003817676</v>
      </c>
      <c r="D3057" s="20">
        <v>392475</v>
      </c>
      <c r="E3057" s="27" t="s">
        <v>849</v>
      </c>
      <c r="F3057" s="7" t="s">
        <v>107</v>
      </c>
      <c r="G3057" s="7" t="s">
        <v>21</v>
      </c>
      <c r="H3057" s="7" t="s">
        <v>45</v>
      </c>
      <c r="I3057" s="20" t="s">
        <v>4044</v>
      </c>
      <c r="J3057" s="20" t="s">
        <v>4045</v>
      </c>
      <c r="K3057" s="7" t="s">
        <v>119</v>
      </c>
      <c r="L3057" s="61">
        <v>45995</v>
      </c>
      <c r="M3057" s="7" t="s">
        <v>111</v>
      </c>
      <c r="N3057" s="61">
        <v>45996</v>
      </c>
      <c r="O3057" s="61">
        <v>45996</v>
      </c>
      <c r="R3057" s="126">
        <v>45996</v>
      </c>
    </row>
    <row r="3058" spans="2:18" ht="17.25" hidden="1" customHeight="1">
      <c r="B3058" s="23">
        <v>45994</v>
      </c>
      <c r="C3058" s="7">
        <v>2003685238</v>
      </c>
      <c r="D3058" s="20">
        <v>392300</v>
      </c>
      <c r="E3058" s="27" t="s">
        <v>116</v>
      </c>
      <c r="F3058" s="7" t="s">
        <v>107</v>
      </c>
      <c r="G3058" s="7" t="s">
        <v>10</v>
      </c>
      <c r="H3058" s="7" t="s">
        <v>45</v>
      </c>
      <c r="I3058" s="20" t="s">
        <v>478</v>
      </c>
      <c r="J3058" s="20" t="s">
        <v>4351</v>
      </c>
      <c r="K3058" s="7" t="s">
        <v>119</v>
      </c>
      <c r="L3058" s="61">
        <v>46000</v>
      </c>
      <c r="M3058" s="7" t="s">
        <v>111</v>
      </c>
      <c r="N3058" s="24">
        <v>46001</v>
      </c>
      <c r="O3058" s="58">
        <v>46006</v>
      </c>
      <c r="R3058" s="126">
        <v>46006</v>
      </c>
    </row>
    <row r="3059" spans="2:18" ht="17.25" hidden="1" customHeight="1">
      <c r="B3059" s="23">
        <v>45994</v>
      </c>
      <c r="C3059" s="7">
        <v>2003714847</v>
      </c>
      <c r="D3059" s="20">
        <v>392291</v>
      </c>
      <c r="E3059" s="27" t="s">
        <v>116</v>
      </c>
      <c r="F3059" s="7" t="s">
        <v>107</v>
      </c>
      <c r="G3059" s="7" t="s">
        <v>10</v>
      </c>
      <c r="H3059" s="7" t="s">
        <v>45</v>
      </c>
      <c r="I3059" s="20" t="s">
        <v>478</v>
      </c>
      <c r="J3059" s="20" t="s">
        <v>4351</v>
      </c>
      <c r="K3059" s="7" t="s">
        <v>119</v>
      </c>
      <c r="L3059" s="61">
        <v>46000</v>
      </c>
      <c r="M3059" s="7" t="s">
        <v>111</v>
      </c>
      <c r="N3059" s="24">
        <v>46001</v>
      </c>
      <c r="O3059" s="58">
        <v>46006</v>
      </c>
      <c r="R3059" s="126">
        <v>46006</v>
      </c>
    </row>
    <row r="3060" spans="2:18" ht="17.25" hidden="1" customHeight="1">
      <c r="B3060" s="23">
        <v>45994</v>
      </c>
      <c r="C3060" s="7">
        <v>2003802819</v>
      </c>
      <c r="D3060" s="20">
        <v>392017</v>
      </c>
      <c r="E3060" s="27" t="s">
        <v>404</v>
      </c>
      <c r="F3060" s="7" t="s">
        <v>107</v>
      </c>
      <c r="G3060" s="7" t="s">
        <v>10</v>
      </c>
      <c r="H3060" s="7" t="s">
        <v>45</v>
      </c>
      <c r="I3060" s="20" t="s">
        <v>1499</v>
      </c>
      <c r="J3060" s="20" t="s">
        <v>1500</v>
      </c>
      <c r="K3060" s="7" t="s">
        <v>119</v>
      </c>
      <c r="L3060" s="61">
        <v>46000</v>
      </c>
      <c r="M3060" s="7" t="s">
        <v>111</v>
      </c>
      <c r="N3060" s="24">
        <v>46001</v>
      </c>
      <c r="O3060" s="58">
        <v>46006</v>
      </c>
      <c r="R3060" s="126">
        <v>46006</v>
      </c>
    </row>
    <row r="3061" spans="2:18" ht="17.25" hidden="1" customHeight="1">
      <c r="B3061" s="23">
        <v>45994</v>
      </c>
      <c r="C3061" s="7">
        <v>2003834794</v>
      </c>
      <c r="D3061" s="20">
        <v>391847</v>
      </c>
      <c r="E3061" s="27" t="s">
        <v>1225</v>
      </c>
      <c r="F3061" s="7" t="s">
        <v>107</v>
      </c>
      <c r="G3061" s="7" t="s">
        <v>26</v>
      </c>
      <c r="H3061" s="7" t="s">
        <v>45</v>
      </c>
      <c r="I3061" s="20" t="s">
        <v>4352</v>
      </c>
      <c r="J3061" s="20" t="s">
        <v>4353</v>
      </c>
      <c r="K3061" s="7" t="s">
        <v>119</v>
      </c>
      <c r="L3061" s="61">
        <v>46000</v>
      </c>
      <c r="M3061" s="7" t="s">
        <v>111</v>
      </c>
      <c r="N3061" s="24">
        <v>46001</v>
      </c>
      <c r="O3061" s="58">
        <v>46001</v>
      </c>
      <c r="R3061" s="126">
        <v>46001</v>
      </c>
    </row>
    <row r="3062" spans="2:18" ht="17.25" hidden="1" customHeight="1">
      <c r="B3062" s="23">
        <v>45994</v>
      </c>
      <c r="C3062" s="7">
        <v>2003846711</v>
      </c>
      <c r="D3062" s="20">
        <v>391458</v>
      </c>
      <c r="E3062" s="27" t="s">
        <v>123</v>
      </c>
      <c r="F3062" s="7" t="s">
        <v>107</v>
      </c>
      <c r="G3062" s="7" t="s">
        <v>10</v>
      </c>
      <c r="H3062" s="7" t="s">
        <v>45</v>
      </c>
      <c r="I3062" s="20" t="s">
        <v>901</v>
      </c>
      <c r="J3062" s="20" t="s">
        <v>4354</v>
      </c>
      <c r="K3062" s="7" t="s">
        <v>119</v>
      </c>
      <c r="L3062" s="61">
        <v>46001</v>
      </c>
      <c r="M3062" s="7" t="s">
        <v>111</v>
      </c>
      <c r="N3062" s="24">
        <v>46002</v>
      </c>
      <c r="O3062" s="24">
        <v>46002</v>
      </c>
      <c r="R3062" s="126">
        <v>46006</v>
      </c>
    </row>
    <row r="3063" spans="2:18" ht="17.25" hidden="1" customHeight="1">
      <c r="B3063" s="23">
        <v>45994</v>
      </c>
      <c r="C3063" s="7">
        <v>2003862863</v>
      </c>
      <c r="D3063" s="20">
        <v>391189</v>
      </c>
      <c r="E3063" s="27" t="s">
        <v>123</v>
      </c>
      <c r="F3063" s="7" t="s">
        <v>107</v>
      </c>
      <c r="G3063" s="7" t="s">
        <v>10</v>
      </c>
      <c r="H3063" s="7" t="s">
        <v>45</v>
      </c>
      <c r="I3063" s="20" t="s">
        <v>2774</v>
      </c>
      <c r="J3063" s="20" t="s">
        <v>4355</v>
      </c>
      <c r="K3063" s="7" t="s">
        <v>119</v>
      </c>
      <c r="L3063" s="61">
        <v>45996</v>
      </c>
      <c r="M3063" s="7" t="s">
        <v>111</v>
      </c>
      <c r="N3063" s="24">
        <v>46000</v>
      </c>
      <c r="O3063" s="58">
        <v>46001</v>
      </c>
      <c r="R3063" s="126">
        <v>46001</v>
      </c>
    </row>
    <row r="3064" spans="2:18" ht="17.25" hidden="1" customHeight="1">
      <c r="B3064" s="23">
        <v>45994</v>
      </c>
      <c r="C3064" s="7">
        <v>2003854914</v>
      </c>
      <c r="D3064" s="20">
        <v>391148</v>
      </c>
      <c r="E3064" s="27" t="s">
        <v>568</v>
      </c>
      <c r="F3064" s="7" t="s">
        <v>107</v>
      </c>
      <c r="G3064" s="7" t="s">
        <v>10</v>
      </c>
      <c r="H3064" s="7" t="s">
        <v>45</v>
      </c>
      <c r="I3064" s="20" t="s">
        <v>396</v>
      </c>
      <c r="J3064" s="20" t="s">
        <v>4356</v>
      </c>
      <c r="K3064" s="7" t="s">
        <v>119</v>
      </c>
      <c r="L3064" s="61">
        <v>45996</v>
      </c>
      <c r="M3064" s="7" t="s">
        <v>111</v>
      </c>
      <c r="N3064" s="24">
        <v>46000</v>
      </c>
      <c r="O3064" s="24">
        <v>46000</v>
      </c>
      <c r="R3064" s="126">
        <v>46000</v>
      </c>
    </row>
    <row r="3065" spans="2:18" ht="17.25" hidden="1" customHeight="1">
      <c r="B3065" s="23">
        <v>45994</v>
      </c>
      <c r="C3065" s="7">
        <v>2003842213</v>
      </c>
      <c r="D3065" s="20">
        <v>391144</v>
      </c>
      <c r="E3065" s="27" t="s">
        <v>123</v>
      </c>
      <c r="F3065" s="7" t="s">
        <v>107</v>
      </c>
      <c r="G3065" s="7" t="s">
        <v>10</v>
      </c>
      <c r="H3065" s="7" t="s">
        <v>45</v>
      </c>
      <c r="I3065" s="20" t="s">
        <v>2976</v>
      </c>
      <c r="J3065" s="20" t="s">
        <v>4357</v>
      </c>
      <c r="K3065" s="7" t="s">
        <v>119</v>
      </c>
      <c r="L3065" s="61">
        <v>45996</v>
      </c>
      <c r="M3065" s="7" t="s">
        <v>111</v>
      </c>
      <c r="N3065" s="61">
        <v>45996</v>
      </c>
      <c r="O3065" s="58">
        <v>46001</v>
      </c>
      <c r="R3065" s="126">
        <v>46001</v>
      </c>
    </row>
    <row r="3066" spans="2:18" ht="17.25" hidden="1" customHeight="1">
      <c r="B3066" s="23">
        <v>45994</v>
      </c>
      <c r="C3066" s="7">
        <v>2003833639</v>
      </c>
      <c r="D3066" s="20">
        <v>6504551</v>
      </c>
      <c r="E3066" s="27" t="s">
        <v>123</v>
      </c>
      <c r="F3066" s="7" t="s">
        <v>107</v>
      </c>
      <c r="G3066" s="7" t="s">
        <v>26</v>
      </c>
      <c r="H3066" s="7" t="s">
        <v>45</v>
      </c>
      <c r="I3066" s="20" t="s">
        <v>1050</v>
      </c>
      <c r="J3066" s="20" t="s">
        <v>4358</v>
      </c>
      <c r="K3066" s="7" t="s">
        <v>110</v>
      </c>
      <c r="L3066" s="61">
        <v>45995</v>
      </c>
      <c r="M3066" s="7" t="s">
        <v>111</v>
      </c>
      <c r="N3066" s="24">
        <v>45996</v>
      </c>
      <c r="O3066" s="58">
        <v>45996</v>
      </c>
      <c r="Q3066" s="245"/>
      <c r="R3066" s="126">
        <v>45996</v>
      </c>
    </row>
    <row r="3067" spans="2:18" ht="17.25" hidden="1" customHeight="1">
      <c r="B3067" s="23">
        <v>45994</v>
      </c>
      <c r="C3067" s="7">
        <v>2003860680</v>
      </c>
      <c r="D3067" s="20">
        <v>6504781</v>
      </c>
      <c r="E3067" s="27" t="s">
        <v>123</v>
      </c>
      <c r="F3067" s="7" t="s">
        <v>107</v>
      </c>
      <c r="G3067" s="7" t="s">
        <v>18</v>
      </c>
      <c r="I3067" s="20" t="s">
        <v>2832</v>
      </c>
      <c r="J3067" s="20" t="s">
        <v>4359</v>
      </c>
      <c r="K3067" s="7" t="s">
        <v>119</v>
      </c>
      <c r="L3067" s="61">
        <v>45996</v>
      </c>
      <c r="M3067" s="7" t="s">
        <v>111</v>
      </c>
      <c r="N3067" s="24">
        <v>46000</v>
      </c>
      <c r="O3067" s="24">
        <v>46000</v>
      </c>
      <c r="R3067" s="126">
        <v>46000</v>
      </c>
    </row>
    <row r="3068" spans="2:18" ht="17.25" hidden="1" customHeight="1">
      <c r="B3068" s="23">
        <v>45994</v>
      </c>
      <c r="C3068" s="7">
        <v>2003834134</v>
      </c>
      <c r="D3068" s="20">
        <v>6504824</v>
      </c>
      <c r="E3068" s="27" t="s">
        <v>622</v>
      </c>
      <c r="F3068" s="7" t="s">
        <v>107</v>
      </c>
      <c r="G3068" s="7" t="s">
        <v>18</v>
      </c>
      <c r="H3068" s="7" t="s">
        <v>45</v>
      </c>
      <c r="I3068" s="20" t="s">
        <v>4360</v>
      </c>
      <c r="J3068" s="20" t="s">
        <v>4361</v>
      </c>
      <c r="K3068" s="7" t="s">
        <v>119</v>
      </c>
      <c r="L3068" s="61">
        <v>45996</v>
      </c>
      <c r="M3068" s="7" t="s">
        <v>111</v>
      </c>
      <c r="N3068" s="24">
        <v>46000</v>
      </c>
      <c r="O3068" s="58">
        <v>46001</v>
      </c>
      <c r="R3068" s="126">
        <v>46001</v>
      </c>
    </row>
    <row r="3069" spans="2:18" ht="17.25" hidden="1" customHeight="1">
      <c r="B3069" s="23">
        <v>45994</v>
      </c>
      <c r="C3069" s="7">
        <v>2003666922</v>
      </c>
      <c r="D3069" s="20">
        <v>6504898</v>
      </c>
      <c r="E3069" s="27" t="s">
        <v>132</v>
      </c>
      <c r="F3069" s="7" t="s">
        <v>107</v>
      </c>
      <c r="G3069" s="7" t="s">
        <v>18</v>
      </c>
      <c r="H3069" s="7" t="s">
        <v>45</v>
      </c>
      <c r="I3069" s="20" t="s">
        <v>4362</v>
      </c>
      <c r="J3069" s="20" t="s">
        <v>1500</v>
      </c>
      <c r="K3069" s="7" t="s">
        <v>119</v>
      </c>
      <c r="L3069" s="61">
        <v>46000</v>
      </c>
      <c r="M3069" s="7" t="s">
        <v>111</v>
      </c>
      <c r="N3069" s="24">
        <v>46001</v>
      </c>
      <c r="O3069" s="58">
        <v>46006</v>
      </c>
      <c r="R3069" s="126">
        <v>46009</v>
      </c>
    </row>
    <row r="3070" spans="2:18" ht="17.25" hidden="1" customHeight="1">
      <c r="B3070" s="23">
        <v>45994</v>
      </c>
      <c r="C3070" s="7">
        <v>2003863351</v>
      </c>
      <c r="D3070" s="20">
        <v>6505107</v>
      </c>
      <c r="E3070" s="27" t="s">
        <v>185</v>
      </c>
      <c r="F3070" s="7" t="s">
        <v>107</v>
      </c>
      <c r="G3070" s="7" t="s">
        <v>10</v>
      </c>
      <c r="H3070" s="7" t="s">
        <v>45</v>
      </c>
      <c r="I3070" s="20" t="s">
        <v>4363</v>
      </c>
      <c r="J3070" s="20" t="s">
        <v>4364</v>
      </c>
      <c r="K3070" s="7" t="s">
        <v>119</v>
      </c>
      <c r="L3070" s="61">
        <v>45996</v>
      </c>
      <c r="M3070" s="7" t="s">
        <v>111</v>
      </c>
      <c r="N3070" s="61">
        <v>45996</v>
      </c>
      <c r="O3070" s="58">
        <v>46001</v>
      </c>
      <c r="R3070" s="126">
        <v>46001</v>
      </c>
    </row>
    <row r="3071" spans="2:18" ht="17.25" hidden="1" customHeight="1">
      <c r="B3071" s="23">
        <v>45994</v>
      </c>
      <c r="C3071" s="7">
        <v>2003831834</v>
      </c>
      <c r="D3071" s="20">
        <v>263191</v>
      </c>
      <c r="F3071" s="7" t="s">
        <v>113</v>
      </c>
      <c r="G3071" s="7" t="s">
        <v>70</v>
      </c>
      <c r="H3071" s="7" t="s">
        <v>47</v>
      </c>
      <c r="I3071" s="20" t="s">
        <v>4365</v>
      </c>
      <c r="J3071" s="20" t="s">
        <v>4366</v>
      </c>
      <c r="K3071" s="7" t="s">
        <v>160</v>
      </c>
    </row>
    <row r="3072" spans="2:18" ht="17.25" hidden="1" customHeight="1">
      <c r="B3072" s="23">
        <v>45995</v>
      </c>
      <c r="C3072" s="7">
        <v>2003863355</v>
      </c>
      <c r="D3072" s="20">
        <v>394420</v>
      </c>
      <c r="E3072" s="27" t="s">
        <v>408</v>
      </c>
      <c r="F3072" s="7" t="s">
        <v>107</v>
      </c>
      <c r="G3072" s="7" t="s">
        <v>10</v>
      </c>
      <c r="H3072" s="7" t="s">
        <v>45</v>
      </c>
      <c r="I3072" s="20" t="s">
        <v>671</v>
      </c>
      <c r="J3072" s="20" t="s">
        <v>4367</v>
      </c>
      <c r="K3072" s="7" t="s">
        <v>119</v>
      </c>
      <c r="L3072" s="61">
        <v>46001</v>
      </c>
      <c r="M3072" s="7" t="s">
        <v>111</v>
      </c>
      <c r="N3072" s="24">
        <v>46002</v>
      </c>
      <c r="O3072" s="24">
        <v>46002</v>
      </c>
      <c r="R3072" s="126">
        <v>46006</v>
      </c>
    </row>
    <row r="3073" spans="2:18" ht="17.25" hidden="1" customHeight="1">
      <c r="B3073" s="23">
        <v>45995</v>
      </c>
      <c r="C3073" s="7">
        <v>2003860362</v>
      </c>
      <c r="D3073" s="20">
        <v>394194</v>
      </c>
      <c r="E3073" s="27" t="s">
        <v>568</v>
      </c>
      <c r="F3073" s="7" t="s">
        <v>107</v>
      </c>
      <c r="G3073" s="7" t="s">
        <v>10</v>
      </c>
      <c r="H3073" s="7" t="s">
        <v>45</v>
      </c>
      <c r="I3073" s="20" t="s">
        <v>625</v>
      </c>
      <c r="J3073" s="20" t="s">
        <v>4368</v>
      </c>
      <c r="K3073" s="7" t="s">
        <v>119</v>
      </c>
      <c r="L3073" s="61">
        <v>46002</v>
      </c>
      <c r="M3073" s="7" t="s">
        <v>111</v>
      </c>
      <c r="N3073" s="61">
        <v>46003</v>
      </c>
      <c r="O3073" s="61">
        <v>46006</v>
      </c>
      <c r="R3073" s="126">
        <v>46009</v>
      </c>
    </row>
    <row r="3074" spans="2:18" ht="17.25" hidden="1" customHeight="1">
      <c r="B3074" s="23">
        <v>45995</v>
      </c>
      <c r="C3074" s="7">
        <v>2003857327</v>
      </c>
      <c r="D3074" s="20">
        <v>394254</v>
      </c>
      <c r="E3074" s="27" t="s">
        <v>1225</v>
      </c>
      <c r="F3074" s="7" t="s">
        <v>107</v>
      </c>
      <c r="G3074" s="7" t="s">
        <v>10</v>
      </c>
      <c r="H3074" s="7" t="s">
        <v>45</v>
      </c>
      <c r="I3074" s="20" t="s">
        <v>2677</v>
      </c>
      <c r="J3074" s="20" t="s">
        <v>4369</v>
      </c>
      <c r="K3074" s="7" t="s">
        <v>119</v>
      </c>
      <c r="L3074" s="61">
        <v>46000</v>
      </c>
      <c r="M3074" s="7" t="s">
        <v>111</v>
      </c>
      <c r="N3074" s="24">
        <v>46001</v>
      </c>
      <c r="O3074" s="58">
        <v>46006</v>
      </c>
      <c r="R3074" s="126">
        <v>46006</v>
      </c>
    </row>
    <row r="3075" spans="2:18" ht="17.25" hidden="1" customHeight="1">
      <c r="B3075" s="23">
        <v>45995</v>
      </c>
      <c r="C3075" s="7">
        <v>2003864950</v>
      </c>
      <c r="D3075" s="20">
        <v>393497</v>
      </c>
      <c r="E3075" s="27" t="s">
        <v>949</v>
      </c>
      <c r="F3075" s="7" t="s">
        <v>107</v>
      </c>
      <c r="G3075" s="7" t="s">
        <v>10</v>
      </c>
      <c r="H3075" s="7" t="s">
        <v>45</v>
      </c>
      <c r="I3075" s="20" t="s">
        <v>4370</v>
      </c>
      <c r="J3075" s="20" t="s">
        <v>4371</v>
      </c>
      <c r="K3075" s="7" t="s">
        <v>111</v>
      </c>
      <c r="L3075" s="61">
        <v>45996</v>
      </c>
      <c r="M3075" s="7" t="s">
        <v>111</v>
      </c>
      <c r="N3075" s="61">
        <v>45996</v>
      </c>
      <c r="O3075" s="58">
        <v>46001</v>
      </c>
      <c r="Q3075" s="245"/>
      <c r="R3075" s="126">
        <v>46001</v>
      </c>
    </row>
    <row r="3076" spans="2:18" ht="17.25" hidden="1" customHeight="1">
      <c r="B3076" s="23">
        <v>45995</v>
      </c>
      <c r="C3076" s="7">
        <v>2003864367</v>
      </c>
      <c r="D3076" s="20">
        <v>393525</v>
      </c>
      <c r="E3076" s="27" t="s">
        <v>3189</v>
      </c>
      <c r="F3076" s="7" t="s">
        <v>107</v>
      </c>
      <c r="G3076" s="7" t="s">
        <v>10</v>
      </c>
      <c r="H3076" s="7" t="s">
        <v>45</v>
      </c>
      <c r="I3076" s="20" t="s">
        <v>759</v>
      </c>
      <c r="J3076" s="20" t="s">
        <v>4372</v>
      </c>
      <c r="K3076" s="7" t="s">
        <v>110</v>
      </c>
      <c r="L3076" s="61">
        <v>46000</v>
      </c>
      <c r="M3076" s="7" t="s">
        <v>111</v>
      </c>
      <c r="N3076" s="24">
        <v>46001</v>
      </c>
      <c r="O3076" s="58">
        <v>46006</v>
      </c>
      <c r="Q3076" s="245"/>
      <c r="R3076" s="126">
        <v>46006</v>
      </c>
    </row>
    <row r="3077" spans="2:18" ht="17.25" hidden="1" customHeight="1">
      <c r="B3077" s="23">
        <v>45995</v>
      </c>
      <c r="C3077" s="7">
        <v>2003855418</v>
      </c>
      <c r="D3077" s="20">
        <v>393422</v>
      </c>
      <c r="E3077" s="27" t="s">
        <v>230</v>
      </c>
      <c r="F3077" s="7" t="s">
        <v>107</v>
      </c>
      <c r="G3077" s="7" t="s">
        <v>18</v>
      </c>
      <c r="H3077" s="7" t="s">
        <v>45</v>
      </c>
      <c r="I3077" s="20" t="s">
        <v>4373</v>
      </c>
      <c r="K3077" s="7" t="s">
        <v>110</v>
      </c>
      <c r="L3077" s="61">
        <v>46000</v>
      </c>
      <c r="M3077" s="7" t="s">
        <v>111</v>
      </c>
      <c r="N3077" s="24">
        <v>46001</v>
      </c>
      <c r="O3077" s="58">
        <v>46006</v>
      </c>
      <c r="Q3077" s="245"/>
      <c r="R3077" s="126">
        <v>46006</v>
      </c>
    </row>
    <row r="3078" spans="2:18" ht="17.25" hidden="1" customHeight="1">
      <c r="B3078" s="23">
        <v>45995</v>
      </c>
      <c r="C3078" s="7">
        <v>2003852016</v>
      </c>
      <c r="D3078" s="20">
        <v>392707</v>
      </c>
      <c r="E3078" s="27" t="s">
        <v>138</v>
      </c>
      <c r="F3078" s="7" t="s">
        <v>107</v>
      </c>
      <c r="G3078" s="7" t="s">
        <v>10</v>
      </c>
      <c r="H3078" s="7" t="s">
        <v>45</v>
      </c>
      <c r="I3078" s="20" t="s">
        <v>505</v>
      </c>
      <c r="J3078" s="20" t="s">
        <v>4374</v>
      </c>
      <c r="K3078" s="7" t="s">
        <v>119</v>
      </c>
      <c r="L3078" s="61">
        <v>46000</v>
      </c>
      <c r="M3078" s="7" t="s">
        <v>111</v>
      </c>
      <c r="N3078" s="24">
        <v>46001</v>
      </c>
      <c r="O3078" s="24">
        <v>46001</v>
      </c>
      <c r="R3078" s="126">
        <v>46006</v>
      </c>
    </row>
    <row r="3079" spans="2:18" ht="17.25" hidden="1" customHeight="1">
      <c r="B3079" s="23">
        <v>45995</v>
      </c>
      <c r="C3079" s="7">
        <v>2003564620</v>
      </c>
      <c r="D3079" s="20">
        <v>6505520</v>
      </c>
      <c r="E3079" s="27" t="s">
        <v>201</v>
      </c>
      <c r="F3079" s="7" t="s">
        <v>107</v>
      </c>
      <c r="G3079" s="7" t="s">
        <v>26</v>
      </c>
      <c r="H3079" s="7" t="s">
        <v>45</v>
      </c>
      <c r="I3079" s="20" t="s">
        <v>466</v>
      </c>
      <c r="J3079" s="20" t="s">
        <v>4375</v>
      </c>
      <c r="K3079" s="7" t="s">
        <v>119</v>
      </c>
      <c r="L3079" s="61">
        <v>46000</v>
      </c>
      <c r="M3079" s="7" t="s">
        <v>111</v>
      </c>
      <c r="N3079" s="24">
        <v>46001</v>
      </c>
      <c r="O3079" s="58">
        <v>46001</v>
      </c>
      <c r="R3079" s="126">
        <v>46001</v>
      </c>
    </row>
    <row r="3080" spans="2:18" ht="17.25" hidden="1" customHeight="1">
      <c r="B3080" s="23">
        <v>45995</v>
      </c>
      <c r="C3080" s="7">
        <v>2003822245</v>
      </c>
      <c r="D3080" s="20">
        <v>6505600</v>
      </c>
      <c r="E3080" s="27" t="s">
        <v>1225</v>
      </c>
      <c r="F3080" s="7" t="s">
        <v>107</v>
      </c>
      <c r="G3080" s="7" t="s">
        <v>21</v>
      </c>
      <c r="H3080" s="7" t="s">
        <v>45</v>
      </c>
      <c r="I3080" s="20" t="s">
        <v>3982</v>
      </c>
      <c r="J3080" s="20" t="s">
        <v>4078</v>
      </c>
      <c r="K3080" s="7" t="s">
        <v>110</v>
      </c>
      <c r="L3080" s="61">
        <v>45996</v>
      </c>
      <c r="M3080" s="7" t="s">
        <v>111</v>
      </c>
      <c r="N3080" s="61">
        <v>45996</v>
      </c>
      <c r="O3080" s="61">
        <v>45996</v>
      </c>
      <c r="Q3080" s="245"/>
      <c r="R3080" s="126">
        <v>45996</v>
      </c>
    </row>
    <row r="3081" spans="2:18" ht="17.25" hidden="1" customHeight="1">
      <c r="B3081" s="23">
        <v>45996</v>
      </c>
      <c r="C3081" s="7">
        <v>2003831649</v>
      </c>
      <c r="D3081" s="20">
        <v>396165</v>
      </c>
      <c r="E3081" s="27" t="s">
        <v>138</v>
      </c>
      <c r="F3081" s="7" t="s">
        <v>107</v>
      </c>
      <c r="G3081" s="7" t="s">
        <v>10</v>
      </c>
      <c r="H3081" s="7" t="s">
        <v>45</v>
      </c>
      <c r="I3081" s="20" t="s">
        <v>3734</v>
      </c>
      <c r="J3081" s="20" t="s">
        <v>4376</v>
      </c>
      <c r="K3081" s="7" t="s">
        <v>119</v>
      </c>
      <c r="L3081" s="61">
        <v>46001</v>
      </c>
      <c r="M3081" s="7" t="s">
        <v>111</v>
      </c>
      <c r="N3081" s="24">
        <v>46004</v>
      </c>
      <c r="O3081" s="24">
        <v>46004</v>
      </c>
      <c r="R3081" s="126">
        <v>46006</v>
      </c>
    </row>
    <row r="3082" spans="2:18" ht="17.25" hidden="1" customHeight="1">
      <c r="B3082" s="23">
        <v>45996</v>
      </c>
      <c r="C3082" s="7">
        <v>2003863404</v>
      </c>
      <c r="D3082" s="20">
        <v>396219</v>
      </c>
      <c r="E3082" s="27" t="s">
        <v>185</v>
      </c>
      <c r="F3082" s="7" t="s">
        <v>107</v>
      </c>
      <c r="G3082" s="7" t="s">
        <v>10</v>
      </c>
      <c r="H3082" s="7" t="s">
        <v>45</v>
      </c>
      <c r="I3082" s="20" t="s">
        <v>901</v>
      </c>
      <c r="J3082" s="20" t="s">
        <v>1065</v>
      </c>
      <c r="K3082" s="7" t="s">
        <v>119</v>
      </c>
      <c r="L3082" s="61">
        <v>46000</v>
      </c>
      <c r="M3082" s="7" t="s">
        <v>111</v>
      </c>
      <c r="N3082" s="24">
        <v>46001</v>
      </c>
      <c r="O3082" s="58">
        <v>46006</v>
      </c>
      <c r="R3082" s="126">
        <v>46006</v>
      </c>
    </row>
    <row r="3083" spans="2:18" ht="17.25" hidden="1" customHeight="1">
      <c r="B3083" s="23">
        <v>45996</v>
      </c>
      <c r="C3083" s="7">
        <v>2003865841</v>
      </c>
      <c r="D3083" s="20">
        <v>396140</v>
      </c>
      <c r="E3083" s="27" t="s">
        <v>180</v>
      </c>
      <c r="F3083" s="7" t="s">
        <v>107</v>
      </c>
      <c r="G3083" s="7" t="s">
        <v>10</v>
      </c>
      <c r="H3083" s="7" t="s">
        <v>45</v>
      </c>
      <c r="I3083" s="20" t="s">
        <v>1719</v>
      </c>
      <c r="J3083" s="20" t="s">
        <v>4377</v>
      </c>
      <c r="K3083" s="7" t="s">
        <v>119</v>
      </c>
      <c r="L3083" s="61">
        <v>46001</v>
      </c>
      <c r="M3083" s="7" t="s">
        <v>111</v>
      </c>
      <c r="N3083" s="24">
        <v>46002</v>
      </c>
      <c r="O3083" s="58">
        <v>46006</v>
      </c>
      <c r="R3083" s="126">
        <v>46006</v>
      </c>
    </row>
    <row r="3084" spans="2:18" ht="17.25" hidden="1" customHeight="1">
      <c r="B3084" s="23">
        <v>45996</v>
      </c>
      <c r="C3084" s="7">
        <v>310024676</v>
      </c>
      <c r="D3084" s="20">
        <v>395997</v>
      </c>
      <c r="E3084" s="27" t="s">
        <v>157</v>
      </c>
      <c r="F3084" s="7" t="s">
        <v>113</v>
      </c>
      <c r="G3084" s="7" t="s">
        <v>70</v>
      </c>
      <c r="H3084" s="7" t="s">
        <v>47</v>
      </c>
      <c r="I3084" s="20" t="s">
        <v>4378</v>
      </c>
      <c r="J3084" s="20" t="s">
        <v>4379</v>
      </c>
      <c r="K3084" s="7" t="s">
        <v>160</v>
      </c>
    </row>
    <row r="3085" spans="2:18" ht="17.25" hidden="1" customHeight="1">
      <c r="B3085" s="23">
        <v>45996</v>
      </c>
      <c r="C3085" s="7">
        <v>2003863066</v>
      </c>
      <c r="D3085" s="20">
        <v>395355</v>
      </c>
      <c r="E3085" s="27" t="s">
        <v>408</v>
      </c>
      <c r="F3085" s="7" t="s">
        <v>107</v>
      </c>
      <c r="G3085" s="7" t="s">
        <v>18</v>
      </c>
      <c r="H3085" s="7" t="s">
        <v>45</v>
      </c>
      <c r="I3085" s="20" t="s">
        <v>3981</v>
      </c>
      <c r="J3085" s="20" t="s">
        <v>4380</v>
      </c>
      <c r="K3085" s="7" t="s">
        <v>110</v>
      </c>
      <c r="L3085" s="61">
        <v>46000</v>
      </c>
      <c r="M3085" s="7" t="s">
        <v>111</v>
      </c>
      <c r="N3085" s="24">
        <v>46001</v>
      </c>
      <c r="O3085" s="58">
        <v>46006</v>
      </c>
      <c r="Q3085" s="245"/>
      <c r="R3085" s="126">
        <v>46006</v>
      </c>
    </row>
    <row r="3086" spans="2:18" ht="17.25" hidden="1" customHeight="1">
      <c r="B3086" s="23">
        <v>45996</v>
      </c>
      <c r="C3086" s="7">
        <v>2003824026</v>
      </c>
      <c r="D3086" s="20">
        <v>6506399</v>
      </c>
      <c r="E3086" s="27" t="s">
        <v>157</v>
      </c>
      <c r="F3086" s="7" t="s">
        <v>113</v>
      </c>
      <c r="G3086" s="7" t="s">
        <v>70</v>
      </c>
      <c r="H3086" s="7" t="s">
        <v>47</v>
      </c>
      <c r="I3086" s="20" t="s">
        <v>1343</v>
      </c>
      <c r="J3086" s="20" t="s">
        <v>4381</v>
      </c>
      <c r="K3086" s="7" t="s">
        <v>160</v>
      </c>
    </row>
    <row r="3087" spans="2:18" ht="17.25" hidden="1" customHeight="1">
      <c r="B3087" s="23">
        <v>45996</v>
      </c>
      <c r="C3087" s="7">
        <v>2003778238</v>
      </c>
      <c r="D3087" s="20">
        <v>6506445</v>
      </c>
      <c r="E3087" s="27" t="s">
        <v>149</v>
      </c>
      <c r="F3087" s="7" t="s">
        <v>107</v>
      </c>
      <c r="G3087" s="7" t="s">
        <v>10</v>
      </c>
      <c r="H3087" s="7" t="s">
        <v>45</v>
      </c>
      <c r="I3087" s="20" t="s">
        <v>4382</v>
      </c>
      <c r="J3087" s="20" t="s">
        <v>4383</v>
      </c>
      <c r="K3087" s="7" t="s">
        <v>110</v>
      </c>
      <c r="L3087" s="61">
        <v>46002</v>
      </c>
      <c r="M3087" s="7" t="s">
        <v>111</v>
      </c>
      <c r="N3087" s="58">
        <v>46004</v>
      </c>
      <c r="O3087" s="58">
        <v>46004</v>
      </c>
      <c r="Q3087" s="245"/>
      <c r="R3087" s="126">
        <v>46006</v>
      </c>
    </row>
    <row r="3088" spans="2:18" ht="17.25" hidden="1" customHeight="1">
      <c r="B3088" s="23">
        <v>45996</v>
      </c>
      <c r="C3088" s="7">
        <v>2003836047</v>
      </c>
      <c r="D3088" s="20">
        <v>6506451</v>
      </c>
      <c r="E3088" s="27" t="s">
        <v>622</v>
      </c>
      <c r="F3088" s="7" t="s">
        <v>107</v>
      </c>
      <c r="G3088" s="7" t="s">
        <v>10</v>
      </c>
      <c r="H3088" s="7" t="s">
        <v>45</v>
      </c>
      <c r="I3088" s="20" t="s">
        <v>553</v>
      </c>
      <c r="J3088" s="20" t="s">
        <v>3973</v>
      </c>
      <c r="K3088" s="7" t="s">
        <v>119</v>
      </c>
      <c r="L3088" s="61">
        <v>46001</v>
      </c>
      <c r="M3088" s="7" t="s">
        <v>111</v>
      </c>
      <c r="N3088" s="24">
        <v>46002</v>
      </c>
      <c r="O3088" s="58">
        <v>46006</v>
      </c>
      <c r="R3088" s="126">
        <v>46006</v>
      </c>
    </row>
    <row r="3089" spans="2:18" ht="17.25" hidden="1" customHeight="1">
      <c r="B3089" s="23">
        <v>46000</v>
      </c>
      <c r="C3089" s="7">
        <v>2003866690</v>
      </c>
      <c r="D3089" s="20">
        <v>398880</v>
      </c>
      <c r="E3089" s="27" t="s">
        <v>408</v>
      </c>
      <c r="F3089" s="7" t="s">
        <v>107</v>
      </c>
      <c r="G3089" s="7" t="s">
        <v>10</v>
      </c>
      <c r="H3089" s="7" t="s">
        <v>45</v>
      </c>
      <c r="I3089" s="20" t="s">
        <v>4384</v>
      </c>
      <c r="J3089" s="20" t="s">
        <v>4385</v>
      </c>
      <c r="K3089" s="7" t="s">
        <v>110</v>
      </c>
      <c r="L3089" s="61">
        <v>46003</v>
      </c>
      <c r="M3089" s="7" t="s">
        <v>111</v>
      </c>
      <c r="N3089" s="61">
        <v>46003</v>
      </c>
      <c r="O3089" s="58">
        <v>46006</v>
      </c>
      <c r="Q3089" s="245"/>
      <c r="R3089" s="126">
        <v>46006</v>
      </c>
    </row>
    <row r="3090" spans="2:18" ht="17.25" hidden="1" customHeight="1">
      <c r="B3090" s="23">
        <v>46000</v>
      </c>
      <c r="C3090" s="7">
        <v>2003859977</v>
      </c>
      <c r="D3090" s="20">
        <v>398942</v>
      </c>
      <c r="E3090" s="27" t="s">
        <v>129</v>
      </c>
      <c r="F3090" s="7" t="s">
        <v>107</v>
      </c>
      <c r="G3090" s="7" t="s">
        <v>10</v>
      </c>
      <c r="H3090" s="7" t="s">
        <v>45</v>
      </c>
      <c r="I3090" s="20" t="s">
        <v>237</v>
      </c>
      <c r="J3090" s="20" t="s">
        <v>4386</v>
      </c>
      <c r="K3090" s="7" t="s">
        <v>110</v>
      </c>
      <c r="L3090" s="61">
        <v>46003</v>
      </c>
      <c r="M3090" s="7" t="s">
        <v>111</v>
      </c>
      <c r="N3090" s="61">
        <v>46003</v>
      </c>
      <c r="O3090" s="58">
        <v>46004</v>
      </c>
      <c r="Q3090" s="245"/>
      <c r="R3090" s="126">
        <v>46006</v>
      </c>
    </row>
    <row r="3091" spans="2:18" ht="17.25" hidden="1" customHeight="1">
      <c r="B3091" s="23">
        <v>46000</v>
      </c>
      <c r="C3091" s="7">
        <v>2003866285</v>
      </c>
      <c r="D3091" s="20">
        <v>398443</v>
      </c>
      <c r="E3091" s="27" t="s">
        <v>123</v>
      </c>
      <c r="F3091" s="7" t="s">
        <v>107</v>
      </c>
      <c r="G3091" s="7" t="s">
        <v>10</v>
      </c>
      <c r="H3091" s="7" t="s">
        <v>45</v>
      </c>
      <c r="I3091" s="20" t="s">
        <v>1272</v>
      </c>
      <c r="J3091" s="20" t="s">
        <v>4387</v>
      </c>
      <c r="K3091" s="7" t="s">
        <v>119</v>
      </c>
      <c r="L3091" s="61">
        <v>46002</v>
      </c>
      <c r="M3091" s="7" t="s">
        <v>111</v>
      </c>
      <c r="N3091" s="61">
        <v>46003</v>
      </c>
      <c r="O3091" s="58">
        <v>46006</v>
      </c>
      <c r="R3091" s="126">
        <v>46006</v>
      </c>
    </row>
    <row r="3092" spans="2:18" ht="17.25" hidden="1" customHeight="1">
      <c r="B3092" s="23">
        <v>46000</v>
      </c>
      <c r="C3092" s="7">
        <v>2003866132</v>
      </c>
      <c r="D3092" s="20">
        <v>397835</v>
      </c>
      <c r="E3092" s="27" t="s">
        <v>149</v>
      </c>
      <c r="F3092" s="7" t="s">
        <v>107</v>
      </c>
      <c r="G3092" s="7" t="s">
        <v>18</v>
      </c>
      <c r="H3092" s="7" t="s">
        <v>45</v>
      </c>
      <c r="I3092" s="20" t="s">
        <v>505</v>
      </c>
      <c r="J3092" s="20" t="s">
        <v>4388</v>
      </c>
      <c r="K3092" s="7" t="s">
        <v>119</v>
      </c>
      <c r="L3092" s="61">
        <v>46002</v>
      </c>
      <c r="M3092" s="7" t="s">
        <v>111</v>
      </c>
      <c r="N3092" s="58">
        <v>46004</v>
      </c>
      <c r="O3092" s="58">
        <v>46004</v>
      </c>
      <c r="R3092" s="126">
        <v>46006</v>
      </c>
    </row>
    <row r="3093" spans="2:18" ht="17.25" hidden="1" customHeight="1">
      <c r="B3093" s="23">
        <v>46000</v>
      </c>
      <c r="C3093" s="7">
        <v>2003866849</v>
      </c>
      <c r="D3093" s="20">
        <v>397594</v>
      </c>
      <c r="E3093" s="27" t="s">
        <v>129</v>
      </c>
      <c r="F3093" s="7" t="s">
        <v>113</v>
      </c>
      <c r="G3093" s="7" t="s">
        <v>70</v>
      </c>
      <c r="H3093" s="7" t="s">
        <v>47</v>
      </c>
      <c r="I3093" s="20" t="s">
        <v>1492</v>
      </c>
      <c r="J3093" s="20" t="s">
        <v>1493</v>
      </c>
      <c r="K3093" s="7" t="s">
        <v>160</v>
      </c>
    </row>
    <row r="3094" spans="2:18" ht="17.25" hidden="1" customHeight="1">
      <c r="B3094" s="23">
        <v>46000</v>
      </c>
      <c r="C3094" s="7">
        <v>2003848239</v>
      </c>
      <c r="D3094" s="20">
        <v>6507044</v>
      </c>
      <c r="E3094" s="27" t="s">
        <v>265</v>
      </c>
      <c r="F3094" s="7" t="s">
        <v>107</v>
      </c>
      <c r="G3094" s="7" t="s">
        <v>15</v>
      </c>
      <c r="H3094" s="7" t="s">
        <v>45</v>
      </c>
      <c r="I3094" s="20" t="s">
        <v>4389</v>
      </c>
      <c r="J3094" s="20" t="s">
        <v>4390</v>
      </c>
      <c r="K3094" s="7" t="s">
        <v>119</v>
      </c>
      <c r="L3094" s="61">
        <v>46002</v>
      </c>
      <c r="M3094" s="7" t="s">
        <v>111</v>
      </c>
      <c r="N3094" s="61">
        <v>46003</v>
      </c>
      <c r="O3094" s="58">
        <v>46006</v>
      </c>
      <c r="R3094" s="126">
        <v>46006</v>
      </c>
    </row>
    <row r="3095" spans="2:18" ht="17.25" hidden="1" customHeight="1">
      <c r="B3095" s="23">
        <v>46000</v>
      </c>
      <c r="C3095" s="7">
        <v>2003833639</v>
      </c>
      <c r="D3095" s="20">
        <v>6507078</v>
      </c>
      <c r="E3095" s="27" t="s">
        <v>123</v>
      </c>
      <c r="F3095" s="7" t="s">
        <v>107</v>
      </c>
      <c r="G3095" s="7" t="s">
        <v>10</v>
      </c>
      <c r="H3095" s="7" t="s">
        <v>45</v>
      </c>
      <c r="I3095" s="20" t="s">
        <v>1050</v>
      </c>
      <c r="J3095" s="20" t="s">
        <v>4358</v>
      </c>
      <c r="K3095" s="7" t="s">
        <v>110</v>
      </c>
      <c r="L3095" s="61">
        <v>46001</v>
      </c>
      <c r="M3095" s="7" t="s">
        <v>111</v>
      </c>
      <c r="N3095" s="24">
        <v>46002</v>
      </c>
      <c r="O3095" s="58">
        <v>46006</v>
      </c>
      <c r="Q3095" s="245"/>
      <c r="R3095" s="126">
        <v>46006</v>
      </c>
    </row>
    <row r="3096" spans="2:18" ht="17.25" hidden="1" customHeight="1">
      <c r="B3096" s="23">
        <v>46000</v>
      </c>
      <c r="C3096" s="7">
        <v>2003821358</v>
      </c>
      <c r="D3096" s="20">
        <v>6507769</v>
      </c>
      <c r="E3096" s="27" t="s">
        <v>1225</v>
      </c>
      <c r="F3096" s="7" t="s">
        <v>107</v>
      </c>
      <c r="G3096" s="7" t="s">
        <v>10</v>
      </c>
      <c r="H3096" s="7" t="s">
        <v>45</v>
      </c>
      <c r="I3096" s="20" t="s">
        <v>3335</v>
      </c>
      <c r="J3096" s="20" t="s">
        <v>4391</v>
      </c>
      <c r="K3096" s="7" t="s">
        <v>119</v>
      </c>
      <c r="L3096" s="61">
        <v>46002</v>
      </c>
      <c r="M3096" s="7" t="s">
        <v>111</v>
      </c>
      <c r="N3096" s="61">
        <v>46003</v>
      </c>
      <c r="O3096" s="58">
        <v>46006</v>
      </c>
      <c r="R3096" s="126">
        <v>46006</v>
      </c>
    </row>
    <row r="3097" spans="2:18" ht="17.25" hidden="1" customHeight="1">
      <c r="B3097" s="23">
        <v>46000</v>
      </c>
      <c r="C3097" s="7">
        <v>2003867970</v>
      </c>
      <c r="D3097" s="20">
        <v>6507855</v>
      </c>
      <c r="E3097" s="27" t="s">
        <v>622</v>
      </c>
      <c r="F3097" s="7" t="s">
        <v>107</v>
      </c>
      <c r="G3097" s="7" t="s">
        <v>10</v>
      </c>
      <c r="H3097" s="7" t="s">
        <v>45</v>
      </c>
      <c r="I3097" s="20" t="s">
        <v>4392</v>
      </c>
      <c r="J3097" s="20" t="s">
        <v>4393</v>
      </c>
      <c r="K3097" s="7" t="s">
        <v>119</v>
      </c>
      <c r="L3097" s="61">
        <v>46002</v>
      </c>
      <c r="M3097" s="7" t="s">
        <v>111</v>
      </c>
      <c r="N3097" s="61">
        <v>46003</v>
      </c>
      <c r="O3097" s="58">
        <v>46007</v>
      </c>
      <c r="R3097" s="126">
        <v>46009</v>
      </c>
    </row>
    <row r="3098" spans="2:18" ht="17.25" hidden="1" customHeight="1">
      <c r="B3098" s="23">
        <v>46000</v>
      </c>
      <c r="C3098" s="7">
        <v>2003822807</v>
      </c>
      <c r="D3098" s="20">
        <v>6507903</v>
      </c>
      <c r="E3098" s="27" t="s">
        <v>1225</v>
      </c>
      <c r="F3098" s="7" t="s">
        <v>107</v>
      </c>
      <c r="G3098" s="7" t="s">
        <v>21</v>
      </c>
      <c r="H3098" s="7" t="s">
        <v>45</v>
      </c>
      <c r="I3098" s="20" t="s">
        <v>1200</v>
      </c>
      <c r="J3098" s="20" t="s">
        <v>2185</v>
      </c>
      <c r="K3098" s="7" t="s">
        <v>111</v>
      </c>
      <c r="L3098" s="61">
        <v>46001</v>
      </c>
      <c r="M3098" s="7" t="s">
        <v>111</v>
      </c>
      <c r="N3098" s="24">
        <v>46002</v>
      </c>
      <c r="O3098" s="58">
        <v>46006</v>
      </c>
      <c r="Q3098" s="245"/>
      <c r="R3098" s="126">
        <v>46006</v>
      </c>
    </row>
    <row r="3099" spans="2:18" ht="17.25" hidden="1" customHeight="1">
      <c r="B3099" s="23">
        <v>46000</v>
      </c>
      <c r="C3099" s="7">
        <v>2003865182</v>
      </c>
      <c r="D3099" s="20">
        <v>6507918</v>
      </c>
      <c r="E3099" s="27" t="s">
        <v>152</v>
      </c>
      <c r="F3099" s="7" t="s">
        <v>107</v>
      </c>
      <c r="G3099" s="7" t="s">
        <v>18</v>
      </c>
      <c r="H3099" s="7" t="s">
        <v>45</v>
      </c>
      <c r="I3099" s="20" t="s">
        <v>4394</v>
      </c>
      <c r="J3099" s="20" t="s">
        <v>4395</v>
      </c>
      <c r="K3099" s="7" t="s">
        <v>110</v>
      </c>
      <c r="L3099" s="61">
        <v>46002</v>
      </c>
      <c r="M3099" s="7" t="s">
        <v>111</v>
      </c>
      <c r="N3099" s="61">
        <v>46003</v>
      </c>
      <c r="O3099" s="61">
        <v>46006</v>
      </c>
      <c r="Q3099" s="245"/>
      <c r="R3099" s="126">
        <v>46009</v>
      </c>
    </row>
    <row r="3100" spans="2:18" ht="17.25" hidden="1" customHeight="1">
      <c r="B3100" s="23">
        <v>46001</v>
      </c>
      <c r="C3100" s="7">
        <v>2003837805</v>
      </c>
      <c r="D3100" s="20">
        <v>6519537</v>
      </c>
      <c r="E3100" s="27" t="s">
        <v>185</v>
      </c>
      <c r="F3100" s="7" t="s">
        <v>107</v>
      </c>
      <c r="G3100" s="7" t="s">
        <v>21</v>
      </c>
      <c r="H3100" s="7" t="s">
        <v>45</v>
      </c>
      <c r="I3100" s="20" t="s">
        <v>4396</v>
      </c>
      <c r="J3100" s="20" t="s">
        <v>2678</v>
      </c>
      <c r="K3100" s="7" t="s">
        <v>111</v>
      </c>
      <c r="L3100" s="61">
        <v>46002</v>
      </c>
      <c r="M3100" s="7" t="s">
        <v>111</v>
      </c>
      <c r="N3100" s="61">
        <v>46003</v>
      </c>
      <c r="O3100" s="58">
        <v>46008</v>
      </c>
      <c r="Q3100" s="245"/>
      <c r="R3100" s="126">
        <v>46009</v>
      </c>
    </row>
    <row r="3101" spans="2:18" ht="17.25" hidden="1" customHeight="1">
      <c r="B3101" s="23">
        <v>46001</v>
      </c>
      <c r="C3101" s="7">
        <v>2003795589</v>
      </c>
      <c r="D3101" s="20">
        <v>6519660</v>
      </c>
      <c r="E3101" s="27" t="s">
        <v>3086</v>
      </c>
      <c r="F3101" s="7" t="s">
        <v>107</v>
      </c>
      <c r="G3101" s="7" t="s">
        <v>18</v>
      </c>
      <c r="H3101" s="7" t="s">
        <v>45</v>
      </c>
      <c r="I3101" s="20" t="s">
        <v>2156</v>
      </c>
      <c r="J3101" s="20" t="s">
        <v>4074</v>
      </c>
      <c r="K3101" s="7" t="s">
        <v>111</v>
      </c>
      <c r="L3101" s="61">
        <v>46002</v>
      </c>
      <c r="M3101" s="7" t="s">
        <v>111</v>
      </c>
      <c r="N3101" s="58">
        <v>46004</v>
      </c>
      <c r="O3101" s="58">
        <v>46004</v>
      </c>
      <c r="Q3101" s="245"/>
      <c r="R3101" s="126">
        <v>46006</v>
      </c>
    </row>
    <row r="3102" spans="2:18" ht="17.25" hidden="1" customHeight="1">
      <c r="B3102" s="23">
        <v>46001</v>
      </c>
      <c r="C3102" s="7">
        <v>2003858904</v>
      </c>
      <c r="D3102" s="20">
        <v>6519694</v>
      </c>
      <c r="E3102" s="27" t="s">
        <v>191</v>
      </c>
      <c r="F3102" s="7" t="s">
        <v>107</v>
      </c>
      <c r="G3102" s="7" t="s">
        <v>10</v>
      </c>
      <c r="H3102" s="7" t="s">
        <v>45</v>
      </c>
      <c r="I3102" s="20" t="s">
        <v>4397</v>
      </c>
      <c r="J3102" s="20" t="s">
        <v>4398</v>
      </c>
      <c r="K3102" s="7" t="s">
        <v>119</v>
      </c>
      <c r="L3102" s="61">
        <v>46007</v>
      </c>
      <c r="M3102" s="7" t="s">
        <v>111</v>
      </c>
      <c r="N3102" s="61">
        <v>46008</v>
      </c>
      <c r="O3102" s="61">
        <v>46008</v>
      </c>
      <c r="R3102" s="126">
        <v>46009</v>
      </c>
    </row>
    <row r="3103" spans="2:18" ht="17.25" hidden="1" customHeight="1">
      <c r="B3103" s="23">
        <v>46001</v>
      </c>
      <c r="C3103" s="7">
        <v>2003869951</v>
      </c>
      <c r="D3103" s="20">
        <v>400907</v>
      </c>
      <c r="E3103" s="27" t="s">
        <v>1225</v>
      </c>
      <c r="F3103" s="7" t="s">
        <v>107</v>
      </c>
      <c r="G3103" s="7" t="s">
        <v>10</v>
      </c>
      <c r="H3103" s="7" t="s">
        <v>45</v>
      </c>
      <c r="I3103" s="20" t="s">
        <v>1420</v>
      </c>
      <c r="J3103" s="20" t="s">
        <v>1421</v>
      </c>
      <c r="K3103" s="7" t="s">
        <v>110</v>
      </c>
      <c r="L3103" s="61">
        <v>46006</v>
      </c>
      <c r="M3103" s="7" t="s">
        <v>111</v>
      </c>
      <c r="N3103" s="61">
        <v>46006</v>
      </c>
      <c r="O3103" s="58">
        <v>46008</v>
      </c>
      <c r="Q3103" s="245"/>
      <c r="R3103" s="126">
        <v>46009</v>
      </c>
    </row>
    <row r="3104" spans="2:18" ht="17.25" hidden="1" customHeight="1">
      <c r="B3104" s="23">
        <v>46001</v>
      </c>
      <c r="C3104" s="7">
        <v>2003858892</v>
      </c>
      <c r="D3104" s="20">
        <v>400815</v>
      </c>
      <c r="E3104" s="27" t="s">
        <v>135</v>
      </c>
      <c r="F3104" s="7" t="s">
        <v>107</v>
      </c>
      <c r="G3104" s="7" t="s">
        <v>15</v>
      </c>
      <c r="H3104" s="7" t="s">
        <v>45</v>
      </c>
      <c r="I3104" s="20" t="s">
        <v>4399</v>
      </c>
      <c r="J3104" s="20" t="s">
        <v>4400</v>
      </c>
      <c r="K3104" s="7" t="s">
        <v>119</v>
      </c>
      <c r="L3104" s="61">
        <v>46003</v>
      </c>
      <c r="M3104" s="7" t="s">
        <v>111</v>
      </c>
      <c r="N3104" s="61">
        <v>46003</v>
      </c>
      <c r="O3104" s="61">
        <v>46006</v>
      </c>
      <c r="R3104" s="126">
        <v>46009</v>
      </c>
    </row>
    <row r="3105" spans="2:18" ht="17.25" hidden="1" customHeight="1">
      <c r="B3105" s="23">
        <v>46001</v>
      </c>
      <c r="C3105" s="7">
        <v>2003868499</v>
      </c>
      <c r="D3105" s="20">
        <v>400635</v>
      </c>
      <c r="E3105" s="27" t="s">
        <v>1225</v>
      </c>
      <c r="F3105" s="7" t="s">
        <v>107</v>
      </c>
      <c r="G3105" s="7" t="s">
        <v>10</v>
      </c>
      <c r="H3105" s="7" t="s">
        <v>45</v>
      </c>
      <c r="I3105" s="20" t="s">
        <v>4401</v>
      </c>
      <c r="J3105" s="20" t="s">
        <v>4402</v>
      </c>
      <c r="K3105" s="7" t="s">
        <v>119</v>
      </c>
      <c r="L3105" s="61">
        <v>46002</v>
      </c>
      <c r="M3105" s="7" t="s">
        <v>111</v>
      </c>
      <c r="N3105" s="61">
        <v>46003</v>
      </c>
      <c r="O3105" s="61">
        <v>46006</v>
      </c>
      <c r="R3105" s="126">
        <v>46006</v>
      </c>
    </row>
    <row r="3106" spans="2:18" ht="17.25" hidden="1" customHeight="1">
      <c r="B3106" s="23">
        <v>46001</v>
      </c>
      <c r="C3106" s="7">
        <v>2003813435</v>
      </c>
      <c r="D3106" s="20">
        <v>400425</v>
      </c>
      <c r="E3106" s="27" t="s">
        <v>126</v>
      </c>
      <c r="F3106" s="7" t="s">
        <v>107</v>
      </c>
      <c r="G3106" s="7" t="s">
        <v>26</v>
      </c>
      <c r="H3106" s="7" t="s">
        <v>45</v>
      </c>
      <c r="I3106" s="20" t="s">
        <v>1841</v>
      </c>
      <c r="J3106" s="20" t="s">
        <v>4134</v>
      </c>
      <c r="K3106" s="7" t="s">
        <v>110</v>
      </c>
      <c r="L3106" s="61">
        <v>46006</v>
      </c>
      <c r="M3106" s="7" t="s">
        <v>111</v>
      </c>
      <c r="N3106" s="24">
        <v>46009</v>
      </c>
      <c r="O3106" s="58">
        <v>46009</v>
      </c>
      <c r="Q3106" s="245"/>
      <c r="R3106" s="126">
        <v>46009</v>
      </c>
    </row>
    <row r="3107" spans="2:18" ht="17.25" hidden="1" customHeight="1">
      <c r="B3107" s="23">
        <v>46001</v>
      </c>
      <c r="C3107" s="7">
        <v>2003834794</v>
      </c>
      <c r="D3107" s="20">
        <v>400082</v>
      </c>
      <c r="E3107" s="27" t="s">
        <v>1225</v>
      </c>
      <c r="F3107" s="7" t="s">
        <v>107</v>
      </c>
      <c r="G3107" s="7" t="s">
        <v>10</v>
      </c>
      <c r="H3107" s="7" t="s">
        <v>45</v>
      </c>
      <c r="I3107" s="20" t="s">
        <v>4403</v>
      </c>
      <c r="J3107" s="20" t="s">
        <v>4353</v>
      </c>
      <c r="K3107" s="7" t="s">
        <v>119</v>
      </c>
      <c r="L3107" s="61">
        <v>46014</v>
      </c>
      <c r="M3107" s="7" t="s">
        <v>111</v>
      </c>
      <c r="N3107" s="61">
        <v>46017</v>
      </c>
      <c r="O3107" s="61">
        <v>46017</v>
      </c>
      <c r="R3107" s="126">
        <v>46017</v>
      </c>
    </row>
    <row r="3108" spans="2:18" ht="17.25" hidden="1" customHeight="1">
      <c r="B3108" s="23">
        <v>46001</v>
      </c>
      <c r="C3108" s="7">
        <v>2003868105</v>
      </c>
      <c r="D3108" s="20">
        <v>399912</v>
      </c>
      <c r="E3108" s="27" t="s">
        <v>191</v>
      </c>
      <c r="F3108" s="7" t="s">
        <v>107</v>
      </c>
      <c r="G3108" s="7" t="s">
        <v>10</v>
      </c>
      <c r="H3108" s="7" t="s">
        <v>45</v>
      </c>
      <c r="I3108" s="20" t="s">
        <v>4404</v>
      </c>
      <c r="J3108" s="20" t="s">
        <v>4405</v>
      </c>
      <c r="K3108" s="7" t="s">
        <v>119</v>
      </c>
      <c r="L3108" s="61">
        <v>46006</v>
      </c>
      <c r="M3108" s="7" t="s">
        <v>111</v>
      </c>
      <c r="N3108" s="24">
        <v>46008</v>
      </c>
      <c r="O3108" s="58">
        <v>46010</v>
      </c>
      <c r="R3108" s="126">
        <v>46013</v>
      </c>
    </row>
    <row r="3109" spans="2:18" ht="17.25" hidden="1" customHeight="1">
      <c r="B3109" s="23">
        <v>46001</v>
      </c>
      <c r="C3109" s="7">
        <v>2003851056</v>
      </c>
      <c r="D3109" s="20">
        <v>399856</v>
      </c>
      <c r="E3109" s="27" t="s">
        <v>123</v>
      </c>
      <c r="F3109" s="7" t="s">
        <v>107</v>
      </c>
      <c r="G3109" s="7" t="s">
        <v>10</v>
      </c>
      <c r="H3109" s="7" t="s">
        <v>45</v>
      </c>
      <c r="I3109" s="20" t="s">
        <v>4406</v>
      </c>
      <c r="J3109" s="20" t="s">
        <v>4407</v>
      </c>
      <c r="K3109" s="7" t="s">
        <v>119</v>
      </c>
      <c r="L3109" s="61">
        <v>46010</v>
      </c>
      <c r="M3109" s="7" t="s">
        <v>111</v>
      </c>
      <c r="N3109" s="24">
        <v>46013</v>
      </c>
      <c r="O3109" s="58">
        <v>46014</v>
      </c>
      <c r="R3109" s="126">
        <v>46017</v>
      </c>
    </row>
    <row r="3110" spans="2:18" ht="17.25" hidden="1" customHeight="1">
      <c r="B3110" s="23">
        <v>46001</v>
      </c>
      <c r="C3110" s="7">
        <v>2003846503</v>
      </c>
      <c r="D3110" s="20">
        <v>399788</v>
      </c>
      <c r="E3110" s="27" t="s">
        <v>191</v>
      </c>
      <c r="F3110" s="7" t="s">
        <v>113</v>
      </c>
      <c r="G3110" s="7" t="s">
        <v>70</v>
      </c>
      <c r="H3110" s="7" t="s">
        <v>47</v>
      </c>
      <c r="I3110" s="20" t="s">
        <v>4408</v>
      </c>
      <c r="J3110" s="20" t="s">
        <v>4409</v>
      </c>
      <c r="K3110" s="7" t="s">
        <v>110</v>
      </c>
      <c r="Q3110" s="245"/>
    </row>
    <row r="3111" spans="2:18" ht="17.25" hidden="1" customHeight="1">
      <c r="B3111" s="23">
        <v>46001</v>
      </c>
      <c r="C3111" s="7">
        <v>2003867481</v>
      </c>
      <c r="D3111" s="20">
        <v>399385</v>
      </c>
      <c r="E3111" s="27" t="s">
        <v>191</v>
      </c>
      <c r="F3111" s="7" t="s">
        <v>107</v>
      </c>
      <c r="G3111" s="7" t="s">
        <v>10</v>
      </c>
      <c r="H3111" s="7" t="s">
        <v>45</v>
      </c>
      <c r="I3111" s="20" t="s">
        <v>1035</v>
      </c>
      <c r="J3111" s="20" t="s">
        <v>4410</v>
      </c>
      <c r="K3111" s="7" t="s">
        <v>110</v>
      </c>
      <c r="L3111" s="61">
        <v>46006</v>
      </c>
      <c r="M3111" s="7" t="s">
        <v>111</v>
      </c>
      <c r="N3111" s="61">
        <v>46006</v>
      </c>
      <c r="O3111" s="58">
        <v>46008</v>
      </c>
      <c r="Q3111" s="245"/>
      <c r="R3111" s="126">
        <v>46009</v>
      </c>
    </row>
    <row r="3112" spans="2:18" ht="17.25" hidden="1" customHeight="1">
      <c r="B3112" s="23">
        <v>46002</v>
      </c>
      <c r="C3112" s="7">
        <v>2003867062</v>
      </c>
      <c r="D3112" s="20">
        <v>402726</v>
      </c>
      <c r="E3112" s="27" t="s">
        <v>180</v>
      </c>
      <c r="F3112" s="7" t="s">
        <v>113</v>
      </c>
      <c r="G3112" s="7" t="s">
        <v>70</v>
      </c>
      <c r="H3112" s="7" t="s">
        <v>47</v>
      </c>
      <c r="I3112" s="20" t="s">
        <v>4411</v>
      </c>
      <c r="J3112" s="20" t="s">
        <v>4412</v>
      </c>
      <c r="K3112" s="7" t="s">
        <v>160</v>
      </c>
    </row>
    <row r="3113" spans="2:18" ht="17.25" hidden="1" customHeight="1">
      <c r="B3113" s="23">
        <v>46002</v>
      </c>
      <c r="C3113" s="7">
        <v>2003870300</v>
      </c>
      <c r="D3113" s="20">
        <v>402722</v>
      </c>
      <c r="E3113" s="27" t="s">
        <v>566</v>
      </c>
      <c r="F3113" s="7" t="s">
        <v>107</v>
      </c>
      <c r="G3113" s="7" t="s">
        <v>10</v>
      </c>
      <c r="H3113" s="7" t="s">
        <v>45</v>
      </c>
      <c r="I3113" s="20" t="s">
        <v>3870</v>
      </c>
      <c r="J3113" s="20" t="s">
        <v>3745</v>
      </c>
      <c r="K3113" s="7" t="s">
        <v>110</v>
      </c>
      <c r="L3113" s="61">
        <v>46006</v>
      </c>
      <c r="M3113" s="7" t="s">
        <v>111</v>
      </c>
      <c r="N3113" s="61">
        <v>46006</v>
      </c>
      <c r="O3113" s="58">
        <v>46008</v>
      </c>
      <c r="Q3113" s="245"/>
      <c r="R3113" s="126">
        <v>46009</v>
      </c>
    </row>
    <row r="3114" spans="2:18" ht="17.25" hidden="1" customHeight="1">
      <c r="B3114" s="23">
        <v>46002</v>
      </c>
      <c r="C3114" s="7">
        <v>2003679045</v>
      </c>
      <c r="D3114" s="20">
        <v>402712</v>
      </c>
      <c r="E3114" s="27" t="s">
        <v>230</v>
      </c>
      <c r="F3114" s="7" t="s">
        <v>113</v>
      </c>
      <c r="G3114" s="7" t="s">
        <v>70</v>
      </c>
      <c r="H3114" s="7" t="s">
        <v>47</v>
      </c>
      <c r="I3114" s="20" t="s">
        <v>585</v>
      </c>
      <c r="J3114" s="20" t="s">
        <v>4413</v>
      </c>
      <c r="K3114" s="7" t="s">
        <v>119</v>
      </c>
    </row>
    <row r="3115" spans="2:18" ht="17.25" hidden="1" customHeight="1">
      <c r="B3115" s="23">
        <v>46002</v>
      </c>
      <c r="C3115" s="7">
        <v>2003862593</v>
      </c>
      <c r="D3115" s="20">
        <v>402468</v>
      </c>
      <c r="E3115" s="27" t="s">
        <v>201</v>
      </c>
      <c r="F3115" s="7" t="s">
        <v>107</v>
      </c>
      <c r="G3115" s="7" t="s">
        <v>10</v>
      </c>
      <c r="H3115" s="7" t="s">
        <v>45</v>
      </c>
      <c r="I3115" s="20" t="s">
        <v>4414</v>
      </c>
      <c r="J3115" s="20" t="s">
        <v>4415</v>
      </c>
      <c r="K3115" s="7" t="s">
        <v>119</v>
      </c>
      <c r="L3115" s="61">
        <v>46007</v>
      </c>
      <c r="M3115" s="7" t="s">
        <v>111</v>
      </c>
      <c r="N3115" s="61">
        <v>46008</v>
      </c>
      <c r="O3115" s="58">
        <v>46010</v>
      </c>
      <c r="R3115" s="126">
        <v>46013</v>
      </c>
    </row>
    <row r="3116" spans="2:18" ht="17.25" hidden="1" customHeight="1">
      <c r="B3116" s="23">
        <v>46002</v>
      </c>
      <c r="C3116" s="7">
        <v>2003859174</v>
      </c>
      <c r="D3116" s="20">
        <v>402077</v>
      </c>
      <c r="E3116" s="27" t="s">
        <v>129</v>
      </c>
      <c r="F3116" s="7" t="s">
        <v>107</v>
      </c>
      <c r="G3116" s="7" t="s">
        <v>18</v>
      </c>
      <c r="H3116" s="244" t="s">
        <v>45</v>
      </c>
      <c r="I3116" s="20" t="s">
        <v>4416</v>
      </c>
      <c r="J3116" s="20" t="s">
        <v>4417</v>
      </c>
      <c r="K3116" s="7" t="s">
        <v>119</v>
      </c>
      <c r="L3116" s="61">
        <v>46010</v>
      </c>
      <c r="M3116" s="7" t="s">
        <v>111</v>
      </c>
      <c r="N3116" s="24">
        <v>46013</v>
      </c>
      <c r="O3116" s="58">
        <v>46014</v>
      </c>
      <c r="R3116" s="126">
        <v>46017</v>
      </c>
    </row>
    <row r="3117" spans="2:18" ht="17.25" hidden="1" customHeight="1">
      <c r="B3117" s="23">
        <v>46002</v>
      </c>
      <c r="C3117" s="7">
        <v>2003833880</v>
      </c>
      <c r="D3117" s="20">
        <v>402023</v>
      </c>
      <c r="E3117" s="27" t="s">
        <v>366</v>
      </c>
      <c r="F3117" s="7" t="s">
        <v>107</v>
      </c>
      <c r="G3117" s="7" t="s">
        <v>15</v>
      </c>
      <c r="H3117" s="7" t="s">
        <v>45</v>
      </c>
      <c r="I3117" s="20" t="s">
        <v>868</v>
      </c>
      <c r="J3117" s="20" t="s">
        <v>4338</v>
      </c>
      <c r="K3117" s="7" t="s">
        <v>110</v>
      </c>
      <c r="L3117" s="61">
        <v>46003</v>
      </c>
      <c r="M3117" s="7" t="s">
        <v>111</v>
      </c>
      <c r="N3117" s="61">
        <v>46003</v>
      </c>
      <c r="O3117" s="58">
        <v>46006</v>
      </c>
      <c r="Q3117" s="245"/>
      <c r="R3117" s="126">
        <v>46006</v>
      </c>
    </row>
    <row r="3118" spans="2:18" ht="17.25" hidden="1" customHeight="1">
      <c r="B3118" s="23">
        <v>46002</v>
      </c>
      <c r="C3118" s="7">
        <v>2003867207</v>
      </c>
      <c r="D3118" s="20">
        <v>401913</v>
      </c>
      <c r="E3118" s="27" t="s">
        <v>408</v>
      </c>
      <c r="F3118" s="7" t="s">
        <v>107</v>
      </c>
      <c r="G3118" s="7" t="s">
        <v>10</v>
      </c>
      <c r="H3118" s="7" t="s">
        <v>45</v>
      </c>
      <c r="I3118" s="20" t="s">
        <v>4418</v>
      </c>
      <c r="J3118" s="20" t="s">
        <v>4419</v>
      </c>
      <c r="K3118" s="7" t="s">
        <v>119</v>
      </c>
      <c r="L3118" s="61">
        <v>46006</v>
      </c>
      <c r="M3118" s="7" t="s">
        <v>111</v>
      </c>
      <c r="N3118" s="24">
        <v>46008</v>
      </c>
      <c r="O3118" s="58">
        <v>46010</v>
      </c>
      <c r="R3118" s="126">
        <v>46013</v>
      </c>
    </row>
    <row r="3119" spans="2:18" ht="17.25" hidden="1" customHeight="1">
      <c r="B3119" s="23">
        <v>46002</v>
      </c>
      <c r="C3119" s="7">
        <v>2003564620</v>
      </c>
      <c r="D3119" s="20">
        <v>6520082</v>
      </c>
      <c r="E3119" s="27" t="s">
        <v>126</v>
      </c>
      <c r="F3119" s="7" t="s">
        <v>107</v>
      </c>
      <c r="G3119" s="7" t="s">
        <v>10</v>
      </c>
      <c r="H3119" s="7" t="s">
        <v>45</v>
      </c>
      <c r="I3119" s="20" t="s">
        <v>3908</v>
      </c>
      <c r="J3119" s="20" t="s">
        <v>4375</v>
      </c>
      <c r="K3119" s="7" t="s">
        <v>119</v>
      </c>
      <c r="L3119" s="61">
        <v>46006</v>
      </c>
      <c r="M3119" s="7" t="s">
        <v>111</v>
      </c>
      <c r="N3119" s="24">
        <v>46008</v>
      </c>
      <c r="O3119" s="24">
        <v>46008</v>
      </c>
      <c r="R3119" s="126">
        <v>46009</v>
      </c>
    </row>
    <row r="3120" spans="2:18" ht="17.25" hidden="1" customHeight="1">
      <c r="B3120" s="23">
        <v>46002</v>
      </c>
      <c r="C3120" s="7">
        <v>2003868845</v>
      </c>
      <c r="D3120" s="20">
        <v>6520458</v>
      </c>
      <c r="E3120" s="27" t="s">
        <v>201</v>
      </c>
      <c r="F3120" s="7" t="s">
        <v>107</v>
      </c>
      <c r="G3120" s="7" t="s">
        <v>10</v>
      </c>
      <c r="H3120" s="7" t="s">
        <v>45</v>
      </c>
      <c r="I3120" s="20" t="s">
        <v>4420</v>
      </c>
      <c r="J3120" s="20" t="s">
        <v>2915</v>
      </c>
      <c r="K3120" s="7" t="s">
        <v>119</v>
      </c>
      <c r="L3120" s="61">
        <v>46007</v>
      </c>
      <c r="M3120" s="7" t="s">
        <v>111</v>
      </c>
      <c r="N3120" s="61">
        <v>46008</v>
      </c>
      <c r="O3120" s="58">
        <v>46010</v>
      </c>
      <c r="R3120" s="126">
        <v>46013</v>
      </c>
    </row>
    <row r="3121" spans="2:18" ht="17.25" hidden="1" customHeight="1">
      <c r="B3121" s="23">
        <v>46002</v>
      </c>
      <c r="C3121" s="7">
        <v>2003852789</v>
      </c>
      <c r="D3121" s="20">
        <v>6520518</v>
      </c>
      <c r="E3121" s="27" t="s">
        <v>1225</v>
      </c>
      <c r="F3121" s="7" t="s">
        <v>107</v>
      </c>
      <c r="G3121" s="7" t="s">
        <v>10</v>
      </c>
      <c r="H3121" s="7" t="s">
        <v>45</v>
      </c>
      <c r="I3121" s="20" t="s">
        <v>938</v>
      </c>
      <c r="J3121" s="20" t="s">
        <v>4421</v>
      </c>
      <c r="K3121" s="7" t="s">
        <v>119</v>
      </c>
      <c r="L3121" s="61">
        <v>46008</v>
      </c>
      <c r="M3121" s="7" t="s">
        <v>111</v>
      </c>
      <c r="N3121" s="24">
        <v>46010</v>
      </c>
      <c r="O3121" s="24">
        <v>46010</v>
      </c>
      <c r="R3121" s="126">
        <v>46013</v>
      </c>
    </row>
    <row r="3122" spans="2:18" ht="17.25" hidden="1" customHeight="1">
      <c r="B3122" s="23">
        <v>46002</v>
      </c>
      <c r="C3122" s="7">
        <v>2003868735</v>
      </c>
      <c r="D3122" s="20">
        <v>6520553</v>
      </c>
      <c r="E3122" s="27" t="s">
        <v>1225</v>
      </c>
      <c r="F3122" s="7" t="s">
        <v>107</v>
      </c>
      <c r="G3122" s="7" t="s">
        <v>10</v>
      </c>
      <c r="H3122" s="7" t="s">
        <v>45</v>
      </c>
      <c r="I3122" s="20" t="s">
        <v>4422</v>
      </c>
      <c r="J3122" s="20" t="s">
        <v>2922</v>
      </c>
      <c r="K3122" s="7" t="s">
        <v>119</v>
      </c>
      <c r="L3122" s="61">
        <v>46007</v>
      </c>
      <c r="M3122" s="7" t="s">
        <v>111</v>
      </c>
      <c r="N3122" s="24">
        <v>46008</v>
      </c>
      <c r="O3122" s="58">
        <v>46009</v>
      </c>
      <c r="R3122" s="126">
        <v>46009</v>
      </c>
    </row>
    <row r="3123" spans="2:18" ht="17.25" hidden="1" customHeight="1">
      <c r="B3123" s="23">
        <v>46002</v>
      </c>
      <c r="C3123" s="7">
        <v>2003703152</v>
      </c>
      <c r="D3123" s="20">
        <v>6520561</v>
      </c>
      <c r="E3123" s="27" t="s">
        <v>230</v>
      </c>
      <c r="F3123" s="7" t="s">
        <v>107</v>
      </c>
      <c r="G3123" s="7" t="s">
        <v>10</v>
      </c>
      <c r="H3123" s="7" t="s">
        <v>45</v>
      </c>
      <c r="I3123" s="20" t="s">
        <v>4423</v>
      </c>
      <c r="J3123" s="20" t="s">
        <v>3745</v>
      </c>
      <c r="K3123" s="7" t="s">
        <v>110</v>
      </c>
      <c r="L3123" s="61">
        <v>46006</v>
      </c>
      <c r="M3123" s="7" t="s">
        <v>111</v>
      </c>
      <c r="N3123" s="61">
        <v>46006</v>
      </c>
      <c r="O3123" s="58">
        <v>46008</v>
      </c>
      <c r="Q3123" s="245"/>
      <c r="R3123" s="126">
        <v>46009</v>
      </c>
    </row>
    <row r="3124" spans="2:18" ht="17.25" hidden="1" customHeight="1">
      <c r="B3124" s="23">
        <v>46002</v>
      </c>
      <c r="C3124" s="7">
        <v>2003855809</v>
      </c>
      <c r="D3124" s="20">
        <v>6520568</v>
      </c>
      <c r="E3124" s="27" t="s">
        <v>149</v>
      </c>
      <c r="F3124" s="7" t="s">
        <v>107</v>
      </c>
      <c r="G3124" s="7" t="s">
        <v>26</v>
      </c>
      <c r="H3124" s="7" t="s">
        <v>45</v>
      </c>
      <c r="I3124" s="20" t="s">
        <v>4424</v>
      </c>
      <c r="J3124" s="20" t="s">
        <v>4425</v>
      </c>
      <c r="K3124" s="7" t="s">
        <v>110</v>
      </c>
      <c r="L3124" s="61">
        <v>46007</v>
      </c>
      <c r="M3124" s="7" t="s">
        <v>111</v>
      </c>
      <c r="N3124" s="24">
        <v>46009</v>
      </c>
      <c r="O3124" s="58">
        <v>46009</v>
      </c>
      <c r="Q3124" s="245"/>
      <c r="R3124" s="126">
        <v>46009</v>
      </c>
    </row>
    <row r="3125" spans="2:18" ht="17.25" hidden="1" customHeight="1">
      <c r="B3125" s="23">
        <v>46003</v>
      </c>
      <c r="C3125" s="7">
        <v>2003855529</v>
      </c>
      <c r="D3125" s="20">
        <v>404397</v>
      </c>
      <c r="E3125" s="27" t="s">
        <v>180</v>
      </c>
      <c r="F3125" s="7" t="s">
        <v>107</v>
      </c>
      <c r="G3125" s="7" t="s">
        <v>30</v>
      </c>
      <c r="H3125" s="7" t="s">
        <v>45</v>
      </c>
      <c r="I3125" s="20" t="s">
        <v>4426</v>
      </c>
      <c r="J3125" s="20" t="s">
        <v>4427</v>
      </c>
      <c r="K3125" s="7" t="s">
        <v>111</v>
      </c>
      <c r="L3125" s="61">
        <v>46006</v>
      </c>
      <c r="M3125" s="7" t="s">
        <v>111</v>
      </c>
      <c r="N3125" s="61">
        <v>46006</v>
      </c>
      <c r="O3125" s="58">
        <v>46017</v>
      </c>
      <c r="Q3125" s="245"/>
      <c r="R3125" s="126">
        <v>46017</v>
      </c>
    </row>
    <row r="3126" spans="2:18" ht="17.25" hidden="1" customHeight="1">
      <c r="B3126" s="23">
        <v>46003</v>
      </c>
      <c r="C3126" s="7">
        <v>2003855676</v>
      </c>
      <c r="D3126" s="20">
        <v>404359</v>
      </c>
      <c r="E3126" s="27" t="s">
        <v>123</v>
      </c>
      <c r="F3126" s="7" t="s">
        <v>107</v>
      </c>
      <c r="G3126" s="7" t="s">
        <v>21</v>
      </c>
      <c r="H3126" s="7" t="s">
        <v>45</v>
      </c>
      <c r="I3126" s="20" t="s">
        <v>3701</v>
      </c>
      <c r="J3126" s="20" t="s">
        <v>3701</v>
      </c>
      <c r="K3126" s="7" t="s">
        <v>110</v>
      </c>
      <c r="L3126" s="61">
        <v>46006</v>
      </c>
      <c r="M3126" s="7" t="s">
        <v>111</v>
      </c>
      <c r="N3126" s="61">
        <v>46006</v>
      </c>
      <c r="O3126" s="61">
        <v>46006</v>
      </c>
      <c r="Q3126" s="245"/>
      <c r="R3126" s="126">
        <v>46009</v>
      </c>
    </row>
    <row r="3127" spans="2:18" ht="17.25" hidden="1" customHeight="1">
      <c r="B3127" s="23">
        <v>46003</v>
      </c>
      <c r="C3127" s="7">
        <v>2003871996</v>
      </c>
      <c r="D3127" s="20">
        <v>403910</v>
      </c>
      <c r="E3127" s="27" t="s">
        <v>129</v>
      </c>
      <c r="F3127" s="7" t="s">
        <v>107</v>
      </c>
      <c r="G3127" s="7" t="s">
        <v>10</v>
      </c>
      <c r="H3127" s="7" t="s">
        <v>45</v>
      </c>
      <c r="I3127" s="20" t="s">
        <v>3870</v>
      </c>
      <c r="J3127" s="20" t="s">
        <v>4428</v>
      </c>
      <c r="K3127" s="7" t="s">
        <v>146</v>
      </c>
      <c r="L3127" s="61">
        <v>46055</v>
      </c>
      <c r="M3127" s="7" t="s">
        <v>146</v>
      </c>
      <c r="N3127" s="24">
        <v>46057</v>
      </c>
      <c r="O3127" s="58">
        <v>46057</v>
      </c>
      <c r="R3127" s="126">
        <v>46057</v>
      </c>
    </row>
    <row r="3128" spans="2:18" ht="17.25" hidden="1" customHeight="1">
      <c r="B3128" s="23">
        <v>46003</v>
      </c>
      <c r="C3128" s="7">
        <v>2003712018</v>
      </c>
      <c r="D3128" s="20">
        <v>403794</v>
      </c>
      <c r="E3128" s="27" t="s">
        <v>123</v>
      </c>
      <c r="F3128" s="7" t="s">
        <v>107</v>
      </c>
      <c r="G3128" s="7" t="s">
        <v>21</v>
      </c>
      <c r="H3128" s="7" t="s">
        <v>45</v>
      </c>
      <c r="I3128" s="20" t="s">
        <v>4429</v>
      </c>
      <c r="J3128" s="20" t="s">
        <v>2793</v>
      </c>
      <c r="K3128" s="7" t="s">
        <v>111</v>
      </c>
      <c r="L3128" s="61">
        <v>46006</v>
      </c>
      <c r="M3128" s="7" t="s">
        <v>111</v>
      </c>
      <c r="N3128" s="61">
        <v>46008</v>
      </c>
      <c r="O3128" s="61">
        <v>46008</v>
      </c>
      <c r="Q3128" s="245"/>
      <c r="R3128" s="126">
        <v>46009</v>
      </c>
    </row>
    <row r="3129" spans="2:18" ht="17.25" hidden="1" customHeight="1">
      <c r="B3129" s="23">
        <v>46003</v>
      </c>
      <c r="C3129" s="7">
        <v>2003817951</v>
      </c>
      <c r="D3129" s="20">
        <v>403742</v>
      </c>
      <c r="E3129" s="27" t="s">
        <v>185</v>
      </c>
      <c r="F3129" s="7" t="s">
        <v>107</v>
      </c>
      <c r="G3129" s="7" t="s">
        <v>21</v>
      </c>
      <c r="H3129" s="7" t="s">
        <v>45</v>
      </c>
      <c r="I3129" s="20" t="s">
        <v>4430</v>
      </c>
      <c r="J3129" s="20" t="s">
        <v>4214</v>
      </c>
      <c r="K3129" s="7" t="s">
        <v>119</v>
      </c>
      <c r="L3129" s="61">
        <v>46006</v>
      </c>
      <c r="M3129" s="7" t="s">
        <v>111</v>
      </c>
      <c r="N3129" s="24">
        <v>46008</v>
      </c>
      <c r="O3129" s="58">
        <v>46010</v>
      </c>
      <c r="R3129" s="126">
        <v>46013</v>
      </c>
    </row>
    <row r="3130" spans="2:18" ht="17.25" hidden="1" customHeight="1">
      <c r="B3130" s="23">
        <v>46003</v>
      </c>
      <c r="C3130" s="7">
        <v>2003871061</v>
      </c>
      <c r="D3130" s="20">
        <v>403373</v>
      </c>
      <c r="E3130" s="27" t="s">
        <v>191</v>
      </c>
      <c r="F3130" s="7" t="s">
        <v>107</v>
      </c>
      <c r="G3130" s="7" t="s">
        <v>10</v>
      </c>
      <c r="H3130" s="7" t="s">
        <v>45</v>
      </c>
      <c r="I3130" s="20" t="s">
        <v>4431</v>
      </c>
      <c r="J3130" s="20" t="s">
        <v>4432</v>
      </c>
      <c r="K3130" s="7" t="s">
        <v>119</v>
      </c>
      <c r="L3130" s="61">
        <v>46008</v>
      </c>
      <c r="M3130" s="7" t="s">
        <v>111</v>
      </c>
      <c r="N3130" s="24">
        <v>46010</v>
      </c>
      <c r="O3130" s="58">
        <v>46013</v>
      </c>
      <c r="R3130" s="126">
        <v>46013</v>
      </c>
    </row>
    <row r="3131" spans="2:18" ht="17.25" hidden="1" customHeight="1">
      <c r="B3131" s="23">
        <v>46003</v>
      </c>
      <c r="C3131" s="7">
        <v>2003862863</v>
      </c>
      <c r="D3131" s="20">
        <v>403454</v>
      </c>
      <c r="E3131" s="27" t="s">
        <v>123</v>
      </c>
      <c r="F3131" s="7" t="s">
        <v>107</v>
      </c>
      <c r="G3131" s="7" t="s">
        <v>21</v>
      </c>
      <c r="H3131" s="7" t="s">
        <v>45</v>
      </c>
      <c r="I3131" s="20" t="s">
        <v>4433</v>
      </c>
      <c r="J3131" s="20" t="s">
        <v>4355</v>
      </c>
      <c r="K3131" s="7" t="s">
        <v>119</v>
      </c>
      <c r="L3131" s="61">
        <v>46006</v>
      </c>
      <c r="M3131" s="7" t="s">
        <v>111</v>
      </c>
      <c r="N3131" s="24">
        <v>46008</v>
      </c>
      <c r="O3131" s="24">
        <v>46008</v>
      </c>
      <c r="R3131" s="126">
        <v>46009</v>
      </c>
    </row>
    <row r="3132" spans="2:18" ht="17.25" hidden="1" customHeight="1">
      <c r="B3132" s="23">
        <v>46003</v>
      </c>
      <c r="C3132" s="7">
        <v>2003870875</v>
      </c>
      <c r="D3132" s="20">
        <v>6520750</v>
      </c>
      <c r="E3132" s="27" t="s">
        <v>143</v>
      </c>
      <c r="F3132" s="7" t="s">
        <v>107</v>
      </c>
      <c r="G3132" s="7" t="s">
        <v>26</v>
      </c>
      <c r="H3132" s="7" t="s">
        <v>45</v>
      </c>
      <c r="I3132" s="20" t="s">
        <v>2634</v>
      </c>
      <c r="J3132" s="20" t="s">
        <v>4434</v>
      </c>
      <c r="K3132" s="7" t="s">
        <v>110</v>
      </c>
      <c r="L3132" s="61">
        <v>46009</v>
      </c>
      <c r="M3132" s="7" t="s">
        <v>111</v>
      </c>
      <c r="N3132" s="24">
        <v>46013</v>
      </c>
      <c r="O3132" s="58">
        <v>46013</v>
      </c>
      <c r="Q3132" s="245"/>
      <c r="R3132" s="126">
        <v>46013</v>
      </c>
    </row>
    <row r="3133" spans="2:18" ht="17.25" hidden="1" customHeight="1">
      <c r="B3133" s="23">
        <v>46003</v>
      </c>
      <c r="C3133" s="7">
        <v>2003806339</v>
      </c>
      <c r="D3133" s="20">
        <v>6521285</v>
      </c>
      <c r="E3133" s="27" t="s">
        <v>408</v>
      </c>
      <c r="F3133" s="7" t="s">
        <v>107</v>
      </c>
      <c r="G3133" s="7" t="s">
        <v>26</v>
      </c>
      <c r="H3133" s="7" t="s">
        <v>45</v>
      </c>
      <c r="I3133" s="20" t="s">
        <v>3300</v>
      </c>
      <c r="J3133" s="20" t="s">
        <v>4435</v>
      </c>
      <c r="K3133" s="7" t="s">
        <v>110</v>
      </c>
      <c r="L3133" s="61">
        <v>46007</v>
      </c>
      <c r="M3133" s="7" t="s">
        <v>111</v>
      </c>
      <c r="N3133" s="24">
        <v>46009</v>
      </c>
      <c r="O3133" s="58">
        <v>46009</v>
      </c>
      <c r="Q3133" s="245"/>
      <c r="R3133" s="126">
        <v>46009</v>
      </c>
    </row>
    <row r="3134" spans="2:18" ht="17.25" hidden="1" customHeight="1">
      <c r="B3134" s="23">
        <v>46006</v>
      </c>
      <c r="C3134" s="7">
        <v>2003820118</v>
      </c>
      <c r="D3134" s="20">
        <v>6470798</v>
      </c>
      <c r="E3134" s="27" t="s">
        <v>143</v>
      </c>
      <c r="F3134" s="7" t="s">
        <v>107</v>
      </c>
      <c r="G3134" s="7" t="s">
        <v>166</v>
      </c>
      <c r="H3134" s="7" t="s">
        <v>45</v>
      </c>
      <c r="I3134" s="20" t="s">
        <v>4230</v>
      </c>
      <c r="J3134" s="20" t="s">
        <v>4436</v>
      </c>
      <c r="K3134" s="7" t="s">
        <v>110</v>
      </c>
      <c r="L3134" s="61">
        <v>46007</v>
      </c>
      <c r="M3134" s="7" t="s">
        <v>111</v>
      </c>
      <c r="N3134" s="61">
        <v>46007</v>
      </c>
      <c r="O3134" s="61">
        <v>46007</v>
      </c>
      <c r="Q3134" s="245"/>
      <c r="R3134" s="126">
        <v>46009</v>
      </c>
    </row>
    <row r="3135" spans="2:18" ht="17.25" hidden="1" customHeight="1">
      <c r="B3135" s="23">
        <v>46006</v>
      </c>
      <c r="C3135" s="7">
        <v>2003853476</v>
      </c>
      <c r="E3135" s="27" t="s">
        <v>949</v>
      </c>
      <c r="F3135" s="7" t="s">
        <v>107</v>
      </c>
      <c r="G3135" s="7" t="s">
        <v>10</v>
      </c>
      <c r="H3135" s="7" t="s">
        <v>45</v>
      </c>
      <c r="I3135" s="242" t="s">
        <v>4437</v>
      </c>
      <c r="J3135" s="20" t="s">
        <v>4438</v>
      </c>
      <c r="K3135" s="7" t="s">
        <v>119</v>
      </c>
      <c r="L3135" s="61">
        <v>46009</v>
      </c>
      <c r="M3135" s="7" t="s">
        <v>111</v>
      </c>
      <c r="N3135" s="24">
        <v>46014</v>
      </c>
      <c r="O3135" s="58">
        <v>46017</v>
      </c>
      <c r="R3135" s="126">
        <v>46017</v>
      </c>
    </row>
    <row r="3136" spans="2:18" ht="17.25" hidden="1" customHeight="1">
      <c r="B3136" s="23">
        <v>46006</v>
      </c>
      <c r="C3136" s="7">
        <v>2003862447</v>
      </c>
      <c r="D3136" s="20">
        <v>406947</v>
      </c>
      <c r="E3136" s="27" t="s">
        <v>123</v>
      </c>
      <c r="F3136" s="7" t="s">
        <v>107</v>
      </c>
      <c r="G3136" s="7" t="s">
        <v>10</v>
      </c>
      <c r="H3136" s="7" t="s">
        <v>45</v>
      </c>
      <c r="I3136" s="20" t="s">
        <v>2721</v>
      </c>
      <c r="J3136" s="20" t="s">
        <v>2722</v>
      </c>
      <c r="K3136" s="7" t="s">
        <v>119</v>
      </c>
      <c r="L3136" s="61">
        <v>46008</v>
      </c>
      <c r="M3136" s="7" t="s">
        <v>111</v>
      </c>
      <c r="N3136" s="24">
        <v>46010</v>
      </c>
      <c r="O3136" s="58">
        <v>46013</v>
      </c>
      <c r="R3136" s="126">
        <v>46013</v>
      </c>
    </row>
    <row r="3137" spans="2:18" ht="17.25" hidden="1" customHeight="1">
      <c r="B3137" s="23">
        <v>46006</v>
      </c>
      <c r="C3137" s="7">
        <v>2003872942</v>
      </c>
      <c r="D3137" s="20">
        <v>406943</v>
      </c>
      <c r="E3137" s="27" t="s">
        <v>123</v>
      </c>
      <c r="F3137" s="7" t="s">
        <v>107</v>
      </c>
      <c r="G3137" s="7" t="s">
        <v>10</v>
      </c>
      <c r="H3137" s="7" t="s">
        <v>45</v>
      </c>
      <c r="I3137" s="20" t="s">
        <v>4439</v>
      </c>
      <c r="J3137" s="20" t="s">
        <v>4440</v>
      </c>
      <c r="K3137" s="7" t="s">
        <v>119</v>
      </c>
      <c r="L3137" s="61">
        <v>46008</v>
      </c>
      <c r="M3137" s="7" t="s">
        <v>111</v>
      </c>
      <c r="N3137" s="24">
        <v>46010</v>
      </c>
      <c r="O3137" s="58">
        <v>46013</v>
      </c>
      <c r="R3137" s="126">
        <v>46013</v>
      </c>
    </row>
    <row r="3138" spans="2:18" ht="17.25" hidden="1" customHeight="1">
      <c r="B3138" s="23">
        <v>46006</v>
      </c>
      <c r="C3138" s="7">
        <v>2003823907</v>
      </c>
      <c r="D3138" s="20">
        <v>406585</v>
      </c>
      <c r="E3138" s="27" t="s">
        <v>1225</v>
      </c>
      <c r="F3138" s="7" t="s">
        <v>107</v>
      </c>
      <c r="G3138" s="7" t="s">
        <v>10</v>
      </c>
      <c r="H3138" s="7" t="s">
        <v>45</v>
      </c>
      <c r="I3138" s="20" t="s">
        <v>4441</v>
      </c>
      <c r="J3138" s="20" t="s">
        <v>4285</v>
      </c>
      <c r="K3138" s="7" t="s">
        <v>119</v>
      </c>
      <c r="L3138" s="61">
        <v>46013</v>
      </c>
      <c r="M3138" s="7" t="s">
        <v>111</v>
      </c>
      <c r="N3138" s="24">
        <v>46020</v>
      </c>
      <c r="O3138" s="24">
        <v>46020</v>
      </c>
      <c r="R3138" s="126">
        <v>46021</v>
      </c>
    </row>
    <row r="3139" spans="2:18" ht="17.25" hidden="1" customHeight="1">
      <c r="B3139" s="23">
        <v>46006</v>
      </c>
      <c r="C3139" s="7">
        <v>2003872731</v>
      </c>
      <c r="D3139" s="20">
        <v>406480</v>
      </c>
      <c r="E3139" s="27" t="s">
        <v>152</v>
      </c>
      <c r="F3139" s="7" t="s">
        <v>107</v>
      </c>
      <c r="G3139" s="7" t="s">
        <v>10</v>
      </c>
      <c r="H3139" s="7" t="s">
        <v>45</v>
      </c>
      <c r="I3139" s="20" t="s">
        <v>4442</v>
      </c>
      <c r="J3139" s="20" t="s">
        <v>4443</v>
      </c>
      <c r="K3139" s="7" t="s">
        <v>119</v>
      </c>
      <c r="L3139" s="61">
        <v>46009</v>
      </c>
      <c r="M3139" s="7" t="s">
        <v>111</v>
      </c>
      <c r="N3139" s="24">
        <v>46021</v>
      </c>
      <c r="O3139" s="24">
        <v>46021</v>
      </c>
      <c r="R3139" s="126">
        <v>46027</v>
      </c>
    </row>
    <row r="3140" spans="2:18" ht="17.25" hidden="1" customHeight="1">
      <c r="B3140" s="23">
        <v>46006</v>
      </c>
      <c r="C3140" s="7">
        <v>2003846503</v>
      </c>
      <c r="D3140" s="20">
        <v>406530</v>
      </c>
      <c r="E3140" s="27" t="s">
        <v>191</v>
      </c>
      <c r="F3140" s="7" t="s">
        <v>107</v>
      </c>
      <c r="G3140" s="7" t="s">
        <v>26</v>
      </c>
      <c r="H3140" s="7" t="s">
        <v>45</v>
      </c>
      <c r="I3140" s="20" t="s">
        <v>4408</v>
      </c>
      <c r="J3140" s="20" t="s">
        <v>4409</v>
      </c>
      <c r="K3140" s="7" t="s">
        <v>110</v>
      </c>
      <c r="L3140" s="61">
        <v>46010</v>
      </c>
      <c r="M3140" s="7" t="s">
        <v>111</v>
      </c>
      <c r="N3140" s="24">
        <v>46013</v>
      </c>
      <c r="O3140" s="58">
        <v>46013</v>
      </c>
      <c r="Q3140" s="245"/>
      <c r="R3140" s="126">
        <v>46013</v>
      </c>
    </row>
    <row r="3141" spans="2:18" ht="17.25" hidden="1" customHeight="1">
      <c r="B3141" s="23">
        <v>46006</v>
      </c>
      <c r="C3141" s="7">
        <v>2003872286</v>
      </c>
      <c r="D3141" s="20">
        <v>406273</v>
      </c>
      <c r="E3141" s="27" t="s">
        <v>408</v>
      </c>
      <c r="F3141" s="7" t="s">
        <v>107</v>
      </c>
      <c r="G3141" s="7" t="s">
        <v>18</v>
      </c>
      <c r="H3141" s="7" t="s">
        <v>45</v>
      </c>
      <c r="I3141" s="20" t="s">
        <v>4444</v>
      </c>
      <c r="J3141" s="20" t="s">
        <v>4445</v>
      </c>
      <c r="K3141" s="7" t="s">
        <v>110</v>
      </c>
      <c r="L3141" s="61">
        <v>46008</v>
      </c>
      <c r="M3141" s="7" t="s">
        <v>111</v>
      </c>
      <c r="N3141" s="61">
        <v>46008</v>
      </c>
      <c r="O3141" s="58">
        <v>46010</v>
      </c>
      <c r="Q3141" s="245"/>
      <c r="R3141" s="126">
        <v>46013</v>
      </c>
    </row>
    <row r="3142" spans="2:18" ht="17.25" hidden="1" customHeight="1">
      <c r="B3142" s="23">
        <v>46006</v>
      </c>
      <c r="C3142" s="7">
        <v>2003865001</v>
      </c>
      <c r="D3142" s="20">
        <v>406194</v>
      </c>
      <c r="E3142" s="27" t="s">
        <v>1225</v>
      </c>
      <c r="F3142" s="7" t="s">
        <v>107</v>
      </c>
      <c r="G3142" s="7" t="s">
        <v>18</v>
      </c>
      <c r="H3142" s="7" t="s">
        <v>45</v>
      </c>
      <c r="I3142" s="20" t="s">
        <v>1843</v>
      </c>
      <c r="J3142" s="20" t="s">
        <v>4446</v>
      </c>
      <c r="K3142" s="7" t="s">
        <v>119</v>
      </c>
      <c r="L3142" s="61">
        <v>46009</v>
      </c>
      <c r="M3142" s="7" t="s">
        <v>111</v>
      </c>
      <c r="N3142" s="24">
        <v>46010</v>
      </c>
      <c r="O3142" s="58">
        <v>46013</v>
      </c>
      <c r="R3142" s="126">
        <v>46013</v>
      </c>
    </row>
    <row r="3143" spans="2:18" ht="17.25" hidden="1" customHeight="1">
      <c r="B3143" s="23">
        <v>46006</v>
      </c>
      <c r="C3143" s="7">
        <v>2003852925</v>
      </c>
      <c r="D3143" s="20">
        <v>405956</v>
      </c>
      <c r="E3143" s="27" t="s">
        <v>366</v>
      </c>
      <c r="F3143" s="7" t="s">
        <v>107</v>
      </c>
      <c r="G3143" s="7" t="s">
        <v>15</v>
      </c>
      <c r="H3143" s="7" t="s">
        <v>45</v>
      </c>
      <c r="I3143" s="20" t="s">
        <v>4447</v>
      </c>
      <c r="J3143" s="20" t="s">
        <v>4448</v>
      </c>
      <c r="K3143" s="7" t="s">
        <v>110</v>
      </c>
      <c r="L3143" s="61">
        <v>46014</v>
      </c>
      <c r="M3143" s="7" t="s">
        <v>111</v>
      </c>
      <c r="N3143" s="61">
        <v>46014</v>
      </c>
      <c r="O3143" s="24">
        <v>46028</v>
      </c>
      <c r="Q3143" s="245"/>
      <c r="R3143" s="126">
        <v>46028</v>
      </c>
    </row>
    <row r="3144" spans="2:18" ht="17.25" hidden="1" customHeight="1">
      <c r="B3144" s="23">
        <v>46006</v>
      </c>
      <c r="C3144" s="7">
        <v>2003871783</v>
      </c>
      <c r="D3144" s="20">
        <v>405665</v>
      </c>
      <c r="E3144" s="27" t="s">
        <v>191</v>
      </c>
      <c r="F3144" s="7" t="s">
        <v>107</v>
      </c>
      <c r="G3144" s="7" t="s">
        <v>10</v>
      </c>
      <c r="H3144" s="7" t="s">
        <v>45</v>
      </c>
      <c r="I3144" s="20" t="s">
        <v>4449</v>
      </c>
      <c r="J3144" s="20" t="s">
        <v>4450</v>
      </c>
      <c r="K3144" s="7" t="s">
        <v>110</v>
      </c>
      <c r="L3144" s="61">
        <v>46008</v>
      </c>
      <c r="M3144" s="7" t="s">
        <v>111</v>
      </c>
      <c r="N3144" s="61">
        <v>46008</v>
      </c>
      <c r="O3144" s="58">
        <v>46010</v>
      </c>
      <c r="Q3144" s="245"/>
      <c r="R3144" s="126">
        <v>46013</v>
      </c>
    </row>
    <row r="3145" spans="2:18" ht="17.25" hidden="1" customHeight="1">
      <c r="B3145" s="23">
        <v>46006</v>
      </c>
      <c r="C3145" s="7">
        <v>2003855888</v>
      </c>
      <c r="D3145" s="20">
        <v>6522211</v>
      </c>
      <c r="E3145" s="27" t="s">
        <v>201</v>
      </c>
      <c r="F3145" s="7" t="s">
        <v>107</v>
      </c>
      <c r="G3145" s="7" t="s">
        <v>18</v>
      </c>
      <c r="H3145" s="7" t="s">
        <v>45</v>
      </c>
      <c r="I3145" s="20" t="s">
        <v>4451</v>
      </c>
      <c r="J3145" s="20" t="s">
        <v>4452</v>
      </c>
      <c r="K3145" s="7" t="s">
        <v>110</v>
      </c>
      <c r="L3145" s="61">
        <v>46008</v>
      </c>
      <c r="M3145" s="7" t="s">
        <v>111</v>
      </c>
      <c r="N3145" s="61">
        <v>46008</v>
      </c>
      <c r="O3145" s="58">
        <v>46010</v>
      </c>
      <c r="Q3145" s="245"/>
      <c r="R3145" s="126">
        <v>46013</v>
      </c>
    </row>
    <row r="3146" spans="2:18" ht="17.25" hidden="1" customHeight="1">
      <c r="B3146" s="23">
        <v>46006</v>
      </c>
      <c r="C3146" s="7">
        <v>2003863119</v>
      </c>
      <c r="D3146" s="20">
        <v>6522277</v>
      </c>
      <c r="E3146" s="27" t="s">
        <v>185</v>
      </c>
      <c r="F3146" s="7" t="s">
        <v>107</v>
      </c>
      <c r="G3146" s="7" t="s">
        <v>10</v>
      </c>
      <c r="H3146" s="7" t="s">
        <v>45</v>
      </c>
      <c r="I3146" s="20" t="s">
        <v>4453</v>
      </c>
      <c r="J3146" s="20" t="s">
        <v>4454</v>
      </c>
      <c r="K3146" s="7" t="s">
        <v>110</v>
      </c>
      <c r="L3146" s="61">
        <v>46007</v>
      </c>
      <c r="M3146" s="7" t="s">
        <v>111</v>
      </c>
      <c r="N3146" s="24">
        <v>46010</v>
      </c>
      <c r="O3146" s="24">
        <v>46010</v>
      </c>
      <c r="Q3146" s="245"/>
      <c r="R3146" s="126">
        <v>46013</v>
      </c>
    </row>
    <row r="3147" spans="2:18" ht="17.25" hidden="1" customHeight="1">
      <c r="B3147" s="23">
        <v>46006</v>
      </c>
      <c r="C3147" s="7">
        <v>2003642911</v>
      </c>
      <c r="D3147" s="20">
        <v>6522372</v>
      </c>
      <c r="E3147" s="27" t="s">
        <v>138</v>
      </c>
      <c r="F3147" s="7" t="s">
        <v>107</v>
      </c>
      <c r="G3147" s="7" t="s">
        <v>21</v>
      </c>
      <c r="H3147" s="7" t="s">
        <v>45</v>
      </c>
      <c r="I3147" s="20" t="s">
        <v>1296</v>
      </c>
      <c r="J3147" s="20" t="s">
        <v>1297</v>
      </c>
      <c r="K3147" s="7" t="s">
        <v>111</v>
      </c>
      <c r="L3147" s="61">
        <v>46007</v>
      </c>
      <c r="M3147" s="7" t="s">
        <v>111</v>
      </c>
      <c r="N3147" s="61">
        <v>46007</v>
      </c>
      <c r="O3147" s="61">
        <v>46007</v>
      </c>
      <c r="Q3147" s="245"/>
      <c r="R3147" s="126">
        <v>46009</v>
      </c>
    </row>
    <row r="3148" spans="2:18" ht="17.25" hidden="1" customHeight="1">
      <c r="B3148" s="23">
        <v>46007</v>
      </c>
      <c r="C3148" s="7">
        <v>2003837201</v>
      </c>
      <c r="D3148" s="20">
        <v>409078</v>
      </c>
      <c r="E3148" s="27" t="s">
        <v>568</v>
      </c>
      <c r="F3148" s="7" t="s">
        <v>107</v>
      </c>
      <c r="G3148" s="7" t="s">
        <v>21</v>
      </c>
      <c r="H3148" s="7" t="s">
        <v>45</v>
      </c>
      <c r="I3148" s="20" t="s">
        <v>1839</v>
      </c>
      <c r="J3148" s="20" t="s">
        <v>4275</v>
      </c>
      <c r="K3148" s="7" t="s">
        <v>111</v>
      </c>
      <c r="L3148" s="61">
        <v>46008</v>
      </c>
      <c r="M3148" s="7" t="s">
        <v>111</v>
      </c>
      <c r="N3148" s="61">
        <v>46008</v>
      </c>
      <c r="O3148" s="61">
        <v>46008</v>
      </c>
      <c r="Q3148" s="245"/>
      <c r="R3148" s="126">
        <v>46009</v>
      </c>
    </row>
    <row r="3149" spans="2:18" ht="17.25" hidden="1" customHeight="1">
      <c r="B3149" s="23">
        <v>46007</v>
      </c>
      <c r="C3149" s="7">
        <v>2003673067</v>
      </c>
      <c r="D3149" s="20">
        <v>408925</v>
      </c>
      <c r="E3149" s="27" t="s">
        <v>1225</v>
      </c>
      <c r="F3149" s="7" t="s">
        <v>107</v>
      </c>
      <c r="G3149" s="7" t="s">
        <v>26</v>
      </c>
      <c r="H3149" s="7" t="s">
        <v>45</v>
      </c>
      <c r="I3149" s="20" t="s">
        <v>4455</v>
      </c>
      <c r="J3149" s="20" t="s">
        <v>4456</v>
      </c>
      <c r="K3149" s="7" t="s">
        <v>110</v>
      </c>
      <c r="L3149" s="61">
        <v>46008</v>
      </c>
      <c r="M3149" s="7" t="s">
        <v>111</v>
      </c>
      <c r="N3149" s="24">
        <v>46008</v>
      </c>
      <c r="O3149" s="58">
        <v>46008</v>
      </c>
      <c r="Q3149" s="245"/>
      <c r="R3149" s="126">
        <v>46008</v>
      </c>
    </row>
    <row r="3150" spans="2:18" ht="17.25" hidden="1" customHeight="1">
      <c r="B3150" s="23">
        <v>46007</v>
      </c>
      <c r="C3150" s="7">
        <v>2003840101</v>
      </c>
      <c r="D3150" s="20">
        <v>408690</v>
      </c>
      <c r="E3150" s="27" t="s">
        <v>191</v>
      </c>
      <c r="F3150" s="7" t="s">
        <v>107</v>
      </c>
      <c r="G3150" s="7" t="s">
        <v>10</v>
      </c>
      <c r="H3150" s="7" t="s">
        <v>45</v>
      </c>
      <c r="I3150" s="20" t="s">
        <v>4457</v>
      </c>
      <c r="J3150" s="20" t="s">
        <v>4458</v>
      </c>
      <c r="K3150" s="7" t="s">
        <v>119</v>
      </c>
      <c r="L3150" s="61">
        <v>46010</v>
      </c>
      <c r="M3150" s="7" t="s">
        <v>111</v>
      </c>
      <c r="N3150" s="24">
        <v>46013</v>
      </c>
      <c r="O3150" s="58">
        <v>46014</v>
      </c>
      <c r="R3150" s="126">
        <v>46017</v>
      </c>
    </row>
    <row r="3151" spans="2:18" ht="17.25" hidden="1" customHeight="1">
      <c r="B3151" s="23">
        <v>46007</v>
      </c>
      <c r="C3151" s="7">
        <v>2003673485</v>
      </c>
      <c r="D3151" s="20">
        <v>408713</v>
      </c>
      <c r="E3151" s="27" t="s">
        <v>123</v>
      </c>
      <c r="F3151" s="7" t="s">
        <v>107</v>
      </c>
      <c r="G3151" s="7" t="s">
        <v>10</v>
      </c>
      <c r="H3151" s="7" t="s">
        <v>45</v>
      </c>
      <c r="I3151" s="20" t="s">
        <v>2930</v>
      </c>
      <c r="J3151" s="20" t="s">
        <v>4459</v>
      </c>
      <c r="K3151" s="7" t="s">
        <v>119</v>
      </c>
      <c r="L3151" s="61">
        <v>46013</v>
      </c>
      <c r="M3151" s="7" t="s">
        <v>111</v>
      </c>
      <c r="N3151" s="61">
        <v>46014</v>
      </c>
      <c r="O3151" s="61">
        <v>46014</v>
      </c>
      <c r="R3151" s="126">
        <v>46017</v>
      </c>
    </row>
    <row r="3152" spans="2:18" ht="17.25" hidden="1" customHeight="1">
      <c r="B3152" s="23">
        <v>46007</v>
      </c>
      <c r="C3152" s="7">
        <v>2003852524</v>
      </c>
      <c r="D3152" s="20">
        <v>407986</v>
      </c>
      <c r="E3152" s="27" t="s">
        <v>106</v>
      </c>
      <c r="F3152" s="7" t="s">
        <v>107</v>
      </c>
      <c r="G3152" s="7" t="s">
        <v>10</v>
      </c>
      <c r="H3152" s="7" t="s">
        <v>45</v>
      </c>
      <c r="I3152" s="20" t="s">
        <v>4460</v>
      </c>
      <c r="J3152" s="20" t="s">
        <v>4461</v>
      </c>
      <c r="K3152" s="7" t="s">
        <v>119</v>
      </c>
      <c r="L3152" s="61">
        <v>46009</v>
      </c>
      <c r="M3152" s="7" t="s">
        <v>111</v>
      </c>
      <c r="N3152" s="24">
        <v>46010</v>
      </c>
      <c r="O3152" s="58">
        <v>46014</v>
      </c>
      <c r="R3152" s="126">
        <v>46017</v>
      </c>
    </row>
    <row r="3153" spans="2:18" ht="17.25" hidden="1" customHeight="1">
      <c r="B3153" s="23">
        <v>46007</v>
      </c>
      <c r="C3153" s="7">
        <v>2003874719</v>
      </c>
      <c r="D3153" s="20">
        <v>6522871</v>
      </c>
      <c r="E3153" s="27" t="s">
        <v>201</v>
      </c>
      <c r="F3153" s="7" t="s">
        <v>107</v>
      </c>
      <c r="G3153" s="7" t="s">
        <v>18</v>
      </c>
      <c r="H3153" s="7" t="s">
        <v>45</v>
      </c>
      <c r="I3153" s="20" t="s">
        <v>4462</v>
      </c>
      <c r="J3153" s="20" t="s">
        <v>4463</v>
      </c>
      <c r="K3153" s="7" t="s">
        <v>119</v>
      </c>
      <c r="L3153" s="61">
        <v>46010</v>
      </c>
      <c r="M3153" s="7" t="s">
        <v>111</v>
      </c>
      <c r="N3153" s="24">
        <v>46013</v>
      </c>
      <c r="O3153" s="24">
        <v>46013</v>
      </c>
      <c r="R3153" s="126">
        <v>46013</v>
      </c>
    </row>
    <row r="3154" spans="2:18" ht="17.25" hidden="1" customHeight="1">
      <c r="B3154" s="23">
        <v>46007</v>
      </c>
      <c r="C3154" s="7">
        <v>2003864306</v>
      </c>
      <c r="D3154" s="20">
        <v>6522916</v>
      </c>
      <c r="E3154" s="27" t="s">
        <v>201</v>
      </c>
      <c r="F3154" s="7" t="s">
        <v>107</v>
      </c>
      <c r="G3154" s="7" t="s">
        <v>26</v>
      </c>
      <c r="H3154" s="7" t="s">
        <v>45</v>
      </c>
      <c r="I3154" s="20" t="s">
        <v>4464</v>
      </c>
      <c r="J3154" s="20" t="s">
        <v>4465</v>
      </c>
      <c r="K3154" s="7" t="s">
        <v>110</v>
      </c>
      <c r="L3154" s="61">
        <v>46010</v>
      </c>
      <c r="M3154" s="7" t="s">
        <v>111</v>
      </c>
      <c r="N3154" s="24">
        <v>46013</v>
      </c>
      <c r="O3154" s="58">
        <v>46013</v>
      </c>
      <c r="Q3154" s="245"/>
      <c r="R3154" s="126">
        <v>46013</v>
      </c>
    </row>
    <row r="3155" spans="2:18" ht="17.25" hidden="1" customHeight="1">
      <c r="B3155" s="23">
        <v>46007</v>
      </c>
      <c r="C3155" s="7">
        <v>2003869775</v>
      </c>
      <c r="D3155" s="20">
        <v>6523244</v>
      </c>
      <c r="E3155" s="27" t="s">
        <v>1225</v>
      </c>
      <c r="F3155" s="7" t="s">
        <v>107</v>
      </c>
      <c r="G3155" s="7" t="s">
        <v>18</v>
      </c>
      <c r="H3155" s="7" t="s">
        <v>45</v>
      </c>
      <c r="I3155" s="20" t="s">
        <v>4466</v>
      </c>
      <c r="J3155" s="20" t="s">
        <v>4467</v>
      </c>
      <c r="K3155" s="7" t="s">
        <v>110</v>
      </c>
      <c r="L3155" s="61">
        <v>46009</v>
      </c>
      <c r="M3155" s="7" t="s">
        <v>111</v>
      </c>
      <c r="N3155" s="24">
        <v>46010</v>
      </c>
      <c r="O3155" s="58">
        <v>46013</v>
      </c>
      <c r="Q3155" s="245"/>
      <c r="R3155" s="126">
        <v>46013</v>
      </c>
    </row>
    <row r="3156" spans="2:18" ht="17.25" hidden="1" customHeight="1">
      <c r="B3156" s="23">
        <v>46007</v>
      </c>
      <c r="C3156" s="7">
        <v>2003873664</v>
      </c>
      <c r="D3156" s="20">
        <v>6523248</v>
      </c>
      <c r="E3156" s="27" t="s">
        <v>408</v>
      </c>
      <c r="F3156" s="7" t="s">
        <v>107</v>
      </c>
      <c r="G3156" s="7" t="s">
        <v>10</v>
      </c>
      <c r="H3156" s="7" t="s">
        <v>45</v>
      </c>
      <c r="I3156" s="20" t="s">
        <v>3135</v>
      </c>
      <c r="J3156" s="20" t="s">
        <v>4468</v>
      </c>
      <c r="K3156" s="7" t="s">
        <v>110</v>
      </c>
      <c r="L3156" s="61">
        <v>46013</v>
      </c>
      <c r="M3156" s="7" t="s">
        <v>111</v>
      </c>
      <c r="N3156" s="61">
        <v>46013</v>
      </c>
      <c r="O3156" s="58">
        <v>46020</v>
      </c>
      <c r="Q3156" s="245"/>
      <c r="R3156" s="126">
        <v>46021</v>
      </c>
    </row>
    <row r="3157" spans="2:18" ht="17.25" hidden="1" customHeight="1">
      <c r="B3157" s="23">
        <v>46008</v>
      </c>
      <c r="C3157" s="7">
        <v>2003673067</v>
      </c>
      <c r="D3157" s="20">
        <v>410983</v>
      </c>
      <c r="E3157" s="27" t="s">
        <v>1225</v>
      </c>
      <c r="F3157" s="7" t="s">
        <v>113</v>
      </c>
      <c r="G3157" s="7" t="s">
        <v>70</v>
      </c>
      <c r="H3157" s="7" t="s">
        <v>47</v>
      </c>
      <c r="I3157" s="20" t="s">
        <v>4455</v>
      </c>
      <c r="J3157" s="20" t="s">
        <v>4456</v>
      </c>
      <c r="K3157" s="7" t="s">
        <v>110</v>
      </c>
      <c r="Q3157" s="245"/>
    </row>
    <row r="3158" spans="2:18" ht="17.25" hidden="1" customHeight="1">
      <c r="B3158" s="23">
        <v>46008</v>
      </c>
      <c r="C3158" s="7">
        <v>2003857327</v>
      </c>
      <c r="D3158" s="20">
        <v>410533</v>
      </c>
      <c r="E3158" s="27" t="s">
        <v>1225</v>
      </c>
      <c r="F3158" s="7" t="s">
        <v>107</v>
      </c>
      <c r="G3158" s="7" t="s">
        <v>10</v>
      </c>
      <c r="H3158" s="7" t="s">
        <v>45</v>
      </c>
      <c r="I3158" s="20" t="s">
        <v>2677</v>
      </c>
      <c r="J3158" s="20" t="s">
        <v>4369</v>
      </c>
      <c r="K3158" s="7" t="s">
        <v>119</v>
      </c>
      <c r="L3158" s="61">
        <v>46009</v>
      </c>
      <c r="M3158" s="7" t="s">
        <v>111</v>
      </c>
      <c r="N3158" s="24">
        <v>46010</v>
      </c>
      <c r="O3158" s="24">
        <v>46010</v>
      </c>
      <c r="R3158" s="126">
        <v>46013</v>
      </c>
    </row>
    <row r="3159" spans="2:18" ht="17.25" hidden="1" customHeight="1">
      <c r="B3159" s="23">
        <v>46008</v>
      </c>
      <c r="C3159" s="7">
        <v>2003867110</v>
      </c>
      <c r="D3159" s="20">
        <v>410298</v>
      </c>
      <c r="E3159" s="27" t="s">
        <v>123</v>
      </c>
      <c r="F3159" s="7" t="s">
        <v>107</v>
      </c>
      <c r="G3159" s="7" t="s">
        <v>10</v>
      </c>
      <c r="H3159" s="7" t="s">
        <v>45</v>
      </c>
      <c r="I3159" s="20" t="s">
        <v>1841</v>
      </c>
      <c r="J3159" s="20" t="s">
        <v>4469</v>
      </c>
      <c r="K3159" s="7" t="s">
        <v>119</v>
      </c>
      <c r="L3159" s="61">
        <v>46013</v>
      </c>
      <c r="M3159" s="7" t="s">
        <v>111</v>
      </c>
      <c r="N3159" s="61">
        <v>46013</v>
      </c>
      <c r="O3159" s="61">
        <v>46013</v>
      </c>
      <c r="R3159" s="126">
        <v>46013</v>
      </c>
    </row>
    <row r="3160" spans="2:18" ht="17.25" hidden="1" customHeight="1">
      <c r="B3160" s="23">
        <v>46008</v>
      </c>
      <c r="C3160" s="7">
        <v>2003848492</v>
      </c>
      <c r="D3160" s="20">
        <v>410254</v>
      </c>
      <c r="E3160" s="27" t="s">
        <v>230</v>
      </c>
      <c r="F3160" s="7" t="s">
        <v>107</v>
      </c>
      <c r="G3160" s="7" t="s">
        <v>26</v>
      </c>
      <c r="H3160" s="7" t="s">
        <v>45</v>
      </c>
      <c r="I3160" s="20" t="s">
        <v>1306</v>
      </c>
      <c r="J3160" s="20" t="s">
        <v>4470</v>
      </c>
      <c r="K3160" s="7" t="s">
        <v>110</v>
      </c>
      <c r="L3160" s="61">
        <v>46014</v>
      </c>
      <c r="M3160" s="7" t="s">
        <v>111</v>
      </c>
      <c r="N3160" s="24">
        <v>46017</v>
      </c>
      <c r="O3160" s="58">
        <v>46017</v>
      </c>
      <c r="Q3160" s="245"/>
      <c r="R3160" s="126">
        <v>46017</v>
      </c>
    </row>
    <row r="3161" spans="2:18" ht="17.25" hidden="1" customHeight="1">
      <c r="B3161" s="23">
        <v>46008</v>
      </c>
      <c r="C3161" s="7">
        <v>2003864086</v>
      </c>
      <c r="D3161" s="20">
        <v>410020</v>
      </c>
      <c r="E3161" s="27" t="s">
        <v>888</v>
      </c>
      <c r="F3161" s="7" t="s">
        <v>107</v>
      </c>
      <c r="G3161" s="7" t="s">
        <v>10</v>
      </c>
      <c r="H3161" s="7" t="s">
        <v>45</v>
      </c>
      <c r="I3161" s="20" t="s">
        <v>4471</v>
      </c>
      <c r="J3161" s="20" t="s">
        <v>4472</v>
      </c>
      <c r="K3161" s="7" t="s">
        <v>119</v>
      </c>
      <c r="L3161" s="61">
        <v>46010</v>
      </c>
      <c r="M3161" s="7" t="s">
        <v>111</v>
      </c>
      <c r="N3161" s="24">
        <v>46013</v>
      </c>
      <c r="O3161" s="24">
        <v>46013</v>
      </c>
      <c r="R3161" s="126">
        <v>46013</v>
      </c>
    </row>
    <row r="3162" spans="2:18" ht="17.25" hidden="1" customHeight="1">
      <c r="B3162" s="23">
        <v>46008</v>
      </c>
      <c r="C3162" s="7">
        <v>2003667671</v>
      </c>
      <c r="D3162" s="20">
        <v>410008</v>
      </c>
      <c r="E3162" s="27" t="s">
        <v>230</v>
      </c>
      <c r="F3162" s="7" t="s">
        <v>107</v>
      </c>
      <c r="G3162" s="7" t="s">
        <v>10</v>
      </c>
      <c r="H3162" s="7" t="s">
        <v>45</v>
      </c>
      <c r="I3162" s="20" t="s">
        <v>335</v>
      </c>
      <c r="J3162" s="20" t="s">
        <v>4473</v>
      </c>
      <c r="K3162" s="7" t="s">
        <v>110</v>
      </c>
      <c r="L3162" s="61">
        <v>46010</v>
      </c>
      <c r="M3162" s="7" t="s">
        <v>111</v>
      </c>
      <c r="N3162" s="61">
        <v>46010</v>
      </c>
      <c r="O3162" s="61">
        <v>46010</v>
      </c>
      <c r="Q3162" s="245"/>
      <c r="R3162" s="126">
        <v>46013</v>
      </c>
    </row>
    <row r="3163" spans="2:18" ht="17.25" hidden="1" customHeight="1">
      <c r="B3163" s="23">
        <v>46008</v>
      </c>
      <c r="C3163" s="7">
        <v>2003853799</v>
      </c>
      <c r="D3163" s="20">
        <v>6563192</v>
      </c>
      <c r="E3163" s="27" t="s">
        <v>1225</v>
      </c>
      <c r="F3163" s="7" t="s">
        <v>107</v>
      </c>
      <c r="G3163" s="7" t="s">
        <v>15</v>
      </c>
      <c r="H3163" s="7" t="s">
        <v>45</v>
      </c>
      <c r="I3163" s="20" t="s">
        <v>4474</v>
      </c>
      <c r="J3163" s="20" t="s">
        <v>4475</v>
      </c>
      <c r="K3163" s="7" t="s">
        <v>110</v>
      </c>
      <c r="L3163" s="61">
        <v>46014</v>
      </c>
      <c r="M3163" s="7" t="s">
        <v>111</v>
      </c>
      <c r="N3163" s="24">
        <v>46020</v>
      </c>
      <c r="O3163" s="24">
        <v>46020</v>
      </c>
      <c r="Q3163" s="245"/>
      <c r="R3163" s="126">
        <v>46021</v>
      </c>
    </row>
    <row r="3164" spans="2:18" ht="17.25" hidden="1" customHeight="1">
      <c r="B3164" s="23">
        <v>46008</v>
      </c>
      <c r="C3164" s="7">
        <v>2003845403</v>
      </c>
      <c r="D3164" s="20">
        <v>6563308</v>
      </c>
      <c r="E3164" s="27" t="s">
        <v>198</v>
      </c>
      <c r="F3164" s="7" t="s">
        <v>107</v>
      </c>
      <c r="G3164" s="7" t="s">
        <v>26</v>
      </c>
      <c r="H3164" s="7" t="s">
        <v>45</v>
      </c>
      <c r="I3164" s="20" t="s">
        <v>4464</v>
      </c>
      <c r="J3164" s="20" t="s">
        <v>4465</v>
      </c>
      <c r="K3164" s="7" t="s">
        <v>110</v>
      </c>
      <c r="L3164" s="61">
        <v>46010</v>
      </c>
      <c r="M3164" s="7" t="s">
        <v>111</v>
      </c>
      <c r="N3164" s="24">
        <v>46013</v>
      </c>
      <c r="O3164" s="58">
        <v>46013</v>
      </c>
      <c r="Q3164" s="245"/>
      <c r="R3164" s="126">
        <v>46013</v>
      </c>
    </row>
    <row r="3165" spans="2:18" ht="17.25" hidden="1" customHeight="1">
      <c r="B3165" s="23">
        <v>46008</v>
      </c>
      <c r="C3165" s="7">
        <v>2003861682</v>
      </c>
      <c r="D3165" s="20">
        <v>6563609</v>
      </c>
      <c r="E3165" s="27" t="s">
        <v>366</v>
      </c>
      <c r="F3165" s="7" t="s">
        <v>107</v>
      </c>
      <c r="G3165" s="7" t="s">
        <v>26</v>
      </c>
      <c r="H3165" s="7" t="s">
        <v>45</v>
      </c>
      <c r="I3165" s="20" t="s">
        <v>4476</v>
      </c>
      <c r="J3165" s="20" t="s">
        <v>432</v>
      </c>
      <c r="K3165" s="7" t="s">
        <v>110</v>
      </c>
      <c r="L3165" s="61">
        <v>46017</v>
      </c>
      <c r="M3165" s="7" t="s">
        <v>111</v>
      </c>
      <c r="N3165" s="24">
        <v>46013</v>
      </c>
      <c r="O3165" s="58">
        <v>46013</v>
      </c>
      <c r="Q3165" s="245"/>
      <c r="R3165" s="126">
        <v>46013</v>
      </c>
    </row>
    <row r="3166" spans="2:18" ht="17.25" hidden="1" customHeight="1">
      <c r="B3166" s="23">
        <v>46008</v>
      </c>
      <c r="C3166" s="7">
        <v>2003874724</v>
      </c>
      <c r="D3166" s="20">
        <v>6563620</v>
      </c>
      <c r="E3166" s="27" t="s">
        <v>198</v>
      </c>
      <c r="F3166" s="7" t="s">
        <v>107</v>
      </c>
      <c r="G3166" s="7" t="s">
        <v>10</v>
      </c>
      <c r="H3166" s="7" t="s">
        <v>45</v>
      </c>
      <c r="I3166" s="20" t="s">
        <v>4477</v>
      </c>
      <c r="J3166" s="20" t="s">
        <v>4478</v>
      </c>
      <c r="K3166" s="7" t="s">
        <v>119</v>
      </c>
      <c r="L3166" s="61">
        <v>46013</v>
      </c>
      <c r="M3166" s="7" t="s">
        <v>111</v>
      </c>
      <c r="N3166" s="24">
        <v>46021</v>
      </c>
      <c r="O3166" s="24">
        <v>46021</v>
      </c>
      <c r="R3166" s="126">
        <v>46027</v>
      </c>
    </row>
    <row r="3167" spans="2:18" ht="17.25" hidden="1" customHeight="1">
      <c r="B3167" s="23">
        <v>46009</v>
      </c>
      <c r="C3167" s="7">
        <v>2003873213</v>
      </c>
      <c r="D3167" s="20">
        <v>413096</v>
      </c>
      <c r="E3167" s="27" t="s">
        <v>408</v>
      </c>
      <c r="F3167" s="7" t="s">
        <v>107</v>
      </c>
      <c r="G3167" s="7" t="s">
        <v>10</v>
      </c>
      <c r="H3167" s="7" t="s">
        <v>45</v>
      </c>
      <c r="I3167" s="20" t="s">
        <v>1616</v>
      </c>
      <c r="J3167" s="20" t="s">
        <v>1617</v>
      </c>
      <c r="K3167" s="7" t="s">
        <v>119</v>
      </c>
      <c r="L3167" s="61">
        <v>46013</v>
      </c>
      <c r="M3167" s="7" t="s">
        <v>111</v>
      </c>
      <c r="N3167" s="61">
        <v>46013</v>
      </c>
      <c r="O3167" s="58">
        <v>46014</v>
      </c>
      <c r="R3167" s="126">
        <v>46017</v>
      </c>
    </row>
    <row r="3168" spans="2:18" ht="17.25" hidden="1" customHeight="1">
      <c r="B3168" s="23">
        <v>46009</v>
      </c>
      <c r="C3168" s="7">
        <v>2003736469</v>
      </c>
      <c r="D3168" s="20">
        <v>412819</v>
      </c>
      <c r="E3168" s="27" t="s">
        <v>568</v>
      </c>
      <c r="F3168" s="7" t="s">
        <v>107</v>
      </c>
      <c r="G3168" s="7" t="s">
        <v>10</v>
      </c>
      <c r="H3168" s="7" t="s">
        <v>45</v>
      </c>
      <c r="I3168" s="105" t="s">
        <v>4479</v>
      </c>
      <c r="J3168" s="20" t="s">
        <v>4103</v>
      </c>
      <c r="K3168" s="7" t="s">
        <v>119</v>
      </c>
      <c r="L3168" s="61">
        <v>46013</v>
      </c>
      <c r="M3168" s="7" t="s">
        <v>111</v>
      </c>
      <c r="N3168" s="24">
        <v>46021</v>
      </c>
      <c r="O3168" s="24">
        <v>46021</v>
      </c>
      <c r="R3168" s="126">
        <v>46027</v>
      </c>
    </row>
    <row r="3169" spans="2:18" ht="17.25" hidden="1" customHeight="1">
      <c r="B3169" s="23">
        <v>46009</v>
      </c>
      <c r="C3169" s="7">
        <v>2003679045</v>
      </c>
      <c r="D3169" s="20">
        <v>412715</v>
      </c>
      <c r="E3169" s="27" t="s">
        <v>230</v>
      </c>
      <c r="F3169" s="7" t="s">
        <v>107</v>
      </c>
      <c r="G3169" s="7" t="s">
        <v>10</v>
      </c>
      <c r="H3169" s="7" t="s">
        <v>45</v>
      </c>
      <c r="I3169" s="20" t="s">
        <v>585</v>
      </c>
      <c r="J3169" s="20" t="s">
        <v>4413</v>
      </c>
      <c r="K3169" s="7" t="s">
        <v>119</v>
      </c>
      <c r="L3169" s="61">
        <v>46009</v>
      </c>
      <c r="M3169" s="7" t="s">
        <v>111</v>
      </c>
      <c r="N3169" s="24">
        <v>46010</v>
      </c>
      <c r="O3169" s="24">
        <v>46010</v>
      </c>
      <c r="R3169" s="126">
        <v>46013</v>
      </c>
    </row>
    <row r="3170" spans="2:18" ht="17.25" hidden="1" customHeight="1">
      <c r="B3170" s="23">
        <v>46009</v>
      </c>
      <c r="C3170" s="7">
        <v>2003876518</v>
      </c>
      <c r="D3170" s="20">
        <v>412258</v>
      </c>
      <c r="E3170" s="27" t="s">
        <v>191</v>
      </c>
      <c r="F3170" s="7" t="s">
        <v>107</v>
      </c>
      <c r="G3170" s="7" t="s">
        <v>10</v>
      </c>
      <c r="H3170" s="7" t="s">
        <v>45</v>
      </c>
      <c r="I3170" s="20" t="s">
        <v>4480</v>
      </c>
      <c r="J3170" s="20" t="s">
        <v>4481</v>
      </c>
      <c r="K3170" s="7" t="s">
        <v>119</v>
      </c>
      <c r="L3170" s="61">
        <v>46014</v>
      </c>
      <c r="M3170" s="7" t="s">
        <v>111</v>
      </c>
      <c r="N3170" s="61">
        <v>46017</v>
      </c>
      <c r="O3170" s="58">
        <v>46020</v>
      </c>
      <c r="R3170" s="126">
        <v>46021</v>
      </c>
    </row>
    <row r="3171" spans="2:18" ht="17.25" hidden="1" customHeight="1">
      <c r="B3171" s="23">
        <v>46009</v>
      </c>
      <c r="C3171" s="7">
        <v>2003842911</v>
      </c>
      <c r="D3171" s="20">
        <v>412214</v>
      </c>
      <c r="E3171" s="27" t="s">
        <v>157</v>
      </c>
      <c r="F3171" s="7" t="s">
        <v>107</v>
      </c>
      <c r="G3171" s="7" t="s">
        <v>15</v>
      </c>
      <c r="H3171" s="7" t="s">
        <v>45</v>
      </c>
      <c r="I3171" s="20" t="s">
        <v>4482</v>
      </c>
      <c r="J3171" s="20" t="s">
        <v>4483</v>
      </c>
      <c r="K3171" s="7" t="s">
        <v>110</v>
      </c>
      <c r="L3171" s="61">
        <v>46014</v>
      </c>
      <c r="M3171" s="7" t="s">
        <v>111</v>
      </c>
      <c r="N3171" s="61">
        <v>46014</v>
      </c>
      <c r="O3171" s="58">
        <v>46017</v>
      </c>
      <c r="Q3171" s="245"/>
      <c r="R3171" s="126">
        <v>46017</v>
      </c>
    </row>
    <row r="3172" spans="2:18" ht="17.25" hidden="1" customHeight="1">
      <c r="B3172" s="23">
        <v>46009</v>
      </c>
      <c r="C3172" s="7">
        <v>2003850468</v>
      </c>
      <c r="D3172" s="20">
        <v>412090</v>
      </c>
      <c r="E3172" s="27" t="s">
        <v>265</v>
      </c>
      <c r="F3172" s="7" t="s">
        <v>113</v>
      </c>
      <c r="G3172" s="7" t="s">
        <v>15</v>
      </c>
      <c r="H3172" s="7" t="s">
        <v>47</v>
      </c>
      <c r="I3172" s="20" t="s">
        <v>4484</v>
      </c>
      <c r="J3172" s="20" t="s">
        <v>4485</v>
      </c>
      <c r="K3172" s="7" t="s">
        <v>119</v>
      </c>
      <c r="L3172" s="61">
        <v>46038</v>
      </c>
      <c r="M3172" s="7" t="s">
        <v>111</v>
      </c>
    </row>
    <row r="3173" spans="2:18" ht="17.25" hidden="1" customHeight="1">
      <c r="B3173" s="23">
        <v>46009</v>
      </c>
      <c r="C3173" s="7">
        <v>2003831717</v>
      </c>
      <c r="D3173" s="20">
        <v>411727</v>
      </c>
      <c r="E3173" s="27" t="s">
        <v>1225</v>
      </c>
      <c r="F3173" s="7" t="s">
        <v>107</v>
      </c>
      <c r="G3173" s="7" t="s">
        <v>166</v>
      </c>
      <c r="H3173" s="7" t="s">
        <v>45</v>
      </c>
      <c r="I3173" s="20" t="s">
        <v>4150</v>
      </c>
      <c r="J3173" s="20" t="s">
        <v>4151</v>
      </c>
      <c r="K3173" s="7" t="s">
        <v>110</v>
      </c>
      <c r="L3173" s="61">
        <v>46010</v>
      </c>
      <c r="M3173" s="7" t="s">
        <v>111</v>
      </c>
      <c r="N3173" s="61">
        <v>46010</v>
      </c>
      <c r="O3173" s="61">
        <v>46010</v>
      </c>
      <c r="Q3173" s="245"/>
      <c r="R3173" s="126">
        <v>46013</v>
      </c>
    </row>
    <row r="3174" spans="2:18" ht="17.25" hidden="1" customHeight="1">
      <c r="B3174" s="23">
        <v>46009</v>
      </c>
      <c r="C3174" s="7">
        <v>2003863140</v>
      </c>
      <c r="D3174" s="20">
        <v>411522</v>
      </c>
      <c r="E3174" s="27" t="s">
        <v>143</v>
      </c>
      <c r="F3174" s="7" t="s">
        <v>113</v>
      </c>
      <c r="G3174" s="7" t="s">
        <v>70</v>
      </c>
      <c r="H3174" s="7" t="s">
        <v>47</v>
      </c>
      <c r="I3174" s="20" t="s">
        <v>1094</v>
      </c>
      <c r="J3174" s="20" t="s">
        <v>4486</v>
      </c>
      <c r="K3174" s="7" t="s">
        <v>160</v>
      </c>
    </row>
    <row r="3175" spans="2:18" ht="17.25" hidden="1" customHeight="1">
      <c r="B3175" s="23">
        <v>46009</v>
      </c>
      <c r="C3175" s="7">
        <v>2003870745</v>
      </c>
      <c r="D3175" s="20">
        <v>6563999</v>
      </c>
      <c r="E3175" s="27" t="s">
        <v>230</v>
      </c>
      <c r="F3175" s="7" t="s">
        <v>107</v>
      </c>
      <c r="G3175" s="7" t="s">
        <v>10</v>
      </c>
      <c r="H3175" s="7" t="s">
        <v>45</v>
      </c>
      <c r="I3175" s="20" t="s">
        <v>4487</v>
      </c>
      <c r="J3175" s="20" t="s">
        <v>4488</v>
      </c>
      <c r="K3175" s="7" t="s">
        <v>110</v>
      </c>
      <c r="L3175" s="61">
        <v>46014</v>
      </c>
      <c r="M3175" s="7" t="s">
        <v>111</v>
      </c>
      <c r="N3175" s="61">
        <v>46014</v>
      </c>
      <c r="O3175" s="58">
        <v>46017</v>
      </c>
      <c r="Q3175" s="245"/>
      <c r="R3175" s="126">
        <v>46017</v>
      </c>
    </row>
    <row r="3176" spans="2:18" ht="17.25" hidden="1" customHeight="1">
      <c r="B3176" s="23">
        <v>46009</v>
      </c>
      <c r="C3176" s="7">
        <v>2003877155</v>
      </c>
      <c r="D3176" s="20">
        <v>6564149</v>
      </c>
      <c r="E3176" s="27" t="s">
        <v>149</v>
      </c>
      <c r="F3176" s="7" t="s">
        <v>107</v>
      </c>
      <c r="G3176" s="7" t="s">
        <v>18</v>
      </c>
      <c r="H3176" s="7" t="s">
        <v>45</v>
      </c>
      <c r="I3176" s="20" t="s">
        <v>4489</v>
      </c>
      <c r="J3176" s="20" t="s">
        <v>4490</v>
      </c>
      <c r="K3176" s="7" t="s">
        <v>110</v>
      </c>
      <c r="L3176" s="61">
        <v>46013</v>
      </c>
      <c r="M3176" s="7" t="s">
        <v>111</v>
      </c>
      <c r="N3176" s="61">
        <v>46013</v>
      </c>
      <c r="O3176" s="58">
        <v>46014</v>
      </c>
      <c r="Q3176" s="245"/>
      <c r="R3176" s="126">
        <v>46017</v>
      </c>
    </row>
    <row r="3177" spans="2:18" ht="17.25" hidden="1" customHeight="1">
      <c r="B3177" s="23">
        <v>46009</v>
      </c>
      <c r="C3177" s="7">
        <v>2003782570</v>
      </c>
      <c r="D3177" s="20">
        <v>6564227</v>
      </c>
      <c r="E3177" s="27" t="s">
        <v>622</v>
      </c>
      <c r="F3177" s="7" t="s">
        <v>107</v>
      </c>
      <c r="G3177" s="7" t="s">
        <v>18</v>
      </c>
      <c r="H3177" s="7" t="s">
        <v>45</v>
      </c>
      <c r="I3177" s="20" t="s">
        <v>4451</v>
      </c>
      <c r="J3177" s="20" t="s">
        <v>4452</v>
      </c>
      <c r="K3177" s="7" t="s">
        <v>111</v>
      </c>
      <c r="L3177" s="61">
        <v>46010</v>
      </c>
      <c r="M3177" s="7" t="s">
        <v>111</v>
      </c>
      <c r="N3177" s="61">
        <v>46010</v>
      </c>
      <c r="O3177" s="61">
        <v>46010</v>
      </c>
      <c r="Q3177" s="245"/>
      <c r="R3177" s="126">
        <v>46013</v>
      </c>
    </row>
    <row r="3178" spans="2:18" ht="17.25" hidden="1" customHeight="1">
      <c r="B3178" s="23">
        <v>46009</v>
      </c>
      <c r="C3178" s="7">
        <v>2003866124</v>
      </c>
      <c r="D3178" s="20">
        <v>6564398</v>
      </c>
      <c r="E3178" s="27" t="s">
        <v>135</v>
      </c>
      <c r="F3178" s="7" t="s">
        <v>107</v>
      </c>
      <c r="G3178" s="7" t="s">
        <v>15</v>
      </c>
      <c r="H3178" s="7" t="s">
        <v>45</v>
      </c>
      <c r="I3178" s="20" t="s">
        <v>4491</v>
      </c>
      <c r="J3178" s="20" t="s">
        <v>4492</v>
      </c>
      <c r="K3178" s="7" t="s">
        <v>119</v>
      </c>
      <c r="L3178" s="61">
        <v>46017</v>
      </c>
      <c r="M3178" s="7" t="s">
        <v>111</v>
      </c>
      <c r="N3178" s="61">
        <v>46021</v>
      </c>
      <c r="O3178" s="61">
        <v>46024</v>
      </c>
      <c r="R3178" s="126">
        <v>46027</v>
      </c>
    </row>
    <row r="3179" spans="2:18" ht="17.25" hidden="1" customHeight="1">
      <c r="B3179" s="23">
        <v>46009</v>
      </c>
      <c r="C3179" s="7">
        <v>2003871813</v>
      </c>
      <c r="D3179" s="20">
        <v>6564444</v>
      </c>
      <c r="E3179" s="27" t="s">
        <v>622</v>
      </c>
      <c r="F3179" s="7" t="s">
        <v>107</v>
      </c>
      <c r="G3179" s="7" t="s">
        <v>10</v>
      </c>
      <c r="H3179" s="7" t="s">
        <v>45</v>
      </c>
      <c r="I3179" s="20" t="s">
        <v>4493</v>
      </c>
      <c r="J3179" s="20" t="s">
        <v>4494</v>
      </c>
      <c r="K3179" s="7" t="s">
        <v>119</v>
      </c>
      <c r="L3179" s="61">
        <v>46013</v>
      </c>
      <c r="M3179" s="7" t="s">
        <v>111</v>
      </c>
      <c r="N3179" s="24">
        <v>46013</v>
      </c>
      <c r="O3179" s="58">
        <v>46014</v>
      </c>
      <c r="R3179" s="126">
        <v>46017</v>
      </c>
    </row>
    <row r="3180" spans="2:18" ht="17.25" hidden="1" customHeight="1">
      <c r="B3180" s="23">
        <v>46009</v>
      </c>
      <c r="C3180" s="7">
        <v>2003853228</v>
      </c>
      <c r="D3180" s="20">
        <v>6564446</v>
      </c>
      <c r="E3180" s="27" t="s">
        <v>185</v>
      </c>
      <c r="F3180" s="7" t="s">
        <v>107</v>
      </c>
      <c r="G3180" s="7" t="s">
        <v>10</v>
      </c>
      <c r="H3180" s="7" t="s">
        <v>45</v>
      </c>
      <c r="I3180" s="20" t="s">
        <v>4495</v>
      </c>
      <c r="J3180" s="20" t="s">
        <v>4496</v>
      </c>
      <c r="K3180" s="7" t="s">
        <v>110</v>
      </c>
      <c r="L3180" s="61">
        <v>46014</v>
      </c>
      <c r="M3180" s="7" t="s">
        <v>111</v>
      </c>
      <c r="N3180" s="24">
        <v>46020</v>
      </c>
      <c r="O3180" s="24">
        <v>46020</v>
      </c>
      <c r="Q3180" s="245"/>
      <c r="R3180" s="126">
        <v>46021</v>
      </c>
    </row>
    <row r="3181" spans="2:18" ht="17.25" hidden="1" customHeight="1">
      <c r="B3181" s="23">
        <v>46009</v>
      </c>
      <c r="C3181" s="7">
        <v>2003875641</v>
      </c>
      <c r="D3181" s="20">
        <v>6564451</v>
      </c>
      <c r="E3181" s="27" t="s">
        <v>191</v>
      </c>
      <c r="F3181" s="7" t="s">
        <v>107</v>
      </c>
      <c r="G3181" s="7" t="s">
        <v>18</v>
      </c>
      <c r="H3181" s="7" t="s">
        <v>45</v>
      </c>
      <c r="I3181" s="20" t="s">
        <v>4121</v>
      </c>
      <c r="J3181" s="20" t="s">
        <v>4497</v>
      </c>
      <c r="K3181" s="7" t="s">
        <v>110</v>
      </c>
      <c r="L3181" s="61">
        <v>46013</v>
      </c>
      <c r="M3181" s="7" t="s">
        <v>111</v>
      </c>
      <c r="N3181" s="61">
        <v>46013</v>
      </c>
      <c r="O3181" s="58">
        <v>46014</v>
      </c>
      <c r="Q3181" s="245"/>
      <c r="R3181" s="126">
        <v>46021</v>
      </c>
    </row>
    <row r="3182" spans="2:18" ht="17.25" hidden="1" customHeight="1">
      <c r="B3182" s="23">
        <v>46010</v>
      </c>
      <c r="C3182" s="7">
        <v>310024953</v>
      </c>
      <c r="D3182" s="20">
        <v>414968</v>
      </c>
      <c r="E3182" s="27" t="s">
        <v>265</v>
      </c>
      <c r="F3182" s="7" t="s">
        <v>107</v>
      </c>
      <c r="G3182" s="7" t="s">
        <v>15</v>
      </c>
      <c r="H3182" s="7" t="s">
        <v>45</v>
      </c>
      <c r="I3182" s="20" t="s">
        <v>4498</v>
      </c>
      <c r="J3182" s="20" t="s">
        <v>4499</v>
      </c>
      <c r="K3182" s="7" t="s">
        <v>110</v>
      </c>
      <c r="L3182" s="61">
        <v>46017</v>
      </c>
      <c r="M3182" s="7" t="s">
        <v>111</v>
      </c>
      <c r="N3182" s="61">
        <v>46017</v>
      </c>
      <c r="O3182" s="61">
        <v>46017</v>
      </c>
      <c r="Q3182" s="245"/>
      <c r="R3182" s="126">
        <v>46017</v>
      </c>
    </row>
    <row r="3183" spans="2:18" ht="17.25" hidden="1" customHeight="1">
      <c r="B3183" s="23">
        <v>46010</v>
      </c>
      <c r="C3183" s="7">
        <v>2003755624</v>
      </c>
      <c r="D3183" s="20">
        <v>414484</v>
      </c>
      <c r="E3183" s="27" t="s">
        <v>157</v>
      </c>
      <c r="F3183" s="7" t="s">
        <v>107</v>
      </c>
      <c r="G3183" s="7" t="s">
        <v>26</v>
      </c>
      <c r="H3183" s="7" t="s">
        <v>45</v>
      </c>
      <c r="I3183" s="20" t="s">
        <v>4500</v>
      </c>
      <c r="J3183" s="20" t="s">
        <v>3952</v>
      </c>
      <c r="K3183" s="7" t="s">
        <v>119</v>
      </c>
      <c r="L3183" s="61">
        <v>46029</v>
      </c>
      <c r="M3183" s="7" t="s">
        <v>111</v>
      </c>
      <c r="N3183" s="24">
        <v>46017</v>
      </c>
      <c r="O3183" s="58">
        <v>46017</v>
      </c>
      <c r="R3183" s="126">
        <v>46017</v>
      </c>
    </row>
    <row r="3184" spans="2:18" ht="17.25" hidden="1" customHeight="1">
      <c r="B3184" s="23">
        <v>46010</v>
      </c>
      <c r="C3184" s="7">
        <v>2003850991</v>
      </c>
      <c r="D3184" s="20">
        <v>6564823</v>
      </c>
      <c r="E3184" s="27" t="s">
        <v>408</v>
      </c>
      <c r="F3184" s="7" t="s">
        <v>107</v>
      </c>
      <c r="G3184" s="7" t="s">
        <v>26</v>
      </c>
      <c r="H3184" s="7" t="s">
        <v>45</v>
      </c>
      <c r="I3184" s="20" t="s">
        <v>591</v>
      </c>
      <c r="J3184" s="20" t="s">
        <v>4501</v>
      </c>
      <c r="K3184" s="7" t="s">
        <v>119</v>
      </c>
      <c r="L3184" s="61">
        <v>46017</v>
      </c>
      <c r="M3184" s="7" t="s">
        <v>111</v>
      </c>
      <c r="N3184" s="24">
        <v>46017</v>
      </c>
      <c r="O3184" s="58">
        <v>46017</v>
      </c>
      <c r="R3184" s="126">
        <v>46017</v>
      </c>
    </row>
    <row r="3185" spans="2:18" ht="17.25" hidden="1" customHeight="1">
      <c r="B3185" s="23">
        <v>46010</v>
      </c>
      <c r="C3185" s="7">
        <v>2003862452</v>
      </c>
      <c r="D3185" s="20">
        <v>6564927</v>
      </c>
      <c r="E3185" s="27" t="s">
        <v>138</v>
      </c>
      <c r="F3185" s="7" t="s">
        <v>107</v>
      </c>
      <c r="G3185" s="7" t="s">
        <v>10</v>
      </c>
      <c r="H3185" s="7" t="s">
        <v>45</v>
      </c>
      <c r="I3185" s="20" t="s">
        <v>4502</v>
      </c>
      <c r="J3185" s="20" t="s">
        <v>4503</v>
      </c>
      <c r="K3185" s="7" t="s">
        <v>119</v>
      </c>
      <c r="L3185" s="61">
        <v>46014</v>
      </c>
      <c r="M3185" s="7" t="s">
        <v>111</v>
      </c>
      <c r="N3185" s="61">
        <v>46017</v>
      </c>
      <c r="O3185" s="58">
        <v>46020</v>
      </c>
      <c r="R3185" s="126">
        <v>46021</v>
      </c>
    </row>
    <row r="3186" spans="2:18" ht="17.25" hidden="1" customHeight="1">
      <c r="B3186" s="23">
        <v>46010</v>
      </c>
      <c r="C3186" s="7">
        <v>2003807768</v>
      </c>
      <c r="D3186" s="20">
        <v>6564937</v>
      </c>
      <c r="E3186" s="27" t="s">
        <v>1225</v>
      </c>
      <c r="F3186" s="7" t="s">
        <v>107</v>
      </c>
      <c r="G3186" s="7" t="s">
        <v>18</v>
      </c>
      <c r="H3186" s="7" t="s">
        <v>45</v>
      </c>
      <c r="I3186" s="20" t="s">
        <v>4504</v>
      </c>
      <c r="J3186" s="20" t="s">
        <v>4503</v>
      </c>
      <c r="K3186" s="7" t="s">
        <v>119</v>
      </c>
      <c r="L3186" s="61">
        <v>46014</v>
      </c>
      <c r="M3186" s="7" t="s">
        <v>111</v>
      </c>
      <c r="N3186" s="61">
        <v>46017</v>
      </c>
      <c r="O3186" s="61">
        <v>46024</v>
      </c>
      <c r="R3186" s="126">
        <v>46027</v>
      </c>
    </row>
    <row r="3187" spans="2:18" ht="17.25" hidden="1" customHeight="1">
      <c r="B3187" s="23">
        <v>46010</v>
      </c>
      <c r="C3187" s="7">
        <v>2003877732</v>
      </c>
      <c r="D3187" s="20">
        <v>6565115</v>
      </c>
      <c r="E3187" s="27" t="s">
        <v>1225</v>
      </c>
      <c r="F3187" s="7" t="s">
        <v>107</v>
      </c>
      <c r="G3187" s="7" t="s">
        <v>10</v>
      </c>
      <c r="H3187" s="7" t="s">
        <v>45</v>
      </c>
      <c r="I3187" s="20" t="s">
        <v>1265</v>
      </c>
      <c r="J3187" s="20" t="s">
        <v>4505</v>
      </c>
      <c r="K3187" s="7" t="s">
        <v>119</v>
      </c>
      <c r="L3187" s="61">
        <v>46017</v>
      </c>
      <c r="M3187" s="7" t="s">
        <v>111</v>
      </c>
      <c r="N3187" s="61">
        <v>46017</v>
      </c>
      <c r="O3187" s="58">
        <v>46020</v>
      </c>
      <c r="R3187" s="126">
        <v>46021</v>
      </c>
    </row>
    <row r="3188" spans="2:18" ht="17.25" hidden="1" customHeight="1">
      <c r="B3188" s="23">
        <v>46010</v>
      </c>
      <c r="C3188" s="7">
        <v>2003817732</v>
      </c>
      <c r="D3188" s="20">
        <v>263813</v>
      </c>
      <c r="E3188" s="27" t="s">
        <v>4506</v>
      </c>
      <c r="F3188" s="7" t="s">
        <v>107</v>
      </c>
      <c r="G3188" s="7" t="s">
        <v>26</v>
      </c>
      <c r="H3188" s="7" t="s">
        <v>45</v>
      </c>
      <c r="J3188" s="20" t="s">
        <v>4507</v>
      </c>
      <c r="K3188" s="7" t="s">
        <v>110</v>
      </c>
      <c r="M3188" s="7" t="s">
        <v>111</v>
      </c>
      <c r="N3188" s="24">
        <v>46017</v>
      </c>
      <c r="O3188" s="58">
        <v>46017</v>
      </c>
      <c r="Q3188" s="245"/>
      <c r="R3188" s="126">
        <v>46017</v>
      </c>
    </row>
    <row r="3189" spans="2:18" ht="17.25" hidden="1" customHeight="1">
      <c r="B3189" s="23">
        <v>46013</v>
      </c>
      <c r="C3189" s="7">
        <v>2003841114</v>
      </c>
      <c r="D3189" s="20">
        <v>417354</v>
      </c>
      <c r="E3189" s="27" t="s">
        <v>1225</v>
      </c>
      <c r="F3189" s="7" t="s">
        <v>107</v>
      </c>
      <c r="G3189" s="7" t="s">
        <v>21</v>
      </c>
      <c r="H3189" s="7" t="s">
        <v>45</v>
      </c>
      <c r="I3189" s="20" t="s">
        <v>4255</v>
      </c>
      <c r="J3189" s="20" t="s">
        <v>4256</v>
      </c>
      <c r="K3189" s="7" t="s">
        <v>111</v>
      </c>
      <c r="L3189" s="61">
        <v>46014</v>
      </c>
      <c r="M3189" s="7" t="s">
        <v>111</v>
      </c>
      <c r="N3189" s="61">
        <v>46014</v>
      </c>
      <c r="O3189" s="58">
        <v>46020</v>
      </c>
      <c r="Q3189" s="245"/>
      <c r="R3189" s="126">
        <v>46021</v>
      </c>
    </row>
    <row r="3190" spans="2:18" ht="17.25" hidden="1" customHeight="1">
      <c r="B3190" s="23">
        <v>46013</v>
      </c>
      <c r="C3190" s="7">
        <v>2003878227</v>
      </c>
      <c r="D3190" s="20">
        <v>417333</v>
      </c>
      <c r="E3190" s="27" t="s">
        <v>191</v>
      </c>
      <c r="F3190" s="7" t="s">
        <v>107</v>
      </c>
      <c r="G3190" s="7" t="s">
        <v>10</v>
      </c>
      <c r="H3190" s="7" t="s">
        <v>45</v>
      </c>
      <c r="I3190" s="20" t="s">
        <v>4508</v>
      </c>
      <c r="J3190" s="20" t="s">
        <v>4509</v>
      </c>
      <c r="K3190" s="7" t="s">
        <v>110</v>
      </c>
      <c r="L3190" s="61">
        <v>46020</v>
      </c>
      <c r="M3190" s="7" t="s">
        <v>111</v>
      </c>
      <c r="N3190" s="61">
        <v>46021</v>
      </c>
      <c r="O3190" s="61">
        <v>46024</v>
      </c>
      <c r="Q3190" s="245"/>
      <c r="R3190" s="126">
        <v>46027</v>
      </c>
    </row>
    <row r="3191" spans="2:18" ht="17.25" hidden="1" customHeight="1">
      <c r="B3191" s="23">
        <v>46013</v>
      </c>
      <c r="C3191" s="7">
        <v>310024676</v>
      </c>
      <c r="D3191" s="20">
        <v>417191</v>
      </c>
      <c r="E3191" s="27" t="s">
        <v>157</v>
      </c>
      <c r="F3191" s="7" t="s">
        <v>107</v>
      </c>
      <c r="G3191" s="7" t="s">
        <v>15</v>
      </c>
      <c r="H3191" s="7" t="s">
        <v>45</v>
      </c>
      <c r="I3191" s="20" t="s">
        <v>4510</v>
      </c>
      <c r="J3191" s="20" t="s">
        <v>4379</v>
      </c>
      <c r="K3191" s="7" t="s">
        <v>119</v>
      </c>
      <c r="L3191" s="61">
        <v>46014</v>
      </c>
      <c r="M3191" s="7" t="s">
        <v>111</v>
      </c>
      <c r="N3191" s="61">
        <v>46017</v>
      </c>
      <c r="O3191" s="61">
        <v>46017</v>
      </c>
      <c r="R3191" s="126">
        <v>46017</v>
      </c>
    </row>
    <row r="3192" spans="2:18" ht="17.25" hidden="1" customHeight="1">
      <c r="B3192" s="23">
        <v>46013</v>
      </c>
      <c r="C3192" s="7">
        <v>2003831649</v>
      </c>
      <c r="D3192" s="20">
        <v>417032</v>
      </c>
      <c r="E3192" s="27" t="s">
        <v>138</v>
      </c>
      <c r="F3192" s="7" t="s">
        <v>107</v>
      </c>
      <c r="G3192" s="7" t="s">
        <v>166</v>
      </c>
      <c r="H3192" s="7" t="s">
        <v>45</v>
      </c>
      <c r="I3192" s="20" t="s">
        <v>4511</v>
      </c>
      <c r="J3192" s="20" t="s">
        <v>4376</v>
      </c>
      <c r="K3192" s="7" t="s">
        <v>119</v>
      </c>
      <c r="L3192" s="61">
        <v>46014</v>
      </c>
      <c r="M3192" s="7" t="s">
        <v>111</v>
      </c>
      <c r="N3192" s="61">
        <v>46017</v>
      </c>
      <c r="O3192" s="61">
        <v>46017</v>
      </c>
      <c r="R3192" s="126">
        <v>46017</v>
      </c>
    </row>
    <row r="3193" spans="2:18" ht="17.25" hidden="1" customHeight="1">
      <c r="B3193" s="23">
        <v>46013</v>
      </c>
      <c r="C3193" s="7">
        <v>2003880171</v>
      </c>
      <c r="D3193" s="20">
        <v>416788</v>
      </c>
      <c r="E3193" s="27" t="s">
        <v>123</v>
      </c>
      <c r="F3193" s="7" t="s">
        <v>107</v>
      </c>
      <c r="G3193" s="7" t="s">
        <v>10</v>
      </c>
      <c r="H3193" s="7" t="s">
        <v>45</v>
      </c>
      <c r="I3193" s="20" t="s">
        <v>4512</v>
      </c>
      <c r="J3193" s="20" t="s">
        <v>4513</v>
      </c>
      <c r="K3193" s="7" t="s">
        <v>119</v>
      </c>
      <c r="L3193" s="61">
        <v>46017</v>
      </c>
      <c r="M3193" s="7" t="s">
        <v>111</v>
      </c>
      <c r="N3193" s="24">
        <v>46021</v>
      </c>
      <c r="O3193" s="24">
        <v>46021</v>
      </c>
      <c r="R3193" s="126">
        <v>46027</v>
      </c>
    </row>
    <row r="3194" spans="2:18" ht="17.25" hidden="1" customHeight="1">
      <c r="B3194" s="23">
        <v>46013</v>
      </c>
      <c r="C3194" s="7">
        <v>2003878622</v>
      </c>
      <c r="D3194" s="20">
        <v>415467</v>
      </c>
      <c r="E3194" s="27" t="s">
        <v>143</v>
      </c>
      <c r="F3194" s="7" t="s">
        <v>107</v>
      </c>
      <c r="G3194" s="7" t="s">
        <v>10</v>
      </c>
      <c r="H3194" s="7" t="s">
        <v>45</v>
      </c>
      <c r="I3194" s="236" t="s">
        <v>4514</v>
      </c>
      <c r="J3194" s="20" t="s">
        <v>4515</v>
      </c>
      <c r="K3194" s="7" t="s">
        <v>110</v>
      </c>
      <c r="L3194" s="61">
        <v>46029</v>
      </c>
      <c r="M3194" s="7" t="s">
        <v>111</v>
      </c>
      <c r="N3194" s="24">
        <v>46036</v>
      </c>
      <c r="O3194" s="58">
        <v>46036</v>
      </c>
      <c r="Q3194" s="245"/>
      <c r="R3194" s="126">
        <v>46036</v>
      </c>
    </row>
    <row r="3195" spans="2:18" ht="17.25" hidden="1" customHeight="1">
      <c r="B3195" s="23">
        <v>46013</v>
      </c>
      <c r="C3195" s="7">
        <v>2003875072</v>
      </c>
      <c r="D3195" s="20">
        <v>6566856</v>
      </c>
      <c r="E3195" s="27" t="s">
        <v>143</v>
      </c>
      <c r="F3195" s="7" t="s">
        <v>113</v>
      </c>
      <c r="G3195" s="7" t="s">
        <v>70</v>
      </c>
      <c r="H3195" s="7" t="s">
        <v>47</v>
      </c>
      <c r="I3195" s="20" t="s">
        <v>164</v>
      </c>
      <c r="J3195" s="20" t="s">
        <v>4516</v>
      </c>
      <c r="K3195" s="7" t="s">
        <v>160</v>
      </c>
    </row>
    <row r="3196" spans="2:18" ht="17.25" hidden="1" customHeight="1">
      <c r="B3196" s="23">
        <v>46013</v>
      </c>
      <c r="C3196" s="7">
        <v>2003878424</v>
      </c>
      <c r="D3196" s="20">
        <v>6566950</v>
      </c>
      <c r="E3196" s="27" t="s">
        <v>123</v>
      </c>
      <c r="F3196" s="7" t="s">
        <v>107</v>
      </c>
      <c r="G3196" s="7" t="s">
        <v>10</v>
      </c>
      <c r="H3196" s="7" t="s">
        <v>45</v>
      </c>
      <c r="I3196" s="20" t="s">
        <v>4517</v>
      </c>
      <c r="J3196" s="20" t="s">
        <v>4518</v>
      </c>
      <c r="K3196" s="7" t="s">
        <v>119</v>
      </c>
      <c r="L3196" s="61">
        <v>46017</v>
      </c>
      <c r="M3196" s="7" t="s">
        <v>111</v>
      </c>
      <c r="N3196" s="61">
        <v>46017</v>
      </c>
      <c r="O3196" s="61">
        <v>46017</v>
      </c>
      <c r="R3196" s="126">
        <v>46017</v>
      </c>
    </row>
    <row r="3197" spans="2:18" ht="17.25" hidden="1" customHeight="1">
      <c r="B3197" s="23">
        <v>46013</v>
      </c>
      <c r="C3197" s="7">
        <v>2003874532</v>
      </c>
      <c r="D3197" s="20">
        <v>6567185</v>
      </c>
      <c r="E3197" s="27" t="s">
        <v>126</v>
      </c>
      <c r="F3197" s="7" t="s">
        <v>107</v>
      </c>
      <c r="G3197" s="7" t="s">
        <v>10</v>
      </c>
      <c r="H3197" s="7" t="s">
        <v>45</v>
      </c>
      <c r="I3197" s="20" t="s">
        <v>589</v>
      </c>
      <c r="J3197" s="20" t="s">
        <v>4048</v>
      </c>
      <c r="K3197" s="7" t="s">
        <v>110</v>
      </c>
      <c r="L3197" s="61">
        <v>46027</v>
      </c>
      <c r="M3197" s="7" t="s">
        <v>111</v>
      </c>
      <c r="N3197" s="61">
        <v>46027</v>
      </c>
      <c r="O3197" s="24">
        <v>46028</v>
      </c>
      <c r="Q3197" s="245"/>
      <c r="R3197" s="126">
        <v>46028</v>
      </c>
    </row>
    <row r="3198" spans="2:18" ht="17.25" hidden="1" customHeight="1">
      <c r="B3198" s="23">
        <v>46013</v>
      </c>
      <c r="C3198" s="7">
        <v>2003856206</v>
      </c>
      <c r="D3198" s="20">
        <v>6567434</v>
      </c>
      <c r="E3198" s="27" t="s">
        <v>106</v>
      </c>
      <c r="F3198" s="7" t="s">
        <v>107</v>
      </c>
      <c r="G3198" s="7" t="s">
        <v>10</v>
      </c>
      <c r="H3198" s="7" t="s">
        <v>45</v>
      </c>
      <c r="I3198" s="20" t="s">
        <v>712</v>
      </c>
      <c r="J3198" s="20" t="s">
        <v>4519</v>
      </c>
      <c r="K3198" s="7" t="s">
        <v>111</v>
      </c>
      <c r="L3198" s="61">
        <v>46014</v>
      </c>
      <c r="M3198" s="7" t="s">
        <v>111</v>
      </c>
      <c r="N3198" s="61">
        <v>46014</v>
      </c>
      <c r="O3198" s="58">
        <v>46017</v>
      </c>
      <c r="Q3198" s="245"/>
      <c r="R3198" s="126">
        <v>46017</v>
      </c>
    </row>
    <row r="3199" spans="2:18" ht="17.25" hidden="1" customHeight="1">
      <c r="B3199" s="23">
        <v>46014</v>
      </c>
      <c r="C3199" s="7">
        <v>2003853476</v>
      </c>
      <c r="D3199" s="20">
        <v>419916</v>
      </c>
      <c r="E3199" s="27" t="s">
        <v>106</v>
      </c>
      <c r="F3199" s="7" t="s">
        <v>107</v>
      </c>
      <c r="G3199" s="7" t="s">
        <v>10</v>
      </c>
      <c r="H3199" s="7" t="s">
        <v>45</v>
      </c>
      <c r="I3199" s="20" t="s">
        <v>3981</v>
      </c>
      <c r="J3199" s="20" t="s">
        <v>4438</v>
      </c>
      <c r="K3199" s="7" t="s">
        <v>119</v>
      </c>
      <c r="L3199" s="61">
        <v>46014</v>
      </c>
      <c r="M3199" s="7" t="s">
        <v>111</v>
      </c>
      <c r="N3199" s="24">
        <v>46014</v>
      </c>
      <c r="O3199" s="58">
        <v>46021</v>
      </c>
      <c r="R3199" s="126">
        <v>46021</v>
      </c>
    </row>
    <row r="3200" spans="2:18" ht="17.25" hidden="1" customHeight="1">
      <c r="B3200" s="23">
        <v>46014</v>
      </c>
      <c r="C3200" s="7">
        <v>2003881039</v>
      </c>
      <c r="D3200" s="20">
        <v>419786</v>
      </c>
      <c r="E3200" s="27" t="s">
        <v>180</v>
      </c>
      <c r="F3200" s="7" t="s">
        <v>107</v>
      </c>
      <c r="G3200" s="7" t="s">
        <v>18</v>
      </c>
      <c r="H3200" s="7" t="s">
        <v>45</v>
      </c>
      <c r="I3200" s="20" t="s">
        <v>589</v>
      </c>
      <c r="J3200" s="20" t="s">
        <v>4520</v>
      </c>
      <c r="K3200" s="7" t="s">
        <v>110</v>
      </c>
      <c r="L3200" s="61">
        <v>46021</v>
      </c>
      <c r="M3200" s="7" t="s">
        <v>111</v>
      </c>
      <c r="N3200" s="61">
        <v>46021</v>
      </c>
      <c r="O3200" s="61">
        <v>46024</v>
      </c>
      <c r="Q3200" s="245"/>
      <c r="R3200" s="126">
        <v>46027</v>
      </c>
    </row>
    <row r="3201" spans="2:18" ht="17.25" hidden="1" customHeight="1">
      <c r="B3201" s="23">
        <v>46014</v>
      </c>
      <c r="C3201" s="7">
        <v>2003839969</v>
      </c>
      <c r="D3201" s="20">
        <v>419723</v>
      </c>
      <c r="E3201" s="27" t="s">
        <v>123</v>
      </c>
      <c r="F3201" s="7" t="s">
        <v>107</v>
      </c>
      <c r="G3201" s="7" t="s">
        <v>21</v>
      </c>
      <c r="H3201" s="7" t="s">
        <v>45</v>
      </c>
      <c r="I3201" s="20" t="s">
        <v>636</v>
      </c>
      <c r="J3201" s="20" t="s">
        <v>4297</v>
      </c>
      <c r="K3201" s="7" t="s">
        <v>119</v>
      </c>
      <c r="L3201" s="61">
        <v>46017</v>
      </c>
      <c r="M3201" s="7" t="s">
        <v>111</v>
      </c>
      <c r="N3201" s="61">
        <v>46017</v>
      </c>
      <c r="O3201" s="58">
        <v>46020</v>
      </c>
      <c r="R3201" s="126">
        <v>46021</v>
      </c>
    </row>
    <row r="3202" spans="2:18" ht="17.25" hidden="1" customHeight="1">
      <c r="B3202" s="23">
        <v>46014</v>
      </c>
      <c r="C3202" s="7">
        <v>2003881805</v>
      </c>
      <c r="D3202" s="20">
        <v>418965</v>
      </c>
      <c r="E3202" s="27" t="s">
        <v>1225</v>
      </c>
      <c r="F3202" s="7" t="s">
        <v>107</v>
      </c>
      <c r="G3202" s="7" t="s">
        <v>10</v>
      </c>
      <c r="H3202" s="7" t="s">
        <v>45</v>
      </c>
      <c r="I3202" s="20" t="s">
        <v>417</v>
      </c>
      <c r="J3202" s="20" t="s">
        <v>4521</v>
      </c>
      <c r="K3202" s="7" t="s">
        <v>119</v>
      </c>
      <c r="L3202" s="61">
        <v>46020</v>
      </c>
      <c r="M3202" s="7" t="s">
        <v>111</v>
      </c>
      <c r="N3202" s="61">
        <v>46021</v>
      </c>
      <c r="O3202" s="61">
        <v>46024</v>
      </c>
      <c r="R3202" s="126">
        <v>46027</v>
      </c>
    </row>
    <row r="3203" spans="2:18" ht="17.25" hidden="1" customHeight="1">
      <c r="B3203" s="23">
        <v>46014</v>
      </c>
      <c r="C3203" s="7">
        <v>2003872942</v>
      </c>
      <c r="D3203" s="20">
        <v>418773</v>
      </c>
      <c r="E3203" s="27" t="s">
        <v>3586</v>
      </c>
      <c r="F3203" s="7" t="s">
        <v>107</v>
      </c>
      <c r="G3203" s="7" t="s">
        <v>21</v>
      </c>
      <c r="H3203" s="7" t="s">
        <v>45</v>
      </c>
      <c r="I3203" s="20" t="s">
        <v>4439</v>
      </c>
      <c r="J3203" s="20" t="s">
        <v>4440</v>
      </c>
      <c r="K3203" s="7" t="s">
        <v>119</v>
      </c>
      <c r="L3203" s="61">
        <v>46017</v>
      </c>
      <c r="M3203" s="7" t="s">
        <v>111</v>
      </c>
      <c r="N3203" s="61">
        <v>46017</v>
      </c>
      <c r="O3203" s="58">
        <v>46020</v>
      </c>
      <c r="R3203" s="126">
        <v>46021</v>
      </c>
    </row>
    <row r="3204" spans="2:18" ht="17.25" hidden="1" customHeight="1">
      <c r="B3204" s="23">
        <v>46014</v>
      </c>
      <c r="C3204" s="7">
        <v>2003872110</v>
      </c>
      <c r="D3204" s="20">
        <v>418328</v>
      </c>
      <c r="E3204" s="27" t="s">
        <v>201</v>
      </c>
      <c r="F3204" s="7" t="s">
        <v>107</v>
      </c>
      <c r="G3204" s="7" t="s">
        <v>10</v>
      </c>
      <c r="H3204" s="7" t="s">
        <v>45</v>
      </c>
      <c r="I3204" s="20" t="s">
        <v>4522</v>
      </c>
      <c r="J3204" s="20" t="s">
        <v>4523</v>
      </c>
      <c r="K3204" s="7" t="s">
        <v>119</v>
      </c>
      <c r="L3204" s="61">
        <v>46020</v>
      </c>
      <c r="M3204" s="7" t="s">
        <v>111</v>
      </c>
      <c r="N3204" s="61">
        <v>46021</v>
      </c>
      <c r="O3204" s="61">
        <v>46021</v>
      </c>
      <c r="R3204" s="126">
        <v>46027</v>
      </c>
    </row>
    <row r="3205" spans="2:18" ht="17.25" hidden="1" customHeight="1">
      <c r="B3205" s="23">
        <v>46014</v>
      </c>
      <c r="C3205" s="7">
        <v>2003832324</v>
      </c>
      <c r="D3205" s="20">
        <v>418057</v>
      </c>
      <c r="E3205" s="27" t="s">
        <v>201</v>
      </c>
      <c r="F3205" s="7" t="s">
        <v>107</v>
      </c>
      <c r="G3205" s="7" t="s">
        <v>10</v>
      </c>
      <c r="H3205" s="7" t="s">
        <v>45</v>
      </c>
      <c r="I3205" s="20" t="s">
        <v>895</v>
      </c>
      <c r="J3205" s="20" t="s">
        <v>4524</v>
      </c>
      <c r="K3205" s="7" t="s">
        <v>119</v>
      </c>
      <c r="L3205" s="61">
        <v>46017</v>
      </c>
      <c r="M3205" s="7" t="s">
        <v>111</v>
      </c>
      <c r="N3205" s="61">
        <v>46017</v>
      </c>
      <c r="O3205" s="58">
        <v>46020</v>
      </c>
      <c r="R3205" s="126">
        <v>46021</v>
      </c>
    </row>
    <row r="3206" spans="2:18" ht="17.25" hidden="1" customHeight="1">
      <c r="B3206" s="23">
        <v>46014</v>
      </c>
      <c r="C3206" s="7">
        <v>2003663024</v>
      </c>
      <c r="D3206" s="20">
        <v>6568025</v>
      </c>
      <c r="E3206" s="27" t="s">
        <v>1225</v>
      </c>
      <c r="F3206" s="7" t="s">
        <v>107</v>
      </c>
      <c r="G3206" s="7" t="s">
        <v>10</v>
      </c>
      <c r="H3206" s="7" t="s">
        <v>45</v>
      </c>
      <c r="I3206" s="20" t="s">
        <v>4525</v>
      </c>
      <c r="J3206" s="20" t="s">
        <v>4526</v>
      </c>
      <c r="K3206" s="7" t="s">
        <v>110</v>
      </c>
      <c r="L3206" s="61">
        <v>46029</v>
      </c>
      <c r="M3206" s="7" t="s">
        <v>111</v>
      </c>
      <c r="N3206" s="24">
        <v>46034</v>
      </c>
      <c r="O3206" s="58">
        <v>46034</v>
      </c>
      <c r="Q3206" s="245"/>
      <c r="R3206" s="126">
        <v>46036</v>
      </c>
    </row>
    <row r="3207" spans="2:18" ht="17.25" hidden="1" customHeight="1">
      <c r="B3207" s="23">
        <v>46017</v>
      </c>
      <c r="C3207" s="7">
        <v>2003883669</v>
      </c>
      <c r="D3207" s="20">
        <v>422259</v>
      </c>
      <c r="E3207" s="27" t="s">
        <v>157</v>
      </c>
      <c r="F3207" s="7" t="s">
        <v>107</v>
      </c>
      <c r="G3207" s="7" t="s">
        <v>15</v>
      </c>
      <c r="H3207" s="7" t="s">
        <v>45</v>
      </c>
      <c r="I3207" s="20" t="s">
        <v>4527</v>
      </c>
      <c r="J3207" s="20" t="s">
        <v>4528</v>
      </c>
      <c r="K3207" s="7" t="s">
        <v>119</v>
      </c>
      <c r="L3207" s="61">
        <v>46027</v>
      </c>
      <c r="M3207" s="7" t="s">
        <v>111</v>
      </c>
      <c r="N3207" s="24">
        <v>46028</v>
      </c>
      <c r="O3207" s="58">
        <v>46029</v>
      </c>
      <c r="R3207" s="126">
        <v>46030</v>
      </c>
    </row>
    <row r="3208" spans="2:18" ht="17.25" hidden="1" customHeight="1">
      <c r="B3208" s="23">
        <v>46017</v>
      </c>
      <c r="C3208" s="7">
        <v>2003805048</v>
      </c>
      <c r="D3208" s="20">
        <v>422241</v>
      </c>
      <c r="E3208" s="27" t="s">
        <v>949</v>
      </c>
      <c r="F3208" s="7" t="s">
        <v>107</v>
      </c>
      <c r="G3208" s="7" t="s">
        <v>21</v>
      </c>
      <c r="H3208" s="7" t="s">
        <v>45</v>
      </c>
      <c r="I3208" s="20" t="s">
        <v>2708</v>
      </c>
      <c r="J3208" s="20" t="s">
        <v>3919</v>
      </c>
      <c r="K3208" s="7" t="s">
        <v>111</v>
      </c>
      <c r="L3208" s="61">
        <v>46017</v>
      </c>
      <c r="M3208" s="7" t="s">
        <v>111</v>
      </c>
      <c r="N3208" s="24">
        <v>46021</v>
      </c>
      <c r="O3208" s="58">
        <v>46021</v>
      </c>
      <c r="Q3208" s="245"/>
      <c r="R3208" s="126">
        <v>46021</v>
      </c>
    </row>
    <row r="3209" spans="2:18" ht="17.25" hidden="1" customHeight="1">
      <c r="B3209" s="23">
        <v>46017</v>
      </c>
      <c r="C3209" s="7">
        <v>2003884782</v>
      </c>
      <c r="D3209" s="20">
        <v>422087</v>
      </c>
      <c r="E3209" s="27" t="s">
        <v>106</v>
      </c>
      <c r="F3209" s="7" t="s">
        <v>107</v>
      </c>
      <c r="G3209" s="7" t="s">
        <v>10</v>
      </c>
      <c r="H3209" s="7" t="s">
        <v>45</v>
      </c>
      <c r="I3209" s="20" t="s">
        <v>4529</v>
      </c>
      <c r="J3209" s="20" t="s">
        <v>4530</v>
      </c>
      <c r="K3209" s="7" t="s">
        <v>119</v>
      </c>
      <c r="L3209" s="61">
        <v>46021</v>
      </c>
      <c r="M3209" s="7" t="s">
        <v>111</v>
      </c>
      <c r="N3209" s="61">
        <v>46024</v>
      </c>
      <c r="O3209" s="61">
        <v>46027</v>
      </c>
      <c r="R3209" s="126">
        <v>46028</v>
      </c>
    </row>
    <row r="3210" spans="2:18" ht="17.25" hidden="1" customHeight="1">
      <c r="B3210" s="23">
        <v>46017</v>
      </c>
      <c r="C3210" s="7">
        <v>2003864858</v>
      </c>
      <c r="D3210" s="20">
        <v>421016</v>
      </c>
      <c r="E3210" s="27" t="s">
        <v>191</v>
      </c>
      <c r="F3210" s="7" t="s">
        <v>107</v>
      </c>
      <c r="G3210" s="7" t="s">
        <v>18</v>
      </c>
      <c r="H3210" s="7" t="s">
        <v>45</v>
      </c>
      <c r="I3210" s="20" t="s">
        <v>3383</v>
      </c>
      <c r="J3210" s="20" t="s">
        <v>4314</v>
      </c>
      <c r="K3210" s="7" t="s">
        <v>110</v>
      </c>
      <c r="L3210" s="61">
        <v>46020</v>
      </c>
      <c r="M3210" s="7" t="s">
        <v>111</v>
      </c>
      <c r="N3210" s="24">
        <v>46021</v>
      </c>
      <c r="O3210" s="61">
        <v>46024</v>
      </c>
      <c r="Q3210" s="245"/>
      <c r="R3210" s="126">
        <v>46027</v>
      </c>
    </row>
    <row r="3211" spans="2:18" ht="17.25" hidden="1" customHeight="1">
      <c r="B3211" s="23">
        <v>46017</v>
      </c>
      <c r="C3211" s="7">
        <v>2003881023</v>
      </c>
      <c r="D3211" s="20">
        <v>420681</v>
      </c>
      <c r="E3211" s="27" t="s">
        <v>143</v>
      </c>
      <c r="F3211" s="7" t="s">
        <v>113</v>
      </c>
      <c r="G3211" s="7" t="s">
        <v>70</v>
      </c>
      <c r="H3211" s="7" t="s">
        <v>47</v>
      </c>
      <c r="I3211" s="20" t="s">
        <v>268</v>
      </c>
      <c r="J3211" s="20" t="s">
        <v>4531</v>
      </c>
      <c r="K3211" s="7" t="s">
        <v>160</v>
      </c>
    </row>
    <row r="3212" spans="2:18" ht="17.25" hidden="1" customHeight="1">
      <c r="B3212" s="23">
        <v>46017</v>
      </c>
      <c r="C3212" s="7">
        <v>310024607</v>
      </c>
      <c r="D3212" s="20">
        <v>420183</v>
      </c>
      <c r="E3212" s="27" t="s">
        <v>157</v>
      </c>
      <c r="F3212" s="7" t="s">
        <v>107</v>
      </c>
      <c r="G3212" s="7" t="s">
        <v>15</v>
      </c>
      <c r="H3212" s="7" t="s">
        <v>45</v>
      </c>
      <c r="I3212" s="20" t="s">
        <v>4532</v>
      </c>
      <c r="J3212" s="20" t="s">
        <v>4533</v>
      </c>
      <c r="K3212" s="7" t="s">
        <v>110</v>
      </c>
      <c r="L3212" s="61">
        <v>46024</v>
      </c>
      <c r="M3212" s="7" t="s">
        <v>111</v>
      </c>
      <c r="N3212" s="61">
        <v>46024</v>
      </c>
      <c r="O3212" s="61">
        <v>46024</v>
      </c>
      <c r="Q3212" s="245"/>
      <c r="R3212" s="126">
        <v>46028</v>
      </c>
    </row>
    <row r="3213" spans="2:18" ht="17.25" hidden="1" customHeight="1">
      <c r="B3213" s="23">
        <v>46017</v>
      </c>
      <c r="C3213" s="7">
        <v>2003861682</v>
      </c>
      <c r="D3213" s="20">
        <v>6569051</v>
      </c>
      <c r="E3213" s="27" t="s">
        <v>366</v>
      </c>
      <c r="F3213" s="7" t="s">
        <v>107</v>
      </c>
      <c r="G3213" s="7" t="s">
        <v>15</v>
      </c>
      <c r="H3213" s="7" t="s">
        <v>45</v>
      </c>
      <c r="I3213" s="20" t="s">
        <v>431</v>
      </c>
      <c r="J3213" s="20" t="s">
        <v>432</v>
      </c>
      <c r="K3213" s="7" t="s">
        <v>110</v>
      </c>
      <c r="L3213" s="61">
        <v>46017</v>
      </c>
      <c r="M3213" s="7" t="s">
        <v>111</v>
      </c>
      <c r="N3213" s="61">
        <v>46017</v>
      </c>
      <c r="O3213" s="58">
        <v>46020</v>
      </c>
      <c r="Q3213" s="245"/>
      <c r="R3213" s="126">
        <v>46021</v>
      </c>
    </row>
    <row r="3214" spans="2:18" ht="17.25" hidden="1" customHeight="1">
      <c r="B3214" s="23">
        <v>46017</v>
      </c>
      <c r="C3214" s="7">
        <v>2003863469</v>
      </c>
      <c r="D3214" s="20">
        <v>6569089</v>
      </c>
      <c r="E3214" s="27" t="s">
        <v>230</v>
      </c>
      <c r="F3214" s="7" t="s">
        <v>107</v>
      </c>
      <c r="G3214" s="7" t="s">
        <v>10</v>
      </c>
      <c r="H3214" s="7" t="s">
        <v>45</v>
      </c>
      <c r="I3214" s="20" t="s">
        <v>4534</v>
      </c>
      <c r="J3214" s="20" t="s">
        <v>4535</v>
      </c>
      <c r="K3214" s="7" t="s">
        <v>110</v>
      </c>
      <c r="L3214" s="61">
        <v>46024</v>
      </c>
      <c r="M3214" s="7" t="s">
        <v>111</v>
      </c>
      <c r="N3214" s="61">
        <v>46024</v>
      </c>
      <c r="O3214" s="24">
        <v>46030</v>
      </c>
      <c r="Q3214" s="245"/>
      <c r="R3214" s="126">
        <v>46030</v>
      </c>
    </row>
    <row r="3215" spans="2:18" ht="17.25" hidden="1" customHeight="1">
      <c r="B3215" s="23">
        <v>46020</v>
      </c>
      <c r="C3215" s="7">
        <v>2003885293</v>
      </c>
      <c r="D3215" s="20">
        <v>425030</v>
      </c>
      <c r="E3215" s="27" t="s">
        <v>568</v>
      </c>
      <c r="F3215" s="7" t="s">
        <v>107</v>
      </c>
      <c r="G3215" s="7" t="s">
        <v>18</v>
      </c>
      <c r="H3215" s="7" t="s">
        <v>45</v>
      </c>
      <c r="I3215" s="20" t="s">
        <v>2779</v>
      </c>
      <c r="J3215" s="20" t="s">
        <v>4536</v>
      </c>
      <c r="K3215" s="7" t="s">
        <v>110</v>
      </c>
      <c r="L3215" s="61">
        <v>46024</v>
      </c>
      <c r="M3215" s="7" t="s">
        <v>111</v>
      </c>
      <c r="N3215" s="61">
        <v>46024</v>
      </c>
      <c r="O3215" s="61">
        <v>46027</v>
      </c>
      <c r="Q3215" s="245"/>
      <c r="R3215" s="126">
        <v>46028</v>
      </c>
    </row>
    <row r="3216" spans="2:18" ht="17.25" hidden="1" customHeight="1">
      <c r="B3216" s="23">
        <v>46020</v>
      </c>
      <c r="C3216" s="7">
        <v>2003885581</v>
      </c>
      <c r="D3216" s="20">
        <v>423590</v>
      </c>
      <c r="E3216" s="27" t="s">
        <v>143</v>
      </c>
      <c r="F3216" s="7" t="s">
        <v>113</v>
      </c>
      <c r="G3216" s="7" t="s">
        <v>70</v>
      </c>
      <c r="H3216" s="7" t="s">
        <v>47</v>
      </c>
      <c r="I3216" s="20" t="s">
        <v>840</v>
      </c>
      <c r="J3216" s="20" t="s">
        <v>4537</v>
      </c>
      <c r="K3216" s="7" t="s">
        <v>160</v>
      </c>
    </row>
    <row r="3217" spans="2:18" ht="17.25" hidden="1" customHeight="1">
      <c r="B3217" s="23">
        <v>46020</v>
      </c>
      <c r="C3217" s="7">
        <v>2003885402</v>
      </c>
      <c r="D3217" s="20">
        <v>423578</v>
      </c>
      <c r="E3217" s="27" t="s">
        <v>143</v>
      </c>
      <c r="F3217" s="7" t="s">
        <v>113</v>
      </c>
      <c r="G3217" s="7" t="s">
        <v>70</v>
      </c>
      <c r="H3217" s="7" t="s">
        <v>47</v>
      </c>
      <c r="I3217" s="20" t="s">
        <v>3873</v>
      </c>
      <c r="J3217" s="20" t="s">
        <v>3874</v>
      </c>
      <c r="K3217" s="7" t="s">
        <v>160</v>
      </c>
    </row>
    <row r="3218" spans="2:18" ht="17.25" hidden="1" customHeight="1">
      <c r="B3218" s="23">
        <v>46020</v>
      </c>
      <c r="C3218" s="7">
        <v>2003883757</v>
      </c>
      <c r="D3218" s="20">
        <v>6569984</v>
      </c>
      <c r="E3218" s="27" t="s">
        <v>198</v>
      </c>
      <c r="F3218" s="7" t="s">
        <v>113</v>
      </c>
      <c r="G3218" s="7" t="s">
        <v>70</v>
      </c>
      <c r="H3218" s="7" t="s">
        <v>47</v>
      </c>
      <c r="I3218" s="20" t="s">
        <v>4538</v>
      </c>
      <c r="J3218" s="20" t="s">
        <v>4539</v>
      </c>
      <c r="K3218" s="7" t="s">
        <v>119</v>
      </c>
      <c r="L3218" s="61">
        <v>46024</v>
      </c>
      <c r="M3218" s="7" t="s">
        <v>111</v>
      </c>
    </row>
    <row r="3219" spans="2:18" ht="17.25" hidden="1" customHeight="1">
      <c r="B3219" s="23">
        <v>46021</v>
      </c>
      <c r="C3219" s="7">
        <v>2003872819</v>
      </c>
      <c r="D3219" s="20">
        <v>427846</v>
      </c>
      <c r="E3219" s="27" t="s">
        <v>408</v>
      </c>
      <c r="F3219" s="7" t="s">
        <v>107</v>
      </c>
      <c r="G3219" s="7" t="s">
        <v>15</v>
      </c>
      <c r="H3219" s="7" t="s">
        <v>45</v>
      </c>
      <c r="I3219" s="20" t="s">
        <v>4540</v>
      </c>
      <c r="J3219" s="20" t="s">
        <v>4541</v>
      </c>
      <c r="K3219" s="7" t="s">
        <v>110</v>
      </c>
      <c r="L3219" s="61">
        <v>46024</v>
      </c>
      <c r="M3219" s="7" t="s">
        <v>111</v>
      </c>
      <c r="N3219" s="24">
        <v>46030</v>
      </c>
      <c r="O3219" s="24">
        <v>46030</v>
      </c>
      <c r="Q3219" s="245"/>
      <c r="R3219" s="126">
        <v>46030</v>
      </c>
    </row>
    <row r="3220" spans="2:18" ht="17.25" hidden="1" customHeight="1">
      <c r="B3220" s="23">
        <v>46021</v>
      </c>
      <c r="C3220" s="7">
        <v>2003887521</v>
      </c>
      <c r="D3220" s="20">
        <v>427758</v>
      </c>
      <c r="E3220" s="27" t="s">
        <v>143</v>
      </c>
      <c r="F3220" s="7" t="s">
        <v>113</v>
      </c>
      <c r="G3220" s="7" t="s">
        <v>70</v>
      </c>
      <c r="H3220" s="7" t="s">
        <v>47</v>
      </c>
      <c r="I3220" s="20" t="s">
        <v>1634</v>
      </c>
      <c r="J3220" s="20" t="s">
        <v>4542</v>
      </c>
      <c r="K3220" s="7" t="s">
        <v>160</v>
      </c>
    </row>
    <row r="3221" spans="2:18" ht="17.25" hidden="1" customHeight="1">
      <c r="B3221" s="23">
        <v>46021</v>
      </c>
      <c r="C3221" s="7">
        <v>2003885269</v>
      </c>
      <c r="D3221" s="20">
        <v>427651</v>
      </c>
      <c r="E3221" s="27" t="s">
        <v>1225</v>
      </c>
      <c r="F3221" s="7" t="s">
        <v>107</v>
      </c>
      <c r="G3221" s="7" t="s">
        <v>15</v>
      </c>
      <c r="H3221" s="7" t="s">
        <v>45</v>
      </c>
      <c r="I3221" s="20" t="s">
        <v>245</v>
      </c>
      <c r="J3221" s="20" t="s">
        <v>4543</v>
      </c>
      <c r="K3221" s="7" t="s">
        <v>119</v>
      </c>
      <c r="L3221" s="61">
        <v>46027</v>
      </c>
      <c r="M3221" s="7" t="s">
        <v>111</v>
      </c>
      <c r="N3221" s="24">
        <v>46028</v>
      </c>
      <c r="O3221" s="58">
        <v>46031</v>
      </c>
      <c r="R3221" s="126">
        <v>46034</v>
      </c>
    </row>
    <row r="3222" spans="2:18" ht="17.25" hidden="1" customHeight="1">
      <c r="B3222" s="23">
        <v>46021</v>
      </c>
      <c r="C3222" s="7">
        <v>2003885620</v>
      </c>
      <c r="D3222" s="20">
        <v>427038</v>
      </c>
      <c r="E3222" s="27" t="s">
        <v>201</v>
      </c>
      <c r="F3222" s="7" t="s">
        <v>107</v>
      </c>
      <c r="G3222" s="7" t="s">
        <v>10</v>
      </c>
      <c r="H3222" s="7" t="s">
        <v>45</v>
      </c>
      <c r="I3222" s="20" t="s">
        <v>685</v>
      </c>
      <c r="J3222" s="20" t="s">
        <v>4136</v>
      </c>
      <c r="K3222" s="7" t="s">
        <v>119</v>
      </c>
      <c r="L3222" s="61">
        <v>46027</v>
      </c>
      <c r="M3222" s="7" t="s">
        <v>111</v>
      </c>
      <c r="N3222" s="24">
        <v>46028</v>
      </c>
      <c r="O3222" s="58">
        <v>46029</v>
      </c>
      <c r="R3222" s="126">
        <v>46030</v>
      </c>
    </row>
    <row r="3223" spans="2:18" ht="17.25" hidden="1" customHeight="1">
      <c r="B3223" s="23">
        <v>46021</v>
      </c>
      <c r="C3223" s="7">
        <v>2003885840</v>
      </c>
      <c r="D3223" s="20">
        <v>426860</v>
      </c>
      <c r="E3223" s="27" t="s">
        <v>180</v>
      </c>
      <c r="F3223" s="7" t="s">
        <v>113</v>
      </c>
      <c r="G3223" s="7" t="s">
        <v>70</v>
      </c>
      <c r="H3223" s="7" t="s">
        <v>47</v>
      </c>
      <c r="I3223" s="20" t="s">
        <v>1964</v>
      </c>
      <c r="J3223" s="20" t="s">
        <v>3504</v>
      </c>
      <c r="K3223" s="7" t="s">
        <v>160</v>
      </c>
    </row>
    <row r="3224" spans="2:18" ht="17.25" hidden="1" customHeight="1">
      <c r="B3224" s="23">
        <v>46021</v>
      </c>
      <c r="C3224" s="7">
        <v>2003884472</v>
      </c>
      <c r="D3224" s="20">
        <v>6570234</v>
      </c>
      <c r="E3224" s="27" t="s">
        <v>4544</v>
      </c>
      <c r="F3224" s="7" t="s">
        <v>107</v>
      </c>
      <c r="G3224" s="7" t="s">
        <v>10</v>
      </c>
      <c r="H3224" s="7" t="s">
        <v>45</v>
      </c>
      <c r="I3224" s="20" t="s">
        <v>2933</v>
      </c>
      <c r="J3224" s="20" t="s">
        <v>4545</v>
      </c>
      <c r="K3224" s="7" t="s">
        <v>110</v>
      </c>
      <c r="L3224" s="61">
        <v>46028</v>
      </c>
      <c r="M3224" s="7" t="s">
        <v>111</v>
      </c>
      <c r="N3224" s="61">
        <v>46028</v>
      </c>
      <c r="O3224" s="58">
        <v>46029</v>
      </c>
      <c r="Q3224" s="245"/>
      <c r="R3224" s="126">
        <v>46030</v>
      </c>
    </row>
    <row r="3225" spans="2:18" ht="17.25" hidden="1" customHeight="1">
      <c r="B3225" s="23">
        <v>46021</v>
      </c>
      <c r="C3225" s="7">
        <v>2003841597</v>
      </c>
      <c r="D3225" s="20">
        <v>6570482</v>
      </c>
      <c r="E3225" s="27" t="s">
        <v>106</v>
      </c>
      <c r="F3225" s="7" t="s">
        <v>107</v>
      </c>
      <c r="G3225" s="7" t="s">
        <v>18</v>
      </c>
      <c r="H3225" s="7" t="s">
        <v>45</v>
      </c>
      <c r="I3225" s="20" t="s">
        <v>2835</v>
      </c>
      <c r="J3225" s="20" t="s">
        <v>4546</v>
      </c>
      <c r="K3225" s="7" t="s">
        <v>119</v>
      </c>
      <c r="L3225" s="61">
        <v>46027</v>
      </c>
      <c r="M3225" s="7" t="s">
        <v>111</v>
      </c>
      <c r="N3225" s="24">
        <v>46028</v>
      </c>
      <c r="O3225" s="58">
        <v>46029</v>
      </c>
      <c r="R3225" s="126">
        <v>46030</v>
      </c>
    </row>
    <row r="3226" spans="2:18" ht="17.25" hidden="1" customHeight="1">
      <c r="B3226" s="23">
        <v>46021</v>
      </c>
      <c r="C3226" s="7">
        <v>2003887231</v>
      </c>
      <c r="D3226" s="20">
        <v>6570707</v>
      </c>
      <c r="E3226" s="27" t="s">
        <v>143</v>
      </c>
      <c r="F3226" s="7" t="s">
        <v>107</v>
      </c>
      <c r="G3226" s="7" t="s">
        <v>10</v>
      </c>
      <c r="H3226" s="7" t="s">
        <v>45</v>
      </c>
      <c r="I3226" s="20" t="s">
        <v>4547</v>
      </c>
      <c r="J3226" s="20" t="s">
        <v>4377</v>
      </c>
      <c r="K3226" s="7" t="s">
        <v>119</v>
      </c>
      <c r="L3226" s="61">
        <v>46029</v>
      </c>
      <c r="M3226" s="7" t="s">
        <v>111</v>
      </c>
      <c r="N3226" s="24">
        <v>46030</v>
      </c>
      <c r="O3226" s="61">
        <v>46035</v>
      </c>
      <c r="R3226" s="126">
        <v>46036</v>
      </c>
    </row>
    <row r="3227" spans="2:18" ht="17.25" hidden="1" customHeight="1">
      <c r="B3227" s="23">
        <v>46021</v>
      </c>
      <c r="C3227" s="7">
        <v>2003658970</v>
      </c>
      <c r="D3227" s="20">
        <v>6570870</v>
      </c>
      <c r="E3227" s="27" t="s">
        <v>149</v>
      </c>
      <c r="F3227" s="7" t="s">
        <v>107</v>
      </c>
      <c r="G3227" s="7" t="s">
        <v>10</v>
      </c>
      <c r="H3227" s="7" t="s">
        <v>45</v>
      </c>
      <c r="I3227" s="20" t="s">
        <v>4548</v>
      </c>
      <c r="J3227" s="20" t="s">
        <v>4549</v>
      </c>
      <c r="K3227" s="7" t="s">
        <v>110</v>
      </c>
      <c r="L3227" s="61">
        <v>46027</v>
      </c>
      <c r="M3227" s="7" t="s">
        <v>111</v>
      </c>
      <c r="N3227" s="61">
        <v>46027</v>
      </c>
      <c r="O3227" s="24">
        <v>46028</v>
      </c>
      <c r="Q3227" s="245"/>
      <c r="R3227" s="126">
        <v>46028</v>
      </c>
    </row>
    <row r="3228" spans="2:18" ht="17.25" hidden="1" customHeight="1">
      <c r="B3228" s="23">
        <v>46021</v>
      </c>
      <c r="C3228" s="7">
        <v>2003855809</v>
      </c>
      <c r="D3228" s="20">
        <v>6570940</v>
      </c>
      <c r="E3228" s="27" t="s">
        <v>149</v>
      </c>
      <c r="F3228" s="7" t="s">
        <v>107</v>
      </c>
      <c r="G3228" s="7" t="s">
        <v>10</v>
      </c>
      <c r="H3228" s="7" t="s">
        <v>45</v>
      </c>
      <c r="I3228" s="20" t="s">
        <v>4424</v>
      </c>
      <c r="J3228" s="20" t="s">
        <v>4425</v>
      </c>
      <c r="K3228" s="7" t="s">
        <v>110</v>
      </c>
      <c r="L3228" s="61">
        <v>46028</v>
      </c>
      <c r="M3228" s="7" t="s">
        <v>111</v>
      </c>
      <c r="N3228" s="24">
        <v>46030</v>
      </c>
      <c r="O3228" s="24">
        <v>46030</v>
      </c>
      <c r="Q3228" s="245"/>
      <c r="R3228" s="126">
        <v>46030</v>
      </c>
    </row>
    <row r="3229" spans="2:18" ht="17.25" hidden="1" customHeight="1">
      <c r="B3229" s="23">
        <v>46021</v>
      </c>
      <c r="C3229" s="7">
        <v>2003875876</v>
      </c>
      <c r="D3229" s="20">
        <v>6570948</v>
      </c>
      <c r="E3229" s="27" t="s">
        <v>230</v>
      </c>
      <c r="F3229" s="7" t="s">
        <v>113</v>
      </c>
      <c r="G3229" s="7" t="s">
        <v>70</v>
      </c>
      <c r="H3229" s="7" t="s">
        <v>47</v>
      </c>
      <c r="I3229" s="20" t="s">
        <v>1021</v>
      </c>
      <c r="J3229" s="20" t="s">
        <v>4550</v>
      </c>
      <c r="K3229" s="7" t="s">
        <v>110</v>
      </c>
      <c r="L3229" s="61">
        <v>46027</v>
      </c>
      <c r="M3229" s="7" t="s">
        <v>111</v>
      </c>
      <c r="Q3229" s="245"/>
    </row>
    <row r="3230" spans="2:18" ht="17.25" hidden="1" customHeight="1">
      <c r="B3230" s="23">
        <v>46024</v>
      </c>
      <c r="C3230" s="7">
        <v>2003888191</v>
      </c>
      <c r="D3230" s="20">
        <v>430989</v>
      </c>
      <c r="E3230" s="27" t="s">
        <v>622</v>
      </c>
      <c r="F3230" s="7" t="s">
        <v>107</v>
      </c>
      <c r="G3230" s="7" t="s">
        <v>26</v>
      </c>
      <c r="H3230" s="7" t="s">
        <v>45</v>
      </c>
      <c r="I3230" s="20" t="s">
        <v>4551</v>
      </c>
      <c r="J3230" s="20" t="s">
        <v>4552</v>
      </c>
      <c r="K3230" s="7" t="s">
        <v>119</v>
      </c>
      <c r="L3230" s="61">
        <v>46027</v>
      </c>
      <c r="M3230" s="7" t="s">
        <v>111</v>
      </c>
      <c r="N3230" s="24">
        <v>46028</v>
      </c>
      <c r="O3230" s="58">
        <v>46028</v>
      </c>
      <c r="R3230" s="126">
        <v>46028</v>
      </c>
    </row>
    <row r="3231" spans="2:18" ht="17.25" hidden="1" customHeight="1">
      <c r="B3231" s="23">
        <v>46024</v>
      </c>
      <c r="C3231" s="7">
        <v>2003890540</v>
      </c>
      <c r="D3231" s="20">
        <v>430974</v>
      </c>
      <c r="E3231" s="27" t="s">
        <v>568</v>
      </c>
      <c r="F3231" s="7" t="s">
        <v>107</v>
      </c>
      <c r="G3231" s="7" t="s">
        <v>10</v>
      </c>
      <c r="H3231" s="7" t="s">
        <v>45</v>
      </c>
      <c r="I3231" s="20" t="s">
        <v>288</v>
      </c>
      <c r="J3231" s="20" t="s">
        <v>4553</v>
      </c>
      <c r="K3231" s="7" t="s">
        <v>110</v>
      </c>
      <c r="L3231" s="61">
        <v>46030</v>
      </c>
      <c r="M3231" s="7" t="s">
        <v>111</v>
      </c>
      <c r="N3231" s="61">
        <v>46031</v>
      </c>
      <c r="O3231" s="24">
        <v>46034</v>
      </c>
      <c r="Q3231" s="245"/>
      <c r="R3231" s="126">
        <v>46034</v>
      </c>
    </row>
    <row r="3232" spans="2:18" ht="17.25" hidden="1" customHeight="1">
      <c r="B3232" s="23">
        <v>46024</v>
      </c>
      <c r="C3232" s="7">
        <v>2003888276</v>
      </c>
      <c r="D3232" s="20">
        <v>430962</v>
      </c>
      <c r="E3232" s="27" t="s">
        <v>258</v>
      </c>
      <c r="F3232" s="7" t="s">
        <v>107</v>
      </c>
      <c r="G3232" s="7" t="s">
        <v>10</v>
      </c>
      <c r="H3232" s="7" t="s">
        <v>45</v>
      </c>
      <c r="I3232" s="20" t="s">
        <v>2524</v>
      </c>
      <c r="J3232" s="20" t="s">
        <v>4554</v>
      </c>
      <c r="K3232" s="7" t="s">
        <v>119</v>
      </c>
      <c r="L3232" s="61">
        <v>46029</v>
      </c>
      <c r="M3232" s="7" t="s">
        <v>111</v>
      </c>
      <c r="N3232" s="61">
        <v>46029</v>
      </c>
      <c r="O3232" s="61">
        <v>46029</v>
      </c>
      <c r="R3232" s="126">
        <v>46030</v>
      </c>
    </row>
    <row r="3233" spans="2:18" ht="17.25" hidden="1" customHeight="1">
      <c r="B3233" s="23">
        <v>46024</v>
      </c>
      <c r="C3233" s="7">
        <v>2003886698</v>
      </c>
      <c r="D3233" s="20">
        <v>429984</v>
      </c>
      <c r="E3233" s="27" t="s">
        <v>568</v>
      </c>
      <c r="F3233" s="7" t="s">
        <v>107</v>
      </c>
      <c r="G3233" s="7" t="s">
        <v>18</v>
      </c>
      <c r="H3233" s="7" t="s">
        <v>45</v>
      </c>
      <c r="I3233" s="20" t="s">
        <v>4555</v>
      </c>
      <c r="J3233" s="20" t="s">
        <v>4556</v>
      </c>
      <c r="K3233" s="7" t="s">
        <v>119</v>
      </c>
      <c r="L3233" s="61">
        <v>46028</v>
      </c>
      <c r="M3233" s="7" t="s">
        <v>111</v>
      </c>
      <c r="N3233" s="61">
        <v>46029</v>
      </c>
      <c r="O3233" s="58">
        <v>46031</v>
      </c>
      <c r="R3233" s="126">
        <v>46034</v>
      </c>
    </row>
    <row r="3234" spans="2:18" ht="17.25" hidden="1" customHeight="1">
      <c r="B3234" s="23">
        <v>46024</v>
      </c>
      <c r="C3234" s="7">
        <v>2003882442</v>
      </c>
      <c r="D3234" s="20">
        <v>429403</v>
      </c>
      <c r="E3234" s="27" t="s">
        <v>568</v>
      </c>
      <c r="F3234" s="7" t="s">
        <v>107</v>
      </c>
      <c r="G3234" s="7" t="s">
        <v>10</v>
      </c>
      <c r="H3234" s="7" t="s">
        <v>45</v>
      </c>
      <c r="I3234" s="20" t="s">
        <v>394</v>
      </c>
      <c r="J3234" s="20" t="s">
        <v>4557</v>
      </c>
      <c r="K3234" s="7" t="s">
        <v>119</v>
      </c>
      <c r="L3234" s="61">
        <v>46028</v>
      </c>
      <c r="M3234" s="7" t="s">
        <v>111</v>
      </c>
      <c r="N3234" s="61">
        <v>46029</v>
      </c>
      <c r="O3234" s="58">
        <v>46031</v>
      </c>
      <c r="R3234" s="126">
        <v>46034</v>
      </c>
    </row>
    <row r="3235" spans="2:18" ht="17.25" hidden="1" customHeight="1">
      <c r="B3235" s="23">
        <v>46024</v>
      </c>
      <c r="C3235" s="7">
        <v>2003884903</v>
      </c>
      <c r="D3235" s="20">
        <v>429284</v>
      </c>
      <c r="E3235" s="27" t="s">
        <v>258</v>
      </c>
      <c r="F3235" s="7" t="s">
        <v>107</v>
      </c>
      <c r="G3235" s="7" t="s">
        <v>10</v>
      </c>
      <c r="H3235" s="7" t="s">
        <v>45</v>
      </c>
      <c r="I3235" s="20" t="s">
        <v>4558</v>
      </c>
      <c r="J3235" s="20" t="s">
        <v>4559</v>
      </c>
      <c r="K3235" s="7" t="s">
        <v>119</v>
      </c>
      <c r="L3235" s="61">
        <v>46027</v>
      </c>
      <c r="M3235" s="7" t="s">
        <v>111</v>
      </c>
      <c r="N3235" s="24">
        <v>46028</v>
      </c>
      <c r="O3235" s="58">
        <v>46029</v>
      </c>
      <c r="R3235" s="126">
        <v>46030</v>
      </c>
    </row>
    <row r="3236" spans="2:18" ht="17.25" hidden="1" customHeight="1">
      <c r="B3236" s="23">
        <v>46024</v>
      </c>
      <c r="C3236" s="7">
        <v>2003884682</v>
      </c>
      <c r="D3236" s="20">
        <v>6571306</v>
      </c>
      <c r="E3236" s="27" t="s">
        <v>185</v>
      </c>
      <c r="F3236" s="7" t="s">
        <v>107</v>
      </c>
      <c r="G3236" s="7" t="s">
        <v>18</v>
      </c>
      <c r="H3236" s="7" t="s">
        <v>45</v>
      </c>
      <c r="I3236" s="20" t="s">
        <v>4560</v>
      </c>
      <c r="J3236" s="20" t="s">
        <v>4561</v>
      </c>
      <c r="K3236" s="7" t="s">
        <v>110</v>
      </c>
      <c r="L3236" s="61">
        <v>46029</v>
      </c>
      <c r="M3236" s="7" t="s">
        <v>111</v>
      </c>
      <c r="N3236" s="61">
        <v>46029</v>
      </c>
      <c r="O3236" s="58">
        <v>46031</v>
      </c>
      <c r="Q3236" s="245"/>
      <c r="R3236" s="126">
        <v>46034</v>
      </c>
    </row>
    <row r="3237" spans="2:18" ht="17.25" hidden="1" customHeight="1">
      <c r="B3237" s="23">
        <v>46024</v>
      </c>
      <c r="C3237" s="7">
        <v>2003665218</v>
      </c>
      <c r="D3237" s="20">
        <v>6571323</v>
      </c>
      <c r="E3237" s="27" t="s">
        <v>191</v>
      </c>
      <c r="F3237" s="7" t="s">
        <v>107</v>
      </c>
      <c r="G3237" s="7" t="s">
        <v>26</v>
      </c>
      <c r="H3237" s="7" t="s">
        <v>45</v>
      </c>
      <c r="I3237" s="20" t="s">
        <v>4562</v>
      </c>
      <c r="J3237" s="20" t="s">
        <v>2364</v>
      </c>
      <c r="K3237" s="7" t="s">
        <v>110</v>
      </c>
      <c r="L3237" s="61">
        <v>46028</v>
      </c>
      <c r="M3237" s="7" t="s">
        <v>111</v>
      </c>
      <c r="N3237" s="24">
        <v>46028</v>
      </c>
      <c r="O3237" s="58">
        <v>46028</v>
      </c>
      <c r="Q3237" s="245"/>
      <c r="R3237" s="126">
        <v>46028</v>
      </c>
    </row>
    <row r="3238" spans="2:18" ht="17.25" hidden="1" customHeight="1">
      <c r="B3238" s="23">
        <v>46024</v>
      </c>
      <c r="C3238" s="7">
        <v>2003888399</v>
      </c>
      <c r="D3238" s="20">
        <v>6571329</v>
      </c>
      <c r="E3238" s="27" t="s">
        <v>106</v>
      </c>
      <c r="F3238" s="7" t="s">
        <v>107</v>
      </c>
      <c r="G3238" s="7" t="s">
        <v>18</v>
      </c>
      <c r="H3238" s="7" t="s">
        <v>45</v>
      </c>
      <c r="I3238" s="20" t="s">
        <v>4563</v>
      </c>
      <c r="J3238" s="20" t="s">
        <v>4549</v>
      </c>
      <c r="K3238" s="7" t="s">
        <v>110</v>
      </c>
      <c r="L3238" s="61">
        <v>46028</v>
      </c>
      <c r="M3238" s="7" t="s">
        <v>111</v>
      </c>
      <c r="N3238" s="61">
        <v>46028</v>
      </c>
      <c r="O3238" s="58">
        <v>46028</v>
      </c>
      <c r="Q3238" s="245"/>
      <c r="R3238" s="126">
        <v>46028</v>
      </c>
    </row>
    <row r="3239" spans="2:18" ht="17.25" hidden="1" customHeight="1">
      <c r="B3239" s="23">
        <v>46024</v>
      </c>
      <c r="C3239" s="7">
        <v>2003855701</v>
      </c>
      <c r="D3239" s="20">
        <v>6571373</v>
      </c>
      <c r="E3239" s="27" t="s">
        <v>201</v>
      </c>
      <c r="F3239" s="7" t="s">
        <v>107</v>
      </c>
      <c r="G3239" s="7" t="s">
        <v>10</v>
      </c>
      <c r="H3239" s="7" t="s">
        <v>45</v>
      </c>
      <c r="I3239" s="20" t="s">
        <v>514</v>
      </c>
      <c r="J3239" s="20" t="s">
        <v>4564</v>
      </c>
      <c r="K3239" s="7" t="s">
        <v>110</v>
      </c>
      <c r="L3239" s="61">
        <v>46028</v>
      </c>
      <c r="M3239" s="7" t="s">
        <v>111</v>
      </c>
      <c r="N3239" s="61">
        <v>46028</v>
      </c>
      <c r="O3239" s="58">
        <v>46029</v>
      </c>
      <c r="Q3239" s="245"/>
      <c r="R3239" s="126">
        <v>46030</v>
      </c>
    </row>
    <row r="3240" spans="2:18" ht="17.25" hidden="1" customHeight="1">
      <c r="B3240" s="23">
        <v>46024</v>
      </c>
      <c r="C3240" s="7">
        <v>2003870866</v>
      </c>
      <c r="D3240" s="20">
        <v>6571391</v>
      </c>
      <c r="E3240" s="27" t="s">
        <v>198</v>
      </c>
      <c r="F3240" s="7" t="s">
        <v>107</v>
      </c>
      <c r="G3240" s="7" t="s">
        <v>10</v>
      </c>
      <c r="H3240" s="7" t="s">
        <v>45</v>
      </c>
      <c r="I3240" s="20" t="s">
        <v>466</v>
      </c>
      <c r="J3240" s="20" t="s">
        <v>4565</v>
      </c>
      <c r="K3240" s="7" t="s">
        <v>119</v>
      </c>
      <c r="L3240" s="61">
        <v>46027</v>
      </c>
      <c r="M3240" s="7" t="s">
        <v>111</v>
      </c>
      <c r="N3240" s="24">
        <v>46028</v>
      </c>
      <c r="O3240" s="58">
        <v>46029</v>
      </c>
      <c r="R3240" s="126">
        <v>46030</v>
      </c>
    </row>
    <row r="3241" spans="2:18" ht="17.25" hidden="1" customHeight="1">
      <c r="B3241" s="23">
        <v>46024</v>
      </c>
      <c r="C3241" s="7">
        <v>2003877537</v>
      </c>
      <c r="D3241" s="20">
        <v>6571472</v>
      </c>
      <c r="E3241" s="27" t="s">
        <v>1225</v>
      </c>
      <c r="F3241" s="7" t="s">
        <v>107</v>
      </c>
      <c r="G3241" s="7" t="s">
        <v>10</v>
      </c>
      <c r="H3241" s="7" t="s">
        <v>45</v>
      </c>
      <c r="I3241" s="20" t="s">
        <v>4566</v>
      </c>
      <c r="J3241" s="20" t="s">
        <v>4567</v>
      </c>
      <c r="K3241" s="7" t="s">
        <v>119</v>
      </c>
      <c r="L3241" s="61">
        <v>46031</v>
      </c>
      <c r="M3241" s="7" t="s">
        <v>111</v>
      </c>
      <c r="N3241" s="61">
        <v>46034</v>
      </c>
      <c r="O3241" s="61">
        <v>46035</v>
      </c>
      <c r="R3241" s="126">
        <v>46036</v>
      </c>
    </row>
    <row r="3242" spans="2:18" ht="17.25" hidden="1" customHeight="1">
      <c r="B3242" s="23">
        <v>46027</v>
      </c>
      <c r="C3242" s="7">
        <v>2003889999</v>
      </c>
      <c r="D3242" s="20">
        <v>6572143</v>
      </c>
      <c r="E3242" s="27" t="s">
        <v>106</v>
      </c>
      <c r="F3242" s="7" t="s">
        <v>107</v>
      </c>
      <c r="G3242" s="7" t="s">
        <v>10</v>
      </c>
      <c r="H3242" s="7" t="s">
        <v>45</v>
      </c>
      <c r="I3242" s="20" t="s">
        <v>1326</v>
      </c>
      <c r="J3242" s="20" t="s">
        <v>4568</v>
      </c>
      <c r="K3242" s="7" t="s">
        <v>119</v>
      </c>
      <c r="L3242" s="61">
        <v>46027</v>
      </c>
      <c r="M3242" s="7" t="s">
        <v>111</v>
      </c>
      <c r="N3242" s="24">
        <v>46028</v>
      </c>
      <c r="O3242" s="58">
        <v>46029</v>
      </c>
      <c r="R3242" s="126">
        <v>46030</v>
      </c>
    </row>
    <row r="3243" spans="2:18" ht="17.25" hidden="1" customHeight="1">
      <c r="B3243" s="23">
        <v>46027</v>
      </c>
      <c r="C3243" s="7">
        <v>2003865126</v>
      </c>
      <c r="D3243" s="20">
        <v>435878</v>
      </c>
      <c r="E3243" s="27" t="s">
        <v>123</v>
      </c>
      <c r="F3243" s="7" t="s">
        <v>107</v>
      </c>
      <c r="G3243" s="7" t="s">
        <v>10</v>
      </c>
      <c r="H3243" s="7" t="s">
        <v>45</v>
      </c>
      <c r="I3243" s="20" t="s">
        <v>4569</v>
      </c>
      <c r="J3243" s="20" t="s">
        <v>4570</v>
      </c>
      <c r="K3243" s="7" t="s">
        <v>119</v>
      </c>
      <c r="L3243" s="61">
        <v>46034</v>
      </c>
      <c r="M3243" s="7" t="s">
        <v>111</v>
      </c>
      <c r="N3243" s="24">
        <v>45671</v>
      </c>
      <c r="O3243" s="24">
        <v>45671</v>
      </c>
      <c r="R3243" s="126">
        <v>45671</v>
      </c>
    </row>
    <row r="3244" spans="2:18" ht="17.25" hidden="1" customHeight="1">
      <c r="B3244" s="23">
        <v>46027</v>
      </c>
      <c r="C3244" s="7">
        <v>2003806202</v>
      </c>
      <c r="D3244" s="20">
        <v>435847</v>
      </c>
      <c r="E3244" s="27" t="s">
        <v>123</v>
      </c>
      <c r="F3244" s="7" t="s">
        <v>113</v>
      </c>
      <c r="G3244" s="7" t="s">
        <v>70</v>
      </c>
      <c r="H3244" s="7" t="s">
        <v>47</v>
      </c>
      <c r="I3244" s="20" t="s">
        <v>453</v>
      </c>
      <c r="J3244" s="20" t="s">
        <v>4571</v>
      </c>
      <c r="K3244" s="7" t="s">
        <v>110</v>
      </c>
      <c r="Q3244" s="245"/>
    </row>
    <row r="3245" spans="2:18" ht="17.25" hidden="1" customHeight="1">
      <c r="B3245" s="23">
        <v>46027</v>
      </c>
      <c r="C3245" s="7">
        <v>2003827566</v>
      </c>
      <c r="D3245" s="20">
        <v>435720</v>
      </c>
      <c r="E3245" s="27" t="s">
        <v>408</v>
      </c>
      <c r="F3245" s="7" t="s">
        <v>107</v>
      </c>
      <c r="G3245" s="7" t="s">
        <v>10</v>
      </c>
      <c r="H3245" s="7" t="s">
        <v>45</v>
      </c>
      <c r="I3245" s="20" t="s">
        <v>971</v>
      </c>
      <c r="J3245" s="20" t="s">
        <v>4572</v>
      </c>
      <c r="K3245" s="7" t="s">
        <v>119</v>
      </c>
      <c r="L3245" s="61">
        <v>46029</v>
      </c>
      <c r="M3245" s="7" t="s">
        <v>111</v>
      </c>
      <c r="N3245" s="61">
        <v>46029</v>
      </c>
      <c r="O3245" s="58">
        <v>46031</v>
      </c>
      <c r="R3245" s="126">
        <v>46034</v>
      </c>
    </row>
    <row r="3246" spans="2:18" ht="17.25" hidden="1" customHeight="1">
      <c r="B3246" s="23">
        <v>46027</v>
      </c>
      <c r="C3246" s="7">
        <v>2003869735</v>
      </c>
      <c r="D3246" s="20">
        <v>435709</v>
      </c>
      <c r="E3246" s="27" t="s">
        <v>185</v>
      </c>
      <c r="F3246" s="7" t="s">
        <v>107</v>
      </c>
      <c r="G3246" s="7" t="s">
        <v>10</v>
      </c>
      <c r="H3246" s="7" t="s">
        <v>45</v>
      </c>
      <c r="I3246" s="20" t="s">
        <v>1151</v>
      </c>
      <c r="J3246" s="20" t="s">
        <v>4573</v>
      </c>
      <c r="K3246" s="7" t="s">
        <v>110</v>
      </c>
      <c r="L3246" s="61">
        <v>46030</v>
      </c>
      <c r="M3246" s="7" t="s">
        <v>111</v>
      </c>
      <c r="N3246" s="61">
        <v>46031</v>
      </c>
      <c r="O3246" s="24">
        <v>46034</v>
      </c>
      <c r="Q3246" s="245"/>
      <c r="R3246" s="126">
        <v>46034</v>
      </c>
    </row>
    <row r="3247" spans="2:18" ht="17.25" hidden="1" customHeight="1">
      <c r="B3247" s="23">
        <v>46027</v>
      </c>
      <c r="C3247" s="7">
        <v>2003864950</v>
      </c>
      <c r="D3247" s="20">
        <v>435645</v>
      </c>
      <c r="E3247" s="27" t="s">
        <v>949</v>
      </c>
      <c r="F3247" s="7" t="s">
        <v>107</v>
      </c>
      <c r="G3247" s="7" t="s">
        <v>166</v>
      </c>
      <c r="H3247" s="7" t="s">
        <v>45</v>
      </c>
      <c r="I3247" s="20" t="s">
        <v>4370</v>
      </c>
      <c r="J3247" s="20" t="s">
        <v>4371</v>
      </c>
      <c r="K3247" s="7" t="s">
        <v>119</v>
      </c>
      <c r="L3247" s="61">
        <v>46028</v>
      </c>
      <c r="M3247" s="7" t="s">
        <v>111</v>
      </c>
      <c r="N3247" s="61">
        <v>46029</v>
      </c>
      <c r="O3247" s="61">
        <v>46029</v>
      </c>
      <c r="R3247" s="126">
        <v>46030</v>
      </c>
    </row>
    <row r="3248" spans="2:18" ht="17.25" hidden="1" customHeight="1">
      <c r="B3248" s="23">
        <v>46027</v>
      </c>
      <c r="C3248" s="7">
        <v>2003879994</v>
      </c>
      <c r="D3248" s="20">
        <v>435291</v>
      </c>
      <c r="E3248" s="27" t="s">
        <v>566</v>
      </c>
      <c r="F3248" s="7" t="s">
        <v>107</v>
      </c>
      <c r="G3248" s="7" t="s">
        <v>10</v>
      </c>
      <c r="H3248" s="7" t="s">
        <v>45</v>
      </c>
      <c r="I3248" s="20" t="s">
        <v>1964</v>
      </c>
      <c r="J3248" s="20" t="s">
        <v>4574</v>
      </c>
      <c r="K3248" s="7" t="s">
        <v>119</v>
      </c>
      <c r="L3248" s="61">
        <v>46030</v>
      </c>
      <c r="M3248" s="7" t="s">
        <v>111</v>
      </c>
      <c r="N3248" s="24">
        <v>45666</v>
      </c>
      <c r="O3248" s="24">
        <v>46034</v>
      </c>
      <c r="R3248" s="126">
        <v>46034</v>
      </c>
    </row>
    <row r="3249" spans="2:18" ht="17.25" hidden="1" customHeight="1">
      <c r="B3249" s="23">
        <v>46027</v>
      </c>
      <c r="C3249" s="7">
        <v>2003869867</v>
      </c>
      <c r="D3249" s="20">
        <v>434715</v>
      </c>
      <c r="E3249" s="27" t="s">
        <v>185</v>
      </c>
      <c r="F3249" s="7" t="s">
        <v>107</v>
      </c>
      <c r="G3249" s="7" t="s">
        <v>18</v>
      </c>
      <c r="H3249" s="7" t="s">
        <v>45</v>
      </c>
      <c r="I3249" s="20" t="s">
        <v>1848</v>
      </c>
      <c r="J3249" s="20" t="s">
        <v>4575</v>
      </c>
      <c r="K3249" s="7" t="s">
        <v>110</v>
      </c>
      <c r="L3249" s="61">
        <v>46029</v>
      </c>
      <c r="M3249" s="7" t="s">
        <v>111</v>
      </c>
      <c r="N3249" s="61">
        <v>46029</v>
      </c>
      <c r="O3249" s="58">
        <v>46031</v>
      </c>
      <c r="Q3249" s="245"/>
      <c r="R3249" s="126">
        <v>46034</v>
      </c>
    </row>
    <row r="3250" spans="2:18" ht="17.25" hidden="1" customHeight="1">
      <c r="B3250" s="23">
        <v>46027</v>
      </c>
      <c r="C3250" s="7">
        <v>2003886185</v>
      </c>
      <c r="D3250" s="20">
        <v>6572128</v>
      </c>
      <c r="E3250" s="27" t="s">
        <v>408</v>
      </c>
      <c r="F3250" s="7" t="s">
        <v>107</v>
      </c>
      <c r="G3250" s="7" t="s">
        <v>18</v>
      </c>
      <c r="H3250" s="7" t="s">
        <v>45</v>
      </c>
      <c r="I3250" s="20" t="s">
        <v>286</v>
      </c>
      <c r="J3250" s="20" t="s">
        <v>4576</v>
      </c>
      <c r="K3250" s="7" t="s">
        <v>110</v>
      </c>
      <c r="L3250" s="61">
        <v>46029</v>
      </c>
      <c r="M3250" s="7" t="s">
        <v>111</v>
      </c>
      <c r="N3250" s="61">
        <v>46029</v>
      </c>
      <c r="O3250" s="24">
        <v>46034</v>
      </c>
      <c r="Q3250" s="245"/>
      <c r="R3250" s="126">
        <v>46034</v>
      </c>
    </row>
    <row r="3251" spans="2:18" ht="17.25" hidden="1" customHeight="1">
      <c r="B3251" s="23">
        <v>46027</v>
      </c>
      <c r="C3251" s="7">
        <v>2003887162</v>
      </c>
      <c r="D3251" s="20">
        <v>6572539</v>
      </c>
      <c r="E3251" s="27" t="s">
        <v>185</v>
      </c>
      <c r="F3251" s="7" t="s">
        <v>107</v>
      </c>
      <c r="G3251" s="7" t="s">
        <v>10</v>
      </c>
      <c r="H3251" s="7" t="s">
        <v>45</v>
      </c>
      <c r="I3251" s="20" t="s">
        <v>4577</v>
      </c>
      <c r="J3251" s="20" t="s">
        <v>4578</v>
      </c>
      <c r="K3251" s="7" t="s">
        <v>110</v>
      </c>
      <c r="L3251" s="61">
        <v>46029</v>
      </c>
      <c r="M3251" s="7" t="s">
        <v>111</v>
      </c>
      <c r="N3251" s="61">
        <v>46029</v>
      </c>
      <c r="O3251" s="58">
        <v>46031</v>
      </c>
      <c r="Q3251" s="245"/>
      <c r="R3251" s="126">
        <v>46034</v>
      </c>
    </row>
    <row r="3252" spans="2:18" ht="17.25" hidden="1" customHeight="1">
      <c r="B3252" s="23">
        <v>46027</v>
      </c>
      <c r="C3252" s="7">
        <v>2003877406</v>
      </c>
      <c r="D3252" s="20">
        <v>6572559</v>
      </c>
      <c r="E3252" s="27" t="s">
        <v>230</v>
      </c>
      <c r="F3252" s="7" t="s">
        <v>107</v>
      </c>
      <c r="G3252" s="7" t="s">
        <v>18</v>
      </c>
      <c r="H3252" s="7" t="s">
        <v>45</v>
      </c>
      <c r="I3252" s="20" t="s">
        <v>4579</v>
      </c>
      <c r="J3252" s="20" t="s">
        <v>4580</v>
      </c>
      <c r="K3252" s="7" t="s">
        <v>110</v>
      </c>
      <c r="L3252" s="61">
        <v>46030</v>
      </c>
      <c r="M3252" s="7" t="s">
        <v>111</v>
      </c>
      <c r="N3252" s="61">
        <v>46031</v>
      </c>
      <c r="O3252" s="58">
        <v>46038</v>
      </c>
      <c r="Q3252" s="245"/>
      <c r="R3252" s="126">
        <v>46041</v>
      </c>
    </row>
    <row r="3253" spans="2:18" ht="17.25" hidden="1" customHeight="1">
      <c r="B3253" s="23">
        <v>46028</v>
      </c>
      <c r="C3253" s="7">
        <v>2003838874</v>
      </c>
      <c r="E3253" s="27" t="s">
        <v>123</v>
      </c>
      <c r="F3253" s="7" t="s">
        <v>107</v>
      </c>
      <c r="G3253" s="7" t="s">
        <v>21</v>
      </c>
      <c r="H3253" s="7" t="s">
        <v>45</v>
      </c>
      <c r="I3253" s="20" t="s">
        <v>4581</v>
      </c>
      <c r="J3253" s="20" t="s">
        <v>4223</v>
      </c>
      <c r="K3253" s="7" t="s">
        <v>119</v>
      </c>
      <c r="L3253" s="61">
        <v>46029</v>
      </c>
      <c r="M3253" s="7" t="s">
        <v>111</v>
      </c>
      <c r="N3253" s="24">
        <v>46030</v>
      </c>
      <c r="O3253" s="58">
        <v>46030</v>
      </c>
      <c r="R3253" s="126">
        <v>46030</v>
      </c>
    </row>
    <row r="3254" spans="2:18" ht="17.25" hidden="1" customHeight="1">
      <c r="B3254" s="23">
        <v>46028</v>
      </c>
      <c r="C3254" s="7">
        <v>2003865074</v>
      </c>
      <c r="D3254" s="20">
        <v>6573463</v>
      </c>
      <c r="E3254" s="27" t="s">
        <v>149</v>
      </c>
      <c r="F3254" s="7" t="s">
        <v>107</v>
      </c>
      <c r="G3254" s="7" t="s">
        <v>10</v>
      </c>
      <c r="H3254" s="7" t="s">
        <v>45</v>
      </c>
      <c r="I3254" s="20" t="s">
        <v>216</v>
      </c>
      <c r="J3254" s="20" t="s">
        <v>4582</v>
      </c>
      <c r="K3254" s="7" t="s">
        <v>110</v>
      </c>
      <c r="L3254" s="61">
        <v>46031</v>
      </c>
      <c r="M3254" s="7" t="s">
        <v>111</v>
      </c>
      <c r="N3254" s="61">
        <v>46031</v>
      </c>
      <c r="O3254" s="24">
        <v>46034</v>
      </c>
      <c r="Q3254" s="245"/>
      <c r="R3254" s="126">
        <v>46034</v>
      </c>
    </row>
    <row r="3255" spans="2:18" ht="17.25" hidden="1" customHeight="1">
      <c r="B3255" s="23">
        <v>46028</v>
      </c>
      <c r="C3255" s="7">
        <v>2003890511</v>
      </c>
      <c r="D3255" s="20">
        <v>6573505</v>
      </c>
      <c r="E3255" s="27" t="s">
        <v>138</v>
      </c>
      <c r="F3255" s="7" t="s">
        <v>107</v>
      </c>
      <c r="G3255" s="7" t="s">
        <v>10</v>
      </c>
      <c r="H3255" s="7" t="s">
        <v>45</v>
      </c>
      <c r="I3255" s="20" t="s">
        <v>4583</v>
      </c>
      <c r="J3255" s="20" t="s">
        <v>4584</v>
      </c>
      <c r="K3255" s="7" t="s">
        <v>119</v>
      </c>
      <c r="L3255" s="61">
        <v>46031</v>
      </c>
      <c r="M3255" s="7" t="s">
        <v>111</v>
      </c>
      <c r="N3255" s="24">
        <v>46034</v>
      </c>
      <c r="O3255" s="61">
        <v>46035</v>
      </c>
      <c r="R3255" s="126">
        <v>46036</v>
      </c>
    </row>
    <row r="3256" spans="2:18" ht="17.25" hidden="1" customHeight="1">
      <c r="B3256" s="23">
        <v>46028</v>
      </c>
      <c r="C3256" s="7">
        <v>2003829954</v>
      </c>
      <c r="D3256" s="20">
        <v>6573954</v>
      </c>
      <c r="E3256" s="27" t="s">
        <v>143</v>
      </c>
      <c r="F3256" s="7" t="s">
        <v>107</v>
      </c>
      <c r="G3256" s="7" t="s">
        <v>10</v>
      </c>
      <c r="H3256" s="7" t="s">
        <v>45</v>
      </c>
      <c r="I3256" s="20" t="s">
        <v>369</v>
      </c>
      <c r="J3256" s="20" t="s">
        <v>4241</v>
      </c>
      <c r="K3256" s="7" t="s">
        <v>110</v>
      </c>
      <c r="L3256" s="61">
        <v>46031</v>
      </c>
      <c r="M3256" s="7" t="s">
        <v>111</v>
      </c>
      <c r="N3256" s="61">
        <v>46031</v>
      </c>
      <c r="O3256" s="61">
        <v>46035</v>
      </c>
      <c r="Q3256" s="245"/>
      <c r="R3256" s="126">
        <v>46036</v>
      </c>
    </row>
    <row r="3257" spans="2:18" ht="17.25" hidden="1" customHeight="1">
      <c r="B3257" s="23">
        <v>46028</v>
      </c>
      <c r="C3257" s="7">
        <v>2003881315</v>
      </c>
      <c r="D3257" s="20">
        <v>438918</v>
      </c>
      <c r="E3257" s="27" t="s">
        <v>180</v>
      </c>
      <c r="F3257" s="7" t="s">
        <v>107</v>
      </c>
      <c r="G3257" s="7" t="s">
        <v>18</v>
      </c>
      <c r="H3257" s="7" t="s">
        <v>45</v>
      </c>
      <c r="I3257" s="20" t="s">
        <v>4585</v>
      </c>
      <c r="J3257" s="20" t="s">
        <v>4586</v>
      </c>
      <c r="K3257" s="7" t="s">
        <v>111</v>
      </c>
      <c r="L3257" s="61">
        <v>46029</v>
      </c>
      <c r="M3257" s="7" t="s">
        <v>111</v>
      </c>
      <c r="N3257" s="24">
        <v>46030</v>
      </c>
      <c r="O3257" s="24">
        <v>46030</v>
      </c>
      <c r="Q3257" s="245"/>
      <c r="R3257" s="126">
        <v>46030</v>
      </c>
    </row>
    <row r="3258" spans="2:18" ht="17.25" hidden="1" customHeight="1">
      <c r="B3258" s="23">
        <v>46028</v>
      </c>
      <c r="C3258" s="7">
        <v>2003887593</v>
      </c>
      <c r="D3258" s="20">
        <v>438875</v>
      </c>
      <c r="E3258" s="27" t="s">
        <v>106</v>
      </c>
      <c r="F3258" s="7" t="s">
        <v>107</v>
      </c>
      <c r="G3258" s="7" t="s">
        <v>10</v>
      </c>
      <c r="H3258" s="7" t="s">
        <v>45</v>
      </c>
      <c r="I3258" s="20" t="s">
        <v>778</v>
      </c>
      <c r="J3258" s="20" t="s">
        <v>4587</v>
      </c>
      <c r="K3258" s="7" t="s">
        <v>110</v>
      </c>
      <c r="L3258" s="61">
        <v>46030</v>
      </c>
      <c r="M3258" s="7" t="s">
        <v>111</v>
      </c>
      <c r="N3258" s="61">
        <v>46031</v>
      </c>
      <c r="O3258" s="61">
        <v>46031</v>
      </c>
      <c r="Q3258" s="245"/>
      <c r="R3258" s="126">
        <v>46034</v>
      </c>
    </row>
    <row r="3259" spans="2:18" ht="17.25" hidden="1" customHeight="1">
      <c r="B3259" s="23">
        <v>46028</v>
      </c>
      <c r="C3259" s="7">
        <v>2003884720</v>
      </c>
      <c r="D3259" s="20">
        <v>438859</v>
      </c>
      <c r="E3259" s="27" t="s">
        <v>191</v>
      </c>
      <c r="F3259" s="7" t="s">
        <v>107</v>
      </c>
      <c r="G3259" s="7" t="s">
        <v>10</v>
      </c>
      <c r="H3259" s="7" t="s">
        <v>45</v>
      </c>
      <c r="I3259" s="20" t="s">
        <v>4588</v>
      </c>
      <c r="J3259" s="20" t="s">
        <v>4589</v>
      </c>
      <c r="K3259" s="7" t="s">
        <v>119</v>
      </c>
      <c r="L3259" s="61">
        <v>46031</v>
      </c>
      <c r="M3259" s="7" t="s">
        <v>111</v>
      </c>
      <c r="N3259" s="24">
        <v>46034</v>
      </c>
      <c r="O3259" s="24">
        <v>46034</v>
      </c>
      <c r="R3259" s="126">
        <v>46034</v>
      </c>
    </row>
    <row r="3260" spans="2:18" ht="17.25" hidden="1" customHeight="1">
      <c r="B3260" s="23">
        <v>46028</v>
      </c>
      <c r="C3260" s="7">
        <v>2003877909</v>
      </c>
      <c r="D3260" s="20">
        <v>438277</v>
      </c>
      <c r="E3260" s="27" t="s">
        <v>126</v>
      </c>
      <c r="F3260" s="7" t="s">
        <v>107</v>
      </c>
      <c r="G3260" s="7" t="s">
        <v>10</v>
      </c>
      <c r="H3260" s="7" t="s">
        <v>45</v>
      </c>
      <c r="I3260" s="20" t="s">
        <v>4590</v>
      </c>
      <c r="J3260" s="20" t="s">
        <v>4591</v>
      </c>
      <c r="K3260" s="7" t="s">
        <v>119</v>
      </c>
      <c r="L3260" s="61">
        <v>46031</v>
      </c>
      <c r="M3260" s="7" t="s">
        <v>111</v>
      </c>
      <c r="N3260" s="24">
        <v>46034</v>
      </c>
      <c r="O3260" s="58">
        <v>46038</v>
      </c>
      <c r="R3260" s="126">
        <v>46041</v>
      </c>
    </row>
    <row r="3261" spans="2:18" ht="17.25" hidden="1" customHeight="1">
      <c r="B3261" s="23">
        <v>46028</v>
      </c>
      <c r="C3261" s="7">
        <v>2003881327</v>
      </c>
      <c r="D3261" s="20">
        <v>438268</v>
      </c>
      <c r="E3261" s="27" t="s">
        <v>135</v>
      </c>
      <c r="F3261" s="7" t="s">
        <v>113</v>
      </c>
      <c r="G3261" s="7" t="s">
        <v>70</v>
      </c>
      <c r="H3261" s="7" t="s">
        <v>47</v>
      </c>
      <c r="I3261" s="191" t="s">
        <v>4592</v>
      </c>
      <c r="J3261" s="20" t="s">
        <v>4593</v>
      </c>
      <c r="K3261" s="7" t="s">
        <v>110</v>
      </c>
      <c r="L3261" s="61">
        <v>46073</v>
      </c>
    </row>
    <row r="3262" spans="2:18" ht="17.25" hidden="1" customHeight="1">
      <c r="B3262" s="23">
        <v>46028</v>
      </c>
      <c r="C3262" s="7">
        <v>2003879321</v>
      </c>
      <c r="D3262" s="20">
        <v>437922</v>
      </c>
      <c r="E3262" s="27" t="s">
        <v>1225</v>
      </c>
      <c r="F3262" s="7" t="s">
        <v>107</v>
      </c>
      <c r="G3262" s="7" t="s">
        <v>10</v>
      </c>
      <c r="H3262" s="7" t="s">
        <v>45</v>
      </c>
      <c r="I3262" s="20" t="s">
        <v>4594</v>
      </c>
      <c r="J3262" s="20" t="s">
        <v>4595</v>
      </c>
      <c r="K3262" s="7" t="s">
        <v>119</v>
      </c>
      <c r="L3262" s="61">
        <v>46030</v>
      </c>
      <c r="M3262" s="7" t="s">
        <v>111</v>
      </c>
      <c r="N3262" s="61">
        <v>46044</v>
      </c>
      <c r="O3262" s="61">
        <v>46044</v>
      </c>
      <c r="R3262" s="126">
        <v>46045</v>
      </c>
    </row>
    <row r="3263" spans="2:18" ht="17.25" hidden="1" customHeight="1">
      <c r="B3263" s="23">
        <v>46028</v>
      </c>
      <c r="C3263" s="7">
        <v>2003888031</v>
      </c>
      <c r="D3263" s="20">
        <v>436119</v>
      </c>
      <c r="E3263" s="27" t="s">
        <v>129</v>
      </c>
      <c r="F3263" s="7" t="s">
        <v>113</v>
      </c>
      <c r="G3263" s="7" t="s">
        <v>70</v>
      </c>
      <c r="H3263" s="7" t="s">
        <v>47</v>
      </c>
      <c r="I3263" s="20" t="s">
        <v>606</v>
      </c>
      <c r="J3263" s="20" t="s">
        <v>4596</v>
      </c>
      <c r="K3263" s="7" t="s">
        <v>160</v>
      </c>
    </row>
    <row r="3264" spans="2:18" ht="17.25" hidden="1" customHeight="1">
      <c r="B3264" s="23">
        <v>46029</v>
      </c>
      <c r="C3264" s="7">
        <v>2003856913</v>
      </c>
      <c r="D3264" s="20">
        <v>440978</v>
      </c>
      <c r="E3264" s="27" t="s">
        <v>622</v>
      </c>
      <c r="F3264" s="7" t="s">
        <v>107</v>
      </c>
      <c r="G3264" s="7" t="s">
        <v>10</v>
      </c>
      <c r="H3264" s="7" t="s">
        <v>45</v>
      </c>
      <c r="I3264" s="20" t="s">
        <v>4597</v>
      </c>
      <c r="J3264" s="20" t="s">
        <v>4598</v>
      </c>
      <c r="K3264" s="7" t="s">
        <v>119</v>
      </c>
      <c r="L3264" s="61">
        <v>46035</v>
      </c>
      <c r="M3264" s="7" t="s">
        <v>146</v>
      </c>
      <c r="N3264" s="24">
        <v>46050</v>
      </c>
      <c r="O3264" s="58">
        <v>46050</v>
      </c>
      <c r="R3264" s="126">
        <v>46050</v>
      </c>
    </row>
    <row r="3265" spans="2:18" ht="17.25" hidden="1" customHeight="1">
      <c r="B3265" s="23">
        <v>46029</v>
      </c>
      <c r="C3265" s="7">
        <v>2003895500</v>
      </c>
      <c r="D3265" s="20">
        <v>440777</v>
      </c>
      <c r="E3265" s="27" t="s">
        <v>1225</v>
      </c>
      <c r="F3265" s="7" t="s">
        <v>107</v>
      </c>
      <c r="G3265" s="7" t="s">
        <v>18</v>
      </c>
      <c r="H3265" s="7" t="s">
        <v>45</v>
      </c>
      <c r="I3265" s="20" t="s">
        <v>4599</v>
      </c>
      <c r="J3265" s="20" t="s">
        <v>4600</v>
      </c>
      <c r="K3265" s="7" t="s">
        <v>110</v>
      </c>
      <c r="L3265" s="61">
        <v>46031</v>
      </c>
      <c r="M3265" s="7" t="s">
        <v>111</v>
      </c>
      <c r="N3265" s="61">
        <v>46031</v>
      </c>
      <c r="O3265" s="61">
        <v>46031</v>
      </c>
      <c r="Q3265" s="245"/>
      <c r="R3265" s="126">
        <v>46034</v>
      </c>
    </row>
    <row r="3266" spans="2:18" ht="17.25" hidden="1" customHeight="1">
      <c r="B3266" s="23">
        <v>46029</v>
      </c>
      <c r="C3266" s="7">
        <v>2003889004</v>
      </c>
      <c r="D3266" s="20">
        <v>440804</v>
      </c>
      <c r="E3266" s="27" t="s">
        <v>123</v>
      </c>
      <c r="F3266" s="7" t="s">
        <v>107</v>
      </c>
      <c r="G3266" s="7" t="s">
        <v>18</v>
      </c>
      <c r="H3266" s="7" t="s">
        <v>45</v>
      </c>
      <c r="I3266" s="20" t="s">
        <v>1042</v>
      </c>
      <c r="J3266" s="20" t="s">
        <v>1043</v>
      </c>
      <c r="K3266" s="7" t="s">
        <v>119</v>
      </c>
      <c r="L3266" s="61">
        <v>46030</v>
      </c>
      <c r="M3266" s="7" t="s">
        <v>111</v>
      </c>
      <c r="N3266" s="24">
        <v>45666</v>
      </c>
      <c r="O3266" s="61">
        <v>46034</v>
      </c>
      <c r="R3266" s="126">
        <v>46036</v>
      </c>
    </row>
    <row r="3267" spans="2:18" ht="17.25" hidden="1" customHeight="1">
      <c r="B3267" s="23">
        <v>46029</v>
      </c>
      <c r="C3267" s="7">
        <v>2003891203</v>
      </c>
      <c r="D3267" s="20">
        <v>440632</v>
      </c>
      <c r="E3267" s="27" t="s">
        <v>568</v>
      </c>
      <c r="F3267" s="7" t="s">
        <v>107</v>
      </c>
      <c r="G3267" s="7" t="s">
        <v>10</v>
      </c>
      <c r="H3267" s="7" t="s">
        <v>45</v>
      </c>
      <c r="I3267" s="20" t="s">
        <v>4601</v>
      </c>
      <c r="J3267" s="20" t="s">
        <v>4602</v>
      </c>
      <c r="K3267" s="7" t="s">
        <v>119</v>
      </c>
      <c r="L3267" s="61">
        <v>46031</v>
      </c>
      <c r="M3267" s="7" t="s">
        <v>111</v>
      </c>
      <c r="N3267" s="24">
        <v>46037</v>
      </c>
      <c r="O3267" s="24">
        <v>46037</v>
      </c>
      <c r="R3267" s="126">
        <v>46041</v>
      </c>
    </row>
    <row r="3268" spans="2:18" ht="17.25" hidden="1" customHeight="1">
      <c r="B3268" s="23">
        <v>46029</v>
      </c>
      <c r="C3268" s="7">
        <v>2003838874</v>
      </c>
      <c r="D3268" s="20">
        <v>440237</v>
      </c>
      <c r="E3268" s="27" t="s">
        <v>123</v>
      </c>
      <c r="F3268" s="7" t="s">
        <v>107</v>
      </c>
      <c r="G3268" s="7" t="s">
        <v>21</v>
      </c>
      <c r="H3268" s="7" t="s">
        <v>45</v>
      </c>
      <c r="I3268" s="20" t="s">
        <v>4266</v>
      </c>
      <c r="J3268" s="20" t="s">
        <v>4223</v>
      </c>
      <c r="K3268" s="7" t="s">
        <v>119</v>
      </c>
      <c r="L3268" s="61">
        <v>46029</v>
      </c>
      <c r="M3268" s="7" t="s">
        <v>111</v>
      </c>
      <c r="N3268" s="24">
        <v>45666</v>
      </c>
      <c r="O3268" s="24">
        <v>45666</v>
      </c>
      <c r="R3268" s="126">
        <v>46034</v>
      </c>
    </row>
    <row r="3269" spans="2:18" ht="17.25" hidden="1" customHeight="1">
      <c r="B3269" s="23">
        <v>46029</v>
      </c>
      <c r="C3269" s="7">
        <v>2003895476</v>
      </c>
      <c r="D3269" s="20">
        <v>440231</v>
      </c>
      <c r="E3269" s="27" t="s">
        <v>180</v>
      </c>
      <c r="F3269" s="7" t="s">
        <v>113</v>
      </c>
      <c r="G3269" s="7" t="s">
        <v>70</v>
      </c>
      <c r="H3269" s="7" t="s">
        <v>47</v>
      </c>
      <c r="I3269" s="20" t="s">
        <v>306</v>
      </c>
      <c r="J3269" s="20" t="s">
        <v>4603</v>
      </c>
      <c r="K3269" s="7" t="s">
        <v>110</v>
      </c>
      <c r="L3269" s="61">
        <v>46049</v>
      </c>
    </row>
    <row r="3270" spans="2:18" ht="17.25" hidden="1" customHeight="1">
      <c r="B3270" s="23">
        <v>46029</v>
      </c>
      <c r="C3270" s="7">
        <v>2003755624</v>
      </c>
      <c r="D3270" s="20">
        <v>440218</v>
      </c>
      <c r="E3270" s="27" t="s">
        <v>157</v>
      </c>
      <c r="F3270" s="7" t="s">
        <v>107</v>
      </c>
      <c r="G3270" s="7" t="s">
        <v>15</v>
      </c>
      <c r="H3270" s="7" t="s">
        <v>45</v>
      </c>
      <c r="I3270" s="20" t="s">
        <v>620</v>
      </c>
      <c r="J3270" s="20" t="s">
        <v>3952</v>
      </c>
      <c r="K3270" s="7" t="s">
        <v>119</v>
      </c>
      <c r="L3270" s="61">
        <v>46029</v>
      </c>
      <c r="M3270" s="7" t="s">
        <v>111</v>
      </c>
      <c r="N3270" s="24">
        <v>45666</v>
      </c>
      <c r="O3270" s="61">
        <v>46034</v>
      </c>
      <c r="R3270" s="126">
        <v>46036</v>
      </c>
    </row>
    <row r="3271" spans="2:18" ht="17.25" hidden="1" customHeight="1">
      <c r="B3271" s="23">
        <v>46029</v>
      </c>
      <c r="C3271" s="7">
        <v>2003886240</v>
      </c>
      <c r="D3271" s="20">
        <v>439708</v>
      </c>
      <c r="E3271" s="27" t="s">
        <v>149</v>
      </c>
      <c r="F3271" s="7" t="s">
        <v>107</v>
      </c>
      <c r="G3271" s="7" t="s">
        <v>15</v>
      </c>
      <c r="H3271" s="7" t="s">
        <v>45</v>
      </c>
      <c r="I3271" s="20" t="s">
        <v>4604</v>
      </c>
      <c r="J3271" s="20" t="s">
        <v>4605</v>
      </c>
      <c r="K3271" s="7" t="s">
        <v>119</v>
      </c>
      <c r="L3271" s="61">
        <v>46045</v>
      </c>
      <c r="M3271" s="7" t="s">
        <v>111</v>
      </c>
      <c r="N3271" s="61">
        <v>46065</v>
      </c>
      <c r="O3271" s="61">
        <v>46065</v>
      </c>
      <c r="R3271" s="126">
        <v>46065</v>
      </c>
    </row>
    <row r="3272" spans="2:18" ht="17.25" hidden="1" customHeight="1">
      <c r="B3272" s="23">
        <v>46029</v>
      </c>
      <c r="C3272" s="7">
        <v>2003892277</v>
      </c>
      <c r="D3272" s="20">
        <v>439503</v>
      </c>
      <c r="E3272" s="27" t="s">
        <v>123</v>
      </c>
      <c r="F3272" s="7" t="s">
        <v>107</v>
      </c>
      <c r="G3272" s="7" t="s">
        <v>10</v>
      </c>
      <c r="H3272" s="7" t="s">
        <v>45</v>
      </c>
      <c r="I3272" s="20" t="s">
        <v>4606</v>
      </c>
      <c r="J3272" s="20" t="s">
        <v>4607</v>
      </c>
      <c r="K3272" s="7" t="s">
        <v>119</v>
      </c>
      <c r="L3272" s="61">
        <v>46031</v>
      </c>
      <c r="M3272" s="7" t="s">
        <v>111</v>
      </c>
      <c r="N3272" s="61">
        <v>46034</v>
      </c>
      <c r="O3272" s="61">
        <v>46035</v>
      </c>
      <c r="R3272" s="126">
        <v>46036</v>
      </c>
    </row>
    <row r="3273" spans="2:18" ht="17.25" hidden="1" customHeight="1">
      <c r="B3273" s="23">
        <v>46029</v>
      </c>
      <c r="C3273" s="7">
        <v>2003886509</v>
      </c>
      <c r="D3273" s="20">
        <v>6574100</v>
      </c>
      <c r="E3273" s="27" t="s">
        <v>191</v>
      </c>
      <c r="F3273" s="7" t="s">
        <v>107</v>
      </c>
      <c r="G3273" s="7" t="s">
        <v>18</v>
      </c>
      <c r="H3273" s="7" t="s">
        <v>45</v>
      </c>
      <c r="I3273" s="20" t="s">
        <v>4608</v>
      </c>
      <c r="J3273" s="20" t="s">
        <v>4609</v>
      </c>
      <c r="K3273" s="7" t="s">
        <v>110</v>
      </c>
      <c r="L3273" s="61">
        <v>46031</v>
      </c>
      <c r="M3273" s="7" t="s">
        <v>111</v>
      </c>
      <c r="N3273" s="61">
        <v>46031</v>
      </c>
      <c r="O3273" s="61">
        <v>46031</v>
      </c>
      <c r="Q3273" s="245"/>
      <c r="R3273" s="126">
        <v>46034</v>
      </c>
    </row>
    <row r="3274" spans="2:18" ht="17.25" hidden="1" customHeight="1">
      <c r="B3274" s="23">
        <v>46029</v>
      </c>
      <c r="C3274" s="7">
        <v>2003881234</v>
      </c>
      <c r="D3274" s="20">
        <v>6574470</v>
      </c>
      <c r="E3274" s="27" t="s">
        <v>1225</v>
      </c>
      <c r="F3274" s="7" t="s">
        <v>107</v>
      </c>
      <c r="G3274" s="7" t="s">
        <v>10</v>
      </c>
      <c r="H3274" s="7" t="s">
        <v>45</v>
      </c>
      <c r="I3274" s="20" t="s">
        <v>4610</v>
      </c>
      <c r="J3274" s="20" t="s">
        <v>4611</v>
      </c>
      <c r="K3274" s="7" t="s">
        <v>119</v>
      </c>
      <c r="L3274" s="61">
        <v>46031</v>
      </c>
      <c r="M3274" s="7" t="s">
        <v>111</v>
      </c>
      <c r="N3274" s="61">
        <v>46034</v>
      </c>
      <c r="O3274" s="61">
        <v>46034</v>
      </c>
      <c r="R3274" s="126">
        <v>46034</v>
      </c>
    </row>
    <row r="3275" spans="2:18" ht="17.25" hidden="1" customHeight="1">
      <c r="B3275" s="23">
        <v>46029</v>
      </c>
      <c r="C3275" s="7">
        <v>2003870984</v>
      </c>
      <c r="D3275" s="20">
        <v>6574638</v>
      </c>
      <c r="E3275" s="27" t="s">
        <v>185</v>
      </c>
      <c r="F3275" s="7" t="s">
        <v>107</v>
      </c>
      <c r="G3275" s="7" t="s">
        <v>18</v>
      </c>
      <c r="H3275" s="7" t="s">
        <v>45</v>
      </c>
      <c r="I3275" s="20" t="s">
        <v>4612</v>
      </c>
      <c r="J3275" s="20" t="s">
        <v>4613</v>
      </c>
      <c r="K3275" s="7" t="s">
        <v>110</v>
      </c>
      <c r="L3275" s="61">
        <v>46031</v>
      </c>
      <c r="M3275" s="7" t="s">
        <v>111</v>
      </c>
      <c r="N3275" s="24">
        <v>46037</v>
      </c>
      <c r="O3275" s="24">
        <v>46037</v>
      </c>
      <c r="Q3275" s="245"/>
      <c r="R3275" s="126">
        <v>46041</v>
      </c>
    </row>
    <row r="3276" spans="2:18" ht="17.25" hidden="1" customHeight="1">
      <c r="B3276" s="23">
        <v>46029</v>
      </c>
      <c r="C3276" s="7">
        <v>2003870875</v>
      </c>
      <c r="D3276" s="20">
        <v>6574714</v>
      </c>
      <c r="E3276" s="27" t="s">
        <v>143</v>
      </c>
      <c r="F3276" s="7" t="s">
        <v>107</v>
      </c>
      <c r="G3276" s="7" t="s">
        <v>10</v>
      </c>
      <c r="H3276" s="7" t="s">
        <v>45</v>
      </c>
      <c r="I3276" s="236" t="s">
        <v>4614</v>
      </c>
      <c r="J3276" s="20" t="s">
        <v>4434</v>
      </c>
      <c r="K3276" s="7" t="s">
        <v>146</v>
      </c>
      <c r="L3276" s="61">
        <v>46029</v>
      </c>
      <c r="M3276" s="7" t="s">
        <v>111</v>
      </c>
      <c r="N3276" s="24">
        <v>46041</v>
      </c>
      <c r="O3276" s="58">
        <v>46041</v>
      </c>
      <c r="Q3276" s="245"/>
      <c r="R3276" s="126">
        <v>46041</v>
      </c>
    </row>
    <row r="3277" spans="2:18" ht="17.25" hidden="1" customHeight="1">
      <c r="B3277" s="23">
        <v>46029</v>
      </c>
      <c r="C3277" s="7">
        <v>2003665218</v>
      </c>
      <c r="D3277" s="20">
        <v>6574732</v>
      </c>
      <c r="E3277" s="27" t="s">
        <v>191</v>
      </c>
      <c r="F3277" s="7" t="s">
        <v>107</v>
      </c>
      <c r="G3277" s="7" t="s">
        <v>10</v>
      </c>
      <c r="H3277" s="7" t="s">
        <v>45</v>
      </c>
      <c r="I3277" s="20" t="s">
        <v>4615</v>
      </c>
      <c r="J3277" s="20" t="s">
        <v>2364</v>
      </c>
      <c r="K3277" s="7" t="s">
        <v>110</v>
      </c>
      <c r="L3277" s="61">
        <v>46030</v>
      </c>
      <c r="M3277" s="7" t="s">
        <v>111</v>
      </c>
      <c r="N3277" s="24">
        <v>46041</v>
      </c>
      <c r="O3277" s="58">
        <v>46041</v>
      </c>
      <c r="Q3277" s="245"/>
      <c r="R3277" s="126">
        <v>46041</v>
      </c>
    </row>
    <row r="3278" spans="2:18" ht="17.25" hidden="1" customHeight="1">
      <c r="B3278" s="23">
        <v>46029</v>
      </c>
      <c r="C3278" s="7">
        <v>2003873687</v>
      </c>
      <c r="D3278" s="20">
        <v>6574828</v>
      </c>
      <c r="E3278" s="27" t="s">
        <v>408</v>
      </c>
      <c r="F3278" s="7" t="s">
        <v>107</v>
      </c>
      <c r="G3278" s="7" t="s">
        <v>10</v>
      </c>
      <c r="H3278" s="7" t="s">
        <v>45</v>
      </c>
      <c r="I3278" s="20" t="s">
        <v>282</v>
      </c>
      <c r="J3278" s="20" t="s">
        <v>2276</v>
      </c>
      <c r="K3278" s="7" t="s">
        <v>110</v>
      </c>
      <c r="L3278" s="61">
        <v>46035</v>
      </c>
      <c r="M3278" s="7" t="s">
        <v>111</v>
      </c>
      <c r="N3278" s="61">
        <v>46035</v>
      </c>
      <c r="O3278" s="58">
        <v>46038</v>
      </c>
      <c r="Q3278" s="245"/>
      <c r="R3278" s="126">
        <v>46041</v>
      </c>
    </row>
    <row r="3279" spans="2:18" ht="17.25" hidden="1" customHeight="1">
      <c r="B3279" s="23">
        <v>46029</v>
      </c>
      <c r="C3279" s="7">
        <v>2003817732</v>
      </c>
      <c r="D3279" s="20">
        <v>263813</v>
      </c>
      <c r="E3279" s="20" t="s">
        <v>4506</v>
      </c>
      <c r="F3279" s="7" t="s">
        <v>107</v>
      </c>
      <c r="G3279" s="7" t="s">
        <v>18</v>
      </c>
      <c r="H3279" s="7" t="s">
        <v>45</v>
      </c>
      <c r="I3279" s="20" t="s">
        <v>4616</v>
      </c>
      <c r="J3279" s="20" t="s">
        <v>4507</v>
      </c>
      <c r="K3279" s="7" t="s">
        <v>110</v>
      </c>
      <c r="L3279" s="61">
        <v>46030</v>
      </c>
      <c r="M3279" s="7" t="s">
        <v>111</v>
      </c>
      <c r="N3279" s="61">
        <v>46035</v>
      </c>
      <c r="O3279" s="61">
        <v>46035</v>
      </c>
      <c r="Q3279" s="245"/>
      <c r="R3279" s="126">
        <v>46036</v>
      </c>
    </row>
    <row r="3280" spans="2:18" ht="17.25" hidden="1" customHeight="1">
      <c r="B3280" s="23">
        <v>46030</v>
      </c>
      <c r="C3280" s="7">
        <v>2003887521</v>
      </c>
      <c r="D3280" s="20">
        <v>442643</v>
      </c>
      <c r="E3280" s="27" t="s">
        <v>143</v>
      </c>
      <c r="F3280" s="7" t="s">
        <v>113</v>
      </c>
      <c r="G3280" s="7" t="s">
        <v>70</v>
      </c>
      <c r="H3280" s="7" t="s">
        <v>47</v>
      </c>
      <c r="I3280" s="20" t="s">
        <v>1634</v>
      </c>
      <c r="J3280" s="20" t="s">
        <v>4542</v>
      </c>
      <c r="K3280" s="7" t="s">
        <v>160</v>
      </c>
    </row>
    <row r="3281" spans="2:18" ht="17.25" hidden="1" customHeight="1">
      <c r="B3281" s="23">
        <v>46030</v>
      </c>
      <c r="C3281" s="7">
        <v>2003889594</v>
      </c>
      <c r="D3281" s="20">
        <v>442426</v>
      </c>
      <c r="E3281" s="27" t="s">
        <v>408</v>
      </c>
      <c r="F3281" s="7" t="s">
        <v>107</v>
      </c>
      <c r="G3281" s="7" t="s">
        <v>18</v>
      </c>
      <c r="H3281" s="7" t="s">
        <v>45</v>
      </c>
      <c r="I3281" s="20" t="s">
        <v>2656</v>
      </c>
      <c r="J3281" s="20" t="s">
        <v>4617</v>
      </c>
      <c r="K3281" s="7" t="s">
        <v>110</v>
      </c>
      <c r="L3281" s="61">
        <v>46031</v>
      </c>
      <c r="M3281" s="7" t="s">
        <v>111</v>
      </c>
      <c r="N3281" s="61">
        <v>46031</v>
      </c>
      <c r="O3281" s="61">
        <v>46034</v>
      </c>
      <c r="Q3281" s="245"/>
      <c r="R3281" s="126">
        <v>46036</v>
      </c>
    </row>
    <row r="3282" spans="2:18" ht="17.25" hidden="1" customHeight="1">
      <c r="B3282" s="23">
        <v>46030</v>
      </c>
      <c r="C3282" s="7">
        <v>2003874819</v>
      </c>
      <c r="D3282" s="20">
        <v>442071</v>
      </c>
      <c r="E3282" s="27" t="s">
        <v>408</v>
      </c>
      <c r="F3282" s="7" t="s">
        <v>107</v>
      </c>
      <c r="G3282" s="7" t="s">
        <v>10</v>
      </c>
      <c r="H3282" s="7" t="s">
        <v>45</v>
      </c>
      <c r="I3282" s="20" t="s">
        <v>4618</v>
      </c>
      <c r="J3282" s="20" t="s">
        <v>4619</v>
      </c>
      <c r="K3282" s="7" t="s">
        <v>119</v>
      </c>
      <c r="L3282" s="61">
        <v>46035</v>
      </c>
      <c r="M3282" s="7" t="s">
        <v>146</v>
      </c>
      <c r="N3282" s="24">
        <v>46045</v>
      </c>
      <c r="O3282" s="58">
        <v>46045</v>
      </c>
      <c r="R3282" s="126">
        <v>46045</v>
      </c>
    </row>
    <row r="3283" spans="2:18" ht="17.25" hidden="1" customHeight="1">
      <c r="B3283" s="23">
        <v>46030</v>
      </c>
      <c r="C3283" s="7">
        <v>2003764420</v>
      </c>
      <c r="D3283" s="20">
        <v>6575369</v>
      </c>
      <c r="E3283" s="27" t="s">
        <v>230</v>
      </c>
      <c r="F3283" s="7" t="s">
        <v>107</v>
      </c>
      <c r="G3283" s="7" t="s">
        <v>10</v>
      </c>
      <c r="H3283" s="7" t="s">
        <v>45</v>
      </c>
      <c r="I3283" s="20" t="s">
        <v>4620</v>
      </c>
      <c r="J3283" s="20" t="s">
        <v>4488</v>
      </c>
      <c r="K3283" s="7" t="s">
        <v>110</v>
      </c>
      <c r="L3283" s="61">
        <v>46030</v>
      </c>
      <c r="M3283" s="7" t="s">
        <v>111</v>
      </c>
      <c r="N3283" s="61">
        <v>46034</v>
      </c>
      <c r="O3283" s="61">
        <v>46035</v>
      </c>
      <c r="Q3283" s="245"/>
      <c r="R3283" s="126">
        <v>46036</v>
      </c>
    </row>
    <row r="3284" spans="2:18" ht="17.25" hidden="1" customHeight="1">
      <c r="B3284" s="23">
        <v>46030</v>
      </c>
      <c r="C3284" s="7">
        <v>2003895543</v>
      </c>
      <c r="D3284" s="20">
        <v>6575373</v>
      </c>
      <c r="E3284" s="27" t="s">
        <v>191</v>
      </c>
      <c r="F3284" s="7" t="s">
        <v>107</v>
      </c>
      <c r="G3284" s="7" t="s">
        <v>10</v>
      </c>
      <c r="H3284" s="7" t="s">
        <v>45</v>
      </c>
      <c r="I3284" s="20" t="s">
        <v>4621</v>
      </c>
      <c r="J3284" s="20" t="s">
        <v>4622</v>
      </c>
      <c r="K3284" s="7" t="s">
        <v>110</v>
      </c>
      <c r="L3284" s="61">
        <v>46041</v>
      </c>
      <c r="M3284" s="7" t="s">
        <v>146</v>
      </c>
      <c r="N3284" s="24">
        <v>46042</v>
      </c>
      <c r="O3284" s="58">
        <v>46043</v>
      </c>
      <c r="Q3284" s="245"/>
      <c r="R3284" s="126">
        <v>46043</v>
      </c>
    </row>
    <row r="3285" spans="2:18" ht="17.25" hidden="1" customHeight="1">
      <c r="B3285" s="23">
        <v>46030</v>
      </c>
      <c r="C3285" s="7">
        <v>2003888577</v>
      </c>
      <c r="D3285" s="20">
        <v>6575436</v>
      </c>
      <c r="E3285" s="27" t="s">
        <v>106</v>
      </c>
      <c r="F3285" s="7" t="s">
        <v>107</v>
      </c>
      <c r="G3285" s="7" t="s">
        <v>18</v>
      </c>
      <c r="H3285" s="7" t="s">
        <v>45</v>
      </c>
      <c r="I3285" s="20" t="s">
        <v>4623</v>
      </c>
      <c r="J3285" s="20" t="s">
        <v>4624</v>
      </c>
      <c r="K3285" s="7" t="s">
        <v>119</v>
      </c>
      <c r="L3285" s="61">
        <v>46042</v>
      </c>
      <c r="M3285" s="7" t="s">
        <v>111</v>
      </c>
      <c r="N3285" s="24">
        <v>46045</v>
      </c>
      <c r="O3285" s="24">
        <v>46045</v>
      </c>
      <c r="R3285" s="126">
        <v>46045</v>
      </c>
    </row>
    <row r="3286" spans="2:18" ht="17.25" hidden="1" customHeight="1">
      <c r="B3286" s="23">
        <v>46030</v>
      </c>
      <c r="C3286" s="7">
        <v>2003861902</v>
      </c>
      <c r="D3286" s="20">
        <v>6575492</v>
      </c>
      <c r="E3286" s="27" t="s">
        <v>1225</v>
      </c>
      <c r="F3286" s="7" t="s">
        <v>107</v>
      </c>
      <c r="G3286" s="7" t="s">
        <v>10</v>
      </c>
      <c r="H3286" s="7" t="s">
        <v>45</v>
      </c>
      <c r="I3286" s="20" t="s">
        <v>2138</v>
      </c>
      <c r="J3286" s="20" t="s">
        <v>4625</v>
      </c>
      <c r="K3286" s="7" t="s">
        <v>110</v>
      </c>
      <c r="L3286" s="61">
        <v>46037</v>
      </c>
      <c r="M3286" s="7" t="s">
        <v>111</v>
      </c>
      <c r="N3286" s="61">
        <v>46037</v>
      </c>
      <c r="O3286" s="58">
        <v>46038</v>
      </c>
      <c r="Q3286" s="245"/>
      <c r="R3286" s="126">
        <v>46041</v>
      </c>
    </row>
    <row r="3287" spans="2:18" ht="17.25" hidden="1" customHeight="1">
      <c r="B3287" s="23">
        <v>46030</v>
      </c>
      <c r="C3287" s="7">
        <v>2003856757</v>
      </c>
      <c r="D3287" s="20">
        <v>6575630</v>
      </c>
      <c r="E3287" s="27" t="s">
        <v>198</v>
      </c>
      <c r="F3287" s="7" t="s">
        <v>107</v>
      </c>
      <c r="G3287" s="7" t="s">
        <v>10</v>
      </c>
      <c r="H3287" s="7" t="s">
        <v>45</v>
      </c>
      <c r="I3287" s="20" t="s">
        <v>3540</v>
      </c>
      <c r="J3287" s="20" t="s">
        <v>905</v>
      </c>
      <c r="K3287" s="7" t="s">
        <v>119</v>
      </c>
      <c r="L3287" s="61">
        <v>46035</v>
      </c>
      <c r="M3287" s="7" t="s">
        <v>111</v>
      </c>
      <c r="N3287" s="24">
        <v>46036</v>
      </c>
      <c r="O3287" s="58">
        <v>46038</v>
      </c>
      <c r="R3287" s="126">
        <v>46041</v>
      </c>
    </row>
    <row r="3288" spans="2:18" ht="17.25" hidden="1" customHeight="1">
      <c r="B3288" s="23">
        <v>46030</v>
      </c>
      <c r="C3288" s="7">
        <v>2003806339</v>
      </c>
      <c r="D3288" s="20">
        <v>6575638</v>
      </c>
      <c r="E3288" s="27" t="s">
        <v>408</v>
      </c>
      <c r="F3288" s="7" t="s">
        <v>107</v>
      </c>
      <c r="G3288" s="7" t="s">
        <v>10</v>
      </c>
      <c r="H3288" s="7" t="s">
        <v>45</v>
      </c>
      <c r="I3288" s="20" t="s">
        <v>3300</v>
      </c>
      <c r="J3288" s="20" t="s">
        <v>4435</v>
      </c>
      <c r="K3288" s="7" t="s">
        <v>110</v>
      </c>
      <c r="L3288" s="61">
        <v>46034</v>
      </c>
      <c r="M3288" s="7" t="s">
        <v>111</v>
      </c>
      <c r="N3288" s="61">
        <v>46034</v>
      </c>
      <c r="O3288" s="61">
        <v>46035</v>
      </c>
      <c r="R3288" s="126">
        <v>45671</v>
      </c>
    </row>
    <row r="3289" spans="2:18" ht="17.25" hidden="1" customHeight="1">
      <c r="B3289" s="23">
        <v>46031</v>
      </c>
      <c r="C3289" s="7">
        <v>2003884407</v>
      </c>
      <c r="D3289" s="20">
        <v>444756</v>
      </c>
      <c r="E3289" s="27" t="s">
        <v>123</v>
      </c>
      <c r="F3289" s="7" t="s">
        <v>107</v>
      </c>
      <c r="G3289" s="7" t="s">
        <v>10</v>
      </c>
      <c r="H3289" s="7" t="s">
        <v>45</v>
      </c>
      <c r="I3289" s="20" t="s">
        <v>3478</v>
      </c>
      <c r="J3289" s="20" t="s">
        <v>4626</v>
      </c>
      <c r="K3289" s="7" t="s">
        <v>119</v>
      </c>
      <c r="L3289" s="61">
        <v>46041</v>
      </c>
      <c r="M3289" s="7" t="s">
        <v>111</v>
      </c>
      <c r="N3289" s="24">
        <v>46042</v>
      </c>
      <c r="O3289" s="58">
        <v>46048</v>
      </c>
      <c r="R3289" s="126">
        <v>46048</v>
      </c>
    </row>
    <row r="3290" spans="2:18" ht="17.25" hidden="1" customHeight="1">
      <c r="B3290" s="23">
        <v>46031</v>
      </c>
      <c r="C3290" s="7">
        <v>2003896435</v>
      </c>
      <c r="D3290" s="20">
        <v>444826</v>
      </c>
      <c r="E3290" s="27" t="s">
        <v>143</v>
      </c>
      <c r="F3290" s="7" t="s">
        <v>107</v>
      </c>
      <c r="G3290" s="7" t="s">
        <v>10</v>
      </c>
      <c r="H3290" s="7" t="s">
        <v>45</v>
      </c>
      <c r="I3290" s="20" t="s">
        <v>4627</v>
      </c>
      <c r="J3290" s="20" t="s">
        <v>4628</v>
      </c>
      <c r="K3290" s="7" t="s">
        <v>110</v>
      </c>
      <c r="L3290" s="61">
        <v>46038</v>
      </c>
      <c r="M3290" s="7" t="s">
        <v>111</v>
      </c>
      <c r="N3290" s="61">
        <v>46038</v>
      </c>
      <c r="O3290" s="61">
        <v>46038</v>
      </c>
      <c r="R3290" s="126">
        <v>46038</v>
      </c>
    </row>
    <row r="3291" spans="2:18" ht="17.25" hidden="1" customHeight="1">
      <c r="B3291" s="23">
        <v>46031</v>
      </c>
      <c r="C3291" s="7">
        <v>2003894912</v>
      </c>
      <c r="D3291" s="20">
        <v>444689</v>
      </c>
      <c r="E3291" s="27" t="s">
        <v>157</v>
      </c>
      <c r="F3291" s="7" t="s">
        <v>107</v>
      </c>
      <c r="G3291" s="7" t="s">
        <v>15</v>
      </c>
      <c r="H3291" s="7" t="s">
        <v>45</v>
      </c>
      <c r="I3291" s="20" t="s">
        <v>4629</v>
      </c>
      <c r="J3291" s="20" t="s">
        <v>4630</v>
      </c>
      <c r="K3291" s="7" t="s">
        <v>110</v>
      </c>
      <c r="L3291" s="61">
        <v>46035</v>
      </c>
      <c r="M3291" s="7" t="s">
        <v>111</v>
      </c>
      <c r="N3291" s="61">
        <v>46035</v>
      </c>
      <c r="O3291" s="61">
        <v>46035</v>
      </c>
      <c r="R3291" s="126">
        <v>46038</v>
      </c>
    </row>
    <row r="3292" spans="2:18" ht="17.25" hidden="1" customHeight="1">
      <c r="B3292" s="23">
        <v>46031</v>
      </c>
      <c r="C3292" s="7">
        <v>2003887067</v>
      </c>
      <c r="D3292" s="20">
        <v>444284</v>
      </c>
      <c r="E3292" s="27" t="s">
        <v>149</v>
      </c>
      <c r="F3292" s="7" t="s">
        <v>107</v>
      </c>
      <c r="G3292" s="7" t="s">
        <v>18</v>
      </c>
      <c r="H3292" s="7" t="s">
        <v>45</v>
      </c>
      <c r="I3292" s="20" t="s">
        <v>4631</v>
      </c>
      <c r="J3292" s="20" t="s">
        <v>4632</v>
      </c>
      <c r="K3292" s="7" t="s">
        <v>111</v>
      </c>
      <c r="L3292" s="61">
        <v>46034</v>
      </c>
      <c r="M3292" s="7" t="s">
        <v>111</v>
      </c>
      <c r="N3292" s="24">
        <v>46034</v>
      </c>
      <c r="O3292" s="61">
        <v>46035</v>
      </c>
      <c r="R3292" s="126">
        <v>45671</v>
      </c>
    </row>
    <row r="3293" spans="2:18" ht="17.25" hidden="1" customHeight="1">
      <c r="B3293" s="23">
        <v>46031</v>
      </c>
      <c r="C3293" s="7">
        <v>2003886688</v>
      </c>
      <c r="D3293" s="20">
        <v>6575811</v>
      </c>
      <c r="E3293" s="27" t="s">
        <v>135</v>
      </c>
      <c r="F3293" s="7" t="s">
        <v>107</v>
      </c>
      <c r="G3293" s="7" t="s">
        <v>15</v>
      </c>
      <c r="H3293" s="7" t="s">
        <v>45</v>
      </c>
      <c r="I3293" s="20" t="s">
        <v>4633</v>
      </c>
      <c r="J3293" s="20" t="s">
        <v>649</v>
      </c>
      <c r="K3293" s="7" t="s">
        <v>119</v>
      </c>
      <c r="L3293" s="61">
        <v>46038</v>
      </c>
      <c r="M3293" s="7" t="s">
        <v>111</v>
      </c>
      <c r="N3293" s="24">
        <v>46041</v>
      </c>
      <c r="O3293" s="24">
        <v>46041</v>
      </c>
      <c r="R3293" s="126">
        <v>46042</v>
      </c>
    </row>
    <row r="3294" spans="2:18" ht="17.25" hidden="1" customHeight="1">
      <c r="B3294" s="23">
        <v>46031</v>
      </c>
      <c r="C3294" s="7">
        <v>2003866772</v>
      </c>
      <c r="D3294" s="20">
        <v>6575933</v>
      </c>
      <c r="E3294" s="27" t="s">
        <v>4175</v>
      </c>
      <c r="F3294" s="7" t="s">
        <v>107</v>
      </c>
      <c r="G3294" s="7" t="s">
        <v>10</v>
      </c>
      <c r="H3294" s="7" t="s">
        <v>45</v>
      </c>
      <c r="I3294" s="20" t="s">
        <v>4634</v>
      </c>
      <c r="J3294" s="20" t="s">
        <v>4380</v>
      </c>
      <c r="K3294" s="7" t="s">
        <v>111</v>
      </c>
      <c r="L3294" s="61">
        <v>46035</v>
      </c>
      <c r="M3294" s="7" t="s">
        <v>111</v>
      </c>
      <c r="N3294" s="24">
        <v>46037</v>
      </c>
      <c r="O3294" s="58">
        <v>46038</v>
      </c>
      <c r="R3294" s="126">
        <v>46041</v>
      </c>
    </row>
    <row r="3295" spans="2:18" ht="17.25" hidden="1" customHeight="1">
      <c r="B3295" s="23">
        <v>46031</v>
      </c>
      <c r="C3295" s="7">
        <v>2003821915</v>
      </c>
      <c r="D3295" s="20">
        <v>6576330</v>
      </c>
      <c r="E3295" s="27" t="s">
        <v>157</v>
      </c>
      <c r="F3295" s="7" t="s">
        <v>107</v>
      </c>
      <c r="G3295" s="7" t="s">
        <v>15</v>
      </c>
      <c r="H3295" s="7" t="s">
        <v>45</v>
      </c>
      <c r="I3295" s="20" t="s">
        <v>444</v>
      </c>
      <c r="J3295" s="20" t="s">
        <v>4635</v>
      </c>
      <c r="K3295" s="7" t="s">
        <v>110</v>
      </c>
      <c r="L3295" s="61">
        <v>46035</v>
      </c>
      <c r="M3295" s="7" t="s">
        <v>111</v>
      </c>
      <c r="N3295" s="61">
        <v>46035</v>
      </c>
      <c r="O3295" s="58">
        <v>46038</v>
      </c>
      <c r="R3295" s="126">
        <v>46041</v>
      </c>
    </row>
    <row r="3296" spans="2:18" ht="17.25" hidden="1" customHeight="1">
      <c r="B3296" s="23">
        <v>46031</v>
      </c>
      <c r="C3296" s="7">
        <v>2003826372</v>
      </c>
      <c r="D3296" s="20">
        <v>6576475</v>
      </c>
      <c r="E3296" s="27" t="s">
        <v>106</v>
      </c>
      <c r="F3296" s="7" t="s">
        <v>107</v>
      </c>
      <c r="G3296" s="7" t="s">
        <v>10</v>
      </c>
      <c r="H3296" s="7" t="s">
        <v>45</v>
      </c>
      <c r="I3296" s="20" t="s">
        <v>4636</v>
      </c>
      <c r="J3296" s="20" t="s">
        <v>4637</v>
      </c>
      <c r="K3296" s="7" t="s">
        <v>119</v>
      </c>
      <c r="L3296" s="61">
        <v>46037</v>
      </c>
      <c r="M3296" s="7" t="s">
        <v>111</v>
      </c>
      <c r="N3296" s="24">
        <v>46043</v>
      </c>
      <c r="O3296" s="24">
        <v>46043</v>
      </c>
      <c r="R3296" s="126">
        <v>46043</v>
      </c>
    </row>
    <row r="3297" spans="2:18" ht="17.25" hidden="1" customHeight="1">
      <c r="B3297" s="23">
        <v>46031</v>
      </c>
      <c r="C3297" s="7">
        <v>2003665824</v>
      </c>
      <c r="D3297" s="20">
        <v>6576477</v>
      </c>
      <c r="E3297" s="27" t="s">
        <v>138</v>
      </c>
      <c r="F3297" s="7" t="s">
        <v>107</v>
      </c>
      <c r="G3297" s="7" t="s">
        <v>26</v>
      </c>
      <c r="H3297" s="7" t="s">
        <v>45</v>
      </c>
      <c r="I3297" s="20" t="s">
        <v>4638</v>
      </c>
      <c r="J3297" s="20" t="s">
        <v>4639</v>
      </c>
      <c r="K3297" s="7" t="s">
        <v>119</v>
      </c>
      <c r="L3297" s="61">
        <v>46035</v>
      </c>
      <c r="M3297" s="7" t="s">
        <v>111</v>
      </c>
      <c r="N3297" s="24">
        <v>46038</v>
      </c>
      <c r="O3297" s="58">
        <v>46038</v>
      </c>
      <c r="R3297" s="126">
        <v>46038</v>
      </c>
    </row>
    <row r="3298" spans="2:18" ht="17.25" hidden="1" customHeight="1">
      <c r="B3298" s="23">
        <v>46031</v>
      </c>
      <c r="C3298" s="7">
        <v>2003894690</v>
      </c>
      <c r="D3298" s="20">
        <v>6576503</v>
      </c>
      <c r="E3298" s="27" t="s">
        <v>149</v>
      </c>
      <c r="F3298" s="7" t="s">
        <v>107</v>
      </c>
      <c r="G3298" s="7" t="s">
        <v>10</v>
      </c>
      <c r="H3298" s="7" t="s">
        <v>45</v>
      </c>
      <c r="I3298" s="20" t="s">
        <v>4640</v>
      </c>
      <c r="J3298" s="20" t="s">
        <v>4641</v>
      </c>
      <c r="K3298" s="7" t="s">
        <v>110</v>
      </c>
      <c r="L3298" s="61">
        <v>46035</v>
      </c>
      <c r="M3298" s="7" t="s">
        <v>111</v>
      </c>
      <c r="N3298" s="61">
        <v>46035</v>
      </c>
      <c r="O3298" s="61">
        <v>46035</v>
      </c>
      <c r="R3298" s="126">
        <v>46038</v>
      </c>
    </row>
    <row r="3299" spans="2:18" ht="17.25" hidden="1" customHeight="1">
      <c r="B3299" s="23">
        <v>46031</v>
      </c>
      <c r="C3299" s="7">
        <v>2003812018</v>
      </c>
      <c r="D3299" s="20">
        <v>6576510</v>
      </c>
      <c r="E3299" s="27" t="s">
        <v>157</v>
      </c>
      <c r="F3299" s="7" t="s">
        <v>107</v>
      </c>
      <c r="G3299" s="7" t="s">
        <v>15</v>
      </c>
      <c r="H3299" s="7" t="s">
        <v>45</v>
      </c>
      <c r="I3299" s="20" t="s">
        <v>4642</v>
      </c>
      <c r="J3299" s="20" t="s">
        <v>4643</v>
      </c>
      <c r="K3299" s="7" t="s">
        <v>119</v>
      </c>
      <c r="L3299" s="61">
        <v>46038</v>
      </c>
      <c r="M3299" s="7" t="s">
        <v>111</v>
      </c>
      <c r="N3299" s="24">
        <v>46041</v>
      </c>
      <c r="O3299" s="58">
        <v>46043</v>
      </c>
      <c r="R3299" s="126">
        <v>46043</v>
      </c>
    </row>
    <row r="3300" spans="2:18" ht="17.25" hidden="1" customHeight="1">
      <c r="B3300" s="23">
        <v>46031</v>
      </c>
      <c r="C3300" s="7">
        <v>2003668433</v>
      </c>
      <c r="D3300" s="20">
        <v>6576543</v>
      </c>
      <c r="E3300" s="27" t="s">
        <v>185</v>
      </c>
      <c r="F3300" s="7" t="s">
        <v>107</v>
      </c>
      <c r="G3300" s="7" t="s">
        <v>10</v>
      </c>
      <c r="H3300" s="7" t="s">
        <v>45</v>
      </c>
      <c r="I3300" s="20" t="s">
        <v>476</v>
      </c>
      <c r="J3300" s="20" t="s">
        <v>4435</v>
      </c>
      <c r="K3300" s="7" t="s">
        <v>110</v>
      </c>
      <c r="L3300" s="61">
        <v>46034</v>
      </c>
      <c r="M3300" s="7" t="s">
        <v>111</v>
      </c>
      <c r="N3300" s="61">
        <v>46035</v>
      </c>
      <c r="O3300" s="61">
        <v>46035</v>
      </c>
      <c r="R3300" s="126">
        <v>45671</v>
      </c>
    </row>
    <row r="3301" spans="2:18" ht="17.25" hidden="1" customHeight="1">
      <c r="B3301" s="23">
        <v>46031</v>
      </c>
      <c r="C3301" s="7">
        <v>2003832715</v>
      </c>
      <c r="D3301" s="20">
        <v>6594598</v>
      </c>
      <c r="E3301" s="27" t="s">
        <v>123</v>
      </c>
      <c r="F3301" s="7" t="s">
        <v>107</v>
      </c>
      <c r="G3301" s="7" t="s">
        <v>10</v>
      </c>
      <c r="H3301" s="7" t="s">
        <v>45</v>
      </c>
      <c r="I3301" s="20" t="s">
        <v>4644</v>
      </c>
      <c r="J3301" s="20" t="s">
        <v>4645</v>
      </c>
      <c r="K3301" s="7" t="s">
        <v>119</v>
      </c>
      <c r="L3301" s="61">
        <v>46036</v>
      </c>
      <c r="M3301" s="7" t="s">
        <v>111</v>
      </c>
      <c r="N3301" s="24">
        <v>46037</v>
      </c>
      <c r="O3301" s="58">
        <v>46038</v>
      </c>
      <c r="R3301" s="126">
        <v>46041</v>
      </c>
    </row>
    <row r="3302" spans="2:18" ht="17.25" hidden="1" customHeight="1">
      <c r="B3302" s="23">
        <v>46031</v>
      </c>
      <c r="C3302" s="7">
        <v>2003885561</v>
      </c>
      <c r="D3302" s="20">
        <v>6594630</v>
      </c>
      <c r="E3302" s="27" t="s">
        <v>123</v>
      </c>
      <c r="F3302" s="7" t="s">
        <v>107</v>
      </c>
      <c r="G3302" s="7" t="s">
        <v>10</v>
      </c>
      <c r="H3302" s="7" t="s">
        <v>45</v>
      </c>
      <c r="I3302" s="20" t="s">
        <v>4646</v>
      </c>
      <c r="J3302" s="20" t="s">
        <v>4647</v>
      </c>
      <c r="K3302" s="7" t="s">
        <v>119</v>
      </c>
      <c r="L3302" s="61">
        <v>46036</v>
      </c>
      <c r="M3302" s="7" t="s">
        <v>111</v>
      </c>
      <c r="N3302" s="24">
        <v>46038</v>
      </c>
      <c r="O3302" s="24">
        <v>46038</v>
      </c>
      <c r="R3302" s="126">
        <v>46038</v>
      </c>
    </row>
    <row r="3303" spans="2:18" ht="17.25" hidden="1" customHeight="1">
      <c r="B3303" s="23">
        <v>46031</v>
      </c>
      <c r="C3303" s="7">
        <v>2003897249</v>
      </c>
      <c r="D3303" s="20">
        <v>6603932</v>
      </c>
      <c r="E3303" s="27" t="s">
        <v>1225</v>
      </c>
      <c r="F3303" s="7" t="s">
        <v>107</v>
      </c>
      <c r="G3303" s="7" t="s">
        <v>10</v>
      </c>
      <c r="H3303" s="7" t="s">
        <v>45</v>
      </c>
      <c r="I3303" s="20" t="s">
        <v>4648</v>
      </c>
      <c r="J3303" s="20" t="s">
        <v>1116</v>
      </c>
      <c r="K3303" s="7" t="s">
        <v>119</v>
      </c>
      <c r="L3303" s="61">
        <v>46035</v>
      </c>
      <c r="M3303" s="7" t="s">
        <v>111</v>
      </c>
      <c r="N3303" s="24">
        <v>46038</v>
      </c>
      <c r="O3303" s="24">
        <v>46038</v>
      </c>
      <c r="R3303" s="126">
        <v>46041</v>
      </c>
    </row>
    <row r="3304" spans="2:18" ht="17.25" hidden="1" customHeight="1">
      <c r="B3304" s="23">
        <v>46031</v>
      </c>
      <c r="C3304" s="7">
        <v>2003810948</v>
      </c>
      <c r="D3304" s="20">
        <v>6612974</v>
      </c>
      <c r="E3304" s="27" t="s">
        <v>185</v>
      </c>
      <c r="F3304" s="7" t="s">
        <v>107</v>
      </c>
      <c r="G3304" s="7" t="s">
        <v>10</v>
      </c>
      <c r="H3304" s="7" t="s">
        <v>45</v>
      </c>
      <c r="I3304" s="20" t="s">
        <v>4649</v>
      </c>
      <c r="J3304" s="20" t="s">
        <v>4650</v>
      </c>
      <c r="K3304" s="7" t="s">
        <v>119</v>
      </c>
      <c r="L3304" s="61">
        <v>46038</v>
      </c>
      <c r="M3304" s="7" t="s">
        <v>146</v>
      </c>
      <c r="N3304" s="24">
        <v>46045</v>
      </c>
      <c r="O3304" s="58">
        <v>46045</v>
      </c>
      <c r="R3304" s="126">
        <v>46045</v>
      </c>
    </row>
    <row r="3305" spans="2:18" ht="17.25" hidden="1" customHeight="1">
      <c r="B3305" s="23">
        <v>46034</v>
      </c>
      <c r="C3305" s="7">
        <v>2003870839</v>
      </c>
      <c r="D3305" s="20">
        <v>6613113</v>
      </c>
      <c r="E3305" s="27" t="s">
        <v>180</v>
      </c>
      <c r="F3305" s="7" t="s">
        <v>107</v>
      </c>
      <c r="G3305" s="7" t="s">
        <v>26</v>
      </c>
      <c r="H3305" s="7" t="s">
        <v>45</v>
      </c>
      <c r="I3305" s="20" t="s">
        <v>431</v>
      </c>
      <c r="J3305" s="20" t="s">
        <v>4651</v>
      </c>
      <c r="K3305" s="7" t="s">
        <v>119</v>
      </c>
      <c r="L3305" s="61">
        <v>46041</v>
      </c>
      <c r="M3305" s="7" t="s">
        <v>111</v>
      </c>
      <c r="N3305" s="24">
        <v>46043</v>
      </c>
      <c r="O3305" s="58">
        <v>46043</v>
      </c>
      <c r="R3305" s="126">
        <v>46043</v>
      </c>
    </row>
    <row r="3306" spans="2:18" ht="17.25" hidden="1" customHeight="1">
      <c r="B3306" s="23">
        <v>46034</v>
      </c>
      <c r="C3306" s="7">
        <v>2003880832</v>
      </c>
      <c r="D3306" s="20">
        <v>6613120</v>
      </c>
      <c r="E3306" s="27" t="s">
        <v>135</v>
      </c>
      <c r="F3306" s="7" t="s">
        <v>107</v>
      </c>
      <c r="G3306" s="7" t="s">
        <v>15</v>
      </c>
      <c r="H3306" s="7" t="s">
        <v>45</v>
      </c>
      <c r="I3306" s="20" t="s">
        <v>4649</v>
      </c>
      <c r="J3306" s="20" t="s">
        <v>4652</v>
      </c>
      <c r="K3306" s="7" t="s">
        <v>119</v>
      </c>
      <c r="L3306" s="61">
        <v>46035</v>
      </c>
      <c r="M3306" s="7" t="s">
        <v>111</v>
      </c>
      <c r="N3306" s="24">
        <v>46043</v>
      </c>
      <c r="O3306" s="24">
        <v>46043</v>
      </c>
      <c r="R3306" s="126">
        <v>46043</v>
      </c>
    </row>
    <row r="3307" spans="2:18" ht="17.25" hidden="1" customHeight="1">
      <c r="B3307" s="23">
        <v>46034</v>
      </c>
      <c r="C3307" s="7">
        <v>2003898800</v>
      </c>
      <c r="D3307" s="20">
        <v>6613145</v>
      </c>
      <c r="E3307" s="27" t="s">
        <v>185</v>
      </c>
      <c r="F3307" s="7" t="s">
        <v>107</v>
      </c>
      <c r="G3307" s="7" t="s">
        <v>18</v>
      </c>
      <c r="H3307" s="7" t="s">
        <v>45</v>
      </c>
      <c r="I3307" s="20" t="s">
        <v>3974</v>
      </c>
      <c r="J3307" s="20" t="s">
        <v>3975</v>
      </c>
      <c r="K3307" s="7" t="s">
        <v>119</v>
      </c>
      <c r="L3307" s="61">
        <v>46036</v>
      </c>
      <c r="M3307" s="7" t="s">
        <v>111</v>
      </c>
      <c r="N3307" s="24">
        <v>46037</v>
      </c>
      <c r="O3307" s="58">
        <v>46038</v>
      </c>
      <c r="R3307" s="126">
        <v>46041</v>
      </c>
    </row>
    <row r="3308" spans="2:18" ht="17.25" hidden="1" customHeight="1">
      <c r="B3308" s="23">
        <v>46034</v>
      </c>
      <c r="C3308" s="7">
        <v>2003893622</v>
      </c>
      <c r="D3308" s="20">
        <v>447265</v>
      </c>
      <c r="E3308" s="27" t="s">
        <v>129</v>
      </c>
      <c r="F3308" s="7" t="s">
        <v>113</v>
      </c>
      <c r="G3308" s="7" t="s">
        <v>70</v>
      </c>
      <c r="H3308" s="7" t="s">
        <v>47</v>
      </c>
      <c r="I3308" s="20" t="s">
        <v>4653</v>
      </c>
      <c r="J3308" s="20" t="s">
        <v>4654</v>
      </c>
      <c r="K3308" s="7" t="s">
        <v>160</v>
      </c>
    </row>
    <row r="3309" spans="2:18" ht="17.25" hidden="1" customHeight="1">
      <c r="B3309" s="23">
        <v>46034</v>
      </c>
      <c r="C3309" s="7">
        <v>2003887801</v>
      </c>
      <c r="D3309" s="20">
        <v>447096</v>
      </c>
      <c r="E3309" s="27" t="s">
        <v>106</v>
      </c>
      <c r="F3309" s="7" t="s">
        <v>107</v>
      </c>
      <c r="G3309" s="7" t="s">
        <v>10</v>
      </c>
      <c r="H3309" s="7" t="s">
        <v>45</v>
      </c>
      <c r="I3309" s="20" t="s">
        <v>247</v>
      </c>
      <c r="J3309" s="20" t="s">
        <v>4655</v>
      </c>
      <c r="K3309" s="7" t="s">
        <v>119</v>
      </c>
      <c r="L3309" s="61">
        <v>46041</v>
      </c>
      <c r="M3309" s="7" t="s">
        <v>111</v>
      </c>
      <c r="N3309" s="24">
        <v>46042</v>
      </c>
      <c r="O3309" s="24">
        <v>46042</v>
      </c>
      <c r="R3309" s="126">
        <v>46043</v>
      </c>
    </row>
    <row r="3310" spans="2:18" ht="17.25" hidden="1" customHeight="1">
      <c r="B3310" s="23">
        <v>46034</v>
      </c>
      <c r="C3310" s="7">
        <v>2003889822</v>
      </c>
      <c r="D3310" s="20">
        <v>447114</v>
      </c>
      <c r="E3310" s="27" t="s">
        <v>126</v>
      </c>
      <c r="F3310" s="7" t="s">
        <v>107</v>
      </c>
      <c r="G3310" s="7" t="s">
        <v>10</v>
      </c>
      <c r="H3310" s="7" t="s">
        <v>45</v>
      </c>
      <c r="I3310" s="20" t="s">
        <v>631</v>
      </c>
      <c r="J3310" s="20" t="s">
        <v>4656</v>
      </c>
      <c r="K3310" s="7" t="s">
        <v>119</v>
      </c>
      <c r="L3310" s="61">
        <v>46037</v>
      </c>
      <c r="M3310" s="7" t="s">
        <v>111</v>
      </c>
      <c r="N3310" s="24">
        <v>46038</v>
      </c>
      <c r="O3310" s="58">
        <v>46041</v>
      </c>
      <c r="R3310" s="126">
        <v>46042</v>
      </c>
    </row>
    <row r="3311" spans="2:18" ht="17.25" hidden="1" customHeight="1">
      <c r="B3311" s="23">
        <v>46034</v>
      </c>
      <c r="C3311" s="7">
        <v>2003897199</v>
      </c>
      <c r="D3311" s="20">
        <v>446373</v>
      </c>
      <c r="E3311" s="27" t="s">
        <v>123</v>
      </c>
      <c r="F3311" s="7" t="s">
        <v>107</v>
      </c>
      <c r="G3311" s="7" t="s">
        <v>18</v>
      </c>
      <c r="H3311" s="7" t="s">
        <v>45</v>
      </c>
      <c r="I3311" s="20" t="s">
        <v>851</v>
      </c>
      <c r="J3311" s="20" t="s">
        <v>4657</v>
      </c>
      <c r="K3311" s="7" t="s">
        <v>119</v>
      </c>
      <c r="L3311" s="61">
        <v>46036</v>
      </c>
      <c r="M3311" s="7" t="s">
        <v>111</v>
      </c>
      <c r="N3311" s="24">
        <v>46037</v>
      </c>
      <c r="O3311" s="58">
        <v>46038</v>
      </c>
      <c r="R3311" s="126">
        <v>46041</v>
      </c>
    </row>
    <row r="3312" spans="2:18" ht="17.25" hidden="1" customHeight="1">
      <c r="B3312" s="23">
        <v>46034</v>
      </c>
      <c r="C3312" s="7">
        <v>2003872845</v>
      </c>
      <c r="D3312" s="20">
        <v>445235</v>
      </c>
      <c r="E3312" s="27" t="s">
        <v>3586</v>
      </c>
      <c r="F3312" s="7" t="s">
        <v>107</v>
      </c>
      <c r="G3312" s="7" t="s">
        <v>15</v>
      </c>
      <c r="H3312" s="7" t="s">
        <v>45</v>
      </c>
      <c r="I3312" s="20" t="s">
        <v>4658</v>
      </c>
      <c r="J3312" s="20" t="s">
        <v>4659</v>
      </c>
      <c r="K3312" s="7" t="s">
        <v>110</v>
      </c>
      <c r="L3312" s="61">
        <v>46037</v>
      </c>
      <c r="M3312" s="7" t="s">
        <v>111</v>
      </c>
      <c r="N3312" s="58">
        <v>46045</v>
      </c>
      <c r="O3312" s="58">
        <v>46045</v>
      </c>
      <c r="R3312" s="126">
        <v>46045</v>
      </c>
    </row>
    <row r="3313" spans="2:18" ht="17.25" hidden="1" customHeight="1">
      <c r="B3313" s="23">
        <v>46034</v>
      </c>
      <c r="C3313" s="7">
        <v>2003897821</v>
      </c>
      <c r="D3313" s="20">
        <v>445160</v>
      </c>
      <c r="E3313" s="27" t="s">
        <v>185</v>
      </c>
      <c r="F3313" s="7" t="s">
        <v>107</v>
      </c>
      <c r="G3313" s="7" t="s">
        <v>10</v>
      </c>
      <c r="H3313" s="7" t="s">
        <v>45</v>
      </c>
      <c r="I3313" s="20" t="s">
        <v>4660</v>
      </c>
      <c r="J3313" s="20" t="s">
        <v>4661</v>
      </c>
      <c r="K3313" s="7" t="s">
        <v>119</v>
      </c>
      <c r="L3313" s="61">
        <v>46077</v>
      </c>
      <c r="M3313" s="7" t="s">
        <v>111</v>
      </c>
      <c r="N3313" s="24">
        <v>46038</v>
      </c>
      <c r="O3313" s="24">
        <v>46038</v>
      </c>
      <c r="R3313" s="126">
        <v>46038</v>
      </c>
    </row>
    <row r="3314" spans="2:18" ht="17.25" hidden="1" customHeight="1">
      <c r="B3314" s="23">
        <v>46035</v>
      </c>
      <c r="C3314" s="7">
        <v>2003894716</v>
      </c>
      <c r="D3314" s="20">
        <v>449445</v>
      </c>
      <c r="E3314" s="27" t="s">
        <v>185</v>
      </c>
      <c r="F3314" s="7" t="s">
        <v>107</v>
      </c>
      <c r="G3314" s="7" t="s">
        <v>10</v>
      </c>
      <c r="H3314" s="7" t="s">
        <v>45</v>
      </c>
      <c r="I3314" s="20" t="s">
        <v>4662</v>
      </c>
      <c r="J3314" s="20" t="s">
        <v>4663</v>
      </c>
      <c r="K3314" s="7" t="s">
        <v>119</v>
      </c>
      <c r="L3314" s="61">
        <v>46037</v>
      </c>
      <c r="M3314" s="7" t="s">
        <v>111</v>
      </c>
      <c r="N3314" s="24">
        <v>46038</v>
      </c>
      <c r="O3314" s="58">
        <v>46041</v>
      </c>
      <c r="R3314" s="126">
        <v>46042</v>
      </c>
    </row>
    <row r="3315" spans="2:18" ht="17.25" hidden="1" customHeight="1">
      <c r="B3315" s="23">
        <v>46035</v>
      </c>
      <c r="C3315" s="7">
        <v>2003898026</v>
      </c>
      <c r="D3315" s="20">
        <v>449373</v>
      </c>
      <c r="E3315" s="27" t="s">
        <v>129</v>
      </c>
      <c r="F3315" s="7" t="s">
        <v>107</v>
      </c>
      <c r="G3315" s="7" t="s">
        <v>30</v>
      </c>
      <c r="H3315" s="7" t="s">
        <v>45</v>
      </c>
      <c r="I3315" s="20" t="s">
        <v>4664</v>
      </c>
      <c r="J3315" s="20" t="s">
        <v>4665</v>
      </c>
      <c r="K3315" s="7" t="s">
        <v>111</v>
      </c>
      <c r="L3315" s="61">
        <v>46036</v>
      </c>
      <c r="M3315" s="7" t="s">
        <v>111</v>
      </c>
      <c r="N3315" s="24">
        <v>46037</v>
      </c>
      <c r="O3315" s="58">
        <v>46045</v>
      </c>
      <c r="R3315" s="126">
        <v>46045</v>
      </c>
    </row>
    <row r="3316" spans="2:18" ht="17.25" hidden="1" customHeight="1">
      <c r="B3316" s="23">
        <v>46035</v>
      </c>
      <c r="C3316" s="7">
        <v>2003894131</v>
      </c>
      <c r="D3316" s="20">
        <v>449129</v>
      </c>
      <c r="E3316" s="27" t="s">
        <v>566</v>
      </c>
      <c r="F3316" s="7" t="s">
        <v>107</v>
      </c>
      <c r="G3316" s="7" t="s">
        <v>18</v>
      </c>
      <c r="H3316" s="7" t="s">
        <v>45</v>
      </c>
      <c r="I3316" s="20" t="s">
        <v>2774</v>
      </c>
      <c r="J3316" s="20" t="s">
        <v>4666</v>
      </c>
      <c r="K3316" s="7" t="s">
        <v>110</v>
      </c>
      <c r="L3316" s="61">
        <v>46038</v>
      </c>
      <c r="M3316" s="7" t="s">
        <v>111</v>
      </c>
      <c r="N3316" s="61">
        <v>46038</v>
      </c>
      <c r="O3316" s="58">
        <v>46041</v>
      </c>
      <c r="R3316" s="126">
        <v>46042</v>
      </c>
    </row>
    <row r="3317" spans="2:18" ht="17.25" hidden="1" customHeight="1">
      <c r="B3317" s="23">
        <v>46035</v>
      </c>
      <c r="C3317" s="7">
        <v>2003896672</v>
      </c>
      <c r="D3317" s="20">
        <v>448943</v>
      </c>
      <c r="E3317" s="27" t="s">
        <v>568</v>
      </c>
      <c r="F3317" s="7" t="s">
        <v>107</v>
      </c>
      <c r="G3317" s="7" t="s">
        <v>10</v>
      </c>
      <c r="H3317" s="7" t="s">
        <v>45</v>
      </c>
      <c r="I3317" s="20" t="s">
        <v>4667</v>
      </c>
      <c r="J3317" s="20" t="s">
        <v>4668</v>
      </c>
      <c r="K3317" s="7" t="s">
        <v>110</v>
      </c>
      <c r="L3317" s="61">
        <v>46041</v>
      </c>
      <c r="M3317" s="7" t="s">
        <v>146</v>
      </c>
      <c r="N3317" s="61">
        <v>46041</v>
      </c>
      <c r="O3317" s="58">
        <v>46048</v>
      </c>
      <c r="R3317" s="126">
        <v>46050</v>
      </c>
    </row>
    <row r="3318" spans="2:18" ht="17.25" hidden="1" customHeight="1">
      <c r="B3318" s="23">
        <v>46035</v>
      </c>
      <c r="C3318" s="7">
        <v>2003900699</v>
      </c>
      <c r="D3318" s="20">
        <v>448891</v>
      </c>
      <c r="E3318" s="27" t="s">
        <v>129</v>
      </c>
      <c r="F3318" s="7" t="s">
        <v>113</v>
      </c>
      <c r="G3318" s="7" t="s">
        <v>70</v>
      </c>
      <c r="H3318" s="7" t="s">
        <v>47</v>
      </c>
      <c r="I3318" s="20" t="s">
        <v>4669</v>
      </c>
      <c r="J3318" s="20" t="s">
        <v>4670</v>
      </c>
      <c r="K3318" s="7" t="s">
        <v>160</v>
      </c>
    </row>
    <row r="3319" spans="2:18" ht="17.25" hidden="1" customHeight="1">
      <c r="B3319" s="23">
        <v>46035</v>
      </c>
      <c r="C3319" s="7">
        <v>2003900520</v>
      </c>
      <c r="D3319" s="20">
        <v>448729</v>
      </c>
      <c r="E3319" s="27" t="s">
        <v>201</v>
      </c>
      <c r="F3319" s="7" t="s">
        <v>107</v>
      </c>
      <c r="G3319" s="7" t="s">
        <v>10</v>
      </c>
      <c r="H3319" s="7" t="s">
        <v>45</v>
      </c>
      <c r="I3319" s="20" t="s">
        <v>1595</v>
      </c>
      <c r="J3319" s="20" t="s">
        <v>4671</v>
      </c>
      <c r="K3319" s="7" t="s">
        <v>110</v>
      </c>
      <c r="L3319" s="61">
        <v>46037</v>
      </c>
      <c r="M3319" s="7" t="s">
        <v>111</v>
      </c>
      <c r="N3319" s="61">
        <v>46037</v>
      </c>
      <c r="O3319" s="58">
        <v>46038</v>
      </c>
      <c r="R3319" s="126">
        <v>46041</v>
      </c>
    </row>
    <row r="3320" spans="2:18" ht="17.25" hidden="1" customHeight="1">
      <c r="B3320" s="23">
        <v>46035</v>
      </c>
      <c r="C3320" s="7">
        <v>2003897461</v>
      </c>
      <c r="D3320" s="20">
        <v>448340</v>
      </c>
      <c r="E3320" s="27" t="s">
        <v>149</v>
      </c>
      <c r="F3320" s="7" t="s">
        <v>107</v>
      </c>
      <c r="G3320" s="7" t="s">
        <v>10</v>
      </c>
      <c r="H3320" s="7" t="s">
        <v>45</v>
      </c>
      <c r="I3320" s="20" t="s">
        <v>1885</v>
      </c>
      <c r="J3320" s="20" t="s">
        <v>1886</v>
      </c>
      <c r="K3320" s="7" t="s">
        <v>119</v>
      </c>
      <c r="L3320" s="61">
        <v>46038</v>
      </c>
      <c r="M3320" s="7" t="s">
        <v>111</v>
      </c>
      <c r="N3320" s="24">
        <v>46038</v>
      </c>
      <c r="O3320" s="58">
        <v>46041</v>
      </c>
      <c r="R3320" s="126">
        <v>46042</v>
      </c>
    </row>
    <row r="3321" spans="2:18" ht="17.25" hidden="1" customHeight="1">
      <c r="B3321" s="23">
        <v>46035</v>
      </c>
      <c r="C3321" s="7">
        <v>2003883517</v>
      </c>
      <c r="D3321" s="20">
        <v>448330</v>
      </c>
      <c r="E3321" s="27" t="s">
        <v>152</v>
      </c>
      <c r="F3321" s="7" t="s">
        <v>107</v>
      </c>
      <c r="G3321" s="7" t="s">
        <v>10</v>
      </c>
      <c r="H3321" s="7" t="s">
        <v>45</v>
      </c>
      <c r="I3321" s="20" t="s">
        <v>419</v>
      </c>
      <c r="J3321" s="20" t="s">
        <v>4672</v>
      </c>
      <c r="K3321" s="7" t="s">
        <v>110</v>
      </c>
      <c r="L3321" s="61">
        <v>46037</v>
      </c>
      <c r="M3321" s="7" t="s">
        <v>111</v>
      </c>
      <c r="N3321" s="24">
        <v>46038</v>
      </c>
      <c r="O3321" s="58">
        <v>46041</v>
      </c>
      <c r="R3321" s="126">
        <v>46042</v>
      </c>
    </row>
    <row r="3322" spans="2:18" ht="17.25" hidden="1" customHeight="1">
      <c r="B3322" s="23">
        <v>46035</v>
      </c>
      <c r="C3322" s="7">
        <v>2003874324</v>
      </c>
      <c r="D3322" s="20">
        <v>448324</v>
      </c>
      <c r="E3322" s="27" t="s">
        <v>152</v>
      </c>
      <c r="F3322" s="7" t="s">
        <v>107</v>
      </c>
      <c r="G3322" s="7" t="s">
        <v>10</v>
      </c>
      <c r="H3322" s="7" t="s">
        <v>45</v>
      </c>
      <c r="I3322" s="20" t="s">
        <v>4673</v>
      </c>
      <c r="J3322" s="20" t="s">
        <v>4674</v>
      </c>
      <c r="K3322" s="7" t="s">
        <v>119</v>
      </c>
      <c r="L3322" s="61">
        <v>46044</v>
      </c>
      <c r="M3322" s="7" t="s">
        <v>111</v>
      </c>
      <c r="N3322" s="24">
        <v>46057</v>
      </c>
      <c r="O3322" s="24">
        <v>46057</v>
      </c>
      <c r="R3322" s="126">
        <v>46057</v>
      </c>
    </row>
    <row r="3323" spans="2:18" ht="17.25" hidden="1" customHeight="1">
      <c r="B3323" s="23">
        <v>46035</v>
      </c>
      <c r="C3323" s="7">
        <v>2003813435</v>
      </c>
      <c r="D3323" s="20">
        <v>448264</v>
      </c>
      <c r="E3323" s="27" t="s">
        <v>126</v>
      </c>
      <c r="F3323" s="7" t="s">
        <v>107</v>
      </c>
      <c r="G3323" s="7" t="s">
        <v>10</v>
      </c>
      <c r="H3323" s="7" t="s">
        <v>45</v>
      </c>
      <c r="I3323" s="20" t="s">
        <v>1841</v>
      </c>
      <c r="J3323" s="20" t="s">
        <v>4134</v>
      </c>
      <c r="K3323" s="7" t="s">
        <v>110</v>
      </c>
      <c r="L3323" s="61">
        <v>46038</v>
      </c>
      <c r="M3323" s="7" t="s">
        <v>111</v>
      </c>
      <c r="N3323" s="24">
        <v>46038</v>
      </c>
      <c r="O3323" s="58">
        <v>46041</v>
      </c>
      <c r="R3323" s="126">
        <v>46042</v>
      </c>
    </row>
    <row r="3324" spans="2:18" ht="17.25" hidden="1" customHeight="1">
      <c r="B3324" s="23">
        <v>46035</v>
      </c>
      <c r="C3324" s="7">
        <v>2003876958</v>
      </c>
      <c r="D3324" s="20">
        <v>448077</v>
      </c>
      <c r="E3324" s="27" t="s">
        <v>408</v>
      </c>
      <c r="F3324" s="7" t="s">
        <v>107</v>
      </c>
      <c r="G3324" s="7" t="s">
        <v>10</v>
      </c>
      <c r="H3324" s="7" t="s">
        <v>45</v>
      </c>
      <c r="I3324" s="20" t="s">
        <v>4675</v>
      </c>
      <c r="J3324" s="20" t="s">
        <v>4676</v>
      </c>
      <c r="K3324" s="7" t="s">
        <v>119</v>
      </c>
      <c r="L3324" s="61">
        <v>46036</v>
      </c>
      <c r="M3324" s="7" t="s">
        <v>111</v>
      </c>
      <c r="N3324" s="24">
        <v>46037</v>
      </c>
      <c r="O3324" s="24">
        <v>46037</v>
      </c>
      <c r="R3324" s="126">
        <v>46038</v>
      </c>
    </row>
    <row r="3325" spans="2:18" ht="17.25" hidden="1" customHeight="1">
      <c r="B3325" s="23">
        <v>46035</v>
      </c>
      <c r="C3325" s="7">
        <v>2003898624</v>
      </c>
      <c r="D3325" s="20">
        <v>448052</v>
      </c>
      <c r="E3325" s="27" t="s">
        <v>408</v>
      </c>
      <c r="F3325" s="7" t="s">
        <v>107</v>
      </c>
      <c r="G3325" s="7" t="s">
        <v>10</v>
      </c>
      <c r="H3325" s="7" t="s">
        <v>45</v>
      </c>
      <c r="I3325" s="20" t="s">
        <v>4677</v>
      </c>
      <c r="J3325" s="20" t="s">
        <v>4678</v>
      </c>
      <c r="K3325" s="7" t="s">
        <v>119</v>
      </c>
      <c r="L3325" s="61">
        <v>46037</v>
      </c>
      <c r="M3325" s="7" t="s">
        <v>111</v>
      </c>
      <c r="N3325" s="24">
        <v>46038</v>
      </c>
      <c r="O3325" s="58">
        <v>46041</v>
      </c>
      <c r="R3325" s="126">
        <v>46042</v>
      </c>
    </row>
    <row r="3326" spans="2:18" ht="17.25" hidden="1" customHeight="1">
      <c r="B3326" s="23">
        <v>46035</v>
      </c>
      <c r="C3326" s="7">
        <v>2003896016</v>
      </c>
      <c r="D3326" s="20">
        <v>448031</v>
      </c>
      <c r="E3326" s="27" t="s">
        <v>408</v>
      </c>
      <c r="F3326" s="7" t="s">
        <v>107</v>
      </c>
      <c r="G3326" s="7" t="s">
        <v>18</v>
      </c>
      <c r="H3326" s="7" t="s">
        <v>45</v>
      </c>
      <c r="I3326" s="20" t="s">
        <v>4679</v>
      </c>
      <c r="J3326" s="20" t="s">
        <v>4680</v>
      </c>
      <c r="K3326" s="7" t="s">
        <v>110</v>
      </c>
      <c r="L3326" s="61">
        <v>46037</v>
      </c>
      <c r="M3326" s="7" t="s">
        <v>111</v>
      </c>
      <c r="N3326" s="24">
        <v>46038</v>
      </c>
      <c r="O3326" s="58">
        <v>46041</v>
      </c>
      <c r="R3326" s="126">
        <v>46042</v>
      </c>
    </row>
    <row r="3327" spans="2:18" ht="17.25" hidden="1" customHeight="1">
      <c r="B3327" s="23">
        <v>46035</v>
      </c>
      <c r="C3327" s="7">
        <v>2003875403</v>
      </c>
      <c r="D3327" s="20">
        <v>447806</v>
      </c>
      <c r="E3327" s="27" t="s">
        <v>201</v>
      </c>
      <c r="F3327" s="7" t="s">
        <v>107</v>
      </c>
      <c r="G3327" s="7" t="s">
        <v>10</v>
      </c>
      <c r="H3327" s="7" t="s">
        <v>45</v>
      </c>
      <c r="I3327" s="20" t="s">
        <v>2930</v>
      </c>
      <c r="J3327" s="20" t="s">
        <v>4681</v>
      </c>
      <c r="K3327" s="7" t="s">
        <v>119</v>
      </c>
      <c r="L3327" s="61">
        <v>46041</v>
      </c>
      <c r="M3327" s="7" t="s">
        <v>111</v>
      </c>
      <c r="N3327" s="24">
        <v>46043</v>
      </c>
      <c r="O3327" s="24">
        <v>46043</v>
      </c>
      <c r="R3327" s="126">
        <v>46043</v>
      </c>
    </row>
    <row r="3328" spans="2:18" ht="17.25" hidden="1" customHeight="1">
      <c r="B3328" s="23">
        <v>46035</v>
      </c>
      <c r="C3328" s="7">
        <v>2003864306</v>
      </c>
      <c r="D3328" s="20">
        <v>6613246</v>
      </c>
      <c r="E3328" s="27" t="s">
        <v>201</v>
      </c>
      <c r="F3328" s="7" t="s">
        <v>107</v>
      </c>
      <c r="G3328" s="7" t="s">
        <v>18</v>
      </c>
      <c r="H3328" s="7" t="s">
        <v>45</v>
      </c>
      <c r="I3328" s="20" t="s">
        <v>4464</v>
      </c>
      <c r="J3328" s="20" t="s">
        <v>4465</v>
      </c>
      <c r="K3328" s="7" t="s">
        <v>110</v>
      </c>
      <c r="L3328" s="61">
        <v>46037</v>
      </c>
      <c r="M3328" s="7" t="s">
        <v>111</v>
      </c>
      <c r="N3328" s="24">
        <v>46038</v>
      </c>
      <c r="O3328" s="61">
        <v>46041</v>
      </c>
      <c r="R3328" s="126">
        <v>46043</v>
      </c>
    </row>
    <row r="3329" spans="2:18" ht="17.25" hidden="1" customHeight="1">
      <c r="B3329" s="23">
        <v>46035</v>
      </c>
      <c r="C3329" s="7">
        <v>2003894164</v>
      </c>
      <c r="D3329" s="20">
        <v>6613284</v>
      </c>
      <c r="E3329" s="27" t="s">
        <v>408</v>
      </c>
      <c r="F3329" s="7" t="s">
        <v>107</v>
      </c>
      <c r="G3329" s="7" t="s">
        <v>18</v>
      </c>
      <c r="H3329" s="7" t="s">
        <v>45</v>
      </c>
      <c r="I3329" s="20" t="s">
        <v>3974</v>
      </c>
      <c r="J3329" s="20" t="s">
        <v>3975</v>
      </c>
      <c r="K3329" s="7" t="s">
        <v>119</v>
      </c>
      <c r="L3329" s="61">
        <v>46036</v>
      </c>
      <c r="M3329" s="7" t="s">
        <v>111</v>
      </c>
      <c r="N3329" s="24">
        <v>46037</v>
      </c>
      <c r="O3329" s="58">
        <v>46038</v>
      </c>
      <c r="R3329" s="126">
        <v>46041</v>
      </c>
    </row>
    <row r="3330" spans="2:18" ht="17.25" hidden="1" customHeight="1">
      <c r="B3330" s="23">
        <v>46035</v>
      </c>
      <c r="C3330" s="7">
        <v>2003813558</v>
      </c>
      <c r="D3330" s="20">
        <v>6613306</v>
      </c>
      <c r="E3330" s="27" t="s">
        <v>201</v>
      </c>
      <c r="F3330" s="7" t="s">
        <v>107</v>
      </c>
      <c r="G3330" s="7" t="s">
        <v>10</v>
      </c>
      <c r="H3330" s="7" t="s">
        <v>45</v>
      </c>
      <c r="I3330" s="20" t="s">
        <v>108</v>
      </c>
      <c r="J3330" s="20" t="s">
        <v>4682</v>
      </c>
      <c r="K3330" s="7" t="s">
        <v>110</v>
      </c>
      <c r="L3330" s="61">
        <v>46037</v>
      </c>
      <c r="M3330" s="7" t="s">
        <v>111</v>
      </c>
      <c r="N3330" s="24">
        <v>46038</v>
      </c>
      <c r="O3330" s="58">
        <v>46038</v>
      </c>
      <c r="R3330" s="126">
        <v>46038</v>
      </c>
    </row>
    <row r="3331" spans="2:18" ht="17.25" hidden="1" customHeight="1">
      <c r="B3331" s="23">
        <v>46035</v>
      </c>
      <c r="C3331" s="7">
        <v>2003663024</v>
      </c>
      <c r="D3331" s="20">
        <v>6613329</v>
      </c>
      <c r="E3331" s="27" t="s">
        <v>1225</v>
      </c>
      <c r="F3331" s="7" t="s">
        <v>107</v>
      </c>
      <c r="G3331" s="7" t="s">
        <v>18</v>
      </c>
      <c r="H3331" s="7" t="s">
        <v>45</v>
      </c>
      <c r="I3331" s="20" t="s">
        <v>4683</v>
      </c>
      <c r="J3331" s="20" t="s">
        <v>4526</v>
      </c>
      <c r="K3331" s="7" t="s">
        <v>110</v>
      </c>
      <c r="L3331" s="61">
        <v>46043</v>
      </c>
      <c r="M3331" s="7" t="s">
        <v>111</v>
      </c>
      <c r="N3331" s="24">
        <v>46044</v>
      </c>
      <c r="O3331" s="58">
        <v>46048</v>
      </c>
      <c r="R3331" s="126">
        <v>46048</v>
      </c>
    </row>
    <row r="3332" spans="2:18" ht="17.25" hidden="1" customHeight="1">
      <c r="B3332" s="23">
        <v>46035</v>
      </c>
      <c r="C3332" s="7">
        <v>2003845403</v>
      </c>
      <c r="D3332" s="20">
        <v>6613496</v>
      </c>
      <c r="E3332" s="27" t="s">
        <v>198</v>
      </c>
      <c r="F3332" s="7" t="s">
        <v>107</v>
      </c>
      <c r="G3332" s="7" t="s">
        <v>18</v>
      </c>
      <c r="H3332" s="7" t="s">
        <v>45</v>
      </c>
      <c r="I3332" s="20" t="s">
        <v>4464</v>
      </c>
      <c r="J3332" s="20" t="s">
        <v>4465</v>
      </c>
      <c r="K3332" s="7" t="s">
        <v>110</v>
      </c>
      <c r="L3332" s="61">
        <v>46037</v>
      </c>
      <c r="M3332" s="7" t="s">
        <v>111</v>
      </c>
      <c r="N3332" s="24">
        <v>46038</v>
      </c>
      <c r="O3332" s="58">
        <v>46041</v>
      </c>
      <c r="R3332" s="126">
        <v>46042</v>
      </c>
    </row>
    <row r="3333" spans="2:18" ht="17.25" hidden="1" customHeight="1">
      <c r="B3333" s="23">
        <v>46035</v>
      </c>
      <c r="C3333" s="7">
        <v>2003897753</v>
      </c>
      <c r="D3333" s="20">
        <v>6613691</v>
      </c>
      <c r="E3333" s="27" t="s">
        <v>568</v>
      </c>
      <c r="F3333" s="7" t="s">
        <v>107</v>
      </c>
      <c r="G3333" s="7" t="s">
        <v>10</v>
      </c>
      <c r="H3333" s="7" t="s">
        <v>45</v>
      </c>
      <c r="I3333" s="20" t="s">
        <v>4684</v>
      </c>
      <c r="J3333" s="20" t="s">
        <v>4685</v>
      </c>
      <c r="K3333" s="7" t="s">
        <v>119</v>
      </c>
      <c r="L3333" s="61">
        <v>46038</v>
      </c>
      <c r="M3333" s="7" t="s">
        <v>111</v>
      </c>
      <c r="N3333" s="24">
        <v>46038</v>
      </c>
      <c r="O3333" s="58">
        <v>46041</v>
      </c>
      <c r="R3333" s="126">
        <v>46042</v>
      </c>
    </row>
    <row r="3334" spans="2:18" ht="17.25" hidden="1" customHeight="1">
      <c r="B3334" s="23">
        <v>46035</v>
      </c>
      <c r="C3334" s="7">
        <v>2003887550</v>
      </c>
      <c r="D3334" s="20">
        <v>6613841</v>
      </c>
      <c r="E3334" s="27" t="s">
        <v>1225</v>
      </c>
      <c r="F3334" s="7" t="s">
        <v>107</v>
      </c>
      <c r="G3334" s="7" t="s">
        <v>15</v>
      </c>
      <c r="H3334" s="7" t="s">
        <v>45</v>
      </c>
      <c r="I3334" s="20" t="s">
        <v>4686</v>
      </c>
      <c r="J3334" s="20" t="s">
        <v>4687</v>
      </c>
      <c r="K3334" s="7" t="s">
        <v>119</v>
      </c>
      <c r="L3334" s="61">
        <v>46038</v>
      </c>
      <c r="M3334" s="7" t="s">
        <v>111</v>
      </c>
      <c r="N3334" s="24">
        <v>46041</v>
      </c>
      <c r="O3334" s="24">
        <v>46043</v>
      </c>
      <c r="R3334" s="126">
        <v>46043</v>
      </c>
    </row>
    <row r="3335" spans="2:18" ht="17.25" hidden="1" customHeight="1">
      <c r="B3335" s="23">
        <v>46035</v>
      </c>
      <c r="C3335" s="7">
        <v>2003667664</v>
      </c>
      <c r="D3335" s="20">
        <v>6613873</v>
      </c>
      <c r="E3335" s="27" t="s">
        <v>185</v>
      </c>
      <c r="F3335" s="7" t="s">
        <v>107</v>
      </c>
      <c r="G3335" s="7" t="s">
        <v>18</v>
      </c>
      <c r="H3335" s="7" t="s">
        <v>45</v>
      </c>
      <c r="I3335" s="20" t="s">
        <v>4688</v>
      </c>
      <c r="J3335" s="20" t="s">
        <v>4689</v>
      </c>
      <c r="K3335" s="7" t="s">
        <v>119</v>
      </c>
      <c r="L3335" s="61">
        <v>46037</v>
      </c>
      <c r="M3335" s="7" t="s">
        <v>111</v>
      </c>
      <c r="N3335" s="24">
        <v>46038</v>
      </c>
      <c r="O3335" s="58">
        <v>46041</v>
      </c>
      <c r="R3335" s="126">
        <v>46042</v>
      </c>
    </row>
    <row r="3336" spans="2:18" ht="17.25" hidden="1" customHeight="1">
      <c r="B3336" s="23">
        <v>46035</v>
      </c>
      <c r="C3336" s="7">
        <v>2003861945</v>
      </c>
      <c r="D3336" s="20">
        <v>6613908</v>
      </c>
      <c r="E3336" s="27" t="s">
        <v>185</v>
      </c>
      <c r="F3336" s="7" t="s">
        <v>107</v>
      </c>
      <c r="G3336" s="7" t="s">
        <v>18</v>
      </c>
      <c r="H3336" s="7" t="s">
        <v>45</v>
      </c>
      <c r="I3336" s="20" t="s">
        <v>4690</v>
      </c>
      <c r="J3336" s="20" t="s">
        <v>4691</v>
      </c>
      <c r="K3336" s="7" t="s">
        <v>110</v>
      </c>
      <c r="L3336" s="61">
        <v>46042</v>
      </c>
      <c r="M3336" s="7" t="s">
        <v>111</v>
      </c>
      <c r="N3336" s="61">
        <v>46042</v>
      </c>
      <c r="O3336" s="24">
        <v>46043</v>
      </c>
      <c r="R3336" s="126">
        <v>46043</v>
      </c>
    </row>
    <row r="3337" spans="2:18" ht="17.25" hidden="1" customHeight="1">
      <c r="B3337" s="23">
        <v>46035</v>
      </c>
      <c r="C3337" s="7">
        <v>2003877908</v>
      </c>
      <c r="D3337" s="20">
        <v>6614009</v>
      </c>
      <c r="E3337" s="27" t="s">
        <v>3586</v>
      </c>
      <c r="F3337" s="7" t="s">
        <v>107</v>
      </c>
      <c r="G3337" s="7" t="s">
        <v>15</v>
      </c>
      <c r="H3337" s="7" t="s">
        <v>45</v>
      </c>
      <c r="I3337" s="20" t="s">
        <v>4692</v>
      </c>
      <c r="J3337" s="20" t="s">
        <v>4693</v>
      </c>
      <c r="K3337" s="7" t="s">
        <v>146</v>
      </c>
      <c r="L3337" s="61">
        <v>46042</v>
      </c>
      <c r="M3337" s="7" t="s">
        <v>146</v>
      </c>
      <c r="N3337" s="24">
        <v>46057</v>
      </c>
      <c r="O3337" s="58">
        <v>46057</v>
      </c>
      <c r="R3337" s="126">
        <v>46058</v>
      </c>
    </row>
    <row r="3338" spans="2:18" ht="17.25" hidden="1" customHeight="1">
      <c r="B3338" s="23">
        <v>46035</v>
      </c>
      <c r="C3338" s="7">
        <v>2003878015</v>
      </c>
      <c r="D3338" s="20">
        <v>6614010</v>
      </c>
      <c r="E3338" s="27" t="s">
        <v>3586</v>
      </c>
      <c r="F3338" s="7" t="s">
        <v>107</v>
      </c>
      <c r="G3338" s="7" t="s">
        <v>15</v>
      </c>
      <c r="H3338" s="7" t="s">
        <v>45</v>
      </c>
      <c r="I3338" s="20" t="s">
        <v>4694</v>
      </c>
      <c r="J3338" s="20" t="s">
        <v>4695</v>
      </c>
      <c r="K3338" s="7" t="s">
        <v>146</v>
      </c>
      <c r="L3338" s="61">
        <v>46042</v>
      </c>
      <c r="M3338" s="7" t="s">
        <v>146</v>
      </c>
      <c r="N3338" s="24">
        <v>46050</v>
      </c>
      <c r="O3338" s="58">
        <v>46050</v>
      </c>
      <c r="R3338" s="126">
        <v>46050</v>
      </c>
    </row>
    <row r="3339" spans="2:18" ht="17.25" hidden="1" customHeight="1">
      <c r="B3339" s="23">
        <v>46036</v>
      </c>
      <c r="C3339" s="7">
        <v>2003879574</v>
      </c>
      <c r="D3339" s="20">
        <v>451064</v>
      </c>
      <c r="E3339" s="27" t="s">
        <v>566</v>
      </c>
      <c r="F3339" s="7" t="s">
        <v>107</v>
      </c>
      <c r="G3339" s="7" t="s">
        <v>26</v>
      </c>
      <c r="H3339" s="7" t="s">
        <v>45</v>
      </c>
      <c r="I3339" s="20" t="s">
        <v>1275</v>
      </c>
      <c r="J3339" s="20" t="s">
        <v>4696</v>
      </c>
      <c r="K3339" s="7" t="s">
        <v>119</v>
      </c>
      <c r="L3339" s="61">
        <v>46038</v>
      </c>
      <c r="M3339" s="7" t="s">
        <v>111</v>
      </c>
      <c r="N3339" s="24">
        <v>46038</v>
      </c>
      <c r="O3339" s="58">
        <v>46038</v>
      </c>
      <c r="R3339" s="126">
        <v>46038</v>
      </c>
    </row>
    <row r="3340" spans="2:18" ht="17.25" hidden="1" customHeight="1">
      <c r="B3340" s="23">
        <v>46036</v>
      </c>
      <c r="C3340" s="7">
        <v>2003900895</v>
      </c>
      <c r="D3340" s="20">
        <v>450694</v>
      </c>
      <c r="E3340" s="27" t="s">
        <v>191</v>
      </c>
      <c r="F3340" s="7" t="s">
        <v>107</v>
      </c>
      <c r="G3340" s="7" t="s">
        <v>10</v>
      </c>
      <c r="H3340" s="7" t="s">
        <v>45</v>
      </c>
      <c r="I3340" s="20" t="s">
        <v>2140</v>
      </c>
      <c r="J3340" s="20" t="s">
        <v>4697</v>
      </c>
      <c r="K3340" s="7" t="s">
        <v>119</v>
      </c>
      <c r="L3340" s="61">
        <v>46041</v>
      </c>
      <c r="M3340" s="7" t="s">
        <v>111</v>
      </c>
      <c r="N3340" s="24">
        <v>46042</v>
      </c>
      <c r="O3340" s="58">
        <v>46048</v>
      </c>
      <c r="R3340" s="126">
        <v>46048</v>
      </c>
    </row>
    <row r="3341" spans="2:18" ht="17.25" hidden="1" customHeight="1">
      <c r="B3341" s="23">
        <v>46036</v>
      </c>
      <c r="C3341" s="7">
        <v>2003900617</v>
      </c>
      <c r="D3341" s="20">
        <v>450363</v>
      </c>
      <c r="E3341" s="27" t="s">
        <v>568</v>
      </c>
      <c r="F3341" s="7" t="s">
        <v>107</v>
      </c>
      <c r="G3341" s="7" t="s">
        <v>10</v>
      </c>
      <c r="H3341" s="7" t="s">
        <v>45</v>
      </c>
      <c r="I3341" s="20" t="s">
        <v>4698</v>
      </c>
      <c r="J3341" s="20" t="s">
        <v>4536</v>
      </c>
      <c r="K3341" s="7" t="s">
        <v>119</v>
      </c>
      <c r="L3341" s="61">
        <v>46038</v>
      </c>
      <c r="M3341" s="7" t="s">
        <v>111</v>
      </c>
      <c r="N3341" s="24">
        <v>46041</v>
      </c>
      <c r="O3341" s="24">
        <v>46041</v>
      </c>
      <c r="R3341" s="126">
        <v>46042</v>
      </c>
    </row>
    <row r="3342" spans="2:18" ht="17.25" hidden="1" customHeight="1">
      <c r="B3342" s="23">
        <v>46036</v>
      </c>
      <c r="C3342" s="7">
        <v>2003866124</v>
      </c>
      <c r="D3342" s="20">
        <v>6614122</v>
      </c>
      <c r="E3342" s="27" t="s">
        <v>135</v>
      </c>
      <c r="F3342" s="7" t="s">
        <v>107</v>
      </c>
      <c r="G3342" s="7" t="s">
        <v>21</v>
      </c>
      <c r="H3342" s="7" t="s">
        <v>45</v>
      </c>
      <c r="I3342" s="20" t="s">
        <v>4699</v>
      </c>
      <c r="J3342" s="20" t="s">
        <v>4492</v>
      </c>
      <c r="K3342" s="7" t="s">
        <v>119</v>
      </c>
      <c r="L3342" s="61">
        <v>46043</v>
      </c>
      <c r="M3342" s="7" t="s">
        <v>111</v>
      </c>
      <c r="N3342" s="24">
        <v>46044</v>
      </c>
      <c r="O3342" s="24">
        <v>46044</v>
      </c>
      <c r="R3342" s="126">
        <v>46045</v>
      </c>
    </row>
    <row r="3343" spans="2:18" ht="17.25" hidden="1" customHeight="1">
      <c r="B3343" s="23">
        <v>46036</v>
      </c>
      <c r="C3343" s="7">
        <v>2003875819</v>
      </c>
      <c r="D3343" s="20">
        <v>6614323</v>
      </c>
      <c r="E3343" s="27" t="s">
        <v>123</v>
      </c>
      <c r="F3343" s="7" t="s">
        <v>107</v>
      </c>
      <c r="G3343" s="7" t="s">
        <v>10</v>
      </c>
      <c r="H3343" s="7" t="s">
        <v>45</v>
      </c>
      <c r="I3343" s="20" t="s">
        <v>4700</v>
      </c>
      <c r="J3343" s="20" t="s">
        <v>4701</v>
      </c>
      <c r="K3343" s="7" t="s">
        <v>119</v>
      </c>
      <c r="L3343" s="61">
        <v>46038</v>
      </c>
      <c r="M3343" s="7" t="s">
        <v>111</v>
      </c>
      <c r="N3343" s="24">
        <v>46038</v>
      </c>
      <c r="O3343" s="58">
        <v>46045</v>
      </c>
      <c r="R3343" s="126">
        <v>46048</v>
      </c>
    </row>
    <row r="3344" spans="2:18" ht="17.25" hidden="1" customHeight="1">
      <c r="B3344" s="23">
        <v>46036</v>
      </c>
      <c r="C3344" s="7">
        <v>2003887240</v>
      </c>
      <c r="D3344" s="20">
        <v>6614339</v>
      </c>
      <c r="E3344" s="27" t="s">
        <v>4702</v>
      </c>
      <c r="F3344" s="7" t="s">
        <v>107</v>
      </c>
      <c r="G3344" s="7" t="s">
        <v>15</v>
      </c>
      <c r="H3344" s="7" t="s">
        <v>45</v>
      </c>
      <c r="I3344" s="20" t="s">
        <v>2508</v>
      </c>
      <c r="J3344" s="20" t="s">
        <v>4703</v>
      </c>
      <c r="K3344" s="7" t="s">
        <v>110</v>
      </c>
      <c r="L3344" s="61">
        <v>46041</v>
      </c>
      <c r="M3344" s="7" t="s">
        <v>111</v>
      </c>
      <c r="N3344" s="24">
        <v>46042</v>
      </c>
      <c r="O3344" s="58">
        <v>46043</v>
      </c>
      <c r="R3344" s="126">
        <v>46043</v>
      </c>
    </row>
    <row r="3345" spans="2:18" ht="17.25" hidden="1" customHeight="1">
      <c r="B3345" s="23">
        <v>46036</v>
      </c>
      <c r="C3345" s="7">
        <v>2003873821</v>
      </c>
      <c r="D3345" s="20">
        <v>6614619</v>
      </c>
      <c r="E3345" s="27" t="s">
        <v>198</v>
      </c>
      <c r="F3345" s="7" t="s">
        <v>107</v>
      </c>
      <c r="G3345" s="7" t="s">
        <v>18</v>
      </c>
      <c r="H3345" s="7" t="s">
        <v>45</v>
      </c>
      <c r="I3345" s="20" t="s">
        <v>4704</v>
      </c>
      <c r="J3345" s="20">
        <v>1792257</v>
      </c>
      <c r="K3345" s="7" t="s">
        <v>119</v>
      </c>
      <c r="L3345" s="61">
        <v>46041</v>
      </c>
      <c r="M3345" s="7" t="s">
        <v>111</v>
      </c>
      <c r="N3345" s="24">
        <v>46042</v>
      </c>
      <c r="O3345" s="58">
        <v>46043</v>
      </c>
      <c r="R3345" s="126">
        <v>46043</v>
      </c>
    </row>
    <row r="3346" spans="2:18" ht="17.25" hidden="1" customHeight="1">
      <c r="B3346" s="23">
        <v>46037</v>
      </c>
      <c r="C3346" s="7">
        <v>2003812824</v>
      </c>
      <c r="D3346" s="20">
        <v>452990</v>
      </c>
      <c r="E3346" s="27" t="s">
        <v>191</v>
      </c>
      <c r="F3346" s="7" t="s">
        <v>107</v>
      </c>
      <c r="G3346" s="7" t="s">
        <v>10</v>
      </c>
      <c r="H3346" s="7" t="s">
        <v>45</v>
      </c>
      <c r="I3346" s="20" t="s">
        <v>4705</v>
      </c>
      <c r="J3346" s="20" t="s">
        <v>4706</v>
      </c>
      <c r="K3346" s="7" t="s">
        <v>119</v>
      </c>
      <c r="L3346" s="61">
        <v>46041</v>
      </c>
      <c r="M3346" s="7" t="s">
        <v>111</v>
      </c>
      <c r="N3346" s="24">
        <v>46049</v>
      </c>
      <c r="O3346" s="58">
        <v>46051</v>
      </c>
      <c r="R3346" s="126">
        <v>46052</v>
      </c>
    </row>
    <row r="3347" spans="2:18" ht="17.25" hidden="1" customHeight="1">
      <c r="B3347" s="23">
        <v>46037</v>
      </c>
      <c r="C3347" s="7">
        <v>2003888893</v>
      </c>
      <c r="D3347" s="20">
        <v>453012</v>
      </c>
      <c r="E3347" s="27" t="s">
        <v>123</v>
      </c>
      <c r="F3347" s="7" t="s">
        <v>107</v>
      </c>
      <c r="G3347" s="7" t="s">
        <v>18</v>
      </c>
      <c r="H3347" s="7" t="s">
        <v>45</v>
      </c>
      <c r="I3347" s="20" t="s">
        <v>3964</v>
      </c>
      <c r="J3347" s="20" t="s">
        <v>4707</v>
      </c>
      <c r="K3347" s="7" t="s">
        <v>119</v>
      </c>
      <c r="L3347" s="61">
        <v>46042</v>
      </c>
      <c r="M3347" s="7" t="s">
        <v>111</v>
      </c>
      <c r="N3347" s="24">
        <v>46042</v>
      </c>
      <c r="O3347" s="58">
        <v>46045</v>
      </c>
      <c r="R3347" s="126">
        <v>46045</v>
      </c>
    </row>
    <row r="3348" spans="2:18" ht="17.25" hidden="1" customHeight="1">
      <c r="B3348" s="23">
        <v>46037</v>
      </c>
      <c r="C3348" s="7">
        <v>2003902046</v>
      </c>
      <c r="D3348" s="20">
        <v>452712</v>
      </c>
      <c r="E3348" s="27" t="s">
        <v>123</v>
      </c>
      <c r="F3348" s="7" t="s">
        <v>107</v>
      </c>
      <c r="G3348" s="7" t="s">
        <v>26</v>
      </c>
      <c r="H3348" s="7" t="s">
        <v>45</v>
      </c>
      <c r="I3348" s="20" t="s">
        <v>453</v>
      </c>
      <c r="J3348" s="20" t="s">
        <v>4708</v>
      </c>
      <c r="K3348" s="7" t="s">
        <v>119</v>
      </c>
      <c r="L3348" s="61">
        <v>46041</v>
      </c>
      <c r="M3348" s="7" t="s">
        <v>111</v>
      </c>
      <c r="N3348" s="24">
        <v>46043</v>
      </c>
      <c r="O3348" s="58">
        <v>46043</v>
      </c>
      <c r="R3348" s="126">
        <v>46043</v>
      </c>
    </row>
    <row r="3349" spans="2:18" ht="17.25" hidden="1" customHeight="1">
      <c r="B3349" s="23">
        <v>46037</v>
      </c>
      <c r="C3349" s="7">
        <v>2003881149</v>
      </c>
      <c r="D3349" s="20">
        <v>452167</v>
      </c>
      <c r="E3349" s="27" t="s">
        <v>622</v>
      </c>
      <c r="F3349" s="7" t="s">
        <v>107</v>
      </c>
      <c r="G3349" s="7" t="s">
        <v>18</v>
      </c>
      <c r="H3349" s="7" t="s">
        <v>45</v>
      </c>
      <c r="I3349" s="20" t="s">
        <v>748</v>
      </c>
      <c r="J3349" s="20" t="s">
        <v>4709</v>
      </c>
      <c r="K3349" s="7" t="s">
        <v>119</v>
      </c>
      <c r="L3349" s="61">
        <v>46041</v>
      </c>
      <c r="M3349" s="7" t="s">
        <v>111</v>
      </c>
      <c r="N3349" s="24">
        <v>46042</v>
      </c>
      <c r="O3349" s="24">
        <v>46042</v>
      </c>
      <c r="R3349" s="126">
        <v>46042</v>
      </c>
    </row>
    <row r="3350" spans="2:18" ht="17.25" hidden="1" customHeight="1">
      <c r="B3350" s="23">
        <v>46037</v>
      </c>
      <c r="C3350" s="7">
        <v>2003899135</v>
      </c>
      <c r="D3350" s="20">
        <v>452029</v>
      </c>
      <c r="E3350" s="27" t="s">
        <v>566</v>
      </c>
      <c r="F3350" s="7" t="s">
        <v>107</v>
      </c>
      <c r="G3350" s="7" t="s">
        <v>10</v>
      </c>
      <c r="H3350" s="7" t="s">
        <v>45</v>
      </c>
      <c r="I3350" s="20" t="s">
        <v>2920</v>
      </c>
      <c r="J3350" s="20" t="s">
        <v>1997</v>
      </c>
      <c r="K3350" s="7" t="s">
        <v>110</v>
      </c>
      <c r="L3350" s="61">
        <v>46041</v>
      </c>
      <c r="M3350" s="7" t="s">
        <v>146</v>
      </c>
      <c r="N3350" s="24">
        <v>46043</v>
      </c>
      <c r="O3350" s="58">
        <v>46043</v>
      </c>
      <c r="R3350" s="126">
        <v>46043</v>
      </c>
    </row>
    <row r="3351" spans="2:18" ht="17.25" hidden="1" customHeight="1">
      <c r="B3351" s="23">
        <v>46037</v>
      </c>
      <c r="C3351" s="7">
        <v>2003894155</v>
      </c>
      <c r="D3351" s="20">
        <v>451721</v>
      </c>
      <c r="E3351" s="27" t="s">
        <v>622</v>
      </c>
      <c r="F3351" s="7" t="s">
        <v>107</v>
      </c>
      <c r="G3351" s="7" t="s">
        <v>10</v>
      </c>
      <c r="H3351" s="7" t="s">
        <v>45</v>
      </c>
      <c r="I3351" s="20" t="s">
        <v>895</v>
      </c>
      <c r="J3351" s="20" t="s">
        <v>4710</v>
      </c>
      <c r="K3351" s="7" t="s">
        <v>119</v>
      </c>
      <c r="L3351" s="61">
        <v>46042</v>
      </c>
      <c r="M3351" s="7" t="s">
        <v>111</v>
      </c>
      <c r="N3351" s="24">
        <v>46044</v>
      </c>
      <c r="O3351" s="24">
        <v>46044</v>
      </c>
      <c r="R3351" s="126">
        <v>46045</v>
      </c>
    </row>
    <row r="3352" spans="2:18" ht="17.25" hidden="1" customHeight="1">
      <c r="B3352" s="23">
        <v>46037</v>
      </c>
      <c r="C3352" s="7">
        <v>2003879890</v>
      </c>
      <c r="D3352" s="20">
        <v>451628</v>
      </c>
      <c r="E3352" s="27" t="s">
        <v>123</v>
      </c>
      <c r="F3352" s="7" t="s">
        <v>107</v>
      </c>
      <c r="G3352" s="7" t="s">
        <v>10</v>
      </c>
      <c r="H3352" s="7" t="s">
        <v>45</v>
      </c>
      <c r="I3352" s="20" t="s">
        <v>1966</v>
      </c>
      <c r="J3352" s="20" t="s">
        <v>4711</v>
      </c>
      <c r="K3352" s="7" t="s">
        <v>119</v>
      </c>
      <c r="L3352" s="61">
        <v>46044</v>
      </c>
      <c r="M3352" s="7" t="s">
        <v>111</v>
      </c>
      <c r="N3352" s="24">
        <v>46045</v>
      </c>
      <c r="O3352" s="24">
        <v>46045</v>
      </c>
      <c r="R3352" s="126">
        <v>46045</v>
      </c>
    </row>
    <row r="3353" spans="2:18" ht="17.25" hidden="1" customHeight="1">
      <c r="B3353" s="23">
        <v>46037</v>
      </c>
      <c r="C3353" s="7">
        <v>2003898790</v>
      </c>
      <c r="D3353" s="20">
        <v>6615025</v>
      </c>
      <c r="E3353" s="27" t="s">
        <v>366</v>
      </c>
      <c r="F3353" s="7" t="s">
        <v>107</v>
      </c>
      <c r="G3353" s="7" t="s">
        <v>15</v>
      </c>
      <c r="H3353" s="7" t="s">
        <v>45</v>
      </c>
      <c r="I3353" s="20" t="s">
        <v>4712</v>
      </c>
      <c r="J3353" s="20" t="s">
        <v>4713</v>
      </c>
      <c r="K3353" s="7" t="s">
        <v>110</v>
      </c>
      <c r="L3353" s="61">
        <v>46041</v>
      </c>
      <c r="M3353" s="7" t="s">
        <v>111</v>
      </c>
      <c r="N3353" s="58">
        <v>46045</v>
      </c>
      <c r="O3353" s="58">
        <v>46045</v>
      </c>
      <c r="R3353" s="126">
        <v>46045</v>
      </c>
    </row>
    <row r="3354" spans="2:18" ht="17.25" hidden="1" customHeight="1">
      <c r="B3354" s="23">
        <v>46037</v>
      </c>
      <c r="C3354" s="7">
        <v>2003886185</v>
      </c>
      <c r="D3354" s="20">
        <v>6615036</v>
      </c>
      <c r="E3354" s="27" t="s">
        <v>408</v>
      </c>
      <c r="F3354" s="7" t="s">
        <v>107</v>
      </c>
      <c r="G3354" s="7" t="s">
        <v>21</v>
      </c>
      <c r="H3354" s="7" t="s">
        <v>45</v>
      </c>
      <c r="I3354" s="20" t="s">
        <v>286</v>
      </c>
      <c r="J3354" s="20" t="s">
        <v>4576</v>
      </c>
      <c r="K3354" s="7" t="s">
        <v>110</v>
      </c>
      <c r="L3354" s="61">
        <v>46038</v>
      </c>
      <c r="M3354" s="7" t="s">
        <v>111</v>
      </c>
      <c r="N3354" s="61">
        <v>46038</v>
      </c>
      <c r="O3354" s="61">
        <v>46038</v>
      </c>
      <c r="R3354" s="126">
        <v>46038</v>
      </c>
    </row>
    <row r="3355" spans="2:18" ht="17.25" hidden="1" customHeight="1">
      <c r="B3355" s="23">
        <v>46037</v>
      </c>
      <c r="C3355" s="7">
        <v>2003898192</v>
      </c>
      <c r="D3355" s="20">
        <v>6615081</v>
      </c>
      <c r="E3355" s="27" t="s">
        <v>198</v>
      </c>
      <c r="F3355" s="7" t="s">
        <v>107</v>
      </c>
      <c r="G3355" s="7" t="s">
        <v>18</v>
      </c>
      <c r="H3355" s="7" t="s">
        <v>45</v>
      </c>
      <c r="I3355" s="20" t="s">
        <v>3484</v>
      </c>
      <c r="J3355" s="20" t="s">
        <v>4714</v>
      </c>
      <c r="K3355" s="7" t="s">
        <v>119</v>
      </c>
      <c r="L3355" s="61">
        <v>46041</v>
      </c>
      <c r="M3355" s="7" t="s">
        <v>111</v>
      </c>
      <c r="N3355" s="24">
        <v>46042</v>
      </c>
      <c r="O3355" s="58">
        <v>46043</v>
      </c>
      <c r="R3355" s="126">
        <v>46043</v>
      </c>
    </row>
    <row r="3356" spans="2:18" ht="17.25" hidden="1" customHeight="1">
      <c r="B3356" s="23">
        <v>46037</v>
      </c>
      <c r="C3356" s="7">
        <v>2003898510</v>
      </c>
      <c r="D3356" s="20">
        <v>6615323</v>
      </c>
      <c r="E3356" s="27" t="s">
        <v>949</v>
      </c>
      <c r="F3356" s="7" t="s">
        <v>107</v>
      </c>
      <c r="G3356" s="7" t="s">
        <v>10</v>
      </c>
      <c r="H3356" s="7" t="s">
        <v>45</v>
      </c>
      <c r="I3356" s="20" t="s">
        <v>1966</v>
      </c>
      <c r="J3356" s="20" t="s">
        <v>4715</v>
      </c>
      <c r="K3356" s="7" t="s">
        <v>110</v>
      </c>
      <c r="L3356" s="61">
        <v>46041</v>
      </c>
      <c r="M3356" s="7" t="s">
        <v>146</v>
      </c>
      <c r="N3356" s="61">
        <v>46041</v>
      </c>
      <c r="O3356" s="58">
        <v>46045</v>
      </c>
      <c r="R3356" s="126">
        <v>46045</v>
      </c>
    </row>
    <row r="3357" spans="2:18" ht="17.25" hidden="1" customHeight="1">
      <c r="B3357" s="23">
        <v>46037</v>
      </c>
      <c r="C3357" s="7">
        <v>2003669796</v>
      </c>
      <c r="D3357" s="20">
        <v>6615384</v>
      </c>
      <c r="E3357" s="27" t="s">
        <v>191</v>
      </c>
      <c r="F3357" s="7" t="s">
        <v>107</v>
      </c>
      <c r="G3357" s="7" t="s">
        <v>18</v>
      </c>
      <c r="H3357" s="7" t="s">
        <v>45</v>
      </c>
      <c r="I3357" s="20" t="s">
        <v>4705</v>
      </c>
      <c r="J3357" s="20" t="s">
        <v>4706</v>
      </c>
      <c r="K3357" s="7" t="s">
        <v>119</v>
      </c>
      <c r="L3357" s="61">
        <v>46041</v>
      </c>
      <c r="M3357" s="7" t="s">
        <v>111</v>
      </c>
      <c r="N3357" s="24">
        <v>46043</v>
      </c>
      <c r="O3357" s="24">
        <v>46043</v>
      </c>
      <c r="R3357" s="126">
        <v>46043</v>
      </c>
    </row>
    <row r="3358" spans="2:18" ht="17.25" hidden="1" customHeight="1">
      <c r="B3358" s="23">
        <v>46038</v>
      </c>
      <c r="C3358" s="7">
        <v>2003891774</v>
      </c>
      <c r="D3358" s="20">
        <v>6613017</v>
      </c>
      <c r="E3358" s="27" t="s">
        <v>149</v>
      </c>
      <c r="F3358" s="7" t="s">
        <v>107</v>
      </c>
      <c r="G3358" s="7" t="s">
        <v>18</v>
      </c>
      <c r="H3358" s="7" t="s">
        <v>45</v>
      </c>
      <c r="I3358" s="20" t="s">
        <v>4716</v>
      </c>
      <c r="J3358" s="20" t="s">
        <v>4717</v>
      </c>
      <c r="K3358" s="7" t="s">
        <v>119</v>
      </c>
      <c r="L3358" s="61">
        <v>46038</v>
      </c>
      <c r="M3358" s="7" t="s">
        <v>111</v>
      </c>
      <c r="N3358" s="24">
        <v>46042</v>
      </c>
      <c r="O3358" s="58">
        <v>46043</v>
      </c>
      <c r="R3358" s="126">
        <v>46043</v>
      </c>
    </row>
    <row r="3359" spans="2:18" ht="17.25" hidden="1" customHeight="1">
      <c r="B3359" s="23">
        <v>46038</v>
      </c>
      <c r="C3359" s="7">
        <v>2003896248</v>
      </c>
      <c r="D3359" s="20">
        <v>6613064</v>
      </c>
      <c r="E3359" s="27" t="s">
        <v>106</v>
      </c>
      <c r="F3359" s="7" t="s">
        <v>107</v>
      </c>
      <c r="G3359" s="7" t="s">
        <v>18</v>
      </c>
      <c r="H3359" s="7" t="s">
        <v>45</v>
      </c>
      <c r="I3359" s="20" t="s">
        <v>400</v>
      </c>
      <c r="J3359" s="20" t="s">
        <v>4718</v>
      </c>
      <c r="K3359" s="7" t="s">
        <v>119</v>
      </c>
      <c r="L3359" s="61">
        <v>46044</v>
      </c>
      <c r="M3359" s="7" t="s">
        <v>111</v>
      </c>
      <c r="N3359" s="24">
        <v>46045</v>
      </c>
      <c r="O3359" s="58">
        <v>46048</v>
      </c>
      <c r="R3359" s="126">
        <v>46048</v>
      </c>
    </row>
    <row r="3360" spans="2:18" ht="17.25" hidden="1" customHeight="1">
      <c r="B3360" s="23">
        <v>46038</v>
      </c>
      <c r="C3360" s="7">
        <v>2003898559</v>
      </c>
      <c r="D3360" s="20">
        <v>454778</v>
      </c>
      <c r="E3360" s="27" t="s">
        <v>106</v>
      </c>
      <c r="F3360" s="7" t="s">
        <v>107</v>
      </c>
      <c r="G3360" s="7" t="s">
        <v>18</v>
      </c>
      <c r="H3360" s="7" t="s">
        <v>45</v>
      </c>
      <c r="I3360" s="20" t="s">
        <v>3415</v>
      </c>
      <c r="J3360" s="20" t="s">
        <v>4719</v>
      </c>
      <c r="K3360" s="7" t="s">
        <v>119</v>
      </c>
      <c r="L3360" s="61">
        <v>46041</v>
      </c>
      <c r="M3360" s="7" t="s">
        <v>111</v>
      </c>
      <c r="N3360" s="24">
        <v>46042</v>
      </c>
      <c r="O3360" s="58">
        <v>46043</v>
      </c>
      <c r="R3360" s="126">
        <v>46043</v>
      </c>
    </row>
    <row r="3361" spans="2:18" ht="17.25" hidden="1" customHeight="1">
      <c r="B3361" s="23">
        <v>46038</v>
      </c>
      <c r="C3361" s="7">
        <v>2003902701</v>
      </c>
      <c r="D3361" s="20">
        <v>454832</v>
      </c>
      <c r="E3361" s="27" t="s">
        <v>622</v>
      </c>
      <c r="F3361" s="7" t="s">
        <v>107</v>
      </c>
      <c r="G3361" s="7" t="s">
        <v>10</v>
      </c>
      <c r="H3361" s="7" t="s">
        <v>45</v>
      </c>
      <c r="I3361" s="20" t="s">
        <v>840</v>
      </c>
      <c r="J3361" s="20" t="s">
        <v>4720</v>
      </c>
      <c r="K3361" s="7" t="s">
        <v>119</v>
      </c>
      <c r="L3361" s="61">
        <v>46044</v>
      </c>
      <c r="M3361" s="7" t="s">
        <v>111</v>
      </c>
      <c r="N3361" s="24">
        <v>46045</v>
      </c>
      <c r="O3361" s="58">
        <v>46048</v>
      </c>
      <c r="R3361" s="126">
        <v>46048</v>
      </c>
    </row>
    <row r="3362" spans="2:18" ht="17.25" hidden="1" customHeight="1">
      <c r="B3362" s="23">
        <v>46038</v>
      </c>
      <c r="C3362" s="7">
        <v>2003898556</v>
      </c>
      <c r="D3362" s="20">
        <v>454763</v>
      </c>
      <c r="E3362" s="27" t="s">
        <v>198</v>
      </c>
      <c r="F3362" s="7" t="s">
        <v>107</v>
      </c>
      <c r="G3362" s="7" t="s">
        <v>18</v>
      </c>
      <c r="H3362" s="7" t="s">
        <v>45</v>
      </c>
      <c r="I3362" s="20" t="s">
        <v>3415</v>
      </c>
      <c r="J3362" s="20" t="s">
        <v>4719</v>
      </c>
      <c r="K3362" s="7" t="s">
        <v>119</v>
      </c>
      <c r="L3362" s="61">
        <v>46041</v>
      </c>
      <c r="M3362" s="7" t="s">
        <v>111</v>
      </c>
      <c r="N3362" s="24">
        <v>46042</v>
      </c>
      <c r="O3362" s="58">
        <v>46043</v>
      </c>
      <c r="R3362" s="126">
        <v>46043</v>
      </c>
    </row>
    <row r="3363" spans="2:18" ht="17.25" hidden="1" customHeight="1">
      <c r="B3363" s="23">
        <v>46038</v>
      </c>
      <c r="C3363" s="7">
        <v>2003666636</v>
      </c>
      <c r="D3363" s="20">
        <v>453674</v>
      </c>
      <c r="E3363" s="27" t="s">
        <v>138</v>
      </c>
      <c r="F3363" s="7" t="s">
        <v>107</v>
      </c>
      <c r="G3363" s="7" t="s">
        <v>10</v>
      </c>
      <c r="H3363" s="7" t="s">
        <v>45</v>
      </c>
      <c r="I3363" s="20" t="s">
        <v>2240</v>
      </c>
      <c r="J3363" s="20" t="s">
        <v>4721</v>
      </c>
      <c r="K3363" s="7" t="s">
        <v>119</v>
      </c>
      <c r="L3363" s="61">
        <v>46042</v>
      </c>
      <c r="M3363" s="7" t="s">
        <v>111</v>
      </c>
      <c r="N3363" s="61">
        <v>46042</v>
      </c>
      <c r="O3363" s="61">
        <v>46042</v>
      </c>
      <c r="R3363" s="126">
        <v>46043</v>
      </c>
    </row>
    <row r="3364" spans="2:18" ht="17.25" hidden="1" customHeight="1">
      <c r="B3364" s="23">
        <v>46038</v>
      </c>
      <c r="C3364" s="7">
        <v>2003893038</v>
      </c>
      <c r="D3364" s="20">
        <v>453650</v>
      </c>
      <c r="E3364" s="27" t="s">
        <v>126</v>
      </c>
      <c r="F3364" s="7" t="s">
        <v>107</v>
      </c>
      <c r="G3364" s="7" t="s">
        <v>18</v>
      </c>
      <c r="H3364" s="7" t="s">
        <v>45</v>
      </c>
      <c r="I3364" s="20" t="s">
        <v>4722</v>
      </c>
      <c r="J3364" s="20" t="s">
        <v>4723</v>
      </c>
      <c r="K3364" s="7" t="s">
        <v>119</v>
      </c>
      <c r="L3364" s="61">
        <v>46043</v>
      </c>
      <c r="M3364" s="7" t="s">
        <v>111</v>
      </c>
      <c r="N3364" s="24">
        <v>46044</v>
      </c>
      <c r="O3364" s="58">
        <v>46048</v>
      </c>
      <c r="R3364" s="126">
        <v>46048</v>
      </c>
    </row>
    <row r="3365" spans="2:18" ht="17.25" hidden="1" customHeight="1">
      <c r="B3365" s="23">
        <v>46038</v>
      </c>
      <c r="C3365" s="7">
        <v>2003900328</v>
      </c>
      <c r="D3365" s="20">
        <v>6615638</v>
      </c>
      <c r="E3365" s="27" t="s">
        <v>201</v>
      </c>
      <c r="F3365" s="7" t="s">
        <v>107</v>
      </c>
      <c r="G3365" s="7" t="s">
        <v>18</v>
      </c>
      <c r="H3365" s="7" t="s">
        <v>45</v>
      </c>
      <c r="I3365" s="20" t="s">
        <v>4439</v>
      </c>
      <c r="J3365" s="20" t="s">
        <v>4724</v>
      </c>
      <c r="K3365" s="7" t="s">
        <v>119</v>
      </c>
      <c r="L3365" s="61">
        <v>46044</v>
      </c>
      <c r="M3365" s="7" t="s">
        <v>111</v>
      </c>
      <c r="N3365" s="24">
        <v>46045</v>
      </c>
      <c r="O3365" s="58">
        <v>46048</v>
      </c>
      <c r="R3365" s="126">
        <v>46048</v>
      </c>
    </row>
    <row r="3366" spans="2:18" ht="17.25" hidden="1" customHeight="1">
      <c r="B3366" s="23">
        <v>46038</v>
      </c>
      <c r="C3366" s="7">
        <v>2003680367</v>
      </c>
      <c r="D3366" s="20">
        <v>6615767</v>
      </c>
      <c r="E3366" s="27" t="s">
        <v>408</v>
      </c>
      <c r="F3366" s="7" t="s">
        <v>107</v>
      </c>
      <c r="G3366" s="7" t="s">
        <v>10</v>
      </c>
      <c r="H3366" s="7" t="s">
        <v>45</v>
      </c>
      <c r="I3366" s="20" t="s">
        <v>4725</v>
      </c>
      <c r="J3366" s="20" t="s">
        <v>4726</v>
      </c>
      <c r="K3366" s="7" t="s">
        <v>119</v>
      </c>
      <c r="L3366" s="61">
        <v>46043</v>
      </c>
      <c r="M3366" s="7" t="s">
        <v>111</v>
      </c>
      <c r="N3366" s="24">
        <v>46044</v>
      </c>
      <c r="O3366" s="24">
        <v>46044</v>
      </c>
      <c r="R3366" s="126">
        <v>46045</v>
      </c>
    </row>
    <row r="3367" spans="2:18" ht="17.25" hidden="1" customHeight="1">
      <c r="B3367" s="23">
        <v>46038</v>
      </c>
      <c r="C3367" s="7">
        <v>2003844619</v>
      </c>
      <c r="D3367" s="20">
        <v>6615911</v>
      </c>
      <c r="E3367" s="27" t="s">
        <v>198</v>
      </c>
      <c r="F3367" s="7" t="s">
        <v>107</v>
      </c>
      <c r="G3367" s="7" t="s">
        <v>18</v>
      </c>
      <c r="H3367" s="7" t="s">
        <v>45</v>
      </c>
      <c r="I3367" s="20" t="s">
        <v>1474</v>
      </c>
      <c r="J3367" s="20" t="s">
        <v>4727</v>
      </c>
      <c r="K3367" s="7" t="s">
        <v>119</v>
      </c>
      <c r="L3367" s="61">
        <v>46048</v>
      </c>
      <c r="M3367" s="7" t="s">
        <v>111</v>
      </c>
      <c r="N3367" s="24">
        <v>46049</v>
      </c>
      <c r="O3367" s="58">
        <v>46052</v>
      </c>
      <c r="R3367" s="126">
        <v>46052</v>
      </c>
    </row>
    <row r="3368" spans="2:18" ht="17.25" hidden="1" customHeight="1">
      <c r="B3368" s="23">
        <v>46041</v>
      </c>
      <c r="C3368" s="7">
        <v>2003887323</v>
      </c>
      <c r="D3368" s="20">
        <v>457401</v>
      </c>
      <c r="E3368" s="27" t="s">
        <v>258</v>
      </c>
      <c r="F3368" s="7" t="s">
        <v>107</v>
      </c>
      <c r="G3368" s="7" t="s">
        <v>10</v>
      </c>
      <c r="H3368" s="7" t="s">
        <v>45</v>
      </c>
      <c r="I3368" s="20" t="s">
        <v>206</v>
      </c>
      <c r="J3368" s="20" t="s">
        <v>4728</v>
      </c>
      <c r="K3368" s="7" t="s">
        <v>119</v>
      </c>
      <c r="L3368" s="61">
        <v>46043</v>
      </c>
      <c r="M3368" s="7" t="s">
        <v>111</v>
      </c>
      <c r="N3368" s="24">
        <v>46044</v>
      </c>
      <c r="O3368" s="58">
        <v>46048</v>
      </c>
      <c r="R3368" s="126">
        <v>46048</v>
      </c>
    </row>
    <row r="3369" spans="2:18" ht="17.25" hidden="1" customHeight="1">
      <c r="B3369" s="23">
        <v>46041</v>
      </c>
      <c r="C3369" s="7">
        <v>2003902317</v>
      </c>
      <c r="D3369" s="20">
        <v>457313</v>
      </c>
      <c r="E3369" s="27" t="s">
        <v>132</v>
      </c>
      <c r="F3369" s="7" t="s">
        <v>107</v>
      </c>
      <c r="G3369" s="7" t="s">
        <v>10</v>
      </c>
      <c r="H3369" s="7" t="s">
        <v>45</v>
      </c>
      <c r="I3369" s="20" t="s">
        <v>1420</v>
      </c>
      <c r="J3369" s="20" t="s">
        <v>4729</v>
      </c>
      <c r="K3369" s="7" t="s">
        <v>119</v>
      </c>
      <c r="L3369" s="61">
        <v>46044</v>
      </c>
      <c r="M3369" s="7" t="s">
        <v>111</v>
      </c>
      <c r="N3369" s="24">
        <v>46045</v>
      </c>
      <c r="O3369" s="58">
        <v>46048</v>
      </c>
      <c r="R3369" s="126">
        <v>46048</v>
      </c>
    </row>
    <row r="3370" spans="2:18" ht="17.25" hidden="1" customHeight="1">
      <c r="B3370" s="23">
        <v>46041</v>
      </c>
      <c r="C3370" s="7">
        <v>2003755550</v>
      </c>
      <c r="D3370" s="20">
        <v>456898</v>
      </c>
      <c r="E3370" s="27" t="s">
        <v>230</v>
      </c>
      <c r="F3370" s="7" t="s">
        <v>107</v>
      </c>
      <c r="G3370" s="7" t="s">
        <v>10</v>
      </c>
      <c r="H3370" s="7" t="s">
        <v>45</v>
      </c>
      <c r="I3370" s="20" t="s">
        <v>335</v>
      </c>
      <c r="J3370" s="20" t="s">
        <v>3088</v>
      </c>
      <c r="K3370" s="7" t="s">
        <v>110</v>
      </c>
      <c r="L3370" s="61">
        <v>46043</v>
      </c>
      <c r="M3370" s="7" t="s">
        <v>111</v>
      </c>
      <c r="N3370" s="24">
        <v>46044</v>
      </c>
      <c r="O3370" s="24">
        <v>46044</v>
      </c>
      <c r="R3370" s="126">
        <v>46045</v>
      </c>
    </row>
    <row r="3371" spans="2:18" ht="17.25" hidden="1" customHeight="1">
      <c r="B3371" s="23">
        <v>46041</v>
      </c>
      <c r="C3371" s="7">
        <v>2003733389</v>
      </c>
      <c r="D3371" s="20">
        <v>456914</v>
      </c>
      <c r="E3371" s="27" t="s">
        <v>1225</v>
      </c>
      <c r="F3371" s="7" t="s">
        <v>107</v>
      </c>
      <c r="G3371" s="7" t="s">
        <v>18</v>
      </c>
      <c r="H3371" s="7" t="s">
        <v>45</v>
      </c>
      <c r="I3371" s="20" t="s">
        <v>4730</v>
      </c>
      <c r="J3371" s="20" t="s">
        <v>4731</v>
      </c>
      <c r="K3371" s="7" t="s">
        <v>110</v>
      </c>
      <c r="L3371" s="61">
        <v>46042</v>
      </c>
      <c r="M3371" s="7" t="s">
        <v>111</v>
      </c>
      <c r="N3371" s="24">
        <v>46043</v>
      </c>
      <c r="O3371" s="58">
        <v>46045</v>
      </c>
      <c r="R3371" s="126">
        <v>46045</v>
      </c>
    </row>
    <row r="3372" spans="2:18" ht="17.25" hidden="1" customHeight="1">
      <c r="B3372" s="23">
        <v>46041</v>
      </c>
      <c r="C3372" s="7">
        <v>2003891452</v>
      </c>
      <c r="D3372" s="20">
        <v>456689</v>
      </c>
      <c r="E3372" s="27" t="s">
        <v>198</v>
      </c>
      <c r="F3372" s="7" t="s">
        <v>107</v>
      </c>
      <c r="G3372" s="7" t="s">
        <v>10</v>
      </c>
      <c r="H3372" s="7" t="s">
        <v>45</v>
      </c>
      <c r="I3372" s="20" t="s">
        <v>1590</v>
      </c>
      <c r="J3372" s="20" t="s">
        <v>4732</v>
      </c>
      <c r="K3372" s="7" t="s">
        <v>119</v>
      </c>
      <c r="L3372" s="61">
        <v>46043</v>
      </c>
      <c r="M3372" s="7" t="s">
        <v>111</v>
      </c>
      <c r="N3372" s="24">
        <v>46044</v>
      </c>
      <c r="O3372" s="58">
        <v>46048</v>
      </c>
      <c r="R3372" s="126">
        <v>46048</v>
      </c>
    </row>
    <row r="3373" spans="2:18" ht="17.25" hidden="1" customHeight="1">
      <c r="B3373" s="23">
        <v>46041</v>
      </c>
      <c r="C3373" s="7">
        <v>2003903957</v>
      </c>
      <c r="D3373" s="20">
        <v>456747</v>
      </c>
      <c r="E3373" s="27" t="s">
        <v>185</v>
      </c>
      <c r="F3373" s="7" t="s">
        <v>107</v>
      </c>
      <c r="G3373" s="7" t="s">
        <v>26</v>
      </c>
      <c r="H3373" s="7" t="s">
        <v>45</v>
      </c>
      <c r="I3373" s="20" t="s">
        <v>4733</v>
      </c>
      <c r="J3373" s="20" t="s">
        <v>4598</v>
      </c>
      <c r="K3373" s="7" t="s">
        <v>119</v>
      </c>
      <c r="L3373" s="61">
        <v>46042</v>
      </c>
      <c r="M3373" s="7" t="s">
        <v>111</v>
      </c>
      <c r="O3373" s="58">
        <v>46043</v>
      </c>
      <c r="R3373" s="126">
        <v>46043</v>
      </c>
    </row>
    <row r="3374" spans="2:18" ht="17.25" hidden="1" customHeight="1">
      <c r="B3374" s="23">
        <v>46041</v>
      </c>
      <c r="C3374" s="7">
        <v>2003900840</v>
      </c>
      <c r="D3374" s="20">
        <v>456509</v>
      </c>
      <c r="E3374" s="27" t="s">
        <v>123</v>
      </c>
      <c r="F3374" s="7" t="s">
        <v>107</v>
      </c>
      <c r="G3374" s="7" t="s">
        <v>10</v>
      </c>
      <c r="H3374" s="7" t="s">
        <v>45</v>
      </c>
      <c r="I3374" s="20" t="s">
        <v>612</v>
      </c>
      <c r="J3374" s="20" t="s">
        <v>4734</v>
      </c>
      <c r="K3374" s="7" t="s">
        <v>119</v>
      </c>
      <c r="L3374" s="61">
        <v>46048</v>
      </c>
      <c r="M3374" s="7" t="s">
        <v>111</v>
      </c>
      <c r="N3374" s="24">
        <v>46049</v>
      </c>
      <c r="O3374" s="58">
        <v>46051</v>
      </c>
      <c r="R3374" s="126">
        <v>46052</v>
      </c>
    </row>
    <row r="3375" spans="2:18" ht="17.25" hidden="1" customHeight="1">
      <c r="B3375" s="23">
        <v>46041</v>
      </c>
      <c r="C3375" s="7">
        <v>2003850468</v>
      </c>
      <c r="D3375" s="20">
        <v>455201</v>
      </c>
      <c r="E3375" s="27" t="s">
        <v>265</v>
      </c>
      <c r="F3375" s="7" t="s">
        <v>107</v>
      </c>
      <c r="G3375" s="7" t="s">
        <v>15</v>
      </c>
      <c r="H3375" s="7" t="s">
        <v>45</v>
      </c>
      <c r="I3375" s="20" t="s">
        <v>816</v>
      </c>
      <c r="J3375" s="20" t="s">
        <v>4485</v>
      </c>
      <c r="K3375" s="7" t="s">
        <v>119</v>
      </c>
      <c r="L3375" s="61">
        <v>46041</v>
      </c>
      <c r="M3375" s="7" t="s">
        <v>111</v>
      </c>
      <c r="N3375" s="24">
        <v>46042</v>
      </c>
      <c r="O3375" s="58">
        <v>46042</v>
      </c>
      <c r="R3375" s="126">
        <v>46042</v>
      </c>
    </row>
    <row r="3376" spans="2:18" ht="17.25" hidden="1" customHeight="1">
      <c r="B3376" s="23">
        <v>46041</v>
      </c>
      <c r="C3376" s="7">
        <v>2003880205</v>
      </c>
      <c r="D3376" s="20">
        <v>6616517</v>
      </c>
      <c r="E3376" s="27" t="s">
        <v>265</v>
      </c>
      <c r="F3376" s="7" t="s">
        <v>107</v>
      </c>
      <c r="G3376" s="7" t="s">
        <v>15</v>
      </c>
      <c r="H3376" s="7" t="s">
        <v>45</v>
      </c>
      <c r="I3376" s="20" t="s">
        <v>4735</v>
      </c>
      <c r="J3376" s="20" t="s">
        <v>4736</v>
      </c>
      <c r="K3376" s="7" t="s">
        <v>119</v>
      </c>
      <c r="L3376" s="61">
        <v>46049</v>
      </c>
      <c r="M3376" s="7" t="s">
        <v>111</v>
      </c>
      <c r="N3376" s="24">
        <v>46050</v>
      </c>
      <c r="O3376" s="58">
        <v>46051</v>
      </c>
      <c r="R3376" s="126">
        <v>46052</v>
      </c>
    </row>
    <row r="3377" spans="2:18" ht="17.25" hidden="1" customHeight="1">
      <c r="B3377" s="23">
        <v>46041</v>
      </c>
      <c r="C3377" s="7">
        <v>2003665409</v>
      </c>
      <c r="D3377" s="20">
        <v>6616596</v>
      </c>
      <c r="E3377" s="27" t="s">
        <v>123</v>
      </c>
      <c r="F3377" s="7" t="s">
        <v>107</v>
      </c>
      <c r="G3377" s="7" t="s">
        <v>10</v>
      </c>
      <c r="H3377" s="7" t="s">
        <v>45</v>
      </c>
      <c r="I3377" s="20" t="s">
        <v>4737</v>
      </c>
      <c r="J3377" s="20" t="s">
        <v>4738</v>
      </c>
      <c r="K3377" s="7" t="s">
        <v>119</v>
      </c>
      <c r="L3377" s="61">
        <v>46045</v>
      </c>
      <c r="M3377" s="7" t="s">
        <v>111</v>
      </c>
      <c r="N3377" s="24">
        <v>46048</v>
      </c>
      <c r="O3377" s="58">
        <v>46048</v>
      </c>
      <c r="R3377" s="126">
        <v>46048</v>
      </c>
    </row>
    <row r="3378" spans="2:18" ht="17.25" hidden="1" customHeight="1">
      <c r="B3378" s="23">
        <v>46041</v>
      </c>
      <c r="C3378" s="7">
        <v>2003889043</v>
      </c>
      <c r="D3378" s="20">
        <v>6616748</v>
      </c>
      <c r="E3378" s="27" t="s">
        <v>1225</v>
      </c>
      <c r="F3378" s="7" t="s">
        <v>107</v>
      </c>
      <c r="G3378" s="7" t="s">
        <v>10</v>
      </c>
      <c r="H3378" s="7" t="s">
        <v>45</v>
      </c>
      <c r="I3378" s="20" t="s">
        <v>4739</v>
      </c>
      <c r="J3378" s="20" t="s">
        <v>4740</v>
      </c>
      <c r="K3378" s="7" t="s">
        <v>119</v>
      </c>
      <c r="L3378" s="61">
        <v>46044</v>
      </c>
      <c r="M3378" s="7" t="s">
        <v>111</v>
      </c>
      <c r="N3378" s="24">
        <v>46045</v>
      </c>
      <c r="O3378" s="24">
        <v>46045</v>
      </c>
      <c r="R3378" s="126">
        <v>46045</v>
      </c>
    </row>
    <row r="3379" spans="2:18" ht="17.25" hidden="1" customHeight="1">
      <c r="B3379" s="23">
        <v>46041</v>
      </c>
      <c r="C3379" s="7">
        <v>2003880139</v>
      </c>
      <c r="D3379" s="20">
        <v>6616753</v>
      </c>
      <c r="E3379" s="27" t="s">
        <v>3586</v>
      </c>
      <c r="F3379" s="7" t="s">
        <v>107</v>
      </c>
      <c r="G3379" s="7" t="s">
        <v>15</v>
      </c>
      <c r="H3379" s="7" t="s">
        <v>45</v>
      </c>
      <c r="I3379" s="20" t="s">
        <v>4741</v>
      </c>
      <c r="J3379" s="20" t="s">
        <v>4742</v>
      </c>
      <c r="K3379" s="7" t="s">
        <v>119</v>
      </c>
      <c r="L3379" s="61">
        <v>46045</v>
      </c>
      <c r="M3379" s="7" t="s">
        <v>111</v>
      </c>
      <c r="N3379" s="24">
        <v>46048</v>
      </c>
      <c r="O3379" s="24">
        <v>46048</v>
      </c>
      <c r="R3379" s="126">
        <v>46048</v>
      </c>
    </row>
    <row r="3380" spans="2:18" ht="17.25" hidden="1" customHeight="1">
      <c r="B3380" s="23">
        <v>46041</v>
      </c>
      <c r="C3380" s="7">
        <v>2003905732</v>
      </c>
      <c r="D3380" s="20">
        <v>6616882</v>
      </c>
      <c r="E3380" s="27" t="s">
        <v>143</v>
      </c>
      <c r="F3380" s="7" t="s">
        <v>113</v>
      </c>
      <c r="G3380" s="7" t="s">
        <v>70</v>
      </c>
      <c r="H3380" s="7" t="s">
        <v>47</v>
      </c>
      <c r="I3380" s="20" t="s">
        <v>1005</v>
      </c>
      <c r="J3380" s="20" t="s">
        <v>4743</v>
      </c>
      <c r="K3380" s="7" t="s">
        <v>160</v>
      </c>
    </row>
    <row r="3381" spans="2:18" ht="17.25" hidden="1" customHeight="1">
      <c r="B3381" s="23">
        <v>46041</v>
      </c>
      <c r="C3381" s="7">
        <v>2003852054</v>
      </c>
      <c r="D3381" s="20">
        <v>6616918</v>
      </c>
      <c r="E3381" s="27" t="s">
        <v>185</v>
      </c>
      <c r="F3381" s="7" t="s">
        <v>107</v>
      </c>
      <c r="G3381" s="7" t="s">
        <v>21</v>
      </c>
      <c r="H3381" s="7" t="s">
        <v>45</v>
      </c>
      <c r="I3381" s="20" t="s">
        <v>4744</v>
      </c>
      <c r="J3381" s="20" t="s">
        <v>4349</v>
      </c>
      <c r="K3381" s="7" t="s">
        <v>110</v>
      </c>
      <c r="L3381" s="61">
        <v>46042</v>
      </c>
      <c r="M3381" s="7" t="s">
        <v>111</v>
      </c>
      <c r="N3381" s="61">
        <v>46042</v>
      </c>
      <c r="O3381" s="58">
        <v>46045</v>
      </c>
      <c r="R3381" s="126">
        <v>46045</v>
      </c>
    </row>
    <row r="3382" spans="2:18" ht="17.25" hidden="1" customHeight="1">
      <c r="B3382" s="23">
        <v>46042</v>
      </c>
      <c r="C3382" s="7">
        <v>2003888811</v>
      </c>
      <c r="D3382" s="20">
        <v>459858</v>
      </c>
      <c r="E3382" s="27" t="s">
        <v>138</v>
      </c>
      <c r="F3382" s="7" t="s">
        <v>107</v>
      </c>
      <c r="G3382" s="7" t="s">
        <v>18</v>
      </c>
      <c r="H3382" s="7" t="s">
        <v>45</v>
      </c>
      <c r="I3382" s="20" t="s">
        <v>4745</v>
      </c>
      <c r="J3382" s="20" t="s">
        <v>4746</v>
      </c>
      <c r="K3382" s="7" t="s">
        <v>119</v>
      </c>
      <c r="L3382" s="61">
        <v>46045</v>
      </c>
      <c r="M3382" s="7" t="s">
        <v>111</v>
      </c>
      <c r="N3382" s="24">
        <v>46050</v>
      </c>
      <c r="O3382" s="24">
        <v>46050</v>
      </c>
      <c r="R3382" s="126">
        <v>46050</v>
      </c>
    </row>
    <row r="3383" spans="2:18" ht="17.25" hidden="1" customHeight="1">
      <c r="B3383" s="23">
        <v>46042</v>
      </c>
      <c r="C3383" s="7">
        <v>2003835698</v>
      </c>
      <c r="D3383" s="20">
        <v>459686</v>
      </c>
      <c r="E3383" s="27" t="s">
        <v>566</v>
      </c>
      <c r="F3383" s="7" t="s">
        <v>107</v>
      </c>
      <c r="G3383" s="7" t="s">
        <v>10</v>
      </c>
      <c r="H3383" s="7" t="s">
        <v>45</v>
      </c>
      <c r="I3383" s="20" t="s">
        <v>4747</v>
      </c>
      <c r="J3383" s="20" t="s">
        <v>4748</v>
      </c>
      <c r="K3383" s="7" t="s">
        <v>119</v>
      </c>
      <c r="L3383" s="61">
        <v>46045</v>
      </c>
      <c r="M3383" s="7" t="s">
        <v>111</v>
      </c>
      <c r="N3383" s="24">
        <v>46048</v>
      </c>
      <c r="O3383" s="24">
        <v>46048</v>
      </c>
      <c r="R3383" s="126">
        <v>46048</v>
      </c>
    </row>
    <row r="3384" spans="2:18" ht="17.25" hidden="1" customHeight="1">
      <c r="B3384" s="23">
        <v>46042</v>
      </c>
      <c r="C3384" s="7">
        <v>2003893174</v>
      </c>
      <c r="D3384" s="20">
        <v>459499</v>
      </c>
      <c r="E3384" s="27" t="s">
        <v>230</v>
      </c>
      <c r="F3384" s="7" t="s">
        <v>107</v>
      </c>
      <c r="G3384" s="7" t="s">
        <v>10</v>
      </c>
      <c r="H3384" s="7" t="s">
        <v>45</v>
      </c>
      <c r="I3384" s="20" t="s">
        <v>2672</v>
      </c>
      <c r="J3384" s="20" t="s">
        <v>4749</v>
      </c>
      <c r="K3384" s="7" t="s">
        <v>119</v>
      </c>
      <c r="L3384" s="61">
        <v>46044</v>
      </c>
      <c r="M3384" s="7" t="s">
        <v>111</v>
      </c>
      <c r="N3384" s="24">
        <v>46045</v>
      </c>
      <c r="O3384" s="58">
        <v>46048</v>
      </c>
      <c r="R3384" s="126">
        <v>46048</v>
      </c>
    </row>
    <row r="3385" spans="2:18" ht="17.25" hidden="1" customHeight="1">
      <c r="B3385" s="23">
        <v>46042</v>
      </c>
      <c r="C3385" s="7">
        <v>2003894144</v>
      </c>
      <c r="D3385" s="20">
        <v>459404</v>
      </c>
      <c r="E3385" s="27" t="s">
        <v>1225</v>
      </c>
      <c r="F3385" s="7" t="s">
        <v>107</v>
      </c>
      <c r="G3385" s="7" t="s">
        <v>10</v>
      </c>
      <c r="H3385" s="7" t="s">
        <v>45</v>
      </c>
      <c r="I3385" s="20" t="s">
        <v>1275</v>
      </c>
      <c r="J3385" s="20" t="s">
        <v>4750</v>
      </c>
      <c r="K3385" s="7" t="s">
        <v>119</v>
      </c>
      <c r="L3385" s="61">
        <v>46044</v>
      </c>
      <c r="M3385" s="7" t="s">
        <v>111</v>
      </c>
      <c r="N3385" s="24">
        <v>46045</v>
      </c>
      <c r="O3385" s="58">
        <v>46048</v>
      </c>
      <c r="R3385" s="126">
        <v>46048</v>
      </c>
    </row>
    <row r="3386" spans="2:18" ht="17.25" hidden="1" customHeight="1">
      <c r="B3386" s="23">
        <v>46042</v>
      </c>
      <c r="C3386" s="7">
        <v>2003879574</v>
      </c>
      <c r="D3386" s="20">
        <v>458256</v>
      </c>
      <c r="E3386" s="27" t="s">
        <v>566</v>
      </c>
      <c r="F3386" s="7" t="s">
        <v>107</v>
      </c>
      <c r="G3386" s="7" t="s">
        <v>10</v>
      </c>
      <c r="H3386" s="7" t="s">
        <v>45</v>
      </c>
      <c r="I3386" s="20" t="s">
        <v>1275</v>
      </c>
      <c r="J3386" s="20" t="s">
        <v>4696</v>
      </c>
      <c r="K3386" s="7" t="s">
        <v>119</v>
      </c>
      <c r="L3386" s="61">
        <v>46043</v>
      </c>
      <c r="M3386" s="7" t="s">
        <v>111</v>
      </c>
      <c r="N3386" s="24">
        <v>46044</v>
      </c>
      <c r="O3386" s="58">
        <v>46048</v>
      </c>
      <c r="R3386" s="126">
        <v>46048</v>
      </c>
    </row>
    <row r="3387" spans="2:18" ht="17.25" hidden="1" customHeight="1">
      <c r="B3387" s="23">
        <v>46042</v>
      </c>
      <c r="C3387" s="7">
        <v>2003904890</v>
      </c>
      <c r="D3387" s="20">
        <v>458106</v>
      </c>
      <c r="E3387" s="27" t="s">
        <v>143</v>
      </c>
      <c r="F3387" s="7" t="s">
        <v>113</v>
      </c>
      <c r="G3387" s="7" t="s">
        <v>70</v>
      </c>
      <c r="H3387" s="7" t="s">
        <v>47</v>
      </c>
      <c r="I3387" s="20" t="s">
        <v>1746</v>
      </c>
      <c r="J3387" s="20" t="s">
        <v>4751</v>
      </c>
      <c r="K3387" s="7" t="s">
        <v>160</v>
      </c>
    </row>
    <row r="3388" spans="2:18" ht="17.25" hidden="1" customHeight="1">
      <c r="B3388" s="23">
        <v>46042</v>
      </c>
      <c r="C3388" s="7">
        <v>2003858734</v>
      </c>
      <c r="D3388" s="20">
        <v>6617079</v>
      </c>
      <c r="E3388" s="27" t="s">
        <v>366</v>
      </c>
      <c r="F3388" s="7" t="s">
        <v>107</v>
      </c>
      <c r="G3388" s="7" t="s">
        <v>10</v>
      </c>
      <c r="H3388" s="7" t="s">
        <v>45</v>
      </c>
      <c r="I3388" s="20" t="s">
        <v>4752</v>
      </c>
      <c r="J3388" s="20" t="s">
        <v>4753</v>
      </c>
      <c r="K3388" s="7" t="s">
        <v>110</v>
      </c>
      <c r="L3388" s="61">
        <v>46050</v>
      </c>
      <c r="M3388" s="7" t="s">
        <v>111</v>
      </c>
      <c r="N3388" s="24">
        <v>46056</v>
      </c>
      <c r="O3388" s="24">
        <v>46056</v>
      </c>
      <c r="R3388" s="126">
        <v>46057</v>
      </c>
    </row>
    <row r="3389" spans="2:18" ht="17.25" hidden="1" customHeight="1">
      <c r="B3389" s="23">
        <v>46042</v>
      </c>
      <c r="C3389" s="7">
        <v>2003800464</v>
      </c>
      <c r="D3389" s="20">
        <v>6617403</v>
      </c>
      <c r="E3389" s="27" t="s">
        <v>157</v>
      </c>
      <c r="F3389" s="7" t="s">
        <v>107</v>
      </c>
      <c r="G3389" s="7" t="s">
        <v>15</v>
      </c>
      <c r="H3389" s="7" t="s">
        <v>45</v>
      </c>
      <c r="I3389" s="20" t="s">
        <v>4754</v>
      </c>
      <c r="J3389" s="20" t="s">
        <v>4755</v>
      </c>
      <c r="K3389" s="7" t="s">
        <v>119</v>
      </c>
      <c r="L3389" s="61">
        <v>46049</v>
      </c>
      <c r="M3389" s="7" t="s">
        <v>111</v>
      </c>
      <c r="N3389" s="24">
        <v>46050</v>
      </c>
      <c r="O3389" s="58">
        <v>46051</v>
      </c>
      <c r="R3389" s="126">
        <v>46052</v>
      </c>
    </row>
    <row r="3390" spans="2:18" ht="17.25" hidden="1" customHeight="1">
      <c r="B3390" s="23">
        <v>46042</v>
      </c>
      <c r="C3390" s="7">
        <v>2003872610</v>
      </c>
      <c r="D3390" s="20">
        <v>6617528</v>
      </c>
      <c r="E3390" s="27" t="s">
        <v>157</v>
      </c>
      <c r="F3390" s="7" t="s">
        <v>107</v>
      </c>
      <c r="G3390" s="7" t="s">
        <v>15</v>
      </c>
      <c r="H3390" s="7" t="s">
        <v>45</v>
      </c>
      <c r="I3390" s="20" t="s">
        <v>466</v>
      </c>
      <c r="J3390" s="20" t="s">
        <v>4756</v>
      </c>
      <c r="K3390" s="7" t="s">
        <v>119</v>
      </c>
      <c r="L3390" s="61">
        <v>46050</v>
      </c>
      <c r="M3390" s="7" t="s">
        <v>111</v>
      </c>
      <c r="N3390" s="24">
        <v>46051</v>
      </c>
      <c r="O3390" s="58">
        <v>46056</v>
      </c>
      <c r="R3390" s="126">
        <v>46057</v>
      </c>
    </row>
    <row r="3391" spans="2:18" ht="17.25" hidden="1" customHeight="1">
      <c r="B3391" s="23">
        <v>46042</v>
      </c>
      <c r="C3391" s="7">
        <v>2003665824</v>
      </c>
      <c r="D3391" s="20">
        <v>6617543</v>
      </c>
      <c r="E3391" s="27" t="s">
        <v>138</v>
      </c>
      <c r="F3391" s="7" t="s">
        <v>107</v>
      </c>
      <c r="G3391" s="7" t="s">
        <v>10</v>
      </c>
      <c r="H3391" s="7" t="s">
        <v>45</v>
      </c>
      <c r="I3391" s="20" t="s">
        <v>4683</v>
      </c>
      <c r="J3391" s="20" t="s">
        <v>4639</v>
      </c>
      <c r="K3391" s="7" t="s">
        <v>119</v>
      </c>
      <c r="L3391" s="61">
        <v>46044</v>
      </c>
      <c r="M3391" s="7" t="s">
        <v>111</v>
      </c>
      <c r="N3391" s="24">
        <v>46045</v>
      </c>
      <c r="O3391" s="58">
        <v>46045</v>
      </c>
      <c r="R3391" s="126">
        <v>46045</v>
      </c>
    </row>
    <row r="3392" spans="2:18" ht="17.25" hidden="1" customHeight="1">
      <c r="B3392" s="23">
        <v>46042</v>
      </c>
      <c r="C3392" s="7">
        <v>2003873866</v>
      </c>
      <c r="D3392" s="20">
        <v>6617568</v>
      </c>
      <c r="E3392" s="27" t="s">
        <v>198</v>
      </c>
      <c r="F3392" s="7" t="s">
        <v>107</v>
      </c>
      <c r="G3392" s="7" t="s">
        <v>10</v>
      </c>
      <c r="H3392" s="7" t="s">
        <v>45</v>
      </c>
      <c r="I3392" s="20" t="s">
        <v>2686</v>
      </c>
      <c r="J3392" s="20" t="s">
        <v>4757</v>
      </c>
      <c r="K3392" s="7" t="s">
        <v>119</v>
      </c>
      <c r="L3392" s="61">
        <v>46044</v>
      </c>
      <c r="M3392" s="7" t="s">
        <v>111</v>
      </c>
      <c r="N3392" s="24">
        <v>46045</v>
      </c>
      <c r="O3392" s="58">
        <v>46048</v>
      </c>
      <c r="R3392" s="126">
        <v>46048</v>
      </c>
    </row>
    <row r="3393" spans="2:18" ht="17.25" hidden="1" customHeight="1">
      <c r="B3393" s="23">
        <v>46042</v>
      </c>
      <c r="C3393" s="7">
        <v>2003905844</v>
      </c>
      <c r="D3393" s="20">
        <v>6617646</v>
      </c>
      <c r="E3393" s="27" t="s">
        <v>143</v>
      </c>
      <c r="F3393" s="7" t="s">
        <v>107</v>
      </c>
      <c r="G3393" s="7" t="s">
        <v>26</v>
      </c>
      <c r="H3393" s="7" t="s">
        <v>45</v>
      </c>
      <c r="I3393" s="20" t="s">
        <v>4758</v>
      </c>
      <c r="J3393" s="20" t="s">
        <v>4759</v>
      </c>
      <c r="K3393" s="7" t="s">
        <v>119</v>
      </c>
      <c r="L3393" s="61">
        <v>46045</v>
      </c>
      <c r="M3393" s="7" t="s">
        <v>111</v>
      </c>
      <c r="N3393" s="24">
        <v>46045</v>
      </c>
      <c r="O3393" s="58">
        <v>46045</v>
      </c>
      <c r="R3393" s="126">
        <v>46045</v>
      </c>
    </row>
    <row r="3394" spans="2:18" ht="17.25" hidden="1" customHeight="1">
      <c r="B3394" s="23">
        <v>46042</v>
      </c>
      <c r="C3394" s="7">
        <v>2003877732</v>
      </c>
      <c r="D3394" s="20">
        <v>6617656</v>
      </c>
      <c r="E3394" s="27" t="s">
        <v>1225</v>
      </c>
      <c r="F3394" s="7" t="s">
        <v>107</v>
      </c>
      <c r="G3394" s="7" t="s">
        <v>21</v>
      </c>
      <c r="H3394" s="7" t="s">
        <v>45</v>
      </c>
      <c r="I3394" s="20" t="s">
        <v>4760</v>
      </c>
      <c r="J3394" s="20" t="s">
        <v>4505</v>
      </c>
      <c r="K3394" s="7" t="s">
        <v>119</v>
      </c>
      <c r="L3394" s="61">
        <v>46043</v>
      </c>
      <c r="M3394" s="7" t="s">
        <v>111</v>
      </c>
      <c r="N3394" s="24">
        <v>46044</v>
      </c>
      <c r="O3394" s="58">
        <v>46048</v>
      </c>
      <c r="R3394" s="126">
        <v>46048</v>
      </c>
    </row>
    <row r="3395" spans="2:18" ht="17.25" hidden="1" customHeight="1">
      <c r="B3395" s="23">
        <v>46043</v>
      </c>
      <c r="C3395" s="7">
        <v>2003908081</v>
      </c>
      <c r="D3395" s="20">
        <v>461574</v>
      </c>
      <c r="E3395" s="27" t="s">
        <v>180</v>
      </c>
      <c r="F3395" s="7" t="s">
        <v>113</v>
      </c>
      <c r="G3395" s="7" t="s">
        <v>70</v>
      </c>
      <c r="H3395" s="7" t="s">
        <v>47</v>
      </c>
      <c r="I3395" s="20" t="s">
        <v>1892</v>
      </c>
      <c r="J3395" s="20" t="s">
        <v>1893</v>
      </c>
      <c r="K3395" s="7" t="s">
        <v>160</v>
      </c>
    </row>
    <row r="3396" spans="2:18" ht="17.25" hidden="1" customHeight="1">
      <c r="B3396" s="23">
        <v>46043</v>
      </c>
      <c r="C3396" s="7">
        <v>2003867509</v>
      </c>
      <c r="D3396" s="20">
        <v>461551</v>
      </c>
      <c r="E3396" s="27" t="s">
        <v>408</v>
      </c>
      <c r="F3396" s="7" t="s">
        <v>107</v>
      </c>
      <c r="G3396" s="7" t="s">
        <v>10</v>
      </c>
      <c r="H3396" s="7" t="s">
        <v>45</v>
      </c>
      <c r="I3396" s="20" t="s">
        <v>1171</v>
      </c>
      <c r="J3396" s="20" t="s">
        <v>4761</v>
      </c>
      <c r="K3396" s="7" t="s">
        <v>110</v>
      </c>
      <c r="L3396" s="61">
        <v>46049</v>
      </c>
      <c r="M3396" s="7" t="s">
        <v>111</v>
      </c>
      <c r="N3396" s="24">
        <v>46050</v>
      </c>
      <c r="O3396" s="58">
        <v>46051</v>
      </c>
      <c r="R3396" s="126">
        <v>46052</v>
      </c>
    </row>
    <row r="3397" spans="2:18" ht="17.25" hidden="1" customHeight="1">
      <c r="B3397" s="23">
        <v>46043</v>
      </c>
      <c r="C3397" s="7">
        <v>2003677490</v>
      </c>
      <c r="D3397" s="20">
        <v>461479</v>
      </c>
      <c r="E3397" s="27" t="s">
        <v>123</v>
      </c>
      <c r="F3397" s="7" t="s">
        <v>107</v>
      </c>
      <c r="G3397" s="7" t="s">
        <v>10</v>
      </c>
      <c r="H3397" s="7" t="s">
        <v>45</v>
      </c>
      <c r="I3397" s="20" t="s">
        <v>3935</v>
      </c>
      <c r="J3397" s="20" t="s">
        <v>4762</v>
      </c>
      <c r="K3397" s="7" t="s">
        <v>110</v>
      </c>
      <c r="L3397" s="61">
        <v>46048</v>
      </c>
      <c r="M3397" s="7" t="s">
        <v>111</v>
      </c>
      <c r="N3397" s="61">
        <v>46049</v>
      </c>
      <c r="O3397" s="61">
        <v>46049</v>
      </c>
      <c r="R3397" s="126">
        <v>46050</v>
      </c>
    </row>
    <row r="3398" spans="2:18" ht="17.25" hidden="1" customHeight="1">
      <c r="B3398" s="23">
        <v>46043</v>
      </c>
      <c r="C3398" s="7">
        <v>2003901439</v>
      </c>
      <c r="D3398" s="20">
        <v>461505</v>
      </c>
      <c r="E3398" s="27" t="s">
        <v>408</v>
      </c>
      <c r="F3398" s="7" t="s">
        <v>107</v>
      </c>
      <c r="G3398" s="7" t="s">
        <v>10</v>
      </c>
      <c r="H3398" s="7" t="s">
        <v>45</v>
      </c>
      <c r="I3398" s="20" t="s">
        <v>4763</v>
      </c>
      <c r="J3398" s="20" t="s">
        <v>4764</v>
      </c>
      <c r="K3398" s="7" t="s">
        <v>119</v>
      </c>
      <c r="L3398" s="61">
        <v>46044</v>
      </c>
      <c r="M3398" s="7" t="s">
        <v>111</v>
      </c>
      <c r="N3398" s="24">
        <v>46045</v>
      </c>
      <c r="O3398" s="24">
        <v>46045</v>
      </c>
      <c r="R3398" s="126">
        <v>46045</v>
      </c>
    </row>
    <row r="3399" spans="2:18" ht="17.25" hidden="1" customHeight="1">
      <c r="B3399" s="23">
        <v>46043</v>
      </c>
      <c r="C3399" s="7">
        <v>2003902699</v>
      </c>
      <c r="D3399" s="20">
        <v>461163</v>
      </c>
      <c r="E3399" s="27" t="s">
        <v>198</v>
      </c>
      <c r="F3399" s="7" t="s">
        <v>107</v>
      </c>
      <c r="G3399" s="7" t="s">
        <v>10</v>
      </c>
      <c r="H3399" s="7" t="s">
        <v>45</v>
      </c>
      <c r="I3399" s="20" t="s">
        <v>604</v>
      </c>
      <c r="J3399" s="20" t="s">
        <v>27</v>
      </c>
      <c r="K3399" s="7" t="s">
        <v>119</v>
      </c>
      <c r="L3399" s="61">
        <v>46044</v>
      </c>
      <c r="M3399" s="7" t="s">
        <v>111</v>
      </c>
      <c r="N3399" s="24">
        <v>46045</v>
      </c>
      <c r="O3399" s="58">
        <v>46048</v>
      </c>
      <c r="R3399" s="126">
        <v>46048</v>
      </c>
    </row>
    <row r="3400" spans="2:18" ht="17.25" hidden="1" customHeight="1">
      <c r="B3400" s="23">
        <v>46043</v>
      </c>
      <c r="C3400" s="7">
        <v>2003862219</v>
      </c>
      <c r="D3400" s="20">
        <v>461017</v>
      </c>
      <c r="E3400" s="27" t="s">
        <v>622</v>
      </c>
      <c r="F3400" s="7" t="s">
        <v>107</v>
      </c>
      <c r="G3400" s="7" t="s">
        <v>18</v>
      </c>
      <c r="H3400" s="7" t="s">
        <v>45</v>
      </c>
      <c r="I3400" s="20" t="s">
        <v>1607</v>
      </c>
      <c r="J3400" s="20" t="s">
        <v>4765</v>
      </c>
      <c r="K3400" s="7" t="s">
        <v>119</v>
      </c>
      <c r="L3400" s="61">
        <v>46048</v>
      </c>
      <c r="M3400" s="7" t="s">
        <v>111</v>
      </c>
      <c r="N3400" s="61">
        <v>46049</v>
      </c>
      <c r="O3400" s="58">
        <v>46051</v>
      </c>
      <c r="R3400" s="126">
        <v>46052</v>
      </c>
    </row>
    <row r="3401" spans="2:18" ht="17.25" hidden="1" customHeight="1">
      <c r="B3401" s="23">
        <v>46043</v>
      </c>
      <c r="C3401" s="7">
        <v>2003906723</v>
      </c>
      <c r="D3401" s="20">
        <v>460584</v>
      </c>
      <c r="E3401" s="27" t="s">
        <v>152</v>
      </c>
      <c r="F3401" s="7" t="s">
        <v>107</v>
      </c>
      <c r="G3401" s="7" t="s">
        <v>10</v>
      </c>
      <c r="H3401" s="7" t="s">
        <v>45</v>
      </c>
      <c r="I3401" s="20" t="s">
        <v>4766</v>
      </c>
      <c r="J3401" s="20" t="s">
        <v>4767</v>
      </c>
      <c r="K3401" s="7" t="s">
        <v>119</v>
      </c>
      <c r="L3401" s="61">
        <v>46045</v>
      </c>
      <c r="M3401" s="7" t="s">
        <v>111</v>
      </c>
      <c r="N3401" s="24">
        <v>46048</v>
      </c>
      <c r="O3401" s="58">
        <v>46051</v>
      </c>
      <c r="R3401" s="126">
        <v>46052</v>
      </c>
    </row>
    <row r="3402" spans="2:18" ht="17.25" hidden="1" customHeight="1">
      <c r="B3402" s="23">
        <v>46043</v>
      </c>
      <c r="C3402" s="7">
        <v>2003906114</v>
      </c>
      <c r="D3402" s="20">
        <v>460431</v>
      </c>
      <c r="E3402" s="27" t="s">
        <v>123</v>
      </c>
      <c r="F3402" s="7" t="s">
        <v>107</v>
      </c>
      <c r="G3402" s="7" t="s">
        <v>10</v>
      </c>
      <c r="H3402" s="7" t="s">
        <v>45</v>
      </c>
      <c r="I3402" s="20" t="s">
        <v>4768</v>
      </c>
      <c r="J3402" s="20" t="s">
        <v>4769</v>
      </c>
      <c r="K3402" s="7" t="s">
        <v>119</v>
      </c>
      <c r="L3402" s="61">
        <v>46045</v>
      </c>
      <c r="M3402" s="7" t="s">
        <v>111</v>
      </c>
      <c r="N3402" s="24">
        <v>46048</v>
      </c>
      <c r="O3402" s="24">
        <v>46048</v>
      </c>
      <c r="R3402" s="126">
        <v>46048</v>
      </c>
    </row>
    <row r="3403" spans="2:18" ht="17.25" hidden="1" customHeight="1">
      <c r="B3403" s="23">
        <v>46043</v>
      </c>
      <c r="C3403" s="7">
        <v>2003897199</v>
      </c>
      <c r="D3403" s="20">
        <v>460425</v>
      </c>
      <c r="E3403" s="27" t="s">
        <v>123</v>
      </c>
      <c r="F3403" s="7" t="s">
        <v>107</v>
      </c>
      <c r="G3403" s="7" t="s">
        <v>10</v>
      </c>
      <c r="H3403" s="7" t="s">
        <v>45</v>
      </c>
      <c r="I3403" s="20" t="s">
        <v>4770</v>
      </c>
      <c r="J3403" s="20" t="s">
        <v>4657</v>
      </c>
      <c r="K3403" s="7" t="s">
        <v>119</v>
      </c>
      <c r="L3403" s="61">
        <v>46049</v>
      </c>
      <c r="M3403" s="7" t="s">
        <v>111</v>
      </c>
      <c r="N3403" s="24">
        <v>46056</v>
      </c>
      <c r="O3403" s="24">
        <v>46056</v>
      </c>
      <c r="R3403" s="126">
        <v>46057</v>
      </c>
    </row>
    <row r="3404" spans="2:18" ht="17.25" hidden="1" customHeight="1">
      <c r="B3404" s="23">
        <v>46043</v>
      </c>
      <c r="C3404" s="7">
        <v>2003868105</v>
      </c>
      <c r="D3404" s="20">
        <v>460412</v>
      </c>
      <c r="E3404" s="27" t="s">
        <v>191</v>
      </c>
      <c r="F3404" s="7" t="s">
        <v>107</v>
      </c>
      <c r="G3404" s="7" t="s">
        <v>21</v>
      </c>
      <c r="H3404" s="7" t="s">
        <v>45</v>
      </c>
      <c r="I3404" s="20" t="s">
        <v>2708</v>
      </c>
      <c r="J3404" s="20" t="s">
        <v>4405</v>
      </c>
      <c r="K3404" s="7" t="s">
        <v>119</v>
      </c>
      <c r="L3404" s="61">
        <v>46044</v>
      </c>
      <c r="M3404" s="7" t="s">
        <v>111</v>
      </c>
      <c r="N3404" s="24">
        <v>46045</v>
      </c>
      <c r="O3404" s="58">
        <v>46048</v>
      </c>
      <c r="R3404" s="126">
        <v>46048</v>
      </c>
    </row>
    <row r="3405" spans="2:18" ht="17.25" hidden="1" customHeight="1">
      <c r="B3405" s="23">
        <v>46043</v>
      </c>
      <c r="C3405" s="7">
        <v>2003886842</v>
      </c>
      <c r="D3405" s="20">
        <v>6617832</v>
      </c>
      <c r="E3405" s="27" t="s">
        <v>191</v>
      </c>
      <c r="F3405" s="7" t="s">
        <v>107</v>
      </c>
      <c r="G3405" s="7" t="s">
        <v>18</v>
      </c>
      <c r="H3405" s="7" t="s">
        <v>45</v>
      </c>
      <c r="I3405" s="20" t="s">
        <v>4771</v>
      </c>
      <c r="J3405" s="20" t="s">
        <v>4772</v>
      </c>
      <c r="K3405" s="7" t="s">
        <v>110</v>
      </c>
      <c r="L3405" s="61">
        <v>46049</v>
      </c>
      <c r="M3405" s="7" t="s">
        <v>111</v>
      </c>
      <c r="N3405" s="24">
        <v>46050</v>
      </c>
      <c r="O3405" s="58">
        <v>46057</v>
      </c>
      <c r="R3405" s="126">
        <v>46057</v>
      </c>
    </row>
    <row r="3406" spans="2:18" ht="17.25" hidden="1" customHeight="1">
      <c r="B3406" s="23">
        <v>46043</v>
      </c>
      <c r="C3406" s="7">
        <v>2003889999</v>
      </c>
      <c r="D3406" s="20">
        <v>6617854</v>
      </c>
      <c r="E3406" s="27" t="s">
        <v>106</v>
      </c>
      <c r="F3406" s="7" t="s">
        <v>107</v>
      </c>
      <c r="G3406" s="7" t="s">
        <v>21</v>
      </c>
      <c r="H3406" s="7" t="s">
        <v>45</v>
      </c>
      <c r="I3406" s="20" t="s">
        <v>1326</v>
      </c>
      <c r="J3406" s="20" t="s">
        <v>4568</v>
      </c>
      <c r="K3406" s="7" t="s">
        <v>119</v>
      </c>
      <c r="L3406" s="61">
        <v>46044</v>
      </c>
      <c r="M3406" s="7" t="s">
        <v>111</v>
      </c>
      <c r="N3406" s="24">
        <v>46045</v>
      </c>
      <c r="O3406" s="58">
        <v>46048</v>
      </c>
      <c r="R3406" s="126">
        <v>46048</v>
      </c>
    </row>
    <row r="3407" spans="2:18" ht="17.25" hidden="1" customHeight="1">
      <c r="B3407" s="23">
        <v>46043</v>
      </c>
      <c r="C3407" s="7">
        <v>2003891542</v>
      </c>
      <c r="D3407" s="20">
        <v>6618009</v>
      </c>
      <c r="E3407" s="27" t="s">
        <v>106</v>
      </c>
      <c r="F3407" s="7" t="s">
        <v>107</v>
      </c>
      <c r="G3407" s="7" t="s">
        <v>18</v>
      </c>
      <c r="H3407" s="7" t="s">
        <v>45</v>
      </c>
      <c r="I3407" s="20" t="s">
        <v>4773</v>
      </c>
      <c r="J3407" s="20" t="s">
        <v>4774</v>
      </c>
      <c r="K3407" s="7" t="s">
        <v>110</v>
      </c>
      <c r="L3407" s="61">
        <v>46049</v>
      </c>
      <c r="M3407" s="7" t="s">
        <v>111</v>
      </c>
      <c r="N3407" s="24">
        <v>46051</v>
      </c>
      <c r="O3407" s="58">
        <v>46052</v>
      </c>
      <c r="R3407" s="126">
        <v>46052</v>
      </c>
    </row>
    <row r="3408" spans="2:18" ht="17.25" hidden="1" customHeight="1">
      <c r="B3408" s="23">
        <v>46043</v>
      </c>
      <c r="C3408" s="7">
        <v>2003906290</v>
      </c>
      <c r="D3408" s="20">
        <v>6618147</v>
      </c>
      <c r="E3408" s="27" t="s">
        <v>143</v>
      </c>
      <c r="F3408" s="7" t="s">
        <v>113</v>
      </c>
      <c r="G3408" s="7" t="s">
        <v>70</v>
      </c>
      <c r="H3408" s="7" t="s">
        <v>47</v>
      </c>
      <c r="I3408" s="20" t="s">
        <v>4775</v>
      </c>
      <c r="J3408" s="20" t="s">
        <v>4776</v>
      </c>
      <c r="K3408" s="7" t="s">
        <v>160</v>
      </c>
    </row>
    <row r="3409" spans="2:18" ht="17.25" hidden="1" customHeight="1">
      <c r="B3409" s="23">
        <v>46043</v>
      </c>
      <c r="C3409" s="7">
        <v>2003906766</v>
      </c>
      <c r="D3409" s="20">
        <v>6618174</v>
      </c>
      <c r="E3409" s="27" t="s">
        <v>201</v>
      </c>
      <c r="F3409" s="7" t="s">
        <v>107</v>
      </c>
      <c r="G3409" s="7" t="s">
        <v>10</v>
      </c>
      <c r="H3409" s="7" t="s">
        <v>45</v>
      </c>
      <c r="I3409" s="20" t="s">
        <v>249</v>
      </c>
      <c r="J3409" s="20" t="s">
        <v>4777</v>
      </c>
      <c r="K3409" s="7" t="s">
        <v>119</v>
      </c>
      <c r="L3409" s="61">
        <v>46051</v>
      </c>
      <c r="M3409" s="7" t="s">
        <v>111</v>
      </c>
      <c r="N3409" s="24">
        <v>46052</v>
      </c>
      <c r="O3409" s="24">
        <v>46052</v>
      </c>
      <c r="R3409" s="126">
        <v>46052</v>
      </c>
    </row>
    <row r="3410" spans="2:18" ht="17.25" hidden="1" customHeight="1">
      <c r="B3410" s="23">
        <v>46043</v>
      </c>
      <c r="C3410" s="7">
        <v>2003897758</v>
      </c>
      <c r="D3410" s="20">
        <v>6618265</v>
      </c>
      <c r="E3410" s="27" t="s">
        <v>191</v>
      </c>
      <c r="F3410" s="7" t="s">
        <v>107</v>
      </c>
      <c r="G3410" s="7" t="s">
        <v>10</v>
      </c>
      <c r="H3410" s="7" t="s">
        <v>45</v>
      </c>
      <c r="I3410" s="20" t="s">
        <v>3478</v>
      </c>
      <c r="J3410" s="20" t="s">
        <v>4778</v>
      </c>
      <c r="K3410" s="7" t="s">
        <v>110</v>
      </c>
      <c r="L3410" s="61">
        <v>46048</v>
      </c>
      <c r="M3410" s="7" t="s">
        <v>111</v>
      </c>
      <c r="N3410" s="61">
        <v>46049</v>
      </c>
      <c r="O3410" s="58">
        <v>46051</v>
      </c>
      <c r="R3410" s="126">
        <v>46052</v>
      </c>
    </row>
    <row r="3411" spans="2:18" ht="17.25" hidden="1" customHeight="1">
      <c r="B3411" s="23">
        <v>46043</v>
      </c>
      <c r="C3411" s="7">
        <v>2003905090</v>
      </c>
      <c r="D3411" s="20">
        <v>6618290</v>
      </c>
      <c r="E3411" s="27" t="s">
        <v>408</v>
      </c>
      <c r="F3411" s="7" t="s">
        <v>107</v>
      </c>
      <c r="G3411" s="7" t="s">
        <v>18</v>
      </c>
      <c r="H3411" s="7" t="s">
        <v>45</v>
      </c>
      <c r="I3411" s="20" t="s">
        <v>4779</v>
      </c>
      <c r="J3411" s="20" t="s">
        <v>4780</v>
      </c>
      <c r="K3411" s="7" t="s">
        <v>119</v>
      </c>
      <c r="L3411" s="61">
        <v>46045</v>
      </c>
      <c r="M3411" s="7" t="s">
        <v>111</v>
      </c>
      <c r="N3411" s="24">
        <v>46048</v>
      </c>
      <c r="O3411" s="58">
        <v>46051</v>
      </c>
      <c r="R3411" s="126">
        <v>46052</v>
      </c>
    </row>
    <row r="3412" spans="2:18" ht="17.25" hidden="1" customHeight="1">
      <c r="B3412" s="23">
        <v>46044</v>
      </c>
      <c r="C3412" s="7">
        <v>2003893394</v>
      </c>
      <c r="D3412" s="20">
        <v>463584</v>
      </c>
      <c r="E3412" s="27" t="s">
        <v>180</v>
      </c>
      <c r="F3412" s="7" t="s">
        <v>107</v>
      </c>
      <c r="G3412" s="7" t="s">
        <v>10</v>
      </c>
      <c r="H3412" s="7" t="s">
        <v>45</v>
      </c>
      <c r="I3412" s="20" t="s">
        <v>4781</v>
      </c>
      <c r="J3412" s="20" t="s">
        <v>4782</v>
      </c>
      <c r="K3412" s="7" t="s">
        <v>119</v>
      </c>
      <c r="L3412" s="61">
        <v>46050</v>
      </c>
      <c r="M3412" s="7" t="s">
        <v>111</v>
      </c>
      <c r="N3412" s="24">
        <v>46051</v>
      </c>
      <c r="O3412" s="58">
        <v>46052</v>
      </c>
      <c r="R3412" s="126">
        <v>46052</v>
      </c>
    </row>
    <row r="3413" spans="2:18" ht="17.25" hidden="1" customHeight="1">
      <c r="B3413" s="23">
        <v>46044</v>
      </c>
      <c r="C3413" s="7">
        <v>2003908743</v>
      </c>
      <c r="D3413" s="20">
        <v>463490</v>
      </c>
      <c r="E3413" s="27" t="s">
        <v>116</v>
      </c>
      <c r="F3413" s="7" t="s">
        <v>107</v>
      </c>
      <c r="G3413" s="7" t="s">
        <v>10</v>
      </c>
      <c r="H3413" s="7" t="s">
        <v>45</v>
      </c>
      <c r="I3413" s="20" t="s">
        <v>249</v>
      </c>
      <c r="J3413" s="20" t="s">
        <v>4783</v>
      </c>
      <c r="K3413" s="7" t="s">
        <v>110</v>
      </c>
      <c r="L3413" s="61">
        <v>46048</v>
      </c>
      <c r="M3413" s="7" t="s">
        <v>111</v>
      </c>
      <c r="N3413" s="61">
        <v>46049</v>
      </c>
      <c r="O3413" s="61">
        <v>46049</v>
      </c>
      <c r="R3413" s="126">
        <v>46050</v>
      </c>
    </row>
    <row r="3414" spans="2:18" ht="17.25" hidden="1" customHeight="1">
      <c r="B3414" s="23">
        <v>46044</v>
      </c>
      <c r="C3414" s="7">
        <v>2003884143</v>
      </c>
      <c r="D3414" s="20">
        <v>463485</v>
      </c>
      <c r="E3414" s="27" t="s">
        <v>116</v>
      </c>
      <c r="F3414" s="7" t="s">
        <v>107</v>
      </c>
      <c r="G3414" s="7" t="s">
        <v>15</v>
      </c>
      <c r="H3414" s="7" t="s">
        <v>45</v>
      </c>
      <c r="I3414" s="20" t="s">
        <v>4784</v>
      </c>
      <c r="J3414" s="20" t="s">
        <v>4785</v>
      </c>
      <c r="K3414" s="7" t="s">
        <v>119</v>
      </c>
      <c r="L3414" s="61">
        <v>46049</v>
      </c>
      <c r="M3414" s="7" t="s">
        <v>111</v>
      </c>
      <c r="N3414" s="24">
        <v>46050</v>
      </c>
      <c r="O3414" s="58">
        <v>46051</v>
      </c>
      <c r="R3414" s="126">
        <v>46052</v>
      </c>
    </row>
    <row r="3415" spans="2:18" ht="17.25" hidden="1" customHeight="1">
      <c r="B3415" s="23">
        <v>46044</v>
      </c>
      <c r="C3415" s="7">
        <v>2003887593</v>
      </c>
      <c r="D3415" s="20">
        <v>463508</v>
      </c>
      <c r="E3415" s="27" t="s">
        <v>106</v>
      </c>
      <c r="F3415" s="7" t="s">
        <v>107</v>
      </c>
      <c r="G3415" s="7" t="s">
        <v>21</v>
      </c>
      <c r="H3415" s="7" t="s">
        <v>45</v>
      </c>
      <c r="I3415" s="20" t="s">
        <v>4786</v>
      </c>
      <c r="J3415" s="20" t="s">
        <v>4587</v>
      </c>
      <c r="K3415" s="7" t="s">
        <v>119</v>
      </c>
      <c r="L3415" s="61">
        <v>46045</v>
      </c>
      <c r="M3415" s="7" t="s">
        <v>111</v>
      </c>
      <c r="N3415" s="24">
        <v>46048</v>
      </c>
      <c r="O3415" s="24">
        <v>46048</v>
      </c>
      <c r="R3415" s="126">
        <v>46048</v>
      </c>
    </row>
    <row r="3416" spans="2:18" ht="17.25" hidden="1" customHeight="1">
      <c r="B3416" s="23">
        <v>46044</v>
      </c>
      <c r="C3416" s="7">
        <v>2003875876</v>
      </c>
      <c r="D3416" s="20">
        <v>6618747</v>
      </c>
      <c r="E3416" s="27" t="s">
        <v>230</v>
      </c>
      <c r="F3416" s="7" t="s">
        <v>107</v>
      </c>
      <c r="G3416" s="7" t="s">
        <v>10</v>
      </c>
      <c r="H3416" s="7" t="s">
        <v>45</v>
      </c>
      <c r="I3416" s="20" t="s">
        <v>4787</v>
      </c>
      <c r="J3416" s="20" t="s">
        <v>4550</v>
      </c>
      <c r="K3416" s="7" t="s">
        <v>110</v>
      </c>
      <c r="L3416" s="61">
        <v>46049</v>
      </c>
      <c r="M3416" s="7" t="s">
        <v>111</v>
      </c>
      <c r="N3416" s="24">
        <v>46050</v>
      </c>
      <c r="O3416" s="58">
        <v>46052</v>
      </c>
      <c r="R3416" s="126">
        <v>46057</v>
      </c>
    </row>
    <row r="3417" spans="2:18" ht="17.25" hidden="1" customHeight="1">
      <c r="B3417" s="23">
        <v>46044</v>
      </c>
      <c r="C3417" s="7">
        <v>2003805156</v>
      </c>
      <c r="D3417" s="20">
        <v>6618911</v>
      </c>
      <c r="E3417" s="27" t="s">
        <v>198</v>
      </c>
      <c r="F3417" s="7" t="s">
        <v>107</v>
      </c>
      <c r="G3417" s="7" t="s">
        <v>10</v>
      </c>
      <c r="H3417" s="7" t="s">
        <v>45</v>
      </c>
      <c r="I3417" s="20" t="s">
        <v>4788</v>
      </c>
      <c r="J3417" s="20" t="s">
        <v>4789</v>
      </c>
      <c r="K3417" s="7" t="s">
        <v>119</v>
      </c>
      <c r="L3417" s="61">
        <v>46049</v>
      </c>
      <c r="M3417" s="7" t="s">
        <v>111</v>
      </c>
      <c r="N3417" s="24">
        <v>46050</v>
      </c>
      <c r="O3417" s="58">
        <v>46063</v>
      </c>
      <c r="P3417" s="58"/>
      <c r="R3417" s="126">
        <v>46065</v>
      </c>
    </row>
    <row r="3418" spans="2:18" ht="17.25" hidden="1" customHeight="1">
      <c r="B3418" s="23">
        <v>46045</v>
      </c>
      <c r="C3418" s="7">
        <v>2003909365</v>
      </c>
      <c r="D3418" s="20">
        <v>464427</v>
      </c>
      <c r="E3418" s="27" t="s">
        <v>198</v>
      </c>
      <c r="F3418" s="7" t="s">
        <v>107</v>
      </c>
      <c r="G3418" s="7" t="s">
        <v>10</v>
      </c>
      <c r="H3418" s="7" t="s">
        <v>45</v>
      </c>
      <c r="I3418" s="20" t="s">
        <v>4790</v>
      </c>
      <c r="J3418" s="20" t="s">
        <v>27</v>
      </c>
      <c r="K3418" s="7" t="s">
        <v>119</v>
      </c>
      <c r="L3418" s="61">
        <v>46045</v>
      </c>
      <c r="M3418" s="7" t="s">
        <v>146</v>
      </c>
      <c r="N3418" s="24">
        <v>46049</v>
      </c>
      <c r="O3418" s="58">
        <v>46049</v>
      </c>
      <c r="R3418" s="126">
        <v>46050</v>
      </c>
    </row>
    <row r="3419" spans="2:18" ht="17.25" hidden="1" customHeight="1">
      <c r="B3419" s="23">
        <v>46045</v>
      </c>
      <c r="C3419" s="7">
        <v>2003907993</v>
      </c>
      <c r="D3419" s="20">
        <v>465111</v>
      </c>
      <c r="E3419" s="27" t="s">
        <v>1225</v>
      </c>
      <c r="F3419" s="7" t="s">
        <v>107</v>
      </c>
      <c r="G3419" s="7" t="s">
        <v>10</v>
      </c>
      <c r="H3419" s="7" t="s">
        <v>45</v>
      </c>
      <c r="I3419" s="20" t="s">
        <v>1602</v>
      </c>
      <c r="J3419" s="20" t="s">
        <v>4791</v>
      </c>
      <c r="K3419" s="7" t="s">
        <v>119</v>
      </c>
      <c r="L3419" s="61">
        <v>46048</v>
      </c>
      <c r="M3419" s="7" t="s">
        <v>111</v>
      </c>
      <c r="N3419" s="61">
        <v>46049</v>
      </c>
      <c r="O3419" s="58">
        <v>46051</v>
      </c>
      <c r="R3419" s="126">
        <v>46052</v>
      </c>
    </row>
    <row r="3420" spans="2:18" ht="17.25" hidden="1" customHeight="1">
      <c r="B3420" s="23">
        <v>46045</v>
      </c>
      <c r="C3420" s="7">
        <v>2003903957</v>
      </c>
      <c r="D3420" s="20">
        <v>464951</v>
      </c>
      <c r="E3420" s="27" t="s">
        <v>185</v>
      </c>
      <c r="F3420" s="7" t="s">
        <v>107</v>
      </c>
      <c r="G3420" s="7" t="s">
        <v>18</v>
      </c>
      <c r="H3420" s="7" t="s">
        <v>45</v>
      </c>
      <c r="I3420" s="20" t="s">
        <v>4792</v>
      </c>
      <c r="J3420" s="20" t="s">
        <v>4598</v>
      </c>
      <c r="K3420" s="7" t="s">
        <v>119</v>
      </c>
      <c r="L3420" s="61">
        <v>46057</v>
      </c>
      <c r="M3420" s="7" t="s">
        <v>146</v>
      </c>
      <c r="N3420" s="24">
        <v>46059</v>
      </c>
      <c r="O3420" s="58">
        <v>46059</v>
      </c>
      <c r="R3420" s="126">
        <v>46059</v>
      </c>
    </row>
    <row r="3421" spans="2:18" ht="17.25" hidden="1" customHeight="1">
      <c r="B3421" s="23">
        <v>46045</v>
      </c>
      <c r="C3421" s="7">
        <v>2003855418</v>
      </c>
      <c r="D3421" s="20">
        <v>464829</v>
      </c>
      <c r="E3421" s="27" t="s">
        <v>230</v>
      </c>
      <c r="F3421" s="7" t="s">
        <v>107</v>
      </c>
      <c r="G3421" s="7" t="s">
        <v>10</v>
      </c>
      <c r="H3421" s="7" t="s">
        <v>45</v>
      </c>
      <c r="I3421" s="20" t="s">
        <v>4793</v>
      </c>
      <c r="J3421" s="20" t="s">
        <v>27</v>
      </c>
      <c r="K3421" s="7" t="s">
        <v>110</v>
      </c>
      <c r="L3421" s="61">
        <v>46045</v>
      </c>
      <c r="M3421" s="7" t="s">
        <v>111</v>
      </c>
      <c r="N3421" s="24">
        <v>46049</v>
      </c>
      <c r="O3421" s="58">
        <v>46052</v>
      </c>
      <c r="R3421" s="126">
        <v>46052</v>
      </c>
    </row>
    <row r="3422" spans="2:18" ht="17.25" hidden="1" customHeight="1">
      <c r="B3422" s="23">
        <v>46045</v>
      </c>
      <c r="C3422" s="7">
        <v>2003898382</v>
      </c>
      <c r="D3422" s="20">
        <v>6619065</v>
      </c>
      <c r="E3422" s="27" t="s">
        <v>198</v>
      </c>
      <c r="F3422" s="7" t="s">
        <v>107</v>
      </c>
      <c r="G3422" s="7" t="s">
        <v>10</v>
      </c>
      <c r="H3422" s="7" t="s">
        <v>45</v>
      </c>
      <c r="I3422" s="20" t="s">
        <v>1343</v>
      </c>
      <c r="J3422" s="20" t="s">
        <v>4794</v>
      </c>
      <c r="K3422" s="7" t="s">
        <v>119</v>
      </c>
      <c r="L3422" s="61">
        <v>46048</v>
      </c>
      <c r="M3422" s="7" t="s">
        <v>111</v>
      </c>
      <c r="N3422" s="61">
        <v>46049</v>
      </c>
      <c r="O3422" s="61">
        <v>46049</v>
      </c>
      <c r="R3422" s="126">
        <v>46050</v>
      </c>
    </row>
    <row r="3423" spans="2:18" ht="17.25" hidden="1" customHeight="1">
      <c r="B3423" s="23">
        <v>46045</v>
      </c>
      <c r="C3423" s="7">
        <v>2003909044</v>
      </c>
      <c r="D3423" s="20">
        <v>6619249</v>
      </c>
      <c r="E3423" s="27" t="s">
        <v>191</v>
      </c>
      <c r="F3423" s="7" t="s">
        <v>107</v>
      </c>
      <c r="G3423" s="7" t="s">
        <v>18</v>
      </c>
      <c r="H3423" s="7" t="s">
        <v>45</v>
      </c>
      <c r="I3423" s="20" t="s">
        <v>4795</v>
      </c>
      <c r="J3423" s="20" t="s">
        <v>4796</v>
      </c>
      <c r="K3423" s="7" t="s">
        <v>119</v>
      </c>
      <c r="L3423" s="61">
        <v>46048</v>
      </c>
      <c r="M3423" s="7" t="s">
        <v>111</v>
      </c>
      <c r="N3423" s="24">
        <v>46057</v>
      </c>
      <c r="O3423" s="24">
        <v>46057</v>
      </c>
      <c r="R3423" s="126">
        <v>46057</v>
      </c>
    </row>
    <row r="3424" spans="2:18" ht="17.25" hidden="1" customHeight="1">
      <c r="B3424" s="23">
        <v>46045</v>
      </c>
      <c r="C3424" s="7">
        <v>2003903519</v>
      </c>
      <c r="D3424" s="20">
        <v>6619256</v>
      </c>
      <c r="E3424" s="27" t="s">
        <v>408</v>
      </c>
      <c r="F3424" s="7" t="s">
        <v>107</v>
      </c>
      <c r="G3424" s="7" t="s">
        <v>10</v>
      </c>
      <c r="H3424" s="7" t="s">
        <v>45</v>
      </c>
      <c r="I3424" s="20" t="s">
        <v>4797</v>
      </c>
      <c r="J3424" s="20" t="s">
        <v>4798</v>
      </c>
      <c r="K3424" s="7" t="s">
        <v>119</v>
      </c>
      <c r="L3424" s="61">
        <v>46049</v>
      </c>
      <c r="M3424" s="7" t="s">
        <v>111</v>
      </c>
      <c r="N3424" s="24">
        <v>46050</v>
      </c>
      <c r="O3424" s="58">
        <v>46051</v>
      </c>
      <c r="R3424" s="126">
        <v>46052</v>
      </c>
    </row>
    <row r="3425" spans="2:18" ht="17.25" hidden="1" customHeight="1">
      <c r="B3425" s="23">
        <v>46045</v>
      </c>
      <c r="C3425" s="7">
        <v>2003645980</v>
      </c>
      <c r="D3425" s="20">
        <v>6619305</v>
      </c>
      <c r="E3425" s="27" t="s">
        <v>201</v>
      </c>
      <c r="F3425" s="7" t="s">
        <v>107</v>
      </c>
      <c r="G3425" s="7" t="s">
        <v>18</v>
      </c>
      <c r="H3425" s="7" t="s">
        <v>45</v>
      </c>
      <c r="I3425" s="20" t="s">
        <v>280</v>
      </c>
      <c r="J3425" s="20" t="s">
        <v>4799</v>
      </c>
      <c r="K3425" s="7" t="s">
        <v>119</v>
      </c>
      <c r="L3425" s="61">
        <v>46050</v>
      </c>
      <c r="M3425" s="7" t="s">
        <v>111</v>
      </c>
      <c r="N3425" s="24">
        <v>46051</v>
      </c>
      <c r="O3425" s="58">
        <v>46052</v>
      </c>
      <c r="R3425" s="126">
        <v>46052</v>
      </c>
    </row>
    <row r="3426" spans="2:18" ht="17.25" hidden="1" customHeight="1">
      <c r="B3426" s="23">
        <v>46045</v>
      </c>
      <c r="C3426" s="7">
        <v>2003553203</v>
      </c>
      <c r="D3426" s="20">
        <v>6619377</v>
      </c>
      <c r="E3426" s="27" t="s">
        <v>201</v>
      </c>
      <c r="F3426" s="7" t="s">
        <v>107</v>
      </c>
      <c r="G3426" s="7" t="s">
        <v>18</v>
      </c>
      <c r="H3426" s="7" t="s">
        <v>45</v>
      </c>
      <c r="I3426" s="20" t="s">
        <v>4800</v>
      </c>
      <c r="J3426" s="20" t="s">
        <v>4799</v>
      </c>
      <c r="K3426" s="7" t="s">
        <v>119</v>
      </c>
      <c r="L3426" s="61">
        <v>46050</v>
      </c>
      <c r="M3426" s="7" t="s">
        <v>111</v>
      </c>
      <c r="N3426" s="24">
        <v>46052</v>
      </c>
      <c r="O3426" s="24">
        <v>46052</v>
      </c>
      <c r="R3426" s="126">
        <v>46052</v>
      </c>
    </row>
    <row r="3427" spans="2:18" ht="17.25" hidden="1" customHeight="1">
      <c r="B3427" s="23">
        <v>46045</v>
      </c>
      <c r="C3427" s="7">
        <v>2003908409</v>
      </c>
      <c r="D3427" s="20">
        <v>6619439</v>
      </c>
      <c r="E3427" s="27" t="s">
        <v>408</v>
      </c>
      <c r="F3427" s="7" t="s">
        <v>107</v>
      </c>
      <c r="G3427" s="7" t="s">
        <v>10</v>
      </c>
      <c r="H3427" s="7" t="s">
        <v>45</v>
      </c>
      <c r="I3427" s="20" t="s">
        <v>4801</v>
      </c>
      <c r="J3427" s="20" t="s">
        <v>4802</v>
      </c>
      <c r="K3427" s="7" t="s">
        <v>119</v>
      </c>
      <c r="L3427" s="61">
        <v>46049</v>
      </c>
      <c r="M3427" s="7" t="s">
        <v>111</v>
      </c>
      <c r="N3427" s="24">
        <v>46050</v>
      </c>
      <c r="O3427" s="24">
        <v>46050</v>
      </c>
      <c r="R3427" s="126">
        <v>46052</v>
      </c>
    </row>
    <row r="3428" spans="2:18" ht="17.25" hidden="1" customHeight="1">
      <c r="B3428" s="23">
        <v>46045</v>
      </c>
      <c r="C3428" s="7">
        <v>2003905844</v>
      </c>
      <c r="D3428" s="20">
        <v>6619457</v>
      </c>
      <c r="E3428" s="27" t="s">
        <v>143</v>
      </c>
      <c r="F3428" s="7" t="s">
        <v>107</v>
      </c>
      <c r="G3428" s="7" t="s">
        <v>10</v>
      </c>
      <c r="H3428" s="7" t="s">
        <v>45</v>
      </c>
      <c r="I3428" s="20" t="s">
        <v>4758</v>
      </c>
      <c r="J3428" s="20" t="s">
        <v>4759</v>
      </c>
      <c r="K3428" s="7" t="s">
        <v>110</v>
      </c>
      <c r="L3428" s="61">
        <v>46048</v>
      </c>
      <c r="M3428" s="7" t="s">
        <v>111</v>
      </c>
      <c r="N3428" s="24">
        <v>46049</v>
      </c>
      <c r="O3428" s="58">
        <v>46049</v>
      </c>
      <c r="R3428" s="126">
        <v>46050</v>
      </c>
    </row>
    <row r="3429" spans="2:18" ht="17.25" hidden="1" customHeight="1">
      <c r="B3429" s="23">
        <v>46045</v>
      </c>
      <c r="C3429" s="7">
        <v>2003906393</v>
      </c>
      <c r="D3429" s="20">
        <v>6619459</v>
      </c>
      <c r="E3429" s="27" t="s">
        <v>1225</v>
      </c>
      <c r="F3429" s="7" t="s">
        <v>107</v>
      </c>
      <c r="G3429" s="7" t="s">
        <v>18</v>
      </c>
      <c r="H3429" s="7" t="s">
        <v>45</v>
      </c>
      <c r="I3429" s="20" t="s">
        <v>3300</v>
      </c>
      <c r="J3429" s="20" t="s">
        <v>4803</v>
      </c>
      <c r="K3429" s="7" t="s">
        <v>110</v>
      </c>
      <c r="L3429" s="61">
        <v>46050</v>
      </c>
      <c r="M3429" s="7" t="s">
        <v>111</v>
      </c>
      <c r="N3429" s="24">
        <v>46051</v>
      </c>
      <c r="O3429" s="58">
        <v>46052</v>
      </c>
      <c r="R3429" s="126">
        <v>46052</v>
      </c>
    </row>
    <row r="3430" spans="2:18" ht="17.25" hidden="1" customHeight="1">
      <c r="B3430" s="23">
        <v>46048</v>
      </c>
      <c r="C3430" s="7">
        <v>2003902962</v>
      </c>
      <c r="D3430" s="20">
        <v>466705</v>
      </c>
      <c r="E3430" s="27" t="s">
        <v>116</v>
      </c>
      <c r="F3430" s="7" t="s">
        <v>107</v>
      </c>
      <c r="G3430" s="7" t="s">
        <v>34</v>
      </c>
      <c r="H3430" s="7" t="s">
        <v>45</v>
      </c>
      <c r="I3430" s="20" t="s">
        <v>4804</v>
      </c>
      <c r="J3430" s="20" t="s">
        <v>4805</v>
      </c>
      <c r="K3430" s="7" t="s">
        <v>146</v>
      </c>
      <c r="L3430" s="61">
        <v>46048</v>
      </c>
      <c r="M3430" s="7" t="s">
        <v>146</v>
      </c>
      <c r="N3430" s="24">
        <v>46049</v>
      </c>
      <c r="O3430" s="58">
        <v>46049</v>
      </c>
      <c r="R3430" s="126">
        <v>46050</v>
      </c>
    </row>
    <row r="3431" spans="2:18" ht="17.25" hidden="1" customHeight="1">
      <c r="B3431" s="23">
        <v>46048</v>
      </c>
      <c r="C3431" s="7">
        <v>2003862885</v>
      </c>
      <c r="D3431" s="20">
        <v>467198</v>
      </c>
      <c r="E3431" s="27" t="s">
        <v>198</v>
      </c>
      <c r="F3431" s="7" t="s">
        <v>107</v>
      </c>
      <c r="G3431" s="7" t="s">
        <v>10</v>
      </c>
      <c r="H3431" s="7" t="s">
        <v>45</v>
      </c>
      <c r="I3431" s="20" t="s">
        <v>4806</v>
      </c>
      <c r="J3431" s="20" t="s">
        <v>4807</v>
      </c>
      <c r="K3431" s="7" t="s">
        <v>110</v>
      </c>
      <c r="L3431" s="61">
        <v>46051</v>
      </c>
      <c r="M3431" s="7" t="s">
        <v>111</v>
      </c>
      <c r="N3431" s="24">
        <v>46052</v>
      </c>
      <c r="O3431" s="24">
        <v>46052</v>
      </c>
      <c r="R3431" s="126">
        <v>46052</v>
      </c>
    </row>
    <row r="3432" spans="2:18" ht="17.25" hidden="1" customHeight="1">
      <c r="B3432" s="23">
        <v>46048</v>
      </c>
      <c r="C3432" s="7">
        <v>2003892987</v>
      </c>
      <c r="D3432" s="20">
        <v>467261</v>
      </c>
      <c r="E3432" s="27" t="s">
        <v>123</v>
      </c>
      <c r="F3432" s="7" t="s">
        <v>107</v>
      </c>
      <c r="G3432" s="7" t="s">
        <v>10</v>
      </c>
      <c r="H3432" s="7" t="s">
        <v>45</v>
      </c>
      <c r="I3432" s="20" t="s">
        <v>2928</v>
      </c>
      <c r="J3432" s="20" t="s">
        <v>2929</v>
      </c>
      <c r="K3432" s="7" t="s">
        <v>119</v>
      </c>
      <c r="L3432" s="61">
        <v>46052</v>
      </c>
      <c r="M3432" s="7" t="s">
        <v>111</v>
      </c>
      <c r="N3432" s="24">
        <v>46055</v>
      </c>
      <c r="O3432" s="24">
        <v>46055</v>
      </c>
      <c r="R3432" s="126">
        <v>46057</v>
      </c>
    </row>
    <row r="3433" spans="2:18" ht="17.25" hidden="1" customHeight="1">
      <c r="B3433" s="23">
        <v>46048</v>
      </c>
      <c r="C3433" s="7">
        <v>2003881373</v>
      </c>
      <c r="D3433" s="20">
        <v>466982</v>
      </c>
      <c r="E3433" s="27" t="s">
        <v>135</v>
      </c>
      <c r="F3433" s="7" t="s">
        <v>107</v>
      </c>
      <c r="G3433" s="7" t="s">
        <v>15</v>
      </c>
      <c r="H3433" s="7" t="s">
        <v>45</v>
      </c>
      <c r="I3433" s="20" t="s">
        <v>4808</v>
      </c>
      <c r="J3433" s="20" t="s">
        <v>4809</v>
      </c>
      <c r="K3433" s="7" t="s">
        <v>110</v>
      </c>
      <c r="L3433" s="61">
        <v>46059</v>
      </c>
      <c r="M3433" s="7" t="s">
        <v>111</v>
      </c>
      <c r="N3433" s="24">
        <v>46059</v>
      </c>
      <c r="O3433" s="24">
        <v>46059</v>
      </c>
      <c r="R3433" s="126">
        <v>46062</v>
      </c>
    </row>
    <row r="3434" spans="2:18" ht="17.25" hidden="1" customHeight="1">
      <c r="B3434" s="23">
        <v>46048</v>
      </c>
      <c r="C3434" s="7">
        <v>2003862863</v>
      </c>
      <c r="D3434" s="20">
        <v>466364</v>
      </c>
      <c r="E3434" s="27" t="s">
        <v>123</v>
      </c>
      <c r="F3434" s="7" t="s">
        <v>107</v>
      </c>
      <c r="G3434" s="7" t="s">
        <v>21</v>
      </c>
      <c r="H3434" s="7" t="s">
        <v>45</v>
      </c>
      <c r="I3434" s="20" t="s">
        <v>4810</v>
      </c>
      <c r="J3434" s="20" t="s">
        <v>4355</v>
      </c>
      <c r="K3434" s="7" t="s">
        <v>119</v>
      </c>
      <c r="L3434" s="61">
        <v>46050</v>
      </c>
      <c r="M3434" s="7" t="s">
        <v>111</v>
      </c>
      <c r="N3434" s="24">
        <v>46052</v>
      </c>
      <c r="O3434" s="58">
        <v>46057</v>
      </c>
      <c r="R3434" s="126">
        <v>46062</v>
      </c>
    </row>
    <row r="3435" spans="2:18" ht="17.25" hidden="1" customHeight="1">
      <c r="B3435" s="23">
        <v>46048</v>
      </c>
      <c r="C3435" s="7">
        <v>2003872942</v>
      </c>
      <c r="D3435" s="20">
        <v>466313</v>
      </c>
      <c r="E3435" s="27" t="s">
        <v>123</v>
      </c>
      <c r="F3435" s="7" t="s">
        <v>107</v>
      </c>
      <c r="G3435" s="7" t="s">
        <v>21</v>
      </c>
      <c r="H3435" s="7" t="s">
        <v>45</v>
      </c>
      <c r="I3435" s="20" t="s">
        <v>4439</v>
      </c>
      <c r="J3435" s="20" t="s">
        <v>4440</v>
      </c>
      <c r="K3435" s="7" t="s">
        <v>119</v>
      </c>
      <c r="L3435" s="61">
        <v>46051</v>
      </c>
      <c r="M3435" s="7" t="s">
        <v>111</v>
      </c>
      <c r="N3435" s="24">
        <v>46052</v>
      </c>
      <c r="O3435" s="24">
        <v>46052</v>
      </c>
      <c r="R3435" s="126">
        <v>46052</v>
      </c>
    </row>
    <row r="3436" spans="2:18" ht="17.25" hidden="1" customHeight="1">
      <c r="B3436" s="23">
        <v>46048</v>
      </c>
      <c r="C3436" s="7">
        <v>2003907095</v>
      </c>
      <c r="D3436" s="20">
        <v>6619724</v>
      </c>
      <c r="E3436" s="27" t="s">
        <v>366</v>
      </c>
      <c r="F3436" s="7" t="s">
        <v>107</v>
      </c>
      <c r="G3436" s="7" t="s">
        <v>15</v>
      </c>
      <c r="H3436" s="7" t="s">
        <v>45</v>
      </c>
      <c r="I3436" s="20" t="s">
        <v>4811</v>
      </c>
      <c r="J3436" s="20" t="s">
        <v>4812</v>
      </c>
      <c r="K3436" s="7" t="s">
        <v>110</v>
      </c>
      <c r="L3436" s="61">
        <v>46052</v>
      </c>
      <c r="M3436" s="7" t="s">
        <v>111</v>
      </c>
      <c r="N3436" s="24">
        <v>46055</v>
      </c>
      <c r="O3436" s="58">
        <v>46057</v>
      </c>
      <c r="R3436" s="126">
        <v>46057</v>
      </c>
    </row>
    <row r="3437" spans="2:18" ht="17.25" hidden="1" customHeight="1">
      <c r="B3437" s="23">
        <v>46048</v>
      </c>
      <c r="C3437" s="7">
        <v>2003888577</v>
      </c>
      <c r="D3437" s="20">
        <v>6619786</v>
      </c>
      <c r="E3437" s="27" t="s">
        <v>106</v>
      </c>
      <c r="F3437" s="7" t="s">
        <v>107</v>
      </c>
      <c r="G3437" s="7" t="s">
        <v>21</v>
      </c>
      <c r="H3437" s="7" t="s">
        <v>45</v>
      </c>
      <c r="I3437" s="20" t="s">
        <v>108</v>
      </c>
      <c r="J3437" s="20" t="s">
        <v>4624</v>
      </c>
      <c r="K3437" s="7" t="s">
        <v>119</v>
      </c>
      <c r="L3437" s="61">
        <v>46065</v>
      </c>
      <c r="M3437" s="7" t="s">
        <v>111</v>
      </c>
      <c r="N3437" s="24">
        <v>46066</v>
      </c>
      <c r="O3437" s="58">
        <v>46071</v>
      </c>
      <c r="R3437" s="126">
        <v>46071</v>
      </c>
    </row>
    <row r="3438" spans="2:18" ht="17.25" hidden="1" customHeight="1">
      <c r="B3438" s="23">
        <v>46048</v>
      </c>
      <c r="C3438" s="7">
        <v>2003879988</v>
      </c>
      <c r="D3438" s="20">
        <v>6619923</v>
      </c>
      <c r="E3438" s="27" t="s">
        <v>622</v>
      </c>
      <c r="F3438" s="7" t="s">
        <v>107</v>
      </c>
      <c r="G3438" s="7" t="s">
        <v>18</v>
      </c>
      <c r="H3438" s="7" t="s">
        <v>45</v>
      </c>
      <c r="I3438" s="20" t="s">
        <v>4813</v>
      </c>
      <c r="J3438" s="20" t="s">
        <v>4814</v>
      </c>
      <c r="K3438" s="7" t="s">
        <v>119</v>
      </c>
      <c r="L3438" s="61">
        <v>46052</v>
      </c>
      <c r="M3438" s="7" t="s">
        <v>111</v>
      </c>
      <c r="N3438" s="61">
        <v>46056</v>
      </c>
      <c r="O3438" s="58">
        <v>46057</v>
      </c>
      <c r="R3438" s="126">
        <v>46062</v>
      </c>
    </row>
    <row r="3439" spans="2:18" ht="17.25" hidden="1" customHeight="1">
      <c r="B3439" s="23">
        <v>46048</v>
      </c>
      <c r="C3439" s="7">
        <v>2003824026</v>
      </c>
      <c r="D3439" s="20">
        <v>6619930</v>
      </c>
      <c r="E3439" s="27" t="s">
        <v>157</v>
      </c>
      <c r="F3439" s="7" t="s">
        <v>107</v>
      </c>
      <c r="G3439" s="7" t="s">
        <v>26</v>
      </c>
      <c r="H3439" s="7" t="s">
        <v>45</v>
      </c>
      <c r="I3439" s="20" t="s">
        <v>1343</v>
      </c>
      <c r="J3439" s="20" t="s">
        <v>4381</v>
      </c>
      <c r="K3439" s="7" t="s">
        <v>119</v>
      </c>
      <c r="L3439" s="61">
        <v>46049</v>
      </c>
      <c r="M3439" s="7" t="s">
        <v>111</v>
      </c>
      <c r="N3439" s="24">
        <v>46050</v>
      </c>
      <c r="O3439" s="58">
        <v>46050</v>
      </c>
      <c r="R3439" s="126">
        <v>46050</v>
      </c>
    </row>
    <row r="3440" spans="2:18" ht="17.25" hidden="1" customHeight="1">
      <c r="B3440" s="23">
        <v>46048</v>
      </c>
      <c r="C3440" s="7">
        <v>2003907644</v>
      </c>
      <c r="D3440" s="20">
        <v>6619975</v>
      </c>
      <c r="E3440" s="27" t="s">
        <v>143</v>
      </c>
      <c r="F3440" s="7" t="s">
        <v>107</v>
      </c>
      <c r="G3440" s="7" t="s">
        <v>34</v>
      </c>
      <c r="H3440" s="7" t="s">
        <v>45</v>
      </c>
      <c r="I3440" s="20" t="s">
        <v>4815</v>
      </c>
      <c r="J3440" s="20" t="s">
        <v>4816</v>
      </c>
      <c r="K3440" s="7" t="s">
        <v>146</v>
      </c>
      <c r="L3440" s="61">
        <v>46050</v>
      </c>
      <c r="M3440" s="7" t="s">
        <v>146</v>
      </c>
      <c r="N3440" s="24">
        <v>46055</v>
      </c>
      <c r="O3440" s="58">
        <v>46055</v>
      </c>
      <c r="R3440" s="126">
        <v>46055</v>
      </c>
    </row>
    <row r="3441" spans="2:18" ht="17.25" hidden="1" customHeight="1">
      <c r="B3441" s="23">
        <v>46048</v>
      </c>
      <c r="C3441" s="7">
        <v>2003909774</v>
      </c>
      <c r="D3441" s="20">
        <v>6620177</v>
      </c>
      <c r="E3441" s="27" t="s">
        <v>201</v>
      </c>
      <c r="F3441" s="7" t="s">
        <v>107</v>
      </c>
      <c r="G3441" s="7" t="s">
        <v>10</v>
      </c>
      <c r="H3441" s="7" t="s">
        <v>45</v>
      </c>
      <c r="I3441" s="20" t="s">
        <v>4343</v>
      </c>
      <c r="J3441" s="20" t="s">
        <v>4817</v>
      </c>
      <c r="K3441" s="7" t="s">
        <v>110</v>
      </c>
      <c r="L3441" s="61">
        <v>46051</v>
      </c>
      <c r="M3441" s="7" t="s">
        <v>111</v>
      </c>
      <c r="N3441" s="24">
        <v>46052</v>
      </c>
      <c r="O3441" s="58">
        <v>46056</v>
      </c>
      <c r="R3441" s="126">
        <v>46057</v>
      </c>
    </row>
    <row r="3442" spans="2:18" ht="17.25" hidden="1" customHeight="1">
      <c r="B3442" s="23">
        <v>46049</v>
      </c>
      <c r="C3442" s="7">
        <v>2003887593</v>
      </c>
      <c r="D3442" s="20">
        <v>469741</v>
      </c>
      <c r="E3442" s="27" t="s">
        <v>106</v>
      </c>
      <c r="F3442" s="7" t="s">
        <v>107</v>
      </c>
      <c r="G3442" s="7" t="s">
        <v>166</v>
      </c>
      <c r="H3442" s="7" t="s">
        <v>45</v>
      </c>
      <c r="I3442" s="20" t="s">
        <v>778</v>
      </c>
      <c r="J3442" s="20" t="s">
        <v>4587</v>
      </c>
      <c r="K3442" s="7" t="s">
        <v>110</v>
      </c>
      <c r="L3442" s="61">
        <v>46051</v>
      </c>
      <c r="M3442" s="7" t="s">
        <v>111</v>
      </c>
      <c r="N3442" s="24">
        <v>46052</v>
      </c>
      <c r="O3442" s="24">
        <v>46052</v>
      </c>
      <c r="R3442" s="126">
        <v>46052</v>
      </c>
    </row>
    <row r="3443" spans="2:18" ht="17.25" hidden="1" customHeight="1">
      <c r="B3443" s="23">
        <v>46049</v>
      </c>
      <c r="C3443" s="7">
        <v>2003912626</v>
      </c>
      <c r="D3443" s="20">
        <v>469466</v>
      </c>
      <c r="E3443" s="27" t="s">
        <v>201</v>
      </c>
      <c r="F3443" s="7" t="s">
        <v>107</v>
      </c>
      <c r="G3443" s="7" t="s">
        <v>10</v>
      </c>
      <c r="H3443" s="7" t="s">
        <v>45</v>
      </c>
      <c r="I3443" s="20" t="s">
        <v>1543</v>
      </c>
      <c r="J3443" s="20" t="s">
        <v>4818</v>
      </c>
      <c r="K3443" s="7" t="s">
        <v>110</v>
      </c>
      <c r="L3443" s="61">
        <v>46055</v>
      </c>
      <c r="M3443" s="7" t="s">
        <v>111</v>
      </c>
      <c r="N3443" s="61">
        <v>46055</v>
      </c>
      <c r="O3443" s="58">
        <v>46057</v>
      </c>
      <c r="R3443" s="126">
        <v>46062</v>
      </c>
    </row>
    <row r="3444" spans="2:18" ht="17.25" hidden="1" customHeight="1">
      <c r="B3444" s="23">
        <v>46049</v>
      </c>
      <c r="C3444" s="7">
        <v>2003910873</v>
      </c>
      <c r="D3444" s="20">
        <v>469234</v>
      </c>
      <c r="E3444" s="27" t="s">
        <v>106</v>
      </c>
      <c r="F3444" s="7" t="s">
        <v>107</v>
      </c>
      <c r="G3444" s="7" t="s">
        <v>10</v>
      </c>
      <c r="H3444" s="7" t="s">
        <v>45</v>
      </c>
      <c r="I3444" s="20" t="s">
        <v>1474</v>
      </c>
      <c r="J3444" s="20" t="s">
        <v>4819</v>
      </c>
      <c r="K3444" s="7" t="s">
        <v>119</v>
      </c>
      <c r="L3444" s="61">
        <v>46051</v>
      </c>
      <c r="M3444" s="7" t="s">
        <v>111</v>
      </c>
      <c r="N3444" s="24">
        <v>46052</v>
      </c>
      <c r="O3444" s="58">
        <v>46056</v>
      </c>
      <c r="R3444" s="126">
        <v>46057</v>
      </c>
    </row>
    <row r="3445" spans="2:18" ht="17.25" hidden="1" customHeight="1">
      <c r="B3445" s="23">
        <v>46049</v>
      </c>
      <c r="C3445" s="7">
        <v>2003909320</v>
      </c>
      <c r="D3445" s="20">
        <v>469061</v>
      </c>
      <c r="E3445" s="27" t="s">
        <v>3586</v>
      </c>
      <c r="F3445" s="7" t="s">
        <v>107</v>
      </c>
      <c r="G3445" s="7" t="s">
        <v>15</v>
      </c>
      <c r="H3445" s="7" t="s">
        <v>45</v>
      </c>
      <c r="I3445" s="20" t="s">
        <v>4042</v>
      </c>
      <c r="J3445" s="20" t="s">
        <v>4820</v>
      </c>
      <c r="K3445" s="7" t="s">
        <v>110</v>
      </c>
      <c r="L3445" s="61">
        <v>46051</v>
      </c>
      <c r="M3445" s="7" t="s">
        <v>111</v>
      </c>
      <c r="N3445" s="24">
        <v>46052</v>
      </c>
      <c r="O3445" s="58">
        <v>46056</v>
      </c>
      <c r="R3445" s="126">
        <v>46057</v>
      </c>
    </row>
    <row r="3446" spans="2:18" ht="17.25" hidden="1" customHeight="1">
      <c r="B3446" s="23">
        <v>46049</v>
      </c>
      <c r="C3446" s="7">
        <v>2003887521</v>
      </c>
      <c r="D3446" s="20">
        <v>468802</v>
      </c>
      <c r="E3446" s="27" t="s">
        <v>143</v>
      </c>
      <c r="F3446" s="7" t="s">
        <v>107</v>
      </c>
      <c r="G3446" s="7" t="s">
        <v>10</v>
      </c>
      <c r="H3446" s="7" t="s">
        <v>45</v>
      </c>
      <c r="I3446" s="20" t="s">
        <v>4821</v>
      </c>
      <c r="J3446" s="20" t="s">
        <v>4542</v>
      </c>
      <c r="K3446" s="7" t="s">
        <v>119</v>
      </c>
      <c r="L3446" s="61">
        <v>46062</v>
      </c>
      <c r="M3446" s="7" t="s">
        <v>111</v>
      </c>
      <c r="N3446" s="24">
        <v>46063</v>
      </c>
      <c r="O3446" s="24">
        <v>46063</v>
      </c>
      <c r="R3446" s="126">
        <v>46065</v>
      </c>
    </row>
    <row r="3447" spans="2:18" ht="17.25" hidden="1" customHeight="1">
      <c r="B3447" s="23">
        <v>46049</v>
      </c>
      <c r="C3447" s="7">
        <v>2003895476</v>
      </c>
      <c r="D3447" s="20">
        <v>468609</v>
      </c>
      <c r="E3447" s="27" t="s">
        <v>180</v>
      </c>
      <c r="F3447" s="7" t="s">
        <v>107</v>
      </c>
      <c r="G3447" s="7" t="s">
        <v>18</v>
      </c>
      <c r="H3447" s="7" t="s">
        <v>45</v>
      </c>
      <c r="I3447" s="20" t="s">
        <v>306</v>
      </c>
      <c r="J3447" s="20" t="s">
        <v>4603</v>
      </c>
      <c r="K3447" s="7" t="s">
        <v>110</v>
      </c>
      <c r="L3447" s="61">
        <v>46049</v>
      </c>
      <c r="M3447" s="7" t="s">
        <v>111</v>
      </c>
      <c r="N3447" s="24">
        <v>46050</v>
      </c>
      <c r="O3447" s="58">
        <v>46051</v>
      </c>
      <c r="R3447" s="126">
        <v>46052</v>
      </c>
    </row>
    <row r="3448" spans="2:18" ht="17.25" hidden="1" customHeight="1">
      <c r="B3448" s="23">
        <v>46049</v>
      </c>
      <c r="C3448" s="7">
        <v>2003904238</v>
      </c>
      <c r="D3448" s="20">
        <v>6620588</v>
      </c>
      <c r="E3448" s="27" t="s">
        <v>143</v>
      </c>
      <c r="F3448" s="7" t="s">
        <v>107</v>
      </c>
      <c r="G3448" s="7" t="s">
        <v>18</v>
      </c>
      <c r="H3448" s="7" t="s">
        <v>45</v>
      </c>
      <c r="I3448" s="20" t="s">
        <v>4822</v>
      </c>
      <c r="J3448" s="20" t="s">
        <v>4823</v>
      </c>
      <c r="K3448" s="7" t="s">
        <v>119</v>
      </c>
      <c r="L3448" s="61">
        <v>46051</v>
      </c>
      <c r="M3448" s="7" t="s">
        <v>111</v>
      </c>
      <c r="N3448" s="24">
        <v>46057</v>
      </c>
      <c r="O3448" s="58">
        <v>46057</v>
      </c>
      <c r="R3448" s="126">
        <v>46057</v>
      </c>
    </row>
    <row r="3449" spans="2:18" ht="17.25" hidden="1" customHeight="1">
      <c r="B3449" s="23">
        <v>46049</v>
      </c>
      <c r="C3449" s="7">
        <v>2003831956</v>
      </c>
      <c r="D3449" s="20">
        <v>6620616</v>
      </c>
      <c r="E3449" s="27" t="s">
        <v>185</v>
      </c>
      <c r="F3449" s="7" t="s">
        <v>107</v>
      </c>
      <c r="G3449" s="7" t="s">
        <v>21</v>
      </c>
      <c r="H3449" s="7" t="s">
        <v>45</v>
      </c>
      <c r="I3449" s="20" t="s">
        <v>4157</v>
      </c>
      <c r="J3449" s="20" t="s">
        <v>4158</v>
      </c>
      <c r="K3449" s="7" t="s">
        <v>110</v>
      </c>
      <c r="L3449" s="61">
        <v>46050</v>
      </c>
      <c r="M3449" s="7" t="s">
        <v>111</v>
      </c>
      <c r="N3449" s="24">
        <v>46051</v>
      </c>
      <c r="O3449" s="58">
        <v>46052</v>
      </c>
      <c r="R3449" s="126">
        <v>46052</v>
      </c>
    </row>
    <row r="3450" spans="2:18" ht="17.25" hidden="1" customHeight="1">
      <c r="B3450" s="23">
        <v>46049</v>
      </c>
      <c r="C3450" s="7">
        <v>2003909447</v>
      </c>
      <c r="D3450" s="20">
        <v>6620741</v>
      </c>
      <c r="E3450" s="27" t="s">
        <v>198</v>
      </c>
      <c r="F3450" s="7" t="s">
        <v>107</v>
      </c>
      <c r="G3450" s="7" t="s">
        <v>10</v>
      </c>
      <c r="H3450" s="7" t="s">
        <v>45</v>
      </c>
      <c r="I3450" s="20" t="s">
        <v>4824</v>
      </c>
      <c r="J3450" s="20" t="s">
        <v>4825</v>
      </c>
      <c r="K3450" s="7" t="s">
        <v>119</v>
      </c>
      <c r="L3450" s="61">
        <v>46051</v>
      </c>
      <c r="M3450" s="7" t="s">
        <v>111</v>
      </c>
      <c r="N3450" s="24">
        <v>46052</v>
      </c>
      <c r="O3450" s="58">
        <v>46052</v>
      </c>
      <c r="R3450" s="126">
        <v>46052</v>
      </c>
    </row>
    <row r="3451" spans="2:18" ht="17.25" hidden="1" customHeight="1">
      <c r="B3451" s="23">
        <v>46049</v>
      </c>
      <c r="C3451" s="7">
        <v>2003902133</v>
      </c>
      <c r="D3451" s="20">
        <v>6620864</v>
      </c>
      <c r="E3451" s="27" t="s">
        <v>201</v>
      </c>
      <c r="F3451" s="7" t="s">
        <v>107</v>
      </c>
      <c r="G3451" s="7" t="s">
        <v>10</v>
      </c>
      <c r="H3451" s="7" t="s">
        <v>45</v>
      </c>
      <c r="I3451" s="20" t="s">
        <v>335</v>
      </c>
      <c r="J3451" s="20" t="s">
        <v>4826</v>
      </c>
      <c r="K3451" s="7" t="s">
        <v>119</v>
      </c>
      <c r="L3451" s="61">
        <v>46057</v>
      </c>
      <c r="M3451" s="7" t="s">
        <v>111</v>
      </c>
      <c r="N3451" s="24">
        <v>46058</v>
      </c>
      <c r="O3451" s="58">
        <v>46059</v>
      </c>
      <c r="R3451" s="126">
        <v>46062</v>
      </c>
    </row>
    <row r="3452" spans="2:18" ht="17.25" hidden="1" customHeight="1">
      <c r="B3452" s="23">
        <v>46049</v>
      </c>
      <c r="C3452" s="7">
        <v>2003885561</v>
      </c>
      <c r="D3452" s="20">
        <v>6620911</v>
      </c>
      <c r="E3452" s="27" t="s">
        <v>123</v>
      </c>
      <c r="F3452" s="7" t="s">
        <v>107</v>
      </c>
      <c r="G3452" s="7" t="s">
        <v>21</v>
      </c>
      <c r="H3452" s="7" t="s">
        <v>45</v>
      </c>
      <c r="I3452" s="20" t="s">
        <v>863</v>
      </c>
      <c r="J3452" s="20" t="s">
        <v>4647</v>
      </c>
      <c r="K3452" s="7" t="s">
        <v>119</v>
      </c>
      <c r="L3452" s="61">
        <v>46055</v>
      </c>
      <c r="M3452" s="7" t="s">
        <v>111</v>
      </c>
      <c r="N3452" s="61">
        <v>46056</v>
      </c>
      <c r="O3452" s="61">
        <v>46056</v>
      </c>
      <c r="R3452" s="126">
        <v>46057</v>
      </c>
    </row>
    <row r="3453" spans="2:18" ht="17.25" hidden="1" customHeight="1">
      <c r="B3453" s="23">
        <v>46049</v>
      </c>
      <c r="C3453" s="7">
        <v>2003911019</v>
      </c>
      <c r="D3453" s="20">
        <v>6620955</v>
      </c>
      <c r="E3453" s="27" t="s">
        <v>185</v>
      </c>
      <c r="F3453" s="7" t="s">
        <v>107</v>
      </c>
      <c r="G3453" s="7" t="s">
        <v>18</v>
      </c>
      <c r="H3453" s="7" t="s">
        <v>45</v>
      </c>
      <c r="I3453" s="20" t="s">
        <v>4827</v>
      </c>
      <c r="J3453" s="20" t="s">
        <v>4828</v>
      </c>
      <c r="K3453" s="7" t="s">
        <v>119</v>
      </c>
      <c r="L3453" s="61">
        <v>46062</v>
      </c>
      <c r="M3453" s="7" t="s">
        <v>111</v>
      </c>
      <c r="N3453" s="24">
        <v>46079</v>
      </c>
      <c r="O3453" s="24">
        <v>46079</v>
      </c>
      <c r="R3453" s="126">
        <v>46079</v>
      </c>
    </row>
    <row r="3454" spans="2:18" ht="17.25" hidden="1" customHeight="1">
      <c r="B3454" s="23">
        <v>46049</v>
      </c>
      <c r="C3454" s="7">
        <v>2003820387</v>
      </c>
      <c r="D3454" s="20">
        <v>6620974</v>
      </c>
      <c r="E3454" s="27" t="s">
        <v>149</v>
      </c>
      <c r="F3454" s="7" t="s">
        <v>107</v>
      </c>
      <c r="G3454" s="7" t="s">
        <v>10</v>
      </c>
      <c r="H3454" s="7" t="s">
        <v>45</v>
      </c>
      <c r="I3454" s="20" t="s">
        <v>3361</v>
      </c>
      <c r="J3454" s="20" t="s">
        <v>4829</v>
      </c>
      <c r="K3454" s="7" t="s">
        <v>119</v>
      </c>
      <c r="L3454" s="61">
        <v>46051</v>
      </c>
      <c r="M3454" s="7" t="s">
        <v>111</v>
      </c>
      <c r="N3454" s="24">
        <v>46052</v>
      </c>
      <c r="O3454" s="58">
        <v>46056</v>
      </c>
      <c r="R3454" s="126">
        <v>46057</v>
      </c>
    </row>
    <row r="3455" spans="2:18" ht="17.25" hidden="1" customHeight="1">
      <c r="B3455" s="23">
        <v>46050</v>
      </c>
      <c r="C3455" s="7">
        <v>2003673067</v>
      </c>
      <c r="D3455" s="20">
        <v>471618</v>
      </c>
      <c r="E3455" s="27" t="s">
        <v>1225</v>
      </c>
      <c r="F3455" s="7" t="s">
        <v>107</v>
      </c>
      <c r="G3455" s="7" t="s">
        <v>10</v>
      </c>
      <c r="H3455" s="7" t="s">
        <v>45</v>
      </c>
      <c r="I3455" s="20" t="s">
        <v>4455</v>
      </c>
      <c r="J3455" s="20" t="s">
        <v>4456</v>
      </c>
      <c r="K3455" s="7" t="s">
        <v>110</v>
      </c>
      <c r="L3455" s="61">
        <v>46055</v>
      </c>
      <c r="M3455" s="7" t="s">
        <v>146</v>
      </c>
      <c r="N3455" s="24">
        <v>46056</v>
      </c>
      <c r="O3455" s="58">
        <v>46056</v>
      </c>
      <c r="R3455" s="126">
        <v>46057</v>
      </c>
    </row>
    <row r="3456" spans="2:18" ht="17.25" hidden="1" customHeight="1">
      <c r="B3456" s="23">
        <v>46050</v>
      </c>
      <c r="C3456" s="7">
        <v>2003911650</v>
      </c>
      <c r="D3456" s="20">
        <v>471544</v>
      </c>
      <c r="E3456" s="27" t="s">
        <v>129</v>
      </c>
      <c r="F3456" s="7" t="s">
        <v>107</v>
      </c>
      <c r="G3456" s="7" t="s">
        <v>10</v>
      </c>
      <c r="H3456" s="7" t="s">
        <v>45</v>
      </c>
      <c r="I3456" s="20" t="s">
        <v>1050</v>
      </c>
      <c r="J3456" s="20" t="s">
        <v>4830</v>
      </c>
      <c r="K3456" s="7" t="s">
        <v>110</v>
      </c>
      <c r="L3456" s="61">
        <v>46065</v>
      </c>
      <c r="M3456" s="7" t="s">
        <v>111</v>
      </c>
      <c r="N3456" s="24">
        <v>46066</v>
      </c>
      <c r="O3456" s="58">
        <v>46071</v>
      </c>
      <c r="R3456" s="126">
        <v>46071</v>
      </c>
    </row>
    <row r="3457" spans="2:18" ht="17.25" hidden="1" customHeight="1">
      <c r="B3457" s="23">
        <v>46050</v>
      </c>
      <c r="C3457" s="7">
        <v>2003879641</v>
      </c>
      <c r="D3457" s="20">
        <v>471523</v>
      </c>
      <c r="E3457" s="27" t="s">
        <v>143</v>
      </c>
      <c r="F3457" s="7" t="s">
        <v>107</v>
      </c>
      <c r="G3457" s="7" t="s">
        <v>10</v>
      </c>
      <c r="H3457" s="7" t="s">
        <v>45</v>
      </c>
      <c r="I3457" s="20" t="s">
        <v>2708</v>
      </c>
      <c r="J3457" s="20" t="s">
        <v>4831</v>
      </c>
      <c r="K3457" s="7" t="s">
        <v>110</v>
      </c>
      <c r="L3457" s="61">
        <v>46056</v>
      </c>
      <c r="M3457" s="7" t="s">
        <v>111</v>
      </c>
      <c r="N3457" s="24">
        <v>46057</v>
      </c>
      <c r="O3457" s="58">
        <v>46057</v>
      </c>
      <c r="R3457" s="126">
        <v>46057</v>
      </c>
    </row>
    <row r="3458" spans="2:18" ht="17.25" hidden="1" customHeight="1">
      <c r="B3458" s="23">
        <v>46050</v>
      </c>
      <c r="C3458" s="7">
        <v>2003904754</v>
      </c>
      <c r="D3458" s="20">
        <v>471068</v>
      </c>
      <c r="E3458" s="27" t="s">
        <v>408</v>
      </c>
      <c r="F3458" s="7" t="s">
        <v>107</v>
      </c>
      <c r="G3458" s="7" t="s">
        <v>10</v>
      </c>
      <c r="H3458" s="7" t="s">
        <v>45</v>
      </c>
      <c r="I3458" s="20" t="s">
        <v>4832</v>
      </c>
      <c r="J3458" s="20" t="s">
        <v>4833</v>
      </c>
      <c r="K3458" s="7" t="s">
        <v>119</v>
      </c>
      <c r="L3458" s="61">
        <v>46072</v>
      </c>
      <c r="M3458" s="7" t="s">
        <v>111</v>
      </c>
      <c r="N3458" s="24">
        <v>46076</v>
      </c>
      <c r="O3458" s="24">
        <v>46076</v>
      </c>
      <c r="R3458" s="126">
        <v>46077</v>
      </c>
    </row>
    <row r="3459" spans="2:18" ht="17.25" hidden="1" customHeight="1">
      <c r="B3459" s="23">
        <v>46050</v>
      </c>
      <c r="C3459" s="7">
        <v>2003913054</v>
      </c>
      <c r="D3459" s="20">
        <v>470891</v>
      </c>
      <c r="E3459" s="27" t="s">
        <v>568</v>
      </c>
      <c r="F3459" s="7" t="s">
        <v>107</v>
      </c>
      <c r="G3459" s="7" t="s">
        <v>10</v>
      </c>
      <c r="H3459" s="7" t="s">
        <v>45</v>
      </c>
      <c r="I3459" s="20" t="s">
        <v>4834</v>
      </c>
      <c r="J3459" s="20" t="s">
        <v>4835</v>
      </c>
      <c r="K3459" s="7" t="s">
        <v>119</v>
      </c>
      <c r="L3459" s="61">
        <v>46052</v>
      </c>
      <c r="M3459" s="7" t="s">
        <v>111</v>
      </c>
      <c r="N3459" s="24">
        <v>46063</v>
      </c>
      <c r="O3459" s="24">
        <v>46064</v>
      </c>
      <c r="R3459" s="126">
        <v>46065</v>
      </c>
    </row>
    <row r="3460" spans="2:18" ht="17.25" hidden="1" customHeight="1">
      <c r="B3460" s="23">
        <v>46050</v>
      </c>
      <c r="C3460" s="7">
        <v>2003908081</v>
      </c>
      <c r="D3460" s="20">
        <v>470612</v>
      </c>
      <c r="E3460" s="27" t="s">
        <v>180</v>
      </c>
      <c r="F3460" s="7" t="s">
        <v>107</v>
      </c>
      <c r="G3460" s="7" t="s">
        <v>18</v>
      </c>
      <c r="H3460" s="7" t="s">
        <v>45</v>
      </c>
      <c r="I3460" s="20" t="s">
        <v>1892</v>
      </c>
      <c r="J3460" s="20" t="s">
        <v>1893</v>
      </c>
      <c r="K3460" s="7" t="s">
        <v>119</v>
      </c>
      <c r="L3460" s="61">
        <v>46056</v>
      </c>
      <c r="M3460" s="7" t="s">
        <v>111</v>
      </c>
      <c r="N3460" s="24">
        <v>46057</v>
      </c>
      <c r="O3460" s="58">
        <v>46059</v>
      </c>
      <c r="R3460" s="126">
        <v>46062</v>
      </c>
    </row>
    <row r="3461" spans="2:18" ht="17.25" hidden="1" customHeight="1">
      <c r="B3461" s="23">
        <v>46050</v>
      </c>
      <c r="C3461" s="7">
        <v>2003913604</v>
      </c>
      <c r="D3461" s="20">
        <v>470393</v>
      </c>
      <c r="E3461" s="27" t="s">
        <v>143</v>
      </c>
      <c r="F3461" s="7" t="s">
        <v>113</v>
      </c>
      <c r="G3461" s="7" t="s">
        <v>70</v>
      </c>
      <c r="H3461" s="7" t="s">
        <v>47</v>
      </c>
      <c r="I3461" s="20" t="s">
        <v>782</v>
      </c>
      <c r="J3461" s="20" t="s">
        <v>783</v>
      </c>
      <c r="K3461" s="7" t="s">
        <v>160</v>
      </c>
    </row>
    <row r="3462" spans="2:18" ht="17.25" hidden="1" customHeight="1">
      <c r="B3462" s="23">
        <v>46050</v>
      </c>
      <c r="C3462" s="7">
        <v>2003873225</v>
      </c>
      <c r="D3462" s="20">
        <v>470385</v>
      </c>
      <c r="E3462" s="27" t="s">
        <v>180</v>
      </c>
      <c r="F3462" s="7" t="s">
        <v>107</v>
      </c>
      <c r="G3462" s="7" t="s">
        <v>15</v>
      </c>
      <c r="H3462" s="7" t="s">
        <v>45</v>
      </c>
      <c r="I3462" s="20" t="s">
        <v>4836</v>
      </c>
      <c r="J3462" s="20" t="s">
        <v>4837</v>
      </c>
      <c r="K3462" s="7" t="s">
        <v>110</v>
      </c>
      <c r="L3462" s="61">
        <v>46051</v>
      </c>
      <c r="M3462" s="7" t="s">
        <v>111</v>
      </c>
      <c r="N3462" s="24">
        <v>46052</v>
      </c>
      <c r="O3462" s="58">
        <v>46056</v>
      </c>
      <c r="R3462" s="126">
        <v>46057</v>
      </c>
    </row>
    <row r="3463" spans="2:18" ht="17.25" hidden="1" customHeight="1">
      <c r="B3463" s="23">
        <v>46050</v>
      </c>
      <c r="C3463" s="7">
        <v>2003791230</v>
      </c>
      <c r="D3463" s="20">
        <v>6621401</v>
      </c>
      <c r="E3463" s="27" t="s">
        <v>265</v>
      </c>
      <c r="F3463" s="7" t="s">
        <v>107</v>
      </c>
      <c r="G3463" s="7" t="s">
        <v>15</v>
      </c>
      <c r="H3463" s="7" t="s">
        <v>45</v>
      </c>
      <c r="I3463" s="20" t="s">
        <v>4838</v>
      </c>
      <c r="J3463" s="20" t="s">
        <v>4839</v>
      </c>
      <c r="K3463" s="7" t="s">
        <v>110</v>
      </c>
      <c r="L3463" s="61">
        <v>46059</v>
      </c>
      <c r="M3463" s="7" t="s">
        <v>111</v>
      </c>
      <c r="N3463" s="61">
        <v>46059</v>
      </c>
      <c r="O3463" s="58">
        <v>46063</v>
      </c>
      <c r="R3463" s="126">
        <v>46065</v>
      </c>
    </row>
    <row r="3464" spans="2:18" ht="17.25" hidden="1" customHeight="1">
      <c r="B3464" s="23">
        <v>46050</v>
      </c>
      <c r="C3464" s="7">
        <v>2003879988</v>
      </c>
      <c r="D3464" s="20">
        <v>6619923</v>
      </c>
      <c r="E3464" s="27" t="s">
        <v>622</v>
      </c>
      <c r="F3464" s="7" t="s">
        <v>107</v>
      </c>
      <c r="G3464" s="7" t="s">
        <v>26</v>
      </c>
      <c r="H3464" s="7" t="s">
        <v>45</v>
      </c>
      <c r="I3464" s="20" t="s">
        <v>4840</v>
      </c>
      <c r="J3464" s="20" t="s">
        <v>4814</v>
      </c>
      <c r="K3464" s="7" t="s">
        <v>119</v>
      </c>
      <c r="L3464" s="61">
        <v>46051</v>
      </c>
      <c r="M3464" s="7" t="s">
        <v>111</v>
      </c>
      <c r="N3464" s="24">
        <v>46052</v>
      </c>
      <c r="O3464" s="58">
        <v>46052</v>
      </c>
      <c r="R3464" s="126">
        <v>46052</v>
      </c>
    </row>
    <row r="3465" spans="2:18" ht="17.25" hidden="1" customHeight="1">
      <c r="B3465" s="23">
        <v>46050</v>
      </c>
      <c r="C3465" s="7">
        <v>2003907807</v>
      </c>
      <c r="D3465" s="20">
        <v>6621490</v>
      </c>
      <c r="E3465" s="27" t="s">
        <v>201</v>
      </c>
      <c r="F3465" s="7" t="s">
        <v>107</v>
      </c>
      <c r="G3465" s="7" t="s">
        <v>10</v>
      </c>
      <c r="H3465" s="7" t="s">
        <v>45</v>
      </c>
      <c r="I3465" s="20" t="s">
        <v>1146</v>
      </c>
      <c r="J3465" s="20" t="s">
        <v>1147</v>
      </c>
      <c r="K3465" s="7" t="s">
        <v>110</v>
      </c>
      <c r="L3465" s="61">
        <v>46052</v>
      </c>
      <c r="M3465" s="7" t="s">
        <v>111</v>
      </c>
      <c r="N3465" s="24">
        <v>46055</v>
      </c>
      <c r="O3465" s="58">
        <v>46057</v>
      </c>
      <c r="R3465" s="126">
        <v>46057</v>
      </c>
    </row>
    <row r="3466" spans="2:18" ht="17.25" hidden="1" customHeight="1">
      <c r="B3466" s="23">
        <v>46050</v>
      </c>
      <c r="C3466" s="7">
        <v>2003908426</v>
      </c>
      <c r="D3466" s="20">
        <v>6621517</v>
      </c>
      <c r="E3466" s="27" t="s">
        <v>201</v>
      </c>
      <c r="F3466" s="7" t="s">
        <v>107</v>
      </c>
      <c r="G3466" s="7" t="s">
        <v>18</v>
      </c>
      <c r="H3466" s="7" t="s">
        <v>45</v>
      </c>
      <c r="I3466" s="20" t="s">
        <v>2004</v>
      </c>
      <c r="J3466" s="20" t="s">
        <v>4841</v>
      </c>
      <c r="K3466" s="7" t="s">
        <v>119</v>
      </c>
      <c r="L3466" s="61">
        <v>46052</v>
      </c>
      <c r="M3466" s="7" t="s">
        <v>111</v>
      </c>
      <c r="N3466" s="24">
        <v>46055</v>
      </c>
      <c r="O3466" s="24">
        <v>46055</v>
      </c>
      <c r="R3466" s="126">
        <v>46057</v>
      </c>
    </row>
    <row r="3467" spans="2:18" ht="17.25" hidden="1" customHeight="1">
      <c r="B3467" s="23">
        <v>46050</v>
      </c>
      <c r="C3467" s="7">
        <v>2003610605</v>
      </c>
      <c r="D3467" s="20">
        <v>6621610</v>
      </c>
      <c r="E3467" s="27" t="s">
        <v>4842</v>
      </c>
      <c r="F3467" s="7" t="s">
        <v>107</v>
      </c>
      <c r="G3467" s="7" t="s">
        <v>10</v>
      </c>
      <c r="H3467" s="7" t="s">
        <v>45</v>
      </c>
      <c r="I3467" s="20" t="s">
        <v>1113</v>
      </c>
      <c r="J3467" s="20" t="s">
        <v>4843</v>
      </c>
      <c r="K3467" s="7" t="s">
        <v>110</v>
      </c>
      <c r="L3467" s="61">
        <v>46059</v>
      </c>
      <c r="M3467" s="7" t="s">
        <v>111</v>
      </c>
      <c r="N3467" s="61">
        <v>46059</v>
      </c>
      <c r="O3467" s="58">
        <v>46063</v>
      </c>
      <c r="R3467" s="126">
        <v>46065</v>
      </c>
    </row>
    <row r="3468" spans="2:18" ht="17.25" hidden="1" customHeight="1">
      <c r="B3468" s="23">
        <v>46051</v>
      </c>
      <c r="C3468" s="7">
        <v>2003883669</v>
      </c>
      <c r="D3468" s="20">
        <v>473640</v>
      </c>
      <c r="E3468" s="27" t="s">
        <v>138</v>
      </c>
      <c r="F3468" s="7" t="s">
        <v>107</v>
      </c>
      <c r="G3468" s="7" t="s">
        <v>10</v>
      </c>
      <c r="H3468" s="7" t="s">
        <v>45</v>
      </c>
      <c r="I3468" s="20" t="s">
        <v>4527</v>
      </c>
      <c r="J3468" s="20" t="s">
        <v>4528</v>
      </c>
      <c r="K3468" s="7" t="s">
        <v>119</v>
      </c>
      <c r="L3468" s="61">
        <v>46056</v>
      </c>
      <c r="M3468" s="7" t="s">
        <v>111</v>
      </c>
      <c r="N3468" s="24">
        <v>46057</v>
      </c>
      <c r="O3468" s="58">
        <v>46059</v>
      </c>
      <c r="R3468" s="126">
        <v>46062</v>
      </c>
    </row>
    <row r="3469" spans="2:18" ht="17.25" hidden="1" customHeight="1">
      <c r="B3469" s="23">
        <v>46051</v>
      </c>
      <c r="C3469" s="7">
        <v>2003844694</v>
      </c>
      <c r="D3469" s="20">
        <v>473197</v>
      </c>
      <c r="E3469" s="27" t="s">
        <v>185</v>
      </c>
      <c r="F3469" s="7" t="s">
        <v>107</v>
      </c>
      <c r="G3469" s="7" t="s">
        <v>18</v>
      </c>
      <c r="H3469" s="7" t="s">
        <v>45</v>
      </c>
      <c r="I3469" s="20" t="s">
        <v>1819</v>
      </c>
      <c r="J3469" s="20" t="s">
        <v>4844</v>
      </c>
      <c r="K3469" s="7" t="s">
        <v>119</v>
      </c>
      <c r="L3469" s="61">
        <v>46071</v>
      </c>
      <c r="M3469" s="7" t="s">
        <v>111</v>
      </c>
      <c r="N3469" s="61">
        <v>46072</v>
      </c>
      <c r="O3469" s="58">
        <v>46073</v>
      </c>
      <c r="R3469" s="126">
        <v>46077</v>
      </c>
    </row>
    <row r="3470" spans="2:18" ht="17.25" hidden="1" customHeight="1">
      <c r="B3470" s="23">
        <v>46051</v>
      </c>
      <c r="C3470" s="7">
        <v>2003872543</v>
      </c>
      <c r="D3470" s="20">
        <v>6621709</v>
      </c>
      <c r="E3470" s="27" t="s">
        <v>1245</v>
      </c>
      <c r="F3470" s="7" t="s">
        <v>107</v>
      </c>
      <c r="G3470" s="7" t="s">
        <v>18</v>
      </c>
      <c r="H3470" s="7" t="s">
        <v>45</v>
      </c>
      <c r="I3470" s="20" t="s">
        <v>4845</v>
      </c>
      <c r="J3470" s="20" t="s">
        <v>4846</v>
      </c>
      <c r="K3470" s="7" t="s">
        <v>110</v>
      </c>
      <c r="L3470" s="61">
        <v>46055</v>
      </c>
      <c r="M3470" s="7" t="s">
        <v>111</v>
      </c>
      <c r="N3470" s="24">
        <v>46055</v>
      </c>
      <c r="O3470" s="58">
        <v>46057</v>
      </c>
      <c r="R3470" s="126">
        <v>46062</v>
      </c>
    </row>
    <row r="3471" spans="2:18" ht="17.25" hidden="1" customHeight="1">
      <c r="B3471" s="23">
        <v>46051</v>
      </c>
      <c r="C3471" s="7">
        <v>2003891624</v>
      </c>
      <c r="D3471" s="20">
        <v>6621861</v>
      </c>
      <c r="E3471" s="27" t="s">
        <v>143</v>
      </c>
      <c r="F3471" s="7" t="s">
        <v>113</v>
      </c>
      <c r="G3471" s="7" t="s">
        <v>70</v>
      </c>
      <c r="H3471" s="7" t="s">
        <v>47</v>
      </c>
      <c r="I3471" s="20" t="s">
        <v>4847</v>
      </c>
      <c r="J3471" s="20" t="s">
        <v>4848</v>
      </c>
      <c r="K3471" s="7" t="s">
        <v>160</v>
      </c>
    </row>
    <row r="3472" spans="2:18" ht="17.25" hidden="1" customHeight="1">
      <c r="B3472" s="23">
        <v>46051</v>
      </c>
      <c r="C3472" s="7">
        <v>2003909194</v>
      </c>
      <c r="D3472" s="20">
        <v>6622171</v>
      </c>
      <c r="E3472" s="27" t="s">
        <v>198</v>
      </c>
      <c r="F3472" s="7" t="s">
        <v>107</v>
      </c>
      <c r="G3472" s="7" t="s">
        <v>18</v>
      </c>
      <c r="H3472" s="7" t="s">
        <v>45</v>
      </c>
      <c r="I3472" s="20" t="s">
        <v>4845</v>
      </c>
      <c r="J3472" s="20" t="s">
        <v>4846</v>
      </c>
      <c r="K3472" s="7" t="s">
        <v>110</v>
      </c>
      <c r="L3472" s="61">
        <v>46055</v>
      </c>
      <c r="M3472" s="7" t="s">
        <v>111</v>
      </c>
      <c r="N3472" s="24">
        <v>46055</v>
      </c>
      <c r="O3472" s="24">
        <v>46055</v>
      </c>
      <c r="R3472" s="126">
        <v>46057</v>
      </c>
    </row>
    <row r="3473" spans="2:18" ht="17.25" hidden="1" customHeight="1">
      <c r="B3473" s="23">
        <v>46051</v>
      </c>
      <c r="C3473" s="7">
        <v>2003903175</v>
      </c>
      <c r="D3473" s="20">
        <v>6622178</v>
      </c>
      <c r="E3473" s="27" t="s">
        <v>3389</v>
      </c>
      <c r="F3473" s="7" t="s">
        <v>107</v>
      </c>
      <c r="G3473" s="7" t="s">
        <v>10</v>
      </c>
      <c r="H3473" s="7" t="s">
        <v>45</v>
      </c>
      <c r="I3473" s="20" t="s">
        <v>1966</v>
      </c>
      <c r="J3473" s="20" t="s">
        <v>4849</v>
      </c>
      <c r="K3473" s="7" t="s">
        <v>110</v>
      </c>
      <c r="L3473" s="61">
        <v>46055</v>
      </c>
      <c r="M3473" s="7" t="s">
        <v>111</v>
      </c>
      <c r="N3473" s="24">
        <v>46055</v>
      </c>
      <c r="O3473" s="58">
        <v>46057</v>
      </c>
      <c r="R3473" s="126">
        <v>46062</v>
      </c>
    </row>
    <row r="3474" spans="2:18" ht="17.25" hidden="1" customHeight="1">
      <c r="B3474" s="23">
        <v>46051</v>
      </c>
      <c r="C3474" s="7">
        <v>2003890511</v>
      </c>
      <c r="D3474" s="20">
        <v>6622192</v>
      </c>
      <c r="E3474" s="27" t="s">
        <v>138</v>
      </c>
      <c r="F3474" s="7" t="s">
        <v>107</v>
      </c>
      <c r="G3474" s="7" t="s">
        <v>21</v>
      </c>
      <c r="H3474" s="7" t="s">
        <v>45</v>
      </c>
      <c r="I3474" s="20" t="s">
        <v>716</v>
      </c>
      <c r="J3474" s="20" t="s">
        <v>4584</v>
      </c>
      <c r="K3474" s="7" t="s">
        <v>119</v>
      </c>
      <c r="L3474" s="61">
        <v>46052</v>
      </c>
      <c r="M3474" s="7" t="s">
        <v>111</v>
      </c>
      <c r="N3474" s="24">
        <v>46055</v>
      </c>
      <c r="O3474" s="58">
        <v>46057</v>
      </c>
      <c r="R3474" s="126">
        <v>46057</v>
      </c>
    </row>
    <row r="3475" spans="2:18" ht="17.25" hidden="1" customHeight="1">
      <c r="B3475" s="23">
        <v>46051</v>
      </c>
      <c r="C3475" s="7">
        <v>2003915148</v>
      </c>
      <c r="D3475" s="20">
        <v>6622203</v>
      </c>
      <c r="E3475" s="27" t="s">
        <v>185</v>
      </c>
      <c r="F3475" s="7" t="s">
        <v>107</v>
      </c>
      <c r="G3475" s="7" t="s">
        <v>18</v>
      </c>
      <c r="H3475" s="7" t="s">
        <v>45</v>
      </c>
      <c r="I3475" s="20" t="s">
        <v>4850</v>
      </c>
      <c r="J3475" s="20" t="s">
        <v>4851</v>
      </c>
      <c r="K3475" s="7" t="s">
        <v>110</v>
      </c>
      <c r="L3475" s="61">
        <v>46055</v>
      </c>
      <c r="M3475" s="7" t="s">
        <v>111</v>
      </c>
      <c r="N3475" s="24">
        <v>46055</v>
      </c>
      <c r="O3475" s="58">
        <v>46057</v>
      </c>
      <c r="R3475" s="126">
        <v>46062</v>
      </c>
    </row>
    <row r="3476" spans="2:18" ht="17.25" hidden="1" customHeight="1">
      <c r="B3476" s="23">
        <v>46052</v>
      </c>
      <c r="C3476" s="7">
        <v>2003884839</v>
      </c>
      <c r="D3476" s="20">
        <v>475365</v>
      </c>
      <c r="E3476" s="27" t="s">
        <v>185</v>
      </c>
      <c r="F3476" s="7" t="s">
        <v>107</v>
      </c>
      <c r="G3476" s="7" t="s">
        <v>10</v>
      </c>
      <c r="H3476" s="7" t="s">
        <v>45</v>
      </c>
      <c r="I3476" s="20" t="s">
        <v>4852</v>
      </c>
      <c r="J3476" s="20" t="s">
        <v>4853</v>
      </c>
      <c r="K3476" s="7" t="s">
        <v>119</v>
      </c>
      <c r="L3476" s="61">
        <v>46057</v>
      </c>
      <c r="M3476" s="7" t="s">
        <v>111</v>
      </c>
      <c r="N3476" s="24">
        <v>46058</v>
      </c>
      <c r="O3476" s="58">
        <v>46071</v>
      </c>
      <c r="R3476" s="126">
        <v>46071</v>
      </c>
    </row>
    <row r="3477" spans="2:18" ht="17.25" hidden="1" customHeight="1">
      <c r="B3477" s="23">
        <v>46052</v>
      </c>
      <c r="C3477" s="7">
        <v>2003869117</v>
      </c>
      <c r="D3477" s="20">
        <v>475345</v>
      </c>
      <c r="E3477" s="27" t="s">
        <v>366</v>
      </c>
      <c r="F3477" s="7" t="s">
        <v>107</v>
      </c>
      <c r="G3477" s="7" t="s">
        <v>18</v>
      </c>
      <c r="H3477" s="7" t="s">
        <v>45</v>
      </c>
      <c r="I3477" s="20" t="s">
        <v>1650</v>
      </c>
      <c r="J3477" s="20" t="s">
        <v>4854</v>
      </c>
      <c r="K3477" s="7" t="s">
        <v>110</v>
      </c>
      <c r="L3477" s="61">
        <v>46056</v>
      </c>
      <c r="M3477" s="7" t="s">
        <v>111</v>
      </c>
      <c r="N3477" s="61">
        <v>46056</v>
      </c>
      <c r="O3477" s="58">
        <v>46057</v>
      </c>
      <c r="R3477" s="126">
        <v>46062</v>
      </c>
    </row>
    <row r="3478" spans="2:18" ht="17.25" hidden="1" customHeight="1">
      <c r="B3478" s="23">
        <v>46052</v>
      </c>
      <c r="C3478" s="7">
        <v>2003905525</v>
      </c>
      <c r="D3478" s="20">
        <v>474958</v>
      </c>
      <c r="E3478" s="27" t="s">
        <v>106</v>
      </c>
      <c r="F3478" s="7" t="s">
        <v>107</v>
      </c>
      <c r="G3478" s="7" t="s">
        <v>10</v>
      </c>
      <c r="H3478" s="7" t="s">
        <v>45</v>
      </c>
      <c r="I3478" s="20" t="s">
        <v>1302</v>
      </c>
      <c r="J3478" s="20" t="s">
        <v>1723</v>
      </c>
      <c r="K3478" s="7" t="s">
        <v>119</v>
      </c>
      <c r="L3478" s="61">
        <v>46056</v>
      </c>
      <c r="M3478" s="7" t="s">
        <v>111</v>
      </c>
      <c r="N3478" s="24">
        <v>46057</v>
      </c>
      <c r="O3478" s="58">
        <v>46059</v>
      </c>
      <c r="R3478" s="126">
        <v>46062</v>
      </c>
    </row>
    <row r="3479" spans="2:18" ht="17.25" hidden="1" customHeight="1">
      <c r="B3479" s="23">
        <v>46052</v>
      </c>
      <c r="C3479" s="7">
        <v>2003890938</v>
      </c>
      <c r="D3479" s="20">
        <v>474915</v>
      </c>
      <c r="E3479" s="27" t="s">
        <v>135</v>
      </c>
      <c r="F3479" s="7" t="s">
        <v>107</v>
      </c>
      <c r="G3479" s="7" t="s">
        <v>15</v>
      </c>
      <c r="H3479" s="7" t="s">
        <v>45</v>
      </c>
      <c r="I3479" s="20" t="s">
        <v>385</v>
      </c>
      <c r="J3479" s="20" t="s">
        <v>4855</v>
      </c>
      <c r="K3479" s="7" t="s">
        <v>119</v>
      </c>
      <c r="L3479" s="61">
        <v>46055</v>
      </c>
      <c r="M3479" s="7" t="s">
        <v>111</v>
      </c>
      <c r="N3479" s="61">
        <v>46056</v>
      </c>
      <c r="O3479" s="58">
        <v>46059</v>
      </c>
      <c r="R3479" s="126">
        <v>46062</v>
      </c>
    </row>
    <row r="3480" spans="2:18" ht="17.25" hidden="1" customHeight="1">
      <c r="B3480" s="23">
        <v>46052</v>
      </c>
      <c r="C3480" s="7">
        <v>2003881392</v>
      </c>
      <c r="D3480" s="20">
        <v>474882</v>
      </c>
      <c r="E3480" s="27" t="s">
        <v>486</v>
      </c>
      <c r="F3480" s="7" t="s">
        <v>107</v>
      </c>
      <c r="G3480" s="7" t="s">
        <v>10</v>
      </c>
      <c r="H3480" s="7" t="s">
        <v>45</v>
      </c>
      <c r="I3480" s="20" t="s">
        <v>206</v>
      </c>
      <c r="J3480" s="20" t="s">
        <v>4728</v>
      </c>
      <c r="K3480" s="7" t="s">
        <v>119</v>
      </c>
      <c r="L3480" s="61">
        <v>46055</v>
      </c>
      <c r="M3480" s="7" t="s">
        <v>111</v>
      </c>
      <c r="N3480" s="61">
        <v>46056</v>
      </c>
      <c r="O3480" s="58">
        <v>46057</v>
      </c>
      <c r="R3480" s="126">
        <v>46062</v>
      </c>
    </row>
    <row r="3481" spans="2:18" ht="17.25" hidden="1" customHeight="1">
      <c r="B3481" s="23">
        <v>46052</v>
      </c>
      <c r="C3481" s="7">
        <v>2003897308</v>
      </c>
      <c r="D3481" s="20">
        <v>474674</v>
      </c>
      <c r="E3481" s="27" t="s">
        <v>185</v>
      </c>
      <c r="F3481" s="7" t="s">
        <v>107</v>
      </c>
      <c r="G3481" s="7" t="s">
        <v>18</v>
      </c>
      <c r="H3481" s="7" t="s">
        <v>45</v>
      </c>
      <c r="I3481" s="20" t="s">
        <v>1075</v>
      </c>
      <c r="J3481" s="20" t="s">
        <v>4856</v>
      </c>
      <c r="K3481" s="7" t="s">
        <v>110</v>
      </c>
      <c r="L3481" s="61">
        <v>46056</v>
      </c>
      <c r="M3481" s="7" t="s">
        <v>111</v>
      </c>
      <c r="N3481" s="61">
        <v>46056</v>
      </c>
      <c r="O3481" s="58">
        <v>46059</v>
      </c>
      <c r="R3481" s="126">
        <v>46062</v>
      </c>
    </row>
    <row r="3482" spans="2:18" ht="17.25" hidden="1" customHeight="1">
      <c r="B3482" s="23">
        <v>46052</v>
      </c>
      <c r="C3482" s="7">
        <v>2003886844</v>
      </c>
      <c r="D3482" s="20">
        <v>6622461</v>
      </c>
      <c r="E3482" s="27" t="s">
        <v>4175</v>
      </c>
      <c r="F3482" s="7" t="s">
        <v>107</v>
      </c>
      <c r="G3482" s="7" t="s">
        <v>10</v>
      </c>
      <c r="H3482" s="7" t="s">
        <v>45</v>
      </c>
      <c r="I3482" s="20" t="s">
        <v>4857</v>
      </c>
      <c r="J3482" s="20" t="s">
        <v>4463</v>
      </c>
      <c r="K3482" s="7" t="s">
        <v>111</v>
      </c>
      <c r="L3482" s="61">
        <v>46055</v>
      </c>
      <c r="M3482" s="7" t="s">
        <v>111</v>
      </c>
      <c r="N3482" s="61">
        <v>46055</v>
      </c>
      <c r="O3482" s="61">
        <v>46055</v>
      </c>
      <c r="R3482" s="126">
        <v>46057</v>
      </c>
    </row>
    <row r="3483" spans="2:18" ht="17.25" hidden="1" customHeight="1">
      <c r="B3483" s="23">
        <v>46052</v>
      </c>
      <c r="C3483" s="7">
        <v>2003913774</v>
      </c>
      <c r="D3483" s="20">
        <v>6622736</v>
      </c>
      <c r="E3483" s="27" t="s">
        <v>106</v>
      </c>
      <c r="F3483" s="7" t="s">
        <v>107</v>
      </c>
      <c r="G3483" s="7" t="s">
        <v>10</v>
      </c>
      <c r="H3483" s="7" t="s">
        <v>45</v>
      </c>
      <c r="I3483" s="20" t="s">
        <v>4858</v>
      </c>
      <c r="J3483" s="20" t="s">
        <v>4859</v>
      </c>
      <c r="K3483" s="7" t="s">
        <v>110</v>
      </c>
      <c r="L3483" s="61">
        <v>46055</v>
      </c>
      <c r="M3483" s="7" t="s">
        <v>111</v>
      </c>
      <c r="N3483" s="61">
        <v>46055</v>
      </c>
      <c r="O3483" s="58">
        <v>46057</v>
      </c>
      <c r="R3483" s="126">
        <v>46065</v>
      </c>
    </row>
    <row r="3484" spans="2:18" ht="17.25" hidden="1" customHeight="1">
      <c r="B3484" s="23">
        <v>46052</v>
      </c>
      <c r="C3484" s="7">
        <v>2003909790</v>
      </c>
      <c r="D3484" s="20">
        <v>6623045</v>
      </c>
      <c r="E3484" s="27" t="s">
        <v>191</v>
      </c>
      <c r="F3484" s="7" t="s">
        <v>113</v>
      </c>
      <c r="G3484" s="7" t="s">
        <v>70</v>
      </c>
      <c r="H3484" s="7" t="s">
        <v>47</v>
      </c>
      <c r="I3484" s="20" t="s">
        <v>4860</v>
      </c>
      <c r="J3484" s="20" t="s">
        <v>4861</v>
      </c>
      <c r="K3484" s="7" t="s">
        <v>119</v>
      </c>
      <c r="L3484" s="61">
        <v>46057</v>
      </c>
      <c r="M3484" s="7" t="s">
        <v>111</v>
      </c>
      <c r="N3484" s="24">
        <v>46058</v>
      </c>
      <c r="O3484" s="58">
        <v>46058</v>
      </c>
      <c r="R3484" s="126">
        <v>46058</v>
      </c>
    </row>
    <row r="3485" spans="2:18" ht="17.25" hidden="1" customHeight="1">
      <c r="B3485" s="23">
        <v>46055</v>
      </c>
      <c r="C3485" s="7">
        <v>150064976</v>
      </c>
      <c r="E3485" s="27"/>
      <c r="F3485" s="7" t="s">
        <v>107</v>
      </c>
      <c r="G3485" s="7" t="s">
        <v>18</v>
      </c>
      <c r="H3485" s="7" t="s">
        <v>45</v>
      </c>
      <c r="I3485" s="20" t="s">
        <v>4862</v>
      </c>
      <c r="K3485" s="7" t="s">
        <v>119</v>
      </c>
      <c r="L3485" s="61">
        <v>46056</v>
      </c>
      <c r="M3485" s="7" t="s">
        <v>111</v>
      </c>
      <c r="N3485" s="24">
        <v>46059</v>
      </c>
      <c r="O3485" s="24">
        <v>46059</v>
      </c>
      <c r="R3485" s="126">
        <v>46062</v>
      </c>
    </row>
    <row r="3486" spans="2:18" ht="17.25" hidden="1" customHeight="1">
      <c r="B3486" s="23">
        <v>46055</v>
      </c>
      <c r="C3486" s="7">
        <v>2003903448</v>
      </c>
      <c r="D3486" s="20">
        <v>477602</v>
      </c>
      <c r="E3486" s="27" t="s">
        <v>408</v>
      </c>
      <c r="F3486" s="7" t="s">
        <v>107</v>
      </c>
      <c r="G3486" s="7" t="s">
        <v>10</v>
      </c>
      <c r="H3486" s="7" t="s">
        <v>45</v>
      </c>
      <c r="I3486" s="20" t="s">
        <v>2156</v>
      </c>
      <c r="J3486" s="20" t="s">
        <v>4863</v>
      </c>
      <c r="K3486" s="7" t="s">
        <v>110</v>
      </c>
      <c r="L3486" s="61">
        <v>46057</v>
      </c>
      <c r="M3486" s="7" t="s">
        <v>111</v>
      </c>
      <c r="N3486" s="24">
        <v>46058</v>
      </c>
      <c r="O3486" s="58">
        <v>46059</v>
      </c>
      <c r="R3486" s="126">
        <v>46062</v>
      </c>
    </row>
    <row r="3487" spans="2:18" ht="17.25" hidden="1" customHeight="1">
      <c r="B3487" s="23">
        <v>46055</v>
      </c>
      <c r="C3487" s="7">
        <v>2003916422</v>
      </c>
      <c r="D3487" s="20">
        <v>477478</v>
      </c>
      <c r="E3487" s="27" t="s">
        <v>201</v>
      </c>
      <c r="F3487" s="7" t="s">
        <v>107</v>
      </c>
      <c r="G3487" s="7" t="s">
        <v>10</v>
      </c>
      <c r="H3487" s="7" t="s">
        <v>45</v>
      </c>
      <c r="I3487" s="20" t="s">
        <v>4864</v>
      </c>
      <c r="J3487" s="20" t="s">
        <v>4865</v>
      </c>
      <c r="K3487" s="7" t="s">
        <v>119</v>
      </c>
      <c r="L3487" s="61">
        <v>46057</v>
      </c>
      <c r="M3487" s="7" t="s">
        <v>111</v>
      </c>
      <c r="N3487" s="24">
        <v>46077</v>
      </c>
      <c r="O3487" s="24">
        <v>46077</v>
      </c>
      <c r="R3487" s="126">
        <v>46079</v>
      </c>
    </row>
    <row r="3488" spans="2:18" ht="17.25" hidden="1" customHeight="1">
      <c r="B3488" s="23">
        <v>46055</v>
      </c>
      <c r="C3488" s="7">
        <v>2003888031</v>
      </c>
      <c r="D3488" s="20">
        <v>477507</v>
      </c>
      <c r="E3488" s="27" t="s">
        <v>129</v>
      </c>
      <c r="F3488" s="7" t="s">
        <v>107</v>
      </c>
      <c r="G3488" s="7" t="s">
        <v>18</v>
      </c>
      <c r="H3488" s="7" t="s">
        <v>45</v>
      </c>
      <c r="I3488" s="20" t="s">
        <v>606</v>
      </c>
      <c r="J3488" s="20" t="s">
        <v>4596</v>
      </c>
      <c r="K3488" s="7" t="s">
        <v>110</v>
      </c>
      <c r="L3488" s="61">
        <v>46066</v>
      </c>
      <c r="M3488" s="7" t="s">
        <v>111</v>
      </c>
      <c r="N3488" s="61">
        <v>46066</v>
      </c>
      <c r="O3488" s="58">
        <v>46071</v>
      </c>
      <c r="R3488" s="126">
        <v>46071</v>
      </c>
    </row>
    <row r="3489" spans="2:18" ht="17.25" hidden="1" customHeight="1">
      <c r="B3489" s="23">
        <v>46055</v>
      </c>
      <c r="C3489" s="7">
        <v>2003882090</v>
      </c>
      <c r="D3489" s="20">
        <v>476193</v>
      </c>
      <c r="E3489" s="27" t="s">
        <v>191</v>
      </c>
      <c r="F3489" s="7" t="s">
        <v>107</v>
      </c>
      <c r="G3489" s="7" t="s">
        <v>26</v>
      </c>
      <c r="H3489" s="7" t="s">
        <v>45</v>
      </c>
      <c r="I3489" s="20" t="s">
        <v>1949</v>
      </c>
      <c r="J3489" s="20" t="s">
        <v>4866</v>
      </c>
      <c r="K3489" s="7" t="s">
        <v>119</v>
      </c>
      <c r="L3489" s="61">
        <v>46057</v>
      </c>
      <c r="M3489" s="7" t="s">
        <v>111</v>
      </c>
      <c r="N3489" s="24">
        <v>46062</v>
      </c>
      <c r="O3489" s="58">
        <v>46062</v>
      </c>
      <c r="R3489" s="126">
        <v>46062</v>
      </c>
    </row>
    <row r="3490" spans="2:18" ht="17.25" hidden="1" customHeight="1">
      <c r="B3490" s="23">
        <v>46055</v>
      </c>
      <c r="C3490" s="7">
        <v>2003915759</v>
      </c>
      <c r="D3490" s="20">
        <v>6623198</v>
      </c>
      <c r="E3490" s="27" t="s">
        <v>201</v>
      </c>
      <c r="F3490" s="7" t="s">
        <v>107</v>
      </c>
      <c r="G3490" s="7" t="s">
        <v>18</v>
      </c>
      <c r="H3490" s="7" t="s">
        <v>45</v>
      </c>
      <c r="I3490" s="20" t="s">
        <v>4867</v>
      </c>
      <c r="J3490" s="20" t="s">
        <v>4868</v>
      </c>
      <c r="K3490" s="7" t="s">
        <v>119</v>
      </c>
      <c r="L3490" s="61">
        <v>46057</v>
      </c>
      <c r="M3490" s="7" t="s">
        <v>111</v>
      </c>
      <c r="N3490" s="24">
        <v>46065</v>
      </c>
      <c r="O3490" s="61">
        <v>46066</v>
      </c>
      <c r="R3490" s="126">
        <v>46071</v>
      </c>
    </row>
    <row r="3491" spans="2:18" ht="17.25" hidden="1" customHeight="1">
      <c r="B3491" s="23">
        <v>46055</v>
      </c>
      <c r="C3491" s="7">
        <v>2003905732</v>
      </c>
      <c r="D3491" s="20">
        <v>6623604</v>
      </c>
      <c r="E3491" s="27" t="s">
        <v>143</v>
      </c>
      <c r="F3491" s="7" t="s">
        <v>107</v>
      </c>
      <c r="G3491" s="7" t="s">
        <v>10</v>
      </c>
      <c r="H3491" s="7" t="s">
        <v>45</v>
      </c>
      <c r="I3491" s="20" t="s">
        <v>1005</v>
      </c>
      <c r="J3491" s="20" t="s">
        <v>4743</v>
      </c>
      <c r="K3491" s="7" t="s">
        <v>119</v>
      </c>
      <c r="L3491" s="61">
        <v>46056</v>
      </c>
      <c r="M3491" s="7" t="s">
        <v>111</v>
      </c>
      <c r="N3491" s="24">
        <v>46057</v>
      </c>
      <c r="O3491" s="58">
        <v>46059</v>
      </c>
      <c r="R3491" s="126">
        <v>46062</v>
      </c>
    </row>
    <row r="3492" spans="2:18" ht="17.25" hidden="1" customHeight="1">
      <c r="B3492" s="23">
        <v>46055</v>
      </c>
      <c r="C3492" s="7">
        <v>2003911880</v>
      </c>
      <c r="D3492" s="20">
        <v>6623641</v>
      </c>
      <c r="E3492" s="27" t="s">
        <v>198</v>
      </c>
      <c r="F3492" s="7" t="s">
        <v>107</v>
      </c>
      <c r="G3492" s="7" t="s">
        <v>26</v>
      </c>
      <c r="H3492" s="7" t="s">
        <v>45</v>
      </c>
      <c r="I3492" s="20" t="s">
        <v>4869</v>
      </c>
      <c r="J3492" s="20" t="s">
        <v>4870</v>
      </c>
      <c r="K3492" s="7" t="s">
        <v>119</v>
      </c>
      <c r="L3492" s="61">
        <v>46056</v>
      </c>
      <c r="M3492" s="7" t="s">
        <v>111</v>
      </c>
      <c r="N3492" s="24">
        <v>46062</v>
      </c>
      <c r="O3492" s="58">
        <v>46062</v>
      </c>
      <c r="R3492" s="126">
        <v>46062</v>
      </c>
    </row>
    <row r="3493" spans="2:18" ht="17.25" hidden="1" customHeight="1">
      <c r="B3493" s="23">
        <v>46056</v>
      </c>
      <c r="C3493" s="7">
        <v>2003846503</v>
      </c>
      <c r="D3493" s="20">
        <v>479567</v>
      </c>
      <c r="E3493" s="27" t="s">
        <v>191</v>
      </c>
      <c r="F3493" s="7" t="s">
        <v>107</v>
      </c>
      <c r="G3493" s="7" t="s">
        <v>18</v>
      </c>
      <c r="H3493" s="7" t="s">
        <v>45</v>
      </c>
      <c r="I3493" s="20" t="s">
        <v>4408</v>
      </c>
      <c r="J3493" s="20" t="s">
        <v>4409</v>
      </c>
      <c r="K3493" s="7" t="s">
        <v>110</v>
      </c>
      <c r="L3493" s="61">
        <v>46058</v>
      </c>
      <c r="M3493" s="7" t="s">
        <v>111</v>
      </c>
      <c r="N3493" s="24">
        <v>46059</v>
      </c>
      <c r="O3493" s="24">
        <v>46059</v>
      </c>
      <c r="R3493" s="126">
        <v>46062</v>
      </c>
    </row>
    <row r="3494" spans="2:18" ht="17.25" hidden="1" customHeight="1">
      <c r="B3494" s="23">
        <v>46056</v>
      </c>
      <c r="C3494" s="7">
        <v>2003918417</v>
      </c>
      <c r="D3494" s="20">
        <v>479563</v>
      </c>
      <c r="E3494" s="27" t="s">
        <v>185</v>
      </c>
      <c r="F3494" s="7" t="s">
        <v>107</v>
      </c>
      <c r="G3494" s="7" t="s">
        <v>18</v>
      </c>
      <c r="H3494" s="7" t="s">
        <v>45</v>
      </c>
      <c r="I3494" s="20" t="s">
        <v>833</v>
      </c>
      <c r="J3494" s="20" t="s">
        <v>4871</v>
      </c>
      <c r="K3494" s="7" t="s">
        <v>110</v>
      </c>
      <c r="L3494" s="61">
        <v>46064</v>
      </c>
      <c r="M3494" s="7" t="s">
        <v>111</v>
      </c>
      <c r="N3494" s="61">
        <v>46065</v>
      </c>
      <c r="O3494" s="58">
        <v>46071</v>
      </c>
      <c r="R3494" s="126">
        <v>46071</v>
      </c>
    </row>
    <row r="3495" spans="2:18" ht="17.25" hidden="1" customHeight="1">
      <c r="B3495" s="23">
        <v>46056</v>
      </c>
      <c r="C3495" s="7">
        <v>2003917285</v>
      </c>
      <c r="D3495" s="20">
        <v>479614</v>
      </c>
      <c r="E3495" s="27" t="s">
        <v>149</v>
      </c>
      <c r="F3495" s="7" t="s">
        <v>107</v>
      </c>
      <c r="G3495" s="7" t="s">
        <v>10</v>
      </c>
      <c r="H3495" s="7" t="s">
        <v>45</v>
      </c>
      <c r="I3495" s="20" t="s">
        <v>4872</v>
      </c>
      <c r="J3495" s="20" t="s">
        <v>4873</v>
      </c>
      <c r="K3495" s="7" t="s">
        <v>110</v>
      </c>
      <c r="L3495" s="61">
        <v>46059</v>
      </c>
      <c r="M3495" s="7" t="s">
        <v>111</v>
      </c>
      <c r="N3495" s="24">
        <v>46063</v>
      </c>
      <c r="O3495" s="24">
        <v>46064</v>
      </c>
      <c r="R3495" s="126">
        <v>46065</v>
      </c>
    </row>
    <row r="3496" spans="2:18" ht="17.25" hidden="1" customHeight="1">
      <c r="B3496" s="23">
        <v>46056</v>
      </c>
      <c r="C3496" s="7">
        <v>2003907647</v>
      </c>
      <c r="D3496" s="20">
        <v>479416</v>
      </c>
      <c r="E3496" s="27" t="s">
        <v>152</v>
      </c>
      <c r="F3496" s="7" t="s">
        <v>107</v>
      </c>
      <c r="G3496" s="7" t="s">
        <v>18</v>
      </c>
      <c r="H3496" s="7" t="s">
        <v>45</v>
      </c>
      <c r="I3496" s="20" t="s">
        <v>288</v>
      </c>
      <c r="J3496" s="20" t="s">
        <v>4553</v>
      </c>
      <c r="K3496" s="7" t="s">
        <v>110</v>
      </c>
      <c r="L3496" s="61">
        <v>46058</v>
      </c>
      <c r="M3496" s="7" t="s">
        <v>111</v>
      </c>
      <c r="N3496" s="24">
        <v>46059</v>
      </c>
      <c r="O3496" s="24">
        <v>46059</v>
      </c>
      <c r="R3496" s="126">
        <v>46062</v>
      </c>
    </row>
    <row r="3497" spans="2:18" ht="17.25" hidden="1" customHeight="1">
      <c r="B3497" s="23">
        <v>46056</v>
      </c>
      <c r="C3497" s="7">
        <v>2003903438</v>
      </c>
      <c r="D3497" s="20">
        <v>479122</v>
      </c>
      <c r="E3497" s="27" t="s">
        <v>180</v>
      </c>
      <c r="F3497" s="7" t="s">
        <v>107</v>
      </c>
      <c r="G3497" s="7" t="s">
        <v>26</v>
      </c>
      <c r="H3497" s="7" t="s">
        <v>45</v>
      </c>
      <c r="I3497" s="20" t="s">
        <v>4874</v>
      </c>
      <c r="J3497" s="20" t="s">
        <v>4875</v>
      </c>
      <c r="K3497" s="7" t="s">
        <v>111</v>
      </c>
      <c r="L3497" s="61">
        <v>46071</v>
      </c>
      <c r="M3497" s="7" t="s">
        <v>111</v>
      </c>
      <c r="N3497" s="24">
        <v>46077</v>
      </c>
      <c r="O3497" s="58">
        <v>46077</v>
      </c>
      <c r="R3497" s="126">
        <v>46077</v>
      </c>
    </row>
    <row r="3498" spans="2:18" ht="17.25" hidden="1" customHeight="1">
      <c r="B3498" s="23">
        <v>46056</v>
      </c>
      <c r="C3498" s="7">
        <v>2003866849</v>
      </c>
      <c r="D3498" s="20">
        <v>479009</v>
      </c>
      <c r="E3498" s="27" t="s">
        <v>129</v>
      </c>
      <c r="F3498" s="7" t="s">
        <v>107</v>
      </c>
      <c r="G3498" s="7" t="s">
        <v>10</v>
      </c>
      <c r="H3498" s="7" t="s">
        <v>45</v>
      </c>
      <c r="I3498" s="20" t="s">
        <v>4876</v>
      </c>
      <c r="J3498" s="20" t="s">
        <v>1493</v>
      </c>
      <c r="K3498" s="7" t="s">
        <v>110</v>
      </c>
      <c r="L3498" s="61">
        <v>46059</v>
      </c>
      <c r="M3498" s="7" t="s">
        <v>111</v>
      </c>
      <c r="N3498" s="24">
        <v>46063</v>
      </c>
      <c r="O3498" s="24">
        <v>46064</v>
      </c>
      <c r="R3498" s="126">
        <v>46065</v>
      </c>
    </row>
    <row r="3499" spans="2:18" ht="17.25" hidden="1" customHeight="1">
      <c r="B3499" s="23">
        <v>46056</v>
      </c>
      <c r="C3499" s="7">
        <v>2003916271</v>
      </c>
      <c r="D3499" s="20">
        <v>478886</v>
      </c>
      <c r="E3499" s="27" t="s">
        <v>126</v>
      </c>
      <c r="F3499" s="7" t="s">
        <v>107</v>
      </c>
      <c r="G3499" s="7" t="s">
        <v>18</v>
      </c>
      <c r="H3499" s="7" t="s">
        <v>45</v>
      </c>
      <c r="I3499" s="20" t="s">
        <v>4877</v>
      </c>
      <c r="J3499" s="20" t="s">
        <v>4878</v>
      </c>
      <c r="K3499" s="7" t="s">
        <v>110</v>
      </c>
      <c r="L3499" s="61">
        <v>46063</v>
      </c>
      <c r="M3499" s="7" t="s">
        <v>111</v>
      </c>
      <c r="N3499" s="61">
        <v>46063</v>
      </c>
      <c r="O3499" s="61">
        <v>46063</v>
      </c>
      <c r="R3499" s="126">
        <v>46065</v>
      </c>
    </row>
    <row r="3500" spans="2:18" ht="17.25" hidden="1" customHeight="1">
      <c r="B3500" s="23">
        <v>46056</v>
      </c>
      <c r="C3500" s="7">
        <v>2003917591</v>
      </c>
      <c r="D3500" s="20">
        <v>478882</v>
      </c>
      <c r="E3500" s="27" t="s">
        <v>1225</v>
      </c>
      <c r="F3500" s="7" t="s">
        <v>107</v>
      </c>
      <c r="G3500" s="7" t="s">
        <v>10</v>
      </c>
      <c r="H3500" s="7" t="s">
        <v>45</v>
      </c>
      <c r="I3500" s="20" t="s">
        <v>957</v>
      </c>
      <c r="J3500" s="20" t="s">
        <v>4879</v>
      </c>
      <c r="K3500" s="7" t="s">
        <v>119</v>
      </c>
      <c r="L3500" s="61">
        <v>46072</v>
      </c>
      <c r="M3500" s="7" t="s">
        <v>111</v>
      </c>
      <c r="N3500" s="24">
        <v>46076</v>
      </c>
      <c r="O3500" s="24">
        <v>46076</v>
      </c>
      <c r="R3500" s="126">
        <v>46077</v>
      </c>
    </row>
    <row r="3501" spans="2:18" ht="17.25" hidden="1" customHeight="1">
      <c r="B3501" s="23">
        <v>46056</v>
      </c>
      <c r="C3501" s="7">
        <v>2003917112</v>
      </c>
      <c r="D3501" s="20">
        <v>478872</v>
      </c>
      <c r="E3501" s="27" t="s">
        <v>185</v>
      </c>
      <c r="F3501" s="7" t="s">
        <v>107</v>
      </c>
      <c r="G3501" s="7" t="s">
        <v>10</v>
      </c>
      <c r="H3501" s="7" t="s">
        <v>45</v>
      </c>
      <c r="I3501" s="20" t="s">
        <v>4880</v>
      </c>
      <c r="J3501" s="20" t="s">
        <v>4881</v>
      </c>
      <c r="K3501" s="7" t="s">
        <v>110</v>
      </c>
      <c r="L3501" s="61">
        <v>46059</v>
      </c>
      <c r="M3501" s="7" t="s">
        <v>111</v>
      </c>
      <c r="N3501" s="24">
        <v>46065</v>
      </c>
      <c r="O3501" s="24">
        <v>46065</v>
      </c>
      <c r="R3501" s="126">
        <v>46065</v>
      </c>
    </row>
    <row r="3502" spans="2:18" ht="17.25" hidden="1" customHeight="1">
      <c r="B3502" s="23">
        <v>46056</v>
      </c>
      <c r="C3502" s="7">
        <v>2003892711</v>
      </c>
      <c r="D3502" s="20">
        <v>478410</v>
      </c>
      <c r="E3502" s="27" t="s">
        <v>116</v>
      </c>
      <c r="F3502" s="7" t="s">
        <v>107</v>
      </c>
      <c r="G3502" s="7" t="s">
        <v>10</v>
      </c>
      <c r="H3502" s="7" t="s">
        <v>45</v>
      </c>
      <c r="I3502" s="20" t="s">
        <v>4882</v>
      </c>
      <c r="J3502" s="20" t="s">
        <v>436</v>
      </c>
      <c r="K3502" s="7" t="s">
        <v>119</v>
      </c>
      <c r="L3502" s="61">
        <v>46058</v>
      </c>
      <c r="M3502" s="7" t="s">
        <v>111</v>
      </c>
      <c r="N3502" s="24">
        <v>46062</v>
      </c>
      <c r="O3502" s="24">
        <v>46064</v>
      </c>
      <c r="R3502" s="126">
        <v>46065</v>
      </c>
    </row>
    <row r="3503" spans="2:18" ht="17.25" hidden="1" customHeight="1">
      <c r="B3503" s="23">
        <v>46056</v>
      </c>
      <c r="C3503" s="7">
        <v>2003918636</v>
      </c>
      <c r="D3503" s="20">
        <v>6624022</v>
      </c>
      <c r="E3503" s="27" t="s">
        <v>408</v>
      </c>
      <c r="F3503" s="7" t="s">
        <v>107</v>
      </c>
      <c r="G3503" s="7" t="s">
        <v>10</v>
      </c>
      <c r="H3503" s="7" t="s">
        <v>45</v>
      </c>
      <c r="I3503" s="20" t="s">
        <v>4857</v>
      </c>
      <c r="J3503" s="20" t="s">
        <v>4463</v>
      </c>
      <c r="K3503" s="7" t="s">
        <v>110</v>
      </c>
      <c r="L3503" s="61">
        <v>46059</v>
      </c>
      <c r="M3503" s="7" t="s">
        <v>111</v>
      </c>
      <c r="N3503" s="61">
        <v>46059</v>
      </c>
      <c r="O3503" s="61">
        <v>46059</v>
      </c>
      <c r="R3503" s="126">
        <v>46062</v>
      </c>
    </row>
    <row r="3504" spans="2:18" ht="17.25" hidden="1" customHeight="1">
      <c r="B3504" s="23">
        <v>46056</v>
      </c>
      <c r="C3504" s="7">
        <v>2003868303</v>
      </c>
      <c r="D3504" s="20">
        <v>6624048</v>
      </c>
      <c r="E3504" s="27" t="s">
        <v>1225</v>
      </c>
      <c r="F3504" s="7" t="s">
        <v>107</v>
      </c>
      <c r="G3504" s="7" t="s">
        <v>10</v>
      </c>
      <c r="H3504" s="7" t="s">
        <v>45</v>
      </c>
      <c r="I3504" s="20" t="s">
        <v>4735</v>
      </c>
      <c r="J3504" s="20" t="s">
        <v>4883</v>
      </c>
      <c r="K3504" s="7" t="s">
        <v>119</v>
      </c>
      <c r="L3504" s="61">
        <v>46058</v>
      </c>
      <c r="M3504" s="7" t="s">
        <v>111</v>
      </c>
      <c r="N3504" s="24">
        <v>46059</v>
      </c>
      <c r="O3504" s="58">
        <v>46062</v>
      </c>
      <c r="R3504" s="126">
        <v>46062</v>
      </c>
    </row>
    <row r="3505" spans="2:18" ht="17.25" hidden="1" customHeight="1">
      <c r="B3505" s="23">
        <v>46056</v>
      </c>
      <c r="C3505" s="7">
        <v>2003902615</v>
      </c>
      <c r="D3505" s="20">
        <v>6624170</v>
      </c>
      <c r="E3505" s="27" t="s">
        <v>265</v>
      </c>
      <c r="F3505" s="7" t="s">
        <v>107</v>
      </c>
      <c r="G3505" s="7" t="s">
        <v>15</v>
      </c>
      <c r="H3505" s="7" t="s">
        <v>45</v>
      </c>
      <c r="I3505" s="20" t="s">
        <v>4884</v>
      </c>
      <c r="J3505" s="20" t="s">
        <v>4885</v>
      </c>
      <c r="K3505" s="7" t="s">
        <v>110</v>
      </c>
      <c r="L3505" s="61">
        <v>46059</v>
      </c>
      <c r="M3505" s="7" t="s">
        <v>111</v>
      </c>
      <c r="N3505" s="61">
        <v>46059</v>
      </c>
      <c r="O3505" s="61">
        <v>46059</v>
      </c>
      <c r="R3505" s="126">
        <v>46062</v>
      </c>
    </row>
    <row r="3506" spans="2:18" ht="17.25" hidden="1" customHeight="1">
      <c r="B3506" s="23">
        <v>46056</v>
      </c>
      <c r="C3506" s="7">
        <v>2003855809</v>
      </c>
      <c r="D3506" s="20">
        <v>6624349</v>
      </c>
      <c r="E3506" s="27" t="s">
        <v>149</v>
      </c>
      <c r="F3506" s="7" t="s">
        <v>107</v>
      </c>
      <c r="G3506" s="7" t="s">
        <v>21</v>
      </c>
      <c r="H3506" s="7" t="s">
        <v>45</v>
      </c>
      <c r="I3506" s="20" t="s">
        <v>4886</v>
      </c>
      <c r="J3506" s="20" t="s">
        <v>4425</v>
      </c>
      <c r="K3506" s="7" t="s">
        <v>110</v>
      </c>
      <c r="L3506" s="61">
        <v>46057</v>
      </c>
      <c r="M3506" s="7" t="s">
        <v>111</v>
      </c>
      <c r="N3506" s="61">
        <v>46058</v>
      </c>
      <c r="O3506" s="61">
        <v>46058</v>
      </c>
      <c r="R3506" s="126">
        <v>46062</v>
      </c>
    </row>
    <row r="3507" spans="2:18" ht="17.25" hidden="1" customHeight="1">
      <c r="B3507" s="23">
        <v>46057</v>
      </c>
      <c r="C3507" s="7">
        <v>2003919682</v>
      </c>
      <c r="D3507" s="20">
        <v>481303</v>
      </c>
      <c r="E3507" s="27" t="s">
        <v>408</v>
      </c>
      <c r="F3507" s="7" t="s">
        <v>107</v>
      </c>
      <c r="G3507" s="7" t="s">
        <v>10</v>
      </c>
      <c r="H3507" s="7" t="s">
        <v>45</v>
      </c>
      <c r="I3507" s="20" t="s">
        <v>925</v>
      </c>
      <c r="J3507" s="20" t="s">
        <v>4887</v>
      </c>
      <c r="K3507" s="7" t="s">
        <v>110</v>
      </c>
      <c r="L3507" s="61">
        <v>46062</v>
      </c>
      <c r="M3507" s="7" t="s">
        <v>111</v>
      </c>
      <c r="N3507" s="24">
        <v>46063</v>
      </c>
      <c r="O3507" s="24">
        <v>46064</v>
      </c>
      <c r="R3507" s="126">
        <v>46065</v>
      </c>
    </row>
    <row r="3508" spans="2:18" ht="17.25" hidden="1" customHeight="1">
      <c r="B3508" s="23">
        <v>46057</v>
      </c>
      <c r="C3508" s="7">
        <v>2003914407</v>
      </c>
      <c r="D3508" s="20">
        <v>481163</v>
      </c>
      <c r="E3508" s="27" t="s">
        <v>129</v>
      </c>
      <c r="F3508" s="7" t="s">
        <v>107</v>
      </c>
      <c r="G3508" s="7" t="s">
        <v>26</v>
      </c>
      <c r="H3508" s="7" t="s">
        <v>45</v>
      </c>
      <c r="I3508" s="20" t="s">
        <v>4888</v>
      </c>
      <c r="J3508" s="20" t="s">
        <v>4875</v>
      </c>
      <c r="K3508" s="7" t="s">
        <v>111</v>
      </c>
      <c r="L3508" s="61">
        <v>46071</v>
      </c>
      <c r="M3508" s="7" t="s">
        <v>111</v>
      </c>
      <c r="N3508" s="24">
        <v>46077</v>
      </c>
      <c r="O3508" s="58">
        <v>46077</v>
      </c>
      <c r="R3508" s="126">
        <v>46077</v>
      </c>
    </row>
    <row r="3509" spans="2:18" ht="17.25" hidden="1" customHeight="1">
      <c r="B3509" s="23">
        <v>46057</v>
      </c>
      <c r="C3509" s="7">
        <v>2003674559</v>
      </c>
      <c r="D3509" s="20">
        <v>480899</v>
      </c>
      <c r="E3509" s="27" t="s">
        <v>123</v>
      </c>
      <c r="F3509" s="7" t="s">
        <v>107</v>
      </c>
      <c r="G3509" s="7" t="s">
        <v>18</v>
      </c>
      <c r="H3509" s="7" t="s">
        <v>45</v>
      </c>
      <c r="I3509" s="20" t="s">
        <v>2727</v>
      </c>
      <c r="J3509" s="20" t="s">
        <v>2728</v>
      </c>
      <c r="K3509" s="7" t="s">
        <v>110</v>
      </c>
      <c r="L3509" s="61">
        <v>46063</v>
      </c>
      <c r="M3509" s="7" t="s">
        <v>111</v>
      </c>
      <c r="N3509" s="61">
        <v>46063</v>
      </c>
      <c r="O3509" s="58">
        <v>46066</v>
      </c>
      <c r="R3509" s="126">
        <v>46071</v>
      </c>
    </row>
    <row r="3510" spans="2:18" ht="17.25" hidden="1" customHeight="1">
      <c r="B3510" s="23">
        <v>46057</v>
      </c>
      <c r="C3510" s="7">
        <v>2003917197</v>
      </c>
      <c r="D3510" s="20">
        <v>480800</v>
      </c>
      <c r="E3510" s="27" t="s">
        <v>180</v>
      </c>
      <c r="F3510" s="7" t="s">
        <v>107</v>
      </c>
      <c r="G3510" s="7" t="s">
        <v>18</v>
      </c>
      <c r="H3510" s="7" t="s">
        <v>45</v>
      </c>
      <c r="I3510" s="20" t="s">
        <v>4889</v>
      </c>
      <c r="J3510" s="20" t="s">
        <v>4890</v>
      </c>
      <c r="K3510" s="7" t="s">
        <v>119</v>
      </c>
      <c r="L3510" s="61">
        <v>46072</v>
      </c>
      <c r="M3510" s="7" t="s">
        <v>111</v>
      </c>
      <c r="N3510" s="61">
        <v>46073</v>
      </c>
      <c r="O3510" s="58">
        <v>46076</v>
      </c>
      <c r="R3510" s="126">
        <v>46077</v>
      </c>
    </row>
    <row r="3511" spans="2:18" ht="17.25" hidden="1" customHeight="1">
      <c r="B3511" s="23">
        <v>46057</v>
      </c>
      <c r="C3511" s="7">
        <v>2003919119</v>
      </c>
      <c r="D3511" s="20">
        <v>480783</v>
      </c>
      <c r="E3511" s="27" t="s">
        <v>622</v>
      </c>
      <c r="F3511" s="7" t="s">
        <v>107</v>
      </c>
      <c r="G3511" s="7" t="s">
        <v>10</v>
      </c>
      <c r="H3511" s="7" t="s">
        <v>45</v>
      </c>
      <c r="I3511" s="20" t="s">
        <v>4891</v>
      </c>
      <c r="J3511" s="20" t="s">
        <v>4892</v>
      </c>
      <c r="K3511" s="7" t="s">
        <v>119</v>
      </c>
      <c r="L3511" s="61">
        <v>46062</v>
      </c>
      <c r="M3511" s="7" t="s">
        <v>111</v>
      </c>
      <c r="N3511" s="24">
        <v>46063</v>
      </c>
      <c r="O3511" s="24">
        <v>46064</v>
      </c>
      <c r="R3511" s="126">
        <v>46065</v>
      </c>
    </row>
    <row r="3512" spans="2:18" ht="17.25" hidden="1" customHeight="1">
      <c r="B3512" s="23">
        <v>46057</v>
      </c>
      <c r="C3512" s="7">
        <v>2003909100</v>
      </c>
      <c r="D3512" s="20">
        <v>480781</v>
      </c>
      <c r="E3512" s="27" t="s">
        <v>1225</v>
      </c>
      <c r="F3512" s="7" t="s">
        <v>107</v>
      </c>
      <c r="G3512" s="7" t="s">
        <v>18</v>
      </c>
      <c r="H3512" s="7" t="s">
        <v>45</v>
      </c>
      <c r="I3512" s="20" t="s">
        <v>4893</v>
      </c>
      <c r="J3512" s="20" t="s">
        <v>4894</v>
      </c>
      <c r="K3512" s="7" t="s">
        <v>119</v>
      </c>
      <c r="L3512" s="61">
        <v>46062</v>
      </c>
      <c r="M3512" s="7" t="s">
        <v>111</v>
      </c>
      <c r="N3512" s="24">
        <v>46063</v>
      </c>
      <c r="O3512" s="24">
        <v>46064</v>
      </c>
      <c r="R3512" s="126">
        <v>46065</v>
      </c>
    </row>
    <row r="3513" spans="2:18" ht="17.25" hidden="1" customHeight="1">
      <c r="B3513" s="23">
        <v>46057</v>
      </c>
      <c r="C3513" s="7">
        <v>2003878171</v>
      </c>
      <c r="D3513" s="20">
        <v>480144</v>
      </c>
      <c r="E3513" s="27" t="s">
        <v>366</v>
      </c>
      <c r="F3513" s="7" t="s">
        <v>107</v>
      </c>
      <c r="G3513" s="7" t="s">
        <v>15</v>
      </c>
      <c r="H3513" s="7" t="s">
        <v>45</v>
      </c>
      <c r="I3513" s="20" t="s">
        <v>4895</v>
      </c>
      <c r="J3513" s="20" t="s">
        <v>4896</v>
      </c>
      <c r="K3513" s="7" t="s">
        <v>119</v>
      </c>
      <c r="L3513" s="61">
        <v>46058</v>
      </c>
      <c r="M3513" s="7" t="s">
        <v>111</v>
      </c>
      <c r="N3513" s="24">
        <v>46062</v>
      </c>
      <c r="O3513" s="24">
        <v>46064</v>
      </c>
      <c r="R3513" s="126">
        <v>46065</v>
      </c>
    </row>
    <row r="3514" spans="2:18" ht="17.25" hidden="1" customHeight="1">
      <c r="B3514" s="23">
        <v>46057</v>
      </c>
      <c r="C3514" s="7">
        <v>2003663024</v>
      </c>
      <c r="D3514" s="20">
        <v>6624605</v>
      </c>
      <c r="E3514" s="27" t="s">
        <v>1225</v>
      </c>
      <c r="F3514" s="7" t="s">
        <v>107</v>
      </c>
      <c r="G3514" s="7" t="s">
        <v>166</v>
      </c>
      <c r="H3514" s="7" t="s">
        <v>45</v>
      </c>
      <c r="I3514" s="20" t="s">
        <v>108</v>
      </c>
      <c r="J3514" s="20" t="s">
        <v>4526</v>
      </c>
      <c r="K3514" s="7" t="s">
        <v>110</v>
      </c>
      <c r="L3514" s="61">
        <v>46058</v>
      </c>
      <c r="M3514" s="7" t="s">
        <v>111</v>
      </c>
      <c r="N3514" s="61">
        <v>46058</v>
      </c>
      <c r="O3514" s="61">
        <v>46058</v>
      </c>
      <c r="R3514" s="126">
        <v>46062</v>
      </c>
    </row>
    <row r="3515" spans="2:18" ht="17.25" hidden="1" customHeight="1">
      <c r="B3515" s="23">
        <v>46057</v>
      </c>
      <c r="C3515" s="7">
        <v>2003914760</v>
      </c>
      <c r="D3515" s="20">
        <v>6624713</v>
      </c>
      <c r="E3515" s="27" t="s">
        <v>126</v>
      </c>
      <c r="F3515" s="7" t="s">
        <v>107</v>
      </c>
      <c r="G3515" s="7" t="s">
        <v>18</v>
      </c>
      <c r="H3515" s="7" t="s">
        <v>45</v>
      </c>
      <c r="I3515" s="20" t="s">
        <v>4897</v>
      </c>
      <c r="J3515" s="20" t="s">
        <v>4898</v>
      </c>
      <c r="K3515" s="7" t="s">
        <v>110</v>
      </c>
      <c r="L3515" s="61">
        <v>46059</v>
      </c>
      <c r="M3515" s="7" t="s">
        <v>111</v>
      </c>
      <c r="N3515" s="24">
        <v>46079</v>
      </c>
      <c r="O3515" s="24">
        <v>46079</v>
      </c>
      <c r="R3515" s="126">
        <v>46079</v>
      </c>
    </row>
    <row r="3516" spans="2:18" ht="17.25" hidden="1" customHeight="1">
      <c r="B3516" s="23">
        <v>46057</v>
      </c>
      <c r="C3516" s="7">
        <v>2003856251</v>
      </c>
      <c r="D3516" s="20">
        <v>6624777</v>
      </c>
      <c r="E3516" s="27" t="s">
        <v>149</v>
      </c>
      <c r="F3516" s="7" t="s">
        <v>107</v>
      </c>
      <c r="G3516" s="7" t="s">
        <v>10</v>
      </c>
      <c r="H3516" s="7" t="s">
        <v>45</v>
      </c>
      <c r="I3516" s="20" t="s">
        <v>4899</v>
      </c>
      <c r="J3516" s="20" t="s">
        <v>4900</v>
      </c>
      <c r="K3516" s="7" t="s">
        <v>119</v>
      </c>
      <c r="L3516" s="61">
        <v>46065</v>
      </c>
      <c r="M3516" s="7" t="s">
        <v>111</v>
      </c>
      <c r="N3516" s="24">
        <v>46066</v>
      </c>
      <c r="O3516" s="24">
        <v>46066</v>
      </c>
      <c r="R3516" s="126">
        <v>46071</v>
      </c>
    </row>
    <row r="3517" spans="2:18" ht="17.25" hidden="1" customHeight="1">
      <c r="B3517" s="23">
        <v>46057</v>
      </c>
      <c r="C3517" s="7">
        <v>2003918748</v>
      </c>
      <c r="D3517" s="20">
        <v>6624783</v>
      </c>
      <c r="E3517" s="27" t="s">
        <v>149</v>
      </c>
      <c r="F3517" s="7" t="s">
        <v>107</v>
      </c>
      <c r="G3517" s="7" t="s">
        <v>10</v>
      </c>
      <c r="H3517" s="7" t="s">
        <v>45</v>
      </c>
      <c r="I3517" s="20" t="s">
        <v>981</v>
      </c>
      <c r="J3517" s="20" t="s">
        <v>628</v>
      </c>
      <c r="K3517" s="7" t="s">
        <v>119</v>
      </c>
      <c r="L3517" s="61">
        <v>46058</v>
      </c>
      <c r="M3517" s="7" t="s">
        <v>111</v>
      </c>
      <c r="N3517" s="24">
        <v>46059</v>
      </c>
      <c r="O3517" s="58">
        <v>46063</v>
      </c>
      <c r="R3517" s="126">
        <v>46065</v>
      </c>
    </row>
    <row r="3518" spans="2:18" ht="17.25" hidden="1" customHeight="1">
      <c r="B3518" s="23">
        <v>46057</v>
      </c>
      <c r="C3518" s="7">
        <v>2003902339</v>
      </c>
      <c r="D3518" s="20">
        <v>6624791</v>
      </c>
      <c r="E3518" s="27" t="s">
        <v>198</v>
      </c>
      <c r="F3518" s="7" t="s">
        <v>107</v>
      </c>
      <c r="G3518" s="7" t="s">
        <v>18</v>
      </c>
      <c r="H3518" s="7" t="s">
        <v>45</v>
      </c>
      <c r="I3518" s="20" t="s">
        <v>4901</v>
      </c>
      <c r="J3518" s="20" t="s">
        <v>4902</v>
      </c>
      <c r="K3518" s="7" t="s">
        <v>146</v>
      </c>
      <c r="L3518" s="61">
        <v>46057</v>
      </c>
      <c r="M3518" s="7" t="s">
        <v>146</v>
      </c>
      <c r="N3518" s="24">
        <v>46059</v>
      </c>
      <c r="O3518" s="58">
        <v>46059</v>
      </c>
      <c r="R3518" s="126">
        <v>46062</v>
      </c>
    </row>
    <row r="3519" spans="2:18" ht="17.25" hidden="1" customHeight="1">
      <c r="B3519" s="23">
        <v>46057</v>
      </c>
      <c r="C3519" s="7">
        <v>2003919182</v>
      </c>
      <c r="D3519" s="20">
        <v>6625046</v>
      </c>
      <c r="E3519" s="27" t="s">
        <v>1225</v>
      </c>
      <c r="F3519" s="7" t="s">
        <v>107</v>
      </c>
      <c r="G3519" s="7" t="s">
        <v>26</v>
      </c>
      <c r="H3519" s="7" t="s">
        <v>45</v>
      </c>
      <c r="I3519" s="232" t="s">
        <v>4903</v>
      </c>
      <c r="J3519" s="20" t="s">
        <v>4904</v>
      </c>
      <c r="K3519" s="7" t="s">
        <v>119</v>
      </c>
      <c r="L3519" s="61">
        <v>46064</v>
      </c>
      <c r="M3519" s="7" t="s">
        <v>111</v>
      </c>
      <c r="N3519" s="24">
        <v>46065</v>
      </c>
      <c r="O3519" s="58">
        <v>46065</v>
      </c>
      <c r="R3519" s="126">
        <v>46065</v>
      </c>
    </row>
    <row r="3520" spans="2:18" ht="17.25" hidden="1" customHeight="1">
      <c r="B3520" s="23">
        <v>46058</v>
      </c>
      <c r="C3520" s="7">
        <v>2003823907</v>
      </c>
      <c r="D3520" s="20">
        <v>482187</v>
      </c>
      <c r="E3520" s="27" t="s">
        <v>1225</v>
      </c>
      <c r="F3520" s="7" t="s">
        <v>107</v>
      </c>
      <c r="G3520" s="7" t="s">
        <v>21</v>
      </c>
      <c r="H3520" s="7" t="s">
        <v>45</v>
      </c>
      <c r="I3520" s="20" t="s">
        <v>4905</v>
      </c>
      <c r="J3520" s="20" t="s">
        <v>4285</v>
      </c>
      <c r="K3520" s="7" t="s">
        <v>119</v>
      </c>
      <c r="L3520" s="61">
        <v>46084</v>
      </c>
      <c r="M3520" s="7" t="s">
        <v>111</v>
      </c>
      <c r="N3520" s="24">
        <v>46085</v>
      </c>
      <c r="O3520" s="24">
        <v>46085</v>
      </c>
      <c r="R3520" s="126">
        <v>46085</v>
      </c>
    </row>
    <row r="3521" spans="2:18" ht="17.25" hidden="1" customHeight="1">
      <c r="B3521" s="23">
        <v>46058</v>
      </c>
      <c r="C3521" s="7">
        <v>2003888191</v>
      </c>
      <c r="D3521" s="20">
        <v>482140</v>
      </c>
      <c r="E3521" s="27" t="s">
        <v>622</v>
      </c>
      <c r="F3521" s="7" t="s">
        <v>107</v>
      </c>
      <c r="G3521" s="7" t="s">
        <v>10</v>
      </c>
      <c r="H3521" s="7" t="s">
        <v>45</v>
      </c>
      <c r="I3521" s="20" t="s">
        <v>4906</v>
      </c>
      <c r="J3521" s="20" t="s">
        <v>4552</v>
      </c>
      <c r="K3521" s="7" t="s">
        <v>119</v>
      </c>
      <c r="L3521" s="61">
        <v>46063</v>
      </c>
      <c r="M3521" s="7" t="s">
        <v>111</v>
      </c>
      <c r="N3521" s="61">
        <v>46071</v>
      </c>
      <c r="O3521" s="61">
        <v>46071</v>
      </c>
      <c r="R3521" s="126">
        <v>46071</v>
      </c>
    </row>
    <row r="3522" spans="2:18" ht="17.25" hidden="1" customHeight="1">
      <c r="B3522" s="23">
        <v>46059</v>
      </c>
      <c r="C3522" s="7">
        <v>2003786586</v>
      </c>
      <c r="D3522" s="20">
        <v>484616</v>
      </c>
      <c r="E3522" s="27" t="s">
        <v>622</v>
      </c>
      <c r="F3522" s="7" t="s">
        <v>107</v>
      </c>
      <c r="G3522" s="7" t="s">
        <v>10</v>
      </c>
      <c r="H3522" s="7" t="s">
        <v>45</v>
      </c>
      <c r="I3522" s="20" t="s">
        <v>4907</v>
      </c>
      <c r="J3522" s="20" t="s">
        <v>4723</v>
      </c>
      <c r="K3522" s="7" t="s">
        <v>119</v>
      </c>
      <c r="L3522" s="61">
        <v>46062</v>
      </c>
      <c r="M3522" s="7" t="s">
        <v>111</v>
      </c>
      <c r="N3522" s="24">
        <v>46063</v>
      </c>
      <c r="O3522" s="24">
        <v>46064</v>
      </c>
      <c r="R3522" s="126">
        <v>46065</v>
      </c>
    </row>
    <row r="3523" spans="2:18" ht="17.25" hidden="1" customHeight="1">
      <c r="B3523" s="23">
        <v>46059</v>
      </c>
      <c r="C3523" s="7">
        <v>2003913134</v>
      </c>
      <c r="D3523" s="20">
        <v>484610</v>
      </c>
      <c r="E3523" s="27" t="s">
        <v>180</v>
      </c>
      <c r="F3523" s="7" t="s">
        <v>113</v>
      </c>
      <c r="G3523" s="7" t="s">
        <v>70</v>
      </c>
      <c r="H3523" s="7" t="s">
        <v>47</v>
      </c>
      <c r="I3523" s="20" t="s">
        <v>233</v>
      </c>
      <c r="J3523" s="20" t="s">
        <v>4908</v>
      </c>
      <c r="K3523" s="7" t="s">
        <v>160</v>
      </c>
      <c r="R3523" s="126">
        <v>46064</v>
      </c>
    </row>
    <row r="3524" spans="2:18" ht="17.25" hidden="1" customHeight="1">
      <c r="B3524" s="23">
        <v>46059</v>
      </c>
      <c r="C3524" s="7">
        <v>2003919093</v>
      </c>
      <c r="D3524" s="20">
        <v>484601</v>
      </c>
      <c r="E3524" s="20" t="s">
        <v>622</v>
      </c>
      <c r="F3524" s="7" t="s">
        <v>107</v>
      </c>
      <c r="G3524" s="7" t="s">
        <v>10</v>
      </c>
      <c r="H3524" s="7" t="s">
        <v>45</v>
      </c>
      <c r="I3524" s="20" t="s">
        <v>912</v>
      </c>
      <c r="J3524" s="20" t="s">
        <v>4909</v>
      </c>
      <c r="K3524" s="7" t="s">
        <v>119</v>
      </c>
      <c r="L3524" s="61">
        <v>46064</v>
      </c>
      <c r="M3524" s="7" t="s">
        <v>111</v>
      </c>
      <c r="N3524" s="24">
        <v>46065</v>
      </c>
      <c r="O3524" s="61">
        <v>46066</v>
      </c>
      <c r="R3524" s="126">
        <v>46071</v>
      </c>
    </row>
    <row r="3525" spans="2:18" ht="17.25" hidden="1" customHeight="1">
      <c r="B3525" s="23">
        <v>46059</v>
      </c>
      <c r="C3525" s="7">
        <v>2003921429</v>
      </c>
      <c r="D3525" s="20">
        <v>484072</v>
      </c>
      <c r="E3525" s="27" t="s">
        <v>622</v>
      </c>
      <c r="F3525" s="7" t="s">
        <v>107</v>
      </c>
      <c r="G3525" s="7" t="s">
        <v>18</v>
      </c>
      <c r="H3525" s="7" t="s">
        <v>45</v>
      </c>
      <c r="I3525" s="20" t="s">
        <v>4910</v>
      </c>
      <c r="J3525" s="20" t="s">
        <v>4911</v>
      </c>
      <c r="K3525" s="7" t="s">
        <v>119</v>
      </c>
      <c r="L3525" s="61">
        <v>46062</v>
      </c>
      <c r="M3525" s="7" t="s">
        <v>111</v>
      </c>
      <c r="N3525" s="24">
        <v>46063</v>
      </c>
      <c r="O3525" s="24">
        <v>46064</v>
      </c>
      <c r="R3525" s="126">
        <v>46065</v>
      </c>
    </row>
    <row r="3526" spans="2:18" ht="17.25" hidden="1" customHeight="1">
      <c r="B3526" s="23">
        <v>46059</v>
      </c>
      <c r="C3526" s="7">
        <v>2003919777</v>
      </c>
      <c r="D3526" s="20">
        <v>483959</v>
      </c>
      <c r="E3526" s="27" t="s">
        <v>486</v>
      </c>
      <c r="F3526" s="7" t="s">
        <v>107</v>
      </c>
      <c r="G3526" s="7" t="s">
        <v>10</v>
      </c>
      <c r="H3526" s="7" t="s">
        <v>45</v>
      </c>
      <c r="I3526" s="20" t="s">
        <v>2686</v>
      </c>
      <c r="J3526" s="20" t="s">
        <v>4912</v>
      </c>
      <c r="K3526" s="7" t="s">
        <v>110</v>
      </c>
      <c r="L3526" s="61">
        <v>46062</v>
      </c>
      <c r="M3526" s="7" t="s">
        <v>111</v>
      </c>
      <c r="N3526" s="24">
        <v>46063</v>
      </c>
      <c r="O3526" s="24">
        <v>46063</v>
      </c>
      <c r="R3526" s="126">
        <v>46065</v>
      </c>
    </row>
    <row r="3527" spans="2:18" ht="17.25" hidden="1" customHeight="1">
      <c r="B3527" s="23">
        <v>46059</v>
      </c>
      <c r="C3527" s="7">
        <v>2003920554</v>
      </c>
      <c r="D3527" s="20">
        <v>483818</v>
      </c>
      <c r="E3527" s="27" t="s">
        <v>180</v>
      </c>
      <c r="F3527" s="7" t="s">
        <v>107</v>
      </c>
      <c r="G3527" s="7" t="s">
        <v>10</v>
      </c>
      <c r="H3527" s="7" t="s">
        <v>45</v>
      </c>
      <c r="I3527" s="20" t="s">
        <v>4913</v>
      </c>
      <c r="J3527" s="20" t="s">
        <v>4914</v>
      </c>
      <c r="K3527" s="7" t="s">
        <v>119</v>
      </c>
      <c r="L3527" s="61">
        <v>46066</v>
      </c>
      <c r="M3527" s="7" t="s">
        <v>111</v>
      </c>
      <c r="N3527" s="24">
        <v>46071</v>
      </c>
      <c r="O3527" s="58">
        <v>46076</v>
      </c>
      <c r="R3527" s="126">
        <v>46077</v>
      </c>
    </row>
    <row r="3528" spans="2:18" ht="17.25" hidden="1" customHeight="1">
      <c r="B3528" s="23">
        <v>46059</v>
      </c>
      <c r="C3528" s="7">
        <v>2003920384</v>
      </c>
      <c r="D3528" s="20">
        <v>483813</v>
      </c>
      <c r="E3528" s="27" t="s">
        <v>180</v>
      </c>
      <c r="F3528" s="7" t="s">
        <v>113</v>
      </c>
      <c r="G3528" s="7" t="s">
        <v>70</v>
      </c>
      <c r="H3528" s="7" t="s">
        <v>47</v>
      </c>
      <c r="I3528" s="20" t="s">
        <v>932</v>
      </c>
      <c r="J3528" s="20" t="s">
        <v>4915</v>
      </c>
      <c r="K3528" s="7" t="s">
        <v>160</v>
      </c>
    </row>
    <row r="3529" spans="2:18" ht="17.25" hidden="1" customHeight="1">
      <c r="B3529" s="23">
        <v>46059</v>
      </c>
      <c r="C3529" s="7">
        <v>2003919718</v>
      </c>
      <c r="D3529" s="20">
        <v>6626125</v>
      </c>
      <c r="E3529" s="27" t="s">
        <v>3586</v>
      </c>
      <c r="F3529" s="7" t="s">
        <v>113</v>
      </c>
      <c r="G3529" s="7" t="s">
        <v>70</v>
      </c>
      <c r="H3529" s="7" t="s">
        <v>47</v>
      </c>
      <c r="I3529" s="20" t="s">
        <v>4916</v>
      </c>
      <c r="J3529" s="20" t="s">
        <v>4917</v>
      </c>
      <c r="K3529" s="7" t="s">
        <v>160</v>
      </c>
    </row>
    <row r="3530" spans="2:18" ht="17.25" hidden="1" customHeight="1">
      <c r="B3530" s="23">
        <v>46062</v>
      </c>
      <c r="C3530" s="7">
        <v>2003922303</v>
      </c>
      <c r="D3530" s="20">
        <v>486721</v>
      </c>
      <c r="E3530" s="27" t="s">
        <v>4918</v>
      </c>
      <c r="F3530" s="7" t="s">
        <v>107</v>
      </c>
      <c r="G3530" s="7" t="s">
        <v>26</v>
      </c>
      <c r="H3530" s="7" t="s">
        <v>45</v>
      </c>
      <c r="I3530" s="20" t="s">
        <v>4408</v>
      </c>
      <c r="J3530" s="20" t="s">
        <v>4919</v>
      </c>
      <c r="K3530" s="7" t="s">
        <v>119</v>
      </c>
      <c r="L3530" s="61">
        <v>46063</v>
      </c>
      <c r="M3530" s="7" t="s">
        <v>111</v>
      </c>
      <c r="N3530" s="24">
        <v>46065</v>
      </c>
      <c r="O3530" s="58">
        <v>46065</v>
      </c>
      <c r="R3530" s="126">
        <v>46065</v>
      </c>
    </row>
    <row r="3531" spans="2:18" ht="17.25" hidden="1" customHeight="1">
      <c r="B3531" s="23">
        <v>46062</v>
      </c>
      <c r="C3531" s="7">
        <v>2003912067</v>
      </c>
      <c r="D3531" s="20">
        <v>486703</v>
      </c>
      <c r="E3531" s="27" t="s">
        <v>138</v>
      </c>
      <c r="F3531" s="7" t="s">
        <v>107</v>
      </c>
      <c r="G3531" s="7" t="s">
        <v>26</v>
      </c>
      <c r="H3531" s="7" t="s">
        <v>45</v>
      </c>
      <c r="I3531" s="20" t="s">
        <v>1523</v>
      </c>
      <c r="J3531" s="20" t="s">
        <v>4920</v>
      </c>
      <c r="K3531" s="7" t="s">
        <v>119</v>
      </c>
      <c r="L3531" s="61">
        <v>46072</v>
      </c>
      <c r="M3531" s="7" t="s">
        <v>111</v>
      </c>
      <c r="N3531" s="24">
        <v>46077</v>
      </c>
      <c r="O3531" s="58">
        <v>46077</v>
      </c>
      <c r="R3531" s="126">
        <v>46077</v>
      </c>
    </row>
    <row r="3532" spans="2:18" ht="17.25" hidden="1" customHeight="1">
      <c r="B3532" s="23">
        <v>46062</v>
      </c>
      <c r="C3532" s="7">
        <v>2003839197</v>
      </c>
      <c r="D3532" s="20">
        <v>486672</v>
      </c>
      <c r="E3532" s="27" t="s">
        <v>106</v>
      </c>
      <c r="F3532" s="7" t="s">
        <v>107</v>
      </c>
      <c r="G3532" s="7" t="s">
        <v>18</v>
      </c>
      <c r="H3532" s="7" t="s">
        <v>45</v>
      </c>
      <c r="I3532" s="20" t="s">
        <v>878</v>
      </c>
      <c r="J3532" s="20" t="s">
        <v>4921</v>
      </c>
      <c r="K3532" s="7" t="s">
        <v>119</v>
      </c>
      <c r="L3532" s="61">
        <v>46063</v>
      </c>
      <c r="M3532" s="7" t="s">
        <v>111</v>
      </c>
      <c r="N3532" s="24">
        <v>46065</v>
      </c>
      <c r="O3532" s="61">
        <v>46066</v>
      </c>
      <c r="R3532" s="126">
        <v>46071</v>
      </c>
    </row>
    <row r="3533" spans="2:18" ht="17.25" hidden="1" customHeight="1">
      <c r="B3533" s="23">
        <v>46062</v>
      </c>
      <c r="C3533" s="7">
        <v>2003923131</v>
      </c>
      <c r="D3533" s="20">
        <v>485974</v>
      </c>
      <c r="E3533" s="27" t="s">
        <v>138</v>
      </c>
      <c r="F3533" s="7" t="s">
        <v>107</v>
      </c>
      <c r="G3533" s="7" t="s">
        <v>10</v>
      </c>
      <c r="H3533" s="7" t="s">
        <v>45</v>
      </c>
      <c r="I3533" s="20" t="s">
        <v>1831</v>
      </c>
      <c r="J3533" s="20" t="s">
        <v>4922</v>
      </c>
      <c r="K3533" s="7" t="s">
        <v>119</v>
      </c>
      <c r="L3533" s="61">
        <v>46064</v>
      </c>
      <c r="M3533" s="7" t="s">
        <v>111</v>
      </c>
      <c r="N3533" s="24">
        <v>46065</v>
      </c>
      <c r="O3533" s="61">
        <v>46066</v>
      </c>
      <c r="R3533" s="126">
        <v>46071</v>
      </c>
    </row>
    <row r="3534" spans="2:18" ht="17.25" hidden="1" customHeight="1">
      <c r="B3534" s="23">
        <v>46062</v>
      </c>
      <c r="C3534" s="7">
        <v>2003921843</v>
      </c>
      <c r="D3534" s="20">
        <v>485571</v>
      </c>
      <c r="E3534" s="27" t="s">
        <v>408</v>
      </c>
      <c r="F3534" s="7" t="s">
        <v>107</v>
      </c>
      <c r="G3534" s="7" t="s">
        <v>18</v>
      </c>
      <c r="H3534" s="7" t="s">
        <v>45</v>
      </c>
      <c r="I3534" s="20" t="s">
        <v>4923</v>
      </c>
      <c r="J3534" s="20" t="s">
        <v>4924</v>
      </c>
      <c r="K3534" s="7" t="s">
        <v>119</v>
      </c>
      <c r="L3534" s="61">
        <v>46064</v>
      </c>
      <c r="M3534" s="7" t="s">
        <v>111</v>
      </c>
      <c r="N3534" s="24">
        <v>46065</v>
      </c>
      <c r="O3534" s="58">
        <v>46066</v>
      </c>
      <c r="R3534" s="126">
        <v>46071</v>
      </c>
    </row>
    <row r="3535" spans="2:18" ht="17.25" hidden="1" customHeight="1">
      <c r="B3535" s="23">
        <v>46062</v>
      </c>
      <c r="C3535" s="7">
        <v>2003922280</v>
      </c>
      <c r="D3535" s="20">
        <v>485557</v>
      </c>
      <c r="E3535" s="27" t="s">
        <v>622</v>
      </c>
      <c r="F3535" s="7" t="s">
        <v>107</v>
      </c>
      <c r="G3535" s="7" t="s">
        <v>10</v>
      </c>
      <c r="H3535" s="7" t="s">
        <v>45</v>
      </c>
      <c r="I3535" s="20" t="s">
        <v>1813</v>
      </c>
      <c r="J3535" s="20" t="s">
        <v>4925</v>
      </c>
      <c r="K3535" s="7" t="s">
        <v>119</v>
      </c>
      <c r="L3535" s="61">
        <v>46063</v>
      </c>
      <c r="M3535" s="7" t="s">
        <v>111</v>
      </c>
      <c r="N3535" s="24">
        <v>46064</v>
      </c>
      <c r="O3535" s="58">
        <v>46066</v>
      </c>
      <c r="R3535" s="126">
        <v>46071</v>
      </c>
    </row>
    <row r="3536" spans="2:18" ht="17.25" hidden="1" customHeight="1">
      <c r="B3536" s="23">
        <v>46062</v>
      </c>
      <c r="C3536" s="7">
        <v>2003779023</v>
      </c>
      <c r="D3536" s="20">
        <v>485306</v>
      </c>
      <c r="E3536" s="27" t="s">
        <v>185</v>
      </c>
      <c r="F3536" s="7" t="s">
        <v>107</v>
      </c>
      <c r="G3536" s="7" t="s">
        <v>10</v>
      </c>
      <c r="H3536" s="7" t="s">
        <v>45</v>
      </c>
      <c r="I3536" s="20" t="s">
        <v>4768</v>
      </c>
      <c r="J3536" s="20" t="s">
        <v>4350</v>
      </c>
      <c r="K3536" s="7" t="s">
        <v>119</v>
      </c>
      <c r="L3536" s="61">
        <v>46066</v>
      </c>
      <c r="M3536" s="7" t="s">
        <v>111</v>
      </c>
      <c r="N3536" s="24">
        <v>46071</v>
      </c>
      <c r="O3536" s="58">
        <v>46073</v>
      </c>
      <c r="R3536" s="126">
        <v>46077</v>
      </c>
    </row>
    <row r="3537" spans="2:18" ht="17.25" hidden="1" customHeight="1">
      <c r="B3537" s="23">
        <v>46062</v>
      </c>
      <c r="C3537" s="7">
        <v>2003917030</v>
      </c>
      <c r="D3537" s="20">
        <v>485248</v>
      </c>
      <c r="E3537" s="27" t="s">
        <v>230</v>
      </c>
      <c r="F3537" s="7" t="s">
        <v>107</v>
      </c>
      <c r="G3537" s="7" t="s">
        <v>10</v>
      </c>
      <c r="H3537" s="7" t="s">
        <v>45</v>
      </c>
      <c r="I3537" s="20" t="s">
        <v>671</v>
      </c>
      <c r="J3537" s="20" t="s">
        <v>4926</v>
      </c>
      <c r="K3537" s="7" t="s">
        <v>119</v>
      </c>
      <c r="L3537" s="61">
        <v>46063</v>
      </c>
      <c r="M3537" s="7" t="s">
        <v>111</v>
      </c>
      <c r="N3537" s="24">
        <v>46064</v>
      </c>
      <c r="O3537" s="24">
        <v>46064</v>
      </c>
      <c r="R3537" s="126">
        <v>46065</v>
      </c>
    </row>
    <row r="3538" spans="2:18" ht="17.25" hidden="1" customHeight="1">
      <c r="B3538" s="23">
        <v>46062</v>
      </c>
      <c r="C3538" s="7">
        <v>2003916912</v>
      </c>
      <c r="D3538" s="20">
        <v>6626183</v>
      </c>
      <c r="E3538" s="27" t="s">
        <v>138</v>
      </c>
      <c r="F3538" s="7" t="s">
        <v>107</v>
      </c>
      <c r="G3538" s="7" t="s">
        <v>10</v>
      </c>
      <c r="H3538" s="7" t="s">
        <v>45</v>
      </c>
      <c r="I3538" s="20" t="s">
        <v>2498</v>
      </c>
      <c r="J3538" s="20" t="s">
        <v>4927</v>
      </c>
      <c r="K3538" s="7" t="s">
        <v>110</v>
      </c>
      <c r="L3538" s="61">
        <v>46065</v>
      </c>
      <c r="M3538" s="7" t="s">
        <v>111</v>
      </c>
      <c r="N3538" s="24">
        <v>46066</v>
      </c>
      <c r="O3538" s="58">
        <v>46071</v>
      </c>
      <c r="R3538" s="126">
        <v>46071</v>
      </c>
    </row>
    <row r="3539" spans="2:18" ht="17.25" hidden="1" customHeight="1">
      <c r="B3539" s="23">
        <v>46062</v>
      </c>
      <c r="C3539" s="7">
        <v>2003653840</v>
      </c>
      <c r="D3539" s="20">
        <v>6626503</v>
      </c>
      <c r="E3539" s="27" t="s">
        <v>198</v>
      </c>
      <c r="F3539" s="7" t="s">
        <v>107</v>
      </c>
      <c r="G3539" s="7" t="s">
        <v>18</v>
      </c>
      <c r="H3539" s="7" t="s">
        <v>45</v>
      </c>
      <c r="I3539" s="20" t="s">
        <v>4923</v>
      </c>
      <c r="J3539" s="20" t="s">
        <v>4924</v>
      </c>
      <c r="K3539" s="7" t="s">
        <v>119</v>
      </c>
      <c r="L3539" s="61">
        <v>46064</v>
      </c>
      <c r="M3539" s="7" t="s">
        <v>111</v>
      </c>
      <c r="N3539" s="24">
        <v>46065</v>
      </c>
      <c r="O3539" s="58">
        <v>46066</v>
      </c>
      <c r="R3539" s="126">
        <v>46071</v>
      </c>
    </row>
    <row r="3540" spans="2:18" ht="17.25" hidden="1" customHeight="1">
      <c r="B3540" s="23">
        <v>46062</v>
      </c>
      <c r="C3540" s="7">
        <v>2003920753</v>
      </c>
      <c r="D3540" s="20">
        <v>6626883</v>
      </c>
      <c r="E3540" s="27" t="s">
        <v>143</v>
      </c>
      <c r="F3540" s="7" t="s">
        <v>113</v>
      </c>
      <c r="G3540" s="7" t="s">
        <v>70</v>
      </c>
      <c r="H3540" s="7" t="s">
        <v>47</v>
      </c>
      <c r="I3540" s="20" t="s">
        <v>4928</v>
      </c>
      <c r="J3540" s="20" t="s">
        <v>4929</v>
      </c>
      <c r="K3540" s="7" t="s">
        <v>160</v>
      </c>
    </row>
    <row r="3541" spans="2:18" ht="17.25" hidden="1" customHeight="1">
      <c r="B3541" s="23">
        <v>46062</v>
      </c>
      <c r="C3541" s="7">
        <v>2003913230</v>
      </c>
      <c r="D3541" s="20">
        <v>6626900</v>
      </c>
      <c r="E3541" s="27" t="s">
        <v>201</v>
      </c>
      <c r="F3541" s="7" t="s">
        <v>107</v>
      </c>
      <c r="G3541" s="7" t="s">
        <v>10</v>
      </c>
      <c r="H3541" s="7" t="s">
        <v>45</v>
      </c>
      <c r="I3541" s="20" t="s">
        <v>4930</v>
      </c>
      <c r="J3541" s="20" t="s">
        <v>4931</v>
      </c>
      <c r="K3541" s="7" t="s">
        <v>119</v>
      </c>
      <c r="L3541" s="61">
        <v>46066</v>
      </c>
      <c r="M3541" s="7" t="s">
        <v>111</v>
      </c>
      <c r="N3541" s="24">
        <v>46071</v>
      </c>
      <c r="O3541" s="58">
        <v>46073</v>
      </c>
      <c r="R3541" s="126">
        <v>46077</v>
      </c>
    </row>
    <row r="3542" spans="2:18" ht="17.25" hidden="1" customHeight="1">
      <c r="B3542" s="23">
        <v>46062</v>
      </c>
      <c r="C3542" s="7">
        <v>2003905090</v>
      </c>
      <c r="D3542" s="20">
        <v>6626919</v>
      </c>
      <c r="E3542" s="27" t="s">
        <v>185</v>
      </c>
      <c r="F3542" s="7" t="s">
        <v>107</v>
      </c>
      <c r="G3542" s="7" t="s">
        <v>26</v>
      </c>
      <c r="H3542" s="7" t="s">
        <v>45</v>
      </c>
      <c r="I3542" s="20" t="s">
        <v>2149</v>
      </c>
      <c r="J3542" s="20" t="s">
        <v>4780</v>
      </c>
      <c r="K3542" s="7" t="s">
        <v>119</v>
      </c>
      <c r="L3542" s="61">
        <v>46063</v>
      </c>
      <c r="M3542" s="7" t="s">
        <v>111</v>
      </c>
      <c r="N3542" s="24">
        <v>46071</v>
      </c>
      <c r="O3542" s="58">
        <v>46071</v>
      </c>
      <c r="R3542" s="126">
        <v>46071</v>
      </c>
    </row>
    <row r="3543" spans="2:18" ht="17.25" hidden="1" customHeight="1">
      <c r="B3543" s="23">
        <v>46063</v>
      </c>
      <c r="C3543" s="7">
        <v>2003916296</v>
      </c>
      <c r="D3543" s="20">
        <v>488556</v>
      </c>
      <c r="E3543" s="27" t="s">
        <v>138</v>
      </c>
      <c r="F3543" s="7" t="s">
        <v>107</v>
      </c>
      <c r="G3543" s="7" t="s">
        <v>10</v>
      </c>
      <c r="H3543" s="7" t="s">
        <v>45</v>
      </c>
      <c r="I3543" s="20" t="s">
        <v>657</v>
      </c>
      <c r="J3543" s="20" t="s">
        <v>4932</v>
      </c>
      <c r="K3543" s="7" t="s">
        <v>119</v>
      </c>
      <c r="L3543" s="61">
        <v>46076</v>
      </c>
      <c r="M3543" s="7" t="s">
        <v>111</v>
      </c>
      <c r="N3543" s="24">
        <v>46077</v>
      </c>
      <c r="O3543" s="24">
        <v>46077</v>
      </c>
      <c r="R3543" s="126">
        <v>46077</v>
      </c>
    </row>
    <row r="3544" spans="2:18" ht="17.25" hidden="1" customHeight="1">
      <c r="B3544" s="23">
        <v>46063</v>
      </c>
      <c r="C3544" s="7">
        <v>2003873386</v>
      </c>
      <c r="D3544" s="20">
        <v>488376</v>
      </c>
      <c r="E3544" s="27" t="s">
        <v>622</v>
      </c>
      <c r="F3544" s="7" t="s">
        <v>107</v>
      </c>
      <c r="G3544" s="7" t="s">
        <v>18</v>
      </c>
      <c r="H3544" s="7" t="s">
        <v>45</v>
      </c>
      <c r="I3544" s="20" t="s">
        <v>921</v>
      </c>
      <c r="J3544" s="20" t="s">
        <v>4933</v>
      </c>
      <c r="K3544" s="7" t="s">
        <v>119</v>
      </c>
      <c r="L3544" s="61">
        <v>46071</v>
      </c>
      <c r="M3544" s="7" t="s">
        <v>111</v>
      </c>
      <c r="N3544" s="24">
        <v>46072</v>
      </c>
      <c r="O3544" s="58">
        <v>46073</v>
      </c>
      <c r="R3544" s="126">
        <v>46077</v>
      </c>
    </row>
    <row r="3545" spans="2:18" ht="17.25" hidden="1" customHeight="1">
      <c r="B3545" s="23">
        <v>46063</v>
      </c>
      <c r="C3545" s="7">
        <v>2003922977</v>
      </c>
      <c r="D3545" s="20">
        <v>488058</v>
      </c>
      <c r="E3545" s="27" t="s">
        <v>198</v>
      </c>
      <c r="F3545" s="7" t="s">
        <v>107</v>
      </c>
      <c r="G3545" s="7" t="s">
        <v>10</v>
      </c>
      <c r="H3545" s="7" t="s">
        <v>45</v>
      </c>
      <c r="I3545" s="20" t="s">
        <v>4934</v>
      </c>
      <c r="J3545" s="20" t="s">
        <v>4919</v>
      </c>
      <c r="K3545" s="7" t="s">
        <v>119</v>
      </c>
      <c r="L3545" s="61">
        <v>46065</v>
      </c>
      <c r="M3545" s="7" t="s">
        <v>111</v>
      </c>
      <c r="N3545" s="24">
        <v>46071</v>
      </c>
      <c r="O3545" s="58">
        <v>46073</v>
      </c>
      <c r="R3545" s="126">
        <v>46077</v>
      </c>
    </row>
    <row r="3546" spans="2:18" ht="17.25" hidden="1" customHeight="1">
      <c r="B3546" s="23">
        <v>46063</v>
      </c>
      <c r="C3546" s="7">
        <v>2003923598</v>
      </c>
      <c r="D3546" s="20">
        <v>487993</v>
      </c>
      <c r="E3546" s="27" t="s">
        <v>198</v>
      </c>
      <c r="F3546" s="7" t="s">
        <v>107</v>
      </c>
      <c r="G3546" s="7" t="s">
        <v>15</v>
      </c>
      <c r="H3546" s="7" t="s">
        <v>45</v>
      </c>
      <c r="I3546" s="20" t="s">
        <v>3110</v>
      </c>
      <c r="J3546" s="20" t="s">
        <v>4935</v>
      </c>
      <c r="K3546" s="7" t="s">
        <v>119</v>
      </c>
      <c r="L3546" s="61">
        <v>46064</v>
      </c>
      <c r="M3546" s="7" t="s">
        <v>111</v>
      </c>
      <c r="N3546" s="24">
        <v>46065</v>
      </c>
      <c r="O3546" s="61">
        <v>46066</v>
      </c>
      <c r="R3546" s="126">
        <v>46071</v>
      </c>
    </row>
    <row r="3547" spans="2:18" ht="17.25" hidden="1" customHeight="1">
      <c r="B3547" s="23">
        <v>46063</v>
      </c>
      <c r="C3547" s="7">
        <v>2003914987</v>
      </c>
      <c r="D3547" s="20">
        <v>487964</v>
      </c>
      <c r="E3547" s="27" t="s">
        <v>185</v>
      </c>
      <c r="F3547" s="7" t="s">
        <v>107</v>
      </c>
      <c r="G3547" s="7" t="s">
        <v>10</v>
      </c>
      <c r="H3547" s="7" t="s">
        <v>45</v>
      </c>
      <c r="I3547" s="20" t="s">
        <v>4936</v>
      </c>
      <c r="J3547" s="20" t="s">
        <v>4937</v>
      </c>
      <c r="K3547" s="7" t="s">
        <v>119</v>
      </c>
      <c r="L3547" s="61">
        <v>46066</v>
      </c>
      <c r="M3547" s="7" t="s">
        <v>111</v>
      </c>
      <c r="N3547" s="24">
        <v>46071</v>
      </c>
      <c r="O3547" s="58">
        <v>46073</v>
      </c>
      <c r="R3547" s="126">
        <v>46077</v>
      </c>
    </row>
    <row r="3548" spans="2:18" ht="17.25" hidden="1" customHeight="1">
      <c r="B3548" s="23">
        <v>46063</v>
      </c>
      <c r="C3548" s="7">
        <v>2003916096</v>
      </c>
      <c r="D3548" s="20">
        <v>487489</v>
      </c>
      <c r="E3548" s="27" t="s">
        <v>486</v>
      </c>
      <c r="F3548" s="7" t="s">
        <v>107</v>
      </c>
      <c r="G3548" s="7" t="s">
        <v>10</v>
      </c>
      <c r="H3548" s="7" t="s">
        <v>45</v>
      </c>
      <c r="I3548" s="20" t="s">
        <v>310</v>
      </c>
      <c r="J3548" s="20" t="s">
        <v>4938</v>
      </c>
      <c r="K3548" s="7" t="s">
        <v>119</v>
      </c>
      <c r="L3548" s="61">
        <v>46065</v>
      </c>
      <c r="M3548" s="7" t="s">
        <v>111</v>
      </c>
      <c r="N3548" s="24">
        <v>46066</v>
      </c>
      <c r="O3548" s="58">
        <v>46071</v>
      </c>
      <c r="R3548" s="126">
        <v>46071</v>
      </c>
    </row>
    <row r="3549" spans="2:18" ht="17.25" hidden="1" customHeight="1">
      <c r="B3549" s="23">
        <v>46063</v>
      </c>
      <c r="C3549" s="7">
        <v>2003887240</v>
      </c>
      <c r="D3549" s="20">
        <v>6627046</v>
      </c>
      <c r="E3549" s="27" t="s">
        <v>265</v>
      </c>
      <c r="F3549" s="7" t="s">
        <v>107</v>
      </c>
      <c r="G3549" s="7" t="s">
        <v>15</v>
      </c>
      <c r="H3549" s="7" t="s">
        <v>45</v>
      </c>
      <c r="I3549" s="20" t="s">
        <v>4939</v>
      </c>
      <c r="J3549" s="20" t="s">
        <v>4703</v>
      </c>
      <c r="K3549" s="7" t="s">
        <v>110</v>
      </c>
      <c r="L3549" s="61">
        <v>46064</v>
      </c>
      <c r="M3549" s="7" t="s">
        <v>111</v>
      </c>
      <c r="N3549" s="24">
        <v>46072</v>
      </c>
      <c r="O3549" s="24">
        <v>46072</v>
      </c>
      <c r="R3549" s="126">
        <v>46077</v>
      </c>
    </row>
    <row r="3550" spans="2:18" ht="17.25" hidden="1" customHeight="1">
      <c r="B3550" s="23">
        <v>46063</v>
      </c>
      <c r="C3550" s="7">
        <v>2003912122</v>
      </c>
      <c r="D3550" s="20">
        <v>6627062</v>
      </c>
      <c r="E3550" s="27" t="s">
        <v>622</v>
      </c>
      <c r="F3550" s="7" t="s">
        <v>107</v>
      </c>
      <c r="G3550" s="7" t="s">
        <v>18</v>
      </c>
      <c r="H3550" s="7" t="s">
        <v>45</v>
      </c>
      <c r="I3550" s="20" t="s">
        <v>4940</v>
      </c>
      <c r="J3550" s="20" t="s">
        <v>4941</v>
      </c>
      <c r="K3550" s="7" t="s">
        <v>119</v>
      </c>
      <c r="L3550" s="61">
        <v>46064</v>
      </c>
      <c r="M3550" s="7" t="s">
        <v>111</v>
      </c>
      <c r="N3550" s="24">
        <v>46065</v>
      </c>
      <c r="O3550" s="58">
        <v>46066</v>
      </c>
      <c r="R3550" s="126">
        <v>46071</v>
      </c>
    </row>
    <row r="3551" spans="2:18" ht="17.25" hidden="1" customHeight="1">
      <c r="B3551" s="23">
        <v>46063</v>
      </c>
      <c r="C3551" s="7">
        <v>2003923082</v>
      </c>
      <c r="D3551" s="20">
        <v>6627105</v>
      </c>
      <c r="E3551" s="27" t="s">
        <v>230</v>
      </c>
      <c r="F3551" s="7" t="s">
        <v>107</v>
      </c>
      <c r="G3551" s="7" t="s">
        <v>10</v>
      </c>
      <c r="H3551" s="7" t="s">
        <v>45</v>
      </c>
      <c r="I3551" s="20" t="s">
        <v>4942</v>
      </c>
      <c r="J3551" s="20" t="s">
        <v>4943</v>
      </c>
      <c r="K3551" s="7" t="s">
        <v>110</v>
      </c>
      <c r="L3551" s="61">
        <v>46064</v>
      </c>
      <c r="M3551" s="7" t="s">
        <v>111</v>
      </c>
      <c r="N3551" s="24">
        <v>46066</v>
      </c>
      <c r="O3551" s="58">
        <v>46071</v>
      </c>
      <c r="R3551" s="126">
        <v>46071</v>
      </c>
    </row>
    <row r="3552" spans="2:18" ht="17.25" hidden="1" customHeight="1">
      <c r="B3552" s="23">
        <v>46063</v>
      </c>
      <c r="C3552" s="7">
        <v>2003924065</v>
      </c>
      <c r="D3552" s="20">
        <v>6627199</v>
      </c>
      <c r="E3552" s="27" t="s">
        <v>622</v>
      </c>
      <c r="F3552" s="7" t="s">
        <v>107</v>
      </c>
      <c r="G3552" s="7" t="s">
        <v>10</v>
      </c>
      <c r="H3552" s="7" t="s">
        <v>45</v>
      </c>
      <c r="I3552" s="20" t="s">
        <v>4944</v>
      </c>
      <c r="J3552" s="20" t="s">
        <v>603</v>
      </c>
      <c r="K3552" s="7" t="s">
        <v>119</v>
      </c>
      <c r="L3552" s="61">
        <v>46065</v>
      </c>
      <c r="M3552" s="7" t="s">
        <v>111</v>
      </c>
      <c r="N3552" s="24">
        <v>46071</v>
      </c>
      <c r="O3552" s="58">
        <v>46073</v>
      </c>
      <c r="R3552" s="126">
        <v>46077</v>
      </c>
    </row>
    <row r="3553" spans="2:18" ht="17.25" hidden="1" customHeight="1">
      <c r="B3553" s="23">
        <v>46063</v>
      </c>
      <c r="C3553" s="7">
        <v>2003870839</v>
      </c>
      <c r="D3553" s="20">
        <v>6627218</v>
      </c>
      <c r="E3553" s="27" t="s">
        <v>180</v>
      </c>
      <c r="F3553" s="7" t="s">
        <v>107</v>
      </c>
      <c r="G3553" s="7" t="s">
        <v>10</v>
      </c>
      <c r="H3553" s="7" t="s">
        <v>45</v>
      </c>
      <c r="I3553" s="20" t="s">
        <v>4945</v>
      </c>
      <c r="J3553" s="20" t="s">
        <v>4651</v>
      </c>
      <c r="K3553" s="7" t="s">
        <v>119</v>
      </c>
      <c r="L3553" s="61">
        <v>46064</v>
      </c>
      <c r="M3553" s="7" t="s">
        <v>111</v>
      </c>
      <c r="N3553" s="61">
        <v>46071</v>
      </c>
      <c r="O3553" s="61">
        <v>46071</v>
      </c>
      <c r="R3553" s="126">
        <v>46071</v>
      </c>
    </row>
    <row r="3554" spans="2:18" ht="17.25" hidden="1" customHeight="1">
      <c r="B3554" s="23">
        <v>46063</v>
      </c>
      <c r="C3554" s="7">
        <v>2003896917</v>
      </c>
      <c r="D3554" s="20">
        <v>6627472</v>
      </c>
      <c r="E3554" s="27" t="s">
        <v>106</v>
      </c>
      <c r="F3554" s="7" t="s">
        <v>107</v>
      </c>
      <c r="G3554" s="7" t="s">
        <v>10</v>
      </c>
      <c r="H3554" s="7" t="s">
        <v>45</v>
      </c>
      <c r="I3554" s="20" t="s">
        <v>2262</v>
      </c>
      <c r="J3554" s="20" t="s">
        <v>593</v>
      </c>
      <c r="K3554" s="7" t="s">
        <v>110</v>
      </c>
      <c r="L3554" s="61">
        <v>46065</v>
      </c>
      <c r="M3554" s="7" t="s">
        <v>111</v>
      </c>
      <c r="N3554" s="24">
        <v>46066</v>
      </c>
      <c r="O3554" s="58">
        <v>46071</v>
      </c>
      <c r="R3554" s="126">
        <v>46071</v>
      </c>
    </row>
    <row r="3555" spans="2:18" ht="17.25" hidden="1" customHeight="1">
      <c r="B3555" s="23">
        <v>46064</v>
      </c>
      <c r="C3555" s="7">
        <v>2003926138</v>
      </c>
      <c r="D3555" s="20">
        <v>490200</v>
      </c>
      <c r="E3555" s="27" t="s">
        <v>106</v>
      </c>
      <c r="F3555" s="7" t="s">
        <v>107</v>
      </c>
      <c r="G3555" s="7" t="s">
        <v>18</v>
      </c>
      <c r="H3555" s="7" t="s">
        <v>45</v>
      </c>
      <c r="I3555" s="20" t="s">
        <v>4946</v>
      </c>
      <c r="J3555" s="20" t="s">
        <v>4947</v>
      </c>
      <c r="K3555" s="7" t="s">
        <v>119</v>
      </c>
      <c r="L3555" s="61">
        <v>46066</v>
      </c>
      <c r="M3555" s="7" t="s">
        <v>111</v>
      </c>
      <c r="N3555" s="24">
        <v>46071</v>
      </c>
      <c r="O3555" s="58">
        <v>46073</v>
      </c>
      <c r="R3555" s="126">
        <v>46077</v>
      </c>
    </row>
    <row r="3556" spans="2:18" ht="17.25" hidden="1" customHeight="1">
      <c r="B3556" s="23">
        <v>46064</v>
      </c>
      <c r="C3556" s="7">
        <v>2003881315</v>
      </c>
      <c r="D3556" s="20">
        <v>490214</v>
      </c>
      <c r="E3556" s="27" t="s">
        <v>180</v>
      </c>
      <c r="F3556" s="7" t="s">
        <v>107</v>
      </c>
      <c r="G3556" s="7" t="s">
        <v>166</v>
      </c>
      <c r="H3556" s="7" t="s">
        <v>45</v>
      </c>
      <c r="I3556" s="20" t="s">
        <v>4948</v>
      </c>
      <c r="J3556" s="20" t="s">
        <v>4586</v>
      </c>
      <c r="K3556" s="7" t="s">
        <v>110</v>
      </c>
      <c r="L3556" s="61">
        <v>46076</v>
      </c>
      <c r="M3556" s="7" t="s">
        <v>111</v>
      </c>
      <c r="N3556" s="61">
        <v>46077</v>
      </c>
      <c r="O3556" s="61">
        <v>46077</v>
      </c>
      <c r="R3556" s="126">
        <v>46079</v>
      </c>
    </row>
    <row r="3557" spans="2:18" ht="17.25" hidden="1" customHeight="1">
      <c r="B3557" s="23">
        <v>46064</v>
      </c>
      <c r="C3557" s="7">
        <v>2003924586</v>
      </c>
      <c r="D3557" s="20">
        <v>490069</v>
      </c>
      <c r="E3557" s="27" t="s">
        <v>138</v>
      </c>
      <c r="F3557" s="7" t="s">
        <v>107</v>
      </c>
      <c r="G3557" s="7" t="s">
        <v>18</v>
      </c>
      <c r="H3557" s="7" t="s">
        <v>45</v>
      </c>
      <c r="I3557" s="20" t="s">
        <v>3110</v>
      </c>
      <c r="J3557" s="20" t="s">
        <v>4935</v>
      </c>
      <c r="K3557" s="7" t="s">
        <v>119</v>
      </c>
      <c r="L3557" s="61">
        <v>46065</v>
      </c>
      <c r="M3557" s="7" t="s">
        <v>111</v>
      </c>
      <c r="N3557" s="24">
        <v>46066</v>
      </c>
      <c r="O3557" s="24">
        <v>46066</v>
      </c>
      <c r="R3557" s="126">
        <v>46071</v>
      </c>
    </row>
    <row r="3558" spans="2:18" ht="17.25" hidden="1" customHeight="1">
      <c r="B3558" s="23">
        <v>46064</v>
      </c>
      <c r="C3558" s="7">
        <v>2003841114</v>
      </c>
      <c r="D3558" s="20">
        <v>489644</v>
      </c>
      <c r="E3558" s="27" t="s">
        <v>1225</v>
      </c>
      <c r="F3558" s="7" t="s">
        <v>107</v>
      </c>
      <c r="G3558" s="7" t="s">
        <v>18</v>
      </c>
      <c r="H3558" s="7" t="s">
        <v>45</v>
      </c>
      <c r="I3558" s="20" t="s">
        <v>4949</v>
      </c>
      <c r="J3558" s="20" t="s">
        <v>4256</v>
      </c>
      <c r="K3558" s="7" t="s">
        <v>119</v>
      </c>
      <c r="L3558" s="61">
        <v>46066</v>
      </c>
      <c r="M3558" s="7" t="s">
        <v>111</v>
      </c>
      <c r="N3558" s="24">
        <v>46071</v>
      </c>
      <c r="O3558" s="24">
        <v>46071</v>
      </c>
      <c r="R3558" s="126">
        <v>46077</v>
      </c>
    </row>
    <row r="3559" spans="2:18" ht="17.25" hidden="1" customHeight="1">
      <c r="B3559" s="23">
        <v>46065</v>
      </c>
      <c r="C3559" s="7">
        <v>2003922592</v>
      </c>
      <c r="D3559" s="20">
        <v>491763</v>
      </c>
      <c r="E3559" s="27" t="s">
        <v>4950</v>
      </c>
      <c r="F3559" s="7" t="s">
        <v>107</v>
      </c>
      <c r="G3559" s="7" t="s">
        <v>10</v>
      </c>
      <c r="H3559" s="7" t="s">
        <v>45</v>
      </c>
      <c r="I3559" s="20" t="s">
        <v>4951</v>
      </c>
      <c r="J3559" s="20" t="s">
        <v>4952</v>
      </c>
      <c r="K3559" s="7" t="s">
        <v>119</v>
      </c>
      <c r="L3559" s="61">
        <v>46073</v>
      </c>
      <c r="M3559" s="7" t="s">
        <v>111</v>
      </c>
      <c r="N3559" s="61">
        <v>46077</v>
      </c>
      <c r="O3559" s="58">
        <v>46078</v>
      </c>
      <c r="R3559" s="126">
        <v>46079</v>
      </c>
    </row>
    <row r="3560" spans="2:18" ht="17.25" hidden="1" customHeight="1">
      <c r="B3560" s="23">
        <v>46065</v>
      </c>
      <c r="C3560" s="7">
        <v>2003924385</v>
      </c>
      <c r="D3560" s="20">
        <v>491391</v>
      </c>
      <c r="E3560" s="27" t="s">
        <v>3586</v>
      </c>
      <c r="F3560" s="7" t="s">
        <v>107</v>
      </c>
      <c r="G3560" s="7" t="s">
        <v>15</v>
      </c>
      <c r="H3560" s="7" t="s">
        <v>45</v>
      </c>
      <c r="I3560" s="20" t="s">
        <v>4953</v>
      </c>
      <c r="J3560" s="20" t="s">
        <v>4954</v>
      </c>
      <c r="K3560" s="7" t="s">
        <v>110</v>
      </c>
      <c r="L3560" s="61">
        <v>46071</v>
      </c>
      <c r="M3560" s="7" t="s">
        <v>111</v>
      </c>
      <c r="N3560" s="61">
        <v>46072</v>
      </c>
      <c r="O3560" s="58">
        <v>46073</v>
      </c>
      <c r="R3560" s="126">
        <v>46077</v>
      </c>
    </row>
    <row r="3561" spans="2:18" ht="17.25" hidden="1" customHeight="1">
      <c r="B3561" s="23">
        <v>46065</v>
      </c>
      <c r="C3561" s="7">
        <v>2003803487</v>
      </c>
      <c r="D3561" s="20">
        <v>491032</v>
      </c>
      <c r="E3561" s="27" t="s">
        <v>138</v>
      </c>
      <c r="F3561" s="7" t="s">
        <v>107</v>
      </c>
      <c r="G3561" s="7" t="s">
        <v>26</v>
      </c>
      <c r="H3561" s="7" t="s">
        <v>45</v>
      </c>
      <c r="I3561" s="20" t="s">
        <v>4955</v>
      </c>
      <c r="J3561" s="20" t="s">
        <v>3921</v>
      </c>
      <c r="K3561" s="7" t="s">
        <v>119</v>
      </c>
      <c r="L3561" s="61">
        <v>46080</v>
      </c>
      <c r="M3561" s="7" t="s">
        <v>111</v>
      </c>
      <c r="N3561" s="24">
        <v>46071</v>
      </c>
      <c r="O3561" s="58">
        <v>46071</v>
      </c>
      <c r="R3561" s="126">
        <v>46071</v>
      </c>
    </row>
    <row r="3562" spans="2:18" ht="17.25" hidden="1" customHeight="1">
      <c r="B3562" s="23">
        <v>46065</v>
      </c>
      <c r="C3562" s="7">
        <v>2003847206</v>
      </c>
      <c r="D3562" s="20">
        <v>490991</v>
      </c>
      <c r="E3562" s="27" t="s">
        <v>4175</v>
      </c>
      <c r="F3562" s="7" t="s">
        <v>107</v>
      </c>
      <c r="G3562" s="7" t="s">
        <v>10</v>
      </c>
      <c r="H3562" s="7" t="s">
        <v>45</v>
      </c>
      <c r="I3562" s="20" t="s">
        <v>27</v>
      </c>
      <c r="J3562" s="20" t="s">
        <v>27</v>
      </c>
      <c r="K3562" s="7" t="s">
        <v>111</v>
      </c>
      <c r="L3562" s="61">
        <v>46066</v>
      </c>
      <c r="M3562" s="7" t="s">
        <v>111</v>
      </c>
      <c r="N3562" s="24">
        <v>46071</v>
      </c>
      <c r="O3562" s="24">
        <v>46071</v>
      </c>
      <c r="R3562" s="126">
        <v>46071</v>
      </c>
    </row>
    <row r="3563" spans="2:18" ht="17.25" hidden="1" customHeight="1">
      <c r="B3563" s="23">
        <v>46065</v>
      </c>
      <c r="C3563" s="7">
        <v>2003885402</v>
      </c>
      <c r="D3563" s="20">
        <v>490979</v>
      </c>
      <c r="E3563" s="27" t="s">
        <v>143</v>
      </c>
      <c r="F3563" s="7" t="s">
        <v>4956</v>
      </c>
      <c r="G3563" s="7" t="s">
        <v>10</v>
      </c>
      <c r="H3563" s="7" t="s">
        <v>42</v>
      </c>
      <c r="I3563" s="20" t="s">
        <v>3873</v>
      </c>
      <c r="J3563" s="20" t="s">
        <v>3874</v>
      </c>
      <c r="K3563" s="7" t="s">
        <v>160</v>
      </c>
    </row>
    <row r="3564" spans="2:18" ht="17.25" hidden="1" customHeight="1">
      <c r="B3564" s="23">
        <v>46065</v>
      </c>
      <c r="C3564" s="7">
        <v>2003906114</v>
      </c>
      <c r="D3564" s="20">
        <v>490939</v>
      </c>
      <c r="E3564" s="27" t="s">
        <v>123</v>
      </c>
      <c r="F3564" s="7" t="s">
        <v>107</v>
      </c>
      <c r="G3564" s="7" t="s">
        <v>21</v>
      </c>
      <c r="H3564" s="7" t="s">
        <v>45</v>
      </c>
      <c r="I3564" s="20" t="s">
        <v>4957</v>
      </c>
      <c r="J3564" s="20" t="s">
        <v>4769</v>
      </c>
      <c r="K3564" s="7" t="s">
        <v>110</v>
      </c>
      <c r="L3564" s="61">
        <v>46066</v>
      </c>
      <c r="M3564" s="7" t="s">
        <v>111</v>
      </c>
      <c r="N3564" s="24">
        <v>46077</v>
      </c>
      <c r="O3564" s="24">
        <v>46077</v>
      </c>
      <c r="R3564" s="126">
        <v>46077</v>
      </c>
    </row>
    <row r="3565" spans="2:18" ht="17.25" hidden="1" customHeight="1">
      <c r="B3565" s="23">
        <v>46065</v>
      </c>
      <c r="C3565" s="7">
        <v>2003924620</v>
      </c>
      <c r="D3565" s="20">
        <v>6628199</v>
      </c>
      <c r="E3565" s="27" t="s">
        <v>106</v>
      </c>
      <c r="F3565" s="7" t="s">
        <v>107</v>
      </c>
      <c r="G3565" s="7" t="s">
        <v>10</v>
      </c>
      <c r="H3565" s="7" t="s">
        <v>45</v>
      </c>
      <c r="I3565" s="20" t="s">
        <v>1334</v>
      </c>
      <c r="J3565" s="20" t="s">
        <v>4958</v>
      </c>
      <c r="K3565" s="7" t="s">
        <v>110</v>
      </c>
      <c r="L3565" s="61">
        <v>46072</v>
      </c>
      <c r="M3565" s="7" t="s">
        <v>111</v>
      </c>
      <c r="N3565" s="61">
        <v>46072</v>
      </c>
      <c r="O3565" s="61">
        <v>46072</v>
      </c>
      <c r="R3565" s="126">
        <v>46077</v>
      </c>
    </row>
    <row r="3566" spans="2:18" ht="17.25" hidden="1" customHeight="1">
      <c r="B3566" s="23">
        <v>46065</v>
      </c>
      <c r="C3566" s="7">
        <v>2003916858</v>
      </c>
      <c r="D3566" s="20">
        <v>6628337</v>
      </c>
      <c r="E3566" s="27" t="s">
        <v>185</v>
      </c>
      <c r="F3566" s="7" t="s">
        <v>113</v>
      </c>
      <c r="G3566" s="7" t="s">
        <v>70</v>
      </c>
      <c r="H3566" s="7" t="s">
        <v>47</v>
      </c>
      <c r="I3566" s="20" t="s">
        <v>2097</v>
      </c>
      <c r="J3566" s="20" t="s">
        <v>4959</v>
      </c>
      <c r="K3566" s="7" t="s">
        <v>160</v>
      </c>
    </row>
    <row r="3567" spans="2:18" ht="17.25" hidden="1" customHeight="1">
      <c r="B3567" s="23">
        <v>46065</v>
      </c>
      <c r="C3567" s="7">
        <v>2003920708</v>
      </c>
      <c r="D3567" s="20">
        <v>6628566</v>
      </c>
      <c r="E3567" s="27" t="s">
        <v>408</v>
      </c>
      <c r="F3567" s="7" t="s">
        <v>107</v>
      </c>
      <c r="G3567" s="7" t="s">
        <v>18</v>
      </c>
      <c r="H3567" s="7" t="s">
        <v>45</v>
      </c>
      <c r="I3567" s="20" t="s">
        <v>1127</v>
      </c>
      <c r="J3567" s="20" t="s">
        <v>4960</v>
      </c>
      <c r="K3567" s="7" t="s">
        <v>110</v>
      </c>
      <c r="L3567" s="61">
        <v>46072</v>
      </c>
      <c r="M3567" s="7" t="s">
        <v>111</v>
      </c>
      <c r="N3567" s="61">
        <v>46072</v>
      </c>
      <c r="O3567" s="58">
        <v>46073</v>
      </c>
      <c r="R3567" s="126">
        <v>46077</v>
      </c>
    </row>
    <row r="3568" spans="2:18" ht="17.25" hidden="1" customHeight="1">
      <c r="B3568" s="23">
        <v>46066</v>
      </c>
      <c r="C3568" s="7">
        <v>2003916373</v>
      </c>
      <c r="D3568" s="20">
        <v>493327</v>
      </c>
      <c r="E3568" s="27" t="s">
        <v>191</v>
      </c>
      <c r="F3568" s="7" t="s">
        <v>107</v>
      </c>
      <c r="G3568" s="7" t="s">
        <v>15</v>
      </c>
      <c r="H3568" s="7" t="s">
        <v>45</v>
      </c>
      <c r="I3568" s="20" t="s">
        <v>120</v>
      </c>
      <c r="J3568" s="20" t="s">
        <v>4961</v>
      </c>
      <c r="K3568" s="7" t="s">
        <v>119</v>
      </c>
      <c r="L3568" s="61">
        <v>46072</v>
      </c>
      <c r="M3568" s="7" t="s">
        <v>111</v>
      </c>
      <c r="N3568" s="61">
        <v>46072</v>
      </c>
      <c r="O3568" s="58">
        <v>46076</v>
      </c>
      <c r="R3568" s="126">
        <v>46077</v>
      </c>
    </row>
    <row r="3569" spans="2:18" ht="17.25" hidden="1" customHeight="1">
      <c r="B3569" s="23">
        <v>46066</v>
      </c>
      <c r="C3569" s="7">
        <v>2003914010</v>
      </c>
      <c r="D3569" s="20">
        <v>492940</v>
      </c>
      <c r="E3569" s="27" t="s">
        <v>123</v>
      </c>
      <c r="F3569" s="7" t="s">
        <v>107</v>
      </c>
      <c r="G3569" s="7" t="s">
        <v>10</v>
      </c>
      <c r="H3569" s="7" t="s">
        <v>45</v>
      </c>
      <c r="I3569" s="20" t="s">
        <v>4447</v>
      </c>
      <c r="J3569" s="20" t="s">
        <v>4962</v>
      </c>
      <c r="K3569" s="7" t="s">
        <v>119</v>
      </c>
      <c r="L3569" s="61">
        <v>46073</v>
      </c>
      <c r="M3569" s="7" t="s">
        <v>111</v>
      </c>
      <c r="N3569" s="61">
        <v>46073</v>
      </c>
      <c r="O3569" s="58">
        <v>46076</v>
      </c>
      <c r="R3569" s="126">
        <v>46077</v>
      </c>
    </row>
    <row r="3570" spans="2:18" ht="17.25" hidden="1" customHeight="1">
      <c r="B3570" s="23">
        <v>46066</v>
      </c>
      <c r="C3570" s="7">
        <v>2003902046</v>
      </c>
      <c r="D3570" s="20">
        <v>492538</v>
      </c>
      <c r="E3570" s="27" t="s">
        <v>185</v>
      </c>
      <c r="F3570" s="7" t="s">
        <v>107</v>
      </c>
      <c r="G3570" s="7" t="s">
        <v>34</v>
      </c>
      <c r="H3570" s="7" t="s">
        <v>45</v>
      </c>
      <c r="I3570" s="20" t="s">
        <v>4963</v>
      </c>
      <c r="J3570" s="20" t="s">
        <v>4708</v>
      </c>
      <c r="K3570" s="7" t="s">
        <v>111</v>
      </c>
      <c r="L3570" s="61">
        <v>46071</v>
      </c>
      <c r="M3570" s="7" t="s">
        <v>111</v>
      </c>
      <c r="N3570" s="61">
        <v>46071</v>
      </c>
      <c r="O3570" s="58">
        <v>46073</v>
      </c>
      <c r="R3570" s="126">
        <v>46077</v>
      </c>
    </row>
    <row r="3571" spans="2:18" ht="17.25" hidden="1" customHeight="1">
      <c r="B3571" s="23">
        <v>46066</v>
      </c>
      <c r="C3571" s="7">
        <v>2003927535</v>
      </c>
      <c r="D3571" s="20">
        <v>492511</v>
      </c>
      <c r="E3571" s="27" t="s">
        <v>180</v>
      </c>
      <c r="F3571" s="7" t="s">
        <v>107</v>
      </c>
      <c r="G3571" s="7" t="s">
        <v>18</v>
      </c>
      <c r="H3571" s="7" t="s">
        <v>45</v>
      </c>
      <c r="I3571" s="20" t="s">
        <v>4964</v>
      </c>
      <c r="J3571" s="20" t="s">
        <v>4965</v>
      </c>
      <c r="K3571" s="7" t="s">
        <v>110</v>
      </c>
      <c r="L3571" s="61">
        <v>46073</v>
      </c>
      <c r="M3571" s="7" t="s">
        <v>111</v>
      </c>
      <c r="N3571" s="61">
        <v>46073</v>
      </c>
      <c r="O3571" s="58">
        <v>46077</v>
      </c>
      <c r="R3571" s="126">
        <v>46077</v>
      </c>
    </row>
    <row r="3572" spans="2:18" ht="17.25" hidden="1" customHeight="1">
      <c r="B3572" s="23">
        <v>46066</v>
      </c>
      <c r="C3572" s="7">
        <v>2003924847</v>
      </c>
      <c r="D3572" s="20">
        <v>492373</v>
      </c>
      <c r="E3572" s="27" t="s">
        <v>1225</v>
      </c>
      <c r="F3572" s="7" t="s">
        <v>107</v>
      </c>
      <c r="G3572" s="7" t="s">
        <v>34</v>
      </c>
      <c r="H3572" s="7" t="s">
        <v>45</v>
      </c>
      <c r="I3572" s="232" t="s">
        <v>4966</v>
      </c>
      <c r="J3572" s="20" t="s">
        <v>4967</v>
      </c>
      <c r="K3572" s="7" t="s">
        <v>111</v>
      </c>
      <c r="L3572" s="61">
        <v>46073</v>
      </c>
      <c r="M3572" s="7" t="s">
        <v>111</v>
      </c>
      <c r="N3572" s="61">
        <v>46073</v>
      </c>
      <c r="O3572" s="58">
        <v>46077</v>
      </c>
      <c r="R3572" s="126">
        <v>46077</v>
      </c>
    </row>
    <row r="3573" spans="2:18" ht="17.25" hidden="1" customHeight="1">
      <c r="B3573" s="23">
        <v>46066</v>
      </c>
      <c r="C3573" s="7">
        <v>2003921279</v>
      </c>
      <c r="D3573" s="20">
        <v>492176</v>
      </c>
      <c r="E3573" s="27" t="s">
        <v>185</v>
      </c>
      <c r="F3573" s="7" t="s">
        <v>107</v>
      </c>
      <c r="G3573" s="7" t="s">
        <v>15</v>
      </c>
      <c r="H3573" s="7" t="s">
        <v>45</v>
      </c>
      <c r="I3573" s="20" t="s">
        <v>4968</v>
      </c>
      <c r="J3573" s="20" t="s">
        <v>4969</v>
      </c>
      <c r="K3573" s="7" t="s">
        <v>119</v>
      </c>
      <c r="L3573" s="61">
        <v>46073</v>
      </c>
      <c r="M3573" s="7" t="s">
        <v>111</v>
      </c>
      <c r="N3573" s="61">
        <v>46077</v>
      </c>
      <c r="O3573" s="61">
        <v>46077</v>
      </c>
      <c r="R3573" s="126">
        <v>46079</v>
      </c>
    </row>
    <row r="3574" spans="2:18" ht="17.25" hidden="1" customHeight="1">
      <c r="B3574" s="23">
        <v>46066</v>
      </c>
      <c r="C3574" s="7">
        <v>2003844566</v>
      </c>
      <c r="D3574" s="20">
        <v>6628735</v>
      </c>
      <c r="E3574" s="27" t="s">
        <v>4702</v>
      </c>
      <c r="F3574" s="7" t="s">
        <v>107</v>
      </c>
      <c r="G3574" s="7" t="s">
        <v>15</v>
      </c>
      <c r="H3574" s="7" t="s">
        <v>45</v>
      </c>
      <c r="I3574" s="20" t="s">
        <v>4970</v>
      </c>
      <c r="J3574" s="20" t="s">
        <v>4971</v>
      </c>
      <c r="K3574" s="7" t="s">
        <v>119</v>
      </c>
      <c r="L3574" s="61">
        <v>46072</v>
      </c>
      <c r="M3574" s="7" t="s">
        <v>111</v>
      </c>
      <c r="N3574" s="61">
        <v>46073</v>
      </c>
      <c r="O3574" s="58">
        <v>46076</v>
      </c>
      <c r="R3574" s="126">
        <v>46077</v>
      </c>
    </row>
    <row r="3575" spans="2:18" ht="17.25" hidden="1" customHeight="1">
      <c r="B3575" s="23">
        <v>46066</v>
      </c>
      <c r="C3575" s="7">
        <v>2003900039</v>
      </c>
      <c r="D3575" s="20">
        <v>6628872</v>
      </c>
      <c r="E3575" s="27" t="s">
        <v>1225</v>
      </c>
      <c r="F3575" s="7" t="s">
        <v>107</v>
      </c>
      <c r="G3575" s="7" t="s">
        <v>26</v>
      </c>
      <c r="H3575" s="7" t="s">
        <v>45</v>
      </c>
      <c r="I3575" s="20" t="s">
        <v>4972</v>
      </c>
      <c r="J3575" s="20" t="s">
        <v>3275</v>
      </c>
      <c r="K3575" s="7" t="s">
        <v>111</v>
      </c>
      <c r="L3575" s="61">
        <v>46071</v>
      </c>
      <c r="M3575" s="7" t="s">
        <v>111</v>
      </c>
      <c r="N3575" s="24">
        <v>46071</v>
      </c>
      <c r="O3575" s="58">
        <v>46071</v>
      </c>
      <c r="R3575" s="126">
        <v>46071</v>
      </c>
    </row>
    <row r="3576" spans="2:18" ht="17.25" hidden="1" customHeight="1">
      <c r="B3576" s="23">
        <v>46071</v>
      </c>
      <c r="C3576" s="7">
        <v>2003927715</v>
      </c>
      <c r="D3576" s="20">
        <v>495961</v>
      </c>
      <c r="E3576" s="27" t="s">
        <v>408</v>
      </c>
      <c r="F3576" s="7" t="s">
        <v>107</v>
      </c>
      <c r="G3576" s="7" t="s">
        <v>18</v>
      </c>
      <c r="H3576" s="7" t="s">
        <v>45</v>
      </c>
      <c r="I3576" s="20" t="s">
        <v>3964</v>
      </c>
      <c r="J3576" s="20" t="s">
        <v>4973</v>
      </c>
      <c r="K3576" s="7" t="s">
        <v>110</v>
      </c>
      <c r="L3576" s="61">
        <v>46073</v>
      </c>
      <c r="M3576" s="7" t="s">
        <v>111</v>
      </c>
      <c r="N3576" s="24">
        <v>46073</v>
      </c>
      <c r="O3576" s="58">
        <v>46077</v>
      </c>
      <c r="R3576" s="126">
        <v>46077</v>
      </c>
    </row>
    <row r="3577" spans="2:18" ht="17.25" hidden="1" customHeight="1">
      <c r="B3577" s="23">
        <v>46071</v>
      </c>
      <c r="C3577" s="7">
        <v>2003923223</v>
      </c>
      <c r="D3577" s="20">
        <v>495958</v>
      </c>
      <c r="E3577" s="27" t="s">
        <v>191</v>
      </c>
      <c r="F3577" s="7" t="s">
        <v>107</v>
      </c>
      <c r="G3577" s="7" t="s">
        <v>10</v>
      </c>
      <c r="H3577" s="7" t="s">
        <v>45</v>
      </c>
      <c r="I3577" s="20" t="s">
        <v>2590</v>
      </c>
      <c r="J3577" s="20" t="s">
        <v>2591</v>
      </c>
      <c r="K3577" s="7" t="s">
        <v>110</v>
      </c>
      <c r="L3577" s="61">
        <v>46073</v>
      </c>
      <c r="M3577" s="7" t="s">
        <v>111</v>
      </c>
      <c r="N3577" s="61">
        <v>46073</v>
      </c>
      <c r="O3577" s="58">
        <v>46077</v>
      </c>
      <c r="R3577" s="126">
        <v>46077</v>
      </c>
    </row>
    <row r="3578" spans="2:18" ht="17.25" hidden="1" customHeight="1">
      <c r="B3578" s="23">
        <v>46071</v>
      </c>
      <c r="C3578" s="7">
        <v>2003909976</v>
      </c>
      <c r="D3578" s="20">
        <v>495301</v>
      </c>
      <c r="E3578" s="27" t="s">
        <v>408</v>
      </c>
      <c r="F3578" s="7" t="s">
        <v>107</v>
      </c>
      <c r="G3578" s="7" t="s">
        <v>18</v>
      </c>
      <c r="H3578" s="7" t="s">
        <v>45</v>
      </c>
      <c r="I3578" s="20" t="s">
        <v>4974</v>
      </c>
      <c r="J3578" s="20" t="s">
        <v>4975</v>
      </c>
      <c r="K3578" s="7" t="s">
        <v>110</v>
      </c>
      <c r="L3578" s="61">
        <v>46073</v>
      </c>
      <c r="M3578" s="7" t="s">
        <v>111</v>
      </c>
      <c r="N3578" s="61">
        <v>46073</v>
      </c>
      <c r="O3578" s="58">
        <v>46077</v>
      </c>
      <c r="R3578" s="126">
        <v>46077</v>
      </c>
    </row>
    <row r="3579" spans="2:18" ht="17.25" hidden="1" customHeight="1">
      <c r="B3579" s="23">
        <v>46071</v>
      </c>
      <c r="C3579" s="7">
        <v>2003928538</v>
      </c>
      <c r="D3579" s="20">
        <v>495012</v>
      </c>
      <c r="E3579" s="27" t="s">
        <v>404</v>
      </c>
      <c r="F3579" s="7" t="s">
        <v>107</v>
      </c>
      <c r="G3579" s="7" t="s">
        <v>34</v>
      </c>
      <c r="H3579" s="7" t="s">
        <v>45</v>
      </c>
      <c r="I3579" s="20" t="s">
        <v>4976</v>
      </c>
      <c r="J3579" s="20" t="s">
        <v>4553</v>
      </c>
      <c r="K3579" s="7" t="s">
        <v>111</v>
      </c>
      <c r="L3579" s="61">
        <v>46073</v>
      </c>
      <c r="M3579" s="7" t="s">
        <v>111</v>
      </c>
      <c r="N3579" s="61">
        <v>46073</v>
      </c>
      <c r="O3579" s="58">
        <v>46076</v>
      </c>
      <c r="R3579" s="126">
        <v>46077</v>
      </c>
    </row>
    <row r="3580" spans="2:18" ht="17.25" hidden="1" customHeight="1">
      <c r="B3580" s="23">
        <v>46071</v>
      </c>
      <c r="C3580" s="7">
        <v>2003890949</v>
      </c>
      <c r="D3580" s="20">
        <v>494218</v>
      </c>
      <c r="E3580" s="27" t="s">
        <v>622</v>
      </c>
      <c r="F3580" s="7" t="s">
        <v>107</v>
      </c>
      <c r="G3580" s="7" t="s">
        <v>18</v>
      </c>
      <c r="H3580" s="7" t="s">
        <v>45</v>
      </c>
      <c r="I3580" s="20" t="s">
        <v>1136</v>
      </c>
      <c r="J3580" s="20" t="s">
        <v>4977</v>
      </c>
      <c r="K3580" s="7" t="s">
        <v>119</v>
      </c>
      <c r="L3580" s="61">
        <v>46073</v>
      </c>
      <c r="M3580" s="7" t="s">
        <v>111</v>
      </c>
      <c r="N3580" s="61">
        <v>46073</v>
      </c>
      <c r="O3580" s="58">
        <v>46078</v>
      </c>
      <c r="R3580" s="126">
        <v>46079</v>
      </c>
    </row>
    <row r="3581" spans="2:18" ht="17.25" hidden="1" customHeight="1">
      <c r="B3581" s="23">
        <v>46071</v>
      </c>
      <c r="C3581" s="7">
        <v>2003888173</v>
      </c>
      <c r="D3581" s="20">
        <v>6629862</v>
      </c>
      <c r="E3581" s="27" t="s">
        <v>106</v>
      </c>
      <c r="F3581" s="7" t="s">
        <v>107</v>
      </c>
      <c r="G3581" s="7" t="s">
        <v>10</v>
      </c>
      <c r="H3581" s="7" t="s">
        <v>45</v>
      </c>
      <c r="I3581" s="20" t="s">
        <v>2500</v>
      </c>
      <c r="J3581" s="20" t="s">
        <v>4978</v>
      </c>
      <c r="K3581" s="7" t="s">
        <v>110</v>
      </c>
      <c r="L3581" s="61">
        <v>46073</v>
      </c>
      <c r="M3581" s="7" t="s">
        <v>111</v>
      </c>
      <c r="N3581" s="61">
        <v>46073</v>
      </c>
      <c r="O3581" s="58">
        <v>46077</v>
      </c>
      <c r="R3581" s="126">
        <v>46077</v>
      </c>
    </row>
    <row r="3582" spans="2:18" ht="17.25" hidden="1" customHeight="1">
      <c r="B3582" s="23">
        <v>46071</v>
      </c>
      <c r="C3582" s="7">
        <v>2003926313</v>
      </c>
      <c r="D3582" s="20">
        <v>6629895</v>
      </c>
      <c r="E3582" s="27" t="s">
        <v>106</v>
      </c>
      <c r="F3582" s="7" t="s">
        <v>107</v>
      </c>
      <c r="G3582" s="7" t="s">
        <v>18</v>
      </c>
      <c r="H3582" s="7" t="s">
        <v>45</v>
      </c>
      <c r="I3582" s="20" t="s">
        <v>4979</v>
      </c>
      <c r="J3582" s="20" t="s">
        <v>4980</v>
      </c>
      <c r="K3582" s="7" t="s">
        <v>119</v>
      </c>
      <c r="L3582" s="61">
        <v>46073</v>
      </c>
      <c r="M3582" s="7" t="s">
        <v>111</v>
      </c>
      <c r="N3582" s="61">
        <v>46073</v>
      </c>
      <c r="O3582" s="58">
        <v>46077</v>
      </c>
      <c r="R3582" s="126">
        <v>46077</v>
      </c>
    </row>
    <row r="3583" spans="2:18" ht="17.25" customHeight="1">
      <c r="B3583" s="23">
        <v>46072</v>
      </c>
      <c r="C3583" s="7">
        <v>2003929534</v>
      </c>
      <c r="D3583" s="20">
        <v>497996</v>
      </c>
      <c r="E3583" s="27" t="s">
        <v>143</v>
      </c>
      <c r="F3583" s="7" t="s">
        <v>4981</v>
      </c>
      <c r="G3583" s="7" t="s">
        <v>10</v>
      </c>
      <c r="H3583" s="7" t="s">
        <v>42</v>
      </c>
      <c r="I3583" s="20" t="s">
        <v>4982</v>
      </c>
      <c r="J3583" s="20" t="s">
        <v>4983</v>
      </c>
      <c r="K3583" s="7" t="s">
        <v>119</v>
      </c>
      <c r="L3583" s="61">
        <v>46080</v>
      </c>
      <c r="M3583" s="7" t="s">
        <v>111</v>
      </c>
    </row>
    <row r="3584" spans="2:18" ht="17.25" hidden="1" customHeight="1">
      <c r="B3584" s="23">
        <v>46072</v>
      </c>
      <c r="C3584" s="7">
        <v>2003928961</v>
      </c>
      <c r="D3584" s="20">
        <v>6630411</v>
      </c>
      <c r="E3584" s="27" t="s">
        <v>4950</v>
      </c>
      <c r="F3584" s="7" t="s">
        <v>107</v>
      </c>
      <c r="G3584" s="7" t="s">
        <v>18</v>
      </c>
      <c r="H3584" s="7" t="s">
        <v>45</v>
      </c>
      <c r="I3584" s="20" t="s">
        <v>1628</v>
      </c>
      <c r="J3584" s="20" t="s">
        <v>1629</v>
      </c>
      <c r="K3584" s="7" t="s">
        <v>119</v>
      </c>
      <c r="L3584" s="61">
        <v>46078</v>
      </c>
      <c r="M3584" s="7" t="s">
        <v>111</v>
      </c>
      <c r="N3584" s="61">
        <v>46078</v>
      </c>
      <c r="O3584" s="61">
        <v>46078</v>
      </c>
      <c r="R3584" s="126">
        <v>46079</v>
      </c>
    </row>
    <row r="3585" spans="2:18" ht="17.25" hidden="1" customHeight="1">
      <c r="B3585" s="23">
        <v>46072</v>
      </c>
      <c r="C3585" s="7">
        <v>2003898684</v>
      </c>
      <c r="D3585" s="20">
        <v>6630617</v>
      </c>
      <c r="E3585" s="27" t="s">
        <v>1225</v>
      </c>
      <c r="F3585" s="7" t="s">
        <v>107</v>
      </c>
      <c r="G3585" s="7" t="s">
        <v>10</v>
      </c>
      <c r="H3585" s="7" t="s">
        <v>45</v>
      </c>
      <c r="I3585" s="20" t="s">
        <v>4984</v>
      </c>
      <c r="J3585" s="20" t="s">
        <v>4985</v>
      </c>
      <c r="K3585" s="7" t="s">
        <v>119</v>
      </c>
      <c r="L3585" s="61">
        <v>46073</v>
      </c>
      <c r="M3585" s="7" t="s">
        <v>111</v>
      </c>
      <c r="N3585" s="24">
        <v>46073</v>
      </c>
      <c r="O3585" s="58">
        <v>46077</v>
      </c>
      <c r="R3585" s="126">
        <v>46077</v>
      </c>
    </row>
    <row r="3586" spans="2:18" ht="17.25" hidden="1" customHeight="1">
      <c r="B3586" s="23">
        <v>46072</v>
      </c>
      <c r="C3586" s="7">
        <v>2003926987</v>
      </c>
      <c r="D3586" s="20">
        <v>6630663</v>
      </c>
      <c r="E3586" s="27" t="s">
        <v>1225</v>
      </c>
      <c r="F3586" s="7" t="s">
        <v>51</v>
      </c>
      <c r="G3586" s="7" t="s">
        <v>18</v>
      </c>
      <c r="H3586" s="7" t="s">
        <v>42</v>
      </c>
      <c r="I3586" s="20" t="s">
        <v>4986</v>
      </c>
      <c r="J3586" s="20" t="s">
        <v>4987</v>
      </c>
      <c r="K3586" s="7" t="s">
        <v>119</v>
      </c>
      <c r="L3586" s="61">
        <v>46076</v>
      </c>
      <c r="M3586" s="7" t="s">
        <v>111</v>
      </c>
      <c r="N3586" s="24">
        <v>46083</v>
      </c>
      <c r="O3586" s="24">
        <v>46083</v>
      </c>
    </row>
    <row r="3587" spans="2:18" ht="17.25" hidden="1" customHeight="1">
      <c r="B3587" s="23">
        <v>46072</v>
      </c>
      <c r="C3587" s="7">
        <v>2003850991</v>
      </c>
      <c r="D3587" s="20">
        <v>6630676</v>
      </c>
      <c r="E3587" s="27" t="s">
        <v>408</v>
      </c>
      <c r="F3587" s="7" t="s">
        <v>107</v>
      </c>
      <c r="G3587" s="7" t="s">
        <v>18</v>
      </c>
      <c r="H3587" s="7" t="s">
        <v>45</v>
      </c>
      <c r="I3587" s="20" t="s">
        <v>591</v>
      </c>
      <c r="J3587" s="20" t="s">
        <v>4501</v>
      </c>
      <c r="K3587" s="7" t="s">
        <v>119</v>
      </c>
      <c r="L3587" s="61">
        <v>46076</v>
      </c>
      <c r="M3587" s="7" t="s">
        <v>111</v>
      </c>
      <c r="N3587" s="24">
        <v>46077</v>
      </c>
      <c r="O3587" s="24">
        <v>46077</v>
      </c>
      <c r="R3587" s="126">
        <v>46077</v>
      </c>
    </row>
    <row r="3588" spans="2:18" ht="17.25" hidden="1" customHeight="1">
      <c r="B3588" s="23">
        <v>46072</v>
      </c>
      <c r="C3588" s="7">
        <v>2003913351</v>
      </c>
      <c r="D3588" s="20">
        <v>6630693</v>
      </c>
      <c r="E3588" s="27" t="s">
        <v>4950</v>
      </c>
      <c r="F3588" s="7" t="s">
        <v>107</v>
      </c>
      <c r="G3588" s="7" t="s">
        <v>10</v>
      </c>
      <c r="H3588" s="7" t="s">
        <v>45</v>
      </c>
      <c r="I3588" s="20" t="s">
        <v>591</v>
      </c>
      <c r="J3588" s="20" t="s">
        <v>4501</v>
      </c>
      <c r="K3588" s="7" t="s">
        <v>119</v>
      </c>
      <c r="L3588" s="61">
        <v>46076</v>
      </c>
      <c r="M3588" s="7" t="s">
        <v>111</v>
      </c>
      <c r="N3588" s="24">
        <v>46077</v>
      </c>
      <c r="O3588" s="24">
        <v>46077</v>
      </c>
      <c r="R3588" s="126">
        <v>46079</v>
      </c>
    </row>
    <row r="3589" spans="2:18" ht="17.25" hidden="1" customHeight="1">
      <c r="B3589" s="23">
        <v>46073</v>
      </c>
      <c r="C3589" s="7">
        <v>2003919401</v>
      </c>
      <c r="D3589" s="20">
        <v>499999</v>
      </c>
      <c r="E3589" s="27" t="s">
        <v>138</v>
      </c>
      <c r="F3589" s="7" t="s">
        <v>107</v>
      </c>
      <c r="G3589" s="7" t="s">
        <v>10</v>
      </c>
      <c r="H3589" s="7" t="s">
        <v>45</v>
      </c>
      <c r="I3589" s="20" t="s">
        <v>214</v>
      </c>
      <c r="J3589" s="20" t="s">
        <v>4988</v>
      </c>
      <c r="K3589" s="7" t="s">
        <v>119</v>
      </c>
      <c r="L3589" s="61">
        <v>46076</v>
      </c>
      <c r="M3589" s="7" t="s">
        <v>111</v>
      </c>
      <c r="N3589" s="24">
        <v>46077</v>
      </c>
      <c r="O3589" s="58">
        <v>46078</v>
      </c>
      <c r="R3589" s="126">
        <v>46079</v>
      </c>
    </row>
    <row r="3590" spans="2:18" ht="17.25" hidden="1" customHeight="1">
      <c r="B3590" s="23">
        <v>46073</v>
      </c>
      <c r="C3590" s="7">
        <v>2003926104</v>
      </c>
      <c r="D3590" s="20">
        <v>500024</v>
      </c>
      <c r="E3590" s="27" t="s">
        <v>191</v>
      </c>
      <c r="F3590" s="7" t="s">
        <v>107</v>
      </c>
      <c r="G3590" s="7" t="s">
        <v>18</v>
      </c>
      <c r="H3590" s="7" t="s">
        <v>45</v>
      </c>
      <c r="I3590" s="20" t="s">
        <v>4989</v>
      </c>
      <c r="J3590" s="20" t="s">
        <v>4990</v>
      </c>
      <c r="K3590" s="7" t="s">
        <v>119</v>
      </c>
      <c r="L3590" s="61">
        <v>46076</v>
      </c>
      <c r="M3590" s="7" t="s">
        <v>111</v>
      </c>
      <c r="N3590" s="24">
        <v>46077</v>
      </c>
      <c r="O3590" s="24">
        <v>46077</v>
      </c>
      <c r="R3590" s="126">
        <v>46079</v>
      </c>
    </row>
    <row r="3591" spans="2:18" ht="17.25" hidden="1" customHeight="1">
      <c r="B3591" s="23">
        <v>46073</v>
      </c>
      <c r="C3591" s="7">
        <v>2003928527</v>
      </c>
      <c r="D3591" s="20">
        <v>499910</v>
      </c>
      <c r="E3591" s="27" t="s">
        <v>123</v>
      </c>
      <c r="F3591" s="7" t="s">
        <v>107</v>
      </c>
      <c r="G3591" s="7" t="s">
        <v>18</v>
      </c>
      <c r="H3591" s="7" t="s">
        <v>45</v>
      </c>
      <c r="I3591" s="20" t="s">
        <v>4991</v>
      </c>
      <c r="J3591" s="20" t="s">
        <v>4992</v>
      </c>
      <c r="K3591" s="7" t="s">
        <v>119</v>
      </c>
      <c r="L3591" s="61">
        <v>46079</v>
      </c>
      <c r="M3591" s="7" t="s">
        <v>111</v>
      </c>
      <c r="N3591" s="61">
        <v>46080</v>
      </c>
      <c r="O3591" s="58">
        <v>46084</v>
      </c>
      <c r="R3591" s="126">
        <v>46085</v>
      </c>
    </row>
    <row r="3592" spans="2:18" ht="17.25" hidden="1" customHeight="1">
      <c r="B3592" s="23">
        <v>46073</v>
      </c>
      <c r="C3592" s="7">
        <v>2003932728</v>
      </c>
      <c r="D3592" s="20">
        <v>499871</v>
      </c>
      <c r="E3592" s="27" t="s">
        <v>622</v>
      </c>
      <c r="F3592" s="7" t="s">
        <v>107</v>
      </c>
      <c r="G3592" s="7" t="s">
        <v>10</v>
      </c>
      <c r="H3592" s="7" t="s">
        <v>45</v>
      </c>
      <c r="I3592" s="20" t="s">
        <v>4551</v>
      </c>
      <c r="J3592" s="20" t="s">
        <v>4552</v>
      </c>
      <c r="K3592" s="7" t="s">
        <v>119</v>
      </c>
      <c r="L3592" s="61">
        <v>46078</v>
      </c>
      <c r="M3592" s="7" t="s">
        <v>111</v>
      </c>
      <c r="N3592" s="61">
        <v>46078</v>
      </c>
      <c r="O3592" s="58">
        <v>46083</v>
      </c>
      <c r="P3592" s="58"/>
      <c r="R3592" s="126">
        <v>46085</v>
      </c>
    </row>
    <row r="3593" spans="2:18" ht="17.25" hidden="1" customHeight="1">
      <c r="B3593" s="23">
        <v>46073</v>
      </c>
      <c r="C3593" s="7">
        <v>2003881327</v>
      </c>
      <c r="D3593" s="20">
        <v>499755</v>
      </c>
      <c r="E3593" s="27" t="s">
        <v>135</v>
      </c>
      <c r="F3593" s="7" t="s">
        <v>107</v>
      </c>
      <c r="G3593" s="7" t="s">
        <v>15</v>
      </c>
      <c r="H3593" s="7" t="s">
        <v>45</v>
      </c>
      <c r="I3593" s="20" t="s">
        <v>4993</v>
      </c>
      <c r="J3593" s="20" t="s">
        <v>4593</v>
      </c>
      <c r="K3593" s="7" t="s">
        <v>110</v>
      </c>
      <c r="L3593" s="61">
        <v>46073</v>
      </c>
      <c r="M3593" s="7" t="s">
        <v>111</v>
      </c>
      <c r="N3593" s="61">
        <v>46073</v>
      </c>
      <c r="O3593" s="58">
        <v>46078</v>
      </c>
      <c r="R3593" s="126">
        <v>46079</v>
      </c>
    </row>
    <row r="3594" spans="2:18" ht="17.25" customHeight="1">
      <c r="B3594" s="23">
        <v>46073</v>
      </c>
      <c r="C3594" s="7">
        <v>2003928232</v>
      </c>
      <c r="D3594" s="20">
        <v>499600</v>
      </c>
      <c r="E3594" s="27" t="s">
        <v>106</v>
      </c>
      <c r="F3594" s="7" t="s">
        <v>4981</v>
      </c>
      <c r="G3594" s="7" t="s">
        <v>10</v>
      </c>
      <c r="H3594" s="7" t="s">
        <v>42</v>
      </c>
      <c r="I3594" s="20" t="s">
        <v>4994</v>
      </c>
      <c r="J3594" s="20" t="s">
        <v>4995</v>
      </c>
      <c r="K3594" s="7" t="s">
        <v>119</v>
      </c>
      <c r="L3594" s="61">
        <v>46077</v>
      </c>
      <c r="M3594" s="7" t="s">
        <v>111</v>
      </c>
    </row>
    <row r="3595" spans="2:18" ht="17.25" hidden="1" customHeight="1">
      <c r="B3595" s="23">
        <v>46073</v>
      </c>
      <c r="C3595" s="7">
        <v>2003867416</v>
      </c>
      <c r="D3595" s="20">
        <v>499159</v>
      </c>
      <c r="E3595" s="27" t="s">
        <v>408</v>
      </c>
      <c r="F3595" s="7" t="s">
        <v>107</v>
      </c>
      <c r="G3595" s="7" t="s">
        <v>10</v>
      </c>
      <c r="H3595" s="7" t="s">
        <v>45</v>
      </c>
      <c r="I3595" s="20" t="s">
        <v>2976</v>
      </c>
      <c r="J3595" s="20" t="s">
        <v>4996</v>
      </c>
      <c r="K3595" s="7" t="s">
        <v>119</v>
      </c>
      <c r="L3595" s="61">
        <v>46076</v>
      </c>
      <c r="M3595" s="7" t="s">
        <v>111</v>
      </c>
      <c r="N3595" s="24">
        <v>46077</v>
      </c>
      <c r="O3595" s="58">
        <v>46078</v>
      </c>
      <c r="R3595" s="126">
        <v>46079</v>
      </c>
    </row>
    <row r="3596" spans="2:18" ht="17.25" hidden="1" customHeight="1">
      <c r="B3596" s="23">
        <v>46073</v>
      </c>
      <c r="C3596" s="7">
        <v>2003925115</v>
      </c>
      <c r="D3596" s="20">
        <v>499144</v>
      </c>
      <c r="E3596" s="27" t="s">
        <v>408</v>
      </c>
      <c r="F3596" s="7" t="s">
        <v>107</v>
      </c>
      <c r="G3596" s="7" t="s">
        <v>26</v>
      </c>
      <c r="H3596" s="7" t="s">
        <v>45</v>
      </c>
      <c r="I3596" s="20" t="s">
        <v>833</v>
      </c>
      <c r="J3596" s="20" t="s">
        <v>4997</v>
      </c>
      <c r="K3596" s="7" t="s">
        <v>110</v>
      </c>
      <c r="L3596" s="61">
        <v>46077</v>
      </c>
      <c r="M3596" s="7" t="s">
        <v>111</v>
      </c>
      <c r="N3596" s="24">
        <v>46079</v>
      </c>
      <c r="O3596" s="58">
        <v>46079</v>
      </c>
      <c r="R3596" s="126">
        <v>46079</v>
      </c>
    </row>
    <row r="3597" spans="2:18" ht="17.25" hidden="1" customHeight="1">
      <c r="B3597" s="23">
        <v>46073</v>
      </c>
      <c r="C3597" s="7">
        <v>2003930218</v>
      </c>
      <c r="D3597" s="20">
        <v>499142</v>
      </c>
      <c r="E3597" s="27" t="s">
        <v>408</v>
      </c>
      <c r="F3597" s="7" t="s">
        <v>107</v>
      </c>
      <c r="G3597" s="7" t="s">
        <v>18</v>
      </c>
      <c r="H3597" s="7" t="s">
        <v>45</v>
      </c>
      <c r="I3597" s="20" t="s">
        <v>3105</v>
      </c>
      <c r="J3597" s="20" t="s">
        <v>4998</v>
      </c>
      <c r="K3597" s="7" t="s">
        <v>119</v>
      </c>
      <c r="L3597" s="61">
        <v>46078</v>
      </c>
      <c r="M3597" s="7" t="s">
        <v>111</v>
      </c>
      <c r="N3597" s="61">
        <v>46078</v>
      </c>
      <c r="O3597" s="58">
        <v>46083</v>
      </c>
      <c r="P3597" s="58"/>
      <c r="R3597" s="126">
        <v>46085</v>
      </c>
    </row>
    <row r="3598" spans="2:18" ht="17.25" hidden="1" customHeight="1">
      <c r="B3598" s="23">
        <v>46073</v>
      </c>
      <c r="C3598" s="7">
        <v>2003922311</v>
      </c>
      <c r="D3598" s="20">
        <v>498549</v>
      </c>
      <c r="E3598" s="27" t="s">
        <v>123</v>
      </c>
      <c r="F3598" s="7" t="s">
        <v>107</v>
      </c>
      <c r="G3598" s="7" t="s">
        <v>10</v>
      </c>
      <c r="H3598" s="7" t="s">
        <v>45</v>
      </c>
      <c r="I3598" s="20" t="s">
        <v>1879</v>
      </c>
      <c r="J3598" s="20" t="s">
        <v>4999</v>
      </c>
      <c r="K3598" s="7" t="s">
        <v>119</v>
      </c>
      <c r="L3598" s="61">
        <v>46078</v>
      </c>
      <c r="M3598" s="7" t="s">
        <v>111</v>
      </c>
      <c r="N3598" s="24">
        <v>46079</v>
      </c>
      <c r="O3598" s="24">
        <v>46079</v>
      </c>
      <c r="R3598" s="126">
        <v>46079</v>
      </c>
    </row>
    <row r="3599" spans="2:18" ht="17.25" hidden="1" customHeight="1">
      <c r="B3599" s="23">
        <v>46073</v>
      </c>
      <c r="C3599" s="7">
        <v>2003931018</v>
      </c>
      <c r="D3599" s="20">
        <v>6631101</v>
      </c>
      <c r="E3599" s="27" t="s">
        <v>622</v>
      </c>
      <c r="F3599" s="7" t="s">
        <v>107</v>
      </c>
      <c r="G3599" s="7" t="s">
        <v>10</v>
      </c>
      <c r="H3599" s="7" t="s">
        <v>45</v>
      </c>
      <c r="I3599" s="20" t="s">
        <v>1992</v>
      </c>
      <c r="J3599" s="20" t="s">
        <v>5000</v>
      </c>
      <c r="K3599" s="7" t="s">
        <v>119</v>
      </c>
      <c r="L3599" s="61">
        <v>46078</v>
      </c>
      <c r="M3599" s="7" t="s">
        <v>111</v>
      </c>
      <c r="N3599" s="61">
        <v>46078</v>
      </c>
      <c r="O3599" s="61">
        <v>46078</v>
      </c>
      <c r="R3599" s="126">
        <v>46079</v>
      </c>
    </row>
    <row r="3600" spans="2:18" ht="17.25" hidden="1" customHeight="1">
      <c r="B3600" s="23">
        <v>46073</v>
      </c>
      <c r="C3600" s="7">
        <v>2003920275</v>
      </c>
      <c r="D3600" s="20">
        <v>6631157</v>
      </c>
      <c r="E3600" s="27" t="s">
        <v>622</v>
      </c>
      <c r="F3600" s="7" t="s">
        <v>51</v>
      </c>
      <c r="G3600" s="7" t="s">
        <v>18</v>
      </c>
      <c r="H3600" s="7" t="s">
        <v>42</v>
      </c>
      <c r="I3600" s="20" t="s">
        <v>5001</v>
      </c>
      <c r="J3600" s="20" t="s">
        <v>5002</v>
      </c>
      <c r="K3600" s="7" t="s">
        <v>119</v>
      </c>
      <c r="L3600" s="61">
        <v>46077</v>
      </c>
      <c r="M3600" s="7" t="s">
        <v>111</v>
      </c>
      <c r="N3600" s="24">
        <v>46077</v>
      </c>
      <c r="O3600" s="58">
        <v>46083</v>
      </c>
      <c r="P3600" s="58"/>
    </row>
    <row r="3601" spans="2:18" ht="17.25" hidden="1" customHeight="1">
      <c r="B3601" s="23">
        <v>46073</v>
      </c>
      <c r="C3601" s="7">
        <v>2003928565</v>
      </c>
      <c r="D3601" s="20">
        <v>6631206</v>
      </c>
      <c r="E3601" s="27" t="s">
        <v>138</v>
      </c>
      <c r="F3601" s="7" t="s">
        <v>107</v>
      </c>
      <c r="G3601" s="7" t="s">
        <v>10</v>
      </c>
      <c r="H3601" s="7" t="s">
        <v>45</v>
      </c>
      <c r="I3601" s="20" t="s">
        <v>3296</v>
      </c>
      <c r="J3601" s="20" t="s">
        <v>5003</v>
      </c>
      <c r="K3601" s="7" t="s">
        <v>119</v>
      </c>
      <c r="L3601" s="61">
        <v>46076</v>
      </c>
      <c r="M3601" s="7" t="s">
        <v>111</v>
      </c>
      <c r="N3601" s="24">
        <v>46077</v>
      </c>
      <c r="O3601" s="58">
        <v>46078</v>
      </c>
      <c r="R3601" s="126">
        <v>46079</v>
      </c>
    </row>
    <row r="3602" spans="2:18" ht="17.25" hidden="1" customHeight="1">
      <c r="B3602" s="23">
        <v>46073</v>
      </c>
      <c r="C3602" s="7">
        <v>2003839449</v>
      </c>
      <c r="D3602" s="20">
        <v>6631245</v>
      </c>
      <c r="E3602" s="27" t="s">
        <v>1225</v>
      </c>
      <c r="F3602" s="7" t="s">
        <v>107</v>
      </c>
      <c r="G3602" s="7" t="s">
        <v>18</v>
      </c>
      <c r="H3602" s="7" t="s">
        <v>45</v>
      </c>
      <c r="I3602" s="20" t="s">
        <v>3984</v>
      </c>
      <c r="J3602" s="20" t="s">
        <v>5004</v>
      </c>
      <c r="K3602" s="7" t="s">
        <v>119</v>
      </c>
      <c r="L3602" s="61">
        <v>46077</v>
      </c>
      <c r="M3602" s="7" t="s">
        <v>111</v>
      </c>
      <c r="N3602" s="61">
        <v>46077</v>
      </c>
      <c r="O3602" s="58">
        <v>46078</v>
      </c>
      <c r="R3602" s="126">
        <v>46079</v>
      </c>
    </row>
    <row r="3603" spans="2:18" ht="17.25" hidden="1" customHeight="1">
      <c r="B3603" s="23">
        <v>46073</v>
      </c>
      <c r="C3603" s="7">
        <v>2003887046</v>
      </c>
      <c r="D3603" s="20">
        <v>6631345</v>
      </c>
      <c r="E3603" s="27" t="s">
        <v>185</v>
      </c>
      <c r="F3603" s="7" t="s">
        <v>107</v>
      </c>
      <c r="G3603" s="7" t="s">
        <v>18</v>
      </c>
      <c r="H3603" s="7" t="s">
        <v>45</v>
      </c>
      <c r="I3603" s="20" t="s">
        <v>5005</v>
      </c>
      <c r="J3603" s="20" t="s">
        <v>5006</v>
      </c>
      <c r="K3603" s="7" t="s">
        <v>110</v>
      </c>
      <c r="L3603" s="61">
        <v>46077</v>
      </c>
      <c r="M3603" s="7" t="s">
        <v>111</v>
      </c>
      <c r="N3603" s="61">
        <v>46077</v>
      </c>
      <c r="O3603" s="58">
        <v>46078</v>
      </c>
      <c r="R3603" s="126">
        <v>46079</v>
      </c>
    </row>
    <row r="3604" spans="2:18" ht="17.25" hidden="1" customHeight="1">
      <c r="B3604" s="23">
        <v>46073</v>
      </c>
      <c r="C3604" s="7">
        <v>2003915759</v>
      </c>
      <c r="D3604" s="20">
        <v>6631374</v>
      </c>
      <c r="E3604" s="27" t="s">
        <v>201</v>
      </c>
      <c r="F3604" s="7" t="s">
        <v>51</v>
      </c>
      <c r="G3604" s="7" t="s">
        <v>21</v>
      </c>
      <c r="H3604" s="7" t="s">
        <v>42</v>
      </c>
      <c r="I3604" s="20" t="s">
        <v>5007</v>
      </c>
      <c r="J3604" s="20" t="s">
        <v>4868</v>
      </c>
      <c r="K3604" s="7" t="s">
        <v>119</v>
      </c>
      <c r="L3604" s="61">
        <v>46078</v>
      </c>
      <c r="M3604" s="7" t="s">
        <v>111</v>
      </c>
      <c r="N3604" s="24">
        <v>46083</v>
      </c>
      <c r="O3604" s="24">
        <v>46083</v>
      </c>
    </row>
    <row r="3605" spans="2:18" ht="17.25" hidden="1" customHeight="1">
      <c r="B3605" s="23">
        <v>46073</v>
      </c>
      <c r="C3605" s="7">
        <v>2003905090</v>
      </c>
      <c r="D3605" s="20">
        <v>6631396</v>
      </c>
      <c r="E3605" s="27" t="s">
        <v>185</v>
      </c>
      <c r="F3605" s="7" t="s">
        <v>107</v>
      </c>
      <c r="G3605" s="7" t="s">
        <v>26</v>
      </c>
      <c r="H3605" s="7" t="s">
        <v>45</v>
      </c>
      <c r="I3605" s="20" t="s">
        <v>2149</v>
      </c>
      <c r="J3605" s="20" t="s">
        <v>4780</v>
      </c>
      <c r="K3605" s="7" t="s">
        <v>119</v>
      </c>
      <c r="L3605" s="61">
        <v>46076</v>
      </c>
      <c r="M3605" s="7" t="s">
        <v>111</v>
      </c>
      <c r="N3605" s="24">
        <v>46077</v>
      </c>
      <c r="O3605" s="24">
        <v>46077</v>
      </c>
      <c r="R3605" s="126">
        <v>46079</v>
      </c>
    </row>
    <row r="3606" spans="2:18" ht="17.25" hidden="1" customHeight="1">
      <c r="B3606" s="23">
        <v>46073</v>
      </c>
      <c r="C3606" s="7">
        <v>2003930631</v>
      </c>
      <c r="D3606" s="20">
        <v>6631437</v>
      </c>
      <c r="E3606" s="27" t="s">
        <v>138</v>
      </c>
      <c r="F3606" s="7" t="s">
        <v>51</v>
      </c>
      <c r="G3606" s="7" t="s">
        <v>10</v>
      </c>
      <c r="H3606" s="7" t="s">
        <v>42</v>
      </c>
      <c r="I3606" s="20" t="s">
        <v>938</v>
      </c>
      <c r="J3606" s="20" t="s">
        <v>5008</v>
      </c>
      <c r="K3606" s="7" t="s">
        <v>119</v>
      </c>
      <c r="L3606" s="61">
        <v>46079</v>
      </c>
      <c r="M3606" s="7" t="s">
        <v>111</v>
      </c>
      <c r="N3606" s="61">
        <v>46080</v>
      </c>
      <c r="O3606" s="61">
        <v>46080</v>
      </c>
    </row>
    <row r="3607" spans="2:18" ht="17.25" hidden="1" customHeight="1">
      <c r="B3607" s="23">
        <v>46076</v>
      </c>
      <c r="C3607" s="7">
        <v>2003924952</v>
      </c>
      <c r="D3607" s="20">
        <v>502480</v>
      </c>
      <c r="E3607" s="27" t="s">
        <v>123</v>
      </c>
      <c r="F3607" s="7" t="s">
        <v>107</v>
      </c>
      <c r="G3607" s="7" t="s">
        <v>10</v>
      </c>
      <c r="H3607" s="7" t="s">
        <v>45</v>
      </c>
      <c r="I3607" s="20" t="s">
        <v>5009</v>
      </c>
      <c r="J3607" s="20" t="s">
        <v>5010</v>
      </c>
      <c r="K3607" s="7" t="s">
        <v>119</v>
      </c>
      <c r="L3607" s="61">
        <v>46078</v>
      </c>
      <c r="M3607" s="7" t="s">
        <v>111</v>
      </c>
      <c r="N3607" s="24">
        <v>46080</v>
      </c>
      <c r="O3607" s="58">
        <v>46084</v>
      </c>
      <c r="R3607" s="126">
        <v>46085</v>
      </c>
    </row>
    <row r="3608" spans="2:18" ht="17.25" hidden="1" customHeight="1">
      <c r="B3608" s="23">
        <v>46076</v>
      </c>
      <c r="C3608" s="7">
        <v>2003913341</v>
      </c>
      <c r="D3608" s="20">
        <v>502461</v>
      </c>
      <c r="E3608" s="27" t="s">
        <v>123</v>
      </c>
      <c r="F3608" s="7" t="s">
        <v>5011</v>
      </c>
      <c r="G3608" s="7" t="s">
        <v>10</v>
      </c>
      <c r="H3608" s="7" t="s">
        <v>42</v>
      </c>
      <c r="I3608" s="20" t="s">
        <v>5012</v>
      </c>
      <c r="J3608" s="20" t="s">
        <v>5013</v>
      </c>
      <c r="K3608" s="7" t="s">
        <v>119</v>
      </c>
      <c r="L3608" s="61">
        <v>46084</v>
      </c>
      <c r="M3608" s="7" t="s">
        <v>111</v>
      </c>
    </row>
    <row r="3609" spans="2:18" ht="17.25" hidden="1" customHeight="1">
      <c r="B3609" s="23">
        <v>46076</v>
      </c>
      <c r="C3609" s="7">
        <v>2003930489</v>
      </c>
      <c r="D3609" s="20">
        <v>502426</v>
      </c>
      <c r="E3609" s="27" t="s">
        <v>198</v>
      </c>
      <c r="F3609" s="7" t="s">
        <v>107</v>
      </c>
      <c r="G3609" s="7" t="s">
        <v>18</v>
      </c>
      <c r="H3609" s="7" t="s">
        <v>45</v>
      </c>
      <c r="I3609" s="20" t="s">
        <v>5014</v>
      </c>
      <c r="J3609" s="20" t="s">
        <v>5015</v>
      </c>
      <c r="K3609" s="7" t="s">
        <v>119</v>
      </c>
      <c r="L3609" s="61">
        <v>46078</v>
      </c>
      <c r="M3609" s="7" t="s">
        <v>111</v>
      </c>
      <c r="N3609" s="24">
        <v>46080</v>
      </c>
      <c r="O3609" s="58">
        <v>46083</v>
      </c>
      <c r="R3609" s="126">
        <v>46085</v>
      </c>
    </row>
    <row r="3610" spans="2:18" ht="17.25" hidden="1" customHeight="1">
      <c r="B3610" s="23">
        <v>46076</v>
      </c>
      <c r="C3610" s="7">
        <v>2003932430</v>
      </c>
      <c r="D3610" s="20">
        <v>502262</v>
      </c>
      <c r="E3610" s="27" t="s">
        <v>123</v>
      </c>
      <c r="F3610" s="7" t="s">
        <v>107</v>
      </c>
      <c r="G3610" s="7" t="s">
        <v>10</v>
      </c>
      <c r="H3610" s="7" t="s">
        <v>45</v>
      </c>
      <c r="I3610" s="20" t="s">
        <v>5016</v>
      </c>
      <c r="J3610" s="20" t="s">
        <v>5017</v>
      </c>
      <c r="K3610" s="7" t="s">
        <v>119</v>
      </c>
      <c r="L3610" s="61">
        <v>46078</v>
      </c>
      <c r="M3610" s="7" t="s">
        <v>111</v>
      </c>
      <c r="N3610" s="24">
        <v>46080</v>
      </c>
      <c r="O3610" s="58">
        <v>46083</v>
      </c>
      <c r="R3610" s="126">
        <v>46085</v>
      </c>
    </row>
    <row r="3611" spans="2:18" ht="17.25" hidden="1" customHeight="1">
      <c r="B3611" s="23">
        <v>46076</v>
      </c>
      <c r="C3611" s="7">
        <v>2003934446</v>
      </c>
      <c r="D3611" s="20">
        <v>502324</v>
      </c>
      <c r="E3611" s="27" t="s">
        <v>408</v>
      </c>
      <c r="F3611" s="7" t="s">
        <v>5018</v>
      </c>
      <c r="G3611" s="7" t="s">
        <v>10</v>
      </c>
      <c r="H3611" s="7" t="s">
        <v>42</v>
      </c>
      <c r="I3611" s="20" t="s">
        <v>631</v>
      </c>
      <c r="J3611" s="20" t="s">
        <v>4526</v>
      </c>
      <c r="K3611" s="7" t="s">
        <v>110</v>
      </c>
      <c r="L3611" s="61">
        <v>46084</v>
      </c>
      <c r="M3611" s="7" t="s">
        <v>111</v>
      </c>
      <c r="N3611" s="24">
        <v>46085</v>
      </c>
    </row>
    <row r="3612" spans="2:18" ht="17.25" hidden="1" customHeight="1">
      <c r="B3612" s="23">
        <v>46076</v>
      </c>
      <c r="C3612" s="7">
        <v>2003907993</v>
      </c>
      <c r="D3612" s="20">
        <v>501906</v>
      </c>
      <c r="E3612" s="27" t="s">
        <v>1225</v>
      </c>
      <c r="F3612" s="7" t="s">
        <v>107</v>
      </c>
      <c r="G3612" s="7" t="s">
        <v>21</v>
      </c>
      <c r="H3612" s="7" t="s">
        <v>45</v>
      </c>
      <c r="I3612" s="20" t="s">
        <v>1602</v>
      </c>
      <c r="J3612" s="20" t="s">
        <v>4791</v>
      </c>
      <c r="K3612" s="7" t="s">
        <v>119</v>
      </c>
      <c r="L3612" s="61">
        <v>46077</v>
      </c>
      <c r="M3612" s="7" t="s">
        <v>111</v>
      </c>
      <c r="N3612" s="24">
        <v>46079</v>
      </c>
      <c r="O3612" s="24">
        <v>46079</v>
      </c>
      <c r="R3612" s="126">
        <v>46079</v>
      </c>
    </row>
    <row r="3613" spans="2:18" ht="17.25" customHeight="1">
      <c r="B3613" s="23">
        <v>46076</v>
      </c>
      <c r="C3613" s="7">
        <v>2003933894</v>
      </c>
      <c r="D3613" s="20">
        <v>501799</v>
      </c>
      <c r="E3613" s="27" t="s">
        <v>1225</v>
      </c>
      <c r="F3613" s="7" t="s">
        <v>4981</v>
      </c>
      <c r="G3613" s="7" t="s">
        <v>10</v>
      </c>
      <c r="H3613" s="7" t="s">
        <v>42</v>
      </c>
      <c r="I3613" s="20" t="s">
        <v>5019</v>
      </c>
      <c r="J3613" s="20" t="s">
        <v>5020</v>
      </c>
      <c r="K3613" s="7" t="s">
        <v>119</v>
      </c>
      <c r="L3613" s="61">
        <v>46083</v>
      </c>
      <c r="M3613" s="7" t="s">
        <v>111</v>
      </c>
    </row>
    <row r="3614" spans="2:18" ht="17.25" hidden="1" customHeight="1">
      <c r="B3614" s="23">
        <v>46076</v>
      </c>
      <c r="C3614" s="7">
        <v>2003931614</v>
      </c>
      <c r="D3614" s="20">
        <v>501652</v>
      </c>
      <c r="E3614" s="27" t="s">
        <v>123</v>
      </c>
      <c r="F3614" s="7" t="s">
        <v>107</v>
      </c>
      <c r="G3614" s="7" t="s">
        <v>10</v>
      </c>
      <c r="H3614" s="7" t="s">
        <v>45</v>
      </c>
      <c r="I3614" s="20" t="s">
        <v>5021</v>
      </c>
      <c r="J3614" s="20" t="s">
        <v>5022</v>
      </c>
      <c r="K3614" s="7" t="s">
        <v>119</v>
      </c>
      <c r="L3614" s="61">
        <v>46078</v>
      </c>
      <c r="M3614" s="7" t="s">
        <v>111</v>
      </c>
      <c r="N3614" s="24">
        <v>46080</v>
      </c>
      <c r="O3614" s="58">
        <v>46084</v>
      </c>
      <c r="R3614" s="126">
        <v>46085</v>
      </c>
    </row>
    <row r="3615" spans="2:18" ht="17.25" hidden="1" customHeight="1">
      <c r="B3615" s="23">
        <v>46076</v>
      </c>
      <c r="C3615" s="7">
        <v>2003873953</v>
      </c>
      <c r="D3615" s="20">
        <v>501585</v>
      </c>
      <c r="E3615" s="27" t="s">
        <v>1225</v>
      </c>
      <c r="F3615" s="7" t="s">
        <v>107</v>
      </c>
      <c r="G3615" s="7" t="s">
        <v>18</v>
      </c>
      <c r="H3615" s="7" t="s">
        <v>45</v>
      </c>
      <c r="I3615" s="20" t="s">
        <v>5023</v>
      </c>
      <c r="J3615" s="20" t="s">
        <v>5024</v>
      </c>
      <c r="K3615" s="7" t="s">
        <v>119</v>
      </c>
      <c r="L3615" s="61">
        <v>46077</v>
      </c>
      <c r="M3615" s="7" t="s">
        <v>111</v>
      </c>
      <c r="N3615" s="61">
        <v>46077</v>
      </c>
      <c r="O3615" s="58">
        <v>46078</v>
      </c>
      <c r="R3615" s="126">
        <v>46079</v>
      </c>
    </row>
    <row r="3616" spans="2:18" ht="17.25" hidden="1" customHeight="1">
      <c r="B3616" s="23">
        <v>46076</v>
      </c>
      <c r="C3616" s="7">
        <v>2003932569</v>
      </c>
      <c r="D3616" s="20">
        <v>501025</v>
      </c>
      <c r="E3616" s="27" t="s">
        <v>849</v>
      </c>
      <c r="F3616" s="7" t="s">
        <v>107</v>
      </c>
      <c r="G3616" s="7" t="s">
        <v>10</v>
      </c>
      <c r="H3616" s="7" t="s">
        <v>45</v>
      </c>
      <c r="I3616" s="20" t="s">
        <v>431</v>
      </c>
      <c r="J3616" s="20" t="s">
        <v>5025</v>
      </c>
      <c r="K3616" s="7" t="s">
        <v>119</v>
      </c>
      <c r="L3616" s="61">
        <v>46079</v>
      </c>
      <c r="M3616" s="7" t="s">
        <v>111</v>
      </c>
      <c r="N3616" s="24">
        <v>46080</v>
      </c>
      <c r="O3616" s="58">
        <v>46084</v>
      </c>
      <c r="R3616" s="126">
        <v>46085</v>
      </c>
    </row>
    <row r="3617" spans="2:18" ht="17.25" hidden="1" customHeight="1">
      <c r="B3617" s="23">
        <v>46076</v>
      </c>
      <c r="C3617" s="7">
        <v>2003904919</v>
      </c>
      <c r="D3617" s="20">
        <v>500876</v>
      </c>
      <c r="E3617" s="27" t="s">
        <v>116</v>
      </c>
      <c r="F3617" s="7" t="s">
        <v>107</v>
      </c>
      <c r="G3617" s="7" t="s">
        <v>10</v>
      </c>
      <c r="H3617" s="7" t="s">
        <v>45</v>
      </c>
      <c r="I3617" s="20" t="s">
        <v>5026</v>
      </c>
      <c r="J3617" s="20" t="s">
        <v>5027</v>
      </c>
      <c r="K3617" s="7" t="s">
        <v>119</v>
      </c>
      <c r="L3617" s="61">
        <v>46078</v>
      </c>
      <c r="M3617" s="7" t="s">
        <v>111</v>
      </c>
      <c r="N3617" s="24">
        <v>46083</v>
      </c>
      <c r="O3617" s="24">
        <v>46083</v>
      </c>
      <c r="R3617" s="126">
        <v>46085</v>
      </c>
    </row>
    <row r="3618" spans="2:18" ht="17.25" hidden="1" customHeight="1">
      <c r="B3618" s="23">
        <v>46076</v>
      </c>
      <c r="C3618" s="7">
        <v>310025869</v>
      </c>
      <c r="D3618" s="20">
        <v>6631735</v>
      </c>
      <c r="E3618" s="27" t="s">
        <v>4702</v>
      </c>
      <c r="F3618" s="7" t="s">
        <v>51</v>
      </c>
      <c r="G3618" s="7" t="s">
        <v>15</v>
      </c>
      <c r="H3618" s="7" t="s">
        <v>42</v>
      </c>
      <c r="I3618" s="20" t="s">
        <v>5028</v>
      </c>
      <c r="J3618" s="20" t="s">
        <v>5029</v>
      </c>
      <c r="K3618" s="7" t="s">
        <v>119</v>
      </c>
      <c r="L3618" s="61">
        <v>46080</v>
      </c>
      <c r="M3618" s="7" t="s">
        <v>111</v>
      </c>
      <c r="N3618" s="24">
        <v>46083</v>
      </c>
      <c r="O3618" s="24">
        <v>46083</v>
      </c>
    </row>
    <row r="3619" spans="2:18" ht="17.25" hidden="1" customHeight="1">
      <c r="B3619" s="23">
        <v>46076</v>
      </c>
      <c r="C3619" s="7">
        <v>2003932708</v>
      </c>
      <c r="D3619" s="20">
        <v>6631807</v>
      </c>
      <c r="E3619" s="27" t="s">
        <v>1225</v>
      </c>
      <c r="F3619" s="7" t="s">
        <v>51</v>
      </c>
      <c r="G3619" s="7" t="s">
        <v>10</v>
      </c>
      <c r="H3619" s="7" t="s">
        <v>42</v>
      </c>
      <c r="I3619" s="20" t="s">
        <v>5030</v>
      </c>
      <c r="J3619" s="20" t="s">
        <v>5031</v>
      </c>
      <c r="K3619" s="7" t="s">
        <v>119</v>
      </c>
      <c r="L3619" s="61">
        <v>46080</v>
      </c>
      <c r="M3619" s="7" t="s">
        <v>111</v>
      </c>
      <c r="N3619" s="24">
        <v>46084</v>
      </c>
      <c r="O3619" s="24">
        <v>46084</v>
      </c>
    </row>
    <row r="3620" spans="2:18" ht="17.25" customHeight="1">
      <c r="B3620" s="23">
        <v>46076</v>
      </c>
      <c r="C3620" s="7">
        <v>2003921343</v>
      </c>
      <c r="D3620" s="20">
        <v>6631957</v>
      </c>
      <c r="E3620" s="27" t="s">
        <v>408</v>
      </c>
      <c r="F3620" s="7" t="s">
        <v>4981</v>
      </c>
      <c r="G3620" s="7" t="s">
        <v>10</v>
      </c>
      <c r="H3620" s="7" t="s">
        <v>42</v>
      </c>
      <c r="I3620" s="20" t="s">
        <v>5032</v>
      </c>
      <c r="J3620" s="20" t="s">
        <v>5033</v>
      </c>
      <c r="K3620" s="7" t="s">
        <v>110</v>
      </c>
      <c r="L3620" s="61">
        <v>46078</v>
      </c>
      <c r="M3620" s="7" t="s">
        <v>111</v>
      </c>
    </row>
    <row r="3621" spans="2:18" ht="17.25" hidden="1" customHeight="1">
      <c r="B3621" s="23">
        <v>46076</v>
      </c>
      <c r="C3621" s="7">
        <v>2003928195</v>
      </c>
      <c r="D3621" s="20">
        <v>6632019</v>
      </c>
      <c r="E3621" s="27" t="s">
        <v>132</v>
      </c>
      <c r="F3621" s="7" t="s">
        <v>51</v>
      </c>
      <c r="G3621" s="7" t="s">
        <v>10</v>
      </c>
      <c r="H3621" s="7" t="s">
        <v>42</v>
      </c>
      <c r="I3621" s="20" t="s">
        <v>417</v>
      </c>
      <c r="J3621" s="20" t="s">
        <v>5034</v>
      </c>
      <c r="K3621" s="7" t="s">
        <v>110</v>
      </c>
      <c r="L3621" s="61">
        <v>46078</v>
      </c>
      <c r="M3621" s="7" t="s">
        <v>111</v>
      </c>
      <c r="N3621" s="24">
        <v>46079</v>
      </c>
      <c r="O3621" s="58">
        <v>46083</v>
      </c>
    </row>
    <row r="3622" spans="2:18" ht="17.25" hidden="1" customHeight="1">
      <c r="B3622" s="23">
        <v>46076</v>
      </c>
      <c r="C3622" s="7">
        <v>2003656281</v>
      </c>
      <c r="D3622" s="20">
        <v>6632173</v>
      </c>
      <c r="E3622" s="27" t="s">
        <v>185</v>
      </c>
      <c r="F3622" s="7" t="s">
        <v>51</v>
      </c>
      <c r="G3622" s="7" t="s">
        <v>18</v>
      </c>
      <c r="H3622" s="7" t="s">
        <v>42</v>
      </c>
      <c r="I3622" s="20" t="s">
        <v>5035</v>
      </c>
      <c r="J3622" s="20" t="s">
        <v>5036</v>
      </c>
      <c r="K3622" s="7" t="s">
        <v>119</v>
      </c>
      <c r="L3622" s="61">
        <v>46080</v>
      </c>
      <c r="M3622" s="7" t="s">
        <v>111</v>
      </c>
      <c r="N3622" s="24">
        <v>46083</v>
      </c>
      <c r="O3622" s="58">
        <v>46086</v>
      </c>
    </row>
    <row r="3623" spans="2:18" ht="17.25" hidden="1" customHeight="1">
      <c r="B3623" s="23">
        <v>46076</v>
      </c>
      <c r="C3623" s="7">
        <v>2003934309</v>
      </c>
      <c r="D3623" s="20">
        <v>6632247</v>
      </c>
      <c r="E3623" s="27" t="s">
        <v>149</v>
      </c>
      <c r="F3623" s="7" t="s">
        <v>51</v>
      </c>
      <c r="G3623" s="7" t="s">
        <v>10</v>
      </c>
      <c r="H3623" s="7" t="s">
        <v>42</v>
      </c>
      <c r="I3623" s="20" t="s">
        <v>5037</v>
      </c>
      <c r="J3623" s="20" t="s">
        <v>4685</v>
      </c>
      <c r="K3623" s="7" t="s">
        <v>119</v>
      </c>
      <c r="L3623" s="61">
        <v>46078</v>
      </c>
      <c r="M3623" s="7" t="s">
        <v>111</v>
      </c>
      <c r="N3623" s="24">
        <v>46080</v>
      </c>
      <c r="O3623" s="58">
        <v>46084</v>
      </c>
    </row>
    <row r="3624" spans="2:18" ht="17.25" hidden="1" customHeight="1">
      <c r="B3624" s="23">
        <v>46076</v>
      </c>
      <c r="C3624" s="7">
        <v>2003930516</v>
      </c>
      <c r="D3624" s="20">
        <v>6632253</v>
      </c>
      <c r="E3624" s="27" t="s">
        <v>106</v>
      </c>
      <c r="F3624" s="7" t="s">
        <v>51</v>
      </c>
      <c r="G3624" s="7" t="s">
        <v>10</v>
      </c>
      <c r="H3624" s="7" t="s">
        <v>42</v>
      </c>
      <c r="I3624" s="20" t="s">
        <v>5038</v>
      </c>
      <c r="J3624" s="20" t="s">
        <v>5039</v>
      </c>
      <c r="K3624" s="7" t="s">
        <v>110</v>
      </c>
      <c r="L3624" s="61">
        <v>46080</v>
      </c>
      <c r="M3624" s="7" t="s">
        <v>111</v>
      </c>
      <c r="N3624" s="61">
        <v>46083</v>
      </c>
      <c r="O3624" s="58">
        <v>46086</v>
      </c>
    </row>
    <row r="3625" spans="2:18" ht="17.25" hidden="1" customHeight="1">
      <c r="B3625" s="23">
        <v>46077</v>
      </c>
      <c r="C3625" s="7">
        <v>2003924253</v>
      </c>
      <c r="D3625" s="20">
        <v>504726</v>
      </c>
      <c r="E3625" s="27" t="s">
        <v>138</v>
      </c>
      <c r="F3625" s="7" t="s">
        <v>107</v>
      </c>
      <c r="G3625" s="7" t="s">
        <v>10</v>
      </c>
      <c r="H3625" s="7" t="s">
        <v>45</v>
      </c>
      <c r="I3625" s="20" t="s">
        <v>1792</v>
      </c>
      <c r="J3625" s="20" t="s">
        <v>5040</v>
      </c>
      <c r="K3625" s="7" t="s">
        <v>110</v>
      </c>
      <c r="L3625" s="61">
        <v>46078</v>
      </c>
      <c r="M3625" s="7" t="s">
        <v>111</v>
      </c>
      <c r="N3625" s="24">
        <v>46079</v>
      </c>
      <c r="O3625" s="58">
        <v>46083</v>
      </c>
      <c r="R3625" s="126">
        <v>46085</v>
      </c>
    </row>
    <row r="3626" spans="2:18" ht="17.25" hidden="1" customHeight="1">
      <c r="B3626" s="23">
        <v>46077</v>
      </c>
      <c r="C3626" s="7">
        <v>2003920384</v>
      </c>
      <c r="D3626" s="20">
        <v>504685</v>
      </c>
      <c r="E3626" s="27" t="s">
        <v>180</v>
      </c>
      <c r="F3626" s="7" t="s">
        <v>51</v>
      </c>
      <c r="G3626" s="7" t="s">
        <v>10</v>
      </c>
      <c r="H3626" s="7" t="s">
        <v>42</v>
      </c>
      <c r="I3626" s="20" t="s">
        <v>932</v>
      </c>
      <c r="J3626" s="20" t="s">
        <v>4915</v>
      </c>
      <c r="K3626" s="7" t="s">
        <v>119</v>
      </c>
      <c r="L3626" s="61">
        <v>46078</v>
      </c>
      <c r="M3626" s="7" t="s">
        <v>111</v>
      </c>
      <c r="N3626" s="61">
        <v>46078</v>
      </c>
      <c r="O3626" s="58">
        <v>46116</v>
      </c>
    </row>
    <row r="3627" spans="2:18" ht="17.25" hidden="1" customHeight="1">
      <c r="B3627" s="23">
        <v>46077</v>
      </c>
      <c r="C3627" s="7">
        <v>2003917112</v>
      </c>
      <c r="D3627" s="20">
        <v>504503</v>
      </c>
      <c r="E3627" s="27" t="s">
        <v>185</v>
      </c>
      <c r="F3627" s="7" t="s">
        <v>107</v>
      </c>
      <c r="G3627" s="7" t="s">
        <v>21</v>
      </c>
      <c r="H3627" s="7" t="s">
        <v>45</v>
      </c>
      <c r="I3627" s="20" t="s">
        <v>5041</v>
      </c>
      <c r="J3627" s="20" t="s">
        <v>4881</v>
      </c>
      <c r="K3627" s="7" t="s">
        <v>119</v>
      </c>
      <c r="L3627" s="61">
        <v>46078</v>
      </c>
      <c r="M3627" s="7" t="s">
        <v>111</v>
      </c>
      <c r="N3627" s="24">
        <v>46080</v>
      </c>
      <c r="O3627" s="24">
        <v>46080</v>
      </c>
      <c r="R3627" s="126">
        <v>46085</v>
      </c>
    </row>
    <row r="3628" spans="2:18" ht="17.25" hidden="1" customHeight="1">
      <c r="B3628" s="23">
        <v>46077</v>
      </c>
      <c r="C3628" s="7">
        <v>2003932022</v>
      </c>
      <c r="D3628" s="20">
        <v>504408</v>
      </c>
      <c r="E3628" s="27" t="s">
        <v>622</v>
      </c>
      <c r="F3628" s="7" t="s">
        <v>107</v>
      </c>
      <c r="G3628" s="7" t="s">
        <v>26</v>
      </c>
      <c r="H3628" s="7" t="s">
        <v>45</v>
      </c>
      <c r="I3628" s="20" t="s">
        <v>909</v>
      </c>
      <c r="J3628" s="20" t="s">
        <v>5042</v>
      </c>
      <c r="K3628" s="7" t="s">
        <v>119</v>
      </c>
      <c r="L3628" s="61">
        <v>46080</v>
      </c>
      <c r="M3628" s="7" t="s">
        <v>111</v>
      </c>
      <c r="N3628" s="24">
        <v>46085</v>
      </c>
      <c r="O3628" s="58">
        <v>46085</v>
      </c>
      <c r="R3628" s="126">
        <v>46085</v>
      </c>
    </row>
    <row r="3629" spans="2:18" ht="17.25" hidden="1" customHeight="1">
      <c r="B3629" s="23">
        <v>46077</v>
      </c>
      <c r="C3629" s="7">
        <v>2003869867</v>
      </c>
      <c r="D3629" s="20">
        <v>503927</v>
      </c>
      <c r="E3629" s="27" t="s">
        <v>185</v>
      </c>
      <c r="F3629" s="7" t="s">
        <v>107</v>
      </c>
      <c r="G3629" s="7" t="s">
        <v>21</v>
      </c>
      <c r="H3629" s="7" t="s">
        <v>45</v>
      </c>
      <c r="I3629" s="20" t="s">
        <v>5043</v>
      </c>
      <c r="J3629" s="20" t="s">
        <v>4575</v>
      </c>
      <c r="K3629" s="7" t="s">
        <v>119</v>
      </c>
      <c r="L3629" s="61">
        <v>46084</v>
      </c>
      <c r="M3629" s="7" t="s">
        <v>111</v>
      </c>
      <c r="N3629" s="24">
        <v>46085</v>
      </c>
      <c r="O3629" s="24">
        <v>46085</v>
      </c>
      <c r="R3629" s="126">
        <v>46085</v>
      </c>
    </row>
    <row r="3630" spans="2:18" ht="17.25" hidden="1" customHeight="1">
      <c r="B3630" s="23">
        <v>46077</v>
      </c>
      <c r="C3630" s="7">
        <v>2003925175</v>
      </c>
      <c r="D3630" s="20">
        <v>503654</v>
      </c>
      <c r="E3630" s="27" t="s">
        <v>622</v>
      </c>
      <c r="F3630" s="7" t="s">
        <v>5018</v>
      </c>
      <c r="G3630" s="7" t="s">
        <v>10</v>
      </c>
      <c r="H3630" s="7" t="s">
        <v>42</v>
      </c>
      <c r="I3630" s="236" t="s">
        <v>5044</v>
      </c>
      <c r="J3630" s="20" t="s">
        <v>5045</v>
      </c>
      <c r="K3630" s="7" t="s">
        <v>119</v>
      </c>
      <c r="L3630" s="61">
        <v>46079</v>
      </c>
      <c r="M3630" s="7" t="s">
        <v>111</v>
      </c>
      <c r="N3630" s="24">
        <v>46085</v>
      </c>
    </row>
    <row r="3631" spans="2:18" ht="17.25" hidden="1" customHeight="1">
      <c r="B3631" s="23">
        <v>46077</v>
      </c>
      <c r="C3631" s="7">
        <v>2003909044</v>
      </c>
      <c r="D3631" s="20">
        <v>6632310</v>
      </c>
      <c r="E3631" s="27" t="s">
        <v>157</v>
      </c>
      <c r="F3631" s="7" t="s">
        <v>107</v>
      </c>
      <c r="G3631" s="7" t="s">
        <v>21</v>
      </c>
      <c r="H3631" s="7" t="s">
        <v>45</v>
      </c>
      <c r="I3631" s="20" t="s">
        <v>5046</v>
      </c>
      <c r="J3631" s="20" t="s">
        <v>4796</v>
      </c>
      <c r="K3631" s="7" t="s">
        <v>111</v>
      </c>
      <c r="L3631" s="61">
        <v>46077</v>
      </c>
      <c r="M3631" s="7" t="s">
        <v>111</v>
      </c>
      <c r="N3631" s="24">
        <v>46077</v>
      </c>
      <c r="O3631" s="58">
        <v>46077</v>
      </c>
      <c r="R3631" s="126">
        <v>46079</v>
      </c>
    </row>
    <row r="3632" spans="2:18" ht="17.25" hidden="1" customHeight="1">
      <c r="B3632" s="23">
        <v>46077</v>
      </c>
      <c r="C3632" s="7">
        <v>2003918072</v>
      </c>
      <c r="D3632" s="20">
        <v>6641588</v>
      </c>
      <c r="E3632" s="27" t="s">
        <v>265</v>
      </c>
      <c r="F3632" s="7" t="s">
        <v>51</v>
      </c>
      <c r="G3632" s="7" t="s">
        <v>15</v>
      </c>
      <c r="H3632" s="7" t="s">
        <v>42</v>
      </c>
      <c r="I3632" s="20" t="s">
        <v>5047</v>
      </c>
      <c r="J3632" s="20" t="s">
        <v>3391</v>
      </c>
      <c r="K3632" s="7" t="s">
        <v>119</v>
      </c>
      <c r="L3632" s="61">
        <v>46080</v>
      </c>
      <c r="M3632" s="7" t="s">
        <v>111</v>
      </c>
      <c r="N3632" s="24">
        <v>46084</v>
      </c>
      <c r="O3632" s="58">
        <v>46086</v>
      </c>
    </row>
    <row r="3633" spans="2:18" ht="17.25" hidden="1" customHeight="1">
      <c r="B3633" s="23">
        <v>46077</v>
      </c>
      <c r="C3633" s="7">
        <v>2003933768</v>
      </c>
      <c r="D3633" s="20">
        <v>6660242</v>
      </c>
      <c r="E3633" s="27" t="s">
        <v>1225</v>
      </c>
      <c r="F3633" s="7" t="s">
        <v>51</v>
      </c>
      <c r="G3633" s="7" t="s">
        <v>10</v>
      </c>
      <c r="H3633" s="7" t="s">
        <v>42</v>
      </c>
      <c r="I3633" s="20" t="s">
        <v>5001</v>
      </c>
      <c r="J3633" s="20" t="s">
        <v>5048</v>
      </c>
      <c r="K3633" s="7" t="s">
        <v>119</v>
      </c>
      <c r="L3633" s="61">
        <v>46078</v>
      </c>
      <c r="M3633" s="7" t="s">
        <v>111</v>
      </c>
      <c r="N3633" s="24">
        <v>46079</v>
      </c>
      <c r="O3633" s="58">
        <v>46083</v>
      </c>
    </row>
    <row r="3634" spans="2:18" ht="17.25" hidden="1" customHeight="1">
      <c r="B3634" s="23">
        <v>46077</v>
      </c>
      <c r="C3634" s="7">
        <v>2003935095</v>
      </c>
      <c r="D3634" s="20">
        <v>6660404</v>
      </c>
      <c r="E3634" s="27" t="s">
        <v>126</v>
      </c>
      <c r="F3634" s="7" t="s">
        <v>51</v>
      </c>
      <c r="G3634" s="7" t="s">
        <v>18</v>
      </c>
      <c r="H3634" s="7" t="s">
        <v>42</v>
      </c>
      <c r="I3634" s="20" t="s">
        <v>5049</v>
      </c>
      <c r="J3634" s="20" t="s">
        <v>5050</v>
      </c>
      <c r="K3634" s="7" t="s">
        <v>119</v>
      </c>
      <c r="L3634" s="61">
        <v>46079</v>
      </c>
      <c r="M3634" s="7" t="s">
        <v>111</v>
      </c>
      <c r="N3634" s="24">
        <v>46085</v>
      </c>
      <c r="O3634" s="24">
        <v>46085</v>
      </c>
    </row>
    <row r="3635" spans="2:18" ht="17.25" hidden="1" customHeight="1">
      <c r="B3635" s="23">
        <v>46077</v>
      </c>
      <c r="C3635" s="7">
        <v>2003924118</v>
      </c>
      <c r="D3635" s="20">
        <v>6660574</v>
      </c>
      <c r="E3635" s="27" t="s">
        <v>185</v>
      </c>
      <c r="F3635" s="7" t="s">
        <v>51</v>
      </c>
      <c r="G3635" s="7" t="s">
        <v>10</v>
      </c>
      <c r="H3635" s="7" t="s">
        <v>42</v>
      </c>
      <c r="I3635" s="20" t="s">
        <v>1619</v>
      </c>
      <c r="J3635" s="20" t="s">
        <v>5051</v>
      </c>
      <c r="K3635" s="7" t="s">
        <v>119</v>
      </c>
      <c r="L3635" s="61">
        <v>46080</v>
      </c>
      <c r="M3635" s="7" t="s">
        <v>111</v>
      </c>
      <c r="N3635" s="24">
        <v>46083</v>
      </c>
      <c r="O3635" s="58">
        <v>46086</v>
      </c>
    </row>
    <row r="3636" spans="2:18" ht="17.25" hidden="1" customHeight="1">
      <c r="B3636" s="23">
        <v>46077</v>
      </c>
      <c r="C3636" s="7">
        <v>2003919718</v>
      </c>
      <c r="D3636" s="20">
        <v>6660610</v>
      </c>
      <c r="E3636" s="27" t="s">
        <v>3586</v>
      </c>
      <c r="F3636" s="7" t="s">
        <v>5011</v>
      </c>
      <c r="G3636" s="7" t="s">
        <v>15</v>
      </c>
      <c r="H3636" s="7" t="s">
        <v>42</v>
      </c>
      <c r="I3636" s="20" t="s">
        <v>716</v>
      </c>
      <c r="J3636" s="20" t="s">
        <v>4917</v>
      </c>
      <c r="K3636" s="7" t="s">
        <v>119</v>
      </c>
      <c r="L3636" s="61">
        <v>46087</v>
      </c>
      <c r="M3636" s="7" t="s">
        <v>111</v>
      </c>
    </row>
    <row r="3637" spans="2:18" ht="17.25" hidden="1" customHeight="1">
      <c r="B3637" s="23">
        <v>46078</v>
      </c>
      <c r="C3637" s="7">
        <v>2003935137</v>
      </c>
      <c r="D3637" s="20">
        <v>506763</v>
      </c>
      <c r="E3637" s="27" t="s">
        <v>149</v>
      </c>
      <c r="F3637" s="7" t="s">
        <v>5018</v>
      </c>
      <c r="G3637" s="7" t="s">
        <v>10</v>
      </c>
      <c r="H3637" s="7" t="s">
        <v>42</v>
      </c>
      <c r="I3637" s="20" t="s">
        <v>5052</v>
      </c>
      <c r="J3637" s="20" t="s">
        <v>5053</v>
      </c>
      <c r="K3637" s="7" t="s">
        <v>119</v>
      </c>
      <c r="L3637" s="61">
        <v>46080</v>
      </c>
      <c r="M3637" s="7" t="s">
        <v>111</v>
      </c>
      <c r="N3637" s="24">
        <v>46084</v>
      </c>
    </row>
    <row r="3638" spans="2:18" ht="17.25" hidden="1" customHeight="1">
      <c r="B3638" s="23">
        <v>46078</v>
      </c>
      <c r="C3638" s="7">
        <v>2003920465</v>
      </c>
      <c r="D3638" s="20">
        <v>506341</v>
      </c>
      <c r="E3638" s="27" t="s">
        <v>230</v>
      </c>
      <c r="F3638" s="7" t="s">
        <v>51</v>
      </c>
      <c r="G3638" s="7" t="s">
        <v>10</v>
      </c>
      <c r="H3638" s="7" t="s">
        <v>42</v>
      </c>
      <c r="I3638" s="20" t="s">
        <v>5054</v>
      </c>
      <c r="J3638" s="20" t="s">
        <v>3303</v>
      </c>
      <c r="K3638" s="7" t="s">
        <v>110</v>
      </c>
      <c r="L3638" s="61">
        <v>46083</v>
      </c>
      <c r="M3638" s="7" t="s">
        <v>111</v>
      </c>
      <c r="N3638" s="61">
        <v>46083</v>
      </c>
      <c r="O3638" s="58">
        <v>46086</v>
      </c>
    </row>
    <row r="3639" spans="2:18" ht="17.25" hidden="1" customHeight="1">
      <c r="B3639" s="23">
        <v>46078</v>
      </c>
      <c r="C3639" s="7">
        <v>2003931544</v>
      </c>
      <c r="D3639" s="20">
        <v>506175</v>
      </c>
      <c r="E3639" s="27" t="s">
        <v>126</v>
      </c>
      <c r="F3639" s="7" t="s">
        <v>107</v>
      </c>
      <c r="G3639" s="7" t="s">
        <v>18</v>
      </c>
      <c r="H3639" s="7" t="s">
        <v>45</v>
      </c>
      <c r="I3639" s="20" t="s">
        <v>5055</v>
      </c>
      <c r="J3639" s="20" t="s">
        <v>5056</v>
      </c>
      <c r="K3639" s="7" t="s">
        <v>119</v>
      </c>
      <c r="L3639" s="61">
        <v>46083</v>
      </c>
      <c r="M3639" s="7" t="s">
        <v>111</v>
      </c>
      <c r="N3639" s="24">
        <v>46084</v>
      </c>
      <c r="O3639" s="24">
        <v>46084</v>
      </c>
      <c r="R3639" s="126">
        <v>46085</v>
      </c>
    </row>
    <row r="3640" spans="2:18" ht="17.25" hidden="1" customHeight="1">
      <c r="B3640" s="23">
        <v>46078</v>
      </c>
      <c r="C3640" s="7">
        <v>2003936115</v>
      </c>
      <c r="D3640" s="20">
        <v>505103</v>
      </c>
      <c r="E3640" s="27" t="s">
        <v>191</v>
      </c>
      <c r="F3640" s="7" t="s">
        <v>107</v>
      </c>
      <c r="G3640" s="7" t="s">
        <v>10</v>
      </c>
      <c r="H3640" s="7" t="s">
        <v>45</v>
      </c>
      <c r="I3640" s="20" t="s">
        <v>1730</v>
      </c>
      <c r="J3640" s="20" t="s">
        <v>5057</v>
      </c>
      <c r="K3640" s="7" t="s">
        <v>119</v>
      </c>
      <c r="L3640" s="61">
        <v>46080</v>
      </c>
      <c r="M3640" s="7" t="s">
        <v>111</v>
      </c>
      <c r="N3640" s="24">
        <v>46083</v>
      </c>
      <c r="O3640" s="24">
        <v>46084</v>
      </c>
      <c r="R3640" s="126">
        <v>46085</v>
      </c>
    </row>
    <row r="3641" spans="2:18" ht="17.25" hidden="1" customHeight="1">
      <c r="B3641" s="23">
        <v>46078</v>
      </c>
      <c r="C3641" s="7">
        <v>2003934517</v>
      </c>
      <c r="D3641" s="20">
        <v>6671214</v>
      </c>
      <c r="E3641" s="27" t="s">
        <v>1225</v>
      </c>
      <c r="F3641" s="7" t="s">
        <v>51</v>
      </c>
      <c r="G3641" s="7" t="s">
        <v>10</v>
      </c>
      <c r="H3641" s="7" t="s">
        <v>42</v>
      </c>
      <c r="I3641" s="20" t="s">
        <v>5058</v>
      </c>
      <c r="J3641" s="20" t="s">
        <v>5059</v>
      </c>
      <c r="K3641" s="7" t="s">
        <v>110</v>
      </c>
      <c r="L3641" s="61">
        <v>46080</v>
      </c>
      <c r="M3641" s="7" t="s">
        <v>111</v>
      </c>
      <c r="N3641" s="61">
        <v>46083</v>
      </c>
      <c r="O3641" s="61">
        <v>46083</v>
      </c>
    </row>
    <row r="3642" spans="2:18" ht="17.25" hidden="1" customHeight="1">
      <c r="B3642" s="23">
        <v>46078</v>
      </c>
      <c r="C3642" s="7">
        <v>2003930301</v>
      </c>
      <c r="D3642" s="20">
        <v>6671539</v>
      </c>
      <c r="E3642" s="27" t="s">
        <v>143</v>
      </c>
      <c r="F3642" s="7" t="s">
        <v>4956</v>
      </c>
      <c r="G3642" s="7" t="s">
        <v>10</v>
      </c>
      <c r="H3642" s="7" t="s">
        <v>42</v>
      </c>
      <c r="I3642" s="20" t="s">
        <v>5060</v>
      </c>
      <c r="J3642" s="20" t="s">
        <v>5061</v>
      </c>
      <c r="K3642" s="7" t="s">
        <v>160</v>
      </c>
    </row>
    <row r="3643" spans="2:18" ht="17.25" hidden="1" customHeight="1">
      <c r="B3643" s="23">
        <v>46078</v>
      </c>
      <c r="C3643" s="7">
        <v>2003899198</v>
      </c>
      <c r="D3643" s="20">
        <v>6671607</v>
      </c>
      <c r="E3643" s="27" t="s">
        <v>408</v>
      </c>
      <c r="F3643" s="7" t="s">
        <v>51</v>
      </c>
      <c r="G3643" s="7" t="s">
        <v>18</v>
      </c>
      <c r="H3643" s="7" t="s">
        <v>42</v>
      </c>
      <c r="I3643" s="20" t="s">
        <v>4735</v>
      </c>
      <c r="J3643" s="20" t="s">
        <v>5062</v>
      </c>
      <c r="K3643" s="7" t="s">
        <v>119</v>
      </c>
      <c r="L3643" s="61">
        <v>46079</v>
      </c>
      <c r="M3643" s="7" t="s">
        <v>111</v>
      </c>
      <c r="N3643" s="24">
        <v>46080</v>
      </c>
      <c r="O3643" s="24">
        <v>46084</v>
      </c>
    </row>
    <row r="3644" spans="2:18" ht="17.25" hidden="1" customHeight="1">
      <c r="B3644" s="23">
        <v>46079</v>
      </c>
      <c r="C3644" s="7">
        <v>2003912067</v>
      </c>
      <c r="D3644" s="20">
        <v>508542</v>
      </c>
      <c r="E3644" s="27" t="s">
        <v>138</v>
      </c>
      <c r="F3644" s="7" t="s">
        <v>5011</v>
      </c>
      <c r="G3644" s="7" t="s">
        <v>10</v>
      </c>
      <c r="H3644" s="7" t="s">
        <v>42</v>
      </c>
      <c r="I3644" s="20" t="s">
        <v>1523</v>
      </c>
      <c r="J3644" s="20" t="s">
        <v>4920</v>
      </c>
      <c r="K3644" s="7" t="s">
        <v>119</v>
      </c>
      <c r="L3644" s="61">
        <v>46086</v>
      </c>
      <c r="M3644" s="7" t="s">
        <v>111</v>
      </c>
    </row>
    <row r="3645" spans="2:18" ht="17.25" hidden="1" customHeight="1">
      <c r="B3645" s="23">
        <v>46079</v>
      </c>
      <c r="C3645" s="7">
        <v>2003803487</v>
      </c>
      <c r="D3645" s="20">
        <v>508514</v>
      </c>
      <c r="E3645" s="27" t="s">
        <v>138</v>
      </c>
      <c r="F3645" s="7" t="s">
        <v>107</v>
      </c>
      <c r="G3645" s="7" t="s">
        <v>21</v>
      </c>
      <c r="H3645" s="7" t="s">
        <v>45</v>
      </c>
      <c r="I3645" s="20" t="s">
        <v>5063</v>
      </c>
      <c r="J3645" s="20" t="s">
        <v>3921</v>
      </c>
      <c r="K3645" s="7" t="s">
        <v>119</v>
      </c>
      <c r="L3645" s="61">
        <v>46080</v>
      </c>
      <c r="M3645" s="7" t="s">
        <v>111</v>
      </c>
      <c r="N3645" s="24">
        <v>46085</v>
      </c>
      <c r="O3645" s="24">
        <v>46085</v>
      </c>
      <c r="R3645" s="126">
        <v>46085</v>
      </c>
    </row>
    <row r="3646" spans="2:18" ht="17.25" hidden="1" customHeight="1">
      <c r="B3646" s="23">
        <v>46079</v>
      </c>
      <c r="C3646" s="7">
        <v>2003933110</v>
      </c>
      <c r="D3646" s="20">
        <v>507978</v>
      </c>
      <c r="E3646" s="27" t="s">
        <v>143</v>
      </c>
      <c r="F3646" s="7" t="s">
        <v>5011</v>
      </c>
      <c r="G3646" s="7" t="s">
        <v>10</v>
      </c>
      <c r="H3646" s="7" t="s">
        <v>42</v>
      </c>
      <c r="I3646" s="20" t="s">
        <v>3482</v>
      </c>
      <c r="J3646" s="20" t="s">
        <v>5064</v>
      </c>
      <c r="K3646" s="7" t="s">
        <v>110</v>
      </c>
      <c r="L3646" s="61">
        <v>46086</v>
      </c>
      <c r="M3646" s="7" t="s">
        <v>111</v>
      </c>
    </row>
    <row r="3647" spans="2:18" ht="17.25" hidden="1" customHeight="1">
      <c r="B3647" s="23">
        <v>46079</v>
      </c>
      <c r="C3647" s="7">
        <v>2003935416</v>
      </c>
      <c r="D3647" s="20">
        <v>507713</v>
      </c>
      <c r="E3647" s="27" t="s">
        <v>138</v>
      </c>
      <c r="F3647" s="7" t="s">
        <v>107</v>
      </c>
      <c r="G3647" s="7" t="s">
        <v>18</v>
      </c>
      <c r="H3647" s="7" t="s">
        <v>45</v>
      </c>
      <c r="I3647" s="20" t="s">
        <v>5065</v>
      </c>
      <c r="J3647" s="20" t="s">
        <v>5066</v>
      </c>
      <c r="K3647" s="7" t="s">
        <v>119</v>
      </c>
      <c r="L3647" s="61">
        <v>46083</v>
      </c>
      <c r="M3647" s="7" t="s">
        <v>111</v>
      </c>
      <c r="N3647" s="24">
        <v>46084</v>
      </c>
      <c r="O3647" s="58">
        <v>46085</v>
      </c>
      <c r="R3647" s="126">
        <v>46085</v>
      </c>
    </row>
    <row r="3648" spans="2:18" ht="17.25" hidden="1" customHeight="1">
      <c r="B3648" s="23">
        <v>46079</v>
      </c>
      <c r="C3648" s="7">
        <v>2003922280</v>
      </c>
      <c r="D3648" s="20">
        <v>507637</v>
      </c>
      <c r="E3648" s="27" t="s">
        <v>622</v>
      </c>
      <c r="F3648" s="7" t="s">
        <v>5018</v>
      </c>
      <c r="G3648" s="7" t="s">
        <v>21</v>
      </c>
      <c r="H3648" s="7" t="s">
        <v>42</v>
      </c>
      <c r="I3648" s="20" t="s">
        <v>5067</v>
      </c>
      <c r="J3648" s="20" t="s">
        <v>4925</v>
      </c>
      <c r="K3648" s="7" t="s">
        <v>119</v>
      </c>
      <c r="L3648" s="61">
        <v>46080</v>
      </c>
      <c r="M3648" s="7" t="s">
        <v>111</v>
      </c>
      <c r="N3648" s="24">
        <v>46084</v>
      </c>
    </row>
    <row r="3649" spans="2:15" ht="17.25" hidden="1" customHeight="1">
      <c r="B3649" s="23">
        <v>46079</v>
      </c>
      <c r="C3649" s="7">
        <v>2003921766</v>
      </c>
      <c r="D3649" s="20">
        <v>507601</v>
      </c>
      <c r="E3649" s="27" t="s">
        <v>180</v>
      </c>
      <c r="F3649" s="7" t="s">
        <v>5018</v>
      </c>
      <c r="G3649" s="7" t="s">
        <v>10</v>
      </c>
      <c r="H3649" s="7" t="s">
        <v>42</v>
      </c>
      <c r="I3649" s="20" t="s">
        <v>5068</v>
      </c>
      <c r="J3649" s="20" t="s">
        <v>5069</v>
      </c>
      <c r="K3649" s="7" t="s">
        <v>119</v>
      </c>
      <c r="L3649" s="61">
        <v>46084</v>
      </c>
      <c r="M3649" s="7" t="s">
        <v>111</v>
      </c>
      <c r="N3649" s="24">
        <v>46085</v>
      </c>
    </row>
    <row r="3650" spans="2:15" ht="17.25" hidden="1" customHeight="1">
      <c r="B3650" s="23">
        <v>46079</v>
      </c>
      <c r="C3650" s="7">
        <v>2003937144</v>
      </c>
      <c r="D3650" s="20">
        <v>507491</v>
      </c>
      <c r="E3650" s="27" t="s">
        <v>1245</v>
      </c>
      <c r="F3650" s="7" t="s">
        <v>5011</v>
      </c>
      <c r="G3650" s="7" t="s">
        <v>10</v>
      </c>
      <c r="H3650" s="7" t="s">
        <v>42</v>
      </c>
      <c r="I3650" s="20" t="s">
        <v>2686</v>
      </c>
      <c r="J3650" s="20" t="s">
        <v>5070</v>
      </c>
      <c r="K3650" s="7" t="s">
        <v>110</v>
      </c>
      <c r="L3650" s="61">
        <v>46087</v>
      </c>
      <c r="M3650" s="7" t="s">
        <v>111</v>
      </c>
    </row>
    <row r="3651" spans="2:15" ht="17.25" hidden="1" customHeight="1">
      <c r="B3651" s="23">
        <v>46079</v>
      </c>
      <c r="C3651" s="7">
        <v>2003929506</v>
      </c>
      <c r="D3651" s="20">
        <v>6671716</v>
      </c>
      <c r="E3651" s="27" t="s">
        <v>138</v>
      </c>
      <c r="F3651" s="7" t="s">
        <v>51</v>
      </c>
      <c r="G3651" s="7" t="s">
        <v>10</v>
      </c>
      <c r="H3651" s="7" t="s">
        <v>42</v>
      </c>
      <c r="I3651" s="20" t="s">
        <v>837</v>
      </c>
      <c r="J3651" s="20" t="s">
        <v>5071</v>
      </c>
      <c r="K3651" s="7" t="s">
        <v>119</v>
      </c>
      <c r="L3651" s="61">
        <v>46080</v>
      </c>
      <c r="M3651" s="7" t="s">
        <v>111</v>
      </c>
      <c r="N3651" s="24">
        <v>46083</v>
      </c>
      <c r="O3651" s="24">
        <v>46083</v>
      </c>
    </row>
    <row r="3652" spans="2:15" ht="17.25" hidden="1" customHeight="1">
      <c r="B3652" s="23">
        <v>46079</v>
      </c>
      <c r="C3652" s="7">
        <v>2003934543</v>
      </c>
      <c r="D3652" s="20">
        <v>6671720</v>
      </c>
      <c r="E3652" s="27" t="s">
        <v>138</v>
      </c>
      <c r="F3652" s="7" t="s">
        <v>51</v>
      </c>
      <c r="G3652" s="7" t="s">
        <v>10</v>
      </c>
      <c r="H3652" s="7" t="s">
        <v>42</v>
      </c>
      <c r="I3652" s="20" t="s">
        <v>623</v>
      </c>
      <c r="J3652" s="20" t="s">
        <v>5072</v>
      </c>
      <c r="K3652" s="7" t="s">
        <v>119</v>
      </c>
      <c r="L3652" s="61">
        <v>46080</v>
      </c>
      <c r="M3652" s="7" t="s">
        <v>111</v>
      </c>
      <c r="N3652" s="24">
        <v>46083</v>
      </c>
      <c r="O3652" s="58">
        <v>46086</v>
      </c>
    </row>
    <row r="3653" spans="2:15" ht="17.25" hidden="1" customHeight="1">
      <c r="B3653" s="23">
        <v>46079</v>
      </c>
      <c r="C3653" s="7">
        <v>2003935851</v>
      </c>
      <c r="D3653" s="20">
        <v>6671734</v>
      </c>
      <c r="E3653" s="27" t="s">
        <v>4950</v>
      </c>
      <c r="F3653" s="7" t="s">
        <v>51</v>
      </c>
      <c r="G3653" s="7" t="s">
        <v>18</v>
      </c>
      <c r="H3653" s="7" t="s">
        <v>42</v>
      </c>
      <c r="I3653" s="20" t="s">
        <v>1910</v>
      </c>
      <c r="J3653" s="20" t="s">
        <v>5073</v>
      </c>
      <c r="K3653" s="7" t="s">
        <v>119</v>
      </c>
      <c r="L3653" s="61">
        <v>46080</v>
      </c>
      <c r="M3653" s="7" t="s">
        <v>111</v>
      </c>
      <c r="N3653" s="24">
        <v>46083</v>
      </c>
      <c r="O3653" s="24">
        <v>46083</v>
      </c>
    </row>
    <row r="3654" spans="2:15" ht="17.25" hidden="1" customHeight="1">
      <c r="B3654" s="23">
        <v>46079</v>
      </c>
      <c r="C3654" s="7">
        <v>2003936648</v>
      </c>
      <c r="D3654" s="20">
        <v>6671883</v>
      </c>
      <c r="E3654" s="27" t="s">
        <v>185</v>
      </c>
      <c r="F3654" s="7" t="s">
        <v>5018</v>
      </c>
      <c r="G3654" s="7" t="s">
        <v>10</v>
      </c>
      <c r="H3654" s="7" t="s">
        <v>42</v>
      </c>
      <c r="I3654" s="20" t="s">
        <v>5074</v>
      </c>
      <c r="J3654" s="20" t="s">
        <v>5075</v>
      </c>
      <c r="K3654" s="7" t="s">
        <v>110</v>
      </c>
      <c r="L3654" s="61">
        <v>46084</v>
      </c>
      <c r="M3654" s="7" t="s">
        <v>111</v>
      </c>
      <c r="N3654" s="24">
        <v>46085</v>
      </c>
    </row>
    <row r="3655" spans="2:15" ht="17.25" hidden="1" customHeight="1">
      <c r="B3655" s="23">
        <v>46079</v>
      </c>
      <c r="C3655" s="7">
        <v>2003936592</v>
      </c>
      <c r="D3655" s="20">
        <v>6671951</v>
      </c>
      <c r="E3655" s="27" t="s">
        <v>4950</v>
      </c>
      <c r="F3655" s="7" t="s">
        <v>51</v>
      </c>
      <c r="G3655" s="7" t="s">
        <v>10</v>
      </c>
      <c r="H3655" s="7" t="s">
        <v>42</v>
      </c>
      <c r="I3655" s="20" t="s">
        <v>5076</v>
      </c>
      <c r="J3655" s="20" t="s">
        <v>4622</v>
      </c>
      <c r="K3655" s="7" t="s">
        <v>110</v>
      </c>
      <c r="L3655" s="61">
        <v>46080</v>
      </c>
      <c r="M3655" s="7" t="s">
        <v>111</v>
      </c>
      <c r="N3655" s="61">
        <v>46083</v>
      </c>
      <c r="O3655" s="58">
        <v>46116</v>
      </c>
    </row>
    <row r="3656" spans="2:15" ht="17.25" hidden="1" customHeight="1">
      <c r="B3656" s="23">
        <v>46079</v>
      </c>
      <c r="C3656" s="7">
        <v>2003935960</v>
      </c>
      <c r="D3656" s="20">
        <v>6672250</v>
      </c>
      <c r="E3656" s="27" t="s">
        <v>1225</v>
      </c>
      <c r="F3656" s="7" t="s">
        <v>5018</v>
      </c>
      <c r="G3656" s="7" t="s">
        <v>10</v>
      </c>
      <c r="H3656" s="7" t="s">
        <v>42</v>
      </c>
      <c r="I3656" s="20" t="s">
        <v>5077</v>
      </c>
      <c r="J3656" s="20" t="s">
        <v>5078</v>
      </c>
      <c r="K3656" s="7" t="s">
        <v>119</v>
      </c>
      <c r="L3656" s="61">
        <v>46084</v>
      </c>
      <c r="M3656" s="7" t="s">
        <v>111</v>
      </c>
      <c r="N3656" s="24">
        <v>46085</v>
      </c>
    </row>
    <row r="3657" spans="2:15" ht="17.25" hidden="1" customHeight="1">
      <c r="B3657" s="23">
        <v>46079</v>
      </c>
      <c r="C3657" s="7">
        <v>2003150744</v>
      </c>
      <c r="D3657" s="20">
        <v>6672366</v>
      </c>
      <c r="E3657" s="27" t="s">
        <v>185</v>
      </c>
      <c r="F3657" s="7" t="s">
        <v>5018</v>
      </c>
      <c r="G3657" s="7" t="s">
        <v>10</v>
      </c>
      <c r="H3657" s="7" t="s">
        <v>42</v>
      </c>
      <c r="I3657" s="20" t="s">
        <v>5079</v>
      </c>
      <c r="J3657" s="20" t="s">
        <v>5080</v>
      </c>
      <c r="K3657" s="7" t="s">
        <v>119</v>
      </c>
      <c r="L3657" s="61">
        <v>46084</v>
      </c>
      <c r="M3657" s="7" t="s">
        <v>111</v>
      </c>
      <c r="N3657" s="24">
        <v>46085</v>
      </c>
    </row>
    <row r="3658" spans="2:15" ht="17.25" hidden="1" customHeight="1">
      <c r="B3658" s="23">
        <v>46080</v>
      </c>
      <c r="C3658" s="7">
        <v>2003839197</v>
      </c>
      <c r="D3658" s="20">
        <v>510446</v>
      </c>
      <c r="E3658" s="27" t="s">
        <v>106</v>
      </c>
      <c r="F3658" s="7" t="s">
        <v>5018</v>
      </c>
      <c r="G3658" s="7" t="s">
        <v>10</v>
      </c>
      <c r="H3658" s="7" t="s">
        <v>42</v>
      </c>
      <c r="I3658" s="20" t="s">
        <v>5012</v>
      </c>
      <c r="J3658" s="20" t="s">
        <v>4921</v>
      </c>
      <c r="K3658" s="7" t="s">
        <v>119</v>
      </c>
      <c r="L3658" s="61">
        <v>46084</v>
      </c>
      <c r="M3658" s="7" t="s">
        <v>111</v>
      </c>
      <c r="N3658" s="24">
        <v>46085</v>
      </c>
    </row>
    <row r="3659" spans="2:15" ht="17.25" customHeight="1">
      <c r="B3659" s="23">
        <v>46080</v>
      </c>
      <c r="C3659" s="7">
        <v>2003904635</v>
      </c>
      <c r="D3659" s="20">
        <v>510423</v>
      </c>
      <c r="E3659" s="27" t="s">
        <v>230</v>
      </c>
      <c r="F3659" s="7" t="s">
        <v>4981</v>
      </c>
      <c r="G3659" s="7" t="s">
        <v>10</v>
      </c>
      <c r="H3659" s="7" t="s">
        <v>42</v>
      </c>
      <c r="I3659" s="20" t="s">
        <v>5081</v>
      </c>
      <c r="J3659" s="20" t="s">
        <v>5082</v>
      </c>
      <c r="K3659" s="7" t="s">
        <v>110</v>
      </c>
      <c r="L3659" s="61">
        <v>46084</v>
      </c>
      <c r="M3659" s="7" t="s">
        <v>111</v>
      </c>
    </row>
    <row r="3660" spans="2:15" ht="17.25" hidden="1" customHeight="1">
      <c r="B3660" s="23">
        <v>46080</v>
      </c>
      <c r="C3660" s="7">
        <v>2003923276</v>
      </c>
      <c r="D3660" s="20">
        <v>510205</v>
      </c>
      <c r="E3660" s="27" t="s">
        <v>138</v>
      </c>
      <c r="F3660" s="7" t="s">
        <v>5011</v>
      </c>
      <c r="G3660" s="7" t="s">
        <v>10</v>
      </c>
      <c r="H3660" s="7" t="s">
        <v>42</v>
      </c>
      <c r="I3660" s="20" t="s">
        <v>1488</v>
      </c>
      <c r="J3660" s="20" t="s">
        <v>5083</v>
      </c>
      <c r="K3660" s="7" t="s">
        <v>119</v>
      </c>
      <c r="L3660" s="61">
        <v>46085</v>
      </c>
      <c r="M3660" s="7" t="s">
        <v>111</v>
      </c>
    </row>
    <row r="3661" spans="2:15" ht="17.25" hidden="1" customHeight="1">
      <c r="B3661" s="23">
        <v>46080</v>
      </c>
      <c r="C3661" s="7">
        <v>2003857896</v>
      </c>
      <c r="D3661" s="20">
        <v>509970</v>
      </c>
      <c r="E3661" s="27" t="s">
        <v>138</v>
      </c>
      <c r="F3661" s="7" t="s">
        <v>5018</v>
      </c>
      <c r="G3661" s="7" t="s">
        <v>10</v>
      </c>
      <c r="H3661" s="7" t="s">
        <v>42</v>
      </c>
      <c r="I3661" s="20" t="s">
        <v>1590</v>
      </c>
      <c r="J3661" s="20" t="s">
        <v>5084</v>
      </c>
      <c r="K3661" s="7" t="s">
        <v>119</v>
      </c>
      <c r="L3661" s="61">
        <v>46083</v>
      </c>
      <c r="M3661" s="7" t="s">
        <v>111</v>
      </c>
      <c r="N3661" s="24">
        <v>46084</v>
      </c>
    </row>
    <row r="3662" spans="2:15" ht="17.25" hidden="1" customHeight="1">
      <c r="B3662" s="23">
        <v>46080</v>
      </c>
      <c r="C3662" s="7">
        <v>2003920311</v>
      </c>
      <c r="D3662" s="20">
        <v>509434</v>
      </c>
      <c r="E3662" s="27" t="s">
        <v>157</v>
      </c>
      <c r="F3662" s="7" t="s">
        <v>5011</v>
      </c>
      <c r="G3662" s="7" t="s">
        <v>15</v>
      </c>
      <c r="H3662" s="7" t="s">
        <v>42</v>
      </c>
      <c r="I3662" s="20" t="s">
        <v>5085</v>
      </c>
      <c r="J3662" s="20" t="s">
        <v>5086</v>
      </c>
      <c r="K3662" s="7" t="s">
        <v>119</v>
      </c>
      <c r="L3662" s="61">
        <v>46087</v>
      </c>
      <c r="M3662" s="7" t="s">
        <v>111</v>
      </c>
    </row>
    <row r="3663" spans="2:15" ht="17.25" hidden="1" customHeight="1">
      <c r="B3663" s="23">
        <v>46080</v>
      </c>
      <c r="C3663" s="7">
        <v>2003938020</v>
      </c>
      <c r="D3663" s="20">
        <v>509376</v>
      </c>
      <c r="E3663" s="27" t="s">
        <v>123</v>
      </c>
      <c r="F3663" s="7" t="s">
        <v>5018</v>
      </c>
      <c r="G3663" s="7" t="s">
        <v>10</v>
      </c>
      <c r="H3663" s="7" t="s">
        <v>42</v>
      </c>
      <c r="I3663" s="20" t="s">
        <v>5087</v>
      </c>
      <c r="J3663" s="20" t="s">
        <v>5088</v>
      </c>
      <c r="K3663" s="7" t="s">
        <v>119</v>
      </c>
      <c r="L3663" s="61">
        <v>46084</v>
      </c>
      <c r="M3663" s="7" t="s">
        <v>111</v>
      </c>
      <c r="N3663" s="24">
        <v>46085</v>
      </c>
    </row>
    <row r="3664" spans="2:15" ht="17.25" hidden="1" customHeight="1">
      <c r="B3664" s="23">
        <v>46080</v>
      </c>
      <c r="C3664" s="7">
        <v>2003669041</v>
      </c>
      <c r="D3664" s="20">
        <v>509372</v>
      </c>
      <c r="E3664" s="27" t="s">
        <v>123</v>
      </c>
      <c r="F3664" s="7" t="s">
        <v>5011</v>
      </c>
      <c r="G3664" s="7" t="s">
        <v>10</v>
      </c>
      <c r="H3664" s="7" t="s">
        <v>42</v>
      </c>
      <c r="I3664" s="20" t="s">
        <v>1969</v>
      </c>
      <c r="J3664" s="20" t="s">
        <v>1970</v>
      </c>
      <c r="K3664" s="7" t="s">
        <v>119</v>
      </c>
      <c r="L3664" s="61">
        <v>46085</v>
      </c>
      <c r="M3664" s="7" t="s">
        <v>111</v>
      </c>
    </row>
    <row r="3665" spans="2:18" ht="17.25" hidden="1" customHeight="1">
      <c r="B3665" s="23">
        <v>46080</v>
      </c>
      <c r="C3665" s="7">
        <v>2003934781</v>
      </c>
      <c r="D3665" s="20">
        <v>509335</v>
      </c>
      <c r="E3665" s="27" t="s">
        <v>185</v>
      </c>
      <c r="F3665" s="7" t="s">
        <v>5018</v>
      </c>
      <c r="G3665" s="7" t="s">
        <v>10</v>
      </c>
      <c r="H3665" s="7" t="s">
        <v>42</v>
      </c>
      <c r="I3665" s="20" t="s">
        <v>5089</v>
      </c>
      <c r="J3665" s="20" t="s">
        <v>5090</v>
      </c>
      <c r="K3665" s="7" t="s">
        <v>119</v>
      </c>
      <c r="L3665" s="61">
        <v>46084</v>
      </c>
      <c r="M3665" s="7" t="s">
        <v>111</v>
      </c>
      <c r="N3665" s="24">
        <v>46085</v>
      </c>
    </row>
    <row r="3666" spans="2:18" ht="17.25" hidden="1" customHeight="1">
      <c r="B3666" s="23">
        <v>46080</v>
      </c>
      <c r="C3666" s="7">
        <v>2003938423</v>
      </c>
      <c r="D3666" s="20">
        <v>509173</v>
      </c>
      <c r="E3666" s="27" t="s">
        <v>1225</v>
      </c>
      <c r="F3666" s="7" t="s">
        <v>5011</v>
      </c>
      <c r="G3666" s="7" t="s">
        <v>10</v>
      </c>
      <c r="H3666" s="7" t="s">
        <v>42</v>
      </c>
      <c r="I3666" s="20" t="s">
        <v>347</v>
      </c>
      <c r="J3666" s="20" t="s">
        <v>5091</v>
      </c>
      <c r="K3666" s="7" t="s">
        <v>119</v>
      </c>
      <c r="L3666" s="61">
        <v>46085</v>
      </c>
      <c r="M3666" s="7" t="s">
        <v>111</v>
      </c>
    </row>
    <row r="3667" spans="2:18" ht="17.25" hidden="1" customHeight="1">
      <c r="B3667" s="23">
        <v>46080</v>
      </c>
      <c r="C3667" s="7">
        <v>2003703531</v>
      </c>
      <c r="D3667" s="20">
        <v>6672891</v>
      </c>
      <c r="E3667" s="27" t="s">
        <v>138</v>
      </c>
      <c r="F3667" s="7" t="s">
        <v>5018</v>
      </c>
      <c r="G3667" s="7" t="s">
        <v>10</v>
      </c>
      <c r="H3667" s="7" t="s">
        <v>42</v>
      </c>
      <c r="I3667" s="20" t="s">
        <v>5092</v>
      </c>
      <c r="J3667" s="20" t="s">
        <v>5093</v>
      </c>
      <c r="K3667" s="7" t="s">
        <v>119</v>
      </c>
      <c r="L3667" s="61">
        <v>46083</v>
      </c>
      <c r="M3667" s="7" t="s">
        <v>111</v>
      </c>
      <c r="N3667" s="24">
        <v>46085</v>
      </c>
    </row>
    <row r="3668" spans="2:18" ht="17.25" hidden="1" customHeight="1">
      <c r="B3668" s="23">
        <v>46083</v>
      </c>
      <c r="C3668" s="7">
        <v>2003685335</v>
      </c>
      <c r="D3668" s="20">
        <v>511589</v>
      </c>
      <c r="E3668" s="27" t="s">
        <v>622</v>
      </c>
      <c r="F3668" s="7" t="s">
        <v>5011</v>
      </c>
      <c r="G3668" s="7" t="s">
        <v>10</v>
      </c>
      <c r="H3668" s="7" t="s">
        <v>42</v>
      </c>
      <c r="I3668" s="20" t="s">
        <v>3778</v>
      </c>
      <c r="J3668" s="20" t="s">
        <v>688</v>
      </c>
      <c r="K3668" s="7" t="s">
        <v>119</v>
      </c>
      <c r="L3668" s="61">
        <v>46087</v>
      </c>
      <c r="M3668" s="7" t="s">
        <v>111</v>
      </c>
    </row>
    <row r="3669" spans="2:18" ht="17.25" hidden="1" customHeight="1">
      <c r="B3669" s="23">
        <v>46083</v>
      </c>
      <c r="C3669" s="7">
        <v>2003940689</v>
      </c>
      <c r="D3669" s="20">
        <v>512571</v>
      </c>
      <c r="E3669" s="27" t="s">
        <v>230</v>
      </c>
      <c r="F3669" s="7" t="s">
        <v>5011</v>
      </c>
      <c r="G3669" s="7" t="s">
        <v>10</v>
      </c>
      <c r="H3669" s="7" t="s">
        <v>42</v>
      </c>
      <c r="I3669" s="20" t="s">
        <v>778</v>
      </c>
      <c r="J3669" s="20" t="s">
        <v>825</v>
      </c>
      <c r="K3669" s="7" t="s">
        <v>119</v>
      </c>
      <c r="L3669" s="61">
        <v>46085</v>
      </c>
      <c r="M3669" s="7" t="s">
        <v>111</v>
      </c>
    </row>
    <row r="3670" spans="2:18" ht="17.25" hidden="1" customHeight="1">
      <c r="B3670" s="23">
        <v>46083</v>
      </c>
      <c r="C3670" s="7">
        <v>2003928306</v>
      </c>
      <c r="D3670" s="20">
        <v>512601</v>
      </c>
      <c r="E3670" s="27" t="s">
        <v>143</v>
      </c>
      <c r="F3670" s="7" t="s">
        <v>5094</v>
      </c>
      <c r="G3670" s="7" t="s">
        <v>15</v>
      </c>
      <c r="H3670" s="7" t="s">
        <v>42</v>
      </c>
      <c r="I3670" s="20" t="s">
        <v>5095</v>
      </c>
      <c r="J3670" s="20" t="s">
        <v>5096</v>
      </c>
      <c r="K3670" s="7" t="s">
        <v>160</v>
      </c>
    </row>
    <row r="3671" spans="2:18" ht="17.25" hidden="1" customHeight="1">
      <c r="B3671" s="23">
        <v>46083</v>
      </c>
      <c r="C3671" s="7">
        <v>2003931896</v>
      </c>
      <c r="D3671" s="20">
        <v>512565</v>
      </c>
      <c r="E3671" s="27" t="s">
        <v>622</v>
      </c>
      <c r="F3671" s="7" t="s">
        <v>113</v>
      </c>
      <c r="G3671" s="7" t="s">
        <v>70</v>
      </c>
      <c r="H3671" s="7" t="s">
        <v>47</v>
      </c>
      <c r="I3671" s="20" t="s">
        <v>640</v>
      </c>
      <c r="J3671" s="20" t="s">
        <v>5097</v>
      </c>
      <c r="K3671" s="7" t="s">
        <v>119</v>
      </c>
    </row>
    <row r="3672" spans="2:18" ht="17.25" hidden="1" customHeight="1">
      <c r="B3672" s="23">
        <v>46083</v>
      </c>
      <c r="C3672" s="7">
        <v>2003940537</v>
      </c>
      <c r="D3672" s="20">
        <v>512323</v>
      </c>
      <c r="E3672" s="27" t="s">
        <v>1245</v>
      </c>
      <c r="F3672" s="7" t="s">
        <v>5094</v>
      </c>
      <c r="G3672" s="7" t="s">
        <v>15</v>
      </c>
      <c r="H3672" s="7" t="s">
        <v>42</v>
      </c>
      <c r="I3672" s="20" t="s">
        <v>1746</v>
      </c>
      <c r="J3672" s="20" t="s">
        <v>5098</v>
      </c>
      <c r="K3672" s="7" t="s">
        <v>160</v>
      </c>
    </row>
    <row r="3673" spans="2:18" ht="17.25" hidden="1" customHeight="1">
      <c r="B3673" s="23">
        <v>46083</v>
      </c>
      <c r="C3673" s="7">
        <v>2003929640</v>
      </c>
      <c r="D3673" s="20">
        <v>512701</v>
      </c>
      <c r="E3673" s="27" t="s">
        <v>568</v>
      </c>
      <c r="F3673" s="7" t="s">
        <v>5011</v>
      </c>
      <c r="G3673" s="7" t="s">
        <v>10</v>
      </c>
      <c r="H3673" s="7" t="s">
        <v>42</v>
      </c>
      <c r="I3673" s="20" t="s">
        <v>2658</v>
      </c>
      <c r="J3673" s="20" t="s">
        <v>5099</v>
      </c>
      <c r="K3673" s="7" t="s">
        <v>110</v>
      </c>
      <c r="L3673" s="61">
        <v>46085</v>
      </c>
      <c r="M3673" s="7" t="s">
        <v>111</v>
      </c>
    </row>
    <row r="3674" spans="2:18" ht="17.25" hidden="1" customHeight="1">
      <c r="B3674" s="23">
        <v>46083</v>
      </c>
      <c r="C3674" s="7">
        <v>2003935949</v>
      </c>
      <c r="D3674" s="20">
        <v>512141</v>
      </c>
      <c r="E3674" s="27" t="s">
        <v>1225</v>
      </c>
      <c r="F3674" s="7" t="s">
        <v>5011</v>
      </c>
      <c r="G3674" s="7" t="s">
        <v>10</v>
      </c>
      <c r="H3674" s="7" t="s">
        <v>42</v>
      </c>
      <c r="I3674" s="20" t="s">
        <v>1117</v>
      </c>
      <c r="J3674" s="20" t="s">
        <v>5100</v>
      </c>
      <c r="K3674" s="7" t="s">
        <v>110</v>
      </c>
      <c r="L3674" s="61">
        <v>46086</v>
      </c>
      <c r="M3674" s="7" t="s">
        <v>111</v>
      </c>
    </row>
    <row r="3675" spans="2:18" ht="17.25" hidden="1" customHeight="1">
      <c r="B3675" s="23">
        <v>46083</v>
      </c>
      <c r="C3675" s="7">
        <v>2003938080</v>
      </c>
      <c r="D3675" s="20">
        <v>512009</v>
      </c>
      <c r="E3675" s="27" t="s">
        <v>265</v>
      </c>
      <c r="F3675" s="7" t="s">
        <v>107</v>
      </c>
      <c r="G3675" s="7" t="s">
        <v>15</v>
      </c>
      <c r="H3675" s="7" t="s">
        <v>45</v>
      </c>
      <c r="I3675" s="20" t="s">
        <v>5101</v>
      </c>
      <c r="J3675" s="20" t="s">
        <v>5102</v>
      </c>
      <c r="K3675" s="7" t="s">
        <v>110</v>
      </c>
      <c r="L3675" s="61">
        <v>46084</v>
      </c>
      <c r="M3675" s="7" t="s">
        <v>111</v>
      </c>
      <c r="N3675" s="24">
        <v>46085</v>
      </c>
      <c r="O3675" s="24">
        <v>46085</v>
      </c>
      <c r="R3675" s="126">
        <v>46085</v>
      </c>
    </row>
    <row r="3676" spans="2:18" ht="17.25" hidden="1" customHeight="1">
      <c r="B3676" s="23">
        <v>46083</v>
      </c>
      <c r="C3676" s="7">
        <v>2003937372</v>
      </c>
      <c r="D3676" s="20">
        <v>511389</v>
      </c>
      <c r="E3676" s="27" t="s">
        <v>622</v>
      </c>
      <c r="F3676" s="7" t="s">
        <v>5011</v>
      </c>
      <c r="G3676" s="7" t="s">
        <v>10</v>
      </c>
      <c r="H3676" s="7" t="s">
        <v>42</v>
      </c>
      <c r="I3676" s="20" t="s">
        <v>330</v>
      </c>
      <c r="J3676" s="20" t="s">
        <v>5103</v>
      </c>
      <c r="K3676" s="7" t="s">
        <v>119</v>
      </c>
      <c r="L3676" s="61">
        <v>46100</v>
      </c>
      <c r="M3676" s="7" t="s">
        <v>111</v>
      </c>
    </row>
    <row r="3677" spans="2:18" ht="17.25" hidden="1" customHeight="1">
      <c r="B3677" s="23">
        <v>46083</v>
      </c>
      <c r="C3677" s="7">
        <v>2003939463</v>
      </c>
      <c r="D3677" s="20">
        <v>511193</v>
      </c>
      <c r="E3677" s="27" t="s">
        <v>1245</v>
      </c>
      <c r="F3677" s="7" t="s">
        <v>5011</v>
      </c>
      <c r="G3677" s="7" t="s">
        <v>10</v>
      </c>
      <c r="H3677" s="7" t="s">
        <v>42</v>
      </c>
      <c r="I3677" s="20" t="s">
        <v>1359</v>
      </c>
      <c r="J3677" s="20" t="s">
        <v>5104</v>
      </c>
      <c r="K3677" s="7" t="s">
        <v>119</v>
      </c>
      <c r="L3677" s="61">
        <v>46086</v>
      </c>
      <c r="M3677" s="7" t="s">
        <v>111</v>
      </c>
    </row>
    <row r="3678" spans="2:18" ht="17.25" hidden="1" customHeight="1">
      <c r="B3678" s="23">
        <v>46083</v>
      </c>
      <c r="C3678" s="7">
        <v>2003880555</v>
      </c>
      <c r="D3678" s="20">
        <v>6673054</v>
      </c>
      <c r="E3678" s="27" t="s">
        <v>198</v>
      </c>
      <c r="F3678" s="7" t="s">
        <v>5018</v>
      </c>
      <c r="G3678" s="7" t="s">
        <v>10</v>
      </c>
      <c r="H3678" s="7" t="s">
        <v>42</v>
      </c>
      <c r="I3678" s="20" t="s">
        <v>354</v>
      </c>
      <c r="J3678" s="20" t="s">
        <v>5105</v>
      </c>
      <c r="K3678" s="7" t="s">
        <v>110</v>
      </c>
      <c r="L3678" s="61">
        <v>46085</v>
      </c>
      <c r="M3678" s="7" t="s">
        <v>111</v>
      </c>
      <c r="N3678" s="61">
        <v>46085</v>
      </c>
    </row>
    <row r="3679" spans="2:18" ht="17.25" hidden="1" customHeight="1">
      <c r="B3679" s="23">
        <v>46083</v>
      </c>
      <c r="C3679" s="7">
        <v>2003937991</v>
      </c>
      <c r="D3679" s="20">
        <v>6673105</v>
      </c>
      <c r="E3679" s="27" t="s">
        <v>185</v>
      </c>
      <c r="F3679" s="7" t="s">
        <v>5018</v>
      </c>
      <c r="G3679" s="7" t="s">
        <v>10</v>
      </c>
      <c r="H3679" s="7" t="s">
        <v>42</v>
      </c>
      <c r="I3679" s="20" t="s">
        <v>1367</v>
      </c>
      <c r="J3679" s="20" t="s">
        <v>5106</v>
      </c>
      <c r="K3679" s="7" t="s">
        <v>110</v>
      </c>
      <c r="L3679" s="61">
        <v>46084</v>
      </c>
      <c r="M3679" s="7" t="s">
        <v>111</v>
      </c>
      <c r="N3679" s="24">
        <v>46085</v>
      </c>
    </row>
    <row r="3680" spans="2:18" ht="17.25" hidden="1" customHeight="1">
      <c r="B3680" s="23">
        <v>46083</v>
      </c>
      <c r="C3680" s="7">
        <v>2003937629</v>
      </c>
      <c r="D3680" s="20">
        <v>6673113</v>
      </c>
      <c r="E3680" s="27" t="s">
        <v>185</v>
      </c>
      <c r="F3680" s="7" t="s">
        <v>5011</v>
      </c>
      <c r="G3680" s="7" t="s">
        <v>10</v>
      </c>
      <c r="H3680" s="7" t="s">
        <v>42</v>
      </c>
      <c r="I3680" s="20" t="s">
        <v>533</v>
      </c>
      <c r="J3680" s="20" t="s">
        <v>5107</v>
      </c>
      <c r="K3680" s="7" t="s">
        <v>119</v>
      </c>
      <c r="L3680" s="61">
        <v>46085</v>
      </c>
      <c r="M3680" s="7" t="s">
        <v>111</v>
      </c>
    </row>
    <row r="3681" spans="2:14" ht="17.25" hidden="1" customHeight="1">
      <c r="B3681" s="23">
        <v>46083</v>
      </c>
      <c r="C3681" s="7">
        <v>2003938272</v>
      </c>
      <c r="D3681" s="20">
        <v>6673146</v>
      </c>
      <c r="E3681" s="27" t="s">
        <v>185</v>
      </c>
      <c r="F3681" s="7" t="s">
        <v>5018</v>
      </c>
      <c r="G3681" s="7" t="s">
        <v>10</v>
      </c>
      <c r="H3681" s="7" t="s">
        <v>42</v>
      </c>
      <c r="I3681" s="20" t="s">
        <v>1954</v>
      </c>
      <c r="J3681" s="20" t="s">
        <v>5108</v>
      </c>
      <c r="K3681" s="7" t="s">
        <v>110</v>
      </c>
      <c r="L3681" s="61">
        <v>46085</v>
      </c>
      <c r="M3681" s="7" t="s">
        <v>111</v>
      </c>
      <c r="N3681" s="61">
        <v>46085</v>
      </c>
    </row>
    <row r="3682" spans="2:14" ht="17.25" hidden="1" customHeight="1">
      <c r="B3682" s="23">
        <v>46083</v>
      </c>
      <c r="C3682" s="7">
        <v>2003917325</v>
      </c>
      <c r="D3682" s="20">
        <v>6673243</v>
      </c>
      <c r="E3682" s="27" t="s">
        <v>191</v>
      </c>
      <c r="F3682" s="7" t="s">
        <v>5011</v>
      </c>
      <c r="G3682" s="7" t="s">
        <v>10</v>
      </c>
      <c r="H3682" s="7" t="s">
        <v>42</v>
      </c>
      <c r="I3682" s="20" t="s">
        <v>950</v>
      </c>
      <c r="J3682" s="20" t="s">
        <v>5109</v>
      </c>
      <c r="K3682" s="7" t="s">
        <v>119</v>
      </c>
      <c r="L3682" s="61">
        <v>46091</v>
      </c>
      <c r="M3682" s="7" t="s">
        <v>111</v>
      </c>
    </row>
    <row r="3683" spans="2:14" ht="17.25" hidden="1" customHeight="1">
      <c r="B3683" s="23">
        <v>46083</v>
      </c>
      <c r="C3683" s="7">
        <v>2003934746</v>
      </c>
      <c r="D3683" s="20">
        <v>6682698</v>
      </c>
      <c r="E3683" s="27" t="s">
        <v>3586</v>
      </c>
      <c r="F3683" s="7" t="s">
        <v>5094</v>
      </c>
      <c r="G3683" s="7" t="s">
        <v>15</v>
      </c>
      <c r="H3683" s="7" t="s">
        <v>42</v>
      </c>
      <c r="I3683" s="20" t="s">
        <v>4683</v>
      </c>
      <c r="J3683" s="20" t="s">
        <v>5110</v>
      </c>
      <c r="K3683" s="7" t="s">
        <v>160</v>
      </c>
    </row>
    <row r="3684" spans="2:14" ht="17.25" hidden="1" customHeight="1">
      <c r="B3684" s="23">
        <v>46083</v>
      </c>
      <c r="C3684" s="7">
        <v>2003906437</v>
      </c>
      <c r="D3684" s="20">
        <v>6682793</v>
      </c>
      <c r="E3684" s="27" t="s">
        <v>106</v>
      </c>
      <c r="F3684" s="7" t="s">
        <v>5011</v>
      </c>
      <c r="G3684" s="7" t="s">
        <v>10</v>
      </c>
      <c r="H3684" s="7" t="s">
        <v>42</v>
      </c>
      <c r="I3684" s="20" t="s">
        <v>1607</v>
      </c>
      <c r="J3684" s="20" t="s">
        <v>5111</v>
      </c>
      <c r="K3684" s="7" t="s">
        <v>119</v>
      </c>
      <c r="L3684" s="61">
        <v>46086</v>
      </c>
      <c r="M3684" s="7" t="s">
        <v>111</v>
      </c>
    </row>
    <row r="3685" spans="2:14" ht="17.25" hidden="1" customHeight="1">
      <c r="B3685" s="23">
        <v>46083</v>
      </c>
      <c r="C3685" s="7">
        <v>2003918111</v>
      </c>
      <c r="D3685" s="20">
        <v>6682814</v>
      </c>
      <c r="E3685" s="27" t="s">
        <v>622</v>
      </c>
      <c r="F3685" s="7" t="s">
        <v>5011</v>
      </c>
      <c r="G3685" s="7" t="s">
        <v>10</v>
      </c>
      <c r="H3685" s="7" t="s">
        <v>42</v>
      </c>
      <c r="I3685" s="20" t="s">
        <v>5112</v>
      </c>
      <c r="J3685" s="20" t="s">
        <v>5113</v>
      </c>
      <c r="K3685" s="7" t="s">
        <v>119</v>
      </c>
      <c r="L3685" s="61">
        <v>46085</v>
      </c>
      <c r="M3685" s="7" t="s">
        <v>111</v>
      </c>
    </row>
    <row r="3686" spans="2:14" ht="17.25" hidden="1" customHeight="1">
      <c r="B3686" s="23">
        <v>46084</v>
      </c>
      <c r="C3686" s="7">
        <v>2003933820</v>
      </c>
      <c r="D3686" s="20">
        <v>514181</v>
      </c>
      <c r="E3686" s="27" t="s">
        <v>366</v>
      </c>
      <c r="F3686" s="7" t="s">
        <v>5094</v>
      </c>
      <c r="G3686" s="7" t="s">
        <v>15</v>
      </c>
      <c r="H3686" s="7" t="s">
        <v>42</v>
      </c>
      <c r="I3686" s="20" t="s">
        <v>5114</v>
      </c>
      <c r="J3686" s="20" t="s">
        <v>5115</v>
      </c>
      <c r="K3686" s="7" t="s">
        <v>160</v>
      </c>
    </row>
    <row r="3687" spans="2:14" ht="17.25" hidden="1" customHeight="1">
      <c r="B3687" s="23">
        <v>46084</v>
      </c>
      <c r="C3687" s="7">
        <v>2003926160</v>
      </c>
      <c r="D3687" s="20">
        <v>513822</v>
      </c>
      <c r="E3687" s="27" t="s">
        <v>258</v>
      </c>
      <c r="F3687" s="7" t="s">
        <v>5011</v>
      </c>
      <c r="G3687" s="7" t="s">
        <v>10</v>
      </c>
      <c r="H3687" s="7" t="s">
        <v>42</v>
      </c>
      <c r="I3687" s="20" t="s">
        <v>587</v>
      </c>
      <c r="J3687" s="20" t="s">
        <v>5116</v>
      </c>
      <c r="K3687" s="7" t="s">
        <v>110</v>
      </c>
      <c r="L3687" s="61">
        <v>46085</v>
      </c>
      <c r="M3687" s="7" t="s">
        <v>111</v>
      </c>
    </row>
    <row r="3688" spans="2:14" ht="17.25" hidden="1" customHeight="1">
      <c r="B3688" s="23">
        <v>46084</v>
      </c>
      <c r="C3688" s="7">
        <v>2003939714</v>
      </c>
      <c r="D3688" s="20">
        <v>683128</v>
      </c>
      <c r="E3688" s="27" t="s">
        <v>143</v>
      </c>
      <c r="F3688" s="7" t="s">
        <v>5094</v>
      </c>
      <c r="G3688" s="7" t="s">
        <v>10</v>
      </c>
      <c r="H3688" s="7" t="s">
        <v>42</v>
      </c>
      <c r="I3688" s="20" t="s">
        <v>5117</v>
      </c>
      <c r="J3688" s="20" t="s">
        <v>5118</v>
      </c>
      <c r="K3688" s="7" t="s">
        <v>160</v>
      </c>
    </row>
    <row r="3689" spans="2:14" ht="17.25" hidden="1" customHeight="1">
      <c r="B3689" s="23">
        <v>46084</v>
      </c>
      <c r="C3689" s="7">
        <v>2003904428</v>
      </c>
      <c r="D3689" s="20">
        <v>6683143</v>
      </c>
      <c r="E3689" s="27" t="s">
        <v>1225</v>
      </c>
      <c r="F3689" s="7" t="s">
        <v>5011</v>
      </c>
      <c r="G3689" s="7" t="s">
        <v>10</v>
      </c>
      <c r="H3689" s="7" t="s">
        <v>42</v>
      </c>
      <c r="I3689" s="20" t="s">
        <v>5119</v>
      </c>
      <c r="J3689" s="20" t="s">
        <v>5120</v>
      </c>
      <c r="K3689" s="7" t="s">
        <v>110</v>
      </c>
      <c r="L3689" s="61">
        <v>46086</v>
      </c>
      <c r="M3689" s="7" t="s">
        <v>111</v>
      </c>
    </row>
    <row r="3690" spans="2:14" ht="17.25" hidden="1" customHeight="1">
      <c r="B3690" s="23">
        <v>46084</v>
      </c>
      <c r="C3690" s="7">
        <v>2003940936</v>
      </c>
      <c r="D3690" s="20">
        <v>6683372</v>
      </c>
      <c r="E3690" s="27" t="s">
        <v>622</v>
      </c>
      <c r="F3690" s="7" t="s">
        <v>5011</v>
      </c>
      <c r="G3690" s="7" t="s">
        <v>10</v>
      </c>
      <c r="H3690" s="7" t="s">
        <v>42</v>
      </c>
      <c r="I3690" s="20" t="s">
        <v>965</v>
      </c>
      <c r="J3690" s="20" t="s">
        <v>5121</v>
      </c>
      <c r="K3690" s="7" t="s">
        <v>119</v>
      </c>
      <c r="L3690" s="61">
        <v>46090</v>
      </c>
      <c r="M3690" s="7" t="s">
        <v>111</v>
      </c>
    </row>
    <row r="3691" spans="2:14" ht="17.25" hidden="1" customHeight="1">
      <c r="B3691" s="23">
        <v>46084</v>
      </c>
      <c r="C3691" s="7">
        <v>2003930539</v>
      </c>
      <c r="D3691" s="20">
        <v>6683384</v>
      </c>
      <c r="E3691" s="27" t="s">
        <v>1225</v>
      </c>
      <c r="F3691" s="7" t="s">
        <v>5011</v>
      </c>
      <c r="G3691" s="7" t="s">
        <v>10</v>
      </c>
      <c r="H3691" s="7" t="s">
        <v>42</v>
      </c>
      <c r="I3691" s="20" t="s">
        <v>1050</v>
      </c>
      <c r="J3691" s="20" t="s">
        <v>5122</v>
      </c>
      <c r="K3691" s="7" t="s">
        <v>110</v>
      </c>
      <c r="L3691" s="61">
        <v>46087</v>
      </c>
      <c r="M3691" s="7" t="s">
        <v>111</v>
      </c>
    </row>
    <row r="3692" spans="2:14" ht="17.25" hidden="1" customHeight="1">
      <c r="B3692" s="23">
        <v>46084</v>
      </c>
      <c r="C3692" s="7">
        <v>2003932599</v>
      </c>
      <c r="D3692" s="20">
        <v>6683458</v>
      </c>
      <c r="E3692" s="27" t="s">
        <v>106</v>
      </c>
      <c r="F3692" s="7" t="s">
        <v>5011</v>
      </c>
      <c r="G3692" s="7" t="s">
        <v>10</v>
      </c>
      <c r="H3692" s="7" t="s">
        <v>42</v>
      </c>
      <c r="I3692" s="20" t="s">
        <v>2518</v>
      </c>
      <c r="J3692" s="20" t="s">
        <v>5123</v>
      </c>
      <c r="K3692" s="7" t="s">
        <v>110</v>
      </c>
      <c r="L3692" s="61">
        <v>46087</v>
      </c>
      <c r="M3692" s="7" t="s">
        <v>111</v>
      </c>
    </row>
    <row r="3693" spans="2:14" ht="17.25" hidden="1" customHeight="1">
      <c r="B3693" s="23">
        <v>46085</v>
      </c>
      <c r="C3693" s="7">
        <v>2003922196</v>
      </c>
      <c r="D3693" s="20">
        <v>516483</v>
      </c>
      <c r="E3693" s="27" t="s">
        <v>138</v>
      </c>
      <c r="F3693" s="7" t="s">
        <v>5011</v>
      </c>
      <c r="G3693" s="7" t="s">
        <v>10</v>
      </c>
      <c r="H3693" s="7" t="s">
        <v>42</v>
      </c>
      <c r="I3693" s="20" t="s">
        <v>840</v>
      </c>
      <c r="J3693" s="20" t="s">
        <v>5124</v>
      </c>
      <c r="K3693" s="7" t="s">
        <v>119</v>
      </c>
      <c r="L3693" s="61">
        <v>46087</v>
      </c>
      <c r="M3693" s="7" t="s">
        <v>111</v>
      </c>
    </row>
    <row r="3694" spans="2:14" ht="17.25" hidden="1" customHeight="1">
      <c r="B3694" s="23">
        <v>46085</v>
      </c>
      <c r="C3694" s="7">
        <v>2003942386</v>
      </c>
      <c r="D3694" s="20">
        <v>515982</v>
      </c>
      <c r="E3694" s="27" t="s">
        <v>138</v>
      </c>
      <c r="F3694" s="7" t="s">
        <v>5011</v>
      </c>
      <c r="G3694" s="7" t="s">
        <v>10</v>
      </c>
      <c r="H3694" s="7" t="s">
        <v>42</v>
      </c>
      <c r="I3694" s="20" t="s">
        <v>1519</v>
      </c>
      <c r="J3694" s="20" t="s">
        <v>5125</v>
      </c>
      <c r="K3694" s="7" t="s">
        <v>119</v>
      </c>
      <c r="L3694" s="61">
        <v>46091</v>
      </c>
      <c r="M3694" s="7" t="s">
        <v>111</v>
      </c>
    </row>
    <row r="3695" spans="2:14" ht="17.25" hidden="1" customHeight="1">
      <c r="B3695" s="23">
        <v>46085</v>
      </c>
      <c r="C3695" s="7">
        <v>2003927857</v>
      </c>
      <c r="D3695" s="20">
        <v>515631</v>
      </c>
      <c r="E3695" s="27" t="s">
        <v>198</v>
      </c>
      <c r="F3695" s="7" t="s">
        <v>5011</v>
      </c>
      <c r="G3695" s="7" t="s">
        <v>10</v>
      </c>
      <c r="H3695" s="7" t="s">
        <v>42</v>
      </c>
      <c r="I3695" s="20" t="s">
        <v>5126</v>
      </c>
      <c r="J3695" s="20" t="s">
        <v>5127</v>
      </c>
      <c r="K3695" s="7" t="s">
        <v>119</v>
      </c>
      <c r="L3695" s="61">
        <v>46087</v>
      </c>
      <c r="M3695" s="7" t="s">
        <v>111</v>
      </c>
    </row>
    <row r="3696" spans="2:14" ht="17.25" hidden="1" customHeight="1">
      <c r="B3696" s="23">
        <v>46085</v>
      </c>
      <c r="C3696" s="7">
        <v>2003942073</v>
      </c>
      <c r="D3696" s="20">
        <v>515505</v>
      </c>
      <c r="E3696" s="27" t="s">
        <v>568</v>
      </c>
      <c r="F3696" s="7" t="s">
        <v>5011</v>
      </c>
      <c r="G3696" s="7" t="s">
        <v>10</v>
      </c>
      <c r="H3696" s="7" t="s">
        <v>42</v>
      </c>
      <c r="I3696" s="20" t="s">
        <v>2708</v>
      </c>
      <c r="J3696" s="20" t="s">
        <v>5128</v>
      </c>
      <c r="K3696" s="7" t="s">
        <v>119</v>
      </c>
      <c r="L3696" s="61">
        <v>46087</v>
      </c>
      <c r="M3696" s="7" t="s">
        <v>111</v>
      </c>
    </row>
    <row r="3697" spans="2:13" ht="17.25" hidden="1" customHeight="1">
      <c r="B3697" s="23">
        <v>46085</v>
      </c>
      <c r="C3697" s="7">
        <v>2003558996</v>
      </c>
      <c r="D3697" s="20">
        <v>6683618</v>
      </c>
      <c r="E3697" s="27" t="s">
        <v>123</v>
      </c>
      <c r="F3697" s="7" t="s">
        <v>5011</v>
      </c>
      <c r="G3697" s="7" t="s">
        <v>10</v>
      </c>
      <c r="H3697" s="7" t="s">
        <v>42</v>
      </c>
      <c r="I3697" s="20" t="s">
        <v>1011</v>
      </c>
      <c r="J3697" s="20" t="s">
        <v>5129</v>
      </c>
      <c r="K3697" s="7" t="s">
        <v>110</v>
      </c>
      <c r="L3697" s="61">
        <v>46087</v>
      </c>
      <c r="M3697" s="7" t="s">
        <v>111</v>
      </c>
    </row>
    <row r="3698" spans="2:13" ht="17.25" hidden="1" customHeight="1">
      <c r="B3698" s="23">
        <v>46085</v>
      </c>
      <c r="C3698" s="7">
        <v>2003939627</v>
      </c>
      <c r="D3698" s="20">
        <v>6683688</v>
      </c>
      <c r="E3698" s="27" t="s">
        <v>1225</v>
      </c>
      <c r="F3698" s="7" t="s">
        <v>5011</v>
      </c>
      <c r="G3698" s="7" t="s">
        <v>10</v>
      </c>
      <c r="H3698" s="7" t="s">
        <v>42</v>
      </c>
      <c r="I3698" s="20" t="s">
        <v>5046</v>
      </c>
      <c r="J3698" s="20" t="s">
        <v>2507</v>
      </c>
      <c r="K3698" s="7" t="s">
        <v>119</v>
      </c>
      <c r="L3698" s="61">
        <v>46090</v>
      </c>
      <c r="M3698" s="7" t="s">
        <v>111</v>
      </c>
    </row>
    <row r="3699" spans="2:13" ht="17.25" hidden="1" customHeight="1">
      <c r="B3699" s="23">
        <v>46085</v>
      </c>
      <c r="C3699" s="7">
        <v>2003939846</v>
      </c>
      <c r="D3699" s="20">
        <v>6683755</v>
      </c>
      <c r="E3699" s="27" t="s">
        <v>1225</v>
      </c>
      <c r="F3699" s="7" t="s">
        <v>5011</v>
      </c>
      <c r="G3699" s="7" t="s">
        <v>10</v>
      </c>
      <c r="H3699" s="7" t="s">
        <v>42</v>
      </c>
      <c r="I3699" s="20" t="s">
        <v>1367</v>
      </c>
      <c r="J3699" s="20" t="s">
        <v>5130</v>
      </c>
      <c r="K3699" s="7" t="s">
        <v>110</v>
      </c>
      <c r="L3699" s="61">
        <v>46090</v>
      </c>
      <c r="M3699" s="7" t="s">
        <v>111</v>
      </c>
    </row>
    <row r="3700" spans="2:13" ht="17.25" hidden="1" customHeight="1">
      <c r="B3700" s="23">
        <v>46085</v>
      </c>
      <c r="C3700" s="7">
        <v>2003938494</v>
      </c>
      <c r="D3700" s="20">
        <v>6683789</v>
      </c>
      <c r="E3700" s="27" t="s">
        <v>123</v>
      </c>
      <c r="F3700" s="7" t="s">
        <v>5011</v>
      </c>
      <c r="G3700" s="7" t="s">
        <v>10</v>
      </c>
      <c r="H3700" s="7" t="s">
        <v>42</v>
      </c>
      <c r="I3700" s="20" t="s">
        <v>716</v>
      </c>
      <c r="J3700" s="20" t="s">
        <v>5131</v>
      </c>
      <c r="K3700" s="7" t="s">
        <v>110</v>
      </c>
      <c r="L3700" s="61">
        <v>46090</v>
      </c>
      <c r="M3700" s="7" t="s">
        <v>111</v>
      </c>
    </row>
    <row r="3701" spans="2:13" ht="17.25" hidden="1" customHeight="1">
      <c r="B3701" s="23">
        <v>46085</v>
      </c>
      <c r="C3701" s="7">
        <v>2003923006</v>
      </c>
      <c r="D3701" s="20">
        <v>6683897</v>
      </c>
      <c r="E3701" s="27" t="s">
        <v>201</v>
      </c>
      <c r="F3701" s="7" t="s">
        <v>5011</v>
      </c>
      <c r="G3701" s="7" t="s">
        <v>10</v>
      </c>
      <c r="H3701" s="7" t="s">
        <v>42</v>
      </c>
      <c r="I3701" s="20" t="s">
        <v>2583</v>
      </c>
      <c r="J3701" s="20" t="s">
        <v>2584</v>
      </c>
      <c r="K3701" s="7" t="s">
        <v>119</v>
      </c>
      <c r="L3701" s="61">
        <v>46091</v>
      </c>
      <c r="M3701" s="7" t="s">
        <v>111</v>
      </c>
    </row>
    <row r="3702" spans="2:13" ht="17.25" hidden="1" customHeight="1">
      <c r="B3702" s="23">
        <v>46085</v>
      </c>
      <c r="C3702" s="7">
        <v>2003701532</v>
      </c>
      <c r="D3702" s="20">
        <v>6683927</v>
      </c>
      <c r="E3702" s="27" t="s">
        <v>230</v>
      </c>
      <c r="F3702" s="7" t="s">
        <v>5011</v>
      </c>
      <c r="G3702" s="7" t="s">
        <v>10</v>
      </c>
      <c r="H3702" s="7" t="s">
        <v>42</v>
      </c>
      <c r="I3702" s="20" t="s">
        <v>1113</v>
      </c>
      <c r="J3702" s="20" t="s">
        <v>4843</v>
      </c>
      <c r="K3702" s="7" t="s">
        <v>111</v>
      </c>
      <c r="L3702" s="61">
        <v>46086</v>
      </c>
      <c r="M3702" s="7" t="s">
        <v>111</v>
      </c>
    </row>
    <row r="1034459" spans="15:15" ht="17.25" customHeight="1">
      <c r="O1034459" s="61"/>
    </row>
  </sheetData>
  <autoFilter ref="B1:X3702" xr:uid="{00000000-0001-0000-0000-000000000000}">
    <filterColumn colId="4">
      <filters>
        <filter val="PENDIENTE PRESUPUESTO"/>
      </filters>
    </filterColumn>
  </autoFilter>
  <sortState xmlns:xlrd2="http://schemas.microsoft.com/office/spreadsheetml/2017/richdata2" ref="B2:X1034459">
    <sortCondition ref="D2:D1034459"/>
  </sortState>
  <conditionalFormatting sqref="A2:Q2796 A2798:Q2803 A2935:Q2938 A2940:Q2943 A2899:Q2900 A2924:Q2933 A2902:Q2922 A2852:Q2867 A2869:Q2897 A3009:Q3009 A2945:Q2973 A3011:Q3031 A3116:G3116 A2975:Q3007 A3056:Q3089 A3049:Q3054 A3117:Q3125 I3116:Q3116 A3091:Q3115 A3184:Q3186 A3200:Q3200 A3153:Q3182 A3127:Q3151 A2805:Q2838 A2840:Q2850 A3188:Q3198 A3202:Q3248 A3407:Q3408 A3033:Q3047 A3250:Q3405 A3455:Q3456 A3569:D3570 F3569:Q3570 A3458:Q3511 A3530:Q3568 A3571:Q3579 A3410:Q3453 A3581:Q3586 A3588:Q3618 A3513:Q3528 A3678:Q7934 A3620:Q3676">
    <cfRule type="expression" dxfId="648" priority="620">
      <formula>$F3="PENDIENTE PRESUPUESTO"</formula>
    </cfRule>
  </conditionalFormatting>
  <conditionalFormatting sqref="A3116:G3116 I3116:Q3116 A1:Q3115 A3569:D3570 F3569:Q3570 A3117:Q3568 A3571:Q7934">
    <cfRule type="expression" dxfId="647" priority="549">
      <formula>$F1="PENDIENTE NEGOCIACION"</formula>
    </cfRule>
    <cfRule type="expression" dxfId="646" priority="550">
      <formula>$F1="IP RECLAMADA A PERITO 3"</formula>
    </cfRule>
    <cfRule type="expression" dxfId="645" priority="551">
      <formula>$F1="ESPERANDO RESPUESTA 3°"</formula>
    </cfRule>
    <cfRule type="expression" dxfId="644" priority="552">
      <formula>$F1="PENDIENTE DE OFRECIMIENTO"</formula>
    </cfRule>
    <cfRule type="expression" dxfId="643" priority="553">
      <formula>$F1="EN CONSULTA CON CIA"</formula>
    </cfRule>
    <cfRule type="expression" dxfId="642" priority="554">
      <formula>$F1="IP REALIZADA"</formula>
    </cfRule>
    <cfRule type="expression" dxfId="641" priority="555">
      <formula>$F1="PENDIENTE  COORDINACION"</formula>
    </cfRule>
    <cfRule type="expression" dxfId="640" priority="556">
      <formula>$F1="LICITANDO REPUESTOS"</formula>
    </cfRule>
    <cfRule type="expression" dxfId="639" priority="557">
      <formula>$F1="PENDIENTE PRESUPUESTO"</formula>
    </cfRule>
    <cfRule type="expression" dxfId="638" priority="558">
      <formula>$F1="REVISAR MAIL - RESUELTO"</formula>
    </cfRule>
    <cfRule type="expression" dxfId="637" priority="559">
      <formula>$F1="IP RECLAMADA A PERITO 5"</formula>
    </cfRule>
    <cfRule type="expression" dxfId="636" priority="560">
      <formula>$F1="IP RECLAMADA A PERITO 4"</formula>
    </cfRule>
    <cfRule type="expression" dxfId="635" priority="561">
      <formula>$F1="IP RECLAMADA A PERITO 2"</formula>
    </cfRule>
    <cfRule type="expression" dxfId="634" priority="562">
      <formula>$F1="INSPECCION ANULADA"</formula>
    </cfRule>
    <cfRule type="expression" dxfId="633" priority="564">
      <formula>$F1="CONTACTADO"</formula>
    </cfRule>
    <cfRule type="expression" dxfId="632" priority="565">
      <formula>$F1="IP CERRADA"</formula>
    </cfRule>
    <cfRule type="expression" dxfId="631" priority="566">
      <formula>$F1="ENVIO DE ORDEN"</formula>
    </cfRule>
    <cfRule type="expression" dxfId="630" priority="567">
      <formula>$F1="PARA FACTURAR"</formula>
    </cfRule>
    <cfRule type="expression" dxfId="629" priority="568">
      <formula>$F1="IP RECLAMADA A PERITO 1"</formula>
    </cfRule>
    <cfRule type="expression" dxfId="628" priority="569">
      <formula>$F1="REVISAR MAIL - SIN RESOLVER"</formula>
    </cfRule>
    <cfRule type="expression" dxfId="627" priority="626">
      <formula>$F1="IP COORDINADA"</formula>
    </cfRule>
  </conditionalFormatting>
  <conditionalFormatting sqref="A2797:Q2797">
    <cfRule type="expression" dxfId="626" priority="958">
      <formula>#REF!="PENDIENTE PRESUPUESTO"</formula>
    </cfRule>
  </conditionalFormatting>
  <conditionalFormatting sqref="B2064:C2065 E2064:Q2065 B2066:Q2771 B2:Q2063 N1034459:O1048576">
    <cfRule type="expression" dxfId="625" priority="612">
      <formula>$F2="PENDIENTE NEGOCIACION"</formula>
    </cfRule>
    <cfRule type="expression" dxfId="624" priority="613">
      <formula>$F2="IP RECLAMADA A PERITO 3"</formula>
    </cfRule>
    <cfRule type="expression" dxfId="623" priority="614">
      <formula>$F2="ESPERANDO RESPUESTA 3°"</formula>
    </cfRule>
    <cfRule type="expression" dxfId="622" priority="615">
      <formula>$F2="PENDIENTE DE OFRECIMIENTO"</formula>
    </cfRule>
    <cfRule type="expression" dxfId="621" priority="616">
      <formula>$F2="EN CONSULTA CON CIA"</formula>
    </cfRule>
    <cfRule type="expression" dxfId="620" priority="617">
      <formula>$F2="IP REALIZADA"</formula>
    </cfRule>
    <cfRule type="expression" dxfId="619" priority="618">
      <formula>$F2="PENDIENTE  COORDINACION"</formula>
    </cfRule>
    <cfRule type="expression" dxfId="618" priority="619">
      <formula>$F2="LICITANDO REPUESTOS"</formula>
    </cfRule>
    <cfRule type="expression" dxfId="617" priority="621">
      <formula>$F2="REVISAR MAIL - RESUELTO"</formula>
    </cfRule>
    <cfRule type="expression" dxfId="616" priority="622">
      <formula>$F2="IP RECLAMADA A PERITO 5"</formula>
    </cfRule>
    <cfRule type="expression" dxfId="615" priority="623">
      <formula>$F2="IP RECLAMADA A PERITO 4"</formula>
    </cfRule>
    <cfRule type="expression" dxfId="614" priority="624">
      <formula>$F2="IP RECLAMADA A PERITO 2"</formula>
    </cfRule>
    <cfRule type="expression" dxfId="613" priority="625">
      <formula>$F2="INSPECCION ANULADA"</formula>
    </cfRule>
    <cfRule type="expression" dxfId="612" priority="627">
      <formula>$F2="CONTACTADO"</formula>
    </cfRule>
    <cfRule type="expression" dxfId="611" priority="628">
      <formula>$F2="IP CERRADA"</formula>
    </cfRule>
    <cfRule type="expression" dxfId="610" priority="629">
      <formula>$F2="ENVIO DE ORDEN"</formula>
    </cfRule>
    <cfRule type="expression" dxfId="609" priority="630">
      <formula>$F2="PARA FACTURAR"</formula>
    </cfRule>
    <cfRule type="expression" dxfId="608" priority="631">
      <formula>$F2="IP RECLAMADA A PERITO 1"</formula>
    </cfRule>
    <cfRule type="expression" dxfId="607" priority="632">
      <formula>$F2="REVISAR MAIL - SIN RESOLVER"</formula>
    </cfRule>
  </conditionalFormatting>
  <conditionalFormatting sqref="D2064">
    <cfRule type="expression" dxfId="606" priority="582">
      <formula>$F2064="IP RECLAMADA A PERITO 2"</formula>
    </cfRule>
    <cfRule type="expression" dxfId="605" priority="583">
      <formula>$F2064="INSPECCION ANULADA"</formula>
    </cfRule>
    <cfRule type="expression" dxfId="604" priority="584">
      <formula>$F2064="IP COORDINADA"</formula>
    </cfRule>
    <cfRule type="expression" dxfId="603" priority="585">
      <formula>$F2064="CONTACTADO"</formula>
    </cfRule>
    <cfRule type="expression" dxfId="602" priority="586">
      <formula>$F2064="IP CERRADA"</formula>
    </cfRule>
    <cfRule type="expression" dxfId="601" priority="587">
      <formula>$F2064="ENVIO DE ORDEN"</formula>
    </cfRule>
    <cfRule type="expression" dxfId="600" priority="588">
      <formula>$F2064="PARA FACTURAR"</formula>
    </cfRule>
    <cfRule type="expression" dxfId="599" priority="589">
      <formula>$F2064="IP RECLAMADA A PERITO 1"</formula>
    </cfRule>
    <cfRule type="expression" dxfId="598" priority="590">
      <formula>$F2064="REVISAR MAIL - SIN RESOLVER"</formula>
    </cfRule>
  </conditionalFormatting>
  <conditionalFormatting sqref="N2773:N2774">
    <cfRule type="expression" dxfId="597" priority="359">
      <formula>$F2773="PENDIENTE NEGOCIACION"</formula>
    </cfRule>
    <cfRule type="expression" dxfId="596" priority="360">
      <formula>$F2773="IP RECLAMADA A PERITO 3"</formula>
    </cfRule>
    <cfRule type="expression" dxfId="595" priority="361">
      <formula>$F2773="ESPERANDO RESPUESTA 3°"</formula>
    </cfRule>
    <cfRule type="expression" dxfId="594" priority="362">
      <formula>$F2773="PENDIENTE DE OFRECIMIENTO"</formula>
    </cfRule>
    <cfRule type="expression" dxfId="593" priority="363">
      <formula>$F2773="EN CONSULTA CON CIA"</formula>
    </cfRule>
    <cfRule type="expression" dxfId="592" priority="364">
      <formula>$F2773="IP REALIZADA"</formula>
    </cfRule>
    <cfRule type="expression" dxfId="591" priority="365">
      <formula>$F2773="PENDIENTE  COORDINACION"</formula>
    </cfRule>
    <cfRule type="expression" dxfId="590" priority="366">
      <formula>$F2773="LICITANDO REPUESTOS"</formula>
    </cfRule>
    <cfRule type="expression" dxfId="589" priority="367">
      <formula>$F2773="REVISAR MAIL - RESUELTO"</formula>
    </cfRule>
    <cfRule type="expression" dxfId="588" priority="368">
      <formula>$F2773="IP RECLAMADA A PERITO 5"</formula>
    </cfRule>
    <cfRule type="expression" dxfId="587" priority="369">
      <formula>$F2773="IP RECLAMADA A PERITO 4"</formula>
    </cfRule>
    <cfRule type="expression" dxfId="586" priority="370">
      <formula>$F2773="IP RECLAMADA A PERITO 2"</formula>
    </cfRule>
    <cfRule type="expression" dxfId="585" priority="371">
      <formula>$F2773="INSPECCION ANULADA"</formula>
    </cfRule>
    <cfRule type="expression" dxfId="584" priority="372">
      <formula>$F2773="CONTACTADO"</formula>
    </cfRule>
    <cfRule type="expression" dxfId="583" priority="373">
      <formula>$F2773="IP CERRADA"</formula>
    </cfRule>
    <cfRule type="expression" dxfId="582" priority="374">
      <formula>$F2773="ENVIO DE ORDEN"</formula>
    </cfRule>
    <cfRule type="expression" dxfId="581" priority="375">
      <formula>$F2773="PARA FACTURAR"</formula>
    </cfRule>
    <cfRule type="expression" dxfId="580" priority="376">
      <formula>$F2773="IP RECLAMADA A PERITO 1"</formula>
    </cfRule>
    <cfRule type="expression" dxfId="579" priority="377">
      <formula>$F2773="REVISAR MAIL - SIN RESOLVER"</formula>
    </cfRule>
  </conditionalFormatting>
  <conditionalFormatting sqref="N2795">
    <cfRule type="expression" dxfId="578" priority="340">
      <formula>$F2795="PENDIENTE NEGOCIACION"</formula>
    </cfRule>
    <cfRule type="expression" dxfId="577" priority="341">
      <formula>$F2795="IP RECLAMADA A PERITO 3"</formula>
    </cfRule>
    <cfRule type="expression" dxfId="576" priority="342">
      <formula>$F2795="ESPERANDO RESPUESTA 3°"</formula>
    </cfRule>
    <cfRule type="expression" dxfId="575" priority="343">
      <formula>$F2795="PENDIENTE DE OFRECIMIENTO"</formula>
    </cfRule>
    <cfRule type="expression" dxfId="574" priority="344">
      <formula>$F2795="EN CONSULTA CON CIA"</formula>
    </cfRule>
    <cfRule type="expression" dxfId="573" priority="345">
      <formula>$F2795="IP REALIZADA"</formula>
    </cfRule>
    <cfRule type="expression" dxfId="572" priority="346">
      <formula>$F2795="PENDIENTE  COORDINACION"</formula>
    </cfRule>
    <cfRule type="expression" dxfId="571" priority="347">
      <formula>$F2795="LICITANDO REPUESTOS"</formula>
    </cfRule>
    <cfRule type="expression" dxfId="570" priority="348">
      <formula>$F2795="REVISAR MAIL - RESUELTO"</formula>
    </cfRule>
    <cfRule type="expression" dxfId="569" priority="349">
      <formula>$F2795="IP RECLAMADA A PERITO 5"</formula>
    </cfRule>
    <cfRule type="expression" dxfId="568" priority="350">
      <formula>$F2795="IP RECLAMADA A PERITO 4"</formula>
    </cfRule>
    <cfRule type="expression" dxfId="567" priority="351">
      <formula>$F2795="IP RECLAMADA A PERITO 2"</formula>
    </cfRule>
    <cfRule type="expression" dxfId="566" priority="352">
      <formula>$F2795="INSPECCION ANULADA"</formula>
    </cfRule>
    <cfRule type="expression" dxfId="565" priority="353">
      <formula>$F2795="CONTACTADO"</formula>
    </cfRule>
    <cfRule type="expression" dxfId="564" priority="354">
      <formula>$F2795="IP CERRADA"</formula>
    </cfRule>
    <cfRule type="expression" dxfId="563" priority="355">
      <formula>$F2795="ENVIO DE ORDEN"</formula>
    </cfRule>
    <cfRule type="expression" dxfId="562" priority="356">
      <formula>$F2795="PARA FACTURAR"</formula>
    </cfRule>
    <cfRule type="expression" dxfId="561" priority="357">
      <formula>$F2795="IP RECLAMADA A PERITO 1"</formula>
    </cfRule>
    <cfRule type="expression" dxfId="560" priority="358">
      <formula>$F2795="REVISAR MAIL - SIN RESOLVER"</formula>
    </cfRule>
  </conditionalFormatting>
  <conditionalFormatting sqref="N1034452:N1034458">
    <cfRule type="expression" dxfId="559" priority="885">
      <formula>$F1034452="PENDIENTE NEGOCIACION"</formula>
    </cfRule>
    <cfRule type="expression" dxfId="558" priority="886">
      <formula>$F1034452="IP RECLAMADA A PERITO 3"</formula>
    </cfRule>
    <cfRule type="expression" dxfId="557" priority="887">
      <formula>$F1034452="ESPERANDO RESPUESTA 3°"</formula>
    </cfRule>
    <cfRule type="expression" dxfId="556" priority="888">
      <formula>$F1034452="PENDIENTE DE OFRECIMIENTO"</formula>
    </cfRule>
    <cfRule type="expression" dxfId="555" priority="890">
      <formula>$F1034452="EN CONSULTA CON CIA"</formula>
    </cfRule>
    <cfRule type="expression" dxfId="554" priority="891">
      <formula>$F1034452="IP REALIZADA"</formula>
    </cfRule>
    <cfRule type="expression" dxfId="553" priority="892">
      <formula>$F1034452="PENDIENTE  COORDINACION"</formula>
    </cfRule>
    <cfRule type="expression" dxfId="552" priority="893">
      <formula>$F1034452="LICITANDO REPUESTOS"</formula>
    </cfRule>
    <cfRule type="expression" dxfId="551" priority="894">
      <formula>$F1034452="PENDIENTE PRESUPUESTO"</formula>
    </cfRule>
    <cfRule type="expression" dxfId="550" priority="896">
      <formula>$F1034452="REVISAR MAIL - RESUELTO"</formula>
    </cfRule>
    <cfRule type="expression" dxfId="549" priority="897">
      <formula>$F1034452="IP RECLAMADA A PERITO 5"</formula>
    </cfRule>
    <cfRule type="expression" dxfId="548" priority="898">
      <formula>$F1034452="IP RECLAMADA A PERITO 4"</formula>
    </cfRule>
    <cfRule type="expression" dxfId="547" priority="900">
      <formula>$F1034452="IP RECLAMADA A PERITO 2"</formula>
    </cfRule>
    <cfRule type="expression" dxfId="546" priority="901">
      <formula>$F1034452="INSPECCION ANULADA"</formula>
    </cfRule>
    <cfRule type="expression" dxfId="545" priority="902">
      <formula>$F1034452="IP COORDINADA"</formula>
    </cfRule>
    <cfRule type="expression" dxfId="544" priority="904">
      <formula>$F1034452="CONTACTADO"</formula>
    </cfRule>
    <cfRule type="expression" dxfId="543" priority="907">
      <formula>$F1034452="IP CERRADA"</formula>
    </cfRule>
    <cfRule type="expression" dxfId="542" priority="908">
      <formula>$F1034452="ENVIO DE ORDEN"</formula>
    </cfRule>
    <cfRule type="expression" dxfId="541" priority="909">
      <formula>$F1034452="PARA FACTURAR"</formula>
    </cfRule>
    <cfRule type="expression" dxfId="540" priority="911">
      <formula>$F1034452="IP RECLAMADA A PERITO 1"</formula>
    </cfRule>
    <cfRule type="expression" dxfId="539" priority="915">
      <formula>$F1034452="REVISAR MAIL - SIN RESOLVER"</formula>
    </cfRule>
  </conditionalFormatting>
  <conditionalFormatting sqref="N2772:O2772">
    <cfRule type="expression" dxfId="538" priority="454">
      <formula>$F2772="PENDIENTE NEGOCIACION"</formula>
    </cfRule>
    <cfRule type="expression" dxfId="537" priority="455">
      <formula>$F2772="IP RECLAMADA A PERITO 3"</formula>
    </cfRule>
    <cfRule type="expression" dxfId="536" priority="456">
      <formula>$F2772="ESPERANDO RESPUESTA 3°"</formula>
    </cfRule>
    <cfRule type="expression" dxfId="535" priority="457">
      <formula>$F2772="PENDIENTE DE OFRECIMIENTO"</formula>
    </cfRule>
    <cfRule type="expression" dxfId="534" priority="458">
      <formula>$F2772="EN CONSULTA CON CIA"</formula>
    </cfRule>
    <cfRule type="expression" dxfId="533" priority="459">
      <formula>$F2772="IP REALIZADA"</formula>
    </cfRule>
    <cfRule type="expression" dxfId="532" priority="460">
      <formula>$F2772="PENDIENTE  COORDINACION"</formula>
    </cfRule>
    <cfRule type="expression" dxfId="531" priority="461">
      <formula>$F2772="LICITANDO REPUESTOS"</formula>
    </cfRule>
    <cfRule type="expression" dxfId="530" priority="462">
      <formula>$F2772="REVISAR MAIL - RESUELTO"</formula>
    </cfRule>
    <cfRule type="expression" dxfId="529" priority="463">
      <formula>$F2772="IP RECLAMADA A PERITO 5"</formula>
    </cfRule>
    <cfRule type="expression" dxfId="528" priority="464">
      <formula>$F2772="IP RECLAMADA A PERITO 4"</formula>
    </cfRule>
    <cfRule type="expression" dxfId="527" priority="465">
      <formula>$F2772="IP RECLAMADA A PERITO 2"</formula>
    </cfRule>
    <cfRule type="expression" dxfId="526" priority="466">
      <formula>$F2772="INSPECCION ANULADA"</formula>
    </cfRule>
    <cfRule type="expression" dxfId="525" priority="467">
      <formula>$F2772="CONTACTADO"</formula>
    </cfRule>
    <cfRule type="expression" dxfId="524" priority="468">
      <formula>$F2772="IP CERRADA"</formula>
    </cfRule>
    <cfRule type="expression" dxfId="523" priority="469">
      <formula>$F2772="ENVIO DE ORDEN"</formula>
    </cfRule>
    <cfRule type="expression" dxfId="522" priority="470">
      <formula>$F2772="PARA FACTURAR"</formula>
    </cfRule>
    <cfRule type="expression" dxfId="521" priority="471">
      <formula>$F2772="IP RECLAMADA A PERITO 1"</formula>
    </cfRule>
    <cfRule type="expression" dxfId="520" priority="472">
      <formula>$F2772="REVISAR MAIL - SIN RESOLVER"</formula>
    </cfRule>
  </conditionalFormatting>
  <conditionalFormatting sqref="N2780:O2780">
    <cfRule type="expression" dxfId="519" priority="416">
      <formula>$F2780="PENDIENTE NEGOCIACION"</formula>
    </cfRule>
    <cfRule type="expression" dxfId="518" priority="417">
      <formula>$F2780="IP RECLAMADA A PERITO 3"</formula>
    </cfRule>
    <cfRule type="expression" dxfId="517" priority="418">
      <formula>$F2780="ESPERANDO RESPUESTA 3°"</formula>
    </cfRule>
    <cfRule type="expression" dxfId="516" priority="419">
      <formula>$F2780="PENDIENTE DE OFRECIMIENTO"</formula>
    </cfRule>
    <cfRule type="expression" dxfId="515" priority="420">
      <formula>$F2780="EN CONSULTA CON CIA"</formula>
    </cfRule>
    <cfRule type="expression" dxfId="514" priority="421">
      <formula>$F2780="IP REALIZADA"</formula>
    </cfRule>
    <cfRule type="expression" dxfId="513" priority="422">
      <formula>$F2780="PENDIENTE  COORDINACION"</formula>
    </cfRule>
    <cfRule type="expression" dxfId="512" priority="423">
      <formula>$F2780="LICITANDO REPUESTOS"</formula>
    </cfRule>
    <cfRule type="expression" dxfId="511" priority="424">
      <formula>$F2780="REVISAR MAIL - RESUELTO"</formula>
    </cfRule>
    <cfRule type="expression" dxfId="510" priority="425">
      <formula>$F2780="IP RECLAMADA A PERITO 5"</formula>
    </cfRule>
    <cfRule type="expression" dxfId="509" priority="426">
      <formula>$F2780="IP RECLAMADA A PERITO 4"</formula>
    </cfRule>
    <cfRule type="expression" dxfId="508" priority="427">
      <formula>$F2780="IP RECLAMADA A PERITO 2"</formula>
    </cfRule>
    <cfRule type="expression" dxfId="507" priority="428">
      <formula>$F2780="INSPECCION ANULADA"</formula>
    </cfRule>
    <cfRule type="expression" dxfId="506" priority="429">
      <formula>$F2780="CONTACTADO"</formula>
    </cfRule>
    <cfRule type="expression" dxfId="505" priority="430">
      <formula>$F2780="IP CERRADA"</formula>
    </cfRule>
    <cfRule type="expression" dxfId="504" priority="431">
      <formula>$F2780="ENVIO DE ORDEN"</formula>
    </cfRule>
    <cfRule type="expression" dxfId="503" priority="432">
      <formula>$F2780="PARA FACTURAR"</formula>
    </cfRule>
    <cfRule type="expression" dxfId="502" priority="433">
      <formula>$F2780="IP RECLAMADA A PERITO 1"</formula>
    </cfRule>
    <cfRule type="expression" dxfId="501" priority="434">
      <formula>$F2780="REVISAR MAIL - SIN RESOLVER"</formula>
    </cfRule>
  </conditionalFormatting>
  <conditionalFormatting sqref="N2784:O2784">
    <cfRule type="expression" dxfId="500" priority="397">
      <formula>$F2784="PENDIENTE NEGOCIACION"</formula>
    </cfRule>
    <cfRule type="expression" dxfId="499" priority="398">
      <formula>$F2784="IP RECLAMADA A PERITO 3"</formula>
    </cfRule>
    <cfRule type="expression" dxfId="498" priority="399">
      <formula>$F2784="ESPERANDO RESPUESTA 3°"</formula>
    </cfRule>
    <cfRule type="expression" dxfId="497" priority="400">
      <formula>$F2784="PENDIENTE DE OFRECIMIENTO"</formula>
    </cfRule>
    <cfRule type="expression" dxfId="496" priority="401">
      <formula>$F2784="EN CONSULTA CON CIA"</formula>
    </cfRule>
    <cfRule type="expression" dxfId="495" priority="402">
      <formula>$F2784="IP REALIZADA"</formula>
    </cfRule>
    <cfRule type="expression" dxfId="494" priority="403">
      <formula>$F2784="PENDIENTE  COORDINACION"</formula>
    </cfRule>
    <cfRule type="expression" dxfId="493" priority="404">
      <formula>$F2784="LICITANDO REPUESTOS"</formula>
    </cfRule>
    <cfRule type="expression" dxfId="492" priority="405">
      <formula>$F2784="REVISAR MAIL - RESUELTO"</formula>
    </cfRule>
    <cfRule type="expression" dxfId="491" priority="406">
      <formula>$F2784="IP RECLAMADA A PERITO 5"</formula>
    </cfRule>
    <cfRule type="expression" dxfId="490" priority="407">
      <formula>$F2784="IP RECLAMADA A PERITO 4"</formula>
    </cfRule>
    <cfRule type="expression" dxfId="489" priority="408">
      <formula>$F2784="IP RECLAMADA A PERITO 2"</formula>
    </cfRule>
    <cfRule type="expression" dxfId="488" priority="409">
      <formula>$F2784="INSPECCION ANULADA"</formula>
    </cfRule>
    <cfRule type="expression" dxfId="487" priority="410">
      <formula>$F2784="CONTACTADO"</formula>
    </cfRule>
    <cfRule type="expression" dxfId="486" priority="411">
      <formula>$F2784="IP CERRADA"</formula>
    </cfRule>
    <cfRule type="expression" dxfId="485" priority="412">
      <formula>$F2784="ENVIO DE ORDEN"</formula>
    </cfRule>
    <cfRule type="expression" dxfId="484" priority="413">
      <formula>$F2784="PARA FACTURAR"</formula>
    </cfRule>
    <cfRule type="expression" dxfId="483" priority="414">
      <formula>$F2784="IP RECLAMADA A PERITO 1"</formula>
    </cfRule>
    <cfRule type="expression" dxfId="482" priority="415">
      <formula>$F2784="REVISAR MAIL - SIN RESOLVER"</formula>
    </cfRule>
  </conditionalFormatting>
  <conditionalFormatting sqref="N2789:O2789">
    <cfRule type="expression" dxfId="481" priority="302">
      <formula>$F2789="PENDIENTE NEGOCIACION"</formula>
    </cfRule>
    <cfRule type="expression" dxfId="480" priority="303">
      <formula>$F2789="IP RECLAMADA A PERITO 3"</formula>
    </cfRule>
    <cfRule type="expression" dxfId="479" priority="304">
      <formula>$F2789="ESPERANDO RESPUESTA 3°"</formula>
    </cfRule>
    <cfRule type="expression" dxfId="478" priority="305">
      <formula>$F2789="PENDIENTE DE OFRECIMIENTO"</formula>
    </cfRule>
    <cfRule type="expression" dxfId="477" priority="306">
      <formula>$F2789="EN CONSULTA CON CIA"</formula>
    </cfRule>
    <cfRule type="expression" dxfId="476" priority="307">
      <formula>$F2789="IP REALIZADA"</formula>
    </cfRule>
    <cfRule type="expression" dxfId="475" priority="308">
      <formula>$F2789="PENDIENTE  COORDINACION"</formula>
    </cfRule>
    <cfRule type="expression" dxfId="474" priority="309">
      <formula>$F2789="LICITANDO REPUESTOS"</formula>
    </cfRule>
    <cfRule type="expression" dxfId="473" priority="310">
      <formula>$F2789="REVISAR MAIL - RESUELTO"</formula>
    </cfRule>
    <cfRule type="expression" dxfId="472" priority="311">
      <formula>$F2789="IP RECLAMADA A PERITO 5"</formula>
    </cfRule>
    <cfRule type="expression" dxfId="471" priority="312">
      <formula>$F2789="IP RECLAMADA A PERITO 4"</formula>
    </cfRule>
    <cfRule type="expression" dxfId="470" priority="313">
      <formula>$F2789="IP RECLAMADA A PERITO 2"</formula>
    </cfRule>
    <cfRule type="expression" dxfId="469" priority="314">
      <formula>$F2789="INSPECCION ANULADA"</formula>
    </cfRule>
    <cfRule type="expression" dxfId="468" priority="315">
      <formula>$F2789="CONTACTADO"</formula>
    </cfRule>
    <cfRule type="expression" dxfId="467" priority="316">
      <formula>$F2789="IP CERRADA"</formula>
    </cfRule>
    <cfRule type="expression" dxfId="466" priority="317">
      <formula>$F2789="ENVIO DE ORDEN"</formula>
    </cfRule>
    <cfRule type="expression" dxfId="465" priority="318">
      <formula>$F2789="PARA FACTURAR"</formula>
    </cfRule>
    <cfRule type="expression" dxfId="464" priority="319">
      <formula>$F2789="IP RECLAMADA A PERITO 1"</formula>
    </cfRule>
    <cfRule type="expression" dxfId="463" priority="320">
      <formula>$F2789="REVISAR MAIL - SIN RESOLVER"</formula>
    </cfRule>
  </conditionalFormatting>
  <conditionalFormatting sqref="N2792:O2792">
    <cfRule type="expression" dxfId="462" priority="378">
      <formula>$F2792="PENDIENTE NEGOCIACION"</formula>
    </cfRule>
    <cfRule type="expression" dxfId="461" priority="379">
      <formula>$F2792="IP RECLAMADA A PERITO 3"</formula>
    </cfRule>
    <cfRule type="expression" dxfId="460" priority="380">
      <formula>$F2792="ESPERANDO RESPUESTA 3°"</formula>
    </cfRule>
    <cfRule type="expression" dxfId="459" priority="381">
      <formula>$F2792="PENDIENTE DE OFRECIMIENTO"</formula>
    </cfRule>
    <cfRule type="expression" dxfId="458" priority="382">
      <formula>$F2792="EN CONSULTA CON CIA"</formula>
    </cfRule>
    <cfRule type="expression" dxfId="457" priority="383">
      <formula>$F2792="IP REALIZADA"</formula>
    </cfRule>
    <cfRule type="expression" dxfId="456" priority="384">
      <formula>$F2792="PENDIENTE  COORDINACION"</formula>
    </cfRule>
    <cfRule type="expression" dxfId="455" priority="385">
      <formula>$F2792="LICITANDO REPUESTOS"</formula>
    </cfRule>
    <cfRule type="expression" dxfId="454" priority="386">
      <formula>$F2792="REVISAR MAIL - RESUELTO"</formula>
    </cfRule>
    <cfRule type="expression" dxfId="453" priority="387">
      <formula>$F2792="IP RECLAMADA A PERITO 5"</formula>
    </cfRule>
    <cfRule type="expression" dxfId="452" priority="388">
      <formula>$F2792="IP RECLAMADA A PERITO 4"</formula>
    </cfRule>
    <cfRule type="expression" dxfId="451" priority="389">
      <formula>$F2792="IP RECLAMADA A PERITO 2"</formula>
    </cfRule>
    <cfRule type="expression" dxfId="450" priority="390">
      <formula>$F2792="INSPECCION ANULADA"</formula>
    </cfRule>
    <cfRule type="expression" dxfId="449" priority="391">
      <formula>$F2792="CONTACTADO"</formula>
    </cfRule>
    <cfRule type="expression" dxfId="448" priority="392">
      <formula>$F2792="IP CERRADA"</formula>
    </cfRule>
    <cfRule type="expression" dxfId="447" priority="393">
      <formula>$F2792="ENVIO DE ORDEN"</formula>
    </cfRule>
    <cfRule type="expression" dxfId="446" priority="394">
      <formula>$F2792="PARA FACTURAR"</formula>
    </cfRule>
    <cfRule type="expression" dxfId="445" priority="395">
      <formula>$F2792="IP RECLAMADA A PERITO 1"</formula>
    </cfRule>
    <cfRule type="expression" dxfId="444" priority="396">
      <formula>$F2792="REVISAR MAIL - SIN RESOLVER"</formula>
    </cfRule>
  </conditionalFormatting>
  <conditionalFormatting sqref="N2797:O2797">
    <cfRule type="expression" dxfId="443" priority="300">
      <formula>$F2798="PENDIENTE PRESUPUESTO"</formula>
    </cfRule>
  </conditionalFormatting>
  <conditionalFormatting sqref="O2766:O2767">
    <cfRule type="expression" dxfId="442" priority="435">
      <formula>$F2766="PENDIENTE NEGOCIACION"</formula>
    </cfRule>
    <cfRule type="expression" dxfId="441" priority="436">
      <formula>$F2766="IP RECLAMADA A PERITO 3"</formula>
    </cfRule>
    <cfRule type="expression" dxfId="440" priority="437">
      <formula>$F2766="ESPERANDO RESPUESTA 3°"</formula>
    </cfRule>
    <cfRule type="expression" dxfId="439" priority="438">
      <formula>$F2766="PENDIENTE DE OFRECIMIENTO"</formula>
    </cfRule>
    <cfRule type="expression" dxfId="438" priority="439">
      <formula>$F2766="EN CONSULTA CON CIA"</formula>
    </cfRule>
    <cfRule type="expression" dxfId="437" priority="440">
      <formula>$F2766="IP REALIZADA"</formula>
    </cfRule>
    <cfRule type="expression" dxfId="436" priority="441">
      <formula>$F2766="PENDIENTE  COORDINACION"</formula>
    </cfRule>
    <cfRule type="expression" dxfId="435" priority="442">
      <formula>$F2766="LICITANDO REPUESTOS"</formula>
    </cfRule>
    <cfRule type="expression" dxfId="434" priority="443">
      <formula>$F2766="REVISAR MAIL - RESUELTO"</formula>
    </cfRule>
    <cfRule type="expression" dxfId="433" priority="444">
      <formula>$F2766="IP RECLAMADA A PERITO 5"</formula>
    </cfRule>
    <cfRule type="expression" dxfId="432" priority="445">
      <formula>$F2766="IP RECLAMADA A PERITO 4"</formula>
    </cfRule>
    <cfRule type="expression" dxfId="431" priority="446">
      <formula>$F2766="IP RECLAMADA A PERITO 2"</formula>
    </cfRule>
    <cfRule type="expression" dxfId="430" priority="447">
      <formula>$F2766="INSPECCION ANULADA"</formula>
    </cfRule>
    <cfRule type="expression" dxfId="429" priority="448">
      <formula>$F2766="CONTACTADO"</formula>
    </cfRule>
    <cfRule type="expression" dxfId="428" priority="449">
      <formula>$F2766="IP CERRADA"</formula>
    </cfRule>
    <cfRule type="expression" dxfId="427" priority="450">
      <formula>$F2766="ENVIO DE ORDEN"</formula>
    </cfRule>
    <cfRule type="expression" dxfId="426" priority="451">
      <formula>$F2766="PARA FACTURAR"</formula>
    </cfRule>
    <cfRule type="expression" dxfId="425" priority="452">
      <formula>$F2766="IP RECLAMADA A PERITO 1"</formula>
    </cfRule>
    <cfRule type="expression" dxfId="424" priority="453">
      <formula>$F2766="REVISAR MAIL - SIN RESOLVER"</formula>
    </cfRule>
  </conditionalFormatting>
  <conditionalFormatting sqref="O2773">
    <cfRule type="expression" dxfId="423" priority="281">
      <formula>$F2773="PENDIENTE NEGOCIACION"</formula>
    </cfRule>
    <cfRule type="expression" dxfId="422" priority="282">
      <formula>$F2773="IP RECLAMADA A PERITO 3"</formula>
    </cfRule>
    <cfRule type="expression" dxfId="421" priority="283">
      <formula>$F2773="ESPERANDO RESPUESTA 3°"</formula>
    </cfRule>
    <cfRule type="expression" dxfId="420" priority="284">
      <formula>$F2773="PENDIENTE DE OFRECIMIENTO"</formula>
    </cfRule>
    <cfRule type="expression" dxfId="419" priority="285">
      <formula>$F2773="EN CONSULTA CON CIA"</formula>
    </cfRule>
    <cfRule type="expression" dxfId="418" priority="286">
      <formula>$F2773="IP REALIZADA"</formula>
    </cfRule>
    <cfRule type="expression" dxfId="417" priority="287">
      <formula>$F2773="PENDIENTE  COORDINACION"</formula>
    </cfRule>
    <cfRule type="expression" dxfId="416" priority="288">
      <formula>$F2773="LICITANDO REPUESTOS"</formula>
    </cfRule>
    <cfRule type="expression" dxfId="415" priority="289">
      <formula>$F2773="REVISAR MAIL - RESUELTO"</formula>
    </cfRule>
    <cfRule type="expression" dxfId="414" priority="290">
      <formula>$F2773="IP RECLAMADA A PERITO 5"</formula>
    </cfRule>
    <cfRule type="expression" dxfId="413" priority="291">
      <formula>$F2773="IP RECLAMADA A PERITO 4"</formula>
    </cfRule>
    <cfRule type="expression" dxfId="412" priority="292">
      <formula>$F2773="IP RECLAMADA A PERITO 2"</formula>
    </cfRule>
    <cfRule type="expression" dxfId="411" priority="293">
      <formula>$F2773="INSPECCION ANULADA"</formula>
    </cfRule>
    <cfRule type="expression" dxfId="410" priority="294">
      <formula>$F2773="CONTACTADO"</formula>
    </cfRule>
    <cfRule type="expression" dxfId="409" priority="295">
      <formula>$F2773="IP CERRADA"</formula>
    </cfRule>
    <cfRule type="expression" dxfId="408" priority="296">
      <formula>$F2773="ENVIO DE ORDEN"</formula>
    </cfRule>
    <cfRule type="expression" dxfId="407" priority="297">
      <formula>$F2773="PARA FACTURAR"</formula>
    </cfRule>
    <cfRule type="expression" dxfId="406" priority="298">
      <formula>$F2773="IP RECLAMADA A PERITO 1"</formula>
    </cfRule>
    <cfRule type="expression" dxfId="405" priority="299">
      <formula>$F2773="REVISAR MAIL - SIN RESOLVER"</formula>
    </cfRule>
  </conditionalFormatting>
  <conditionalFormatting sqref="A2839:Q2839">
    <cfRule type="expression" dxfId="404" priority="1004">
      <formula>#REF!="PENDIENTE PRESUPUESTO"</formula>
    </cfRule>
  </conditionalFormatting>
  <conditionalFormatting sqref="N2710">
    <cfRule type="expression" dxfId="403" priority="262">
      <formula>$F2710="PENDIENTE NEGOCIACION"</formula>
    </cfRule>
    <cfRule type="expression" dxfId="402" priority="263">
      <formula>$F2710="IP RECLAMADA A PERITO 3"</formula>
    </cfRule>
    <cfRule type="expression" dxfId="401" priority="264">
      <formula>$F2710="ESPERANDO RESPUESTA 3°"</formula>
    </cfRule>
    <cfRule type="expression" dxfId="400" priority="265">
      <formula>$F2710="PENDIENTE DE OFRECIMIENTO"</formula>
    </cfRule>
    <cfRule type="expression" dxfId="399" priority="266">
      <formula>$F2710="EN CONSULTA CON CIA"</formula>
    </cfRule>
    <cfRule type="expression" dxfId="398" priority="267">
      <formula>$F2710="IP REALIZADA"</formula>
    </cfRule>
    <cfRule type="expression" dxfId="397" priority="268">
      <formula>$F2710="PENDIENTE  COORDINACION"</formula>
    </cfRule>
    <cfRule type="expression" dxfId="396" priority="269">
      <formula>$F2710="LICITANDO REPUESTOS"</formula>
    </cfRule>
    <cfRule type="expression" dxfId="395" priority="270">
      <formula>$F2710="REVISAR MAIL - RESUELTO"</formula>
    </cfRule>
    <cfRule type="expression" dxfId="394" priority="271">
      <formula>$F2710="IP RECLAMADA A PERITO 5"</formula>
    </cfRule>
    <cfRule type="expression" dxfId="393" priority="272">
      <formula>$F2710="IP RECLAMADA A PERITO 4"</formula>
    </cfRule>
    <cfRule type="expression" dxfId="392" priority="273">
      <formula>$F2710="IP RECLAMADA A PERITO 2"</formula>
    </cfRule>
    <cfRule type="expression" dxfId="391" priority="274">
      <formula>$F2710="INSPECCION ANULADA"</formula>
    </cfRule>
    <cfRule type="expression" dxfId="390" priority="275">
      <formula>$F2710="CONTACTADO"</formula>
    </cfRule>
    <cfRule type="expression" dxfId="389" priority="276">
      <formula>$F2710="IP CERRADA"</formula>
    </cfRule>
    <cfRule type="expression" dxfId="388" priority="277">
      <formula>$F2710="ENVIO DE ORDEN"</formula>
    </cfRule>
    <cfRule type="expression" dxfId="387" priority="278">
      <formula>$F2710="PARA FACTURAR"</formula>
    </cfRule>
    <cfRule type="expression" dxfId="386" priority="279">
      <formula>$F2710="IP RECLAMADA A PERITO 1"</formula>
    </cfRule>
    <cfRule type="expression" dxfId="385" priority="280">
      <formula>$F2710="REVISAR MAIL - SIN RESOLVER"</formula>
    </cfRule>
  </conditionalFormatting>
  <conditionalFormatting sqref="O2710">
    <cfRule type="expression" dxfId="384" priority="243">
      <formula>$F2710="PENDIENTE NEGOCIACION"</formula>
    </cfRule>
    <cfRule type="expression" dxfId="383" priority="244">
      <formula>$F2710="IP RECLAMADA A PERITO 3"</formula>
    </cfRule>
    <cfRule type="expression" dxfId="382" priority="245">
      <formula>$F2710="ESPERANDO RESPUESTA 3°"</formula>
    </cfRule>
    <cfRule type="expression" dxfId="381" priority="246">
      <formula>$F2710="PENDIENTE DE OFRECIMIENTO"</formula>
    </cfRule>
    <cfRule type="expression" dxfId="380" priority="247">
      <formula>$F2710="EN CONSULTA CON CIA"</formula>
    </cfRule>
    <cfRule type="expression" dxfId="379" priority="248">
      <formula>$F2710="IP REALIZADA"</formula>
    </cfRule>
    <cfRule type="expression" dxfId="378" priority="249">
      <formula>$F2710="PENDIENTE  COORDINACION"</formula>
    </cfRule>
    <cfRule type="expression" dxfId="377" priority="250">
      <formula>$F2710="LICITANDO REPUESTOS"</formula>
    </cfRule>
    <cfRule type="expression" dxfId="376" priority="251">
      <formula>$F2710="REVISAR MAIL - RESUELTO"</formula>
    </cfRule>
    <cfRule type="expression" dxfId="375" priority="252">
      <formula>$F2710="IP RECLAMADA A PERITO 5"</formula>
    </cfRule>
    <cfRule type="expression" dxfId="374" priority="253">
      <formula>$F2710="IP RECLAMADA A PERITO 4"</formula>
    </cfRule>
    <cfRule type="expression" dxfId="373" priority="254">
      <formula>$F2710="IP RECLAMADA A PERITO 2"</formula>
    </cfRule>
    <cfRule type="expression" dxfId="372" priority="255">
      <formula>$F2710="INSPECCION ANULADA"</formula>
    </cfRule>
    <cfRule type="expression" dxfId="371" priority="256">
      <formula>$F2710="CONTACTADO"</formula>
    </cfRule>
    <cfRule type="expression" dxfId="370" priority="257">
      <formula>$F2710="IP CERRADA"</formula>
    </cfRule>
    <cfRule type="expression" dxfId="369" priority="258">
      <formula>$F2710="ENVIO DE ORDEN"</formula>
    </cfRule>
    <cfRule type="expression" dxfId="368" priority="259">
      <formula>$F2710="PARA FACTURAR"</formula>
    </cfRule>
    <cfRule type="expression" dxfId="367" priority="260">
      <formula>$F2710="IP RECLAMADA A PERITO 1"</formula>
    </cfRule>
    <cfRule type="expression" dxfId="366" priority="261">
      <formula>$F2710="REVISAR MAIL - SIN RESOLVER"</formula>
    </cfRule>
  </conditionalFormatting>
  <conditionalFormatting sqref="N2804">
    <cfRule type="expression" dxfId="365" priority="224">
      <formula>$F2804="PENDIENTE NEGOCIACION"</formula>
    </cfRule>
    <cfRule type="expression" dxfId="364" priority="225">
      <formula>$F2804="IP RECLAMADA A PERITO 3"</formula>
    </cfRule>
    <cfRule type="expression" dxfId="363" priority="226">
      <formula>$F2804="ESPERANDO RESPUESTA 3°"</formula>
    </cfRule>
    <cfRule type="expression" dxfId="362" priority="227">
      <formula>$F2804="PENDIENTE DE OFRECIMIENTO"</formula>
    </cfRule>
    <cfRule type="expression" dxfId="361" priority="228">
      <formula>$F2804="EN CONSULTA CON CIA"</formula>
    </cfRule>
    <cfRule type="expression" dxfId="360" priority="229">
      <formula>$F2804="IP REALIZADA"</formula>
    </cfRule>
    <cfRule type="expression" dxfId="359" priority="230">
      <formula>$F2804="PENDIENTE  COORDINACION"</formula>
    </cfRule>
    <cfRule type="expression" dxfId="358" priority="231">
      <formula>$F2804="LICITANDO REPUESTOS"</formula>
    </cfRule>
    <cfRule type="expression" dxfId="357" priority="232">
      <formula>$F2804="REVISAR MAIL - RESUELTO"</formula>
    </cfRule>
    <cfRule type="expression" dxfId="356" priority="233">
      <formula>$F2804="IP RECLAMADA A PERITO 5"</formula>
    </cfRule>
    <cfRule type="expression" dxfId="355" priority="234">
      <formula>$F2804="IP RECLAMADA A PERITO 4"</formula>
    </cfRule>
    <cfRule type="expression" dxfId="354" priority="235">
      <formula>$F2804="IP RECLAMADA A PERITO 2"</formula>
    </cfRule>
    <cfRule type="expression" dxfId="353" priority="236">
      <formula>$F2804="INSPECCION ANULADA"</formula>
    </cfRule>
    <cfRule type="expression" dxfId="352" priority="237">
      <formula>$F2804="CONTACTADO"</formula>
    </cfRule>
    <cfRule type="expression" dxfId="351" priority="238">
      <formula>$F2804="IP CERRADA"</formula>
    </cfRule>
    <cfRule type="expression" dxfId="350" priority="239">
      <formula>$F2804="ENVIO DE ORDEN"</formula>
    </cfRule>
    <cfRule type="expression" dxfId="349" priority="240">
      <formula>$F2804="PARA FACTURAR"</formula>
    </cfRule>
    <cfRule type="expression" dxfId="348" priority="241">
      <formula>$F2804="IP RECLAMADA A PERITO 1"</formula>
    </cfRule>
    <cfRule type="expression" dxfId="347" priority="242">
      <formula>$F2804="REVISAR MAIL - SIN RESOLVER"</formula>
    </cfRule>
  </conditionalFormatting>
  <conditionalFormatting sqref="O2804">
    <cfRule type="expression" dxfId="346" priority="205">
      <formula>$F2804="PENDIENTE NEGOCIACION"</formula>
    </cfRule>
    <cfRule type="expression" dxfId="345" priority="206">
      <formula>$F2804="IP RECLAMADA A PERITO 3"</formula>
    </cfRule>
    <cfRule type="expression" dxfId="344" priority="207">
      <formula>$F2804="ESPERANDO RESPUESTA 3°"</formula>
    </cfRule>
    <cfRule type="expression" dxfId="343" priority="208">
      <formula>$F2804="PENDIENTE DE OFRECIMIENTO"</formula>
    </cfRule>
    <cfRule type="expression" dxfId="342" priority="209">
      <formula>$F2804="EN CONSULTA CON CIA"</formula>
    </cfRule>
    <cfRule type="expression" dxfId="341" priority="210">
      <formula>$F2804="IP REALIZADA"</formula>
    </cfRule>
    <cfRule type="expression" dxfId="340" priority="211">
      <formula>$F2804="PENDIENTE  COORDINACION"</formula>
    </cfRule>
    <cfRule type="expression" dxfId="339" priority="212">
      <formula>$F2804="LICITANDO REPUESTOS"</formula>
    </cfRule>
    <cfRule type="expression" dxfId="338" priority="213">
      <formula>$F2804="REVISAR MAIL - RESUELTO"</formula>
    </cfRule>
    <cfRule type="expression" dxfId="337" priority="214">
      <formula>$F2804="IP RECLAMADA A PERITO 5"</formula>
    </cfRule>
    <cfRule type="expression" dxfId="336" priority="215">
      <formula>$F2804="IP RECLAMADA A PERITO 4"</formula>
    </cfRule>
    <cfRule type="expression" dxfId="335" priority="216">
      <formula>$F2804="IP RECLAMADA A PERITO 2"</formula>
    </cfRule>
    <cfRule type="expression" dxfId="334" priority="217">
      <formula>$F2804="INSPECCION ANULADA"</formula>
    </cfRule>
    <cfRule type="expression" dxfId="333" priority="218">
      <formula>$F2804="CONTACTADO"</formula>
    </cfRule>
    <cfRule type="expression" dxfId="332" priority="219">
      <formula>$F2804="IP CERRADA"</formula>
    </cfRule>
    <cfRule type="expression" dxfId="331" priority="220">
      <formula>$F2804="ENVIO DE ORDEN"</formula>
    </cfRule>
    <cfRule type="expression" dxfId="330" priority="221">
      <formula>$F2804="PARA FACTURAR"</formula>
    </cfRule>
    <cfRule type="expression" dxfId="329" priority="222">
      <formula>$F2804="IP RECLAMADA A PERITO 1"</formula>
    </cfRule>
    <cfRule type="expression" dxfId="328" priority="223">
      <formula>$F2804="REVISAR MAIL - SIN RESOLVER"</formula>
    </cfRule>
  </conditionalFormatting>
  <conditionalFormatting sqref="O2815">
    <cfRule type="expression" dxfId="327" priority="186">
      <formula>$F2815="PENDIENTE NEGOCIACION"</formula>
    </cfRule>
    <cfRule type="expression" dxfId="326" priority="187">
      <formula>$F2815="IP RECLAMADA A PERITO 3"</formula>
    </cfRule>
    <cfRule type="expression" dxfId="325" priority="188">
      <formula>$F2815="ESPERANDO RESPUESTA 3°"</formula>
    </cfRule>
    <cfRule type="expression" dxfId="324" priority="189">
      <formula>$F2815="PENDIENTE DE OFRECIMIENTO"</formula>
    </cfRule>
    <cfRule type="expression" dxfId="323" priority="190">
      <formula>$F2815="EN CONSULTA CON CIA"</formula>
    </cfRule>
    <cfRule type="expression" dxfId="322" priority="191">
      <formula>$F2815="IP REALIZADA"</formula>
    </cfRule>
    <cfRule type="expression" dxfId="321" priority="192">
      <formula>$F2815="PENDIENTE  COORDINACION"</formula>
    </cfRule>
    <cfRule type="expression" dxfId="320" priority="193">
      <formula>$F2815="LICITANDO REPUESTOS"</formula>
    </cfRule>
    <cfRule type="expression" dxfId="319" priority="194">
      <formula>$F2815="REVISAR MAIL - RESUELTO"</formula>
    </cfRule>
    <cfRule type="expression" dxfId="318" priority="195">
      <formula>$F2815="IP RECLAMADA A PERITO 5"</formula>
    </cfRule>
    <cfRule type="expression" dxfId="317" priority="196">
      <formula>$F2815="IP RECLAMADA A PERITO 4"</formula>
    </cfRule>
    <cfRule type="expression" dxfId="316" priority="197">
      <formula>$F2815="IP RECLAMADA A PERITO 2"</formula>
    </cfRule>
    <cfRule type="expression" dxfId="315" priority="198">
      <formula>$F2815="INSPECCION ANULADA"</formula>
    </cfRule>
    <cfRule type="expression" dxfId="314" priority="199">
      <formula>$F2815="CONTACTADO"</formula>
    </cfRule>
    <cfRule type="expression" dxfId="313" priority="200">
      <formula>$F2815="IP CERRADA"</formula>
    </cfRule>
    <cfRule type="expression" dxfId="312" priority="201">
      <formula>$F2815="ENVIO DE ORDEN"</formula>
    </cfRule>
    <cfRule type="expression" dxfId="311" priority="202">
      <formula>$F2815="PARA FACTURAR"</formula>
    </cfRule>
    <cfRule type="expression" dxfId="310" priority="203">
      <formula>$F2815="IP RECLAMADA A PERITO 1"</formula>
    </cfRule>
    <cfRule type="expression" dxfId="309" priority="204">
      <formula>$F2815="REVISAR MAIL - SIN RESOLVER"</formula>
    </cfRule>
  </conditionalFormatting>
  <conditionalFormatting sqref="A2898:Q2898 A2901:Q2901">
    <cfRule type="expression" dxfId="308" priority="1007">
      <formula>#REF!="PENDIENTE PRESUPUESTO"</formula>
    </cfRule>
  </conditionalFormatting>
  <conditionalFormatting sqref="N2898">
    <cfRule type="expression" dxfId="307" priority="185">
      <formula>$F2899="PENDIENTE PRESUPUESTO"</formula>
    </cfRule>
  </conditionalFormatting>
  <conditionalFormatting sqref="A1:Q1 A2923:Q2923">
    <cfRule type="expression" dxfId="306" priority="1010">
      <formula>#REF!="PENDIENTE PRESUPUESTO"</formula>
    </cfRule>
  </conditionalFormatting>
  <conditionalFormatting sqref="N2833">
    <cfRule type="expression" dxfId="305" priority="166">
      <formula>$F2833="PENDIENTE NEGOCIACION"</formula>
    </cfRule>
    <cfRule type="expression" dxfId="304" priority="167">
      <formula>$F2833="IP RECLAMADA A PERITO 3"</formula>
    </cfRule>
    <cfRule type="expression" dxfId="303" priority="168">
      <formula>$F2833="ESPERANDO RESPUESTA 3°"</formula>
    </cfRule>
    <cfRule type="expression" dxfId="302" priority="169">
      <formula>$F2833="PENDIENTE DE OFRECIMIENTO"</formula>
    </cfRule>
    <cfRule type="expression" dxfId="301" priority="170">
      <formula>$F2833="EN CONSULTA CON CIA"</formula>
    </cfRule>
    <cfRule type="expression" dxfId="300" priority="171">
      <formula>$F2833="IP REALIZADA"</formula>
    </cfRule>
    <cfRule type="expression" dxfId="299" priority="172">
      <formula>$F2833="PENDIENTE  COORDINACION"</formula>
    </cfRule>
    <cfRule type="expression" dxfId="298" priority="173">
      <formula>$F2833="LICITANDO REPUESTOS"</formula>
    </cfRule>
    <cfRule type="expression" dxfId="297" priority="174">
      <formula>$F2833="REVISAR MAIL - RESUELTO"</formula>
    </cfRule>
    <cfRule type="expression" dxfId="296" priority="175">
      <formula>$F2833="IP RECLAMADA A PERITO 5"</formula>
    </cfRule>
    <cfRule type="expression" dxfId="295" priority="176">
      <formula>$F2833="IP RECLAMADA A PERITO 4"</formula>
    </cfRule>
    <cfRule type="expression" dxfId="294" priority="177">
      <formula>$F2833="IP RECLAMADA A PERITO 2"</formula>
    </cfRule>
    <cfRule type="expression" dxfId="293" priority="178">
      <formula>$F2833="INSPECCION ANULADA"</formula>
    </cfRule>
    <cfRule type="expression" dxfId="292" priority="179">
      <formula>$F2833="CONTACTADO"</formula>
    </cfRule>
    <cfRule type="expression" dxfId="291" priority="180">
      <formula>$F2833="IP CERRADA"</formula>
    </cfRule>
    <cfRule type="expression" dxfId="290" priority="181">
      <formula>$F2833="ENVIO DE ORDEN"</formula>
    </cfRule>
    <cfRule type="expression" dxfId="289" priority="182">
      <formula>$F2833="PARA FACTURAR"</formula>
    </cfRule>
    <cfRule type="expression" dxfId="288" priority="183">
      <formula>$F2833="IP RECLAMADA A PERITO 1"</formula>
    </cfRule>
    <cfRule type="expression" dxfId="287" priority="184">
      <formula>$F2833="REVISAR MAIL - SIN RESOLVER"</formula>
    </cfRule>
  </conditionalFormatting>
  <conditionalFormatting sqref="O2833">
    <cfRule type="expression" dxfId="286" priority="147">
      <formula>$F2833="PENDIENTE NEGOCIACION"</formula>
    </cfRule>
    <cfRule type="expression" dxfId="285" priority="148">
      <formula>$F2833="IP RECLAMADA A PERITO 3"</formula>
    </cfRule>
    <cfRule type="expression" dxfId="284" priority="149">
      <formula>$F2833="ESPERANDO RESPUESTA 3°"</formula>
    </cfRule>
    <cfRule type="expression" dxfId="283" priority="150">
      <formula>$F2833="PENDIENTE DE OFRECIMIENTO"</formula>
    </cfRule>
    <cfRule type="expression" dxfId="282" priority="151">
      <formula>$F2833="EN CONSULTA CON CIA"</formula>
    </cfRule>
    <cfRule type="expression" dxfId="281" priority="152">
      <formula>$F2833="IP REALIZADA"</formula>
    </cfRule>
    <cfRule type="expression" dxfId="280" priority="153">
      <formula>$F2833="PENDIENTE  COORDINACION"</formula>
    </cfRule>
    <cfRule type="expression" dxfId="279" priority="154">
      <formula>$F2833="LICITANDO REPUESTOS"</formula>
    </cfRule>
    <cfRule type="expression" dxfId="278" priority="155">
      <formula>$F2833="REVISAR MAIL - RESUELTO"</formula>
    </cfRule>
    <cfRule type="expression" dxfId="277" priority="156">
      <formula>$F2833="IP RECLAMADA A PERITO 5"</formula>
    </cfRule>
    <cfRule type="expression" dxfId="276" priority="157">
      <formula>$F2833="IP RECLAMADA A PERITO 4"</formula>
    </cfRule>
    <cfRule type="expression" dxfId="275" priority="158">
      <formula>$F2833="IP RECLAMADA A PERITO 2"</formula>
    </cfRule>
    <cfRule type="expression" dxfId="274" priority="159">
      <formula>$F2833="INSPECCION ANULADA"</formula>
    </cfRule>
    <cfRule type="expression" dxfId="273" priority="160">
      <formula>$F2833="CONTACTADO"</formula>
    </cfRule>
    <cfRule type="expression" dxfId="272" priority="161">
      <formula>$F2833="IP CERRADA"</formula>
    </cfRule>
    <cfRule type="expression" dxfId="271" priority="162">
      <formula>$F2833="ENVIO DE ORDEN"</formula>
    </cfRule>
    <cfRule type="expression" dxfId="270" priority="163">
      <formula>$F2833="PARA FACTURAR"</formula>
    </cfRule>
    <cfRule type="expression" dxfId="269" priority="164">
      <formula>$F2833="IP RECLAMADA A PERITO 1"</formula>
    </cfRule>
    <cfRule type="expression" dxfId="268" priority="165">
      <formula>$F2833="REVISAR MAIL - SIN RESOLVER"</formula>
    </cfRule>
  </conditionalFormatting>
  <conditionalFormatting sqref="O2898">
    <cfRule type="expression" dxfId="267" priority="146">
      <formula>$F2899="PENDIENTE PRESUPUESTO"</formula>
    </cfRule>
  </conditionalFormatting>
  <conditionalFormatting sqref="O2901">
    <cfRule type="expression" dxfId="266" priority="145">
      <formula>$F2902="PENDIENTE PRESUPUESTO"</formula>
    </cfRule>
  </conditionalFormatting>
  <conditionalFormatting sqref="O2906">
    <cfRule type="expression" dxfId="265" priority="144">
      <formula>#REF!="PENDIENTE PRESUPUESTO"</formula>
    </cfRule>
  </conditionalFormatting>
  <conditionalFormatting sqref="O2906">
    <cfRule type="expression" dxfId="264" priority="143">
      <formula>$F2907="PENDIENTE PRESUPUESTO"</formula>
    </cfRule>
  </conditionalFormatting>
  <conditionalFormatting sqref="A2934:Q2934">
    <cfRule type="expression" dxfId="263" priority="1013">
      <formula>#REF!="PENDIENTE PRESUPUESTO"</formula>
    </cfRule>
  </conditionalFormatting>
  <conditionalFormatting sqref="O2901">
    <cfRule type="expression" dxfId="262" priority="142">
      <formula>$F2902="PENDIENTE PRESUPUESTO"</formula>
    </cfRule>
  </conditionalFormatting>
  <conditionalFormatting sqref="A2939:Q2939">
    <cfRule type="expression" dxfId="261" priority="1016">
      <formula>#REF!="PENDIENTE PRESUPUESTO"</formula>
    </cfRule>
  </conditionalFormatting>
  <conditionalFormatting sqref="A2944:Q2944">
    <cfRule type="expression" dxfId="260" priority="1019">
      <formula>#REF!="PENDIENTE PRESUPUESTO"</formula>
    </cfRule>
  </conditionalFormatting>
  <conditionalFormatting sqref="A2804:Q2804 A2851:Q2851">
    <cfRule type="expression" dxfId="259" priority="1021">
      <formula>#REF!="PENDIENTE PRESUPUESTO"</formula>
    </cfRule>
  </conditionalFormatting>
  <conditionalFormatting sqref="N2924">
    <cfRule type="expression" dxfId="258" priority="141">
      <formula>#REF!="PENDIENTE PRESUPUESTO"</formula>
    </cfRule>
  </conditionalFormatting>
  <conditionalFormatting sqref="XFD2926">
    <cfRule type="expression" dxfId="257" priority="139">
      <formula>$F2927="PENDIENTE PRESUPUESTO"</formula>
    </cfRule>
  </conditionalFormatting>
  <conditionalFormatting sqref="XFD2926">
    <cfRule type="expression" dxfId="256" priority="119">
      <formula>$F2926="PENDIENTE NEGOCIACION"</formula>
    </cfRule>
    <cfRule type="expression" dxfId="255" priority="120">
      <formula>$F2926="IP RECLAMADA A PERITO 3"</formula>
    </cfRule>
    <cfRule type="expression" dxfId="254" priority="121">
      <formula>$F2926="ESPERANDO RESPUESTA 3°"</formula>
    </cfRule>
    <cfRule type="expression" dxfId="253" priority="122">
      <formula>$F2926="PENDIENTE DE OFRECIMIENTO"</formula>
    </cfRule>
    <cfRule type="expression" dxfId="252" priority="123">
      <formula>$F2926="EN CONSULTA CON CIA"</formula>
    </cfRule>
    <cfRule type="expression" dxfId="251" priority="124">
      <formula>$F2926="IP REALIZADA"</formula>
    </cfRule>
    <cfRule type="expression" dxfId="250" priority="125">
      <formula>$F2926="PENDIENTE  COORDINACION"</formula>
    </cfRule>
    <cfRule type="expression" dxfId="249" priority="126">
      <formula>$F2926="LICITANDO REPUESTOS"</formula>
    </cfRule>
    <cfRule type="expression" dxfId="248" priority="127">
      <formula>$F2926="PENDIENTE PRESUPUESTO"</formula>
    </cfRule>
    <cfRule type="expression" dxfId="247" priority="128">
      <formula>$F2926="REVISAR MAIL - RESUELTO"</formula>
    </cfRule>
    <cfRule type="expression" dxfId="246" priority="129">
      <formula>$F2926="IP RECLAMADA A PERITO 5"</formula>
    </cfRule>
    <cfRule type="expression" dxfId="245" priority="130">
      <formula>$F2926="IP RECLAMADA A PERITO 4"</formula>
    </cfRule>
    <cfRule type="expression" dxfId="244" priority="131">
      <formula>$F2926="IP RECLAMADA A PERITO 2"</formula>
    </cfRule>
    <cfRule type="expression" dxfId="243" priority="132">
      <formula>$F2926="INSPECCION ANULADA"</formula>
    </cfRule>
    <cfRule type="expression" dxfId="242" priority="133">
      <formula>$F2926="CONTACTADO"</formula>
    </cfRule>
    <cfRule type="expression" dxfId="241" priority="134">
      <formula>$F2926="IP CERRADA"</formula>
    </cfRule>
    <cfRule type="expression" dxfId="240" priority="135">
      <formula>$F2926="ENVIO DE ORDEN"</formula>
    </cfRule>
    <cfRule type="expression" dxfId="239" priority="136">
      <formula>$F2926="PARA FACTURAR"</formula>
    </cfRule>
    <cfRule type="expression" dxfId="238" priority="137">
      <formula>$F2926="IP RECLAMADA A PERITO 1"</formula>
    </cfRule>
    <cfRule type="expression" dxfId="237" priority="138">
      <formula>$F2926="REVISAR MAIL - SIN RESOLVER"</formula>
    </cfRule>
    <cfRule type="expression" dxfId="236" priority="140">
      <formula>$F2926="IP COORDINADA"</formula>
    </cfRule>
  </conditionalFormatting>
  <conditionalFormatting sqref="N2944">
    <cfRule type="expression" dxfId="235" priority="118">
      <formula>$F2945="PENDIENTE PRESUPUESTO"</formula>
    </cfRule>
  </conditionalFormatting>
  <conditionalFormatting sqref="N2949">
    <cfRule type="expression" dxfId="234" priority="117">
      <formula>#REF!="PENDIENTE PRESUPUESTO"</formula>
    </cfRule>
  </conditionalFormatting>
  <conditionalFormatting sqref="N2949">
    <cfRule type="expression" dxfId="233" priority="116">
      <formula>$F2950="PENDIENTE PRESUPUESTO"</formula>
    </cfRule>
  </conditionalFormatting>
  <conditionalFormatting sqref="N2957">
    <cfRule type="expression" dxfId="232" priority="115">
      <formula>#REF!="PENDIENTE PRESUPUESTO"</formula>
    </cfRule>
  </conditionalFormatting>
  <conditionalFormatting sqref="N2957">
    <cfRule type="expression" dxfId="231" priority="114">
      <formula>$F2958="PENDIENTE PRESUPUESTO"</formula>
    </cfRule>
  </conditionalFormatting>
  <conditionalFormatting sqref="O2923">
    <cfRule type="expression" dxfId="230" priority="113">
      <formula>$F2924="PENDIENTE PRESUPUESTO"</formula>
    </cfRule>
  </conditionalFormatting>
  <conditionalFormatting sqref="O2951">
    <cfRule type="expression" dxfId="229" priority="112">
      <formula>#REF!="PENDIENTE PRESUPUESTO"</formula>
    </cfRule>
  </conditionalFormatting>
  <conditionalFormatting sqref="O2951">
    <cfRule type="expression" dxfId="228" priority="111">
      <formula>$F2952="PENDIENTE PRESUPUESTO"</formula>
    </cfRule>
  </conditionalFormatting>
  <conditionalFormatting sqref="O2940">
    <cfRule type="expression" dxfId="227" priority="110">
      <formula>#REF!="PENDIENTE PRESUPUESTO"</formula>
    </cfRule>
  </conditionalFormatting>
  <conditionalFormatting sqref="O2940">
    <cfRule type="expression" dxfId="226" priority="109">
      <formula>$F2941="PENDIENTE PRESUPUESTO"</formula>
    </cfRule>
  </conditionalFormatting>
  <conditionalFormatting sqref="O2938">
    <cfRule type="expression" dxfId="225" priority="108">
      <formula>#REF!="PENDIENTE PRESUPUESTO"</formula>
    </cfRule>
  </conditionalFormatting>
  <conditionalFormatting sqref="O2938">
    <cfRule type="expression" dxfId="224" priority="107">
      <formula>$F2939="PENDIENTE PRESUPUESTO"</formula>
    </cfRule>
  </conditionalFormatting>
  <conditionalFormatting sqref="A2974:Q2974">
    <cfRule type="expression" dxfId="223" priority="1024">
      <formula>#REF!="PENDIENTE PRESUPUESTO"</formula>
    </cfRule>
  </conditionalFormatting>
  <conditionalFormatting sqref="N2939:O2939">
    <cfRule type="expression" dxfId="222" priority="106">
      <formula>$F2940="PENDIENTE PRESUPUESTO"</formula>
    </cfRule>
  </conditionalFormatting>
  <conditionalFormatting sqref="N2930:O2930">
    <cfRule type="expression" dxfId="221" priority="105">
      <formula>#REF!="PENDIENTE PRESUPUESTO"</formula>
    </cfRule>
  </conditionalFormatting>
  <conditionalFormatting sqref="N2930:O2930">
    <cfRule type="expression" dxfId="220" priority="104">
      <formula>$F2931="PENDIENTE PRESUPUESTO"</formula>
    </cfRule>
  </conditionalFormatting>
  <conditionalFormatting sqref="N2917">
    <cfRule type="expression" dxfId="219" priority="103">
      <formula>#REF!="PENDIENTE PRESUPUESTO"</formula>
    </cfRule>
  </conditionalFormatting>
  <conditionalFormatting sqref="N2917">
    <cfRule type="expression" dxfId="218" priority="102">
      <formula>$F2918="PENDIENTE PRESUPUESTO"</formula>
    </cfRule>
  </conditionalFormatting>
  <conditionalFormatting sqref="O2937">
    <cfRule type="expression" dxfId="217" priority="101">
      <formula>#REF!="PENDIENTE PRESUPUESTO"</formula>
    </cfRule>
  </conditionalFormatting>
  <conditionalFormatting sqref="O2937">
    <cfRule type="expression" dxfId="216" priority="100">
      <formula>$F2938="PENDIENTE PRESUPUESTO"</formula>
    </cfRule>
  </conditionalFormatting>
  <conditionalFormatting sqref="O2944">
    <cfRule type="expression" dxfId="215" priority="99">
      <formula>#REF!="PENDIENTE PRESUPUESTO"</formula>
    </cfRule>
  </conditionalFormatting>
  <conditionalFormatting sqref="O2944">
    <cfRule type="expression" dxfId="214" priority="98">
      <formula>$F2945="PENDIENTE PRESUPUESTO"</formula>
    </cfRule>
  </conditionalFormatting>
  <conditionalFormatting sqref="O2949">
    <cfRule type="expression" dxfId="213" priority="97">
      <formula>#REF!="PENDIENTE PRESUPUESTO"</formula>
    </cfRule>
  </conditionalFormatting>
  <conditionalFormatting sqref="O2949">
    <cfRule type="expression" dxfId="212" priority="96">
      <formula>#REF!="PENDIENTE PRESUPUESTO"</formula>
    </cfRule>
  </conditionalFormatting>
  <conditionalFormatting sqref="O2949">
    <cfRule type="expression" dxfId="211" priority="95">
      <formula>$F2950="PENDIENTE PRESUPUESTO"</formula>
    </cfRule>
  </conditionalFormatting>
  <conditionalFormatting sqref="O2957">
    <cfRule type="expression" dxfId="210" priority="94">
      <formula>#REF!="PENDIENTE PRESUPUESTO"</formula>
    </cfRule>
  </conditionalFormatting>
  <conditionalFormatting sqref="O2957">
    <cfRule type="expression" dxfId="209" priority="93">
      <formula>#REF!="PENDIENTE PRESUPUESTO"</formula>
    </cfRule>
  </conditionalFormatting>
  <conditionalFormatting sqref="O2957">
    <cfRule type="expression" dxfId="208" priority="92">
      <formula>$F2958="PENDIENTE PRESUPUESTO"</formula>
    </cfRule>
  </conditionalFormatting>
  <conditionalFormatting sqref="O2899">
    <cfRule type="expression" dxfId="207" priority="91">
      <formula>#REF!="PENDIENTE PRESUPUESTO"</formula>
    </cfRule>
  </conditionalFormatting>
  <conditionalFormatting sqref="O2899">
    <cfRule type="expression" dxfId="206" priority="90">
      <formula>$F2900="PENDIENTE PRESUPUESTO"</formula>
    </cfRule>
  </conditionalFormatting>
  <conditionalFormatting sqref="O2932">
    <cfRule type="expression" dxfId="205" priority="89">
      <formula>#REF!="PENDIENTE PRESUPUESTO"</formula>
    </cfRule>
  </conditionalFormatting>
  <conditionalFormatting sqref="O2932">
    <cfRule type="expression" dxfId="204" priority="88">
      <formula>$F2933="PENDIENTE PRESUPUESTO"</formula>
    </cfRule>
  </conditionalFormatting>
  <conditionalFormatting sqref="O2932">
    <cfRule type="expression" dxfId="203" priority="87">
      <formula>#REF!="PENDIENTE PRESUPUESTO"</formula>
    </cfRule>
  </conditionalFormatting>
  <conditionalFormatting sqref="O2932">
    <cfRule type="expression" dxfId="202" priority="86">
      <formula>$F2933="PENDIENTE PRESUPUESTO"</formula>
    </cfRule>
  </conditionalFormatting>
  <conditionalFormatting sqref="N2934">
    <cfRule type="expression" dxfId="201" priority="85">
      <formula>$F2935="PENDIENTE PRESUPUESTO"</formula>
    </cfRule>
  </conditionalFormatting>
  <conditionalFormatting sqref="O2934">
    <cfRule type="expression" dxfId="200" priority="84">
      <formula>$F2935="PENDIENTE PRESUPUESTO"</formula>
    </cfRule>
  </conditionalFormatting>
  <conditionalFormatting sqref="O2992">
    <cfRule type="expression" dxfId="199" priority="83">
      <formula>#REF!="PENDIENTE PRESUPUESTO"</formula>
    </cfRule>
  </conditionalFormatting>
  <conditionalFormatting sqref="A2868:Q2868">
    <cfRule type="expression" dxfId="198" priority="1027">
      <formula>#REF!="PENDIENTE PRESUPUESTO"</formula>
    </cfRule>
  </conditionalFormatting>
  <conditionalFormatting sqref="O2939">
    <cfRule type="expression" dxfId="197" priority="82">
      <formula>$F2940="PENDIENTE PRESUPUESTO"</formula>
    </cfRule>
  </conditionalFormatting>
  <conditionalFormatting sqref="A3008:Q3008 A3010:Q3010">
    <cfRule type="expression" dxfId="196" priority="1030">
      <formula>#REF!="PENDIENTE PRESUPUESTO"</formula>
    </cfRule>
  </conditionalFormatting>
  <conditionalFormatting sqref="N3011">
    <cfRule type="expression" dxfId="195" priority="81">
      <formula>#REF!="PENDIENTE PRESUPUESTO"</formula>
    </cfRule>
  </conditionalFormatting>
  <conditionalFormatting sqref="A3032:Q3032">
    <cfRule type="expression" dxfId="194" priority="1033">
      <formula>#REF!="PENDIENTE PRESUPUESTO"</formula>
    </cfRule>
  </conditionalFormatting>
  <conditionalFormatting sqref="A3048:Q3048">
    <cfRule type="expression" dxfId="193" priority="1036">
      <formula>#REF!="PENDIENTE PRESUPUESTO"</formula>
    </cfRule>
  </conditionalFormatting>
  <conditionalFormatting sqref="A3090:Q3090">
    <cfRule type="expression" dxfId="192" priority="1039">
      <formula>#REF!="PENDIENTE PRESUPUESTO"</formula>
    </cfRule>
  </conditionalFormatting>
  <conditionalFormatting sqref="N3048">
    <cfRule type="expression" dxfId="191" priority="80">
      <formula>$F3049="PENDIENTE PRESUPUESTO"</formula>
    </cfRule>
  </conditionalFormatting>
  <conditionalFormatting sqref="N3090:N3091">
    <cfRule type="expression" dxfId="190" priority="79">
      <formula>$F3091="PENDIENTE PRESUPUESTO"</formula>
    </cfRule>
  </conditionalFormatting>
  <conditionalFormatting sqref="N3091">
    <cfRule type="expression" dxfId="189" priority="78">
      <formula>#REF!="PENDIENTE PRESUPUESTO"</formula>
    </cfRule>
  </conditionalFormatting>
  <conditionalFormatting sqref="N3094">
    <cfRule type="expression" dxfId="188" priority="77">
      <formula>$F3095="PENDIENTE PRESUPUESTO"</formula>
    </cfRule>
  </conditionalFormatting>
  <conditionalFormatting sqref="N3094">
    <cfRule type="expression" dxfId="187" priority="76">
      <formula>#REF!="PENDIENTE PRESUPUESTO"</formula>
    </cfRule>
  </conditionalFormatting>
  <conditionalFormatting sqref="N3092">
    <cfRule type="expression" dxfId="186" priority="75">
      <formula>$F3093="PENDIENTE PRESUPUESTO"</formula>
    </cfRule>
  </conditionalFormatting>
  <conditionalFormatting sqref="N3092">
    <cfRule type="expression" dxfId="185" priority="74">
      <formula>#REF!="PENDIENTE PRESUPUESTO"</formula>
    </cfRule>
  </conditionalFormatting>
  <conditionalFormatting sqref="N3092:O3092">
    <cfRule type="expression" dxfId="184" priority="73">
      <formula>#REF!="PENDIENTE PRESUPUESTO"</formula>
    </cfRule>
  </conditionalFormatting>
  <conditionalFormatting sqref="N3052">
    <cfRule type="expression" dxfId="183" priority="72">
      <formula>$F3053="PENDIENTE PRESUPUESTO"</formula>
    </cfRule>
  </conditionalFormatting>
  <conditionalFormatting sqref="N3052">
    <cfRule type="expression" dxfId="182" priority="71">
      <formula>#REF!="PENDIENTE PRESUPUESTO"</formula>
    </cfRule>
  </conditionalFormatting>
  <conditionalFormatting sqref="N3052">
    <cfRule type="expression" dxfId="181" priority="70">
      <formula>#REF!="PENDIENTE PRESUPUESTO"</formula>
    </cfRule>
  </conditionalFormatting>
  <conditionalFormatting sqref="O3052">
    <cfRule type="expression" dxfId="180" priority="69">
      <formula>$F3053="PENDIENTE PRESUPUESTO"</formula>
    </cfRule>
  </conditionalFormatting>
  <conditionalFormatting sqref="O3052">
    <cfRule type="expression" dxfId="179" priority="68">
      <formula>#REF!="PENDIENTE PRESUPUESTO"</formula>
    </cfRule>
  </conditionalFormatting>
  <conditionalFormatting sqref="O3052">
    <cfRule type="expression" dxfId="178" priority="67">
      <formula>#REF!="PENDIENTE PRESUPUESTO"</formula>
    </cfRule>
  </conditionalFormatting>
  <conditionalFormatting sqref="N3087">
    <cfRule type="expression" dxfId="177" priority="66">
      <formula>$F3088="PENDIENTE PRESUPUESTO"</formula>
    </cfRule>
  </conditionalFormatting>
  <conditionalFormatting sqref="N3087">
    <cfRule type="expression" dxfId="176" priority="65">
      <formula>#REF!="PENDIENTE PRESUPUESTO"</formula>
    </cfRule>
  </conditionalFormatting>
  <conditionalFormatting sqref="N3087">
    <cfRule type="expression" dxfId="175" priority="64">
      <formula>#REF!="PENDIENTE PRESUPUESTO"</formula>
    </cfRule>
  </conditionalFormatting>
  <conditionalFormatting sqref="O3087">
    <cfRule type="expression" dxfId="174" priority="63">
      <formula>$F3088="PENDIENTE PRESUPUESTO"</formula>
    </cfRule>
  </conditionalFormatting>
  <conditionalFormatting sqref="O3087">
    <cfRule type="expression" dxfId="173" priority="62">
      <formula>#REF!="PENDIENTE PRESUPUESTO"</formula>
    </cfRule>
  </conditionalFormatting>
  <conditionalFormatting sqref="O3087">
    <cfRule type="expression" dxfId="172" priority="61">
      <formula>#REF!="PENDIENTE PRESUPUESTO"</formula>
    </cfRule>
  </conditionalFormatting>
  <conditionalFormatting sqref="N3101">
    <cfRule type="expression" dxfId="171" priority="60">
      <formula>$F3102="PENDIENTE PRESUPUESTO"</formula>
    </cfRule>
  </conditionalFormatting>
  <conditionalFormatting sqref="N3101">
    <cfRule type="expression" dxfId="170" priority="59">
      <formula>#REF!="PENDIENTE PRESUPUESTO"</formula>
    </cfRule>
  </conditionalFormatting>
  <conditionalFormatting sqref="N3101">
    <cfRule type="expression" dxfId="169" priority="58">
      <formula>#REF!="PENDIENTE PRESUPUESTO"</formula>
    </cfRule>
  </conditionalFormatting>
  <conditionalFormatting sqref="O3101">
    <cfRule type="expression" dxfId="168" priority="57">
      <formula>$F3102="PENDIENTE PRESUPUESTO"</formula>
    </cfRule>
  </conditionalFormatting>
  <conditionalFormatting sqref="O3101">
    <cfRule type="expression" dxfId="167" priority="56">
      <formula>#REF!="PENDIENTE PRESUPUESTO"</formula>
    </cfRule>
  </conditionalFormatting>
  <conditionalFormatting sqref="O3101">
    <cfRule type="expression" dxfId="166" priority="55">
      <formula>#REF!="PENDIENTE PRESUPUESTO"</formula>
    </cfRule>
  </conditionalFormatting>
  <conditionalFormatting sqref="A3126:Q3126">
    <cfRule type="expression" dxfId="165" priority="1042">
      <formula>#REF!="PENDIENTE PRESUPUESTO"</formula>
    </cfRule>
  </conditionalFormatting>
  <conditionalFormatting sqref="A3055:Q3055">
    <cfRule type="expression" dxfId="164" priority="1045">
      <formula>#REF!="PENDIENTE PRESUPUESTO"</formula>
    </cfRule>
  </conditionalFormatting>
  <conditionalFormatting sqref="O3048">
    <cfRule type="expression" dxfId="163" priority="54">
      <formula>$F3049="PENDIENTE PRESUPUESTO"</formula>
    </cfRule>
  </conditionalFormatting>
  <conditionalFormatting sqref="O3032">
    <cfRule type="expression" dxfId="162" priority="53">
      <formula>$F3033="PENDIENTE PRESUPUESTO"</formula>
    </cfRule>
  </conditionalFormatting>
  <conditionalFormatting sqref="O3073">
    <cfRule type="expression" dxfId="161" priority="52">
      <formula>#REF!="PENDIENTE PRESUPUESTO"</formula>
    </cfRule>
  </conditionalFormatting>
  <conditionalFormatting sqref="O3073">
    <cfRule type="expression" dxfId="160" priority="51">
      <formula>$F3074="PENDIENTE PRESUPUESTO"</formula>
    </cfRule>
  </conditionalFormatting>
  <conditionalFormatting sqref="A3152:Q3152">
    <cfRule type="expression" dxfId="159" priority="1048">
      <formula>#REF!="PENDIENTE PRESUPUESTO"</formula>
    </cfRule>
  </conditionalFormatting>
  <conditionalFormatting sqref="N3152">
    <cfRule type="expression" dxfId="158" priority="50">
      <formula>$F3153="PENDIENTE PRESUPUESTO"</formula>
    </cfRule>
  </conditionalFormatting>
  <conditionalFormatting sqref="N3142">
    <cfRule type="expression" dxfId="157" priority="49">
      <formula>#REF!="PENDIENTE PRESUPUESTO"</formula>
    </cfRule>
  </conditionalFormatting>
  <conditionalFormatting sqref="N3142">
    <cfRule type="expression" dxfId="156" priority="48">
      <formula>$F3143="PENDIENTE PRESUPUESTO"</formula>
    </cfRule>
  </conditionalFormatting>
  <conditionalFormatting sqref="A3187:Q3187 A3183:Q3183">
    <cfRule type="expression" dxfId="155" priority="1051">
      <formula>#REF!="PENDIENTE PRESUPUESTO"</formula>
    </cfRule>
  </conditionalFormatting>
  <conditionalFormatting sqref="O3152">
    <cfRule type="expression" dxfId="154" priority="47">
      <formula>$F3153="PENDIENTE PRESUPUESTO"</formula>
    </cfRule>
  </conditionalFormatting>
  <conditionalFormatting sqref="A3199:Q3199">
    <cfRule type="expression" dxfId="153" priority="1054">
      <formula>#REF!="PENDIENTE PRESUPUESTO"</formula>
    </cfRule>
  </conditionalFormatting>
  <conditionalFormatting sqref="N3185:N3187">
    <cfRule type="expression" dxfId="152" priority="46">
      <formula>#REF!="PENDIENTE PRESUPUESTO"</formula>
    </cfRule>
  </conditionalFormatting>
  <conditionalFormatting sqref="N3187">
    <cfRule type="expression" dxfId="151" priority="45">
      <formula>$F3188="PENDIENTE PRESUPUESTO"</formula>
    </cfRule>
  </conditionalFormatting>
  <conditionalFormatting sqref="A3201:Q3201">
    <cfRule type="expression" dxfId="150" priority="1057">
      <formula>#REF!="PENDIENTE PRESUPUESTO"</formula>
    </cfRule>
  </conditionalFormatting>
  <conditionalFormatting sqref="O3201">
    <cfRule type="expression" dxfId="149" priority="44">
      <formula>$F3202="PENDIENTE PRESUPUESTO"</formula>
    </cfRule>
  </conditionalFormatting>
  <conditionalFormatting sqref="O3187">
    <cfRule type="expression" dxfId="148" priority="43">
      <formula>$F3188="PENDIENTE PRESUPUESTO"</formula>
    </cfRule>
  </conditionalFormatting>
  <conditionalFormatting sqref="O3189">
    <cfRule type="expression" dxfId="147" priority="42">
      <formula>#REF!="PENDIENTE PRESUPUESTO"</formula>
    </cfRule>
  </conditionalFormatting>
  <conditionalFormatting sqref="O3189">
    <cfRule type="expression" dxfId="146" priority="41">
      <formula>$F3190="PENDIENTE PRESUPUESTO"</formula>
    </cfRule>
  </conditionalFormatting>
  <conditionalFormatting sqref="A3249:Q3249">
    <cfRule type="expression" dxfId="145" priority="1060">
      <formula>#REF!="PENDIENTE PRESUPUESTO"</formula>
    </cfRule>
  </conditionalFormatting>
  <conditionalFormatting sqref="N3249:N3250">
    <cfRule type="expression" dxfId="144" priority="40">
      <formula>$F3250="PENDIENTE PRESUPUESTO"</formula>
    </cfRule>
  </conditionalFormatting>
  <conditionalFormatting sqref="N3250">
    <cfRule type="expression" dxfId="143" priority="39">
      <formula>#REF!="PENDIENTE PRESUPUESTO"</formula>
    </cfRule>
  </conditionalFormatting>
  <conditionalFormatting sqref="O3249">
    <cfRule type="expression" dxfId="142" priority="38">
      <formula>$F3250="PENDIENTE PRESUPUESTO"</formula>
    </cfRule>
  </conditionalFormatting>
  <conditionalFormatting sqref="O3251">
    <cfRule type="expression" dxfId="141" priority="37">
      <formula>#REF!="PENDIENTE PRESUPUESTO"</formula>
    </cfRule>
  </conditionalFormatting>
  <conditionalFormatting sqref="O3251">
    <cfRule type="expression" dxfId="140" priority="36">
      <formula>$F3252="PENDIENTE PRESUPUESTO"</formula>
    </cfRule>
  </conditionalFormatting>
  <conditionalFormatting sqref="A3406:Q3406 A3409:Q3409">
    <cfRule type="expression" dxfId="139" priority="1063">
      <formula>#REF!="PENDIENTE PRESUPUESTO"</formula>
    </cfRule>
  </conditionalFormatting>
  <conditionalFormatting sqref="N3406">
    <cfRule type="expression" dxfId="138" priority="35">
      <formula>$F3407="PENDIENTE PRESUPUESTO"</formula>
    </cfRule>
  </conditionalFormatting>
  <conditionalFormatting sqref="O3406">
    <cfRule type="expression" dxfId="137" priority="34">
      <formula>$F3407="PENDIENTE PRESUPUESTO"</formula>
    </cfRule>
  </conditionalFormatting>
  <conditionalFormatting sqref="A3454:Q3454 A3457:Q3457">
    <cfRule type="expression" dxfId="136" priority="1066">
      <formula>#REF!="PENDIENTE PRESUPUESTO"</formula>
    </cfRule>
  </conditionalFormatting>
  <conditionalFormatting sqref="N3454">
    <cfRule type="expression" dxfId="135" priority="33">
      <formula>$F3455="PENDIENTE PRESUPUESTO"</formula>
    </cfRule>
  </conditionalFormatting>
  <conditionalFormatting sqref="N3409:O3409">
    <cfRule type="expression" dxfId="134" priority="32">
      <formula>$F3410="PENDIENTE PRESUPUESTO"</formula>
    </cfRule>
  </conditionalFormatting>
  <conditionalFormatting sqref="N3434:N3435">
    <cfRule type="expression" dxfId="133" priority="31">
      <formula>#REF!="PENDIENTE PRESUPUESTO"</formula>
    </cfRule>
  </conditionalFormatting>
  <conditionalFormatting sqref="N3434:N3435">
    <cfRule type="expression" dxfId="132" priority="30">
      <formula>$F3435="PENDIENTE PRESUPUESTO"</formula>
    </cfRule>
  </conditionalFormatting>
  <conditionalFormatting sqref="O3435">
    <cfRule type="expression" dxfId="131" priority="29">
      <formula>#REF!="PENDIENTE PRESUPUESTO"</formula>
    </cfRule>
  </conditionalFormatting>
  <conditionalFormatting sqref="O3435">
    <cfRule type="expression" dxfId="130" priority="28">
      <formula>$F3436="PENDIENTE PRESUPUESTO"</formula>
    </cfRule>
  </conditionalFormatting>
  <conditionalFormatting sqref="N3450">
    <cfRule type="expression" dxfId="129" priority="27">
      <formula>#REF!="PENDIENTE PRESUPUESTO"</formula>
    </cfRule>
  </conditionalFormatting>
  <conditionalFormatting sqref="N3450">
    <cfRule type="expression" dxfId="128" priority="26">
      <formula>$F3451="PENDIENTE PRESUPUESTO"</formula>
    </cfRule>
  </conditionalFormatting>
  <conditionalFormatting sqref="N3426">
    <cfRule type="expression" dxfId="127" priority="25">
      <formula>#REF!="PENDIENTE PRESUPUESTO"</formula>
    </cfRule>
  </conditionalFormatting>
  <conditionalFormatting sqref="N3426">
    <cfRule type="expression" dxfId="126" priority="24">
      <formula>$F3427="PENDIENTE PRESUPUESTO"</formula>
    </cfRule>
  </conditionalFormatting>
  <conditionalFormatting sqref="O3426">
    <cfRule type="expression" dxfId="125" priority="23">
      <formula>#REF!="PENDIENTE PRESUPUESTO"</formula>
    </cfRule>
  </conditionalFormatting>
  <conditionalFormatting sqref="O3426">
    <cfRule type="expression" dxfId="124" priority="22">
      <formula>$F3427="PENDIENTE PRESUPUESTO"</formula>
    </cfRule>
  </conditionalFormatting>
  <conditionalFormatting sqref="N3431">
    <cfRule type="expression" dxfId="123" priority="21">
      <formula>#REF!="PENDIENTE PRESUPUESTO"</formula>
    </cfRule>
  </conditionalFormatting>
  <conditionalFormatting sqref="N3431">
    <cfRule type="expression" dxfId="122" priority="20">
      <formula>$F3432="PENDIENTE PRESUPUESTO"</formula>
    </cfRule>
  </conditionalFormatting>
  <conditionalFormatting sqref="O3431">
    <cfRule type="expression" dxfId="121" priority="19">
      <formula>#REF!="PENDIENTE PRESUPUESTO"</formula>
    </cfRule>
  </conditionalFormatting>
  <conditionalFormatting sqref="O3431">
    <cfRule type="expression" dxfId="120" priority="18">
      <formula>$F3432="PENDIENTE PRESUPUESTO"</formula>
    </cfRule>
  </conditionalFormatting>
  <conditionalFormatting sqref="N3441:N3442">
    <cfRule type="expression" dxfId="119" priority="17">
      <formula>#REF!="PENDIENTE PRESUPUESTO"</formula>
    </cfRule>
  </conditionalFormatting>
  <conditionalFormatting sqref="N3441:N3442">
    <cfRule type="expression" dxfId="118" priority="16">
      <formula>$F3442="PENDIENTE PRESUPUESTO"</formula>
    </cfRule>
  </conditionalFormatting>
  <conditionalFormatting sqref="O3442">
    <cfRule type="expression" dxfId="117" priority="15">
      <formula>#REF!="PENDIENTE PRESUPUESTO"</formula>
    </cfRule>
  </conditionalFormatting>
  <conditionalFormatting sqref="O3442">
    <cfRule type="expression" dxfId="116" priority="14">
      <formula>$F3443="PENDIENTE PRESUPUESTO"</formula>
    </cfRule>
  </conditionalFormatting>
  <conditionalFormatting sqref="N3462">
    <cfRule type="expression" dxfId="115" priority="13">
      <formula>#REF!="PENDIENTE PRESUPUESTO"</formula>
    </cfRule>
  </conditionalFormatting>
  <conditionalFormatting sqref="N3462">
    <cfRule type="expression" dxfId="114" priority="12">
      <formula>$F3463="PENDIENTE PRESUPUESTO"</formula>
    </cfRule>
  </conditionalFormatting>
  <conditionalFormatting sqref="O3454">
    <cfRule type="expression" dxfId="113" priority="11">
      <formula>$F3455="PENDIENTE PRESUPUESTO"</formula>
    </cfRule>
  </conditionalFormatting>
  <conditionalFormatting sqref="O3462">
    <cfRule type="expression" dxfId="112" priority="10">
      <formula>#REF!="PENDIENTE PRESUPUESTO"</formula>
    </cfRule>
  </conditionalFormatting>
  <conditionalFormatting sqref="O3462">
    <cfRule type="expression" dxfId="111" priority="9">
      <formula>$F3463="PENDIENTE PRESUPUESTO"</formula>
    </cfRule>
  </conditionalFormatting>
  <conditionalFormatting sqref="A3529:Q3529">
    <cfRule type="expression" dxfId="110" priority="1069">
      <formula>#REF!="PENDIENTE PRESUPUESTO"</formula>
    </cfRule>
  </conditionalFormatting>
  <conditionalFormatting sqref="A3512:Q3512">
    <cfRule type="expression" dxfId="109" priority="1072">
      <formula>#REF!="PENDIENTE PRESUPUESTO"</formula>
    </cfRule>
  </conditionalFormatting>
  <conditionalFormatting sqref="E3569:E3570">
    <cfRule type="expression" dxfId="108" priority="1074">
      <formula>$F3570="PENDIENTE PRESUPUESTO"</formula>
    </cfRule>
  </conditionalFormatting>
  <conditionalFormatting sqref="E3569:E3570">
    <cfRule type="expression" dxfId="107" priority="1096">
      <formula>$F3569="PENDIENTE NEGOCIACION"</formula>
    </cfRule>
    <cfRule type="expression" dxfId="106" priority="1097">
      <formula>$F3569="IP RECLAMADA A PERITO 3"</formula>
    </cfRule>
    <cfRule type="expression" dxfId="105" priority="1098">
      <formula>$F3569="ESPERANDO RESPUESTA 3°"</formula>
    </cfRule>
    <cfRule type="expression" dxfId="104" priority="1099">
      <formula>$F3569="PENDIENTE DE OFRECIMIENTO"</formula>
    </cfRule>
    <cfRule type="expression" dxfId="103" priority="1100">
      <formula>$F3569="EN CONSULTA CON CIA"</formula>
    </cfRule>
    <cfRule type="expression" dxfId="102" priority="1101">
      <formula>$F3569="IP REALIZADA"</formula>
    </cfRule>
    <cfRule type="expression" dxfId="101" priority="1102">
      <formula>$F3569="PENDIENTE  COORDINACION"</formula>
    </cfRule>
    <cfRule type="expression" dxfId="100" priority="1103">
      <formula>$F3569="LICITANDO REPUESTOS"</formula>
    </cfRule>
    <cfRule type="expression" dxfId="99" priority="1104">
      <formula>$F3569="PENDIENTE PRESUPUESTO"</formula>
    </cfRule>
    <cfRule type="expression" dxfId="98" priority="1105">
      <formula>$F3569="REVISAR MAIL - RESUELTO"</formula>
    </cfRule>
    <cfRule type="expression" dxfId="97" priority="1106">
      <formula>$F3569="IP RECLAMADA A PERITO 5"</formula>
    </cfRule>
    <cfRule type="expression" dxfId="96" priority="1107">
      <formula>$F3569="IP RECLAMADA A PERITO 4"</formula>
    </cfRule>
    <cfRule type="expression" dxfId="95" priority="1108">
      <formula>$F3569="IP RECLAMADA A PERITO 2"</formula>
    </cfRule>
    <cfRule type="expression" dxfId="94" priority="1109">
      <formula>$F3569="INSPECCION ANULADA"</formula>
    </cfRule>
    <cfRule type="expression" dxfId="93" priority="1110">
      <formula>$F3569="CONTACTADO"</formula>
    </cfRule>
    <cfRule type="expression" dxfId="92" priority="1111">
      <formula>$F3569="IP CERRADA"</formula>
    </cfRule>
    <cfRule type="expression" dxfId="91" priority="1112">
      <formula>$F3569="ENVIO DE ORDEN"</formula>
    </cfRule>
    <cfRule type="expression" dxfId="90" priority="1113">
      <formula>$F3569="PARA FACTURAR"</formula>
    </cfRule>
    <cfRule type="expression" dxfId="89" priority="1114">
      <formula>$F3569="IP RECLAMADA A PERITO 1"</formula>
    </cfRule>
    <cfRule type="expression" dxfId="88" priority="1115">
      <formula>$F3569="REVISAR MAIL - SIN RESOLVER"</formula>
    </cfRule>
    <cfRule type="expression" dxfId="87" priority="1116">
      <formula>$F3569="IP COORDINADA"</formula>
    </cfRule>
  </conditionalFormatting>
  <conditionalFormatting sqref="A3619:Q3619">
    <cfRule type="expression" dxfId="86" priority="1119">
      <formula>#REF!="PENDIENTE PRESUPUESTO"</formula>
    </cfRule>
  </conditionalFormatting>
  <conditionalFormatting sqref="A3580:Q3580">
    <cfRule type="expression" dxfId="85" priority="1122">
      <formula>#REF!="PENDIENTE PRESUPUESTO"</formula>
    </cfRule>
  </conditionalFormatting>
  <conditionalFormatting sqref="O3593">
    <cfRule type="expression" dxfId="84" priority="8">
      <formula>#REF!="PENDIENTE PRESUPUESTO"</formula>
    </cfRule>
  </conditionalFormatting>
  <conditionalFormatting sqref="O3601:O3602">
    <cfRule type="expression" dxfId="83" priority="7">
      <formula>#REF!="PENDIENTE PRESUPUESTO"</formula>
    </cfRule>
  </conditionalFormatting>
  <conditionalFormatting sqref="O3595">
    <cfRule type="expression" dxfId="82" priority="6">
      <formula>#REF!="PENDIENTE PRESUPUESTO"</formula>
    </cfRule>
  </conditionalFormatting>
  <conditionalFormatting sqref="O3589">
    <cfRule type="expression" dxfId="81" priority="5">
      <formula>#REF!="PENDIENTE PRESUPUESTO"</formula>
    </cfRule>
  </conditionalFormatting>
  <conditionalFormatting sqref="O3603">
    <cfRule type="expression" dxfId="80" priority="3">
      <formula>#REF!="PENDIENTE PRESUPUESTO"</formula>
    </cfRule>
  </conditionalFormatting>
  <conditionalFormatting sqref="O3559">
    <cfRule type="expression" dxfId="79" priority="2">
      <formula>#REF!="PENDIENTE PRESUPUESTO"</formula>
    </cfRule>
  </conditionalFormatting>
  <conditionalFormatting sqref="O3615">
    <cfRule type="expression" dxfId="78" priority="1">
      <formula>#REF!="PENDIENTE PRESUPUESTO"</formula>
    </cfRule>
  </conditionalFormatting>
  <conditionalFormatting sqref="A3587:Q3587">
    <cfRule type="expression" dxfId="77" priority="1125">
      <formula>#REF!="PENDIENTE PRESUPUESTO"</formula>
    </cfRule>
  </conditionalFormatting>
  <conditionalFormatting sqref="A3677:Q3677">
    <cfRule type="expression" dxfId="76" priority="1128">
      <formula>#REF!="PENDIENTE PRESUPUESTO"</formula>
    </cfRule>
  </conditionalFormatting>
  <hyperlinks>
    <hyperlink ref="E2" r:id="rId1" xr:uid="{E3384B29-FD6A-4A46-A87B-DF2F71F40364}"/>
    <hyperlink ref="E3" r:id="rId2" xr:uid="{77798FDC-AF0C-4EBA-BB2F-5227115FE2AE}"/>
    <hyperlink ref="E4" r:id="rId3" xr:uid="{BD63AC2E-3DF5-4790-8C9E-C8A1F80E26EB}"/>
    <hyperlink ref="E5" r:id="rId4" xr:uid="{FE9AE997-E002-4CC7-9D7F-67EEDDDE262E}"/>
    <hyperlink ref="E6" r:id="rId5" xr:uid="{506AE045-26C6-4837-BD2F-8832474AA773}"/>
    <hyperlink ref="E7" r:id="rId6" xr:uid="{F3B0FA8A-4739-4D34-B87B-FF6D9738ADCB}"/>
    <hyperlink ref="E8" r:id="rId7" xr:uid="{2D6B9A87-0188-4C83-A643-93894F9A7A9D}"/>
    <hyperlink ref="E9" r:id="rId8" xr:uid="{7BB4FEE6-5A77-43A0-BE7B-9ECDB9B9CFC6}"/>
    <hyperlink ref="E10" r:id="rId9" xr:uid="{19C392A9-8629-41CC-93AA-F8A68094AB14}"/>
    <hyperlink ref="E11" r:id="rId10" xr:uid="{2867D030-8379-4343-B94D-56EDAF7BFBFA}"/>
    <hyperlink ref="E12" r:id="rId11" xr:uid="{8088066E-ECDA-4CE8-8125-3656C587372E}"/>
    <hyperlink ref="E13" r:id="rId12" xr:uid="{2C5F390B-8F1C-4A0D-952B-2B9A373C9D26}"/>
    <hyperlink ref="E14" r:id="rId13" xr:uid="{C38971A3-4676-4EB7-AEB4-AA2B19FF1668}"/>
    <hyperlink ref="E15" r:id="rId14" xr:uid="{D34A5616-C520-4DAD-912A-788BA8999F5D}"/>
    <hyperlink ref="E16" r:id="rId15" xr:uid="{AEC6E56F-CEC3-449F-A396-D3EC8BF9051D}"/>
    <hyperlink ref="E17" r:id="rId16" xr:uid="{44487942-DFD2-45E4-B638-008937697E47}"/>
    <hyperlink ref="E18" r:id="rId17" xr:uid="{3EC11FDB-A7A2-4BD0-8104-BA1308476419}"/>
    <hyperlink ref="E19" r:id="rId18" xr:uid="{9D5B086D-BB1F-45AB-A4EF-B5F1AF5C1387}"/>
    <hyperlink ref="E20" r:id="rId19" xr:uid="{D6E5CF3D-B2F7-497A-93BB-39039CA0B484}"/>
    <hyperlink ref="E21" r:id="rId20" xr:uid="{E0D17378-53DE-4EB0-B971-28B82EDF6538}"/>
    <hyperlink ref="E22" r:id="rId21" xr:uid="{CEFDD398-CB51-44C6-93E7-FAFC1D53D0C9}"/>
    <hyperlink ref="E23" r:id="rId22" xr:uid="{07BA9126-1C0A-4431-8BC1-EA5DCA3F2842}"/>
    <hyperlink ref="E24" r:id="rId23" xr:uid="{6EBF8609-139D-4ECA-B277-51278CC64799}"/>
    <hyperlink ref="E25" r:id="rId24" xr:uid="{2072B35D-1766-4F8E-8C9B-5E1110BAAD66}"/>
    <hyperlink ref="E26" r:id="rId25" xr:uid="{3EF594E1-8D82-4ECD-B625-907D40B3F979}"/>
    <hyperlink ref="E27" r:id="rId26" xr:uid="{9C5AABF4-0162-42EC-88B0-E53B93FB323F}"/>
    <hyperlink ref="E28" r:id="rId27" xr:uid="{34B88EF9-871B-47DE-BD5F-93C7B90C625F}"/>
    <hyperlink ref="E29" r:id="rId28" xr:uid="{117FA8FF-5436-470F-81FE-9DA460871592}"/>
    <hyperlink ref="E30" r:id="rId29" xr:uid="{91CE105F-2F84-4AE1-A60B-06E550DD6422}"/>
    <hyperlink ref="E31" r:id="rId30" xr:uid="{AD922336-7260-4F2A-987B-2B8FBEEBA823}"/>
    <hyperlink ref="E32" r:id="rId31" xr:uid="{FBFCDC76-9CE0-44DE-B5FA-D8256B5192A6}"/>
    <hyperlink ref="E33" r:id="rId32" xr:uid="{FD9DA763-0EA6-401A-82ED-62E85A944EE7}"/>
    <hyperlink ref="E34" r:id="rId33" xr:uid="{2BAFEE83-BE35-4642-A668-D3FD7526BF87}"/>
    <hyperlink ref="E35" r:id="rId34" xr:uid="{44BFE7DF-3295-40A8-B59F-AE773B655C32}"/>
    <hyperlink ref="E36" r:id="rId35" xr:uid="{4B989192-2906-4EDB-8249-4D2B3DB9276F}"/>
    <hyperlink ref="E37" r:id="rId36" xr:uid="{DFAF9948-7BA3-4B23-BA24-BFBF3037B79F}"/>
    <hyperlink ref="E38" r:id="rId37" xr:uid="{0253D5BC-698C-4268-B8B7-03B6DCBC2D5F}"/>
    <hyperlink ref="E39" r:id="rId38" xr:uid="{C06C3A2B-4EE4-4B57-A715-0EF36E18B875}"/>
    <hyperlink ref="E54" r:id="rId39" xr:uid="{6F5F8E8F-316A-4F69-AD85-75DD298ACDC6}"/>
    <hyperlink ref="E41" r:id="rId40" xr:uid="{52C543DE-A15A-4B43-9207-5A433B578E6C}"/>
    <hyperlink ref="E42" r:id="rId41" xr:uid="{20B38DD2-B3AB-4753-BDAE-A30E4D505A72}"/>
    <hyperlink ref="E43" r:id="rId42" xr:uid="{101307FD-A4DB-400F-AA36-51301D84BBFD}"/>
    <hyperlink ref="E44" r:id="rId43" xr:uid="{F3ED24BB-B0D9-41BC-84E8-2EFA44187F49}"/>
    <hyperlink ref="E45" r:id="rId44" xr:uid="{B3CD713D-18F8-4978-BFBB-0103426AC56D}"/>
    <hyperlink ref="E46" r:id="rId45" xr:uid="{2134D492-1CBB-4AD5-AC4D-F15F34CCB350}"/>
    <hyperlink ref="E47" r:id="rId46" xr:uid="{4272176D-0EA9-403D-96B6-37D2B3A152A8}"/>
    <hyperlink ref="E48" r:id="rId47" xr:uid="{08CC4663-7A31-4E7A-B3FE-7E3B9E4B9A01}"/>
    <hyperlink ref="E49" r:id="rId48" xr:uid="{C5B60907-C041-4E00-AE23-25CEA6640EB7}"/>
    <hyperlink ref="E50" r:id="rId49" xr:uid="{AC14B1DD-5594-4A6F-80FC-048C4D9D4ED0}"/>
    <hyperlink ref="E51" r:id="rId50" xr:uid="{D964A1EB-5ABE-44C6-8540-D7345E326E15}"/>
    <hyperlink ref="E62" r:id="rId51" xr:uid="{7D9F84C3-AB59-4424-ABE1-8427B7FC4B43}"/>
    <hyperlink ref="E66" r:id="rId52" xr:uid="{1B12559C-F437-4378-A24E-D162C5C3C0B6}"/>
    <hyperlink ref="E40" r:id="rId53" xr:uid="{AC92BC44-B663-46AB-A83E-E005052E8FF0}"/>
    <hyperlink ref="E55" r:id="rId54" xr:uid="{C6E13657-D451-4A77-8008-C489E68843AE}"/>
    <hyperlink ref="E56" r:id="rId55" xr:uid="{37FA84B2-79A8-49AE-93AA-ED121F8F9795}"/>
    <hyperlink ref="E57" r:id="rId56" xr:uid="{2CD95894-9342-46D5-B202-70525DEABC01}"/>
    <hyperlink ref="E58" r:id="rId57" xr:uid="{E9702F54-1824-4CEC-BDE4-113639B65D92}"/>
    <hyperlink ref="E59" r:id="rId58" xr:uid="{3D6C3EBB-94BA-40E1-B9F0-368B2EF6F5A7}"/>
    <hyperlink ref="E60" r:id="rId59" xr:uid="{CC754C7C-C159-4865-AA43-4FBE2D837418}"/>
    <hyperlink ref="E61" r:id="rId60" xr:uid="{FD6FA2A9-D32F-4940-A5E0-B28A709B89CC}"/>
    <hyperlink ref="E52" r:id="rId61" xr:uid="{4858F992-9171-4FA7-ABAB-88B2D68D4A4D}"/>
    <hyperlink ref="E63" r:id="rId62" xr:uid="{6BD821B5-D6F9-4F37-8142-D6DF6336D7B6}"/>
    <hyperlink ref="E64" r:id="rId63" xr:uid="{9C2E2BCE-360D-4B80-B130-BDBB57C8267C}"/>
    <hyperlink ref="E65" r:id="rId64" xr:uid="{E514CAD6-4D65-4B3E-82F5-1AF3F379E337}"/>
    <hyperlink ref="E68" r:id="rId65" xr:uid="{CB3CC1FA-E142-40ED-8104-5BF4C43C2964}"/>
    <hyperlink ref="E67" r:id="rId66" xr:uid="{0C364036-531C-48A5-BA8D-D5B1206516E4}"/>
    <hyperlink ref="E69" r:id="rId67" xr:uid="{80D46F12-323A-409F-9740-9D53BE1F101E}"/>
    <hyperlink ref="E72" r:id="rId68" xr:uid="{14D22FBF-C9BA-4288-BFD3-940CDD18FC61}"/>
    <hyperlink ref="E70" r:id="rId69" xr:uid="{D85CA314-F8B0-4B66-87C8-C0E731665131}"/>
    <hyperlink ref="E76" r:id="rId70" xr:uid="{0AE4FCE0-9A77-4708-AECF-326B99C02518}"/>
    <hyperlink ref="E73" r:id="rId71" xr:uid="{1B19C514-FE6F-4B15-A1B3-F41DDBF5E835}"/>
    <hyperlink ref="E74" r:id="rId72" xr:uid="{350C9600-F321-46D5-A552-57541FF8A133}"/>
    <hyperlink ref="E75" r:id="rId73" xr:uid="{91FA65D9-B416-4440-A219-448C8549FF75}"/>
    <hyperlink ref="E53" r:id="rId74" xr:uid="{A5BBBDD4-CBFC-4E37-A9D0-F308262C0313}"/>
    <hyperlink ref="E77" r:id="rId75" xr:uid="{8AF44BFE-76D8-4ED5-9224-4C0E71B75C9F}"/>
    <hyperlink ref="E78" r:id="rId76" xr:uid="{A1369ACA-4C6B-4B84-ADD0-C8E42BBDC604}"/>
    <hyperlink ref="E79" r:id="rId77" xr:uid="{A779F738-1C18-4B95-8275-3DE74617C669}"/>
    <hyperlink ref="E80" r:id="rId78" xr:uid="{B773BC82-FAB2-4AAA-A30E-9F675B968875}"/>
    <hyperlink ref="E71" r:id="rId79" xr:uid="{B70609A8-96BB-4327-AB40-0913406D199C}"/>
    <hyperlink ref="E90" r:id="rId80" xr:uid="{57AC1B01-A532-44EC-ACF3-BBEEF3A22E89}"/>
    <hyperlink ref="E82" r:id="rId81" xr:uid="{D51E1FFB-0D47-49FB-973F-273E2698BE5B}"/>
    <hyperlink ref="E83" r:id="rId82" xr:uid="{64DA0830-09F6-4AFF-B4A7-DBFDFFB0E4B9}"/>
    <hyperlink ref="E84" r:id="rId83" xr:uid="{35F4CD35-641B-4652-8A82-7EAF45620CA8}"/>
    <hyperlink ref="E85" r:id="rId84" xr:uid="{CBC63A6C-7D8C-487B-8297-5E3F89C0ECD8}"/>
    <hyperlink ref="E86" r:id="rId85" xr:uid="{40D3FB34-0D0E-49BA-9FA5-A9A9ABB3BEA2}"/>
    <hyperlink ref="E81" r:id="rId86" xr:uid="{5D13E910-70BB-48F5-9408-537E968EC66D}"/>
    <hyperlink ref="E88" r:id="rId87" xr:uid="{EBA5E710-6CC5-4700-A0AA-2EE94E352E2D}"/>
    <hyperlink ref="E89" r:id="rId88" xr:uid="{AF1CC5C0-55F7-4571-A679-D4608C35A335}"/>
    <hyperlink ref="E87" r:id="rId89" xr:uid="{44B456CF-2EFC-4715-BFB9-BE0813516A19}"/>
    <hyperlink ref="E91" r:id="rId90" xr:uid="{4E91803C-5088-470C-8AE1-303EA02550B7}"/>
    <hyperlink ref="E92" r:id="rId91" xr:uid="{F2A72FD5-7FC0-4046-AE67-9A02ED42F26F}"/>
    <hyperlink ref="E93" r:id="rId92" xr:uid="{221488C6-92FF-44FE-B0BB-3D61E7B77365}"/>
    <hyperlink ref="E94" r:id="rId93" xr:uid="{B8531422-EECF-4898-921D-225A33E26C8F}"/>
    <hyperlink ref="E95" r:id="rId94" xr:uid="{6965C412-C215-4B60-94A1-E78ADC65BDC0}"/>
    <hyperlink ref="E96" r:id="rId95" xr:uid="{49C1B0CC-41BF-44AC-81F2-3B1850D9BF73}"/>
    <hyperlink ref="E150" r:id="rId96" xr:uid="{E2061319-9DB0-4D88-8922-051A272BC3F6}"/>
    <hyperlink ref="E98" r:id="rId97" xr:uid="{CD793274-5699-4F48-842C-64F4C992162C}"/>
    <hyperlink ref="E99" r:id="rId98" xr:uid="{7C0AF660-2979-4CA5-91AC-0489B9463BFE}"/>
    <hyperlink ref="E100" r:id="rId99" xr:uid="{BD5ACF5C-F1C4-476E-B8EF-359CC2B8EA5C}"/>
    <hyperlink ref="E101" r:id="rId100" xr:uid="{84400259-F557-4853-B28C-803E1BE53AA8}"/>
    <hyperlink ref="E102" r:id="rId101" xr:uid="{31FCB992-752F-4FD5-904A-7D815A334778}"/>
    <hyperlink ref="E103" r:id="rId102" xr:uid="{EB1B395A-1C58-4EDD-AE4C-D2D6ECF8D05F}"/>
    <hyperlink ref="E104" r:id="rId103" xr:uid="{A430E9A1-81D2-4F0C-8113-279A6F721879}"/>
    <hyperlink ref="E105" r:id="rId104" xr:uid="{88A76644-A974-4703-A31D-C5D8F4C6BFC2}"/>
    <hyperlink ref="E106" r:id="rId105" xr:uid="{C513F815-1C34-41BA-9B6D-28DB1A19B6B9}"/>
    <hyperlink ref="E108" r:id="rId106" xr:uid="{EA2026CC-26FD-4CED-8799-F96E513243C9}"/>
    <hyperlink ref="E109" r:id="rId107" xr:uid="{A9634CA1-CD03-49C6-B9A5-78638C1A5506}"/>
    <hyperlink ref="E110" r:id="rId108" xr:uid="{8A50ADFC-0922-4454-8DEC-3DC05CAE6EB8}"/>
    <hyperlink ref="E111" r:id="rId109" xr:uid="{5CFC4514-A299-49AF-9610-942305CC979A}"/>
    <hyperlink ref="E112" r:id="rId110" xr:uid="{39062FDF-AC97-480A-A30E-4C91E8F6A98D}"/>
    <hyperlink ref="E113" r:id="rId111" xr:uid="{B0D3C2D2-6DCD-4CA1-9C46-B21A18611529}"/>
    <hyperlink ref="E114" r:id="rId112" xr:uid="{860A9B16-67FF-472E-B8DC-093CA13F166F}"/>
    <hyperlink ref="E115" r:id="rId113" xr:uid="{F1962F74-C65C-4E0F-B4B5-CBDCC337BBCB}"/>
    <hyperlink ref="E116" r:id="rId114" xr:uid="{16375A5F-3638-41F4-8D23-BB04816AB8C3}"/>
    <hyperlink ref="E117" r:id="rId115" xr:uid="{8CBEDD4E-F1C7-4B7A-8B00-941BA677CA20}"/>
    <hyperlink ref="E118" r:id="rId116" xr:uid="{0412173B-D997-4BD1-B86E-065586DE2CFD}"/>
    <hyperlink ref="E119" r:id="rId117" xr:uid="{4A296615-1CF8-40DA-B272-630E78451A66}"/>
    <hyperlink ref="E120" r:id="rId118" xr:uid="{9D53C196-C5DD-481E-993E-82EB00AF1FCE}"/>
    <hyperlink ref="E97" r:id="rId119" xr:uid="{6ECD60C6-657C-4D80-9987-E4D98C9CF024}"/>
    <hyperlink ref="E122" r:id="rId120" xr:uid="{E08E7901-11DD-4B89-AD9C-BA86943622E8}"/>
    <hyperlink ref="E123" r:id="rId121" xr:uid="{CA837828-DCA9-4F40-BBDA-3E74D8CD05E1}"/>
    <hyperlink ref="E124" r:id="rId122" xr:uid="{34C35C20-B5DC-4788-9C29-2812E91259E5}"/>
    <hyperlink ref="E125" r:id="rId123" xr:uid="{5A17E501-36E8-4EF2-8A8B-702671E2CE15}"/>
    <hyperlink ref="E126" r:id="rId124" xr:uid="{A20CA2A9-8227-4008-BC0D-9DB7D6A225E0}"/>
    <hyperlink ref="E127" r:id="rId125" xr:uid="{199E07FF-051A-4FBB-98A8-5694F33A8B9F}"/>
    <hyperlink ref="E128" r:id="rId126" xr:uid="{11B4D159-3A48-45CE-93D9-E6C2ECCDA411}"/>
    <hyperlink ref="E129" r:id="rId127" xr:uid="{48D0DE5F-6487-417C-958F-7AA8CBF6AA5A}"/>
    <hyperlink ref="E130" r:id="rId128" xr:uid="{B3A3C965-AECD-46F5-A5B3-03CEBCCEEBA0}"/>
    <hyperlink ref="E131" r:id="rId129" xr:uid="{5BB569F8-DBFC-4C59-92A9-F9A52C8E300E}"/>
    <hyperlink ref="E132" r:id="rId130" xr:uid="{C87CDE34-0A6B-4486-A276-7FF22DA7CB3A}"/>
    <hyperlink ref="E133" r:id="rId131" xr:uid="{81E4DDD2-3D03-413E-9AAD-A524148E8AA6}"/>
    <hyperlink ref="E134" r:id="rId132" xr:uid="{F1A50A15-3CD7-4BE1-9B8E-D956DAB09700}"/>
    <hyperlink ref="E135" r:id="rId133" xr:uid="{29ECD996-60C6-4234-883A-0A293E4FE0ED}"/>
    <hyperlink ref="E136" r:id="rId134" xr:uid="{25AF0733-0EF1-4246-A295-A5160C483EB7}"/>
    <hyperlink ref="E137" r:id="rId135" xr:uid="{32D3831C-EBC4-49F2-B03C-D47063A69185}"/>
    <hyperlink ref="E138" r:id="rId136" xr:uid="{D3260BD4-53AA-4D7E-BE90-1555F87F2659}"/>
    <hyperlink ref="E139" r:id="rId137" xr:uid="{7A57F5F8-EC9F-4FD6-A652-229304224B30}"/>
    <hyperlink ref="E140" r:id="rId138" xr:uid="{A1354259-9D37-41C0-9208-D678C80797F2}"/>
    <hyperlink ref="E121" r:id="rId139" xr:uid="{4FA3EBE6-BC25-4766-AC42-90871A3F361A}"/>
    <hyperlink ref="E141" r:id="rId140" xr:uid="{A053DDBB-2A5C-4A87-8C95-DE805181D874}"/>
    <hyperlink ref="E143" r:id="rId141" xr:uid="{69CB9A35-C209-48EC-89AC-845C3AD119E8}"/>
    <hyperlink ref="E144" r:id="rId142" xr:uid="{7DD7DB97-4673-4197-8433-4B38F95150A8}"/>
    <hyperlink ref="E145" r:id="rId143" xr:uid="{32344335-77AA-4BCD-BCE7-56F566531927}"/>
    <hyperlink ref="E182" r:id="rId144" xr:uid="{F030CF80-8D8C-42F6-B3C9-07D4E7A7B6B9}"/>
    <hyperlink ref="E142" r:id="rId145" xr:uid="{21D71DD8-311F-4DC2-89FE-78CE09A55F73}"/>
    <hyperlink ref="E149" r:id="rId146" xr:uid="{5FC86AD3-0599-4917-99AE-F4B051684C3B}"/>
    <hyperlink ref="E146" r:id="rId147" xr:uid="{6515861A-3FC4-4378-A8D0-E504CB651325}"/>
    <hyperlink ref="E148" r:id="rId148" xr:uid="{E76082C8-D28C-47F1-B283-3D73C786171F}"/>
    <hyperlink ref="E147" r:id="rId149" xr:uid="{A0A0B29D-CB63-4DFC-A8F9-5D853075D11E}"/>
    <hyperlink ref="E152" r:id="rId150" xr:uid="{90C2EE54-14CC-4DA9-8D83-F12F597ACB61}"/>
    <hyperlink ref="E153" r:id="rId151" xr:uid="{6DB1272E-C806-45D8-B4BE-7038111E5CD4}"/>
    <hyperlink ref="E154" r:id="rId152" xr:uid="{22132F2A-6E96-4769-937F-5C30FE946851}"/>
    <hyperlink ref="E155" r:id="rId153" xr:uid="{76447DCA-FD75-4FA8-8927-E05B27DE4B0E}"/>
    <hyperlink ref="E151" r:id="rId154" xr:uid="{88D0477D-121F-4252-AEDA-1B486503B040}"/>
    <hyperlink ref="E157" r:id="rId155" xr:uid="{CC1157F7-A6F0-467E-BD8D-71943DD0D874}"/>
    <hyperlink ref="E158" r:id="rId156" xr:uid="{BC7818D2-8202-4F02-BFFC-445BBC22DE6D}"/>
    <hyperlink ref="E159" r:id="rId157" xr:uid="{B203C3FF-8A7C-430D-B7A5-CE3C3F266D2D}"/>
    <hyperlink ref="E160" r:id="rId158" xr:uid="{AF7B176A-D9D6-438F-94C9-242711379C42}"/>
    <hyperlink ref="E161" r:id="rId159" xr:uid="{067083BC-0AAF-4D89-8650-9D86A2B24E71}"/>
    <hyperlink ref="E162" r:id="rId160" xr:uid="{8D939EB2-CA86-4D77-B724-469D485AFC30}"/>
    <hyperlink ref="E163" r:id="rId161" xr:uid="{D5269BD0-11BC-4124-B5E6-013324E13ADE}"/>
    <hyperlink ref="E164" r:id="rId162" xr:uid="{DF2944FD-4D7F-46EA-BE79-FAC68ADDA7ED}"/>
    <hyperlink ref="E165" r:id="rId163" xr:uid="{92B06A09-7755-4B17-B293-0278328021F5}"/>
    <hyperlink ref="E166" r:id="rId164" xr:uid="{9A8E5298-94F1-4DD4-9C86-7DD15D2F8C31}"/>
    <hyperlink ref="E167" r:id="rId165" xr:uid="{2B60238D-966B-4398-81D3-5A36E3446AAD}"/>
    <hyperlink ref="E168" r:id="rId166" xr:uid="{CD32BB30-5283-4986-95BC-E4A4EA621FC3}"/>
    <hyperlink ref="E156" r:id="rId167" xr:uid="{324CC104-0E03-4295-B3C5-5376C781E118}"/>
    <hyperlink ref="E184" r:id="rId168" xr:uid="{F57D4387-889B-4386-B25F-FA2B68A0BC30}"/>
    <hyperlink ref="E172" r:id="rId169" xr:uid="{903A07A7-4D93-4AAF-9625-365F4FF7AB7B}"/>
    <hyperlink ref="E173" r:id="rId170" xr:uid="{EF02D896-F80F-4807-8B50-C661EA56F269}"/>
    <hyperlink ref="E169" r:id="rId171" xr:uid="{8575F33C-3381-409F-93D0-8C0E49F80189}"/>
    <hyperlink ref="E174" r:id="rId172" xr:uid="{DF74FC26-B6AB-4FAC-B299-BBC2126C0AC0}"/>
    <hyperlink ref="E175" r:id="rId173" xr:uid="{0CEB0BDC-D77A-434C-9F30-9FB8AEDA1A09}"/>
    <hyperlink ref="E176" r:id="rId174" xr:uid="{DECFABAF-FCC2-4493-9772-E5B5AA2E8204}"/>
    <hyperlink ref="E189" r:id="rId175" xr:uid="{A9594E83-A91C-4C54-B705-7D35BF14E2CA}"/>
    <hyperlink ref="E178" r:id="rId176" xr:uid="{28D2A1D5-52AF-4AF6-B6AC-3CAD98F96C26}"/>
    <hyperlink ref="E179" r:id="rId177" xr:uid="{6E15E4EF-89F7-40C5-B1DB-E6779D72C941}"/>
    <hyperlink ref="E180" r:id="rId178" xr:uid="{2588B367-100B-4152-9D9A-D609F37E2C77}"/>
    <hyperlink ref="E194" r:id="rId179" xr:uid="{501AACC8-67C5-45E2-AFD5-BED87B0FE3D1}"/>
    <hyperlink ref="E236" r:id="rId180" xr:uid="{38744CD3-CA7D-406B-B50D-F8FFBF9C67DC}"/>
    <hyperlink ref="E183" r:id="rId181" xr:uid="{CC71FA72-1A6C-4865-83AA-23D65443B5A4}"/>
    <hyperlink ref="E185" r:id="rId182" xr:uid="{46635EFA-F80B-4476-91E3-4C21C41422C6}"/>
    <hyperlink ref="E186" r:id="rId183" xr:uid="{FCE2C9E5-3553-498A-BB36-0C8922CA1091}"/>
    <hyperlink ref="E187" r:id="rId184" xr:uid="{BB23529E-5C91-4A40-8E96-04263D43EDC4}"/>
    <hyperlink ref="E188" r:id="rId185" xr:uid="{48DB7021-B9E7-437F-89D4-C7C7ACAE844C}"/>
    <hyperlink ref="E170" r:id="rId186" xr:uid="{819E8A80-A981-4A49-8048-D7B31115E19D}"/>
    <hyperlink ref="E190" r:id="rId187" xr:uid="{1B4EF91C-07C0-49AA-800F-9DC64B9CAFBD}"/>
    <hyperlink ref="E191" r:id="rId188" xr:uid="{8CE21DF9-86D0-437C-9539-CA2BC111FD30}"/>
    <hyperlink ref="E192" r:id="rId189" xr:uid="{A45CB279-4048-4B81-ACD6-AF08FC6350AB}"/>
    <hyperlink ref="E193" r:id="rId190" xr:uid="{50A88CE2-42E6-4D7A-B068-8BE05747A2F4}"/>
    <hyperlink ref="E195" r:id="rId191" xr:uid="{D8E394A3-6B84-406E-90B1-D84449DADE0C}"/>
    <hyperlink ref="E171" r:id="rId192" xr:uid="{334BA54D-3409-458F-91B4-BE957FD21B20}"/>
    <hyperlink ref="E197" r:id="rId193" xr:uid="{CBED8CD2-91F1-4112-BCFF-5441A111FFD2}"/>
    <hyperlink ref="E198" r:id="rId194" xr:uid="{64B7914F-024D-41AD-9F95-14FF3B6C6608}"/>
    <hyperlink ref="E199" r:id="rId195" xr:uid="{E232F934-72F5-4FD2-B4AF-665A4BD2FE07}"/>
    <hyperlink ref="E200" r:id="rId196" xr:uid="{2E8C153C-D98A-42A3-81CC-D1A39E8CF6F9}"/>
    <hyperlink ref="E201" r:id="rId197" xr:uid="{16F89C32-E12D-4804-BE54-A335DD1FD789}"/>
    <hyperlink ref="E181" r:id="rId198" xr:uid="{97CFFBBA-515F-42DB-BC3F-FD41AB3B359D}"/>
    <hyperlink ref="E203" r:id="rId199" xr:uid="{2DD88150-6B05-4FD2-B058-AE9BBB9ECA9C}"/>
    <hyperlink ref="E204" r:id="rId200" xr:uid="{5D62AC1E-51DC-4513-BEB3-562EC11A6D94}"/>
    <hyperlink ref="E205" r:id="rId201" xr:uid="{C5E09FC2-A71B-491C-8347-4DF14AC53155}"/>
    <hyperlink ref="E206" r:id="rId202" xr:uid="{F2ECDD3C-B4AC-440B-BC62-66C220D1AD61}"/>
    <hyperlink ref="E207" r:id="rId203" xr:uid="{62A5A89E-B470-45CF-90EB-92E40C700ADC}"/>
    <hyperlink ref="E208" r:id="rId204" xr:uid="{C2423EBD-FD05-4F35-AE2F-141505E13135}"/>
    <hyperlink ref="E209" r:id="rId205" xr:uid="{B53F1902-746D-476F-9369-A56C258AA9B1}"/>
    <hyperlink ref="E210" r:id="rId206" xr:uid="{38E0E540-F4E3-47A0-9610-85AA1A0381BF}"/>
    <hyperlink ref="E202" r:id="rId207" xr:uid="{BDB2CCEE-5A37-489E-B352-19B14F064ED5}"/>
    <hyperlink ref="E211" r:id="rId208" xr:uid="{210F2843-441E-49C4-A74E-0424384626F5}"/>
    <hyperlink ref="E213" r:id="rId209" xr:uid="{8B5B3254-3B13-4354-A60A-B19293B6E83D}"/>
    <hyperlink ref="E214" r:id="rId210" xr:uid="{9FAA644A-6537-4E94-9B06-346A066B0C9B}"/>
    <hyperlink ref="E212" r:id="rId211" xr:uid="{FF57DCE1-1031-41E9-9C3E-46A11A6F4062}"/>
    <hyperlink ref="E216" r:id="rId212" xr:uid="{8328139D-C0BC-44F7-AE35-2F60F95E6BFD}"/>
    <hyperlink ref="E217" r:id="rId213" xr:uid="{6F7EF9EB-64D3-43AC-9865-8D5EF0CD7D36}"/>
    <hyperlink ref="E218" r:id="rId214" xr:uid="{7A45584D-C3D8-4E96-8805-E468AA1BDC0F}"/>
    <hyperlink ref="E219" r:id="rId215" xr:uid="{D45F172D-F9CB-49EB-BD21-91E566AD127B}"/>
    <hyperlink ref="E220" r:id="rId216" xr:uid="{A66988ED-57C4-49B6-B347-CEB8CE44B438}"/>
    <hyperlink ref="E215" r:id="rId217" xr:uid="{299B0854-E8C1-4FBA-B0BD-ABA9223EDA09}"/>
    <hyperlink ref="E222" r:id="rId218" xr:uid="{74CCC3BD-5AE9-4062-B9E1-BB247A48D49E}"/>
    <hyperlink ref="E223" r:id="rId219" xr:uid="{17EFCAC0-CD0A-4D08-945F-81EC70541A24}"/>
    <hyperlink ref="E224" r:id="rId220" xr:uid="{1D08F9CC-075E-48AC-8469-D16CF6EF3932}"/>
    <hyperlink ref="E225" r:id="rId221" xr:uid="{50431C76-AB58-459E-AFA6-BEB44CFD94E7}"/>
    <hyperlink ref="E226" r:id="rId222" xr:uid="{7B25C95C-9EE4-44B2-926D-D2675908EF92}"/>
    <hyperlink ref="E227" r:id="rId223" xr:uid="{09C821F6-4D69-4123-8D23-C7BA3524A67B}"/>
    <hyperlink ref="E221" r:id="rId224" xr:uid="{DBDB214D-41F9-4420-B477-65860183F5F2}"/>
    <hyperlink ref="E229" r:id="rId225" xr:uid="{608E36E0-2A11-4F40-B61F-6B965265250B}"/>
    <hyperlink ref="E230" r:id="rId226" xr:uid="{3A8A9CFB-1995-47F6-A6A8-BB4CA1DAFE49}"/>
    <hyperlink ref="E231" r:id="rId227" xr:uid="{A35ED5EC-2389-4996-831E-04E89C155B61}"/>
    <hyperlink ref="E232" r:id="rId228" xr:uid="{317AF099-0DDB-4B44-912F-183B0837974F}"/>
    <hyperlink ref="E233" r:id="rId229" xr:uid="{32C837C7-545B-47DA-ADD9-E8D39056CDC7}"/>
    <hyperlink ref="E228" r:id="rId230" xr:uid="{FC35BC14-733D-444C-BADD-6105469A3154}"/>
    <hyperlink ref="E235" r:id="rId231" xr:uid="{68CC94D1-2C03-4788-9FA7-E71A8FB1D5F0}"/>
    <hyperlink ref="E234" r:id="rId232" xr:uid="{6CBB3AF1-8F13-4501-A6ED-1A7B774F5A86}"/>
    <hyperlink ref="E237" r:id="rId233" xr:uid="{E0ABE2E0-F6E7-47EF-9971-ADAD11904B60}"/>
    <hyperlink ref="E238" r:id="rId234" xr:uid="{C6F34914-93D9-47FE-B98E-27DE09283400}"/>
    <hyperlink ref="E239" r:id="rId235" xr:uid="{CA60D1B0-2C5A-4CC0-B32D-E454AA6A96C4}"/>
    <hyperlink ref="E240" r:id="rId236" xr:uid="{9CEE18AF-B669-4688-B24F-20B8C81ECC35}"/>
    <hyperlink ref="E241" r:id="rId237" xr:uid="{F90BE1C8-AF2B-456D-BDD2-20BFB190400F}"/>
    <hyperlink ref="E242" r:id="rId238" xr:uid="{9F07F155-683C-4121-A8FD-F6860D95CAF0}"/>
    <hyperlink ref="E243" r:id="rId239" xr:uid="{36E9A269-1E10-467E-82B6-381F0C6B91C1}"/>
    <hyperlink ref="E244" r:id="rId240" xr:uid="{8B3CDDAF-D854-465A-8FD2-3E5C75EE5C18}"/>
    <hyperlink ref="E245" r:id="rId241" xr:uid="{E337C4C6-5302-4161-B395-8A48D79A15ED}"/>
    <hyperlink ref="E246" r:id="rId242" xr:uid="{FBC8B000-D74D-4A6A-BD77-A71F0193CB72}"/>
    <hyperlink ref="E247" r:id="rId243" xr:uid="{4709E71E-8301-41C3-97A2-A6B8E4322107}"/>
    <hyperlink ref="E248" r:id="rId244" xr:uid="{3E6C6A56-96F1-4E65-8282-DD60E836C53A}"/>
    <hyperlink ref="E249" r:id="rId245" xr:uid="{F34909B5-F31C-4D6E-9F1B-6CC4E7E0A61A}"/>
    <hyperlink ref="E250" r:id="rId246" xr:uid="{B7E94C81-AD7B-4410-9EDC-FDF9F5D391C2}"/>
    <hyperlink ref="E251" r:id="rId247" xr:uid="{E94243F0-6BE6-40D6-898C-3A0D840A9971}"/>
    <hyperlink ref="E252" r:id="rId248" xr:uid="{BF1D77D2-7996-4266-B25A-5DD02432BD89}"/>
    <hyperlink ref="E253" r:id="rId249" xr:uid="{A2131633-4202-4A89-A5F7-7F3EB06EEA80}"/>
    <hyperlink ref="E254" r:id="rId250" xr:uid="{0200779C-B3E4-4E23-A2B6-8E537B90EF27}"/>
    <hyperlink ref="E255" r:id="rId251" xr:uid="{2903BB1D-1843-44B3-A0FD-47C526A9A082}"/>
    <hyperlink ref="E256" r:id="rId252" xr:uid="{E1A3EC64-9D61-4DFA-8462-8C2B79A6CCCA}"/>
    <hyperlink ref="E257" r:id="rId253" xr:uid="{3E3187C7-1EC7-479B-974B-AC9684C8022D}"/>
    <hyperlink ref="E258" r:id="rId254" xr:uid="{5DA27FE1-26E9-4AFB-BE03-994B5A4DE009}"/>
    <hyperlink ref="E259" r:id="rId255" xr:uid="{60BD3837-9779-4A04-9775-291839A7BFFB}"/>
    <hyperlink ref="E260" r:id="rId256" xr:uid="{479C52F1-66C0-47BE-826F-2BC315EF6BB6}"/>
    <hyperlink ref="E261" r:id="rId257" xr:uid="{FBE9FE99-C7BD-4725-AFE5-44367BAABC9B}"/>
    <hyperlink ref="E262" r:id="rId258" xr:uid="{5B5370A7-94CF-45A9-A472-0CB286A1D3FF}"/>
    <hyperlink ref="E263" r:id="rId259" xr:uid="{B9D1A9CD-68AA-4DBA-8948-6C67A5ECBEBA}"/>
    <hyperlink ref="E264" r:id="rId260" xr:uid="{593202A7-311A-481D-A0D7-273E64CA08E0}"/>
    <hyperlink ref="E265" r:id="rId261" xr:uid="{D036AE2A-D847-408E-933D-4DFD3CE33655}"/>
    <hyperlink ref="E266" r:id="rId262" xr:uid="{0DDE32CD-6EF9-4648-B1C9-08295AD73444}"/>
    <hyperlink ref="E267" r:id="rId263" xr:uid="{B5274A4A-F929-48B0-B38E-C5E471579973}"/>
    <hyperlink ref="E268" r:id="rId264" xr:uid="{0146BA9B-068A-4749-9311-D8B1611DD64D}"/>
    <hyperlink ref="E269" r:id="rId265" xr:uid="{AC385B80-9457-4808-8113-C2C0D6AA0434}"/>
    <hyperlink ref="E270" r:id="rId266" xr:uid="{B0F8AC77-8107-4CEB-ABA8-9AC0D2F215F6}"/>
    <hyperlink ref="E271" r:id="rId267" xr:uid="{C97397CA-4D2B-4B64-941A-BD4A20C26412}"/>
    <hyperlink ref="E272" r:id="rId268" xr:uid="{6CB9485C-047E-4AC6-B5B6-F86FC77FCF08}"/>
    <hyperlink ref="E273" r:id="rId269" xr:uid="{F071D261-789C-4D62-9227-51EE97EC3658}"/>
    <hyperlink ref="E274" r:id="rId270" xr:uid="{27112FCA-0DBA-41EA-AED8-05CCEFD09AEF}"/>
    <hyperlink ref="E275" r:id="rId271" xr:uid="{5438B105-8CCD-46ED-BA42-E9695C3E1D1C}"/>
    <hyperlink ref="E276" r:id="rId272" xr:uid="{7A217144-E137-40B6-82D1-4BCF59C15349}"/>
    <hyperlink ref="E277" r:id="rId273" xr:uid="{0234AB5A-ACA6-4414-B7A0-44F62F65655C}"/>
    <hyperlink ref="E278" r:id="rId274" xr:uid="{4CAA18E5-4D45-447D-926A-730C72B982C3}"/>
    <hyperlink ref="E279" r:id="rId275" xr:uid="{94B9F933-C7E6-4E48-83BE-20E94EE18209}"/>
    <hyperlink ref="E280" r:id="rId276" xr:uid="{459B354A-33FC-42D8-B4B8-5D334829BC66}"/>
    <hyperlink ref="E281" r:id="rId277" xr:uid="{ECCBD78B-EBAB-4748-8311-B65B8DA3EBCA}"/>
    <hyperlink ref="E282" r:id="rId278" xr:uid="{99986730-A1A9-463A-B569-0281E8069637}"/>
    <hyperlink ref="E283" r:id="rId279" xr:uid="{27CFC2C8-D1BF-49A1-945E-65F0F8727C61}"/>
    <hyperlink ref="E284" r:id="rId280" xr:uid="{7B0E5DC2-CF92-4816-9289-D43E138879D4}"/>
    <hyperlink ref="E285" r:id="rId281" xr:uid="{232A9FC5-B1CE-46C0-A68D-B1879AC9A3DE}"/>
    <hyperlink ref="E286" r:id="rId282" xr:uid="{3469337D-E06F-4DB1-9E4D-668139136CB2}"/>
    <hyperlink ref="E287" r:id="rId283" xr:uid="{1A626D0C-AF69-44CA-AC8C-26B24F1A3E03}"/>
    <hyperlink ref="E288" r:id="rId284" xr:uid="{C7A339FC-EE7A-4194-9EF6-0A97DAED49B0}"/>
    <hyperlink ref="E289" r:id="rId285" xr:uid="{AD40512F-42FC-4AD5-BEA2-8392F296620C}"/>
    <hyperlink ref="E290" r:id="rId286" xr:uid="{5C1D3CE6-BDAE-4488-83D7-7E17958BD5B1}"/>
    <hyperlink ref="E291" r:id="rId287" xr:uid="{9745B4D8-4E7C-480C-8698-91CC7311A121}"/>
    <hyperlink ref="E292" r:id="rId288" xr:uid="{01290DFA-43FC-454C-AA6E-4E41EAD0D022}"/>
    <hyperlink ref="E293" r:id="rId289" xr:uid="{0DD3BD60-D505-410A-8F7B-B164B16B5364}"/>
    <hyperlink ref="E294" r:id="rId290" xr:uid="{E5F7E4F4-D49F-44DE-AEEF-2E60B2970C9F}"/>
    <hyperlink ref="E295" r:id="rId291" xr:uid="{9BF17AAB-F3B3-4C16-890D-EE2B7B412A26}"/>
    <hyperlink ref="E296" r:id="rId292" xr:uid="{CC2EB1F9-C63B-4957-8C3B-0FF2B1AEF399}"/>
    <hyperlink ref="E297" r:id="rId293" xr:uid="{05A087E5-F532-4610-9D9D-EF3F850BD1EA}"/>
    <hyperlink ref="E298" r:id="rId294" xr:uid="{4510F3FE-4ADA-47E5-8AA7-1A269F75614E}"/>
    <hyperlink ref="E299" r:id="rId295" xr:uid="{B1A44226-E0B7-44F7-8FF6-43D0DB3669A6}"/>
    <hyperlink ref="E300" r:id="rId296" xr:uid="{B9B60AD5-DD40-4E40-B78F-9E6289004751}"/>
    <hyperlink ref="E301" r:id="rId297" xr:uid="{E646FFD9-5EF7-4656-A128-C1C6739B6387}"/>
    <hyperlink ref="E302" r:id="rId298" xr:uid="{82C8F5A2-9ADF-417A-ACD6-65E6B8551D42}"/>
    <hyperlink ref="E303" r:id="rId299" xr:uid="{11776500-6FCB-4A2E-9FBB-79563BCF7A2F}"/>
    <hyperlink ref="E304" r:id="rId300" xr:uid="{B196187B-F8EE-4DDB-A2A4-0F7750C97430}"/>
    <hyperlink ref="E305" r:id="rId301" xr:uid="{E0D536A0-217E-40CC-B873-30C1AFD7955B}"/>
    <hyperlink ref="E306" r:id="rId302" xr:uid="{8577B25F-B4B7-44B3-9D41-4C970B1337DB}"/>
    <hyperlink ref="E307" r:id="rId303" xr:uid="{8BEF46BE-DF4F-4C64-A96B-5B31265167BA}"/>
    <hyperlink ref="E308" r:id="rId304" xr:uid="{F64BA168-040B-4E06-B536-9E6B05BA1724}"/>
    <hyperlink ref="E309" r:id="rId305" xr:uid="{9FB39403-5E9F-4174-8FAC-9489FDF73D46}"/>
    <hyperlink ref="E310" r:id="rId306" xr:uid="{69EEB2D6-27EB-4E51-8486-DB2A21BBFD53}"/>
    <hyperlink ref="E311" r:id="rId307" xr:uid="{4593CC9C-8914-42A2-BDDB-AC5E9641E6FA}"/>
    <hyperlink ref="E312" r:id="rId308" xr:uid="{F8C48531-BD06-40A5-9317-676A5289E16B}"/>
    <hyperlink ref="E313" r:id="rId309" xr:uid="{E8D11B99-0B9F-41B0-B75D-0525796FAA0E}"/>
    <hyperlink ref="E314" r:id="rId310" xr:uid="{7228B31D-1900-490B-BEDB-CED7974DD273}"/>
    <hyperlink ref="E315" r:id="rId311" xr:uid="{9F0529E3-2C24-4BA2-A8E8-E2F2964A20BA}"/>
    <hyperlink ref="E316" r:id="rId312" xr:uid="{4A193326-6075-4AEF-8538-FA5F9BC27B53}"/>
    <hyperlink ref="E317" r:id="rId313" xr:uid="{B46BD57B-9662-48E7-8EC7-9910A83A35AA}"/>
    <hyperlink ref="E318" r:id="rId314" xr:uid="{601FC051-06A8-4EA4-B1F9-884A3C9D8FCF}"/>
    <hyperlink ref="E319" r:id="rId315" xr:uid="{8851787A-4FFA-4358-9079-22478A8FE225}"/>
    <hyperlink ref="E320" r:id="rId316" xr:uid="{BA7627D5-4D62-4D74-B955-9F261A6509AF}"/>
    <hyperlink ref="E321" r:id="rId317" xr:uid="{59CB3068-D19C-4E3D-B403-F8D9BAC9A585}"/>
    <hyperlink ref="E322" r:id="rId318" xr:uid="{4965F124-846A-45DF-92E7-C1D5C2EBABD3}"/>
    <hyperlink ref="E323" r:id="rId319" xr:uid="{9E5C67CF-3081-4CA0-9805-EBC2CAA99719}"/>
    <hyperlink ref="E324" r:id="rId320" xr:uid="{DD22BD95-EBA6-4C84-AB8E-9557C8BF2513}"/>
    <hyperlink ref="E325" r:id="rId321" xr:uid="{82F1FBC9-0C83-415C-9C22-440D1B1D5551}"/>
    <hyperlink ref="E326" r:id="rId322" xr:uid="{C4F5723D-5EDE-41F5-9F88-AED815C1FEAA}"/>
    <hyperlink ref="E327" r:id="rId323" xr:uid="{E63A4651-01FB-4033-BFC2-B63C018146D8}"/>
    <hyperlink ref="E328" r:id="rId324" xr:uid="{3BCD2FDB-8345-4308-ABAC-2315E7A144F6}"/>
    <hyperlink ref="E329" r:id="rId325" xr:uid="{E7D58C23-B000-4B45-B7FA-4AE1329E353B}"/>
    <hyperlink ref="E330" r:id="rId326" xr:uid="{993CE25F-3DEB-4475-BB25-8EEC01C46179}"/>
    <hyperlink ref="E331" r:id="rId327" xr:uid="{C9989B17-2EA3-4C44-A6D3-DBDC8C3A1359}"/>
    <hyperlink ref="E332" r:id="rId328" xr:uid="{B0599A8C-CB08-4B73-B7F7-646035D87878}"/>
    <hyperlink ref="E334" r:id="rId329" xr:uid="{AFE175B2-D076-4AD9-BA39-02F20AE309E9}"/>
    <hyperlink ref="E335" r:id="rId330" xr:uid="{0F2DBCCB-D8C4-4677-8FB7-D5F1CF8DC87C}"/>
    <hyperlink ref="E336" r:id="rId331" xr:uid="{1D71FEFB-E77B-40FA-A031-1C7C475ED055}"/>
    <hyperlink ref="E337" r:id="rId332" xr:uid="{4A261849-0390-45AE-ABD5-859C3DBCB4CB}"/>
    <hyperlink ref="E338" r:id="rId333" xr:uid="{1A92F574-3437-4A8F-9422-5E9E4F85B76E}"/>
    <hyperlink ref="E339" r:id="rId334" xr:uid="{BDC30534-161F-4A60-81A7-8F733E65BE5C}"/>
    <hyperlink ref="E340" r:id="rId335" xr:uid="{EED86679-2A38-48B9-A9F8-746E062BEB6A}"/>
    <hyperlink ref="E341" r:id="rId336" xr:uid="{810AE7E8-E574-4B4E-AC91-8186FD3564B4}"/>
    <hyperlink ref="E342" r:id="rId337" xr:uid="{592BF239-E081-4BBF-AADE-0F6219707361}"/>
    <hyperlink ref="E343" r:id="rId338" xr:uid="{277239D6-0874-4859-A980-EEFDB419DE34}"/>
    <hyperlink ref="E344" r:id="rId339" xr:uid="{E1888C3A-81A3-4285-8FFB-94AF5AB7D836}"/>
    <hyperlink ref="E345" r:id="rId340" xr:uid="{D184FD67-1170-4C19-B984-26CCFFA966AA}"/>
    <hyperlink ref="E346" r:id="rId341" xr:uid="{A1B92B26-4C9E-4B4F-92EC-A39C5EC8CD4E}"/>
    <hyperlink ref="E347" r:id="rId342" xr:uid="{581534B5-4AB5-46BE-B147-273198960A6B}"/>
    <hyperlink ref="E348" r:id="rId343" xr:uid="{EAC5CD0E-0E45-496F-94D9-FBE488C95E5B}"/>
    <hyperlink ref="E349" r:id="rId344" xr:uid="{1448D46A-B27E-4B54-AF31-B61C55B61197}"/>
    <hyperlink ref="E350" r:id="rId345" xr:uid="{6D425788-088C-4A67-B2FE-133A1FAAB1F4}"/>
    <hyperlink ref="E351" r:id="rId346" xr:uid="{B557CDED-0D9C-41CA-AC05-AE6FBF802128}"/>
    <hyperlink ref="E352" r:id="rId347" xr:uid="{17189F79-4AF3-4C0B-B24A-B93F9CBC7EA4}"/>
    <hyperlink ref="E353" r:id="rId348" xr:uid="{2E9512B2-8346-4619-A4D0-E514170CC24F}"/>
    <hyperlink ref="E354" r:id="rId349" xr:uid="{9309938C-F21E-4E7D-94D3-12F2EC0A62F1}"/>
    <hyperlink ref="E355" r:id="rId350" xr:uid="{A80CD900-638B-4D22-8F36-26E1EFA78C29}"/>
    <hyperlink ref="E356" r:id="rId351" xr:uid="{BF3A2D0E-8ACD-452D-83C6-DB21DAC52940}"/>
    <hyperlink ref="E357" r:id="rId352" xr:uid="{3668D030-8785-4094-9837-BDC203AFA0A5}"/>
    <hyperlink ref="E358" r:id="rId353" xr:uid="{75B7C2B8-ACA9-4967-82C2-FC2C32C2171D}"/>
    <hyperlink ref="E359" r:id="rId354" xr:uid="{61132D6E-70DC-4851-8836-3E6BE5206617}"/>
    <hyperlink ref="E360" r:id="rId355" xr:uid="{8DBF3008-DFC4-4B4E-A19E-75836A61B644}"/>
    <hyperlink ref="E361" r:id="rId356" xr:uid="{BF66E702-AA28-4045-8E49-2FCFA03893AA}"/>
    <hyperlink ref="E362" r:id="rId357" xr:uid="{9396DBF1-4375-447B-9E5D-5E616ADB2842}"/>
    <hyperlink ref="E363" r:id="rId358" xr:uid="{0E74F57B-1682-47B6-99F1-DE09CE9E44FD}"/>
    <hyperlink ref="E364" r:id="rId359" xr:uid="{4CF541BC-E022-4721-80C4-E261331B89B5}"/>
    <hyperlink ref="E365" r:id="rId360" xr:uid="{3E1516B0-9F8E-4F78-A1EA-9757E0932265}"/>
    <hyperlink ref="E366" r:id="rId361" xr:uid="{D1201D50-A871-48AD-B60A-CD572EDD0DD0}"/>
    <hyperlink ref="E367" r:id="rId362" xr:uid="{7B86F064-976C-4559-80B5-A1A362593367}"/>
    <hyperlink ref="E368" r:id="rId363" xr:uid="{13AB875A-CE88-4DAD-A20C-1ABCF4965A8F}"/>
    <hyperlink ref="E369" r:id="rId364" xr:uid="{CB6661FD-959C-41C0-9E47-6AC1E7609D5E}"/>
    <hyperlink ref="E370" r:id="rId365" xr:uid="{3D9D24A3-8A15-4F30-BA4A-10B1DCF94EDC}"/>
    <hyperlink ref="E371" r:id="rId366" xr:uid="{915F796C-E129-415C-AEAE-44A6B54C79AE}"/>
    <hyperlink ref="E372" r:id="rId367" xr:uid="{DB5E22B4-78D6-4EF4-B87C-C421172F7E1E}"/>
    <hyperlink ref="E373" r:id="rId368" xr:uid="{4A73FE88-4560-4ED6-96BB-9766F3883294}"/>
    <hyperlink ref="E374" r:id="rId369" xr:uid="{432DCC33-D2EB-43BD-ADBC-7AAF1FDC3AE2}"/>
    <hyperlink ref="E376" r:id="rId370" xr:uid="{949BA0AB-92A2-4A1C-B3DC-725444BA1265}"/>
    <hyperlink ref="E377" r:id="rId371" xr:uid="{19B00F79-FFAC-4951-A4C2-91DED1240E7E}"/>
    <hyperlink ref="E378" r:id="rId372" xr:uid="{A835272C-38B8-44C1-8C63-C718B000B64B}"/>
    <hyperlink ref="E379" r:id="rId373" xr:uid="{B9808995-1F26-41D7-B8B5-85EFB29805AD}"/>
    <hyperlink ref="E380" r:id="rId374" xr:uid="{88BCF188-55EC-461A-9581-044D6B2A200E}"/>
    <hyperlink ref="E381" r:id="rId375" xr:uid="{3BCAD56F-509A-4C38-B213-35F9B98D4429}"/>
    <hyperlink ref="E382" r:id="rId376" xr:uid="{0FE9BF9F-BCDC-4D1A-BB84-13916731AF95}"/>
    <hyperlink ref="E375" r:id="rId377" xr:uid="{1DEB0706-48A4-4925-BAC8-A4F564EEF843}"/>
    <hyperlink ref="E384" r:id="rId378" xr:uid="{7CAF416A-8E71-4E8B-96A1-AA3F72E27CA3}"/>
    <hyperlink ref="E385" r:id="rId379" xr:uid="{4ECB8600-5C63-48B8-8923-0555909EA094}"/>
    <hyperlink ref="E386" r:id="rId380" xr:uid="{E594B961-AF6A-4929-A56C-B560971CA55A}"/>
    <hyperlink ref="E387" r:id="rId381" xr:uid="{87471F37-CF93-4525-981A-A5536455592F}"/>
    <hyperlink ref="E388" r:id="rId382" xr:uid="{89B810D6-0A7F-4AE0-9823-6119E8A4656A}"/>
    <hyperlink ref="E389" r:id="rId383" xr:uid="{57573656-5130-4B89-9840-50A62BBB318F}"/>
    <hyperlink ref="E390" r:id="rId384" xr:uid="{E1D674B6-929A-4ED6-B5DC-AFF0AFF356F0}"/>
    <hyperlink ref="E391" r:id="rId385" xr:uid="{5232AFF8-12D9-4668-8906-2EBE9694B0BC}"/>
    <hyperlink ref="E392" r:id="rId386" xr:uid="{902FFCF8-C15E-46EA-8FD2-5ADAA73B45C6}"/>
    <hyperlink ref="E393" r:id="rId387" xr:uid="{6299C3B1-AC8B-4B1B-9FF6-64F9DEB1CC9A}"/>
    <hyperlink ref="E394" r:id="rId388" xr:uid="{77A25E7E-8557-4EEF-8BCC-AE242D72EA02}"/>
    <hyperlink ref="E395" r:id="rId389" xr:uid="{D90A7137-ED18-40C1-B82F-36B884CF0937}"/>
    <hyperlink ref="E396" r:id="rId390" xr:uid="{C12A24BE-9CA4-45E3-89A6-865B9CE78519}"/>
    <hyperlink ref="E397" r:id="rId391" xr:uid="{54FED108-1BAD-4653-8609-F3FE2AE80FE1}"/>
    <hyperlink ref="E398" r:id="rId392" xr:uid="{5C289665-2F01-419F-B94C-4C9D8292F293}"/>
    <hyperlink ref="E399" r:id="rId393" xr:uid="{0EE97F72-F548-4A4C-A46E-B46C8DBCB28C}"/>
    <hyperlink ref="E400" r:id="rId394" xr:uid="{CE70C867-0820-4BBF-AE52-917B32DFC1CD}"/>
    <hyperlink ref="E401" r:id="rId395" xr:uid="{4D701408-AE38-4997-A003-E7061BEF312B}"/>
    <hyperlink ref="E402" r:id="rId396" xr:uid="{9ED7B837-7D09-4678-A129-F90392CD16F4}"/>
    <hyperlink ref="E403" r:id="rId397" xr:uid="{29172220-24F2-4C2A-86D8-8E083C2F13C4}"/>
    <hyperlink ref="E404" r:id="rId398" xr:uid="{272B6517-314F-4479-9564-10DD12674E08}"/>
    <hyperlink ref="E405" r:id="rId399" xr:uid="{5FAB4819-1F72-4423-B46F-1D8AE8D489C5}"/>
    <hyperlink ref="E406" r:id="rId400" xr:uid="{2ACD8FBC-5A3C-4CBA-A807-FFAED5EFBBD5}"/>
    <hyperlink ref="E407" r:id="rId401" xr:uid="{24CC0AF7-6B0A-440A-8C17-63CABB23CEF4}"/>
    <hyperlink ref="E408" r:id="rId402" xr:uid="{972D4957-E6C1-4267-ABB8-41104689F2E8}"/>
    <hyperlink ref="E409" r:id="rId403" xr:uid="{801BF115-287C-4494-8FD2-26DA90A40A0D}"/>
    <hyperlink ref="E410" r:id="rId404" xr:uid="{AE406FAF-DD9C-459E-8EEF-6E00A4FF6972}"/>
    <hyperlink ref="E411" r:id="rId405" xr:uid="{72EE0373-337E-4B44-9400-15B7A3369489}"/>
    <hyperlink ref="E412" r:id="rId406" xr:uid="{FA7D27A1-3C81-490B-9283-4E9665140175}"/>
    <hyperlink ref="E413" r:id="rId407" xr:uid="{8B19484D-6001-41A9-ACE0-701BC1783D34}"/>
    <hyperlink ref="E414" r:id="rId408" xr:uid="{ADDC6466-6EFA-4E20-A6F2-CC84AB7A72E7}"/>
    <hyperlink ref="E415" r:id="rId409" xr:uid="{9E5AC9CD-30D3-4B9D-A204-B883B84FF246}"/>
    <hyperlink ref="E417" r:id="rId410" xr:uid="{5463ABAD-72C6-4FB3-9DF8-63FF5E228CDB}"/>
    <hyperlink ref="E418" r:id="rId411" xr:uid="{6B1989E7-38A3-4EFF-9EF3-0BFFF63A8153}"/>
    <hyperlink ref="E419" r:id="rId412" xr:uid="{58294EBE-AA13-4F2B-AAA9-B8D2E21A8610}"/>
    <hyperlink ref="E420" r:id="rId413" xr:uid="{48F8333E-7A07-4140-BB59-901F8E928B7C}"/>
    <hyperlink ref="E421" r:id="rId414" xr:uid="{BF3BFA0E-7A1A-407E-A613-B36CA3D23F44}"/>
    <hyperlink ref="E422" r:id="rId415" xr:uid="{441BC77F-DF62-4F28-81E6-A0C205795E21}"/>
    <hyperlink ref="E423" r:id="rId416" xr:uid="{1F6CC057-3CD8-4009-B580-3C10572E8693}"/>
    <hyperlink ref="E424" r:id="rId417" xr:uid="{5B10BDF2-FBB7-4E2C-8731-FDEA2B545D0A}"/>
    <hyperlink ref="E425" r:id="rId418" xr:uid="{4BB7A4CE-C987-43E3-B729-815B37D9440F}"/>
    <hyperlink ref="E426" r:id="rId419" xr:uid="{D3E1773C-CE84-4A2E-8599-D4B387202CDC}"/>
    <hyperlink ref="E427" r:id="rId420" xr:uid="{8310E8C9-431B-428A-838B-5E391865A2A2}"/>
    <hyperlink ref="E428" r:id="rId421" xr:uid="{50781DFC-BC8A-4982-B633-37D9B854FB64}"/>
    <hyperlink ref="E429" r:id="rId422" xr:uid="{865DE800-79FF-4E01-90FB-647B06D67BA1}"/>
    <hyperlink ref="E430" r:id="rId423" xr:uid="{81BF4FB6-E934-4FFA-9D50-9A28B08DCC2E}"/>
    <hyperlink ref="E431" r:id="rId424" xr:uid="{AEEE69BD-86CC-4055-96F4-C74679A2B31A}"/>
    <hyperlink ref="E432" r:id="rId425" xr:uid="{1DDB1C21-7493-4DDB-B0FE-BDB4E9407800}"/>
    <hyperlink ref="E433" r:id="rId426" xr:uid="{9F3FECD8-2D50-483A-B7BE-1C056464539B}"/>
    <hyperlink ref="E434" r:id="rId427" xr:uid="{8FABCC26-B2A7-4C8A-AE2B-0735E2DD5701}"/>
    <hyperlink ref="E435" r:id="rId428" xr:uid="{B2D07D18-E6C7-4AB0-9020-6CDE2E5E3B33}"/>
    <hyperlink ref="E436" r:id="rId429" xr:uid="{8F20DDE7-A656-443D-A21A-CB66D85885D2}"/>
    <hyperlink ref="E437" r:id="rId430" xr:uid="{FB9E6835-DFDD-4D09-B21D-0BA2AA9B4837}"/>
    <hyperlink ref="E438" r:id="rId431" xr:uid="{4B57D784-7D3A-4ED1-8F25-13A2CA2A42A9}"/>
    <hyperlink ref="E439" r:id="rId432" xr:uid="{73C324E5-6C50-4412-9042-C8F092E5C91E}"/>
    <hyperlink ref="E440" r:id="rId433" xr:uid="{87D0EB6A-C7F2-4593-89F3-242D375A9504}"/>
    <hyperlink ref="E441" r:id="rId434" xr:uid="{E3F77E17-B413-44EE-B594-D6CEAAE6D5AE}"/>
    <hyperlink ref="E442" r:id="rId435" xr:uid="{27CB14AA-6AB5-4690-AECE-ACCE7277943A}"/>
    <hyperlink ref="E443" r:id="rId436" xr:uid="{19042C4C-39E1-4EF2-AF0B-6180115540AC}"/>
    <hyperlink ref="E444" r:id="rId437" xr:uid="{F2066B8A-34DC-4E31-B568-F29A0B23B664}"/>
    <hyperlink ref="E445" r:id="rId438" xr:uid="{872E099D-A440-4515-A2C0-6822E0175814}"/>
    <hyperlink ref="E446" r:id="rId439" xr:uid="{89EED125-8251-416E-B9E1-16E5D030FC70}"/>
    <hyperlink ref="E447" r:id="rId440" xr:uid="{2BA70B47-354C-4C29-8C68-0B7DDFEFA73F}"/>
    <hyperlink ref="E448" r:id="rId441" xr:uid="{03DEEC76-2D4C-4316-A7F0-1D20CA4F4E0D}"/>
    <hyperlink ref="E449" r:id="rId442" xr:uid="{A3AF18EC-D2D1-46A3-9FB8-6261B3F64C9D}"/>
    <hyperlink ref="E450" r:id="rId443" xr:uid="{56C22BD2-2793-450B-8CE9-03A24473E89C}"/>
    <hyperlink ref="E451" r:id="rId444" xr:uid="{D30E8930-D088-439D-ACBB-717269538153}"/>
    <hyperlink ref="E452" r:id="rId445" xr:uid="{48487287-F04D-44F2-A44A-649E6D65E388}"/>
    <hyperlink ref="E453" r:id="rId446" xr:uid="{A3706926-218C-4927-B531-9F2BC00E46A0}"/>
    <hyperlink ref="E454" r:id="rId447" xr:uid="{17B86C66-6F49-407F-90D3-FC179AC83ABC}"/>
    <hyperlink ref="E455" r:id="rId448" xr:uid="{6EB125A0-7CBC-43D4-A52B-794F2A038205}"/>
    <hyperlink ref="E456" r:id="rId449" xr:uid="{944C24F4-B091-40FB-99BB-AB4C2B7B4030}"/>
    <hyperlink ref="E457" r:id="rId450" xr:uid="{C2E9E615-0664-4E7E-969E-11004D2FC3CC}"/>
    <hyperlink ref="E458" r:id="rId451" xr:uid="{D10AC60C-8F2F-438C-8A28-8CD5E60F5B0D}"/>
    <hyperlink ref="E459" r:id="rId452" xr:uid="{9E58ABD8-9D2E-4B5D-899A-494F1D961FE1}"/>
    <hyperlink ref="E460" r:id="rId453" xr:uid="{D6385736-80DE-4D89-BDB8-3BF309C95F67}"/>
    <hyperlink ref="E461" r:id="rId454" xr:uid="{FA488C1A-B7B4-43FB-94BC-715B65A8AF04}"/>
    <hyperlink ref="E462" r:id="rId455" xr:uid="{A887AC3E-AB27-4E4E-8031-DF49148F927A}"/>
    <hyperlink ref="E463" r:id="rId456" xr:uid="{9AFDD4BD-748A-4C6F-B2ED-8EF71C7363BA}"/>
    <hyperlink ref="E464" r:id="rId457" xr:uid="{5FF9A831-9308-4829-89F4-F261C178EC1A}"/>
    <hyperlink ref="E465" r:id="rId458" xr:uid="{2AB74F66-5E13-4CFF-9A08-9BA26C5889B4}"/>
    <hyperlink ref="E466" r:id="rId459" xr:uid="{AB87543A-CCA9-4E08-A50D-BE81F48A703B}"/>
    <hyperlink ref="E467" r:id="rId460" xr:uid="{F3872425-F9B1-4C9A-AEC3-871C81C45247}"/>
    <hyperlink ref="E468" r:id="rId461" xr:uid="{3D469656-9FAA-44D2-9D09-CEF1F23E980F}"/>
    <hyperlink ref="E469" r:id="rId462" xr:uid="{0AD19FAB-127C-4F58-94A7-C5C2E532C167}"/>
    <hyperlink ref="E470" r:id="rId463" xr:uid="{27459E0B-C09A-4F48-9936-2A521A7C4ADA}"/>
    <hyperlink ref="E471" r:id="rId464" xr:uid="{3B50514D-ED8A-4E09-986E-ED64542D48E2}"/>
    <hyperlink ref="E472" r:id="rId465" xr:uid="{0DB2C330-1CFA-4030-8AEA-99A3F7E8998A}"/>
    <hyperlink ref="E473" r:id="rId466" xr:uid="{B68DDDEA-3126-4676-A062-0F8C51A60FF9}"/>
    <hyperlink ref="E474" r:id="rId467" xr:uid="{66676101-1E5F-4E7B-893C-9C4185CC842F}"/>
    <hyperlink ref="E475" r:id="rId468" xr:uid="{FB9658E3-56CA-4F81-97F9-810755EB85FF}"/>
    <hyperlink ref="E476" r:id="rId469" xr:uid="{66F60669-DC14-4E3C-AEDF-9E8ACBB9DAD5}"/>
    <hyperlink ref="E477" r:id="rId470" xr:uid="{D573941C-8EB0-4B77-9922-51C913845D1C}"/>
    <hyperlink ref="E478" r:id="rId471" xr:uid="{2322613B-736E-466D-8825-3532A2CC23F6}"/>
    <hyperlink ref="E479" r:id="rId472" xr:uid="{0D5E1550-183F-4777-8737-3023493D3396}"/>
    <hyperlink ref="E480" r:id="rId473" xr:uid="{33814CC3-1B90-45CA-818A-CF7A87AF6C81}"/>
    <hyperlink ref="E481" r:id="rId474" xr:uid="{F9BE57D3-FECB-4F5A-AB98-50C053B5A256}"/>
    <hyperlink ref="E482" r:id="rId475" xr:uid="{739F562D-8E7B-49AB-902A-18F85A210B3E}"/>
    <hyperlink ref="E483" r:id="rId476" xr:uid="{7BBB28B4-188F-4BFA-B18E-AB8B87C7ED7E}"/>
    <hyperlink ref="E484" r:id="rId477" xr:uid="{16D3A9E0-0753-41DC-9C22-22695235E433}"/>
    <hyperlink ref="E485" r:id="rId478" xr:uid="{A3F54864-7DCE-4723-96A9-4EE320FBED23}"/>
    <hyperlink ref="E486" r:id="rId479" xr:uid="{D8DBD6AF-48FB-4E8A-B483-EFC8EA3EB009}"/>
    <hyperlink ref="E487" r:id="rId480" xr:uid="{2D407539-9A47-4388-A276-708C51ADC1D1}"/>
    <hyperlink ref="E488" r:id="rId481" xr:uid="{7F44CFBE-93E2-46CC-B452-222CDB8C6F2B}"/>
    <hyperlink ref="E489" r:id="rId482" xr:uid="{36850E95-0D3E-4049-9CDC-C10547125A10}"/>
    <hyperlink ref="E490" r:id="rId483" xr:uid="{5C9548F1-9766-4AFA-B19F-ADF7A3350FA8}"/>
    <hyperlink ref="E491" r:id="rId484" xr:uid="{008CA0C1-6566-4C44-A336-9915F659DBE7}"/>
    <hyperlink ref="E492" r:id="rId485" xr:uid="{AD034D1A-54BE-45B6-9F2C-76D492A6226B}"/>
    <hyperlink ref="E493" r:id="rId486" xr:uid="{2F465B78-2B10-45B7-9677-10A3F03921F8}"/>
    <hyperlink ref="E494" r:id="rId487" xr:uid="{B645D0B1-5082-47C5-B0E9-825469C20648}"/>
    <hyperlink ref="E495" r:id="rId488" xr:uid="{62F61A2F-D663-4018-92BF-6A3551FC646F}"/>
    <hyperlink ref="E498" r:id="rId489" xr:uid="{EB9C0D5E-9C2F-41D5-92AD-98ED417930F1}"/>
    <hyperlink ref="E499" r:id="rId490" xr:uid="{3AA78D5B-20F3-4E25-BB1B-F80A9C1DCCB9}"/>
    <hyperlink ref="E500" r:id="rId491" xr:uid="{D80B3FBD-0976-4084-819E-0898F2CB7780}"/>
    <hyperlink ref="E501" r:id="rId492" xr:uid="{329E1993-338D-4630-92F8-A213BBA01082}"/>
    <hyperlink ref="E502" r:id="rId493" xr:uid="{35FC1205-7DBD-4BC8-8763-A11A64A36626}"/>
    <hyperlink ref="E503" r:id="rId494" xr:uid="{BC99AB81-9F33-4369-A552-172072263A9D}"/>
    <hyperlink ref="E504" r:id="rId495" xr:uid="{167246DF-A820-48EC-9DB3-4CD030F7EBDC}"/>
    <hyperlink ref="E505" r:id="rId496" xr:uid="{99ED029D-9FF9-4796-8091-60BCDF3C93AA}"/>
    <hyperlink ref="E506" r:id="rId497" xr:uid="{7DA7BF5A-1CFE-49EB-BB04-173531B2CFDA}"/>
    <hyperlink ref="E507" r:id="rId498" xr:uid="{A0F34F6B-FB41-492C-AF9C-BDB2DC7381CE}"/>
    <hyperlink ref="E508" r:id="rId499" xr:uid="{94F33270-41CB-4BEA-8A6A-17319C098E7F}"/>
    <hyperlink ref="E509" r:id="rId500" xr:uid="{129A220C-8E89-4CE7-8EAC-88951ABD9FE7}"/>
    <hyperlink ref="E510" r:id="rId501" xr:uid="{63742439-C7BA-4FFA-993B-0883A466C01E}"/>
    <hyperlink ref="E511" r:id="rId502" xr:uid="{44BFBD20-8E31-427A-86D7-7AAD3274D68B}"/>
    <hyperlink ref="E512" r:id="rId503" xr:uid="{6518CC22-181D-4C5E-902B-D61BE4CCB739}"/>
    <hyperlink ref="E513" r:id="rId504" xr:uid="{4811C7CD-4295-46C8-8B4A-EDBF1C4FE45D}"/>
    <hyperlink ref="E514" r:id="rId505" xr:uid="{DE87A19A-5946-436E-86DC-C28C14869395}"/>
    <hyperlink ref="E515" r:id="rId506" xr:uid="{14D5A3E5-E698-4BAC-9530-EEB153BBBC18}"/>
    <hyperlink ref="E516" r:id="rId507" xr:uid="{6A907F3A-CF2A-4A53-B75C-43E4D4D54B7B}"/>
    <hyperlink ref="E517" r:id="rId508" xr:uid="{FE6B93AB-A3C0-436E-9904-E76DF318A208}"/>
    <hyperlink ref="E518" r:id="rId509" xr:uid="{75F366F2-9229-473F-86BD-5C5B5BF28464}"/>
    <hyperlink ref="E519" r:id="rId510" xr:uid="{B348E212-4C24-4DE7-8E1D-CD659A9B7F7B}"/>
    <hyperlink ref="E520" r:id="rId511" xr:uid="{4A52E5BF-3F6A-4CD6-BB44-7DA5AF21434F}"/>
    <hyperlink ref="E521" r:id="rId512" xr:uid="{4DD72AD9-98BC-4C97-867B-A2E18703B785}"/>
    <hyperlink ref="E522" r:id="rId513" xr:uid="{086E2BA9-BE5F-4162-9E93-D2B0D64C9EBC}"/>
    <hyperlink ref="E523" r:id="rId514" xr:uid="{E8A57B01-7A52-4A0F-ADA7-9F14BF7527A9}"/>
    <hyperlink ref="E524" r:id="rId515" xr:uid="{FE1BF104-E452-4F06-9F07-1DD2D472383B}"/>
    <hyperlink ref="E525" r:id="rId516" xr:uid="{6F782306-40E4-49F6-8744-D8204E384FA0}"/>
    <hyperlink ref="E526" r:id="rId517" xr:uid="{00BA2F4F-6B29-4085-B4AF-7D18FA2E0DF7}"/>
    <hyperlink ref="E527" r:id="rId518" xr:uid="{50954406-BD97-4073-8E55-FA45F9F00801}"/>
    <hyperlink ref="E528" r:id="rId519" xr:uid="{C10E0BB5-EFF9-4D75-B632-61FD430F1EAF}"/>
    <hyperlink ref="E529" r:id="rId520" xr:uid="{58292CC7-D74B-4ADB-A172-7A2C7203B2B2}"/>
    <hyperlink ref="E530" r:id="rId521" xr:uid="{35F8EEF7-3F91-426D-BBA9-B5C402B2F5B5}"/>
    <hyperlink ref="E531" r:id="rId522" xr:uid="{9E8517B0-8871-486C-BF7B-D698D53D9689}"/>
    <hyperlink ref="E532" r:id="rId523" xr:uid="{C3D1EDBB-3528-4C45-9B06-6DC1B877AB8E}"/>
    <hyperlink ref="E533" r:id="rId524" xr:uid="{1B8DC916-16B0-4775-A0C5-8BCCAB5DD108}"/>
    <hyperlink ref="E534" r:id="rId525" xr:uid="{4242770F-8303-4F6F-AEAD-754A4BE67112}"/>
    <hyperlink ref="E535" r:id="rId526" xr:uid="{46D361C7-FBF5-4739-B659-02E31575AD6D}"/>
    <hyperlink ref="E536" r:id="rId527" xr:uid="{F3B8EF6F-7BA2-4D1E-BF17-A7A74EEBA1C5}"/>
    <hyperlink ref="E537" r:id="rId528" xr:uid="{DEDAABB7-D93C-4257-8562-8BCF223C17F4}"/>
    <hyperlink ref="E538" r:id="rId529" xr:uid="{29392A1E-F694-4538-9B59-9EF73E84FBD3}"/>
    <hyperlink ref="E539" r:id="rId530" xr:uid="{19BB57A3-C1EB-4718-B883-5D2B5A05DD3C}"/>
    <hyperlink ref="E540" r:id="rId531" xr:uid="{BFFB13D4-CEDA-418B-9F1D-CE94B2931CD6}"/>
    <hyperlink ref="E541" r:id="rId532" xr:uid="{F5CD3C48-00AC-4CE3-9511-137566D78EE9}"/>
    <hyperlink ref="E542" r:id="rId533" xr:uid="{26139470-987A-4996-8AE1-942BE0ECA9BE}"/>
    <hyperlink ref="E543" r:id="rId534" xr:uid="{06E3D2FC-2418-4563-86C1-ABFD73625D84}"/>
    <hyperlink ref="E544" r:id="rId535" xr:uid="{E7B47BCF-7349-4E43-95B3-9BA033614E2C}"/>
    <hyperlink ref="E545" r:id="rId536" xr:uid="{4913688C-C8F0-4C7F-83FE-4349FA7E2F72}"/>
    <hyperlink ref="E546" r:id="rId537" xr:uid="{5EE7E162-A2E9-41B8-8ABF-567ADE7BB0AC}"/>
    <hyperlink ref="E547" r:id="rId538" xr:uid="{D0DA2873-7162-4036-94AE-ABB0F7F1FE7E}"/>
    <hyperlink ref="E548" r:id="rId539" xr:uid="{F3623A8C-3597-43C9-9334-4489D06195EE}"/>
    <hyperlink ref="E549" r:id="rId540" xr:uid="{AABB6842-C5D2-440E-8DDD-678C3DD391F9}"/>
    <hyperlink ref="E550" r:id="rId541" xr:uid="{CB3FE6A5-35DF-4425-92C6-2D32C6AA0CAB}"/>
    <hyperlink ref="E552" r:id="rId542" xr:uid="{85E2D4EA-A7C4-4B0E-864E-4E733587C1F7}"/>
    <hyperlink ref="E553" r:id="rId543" xr:uid="{6DC03318-20E4-4F02-8278-19200F44745F}"/>
    <hyperlink ref="E554" r:id="rId544" xr:uid="{50DA0674-B595-440B-8672-299D9C08CCC1}"/>
    <hyperlink ref="E555" r:id="rId545" xr:uid="{929733CD-E0E2-4C19-9C9F-B3229308D47E}"/>
    <hyperlink ref="E556" r:id="rId546" xr:uid="{280D02BA-0F74-4434-BA70-325D375805FF}"/>
    <hyperlink ref="E557" r:id="rId547" xr:uid="{658A706D-4E87-4474-8E0E-B3646DA8E869}"/>
    <hyperlink ref="E558" r:id="rId548" xr:uid="{236BAB03-B45A-48E0-B986-B50E2732BF92}"/>
    <hyperlink ref="E559" r:id="rId549" xr:uid="{157168C3-BDD3-4BE8-AA85-295887BE6612}"/>
    <hyperlink ref="E560" r:id="rId550" xr:uid="{93999C12-A798-4CF0-8E98-BE89E074BFFF}"/>
    <hyperlink ref="E561" r:id="rId551" xr:uid="{05D42612-0A8B-4E7B-997B-848D0A769589}"/>
    <hyperlink ref="E562" r:id="rId552" xr:uid="{38233387-0E2D-4AB7-9228-4256A40B5F5B}"/>
    <hyperlink ref="E563" r:id="rId553" xr:uid="{77BF590B-400B-4DAA-A535-0E1035913ADF}"/>
    <hyperlink ref="E564" r:id="rId554" xr:uid="{A9C8FED6-CDB0-4766-AD09-71D604EF69CF}"/>
    <hyperlink ref="E567" r:id="rId555" xr:uid="{D046966D-F0AC-4C71-AFD1-EF71A18A596B}"/>
    <hyperlink ref="E568" r:id="rId556" xr:uid="{450BBC84-7FC2-4DD9-A2AB-AB06A2E3580B}"/>
    <hyperlink ref="E569" r:id="rId557" xr:uid="{38130678-DFFF-4421-B530-D21908983DF2}"/>
    <hyperlink ref="E570" r:id="rId558" xr:uid="{D4D3342F-22B8-430B-8935-F5A20F06059A}"/>
    <hyperlink ref="E571" r:id="rId559" xr:uid="{686BCD21-278C-4E1E-9116-49B159252F26}"/>
    <hyperlink ref="E572" r:id="rId560" xr:uid="{FD2D271C-FB53-4E30-9BB0-183A19560659}"/>
    <hyperlink ref="E573" r:id="rId561" xr:uid="{C54A1A23-FADF-4E50-8C4E-51D7E58395A3}"/>
    <hyperlink ref="E574" r:id="rId562" xr:uid="{6D102E8E-9C4D-4FF1-8CE3-7FF3A66BED53}"/>
    <hyperlink ref="E575" r:id="rId563" xr:uid="{6907994D-7995-464D-A5C4-573FBD01F177}"/>
    <hyperlink ref="E566" r:id="rId564" xr:uid="{E4DB5574-5E7B-49D7-A4EC-11C8DEDE91DD}"/>
    <hyperlink ref="E576" r:id="rId565" xr:uid="{070DD65E-36F4-48B4-8CB3-623FF98370AE}"/>
    <hyperlink ref="E577" r:id="rId566" xr:uid="{D5392A0C-EA00-4486-8DD0-B4DFC934CF64}"/>
    <hyperlink ref="E578" r:id="rId567" xr:uid="{CA08F1E7-8C4E-49FE-AF39-66C9D12F245B}"/>
    <hyperlink ref="E579" r:id="rId568" xr:uid="{D11D40B9-7BF0-467D-B31D-BAEAA9452657}"/>
    <hyperlink ref="E580" r:id="rId569" xr:uid="{C7294C76-E530-4D31-971D-2307F64D6D78}"/>
    <hyperlink ref="E581" r:id="rId570" xr:uid="{085D0BD0-DF86-4D17-B17A-13BFFD02056D}"/>
    <hyperlink ref="E582" r:id="rId571" xr:uid="{9DE3FD85-C651-4CFB-B634-9B8734E70DCD}"/>
    <hyperlink ref="E583" r:id="rId572" xr:uid="{C4582840-6072-4785-AFEB-D75CDC475798}"/>
    <hyperlink ref="E584" r:id="rId573" xr:uid="{9F921F74-F5BB-4542-8F3A-F12B68B1A847}"/>
    <hyperlink ref="E565" r:id="rId574" xr:uid="{148D563A-BD93-4FA1-AC2A-96E181A58C0A}"/>
    <hyperlink ref="E585" r:id="rId575" xr:uid="{B73D0788-451D-4B66-96C1-D185AE83DE0E}"/>
    <hyperlink ref="E586" r:id="rId576" xr:uid="{B0CB7CCC-017F-42AC-A3D9-0C295E5A9CB5}"/>
    <hyperlink ref="E587" r:id="rId577" xr:uid="{C8465E0C-86B0-4852-BDB1-D9683A7557F9}"/>
    <hyperlink ref="E588" r:id="rId578" xr:uid="{91F1BFB1-437B-4EB6-8E13-B0CBB1AC710D}"/>
    <hyperlink ref="E589" r:id="rId579" xr:uid="{B2081322-D42B-4897-ABFA-9792CD580DCF}"/>
    <hyperlink ref="E590" r:id="rId580" xr:uid="{9F3E00B1-DCFC-4A1D-9A1B-7DC5446302BE}"/>
    <hyperlink ref="E591" r:id="rId581" xr:uid="{CBB01D56-7CF6-4A98-BC7A-9D5478070006}"/>
    <hyperlink ref="E592" r:id="rId582" xr:uid="{8C8649DF-1A00-410A-8A1B-02303E274C7F}"/>
    <hyperlink ref="E593" r:id="rId583" xr:uid="{1F985345-4DD4-4D63-B663-846D2F47BB09}"/>
    <hyperlink ref="E594" r:id="rId584" xr:uid="{F761F442-6375-4902-8807-2AB3FC70DABE}"/>
    <hyperlink ref="E595" r:id="rId585" xr:uid="{AC247E61-B18C-4646-B50B-172A3BD8EF07}"/>
    <hyperlink ref="E596" r:id="rId586" xr:uid="{6BF88E1A-F67E-4D97-B93D-6D4A8F95D5FF}"/>
    <hyperlink ref="E597" r:id="rId587" xr:uid="{9A2378AD-D600-49DD-9C83-E7624CE619A6}"/>
    <hyperlink ref="E598" r:id="rId588" xr:uid="{CFBD309B-D0BB-41D6-B95F-9F4CA7905311}"/>
    <hyperlink ref="E599" r:id="rId589" xr:uid="{1837CAD1-E5BF-4B80-8869-32AF301B164A}"/>
    <hyperlink ref="E600" r:id="rId590" xr:uid="{ED78B56A-3903-4EAC-AC54-46AEB219A6DF}"/>
    <hyperlink ref="E601" r:id="rId591" xr:uid="{48E03188-5019-4411-824A-F56402784692}"/>
    <hyperlink ref="E602" r:id="rId592" xr:uid="{33D8E824-FDB6-4CDD-B2DE-AEA77632164C}"/>
    <hyperlink ref="E603" r:id="rId593" xr:uid="{E298F633-9972-45A6-97AE-C3656A738280}"/>
    <hyperlink ref="E604" r:id="rId594" xr:uid="{E1B00521-458B-427D-AEA9-2F087B29E47A}"/>
    <hyperlink ref="E605" r:id="rId595" xr:uid="{AF00D09D-5E0A-4062-A5C5-FB259367B508}"/>
    <hyperlink ref="E606" r:id="rId596" xr:uid="{795565E3-F1F9-43EE-8098-98802F4B8A55}"/>
    <hyperlink ref="E607" r:id="rId597" xr:uid="{B92B9A97-F34A-46D8-89C3-396896A08CDA}"/>
    <hyperlink ref="E696" r:id="rId598" xr:uid="{1C66DCF0-5732-4720-82E1-E1CE08DD1A88}"/>
    <hyperlink ref="E609" r:id="rId599" xr:uid="{8F184031-60BF-4DA0-9D56-0FFC3617FC0F}"/>
    <hyperlink ref="E610" r:id="rId600" xr:uid="{FD92A286-81B4-4AC8-B509-A0698E41ED63}"/>
    <hyperlink ref="E611" r:id="rId601" xr:uid="{55D7C6B8-3128-4C90-A859-7A4B7C7D368D}"/>
    <hyperlink ref="E612" r:id="rId602" xr:uid="{E283130C-CFC0-4696-8956-619F8758ADB4}"/>
    <hyperlink ref="E613" r:id="rId603" xr:uid="{3E20A00B-27CD-4BC7-B919-59EC0140CDCD}"/>
    <hyperlink ref="E614" r:id="rId604" xr:uid="{97AD6450-4812-4C65-85E0-6D878C6688B8}"/>
    <hyperlink ref="E615" r:id="rId605" xr:uid="{A04357D1-48ED-461C-9F93-AF97DF002EA8}"/>
    <hyperlink ref="E616" r:id="rId606" xr:uid="{2C14AC3C-0EDE-43A2-9E23-B9E0D8C9F02D}"/>
    <hyperlink ref="E617" r:id="rId607" xr:uid="{ACE6EBB7-D581-43A4-944C-9EC3CCF5E918}"/>
    <hyperlink ref="E618" r:id="rId608" xr:uid="{F4EFA54B-8B27-4771-A46E-C9F346E4A5F9}"/>
    <hyperlink ref="E619" r:id="rId609" xr:uid="{55391EE2-3DA3-4DDA-B12E-B5B90C08B7F5}"/>
    <hyperlink ref="E620" r:id="rId610" xr:uid="{F8B96AD5-0D0A-4AAB-9F1D-BBA61FC32FF2}"/>
    <hyperlink ref="E621" r:id="rId611" xr:uid="{72ECB9F2-0FDA-4CA4-B127-20A770F428D7}"/>
    <hyperlink ref="E622" r:id="rId612" xr:uid="{C7A1208B-49DC-4F7F-B113-0F4B94043643}"/>
    <hyperlink ref="E623" r:id="rId613" xr:uid="{628F3E7E-6A35-406B-B4E7-8BD4CD5C2BE4}"/>
    <hyperlink ref="E624" r:id="rId614" xr:uid="{D069BFB8-4F72-4947-B656-985B5E7BDD67}"/>
    <hyperlink ref="E625" r:id="rId615" xr:uid="{26565041-13E6-480F-9CD1-5A4A4CFFBA54}"/>
    <hyperlink ref="E626" r:id="rId616" xr:uid="{F6C72283-0BB8-4333-BD47-4CEC6DD00A87}"/>
    <hyperlink ref="E628" r:id="rId617" xr:uid="{F0967049-7085-4430-8CAF-86AF0CCB42E0}"/>
    <hyperlink ref="E629" r:id="rId618" xr:uid="{4BC69F4C-9D00-4AEA-804E-C6FDC67539C3}"/>
    <hyperlink ref="E630" r:id="rId619" xr:uid="{E6E886A4-7D66-4650-BA8F-19FE0B1BCD5F}"/>
    <hyperlink ref="E631" r:id="rId620" xr:uid="{0C7FF853-DA36-4B7A-8F95-FB55F3DECEC5}"/>
    <hyperlink ref="E632" r:id="rId621" xr:uid="{878E2DB7-6556-45CF-A958-D158F95213E4}"/>
    <hyperlink ref="E633" r:id="rId622" xr:uid="{03F2C2FC-4498-4B32-8FD7-4B0D2E9C5E20}"/>
    <hyperlink ref="E634" r:id="rId623" xr:uid="{39D46CED-DF2D-4B0D-97B1-5C41033FBE5D}"/>
    <hyperlink ref="E635" r:id="rId624" xr:uid="{021240B4-B671-49CB-A64C-1429AA808627}"/>
    <hyperlink ref="E636" r:id="rId625" xr:uid="{F4293E55-DA8C-48AB-A81F-F64733346045}"/>
    <hyperlink ref="E637" r:id="rId626" xr:uid="{CFAEF74E-C0B2-43F3-9900-7008BE9A976B}"/>
    <hyperlink ref="E638" r:id="rId627" xr:uid="{F1A7EC10-251C-4B17-B4C9-01DB3AC24095}"/>
    <hyperlink ref="E639" r:id="rId628" xr:uid="{74AC77AD-2E67-497C-9E51-C7F466F9BF39}"/>
    <hyperlink ref="E640" r:id="rId629" xr:uid="{D77C3129-CD6F-4800-8862-48B8E2E67AAC}"/>
    <hyperlink ref="E641" r:id="rId630" xr:uid="{F1078CB6-4ED1-4CC6-A1B7-96E77C4D0276}"/>
    <hyperlink ref="E642" r:id="rId631" xr:uid="{11E27D9A-1E18-447D-8E38-5D7F477B7C08}"/>
    <hyperlink ref="E644" r:id="rId632" xr:uid="{FA8AD717-DC49-409C-831A-608E07AE882A}"/>
    <hyperlink ref="E645" r:id="rId633" xr:uid="{BFC98C17-7C56-4BD2-B296-99C2B38FE749}"/>
    <hyperlink ref="E646" r:id="rId634" xr:uid="{151FE7EC-F941-4D41-8C7D-0B3005D9B6DF}"/>
    <hyperlink ref="E647" r:id="rId635" xr:uid="{E5E458CB-6D3D-4BCA-8299-E6D901ECCE2F}"/>
    <hyperlink ref="E648" r:id="rId636" xr:uid="{15423A8D-C90C-4689-B38C-32AAA25A6D70}"/>
    <hyperlink ref="E649" r:id="rId637" xr:uid="{91C8C958-791F-4379-A704-44E3C787D63F}"/>
    <hyperlink ref="E650" r:id="rId638" xr:uid="{29DABEDB-6263-4D35-9188-0D2CB031D67D}"/>
    <hyperlink ref="E652" r:id="rId639" xr:uid="{216CAEDE-5692-4AA2-B65A-88C5B8DEAB7A}"/>
    <hyperlink ref="E653" r:id="rId640" display="camgonzalez@sancorseguros.com" xr:uid="{FB979E43-CD8F-4476-A29F-D58A2D8D273E}"/>
    <hyperlink ref="E662" r:id="rId641" xr:uid="{CD84F239-D2FD-4C83-8A88-0439A80FA2D6}"/>
    <hyperlink ref="E663" r:id="rId642" xr:uid="{58A55C27-CC2A-44DD-A308-C6A6FB50C2D0}"/>
    <hyperlink ref="E664" r:id="rId643" xr:uid="{CB10B025-FD99-40CF-A637-F8566DA3BC14}"/>
    <hyperlink ref="E665" r:id="rId644" xr:uid="{1CEF88C5-C252-4B22-85D5-0780681C8556}"/>
    <hyperlink ref="E666" r:id="rId645" xr:uid="{CB61124D-EC17-4FE8-A0ED-9259EC84D640}"/>
    <hyperlink ref="E667" r:id="rId646" xr:uid="{1AB9697C-1D9E-42BC-AD8B-056DF2745F2B}"/>
    <hyperlink ref="E668" r:id="rId647" xr:uid="{044DA314-7063-4719-9EE9-B4F3CB180767}"/>
    <hyperlink ref="E669" r:id="rId648" xr:uid="{511F5CC4-3BB5-4317-A87E-6BACE44CC849}"/>
    <hyperlink ref="E670" r:id="rId649" xr:uid="{BFE18DE0-7898-40A4-A61D-F36AE0A116EE}"/>
    <hyperlink ref="E671" r:id="rId650" xr:uid="{68124437-7FF9-40F2-B83B-6EDBB9F656F4}"/>
    <hyperlink ref="E672" r:id="rId651" xr:uid="{BA1E89D5-CCFF-4555-A6E1-F6263EC053B4}"/>
    <hyperlink ref="E673" r:id="rId652" xr:uid="{7330EE1C-757F-4092-AA00-BC498A00683B}"/>
    <hyperlink ref="E674" r:id="rId653" xr:uid="{5F847AF1-9F9E-4CA9-A884-C664F5109129}"/>
    <hyperlink ref="E679" r:id="rId654" xr:uid="{CEA1CB8C-2C74-40EC-8680-FDD7AEB852C2}"/>
    <hyperlink ref="E676" r:id="rId655" xr:uid="{F415B49B-E38E-4E98-9CFE-56FBA5A7DF2A}"/>
    <hyperlink ref="E677" r:id="rId656" xr:uid="{C7E387C1-3E43-4A64-AEC1-4954FAB43E5F}"/>
    <hyperlink ref="E608" r:id="rId657" xr:uid="{4B16C239-C0F0-4CC0-90A6-F4D1136AEA36}"/>
    <hyperlink ref="E675" r:id="rId658" xr:uid="{E3154A9B-2D52-475C-A10B-8E5CC9D85524}"/>
    <hyperlink ref="E681" r:id="rId659" xr:uid="{B4A80D41-3CE1-4FE3-94A5-B8D8D14ECD6E}"/>
    <hyperlink ref="E682" r:id="rId660" xr:uid="{5B9E7E68-3930-49EA-BD1C-6E73CA1C856F}"/>
    <hyperlink ref="E683" r:id="rId661" xr:uid="{10DCABDE-1DE8-48A0-AA89-7BDB1CDF7978}"/>
    <hyperlink ref="E684" r:id="rId662" xr:uid="{962E46DB-467E-40AA-97C3-0041316803C7}"/>
    <hyperlink ref="E685" r:id="rId663" xr:uid="{3D934DB1-E608-4BEA-8D3A-F6A378673A9A}"/>
    <hyperlink ref="E680" r:id="rId664" xr:uid="{ED5A4EEB-3357-4FE0-B160-0CBF4CEE463A}"/>
    <hyperlink ref="E687" r:id="rId665" xr:uid="{2EFEFAE1-3F93-4834-ACD5-2C82E8ACA74F}"/>
    <hyperlink ref="E688" r:id="rId666" xr:uid="{1ADA77BD-03F9-4E8C-A031-BB7009ECA409}"/>
    <hyperlink ref="E689" r:id="rId667" xr:uid="{4E268331-7941-48B0-A60A-A817BCE369A3}"/>
    <hyperlink ref="E690" r:id="rId668" xr:uid="{8222787F-5884-4212-95F0-D2D6BDD5D316}"/>
    <hyperlink ref="E691" r:id="rId669" xr:uid="{9F4C9477-C4AF-4EA2-91FE-C948A2883513}"/>
    <hyperlink ref="E692" r:id="rId670" xr:uid="{CA455DD3-710D-4CE9-A98C-A1C2DD6D0D10}"/>
    <hyperlink ref="E693" r:id="rId671" xr:uid="{867ED102-DEC9-44B0-9107-E134523CC1C3}"/>
    <hyperlink ref="E694" r:id="rId672" xr:uid="{15B571B5-12CA-44A0-9F8A-3EDC3CE27018}"/>
    <hyperlink ref="E695" r:id="rId673" xr:uid="{12BD2173-0248-42A6-AE0B-467E3D7E4558}"/>
    <hyperlink ref="E686" r:id="rId674" xr:uid="{0FB1CB70-F9FE-4F7A-80E2-598FD96E8A5E}"/>
    <hyperlink ref="E697" r:id="rId675" xr:uid="{C8F75497-6195-47DC-B6BB-FCD56F68C2D6}"/>
    <hyperlink ref="E741" r:id="rId676" xr:uid="{F7CA24F8-AD4E-490F-A4CB-B4D3C52F1C97}"/>
    <hyperlink ref="E699" r:id="rId677" xr:uid="{FD4CD12E-C875-4D7F-9371-8489B2E7B425}"/>
    <hyperlink ref="E700" r:id="rId678" xr:uid="{FC13DAD4-96E2-4AC1-8C64-CDB925C63739}"/>
    <hyperlink ref="E701" r:id="rId679" xr:uid="{CF0A1996-86E1-41D4-9190-A2E8A6E4DEF7}"/>
    <hyperlink ref="E702" r:id="rId680" xr:uid="{12DCE244-5AFB-4696-9095-E1F2BEBBE7B8}"/>
    <hyperlink ref="E1252" r:id="rId681" xr:uid="{C19B95A1-209F-4C4D-B400-FEE37C350823}"/>
    <hyperlink ref="E704" r:id="rId682" xr:uid="{C9A832F2-4A19-4D5E-9C4D-4AACAAF1D21F}"/>
    <hyperlink ref="E705" r:id="rId683" xr:uid="{9A917945-80F9-49B2-8B38-5544F9805830}"/>
    <hyperlink ref="E706" r:id="rId684" xr:uid="{6A7EE0F2-31CF-4D09-BF28-7B6E78BE3D6F}"/>
    <hyperlink ref="E707" r:id="rId685" xr:uid="{9AD2235B-B78D-4850-A698-C1CDEA34DE20}"/>
    <hyperlink ref="E708" r:id="rId686" xr:uid="{1F3C9F5E-71A3-4ABE-8AB8-91B3B4B67FD1}"/>
    <hyperlink ref="E709" r:id="rId687" xr:uid="{4D1D9C47-0CFE-4185-9136-D55DF7CE6821}"/>
    <hyperlink ref="E710" r:id="rId688" xr:uid="{B42CD3F7-5C85-4E9E-8E4B-CE95739DC855}"/>
    <hyperlink ref="E711" r:id="rId689" xr:uid="{8750E01E-3228-4EB7-B7FA-75F8C9651EAB}"/>
    <hyperlink ref="E712" r:id="rId690" xr:uid="{2CC2C4F8-BCD9-4544-86EB-1543FDBE8D9D}"/>
    <hyperlink ref="E713" r:id="rId691" xr:uid="{06670A19-F94C-4CA7-AF8A-210964E9D349}"/>
    <hyperlink ref="E714" r:id="rId692" xr:uid="{013A6A39-19EA-4636-A702-47FA2A863B5A}"/>
    <hyperlink ref="E715" r:id="rId693" xr:uid="{55DE2330-F6F3-460B-A963-9C4008608F95}"/>
    <hyperlink ref="E716" r:id="rId694" xr:uid="{29DCBE9E-87CF-4315-9DBF-2422DFA3E371}"/>
    <hyperlink ref="E717" r:id="rId695" xr:uid="{799DC4C1-EB37-4E7D-B95B-B4EBFE267349}"/>
    <hyperlink ref="E718" r:id="rId696" xr:uid="{B2E8B4B8-62DF-4C4D-BCE1-D30F38A0C3DB}"/>
    <hyperlink ref="E719" r:id="rId697" xr:uid="{94B3B65C-55D2-425F-858D-629EB6EA8F5C}"/>
    <hyperlink ref="E720" r:id="rId698" xr:uid="{11FA12DA-75AE-42AF-8E29-B8A7D4E32518}"/>
    <hyperlink ref="E721" r:id="rId699" xr:uid="{1F082FA7-397F-4ED9-9F7B-FA6F43AFCDEC}"/>
    <hyperlink ref="E722" r:id="rId700" xr:uid="{0CCC4E19-FB8C-4711-8EF1-14705B421508}"/>
    <hyperlink ref="E723" r:id="rId701" xr:uid="{161A2D15-857D-4660-8B2B-36A630745A75}"/>
    <hyperlink ref="E724" r:id="rId702" xr:uid="{3F54BDF2-A48A-44DA-B1D3-D4BBBE04C271}"/>
    <hyperlink ref="E725" r:id="rId703" xr:uid="{F63B538F-3CCB-47C3-8E14-4027E14F1DDB}"/>
    <hyperlink ref="E726" r:id="rId704" xr:uid="{56E2D7EC-9573-4238-AEEA-FC9C403680F7}"/>
    <hyperlink ref="E727" r:id="rId705" xr:uid="{B344843C-81D1-48D1-882F-13C1AE9BFD60}"/>
    <hyperlink ref="E728" r:id="rId706" xr:uid="{2C2A98E6-9395-4323-9706-9801A84F853D}"/>
    <hyperlink ref="E698" r:id="rId707" xr:uid="{CDA2DBB4-BB54-49A3-B1B7-5457CBAF86AB}"/>
    <hyperlink ref="E729" r:id="rId708" xr:uid="{B8538410-BB2D-4150-8247-61742D48C0D0}"/>
    <hyperlink ref="E731" r:id="rId709" xr:uid="{72102439-913D-46A6-B18F-CE93733853DB}"/>
    <hyperlink ref="E732" r:id="rId710" xr:uid="{B856EE3C-8875-45CF-8C95-C82EC95AD4B6}"/>
    <hyperlink ref="E733" r:id="rId711" xr:uid="{38BBB069-422B-42C2-B4A1-A9C2FFDB81FD}"/>
    <hyperlink ref="E734" r:id="rId712" xr:uid="{E3D931F8-4435-46D7-A506-D21B9E109D84}"/>
    <hyperlink ref="E735" r:id="rId713" xr:uid="{CA906AD9-CCC9-4DE9-BACC-BBD7D92F4D85}"/>
    <hyperlink ref="E736" r:id="rId714" xr:uid="{8157790E-928C-4D72-B05A-84547CCB9365}"/>
    <hyperlink ref="E737" r:id="rId715" xr:uid="{7307C6A4-CEE6-4B3C-A280-7D8D1851D2D7}"/>
    <hyperlink ref="E738" r:id="rId716" xr:uid="{4822A573-6F2D-457A-87FA-886B62EA7EAE}"/>
    <hyperlink ref="E739" r:id="rId717" xr:uid="{2AEEA35F-448E-4BC6-9980-99112010BD5C}"/>
    <hyperlink ref="E740" r:id="rId718" xr:uid="{D94667B0-5CF5-442D-B1EB-D293273670B7}"/>
    <hyperlink ref="E730" r:id="rId719" xr:uid="{C23018AE-FE69-4F9F-984C-CBC2374BA030}"/>
    <hyperlink ref="E742" r:id="rId720" xr:uid="{EAA841B2-0A5E-42A6-8F81-E161B8F2934A}"/>
    <hyperlink ref="E743" r:id="rId721" xr:uid="{53677BD5-7415-41A8-A961-414BF459F782}"/>
    <hyperlink ref="E744" r:id="rId722" xr:uid="{F45DB205-813F-4B74-89D5-6BB3E5EE1472}"/>
    <hyperlink ref="E745" r:id="rId723" xr:uid="{E3CBDCD6-D1D9-49AB-973E-CC04D3AE4B1A}"/>
    <hyperlink ref="E746" r:id="rId724" xr:uid="{97D0AC6B-FCEC-4494-80EB-76F03665749C}"/>
    <hyperlink ref="E747" r:id="rId725" xr:uid="{8D3DC295-D8CB-43CC-A20E-55C31DDAADDB}"/>
    <hyperlink ref="E748" r:id="rId726" xr:uid="{EFDEA08D-222A-4058-91C4-5A0937373B11}"/>
    <hyperlink ref="E749" r:id="rId727" xr:uid="{0E703513-62E9-4D0F-AC81-EF66FE141503}"/>
    <hyperlink ref="E750" r:id="rId728" xr:uid="{814C90F0-5610-449C-BD68-EF09BB720555}"/>
    <hyperlink ref="E757" r:id="rId729" xr:uid="{2D8E624E-4C74-432D-9463-C8791A942B68}"/>
    <hyperlink ref="E752" r:id="rId730" xr:uid="{A6DF2721-B320-4CAB-BC9E-6CE967CE5B11}"/>
    <hyperlink ref="E753" r:id="rId731" xr:uid="{F316F79A-1819-44C0-81C1-7EF983234E35}"/>
    <hyperlink ref="E754" r:id="rId732" xr:uid="{4E67ED06-A005-4412-8E7E-1E501940034E}"/>
    <hyperlink ref="E755" r:id="rId733" xr:uid="{1C3396DA-33C8-4E69-8EE0-31EB53AEF370}"/>
    <hyperlink ref="E756" r:id="rId734" xr:uid="{FE95CBC4-62CF-483F-9C81-8E3A4D2C67FF}"/>
    <hyperlink ref="E751" r:id="rId735" xr:uid="{16473A83-06C3-4731-9625-8B5B79B1FBD5}"/>
    <hyperlink ref="E758" r:id="rId736" xr:uid="{15B4156A-3C37-477E-8D9B-0B2FD8C7A829}"/>
    <hyperlink ref="E759" r:id="rId737" xr:uid="{4480B234-3DBD-4756-AF74-604A6418CF2D}"/>
    <hyperlink ref="E1253" r:id="rId738" xr:uid="{3D9789A7-817B-4ED4-B877-287FBB87960A}"/>
    <hyperlink ref="E761" r:id="rId739" xr:uid="{266E2923-818A-4757-B2EF-8A466D7EFD4A}"/>
    <hyperlink ref="E762" r:id="rId740" xr:uid="{0367810B-E8F4-49AF-925D-B59230FDC851}"/>
    <hyperlink ref="E763" r:id="rId741" xr:uid="{BC50BA02-64B1-4671-8698-7E13E319C7BF}"/>
    <hyperlink ref="E764" r:id="rId742" xr:uid="{71F68B1E-E6E7-48EB-80E6-0983797B5B75}"/>
    <hyperlink ref="E765" r:id="rId743" xr:uid="{460E6276-CE0F-4512-8D23-3D556F4C4FEF}"/>
    <hyperlink ref="E766" r:id="rId744" xr:uid="{2A9D7FFC-0C4A-4525-9582-65C3FEC8258D}"/>
    <hyperlink ref="E703" r:id="rId745" xr:uid="{4AA54D7E-0840-44FD-AA1A-23714AC7E7DD}"/>
    <hyperlink ref="E768" r:id="rId746" xr:uid="{1508A182-A189-46FB-8943-1A43F1F5F177}"/>
    <hyperlink ref="E769" r:id="rId747" xr:uid="{6F2208EE-F5DC-4240-BFEB-F214DDAE45E2}"/>
    <hyperlink ref="E770" r:id="rId748" xr:uid="{0A832A34-3CD3-4174-832C-A2C250D27D44}"/>
    <hyperlink ref="E771" r:id="rId749" xr:uid="{86FA3EA7-B8FD-4F66-923A-359E607BF076}"/>
    <hyperlink ref="E772" r:id="rId750" xr:uid="{78E86F74-295D-4925-920E-196F0C31CE28}"/>
    <hyperlink ref="E773" r:id="rId751" xr:uid="{1A6996F3-95B1-4085-A123-786695F5C7CB}"/>
    <hyperlink ref="E774" r:id="rId752" xr:uid="{8CF0E76F-0221-4BC4-B055-FE60E79B99E4}"/>
    <hyperlink ref="E775" r:id="rId753" xr:uid="{2A463F6E-84EE-4EEB-96C4-32920E4F85A9}"/>
    <hyperlink ref="E776" r:id="rId754" xr:uid="{48632138-4B35-45B1-B625-CE513DFDEE41}"/>
    <hyperlink ref="E788" r:id="rId755" xr:uid="{EB962426-3DD5-4900-AB43-6FCF0AA05344}"/>
    <hyperlink ref="E778" r:id="rId756" xr:uid="{E327386A-4FCD-4377-B725-66E57A5B622E}"/>
    <hyperlink ref="E779" r:id="rId757" xr:uid="{9094461A-E80C-4C29-9434-D009FD486DB2}"/>
    <hyperlink ref="E780" r:id="rId758" xr:uid="{A6D43B43-7867-45B8-9C70-580B61F5CA71}"/>
    <hyperlink ref="E781" r:id="rId759" xr:uid="{4ABE4FD2-E100-4D7D-8092-095F1BD5DCC5}"/>
    <hyperlink ref="E782" r:id="rId760" xr:uid="{868D4D32-36C7-42BE-A349-935471A13E8F}"/>
    <hyperlink ref="E783" r:id="rId761" xr:uid="{8D8FA551-846F-46B9-B9DF-6D84BED9DC47}"/>
    <hyperlink ref="E784" r:id="rId762" xr:uid="{3879318C-815E-496B-94ED-95CCEA135C41}"/>
    <hyperlink ref="E785" r:id="rId763" xr:uid="{A87A51DD-2AA7-4A73-A622-935C95D60E4A}"/>
    <hyperlink ref="E786" r:id="rId764" xr:uid="{3D8AE472-AE6B-4C9E-8430-111F679DDB7B}"/>
    <hyperlink ref="E787" r:id="rId765" xr:uid="{C054A3DE-B720-4ABF-A4B1-1A3717D73DBB}"/>
    <hyperlink ref="E767" r:id="rId766" xr:uid="{570C79D1-5998-4FDA-8A5B-56BB81066F5B}"/>
    <hyperlink ref="E760" r:id="rId767" xr:uid="{0DCE4C5D-A3AD-4556-82BB-2BA03040B0CE}"/>
    <hyperlink ref="E777" r:id="rId768" xr:uid="{D46D1363-1898-4F52-9394-B18D592A43B0}"/>
    <hyperlink ref="E791" r:id="rId769" xr:uid="{373D43F5-9E50-4048-B7ED-FFFCD58C8481}"/>
    <hyperlink ref="E792" r:id="rId770" xr:uid="{0CC8ED95-47C4-408A-8D19-00F3B97B5A58}"/>
    <hyperlink ref="E793" r:id="rId771" xr:uid="{17BCD505-9819-4245-BECD-1FCCB9B206A6}"/>
    <hyperlink ref="E794" r:id="rId772" xr:uid="{2A545679-B14D-40F8-BA74-1D6BEBB084BC}"/>
    <hyperlink ref="E795" r:id="rId773" xr:uid="{ADF2BB83-436D-484D-AEDA-2CE22AF62EBE}"/>
    <hyperlink ref="E796" r:id="rId774" xr:uid="{7AF0B3FB-3CAC-4959-B466-D96930F60B14}"/>
    <hyperlink ref="E797" r:id="rId775" xr:uid="{AE9F06EF-FC9B-40A7-86EC-DEAD86DED9DB}"/>
    <hyperlink ref="E1254" r:id="rId776" xr:uid="{389FE564-86E8-431A-9A8E-4B19D8FFE7B3}"/>
    <hyperlink ref="E846" r:id="rId777" xr:uid="{E4DD8BCF-C209-4AB1-AC5B-C6828296A539}"/>
    <hyperlink ref="E800" r:id="rId778" xr:uid="{24608562-39A5-4BF2-8253-1A8482DA4E81}"/>
    <hyperlink ref="E801" r:id="rId779" xr:uid="{3F14EF53-DBE9-4B4B-8FEC-98BAB49EEA39}"/>
    <hyperlink ref="E790" r:id="rId780" xr:uid="{B83E16F5-DEB4-492C-8043-7DA52BC58E5F}"/>
    <hyperlink ref="E803" r:id="rId781" xr:uid="{D17D0136-0285-494A-BEBF-7BFABF7BAEA0}"/>
    <hyperlink ref="E804" r:id="rId782" xr:uid="{C473C335-8009-47FF-B16D-72DA5E8A6410}"/>
    <hyperlink ref="E1255" r:id="rId783" xr:uid="{AAA7544B-3AC4-49AB-A47E-352510CB8BBF}"/>
    <hyperlink ref="E806" r:id="rId784" xr:uid="{735DB830-AAAA-4179-9008-E358D345E334}"/>
    <hyperlink ref="E807" r:id="rId785" xr:uid="{4C8A3307-9970-4A39-BF8D-1CCBE2BFCC8D}"/>
    <hyperlink ref="E808" r:id="rId786" xr:uid="{F1621430-1152-419D-B2EF-04E2C0E8CDBF}"/>
    <hyperlink ref="E809" r:id="rId787" xr:uid="{1368D0CB-6E4F-403C-ABC0-DF095AC4FC25}"/>
    <hyperlink ref="E810" r:id="rId788" xr:uid="{2D04CCA3-AC16-4EED-832E-DD4BCD0F7EE4}"/>
    <hyperlink ref="E811" r:id="rId789" xr:uid="{D8C3774B-427F-4703-BFD5-BB136CDE03F7}"/>
    <hyperlink ref="E812" r:id="rId790" xr:uid="{C0CF55AB-EFFB-4B65-BDC0-44A11FB0F89B}"/>
    <hyperlink ref="E813" r:id="rId791" xr:uid="{C112C6A9-642B-474A-95CB-E9819D55EC4F}"/>
    <hyperlink ref="E815" r:id="rId792" xr:uid="{9643E861-687D-4F24-BE68-DDBDDD88CCEF}"/>
    <hyperlink ref="E816" r:id="rId793" xr:uid="{3A285798-51AE-4CF9-8D5B-E7741C35C8E8}"/>
    <hyperlink ref="E817" r:id="rId794" xr:uid="{54237831-2423-48F7-939C-FD9D374132A1}"/>
    <hyperlink ref="E818" r:id="rId795" xr:uid="{DA2E46F6-2033-4F9C-A3E2-0AF358D7561B}"/>
    <hyperlink ref="E819" r:id="rId796" xr:uid="{3E482C4B-8C39-449E-9825-DDB33C5BAF47}"/>
    <hyperlink ref="E820" r:id="rId797" xr:uid="{50E00564-3D8C-4CDF-93D8-C3D70C80EA3B}"/>
    <hyperlink ref="E821" r:id="rId798" xr:uid="{46A7A576-EC90-42CA-B7A8-4062D1DD6614}"/>
    <hyperlink ref="E822" r:id="rId799" xr:uid="{1CF446E5-762C-4002-8258-9C89340AFAA7}"/>
    <hyperlink ref="E789" r:id="rId800" xr:uid="{AF10A60B-72EC-40B9-BF0E-856E34800D4B}"/>
    <hyperlink ref="E824" r:id="rId801" xr:uid="{4FDF78C1-6CF1-41BF-A61D-EE139A161FC8}"/>
    <hyperlink ref="E825" r:id="rId802" xr:uid="{D5F665CA-5E73-4170-9BB8-801FA2591D75}"/>
    <hyperlink ref="E826" r:id="rId803" xr:uid="{642561F7-0178-4FFE-9E9A-3BD471B51720}"/>
    <hyperlink ref="E827" r:id="rId804" xr:uid="{1735C052-FFEB-46FB-8089-23605A2963B2}"/>
    <hyperlink ref="E828" r:id="rId805" xr:uid="{254AA311-ACD4-458D-B2D3-80E3E8FE2C83}"/>
    <hyperlink ref="E829" r:id="rId806" xr:uid="{56C76ECF-177B-4C98-AD1E-5CA0AB412009}"/>
    <hyperlink ref="E830" r:id="rId807" xr:uid="{E7D52260-D408-4346-BFDA-5897B167DB33}"/>
    <hyperlink ref="E831" r:id="rId808" xr:uid="{802E4B19-0251-4C18-8F9B-5C1BA96613F0}"/>
    <hyperlink ref="E832" r:id="rId809" xr:uid="{F11C8105-3ECE-4876-95D2-D4C6FCC07ABC}"/>
    <hyperlink ref="E833" r:id="rId810" xr:uid="{935FD3E9-557E-40C1-B5D1-728C7340689B}"/>
    <hyperlink ref="E834" r:id="rId811" xr:uid="{B313F05B-C015-453C-A91A-3BD1AADF4704}"/>
    <hyperlink ref="E835" r:id="rId812" xr:uid="{A2316260-9BE0-47FE-82E7-28BF5CD58BCC}"/>
    <hyperlink ref="E836" r:id="rId813" xr:uid="{93CF5ED7-9AB4-45AE-8E17-8457AA788538}"/>
    <hyperlink ref="E837" r:id="rId814" xr:uid="{D874B070-E88D-42FE-92FA-64C0B491028C}"/>
    <hyperlink ref="E838" r:id="rId815" xr:uid="{22527D06-F779-4059-B638-65AFA3C0BD98}"/>
    <hyperlink ref="E839" r:id="rId816" xr:uid="{114FE7F7-D5FC-4F4F-AAD4-0D2BB265250C}"/>
    <hyperlink ref="E840" r:id="rId817" xr:uid="{8C0A706A-C91C-4A1E-8C4E-728D5703FFE3}"/>
    <hyperlink ref="E841" r:id="rId818" xr:uid="{3670B126-CE19-4E11-BCB1-520DECB65CF4}"/>
    <hyperlink ref="E1256" r:id="rId819" xr:uid="{0822FEF1-9D87-4EB1-B1E1-BD75CC118CB7}"/>
    <hyperlink ref="E843" r:id="rId820" xr:uid="{28E12A26-0EB8-4B31-A15D-964CFC94208C}"/>
    <hyperlink ref="E845" r:id="rId821" xr:uid="{3E111F15-72AD-4109-B8ED-9269999DA7DA}"/>
    <hyperlink ref="E799" r:id="rId822" xr:uid="{F6AF742C-C66F-485B-AFB9-81FD73D41F87}"/>
    <hyperlink ref="E802" r:id="rId823" xr:uid="{704B1BDF-6400-4828-AD5C-36A57D129F85}"/>
    <hyperlink ref="E847" r:id="rId824" xr:uid="{CB617D4D-CCE6-42F7-A4E4-FB9837B0334A}"/>
    <hyperlink ref="E848" r:id="rId825" xr:uid="{FB0FE46F-61C7-4B41-AEB5-16826161E25E}"/>
    <hyperlink ref="E849" r:id="rId826" xr:uid="{EABC30F8-830D-4467-A853-65D9D03B72D4}"/>
    <hyperlink ref="E850" r:id="rId827" xr:uid="{14FB082B-3866-4A62-BCCC-9DA678CD9F01}"/>
    <hyperlink ref="E851" r:id="rId828" xr:uid="{F6FC6495-3AC2-43C6-A9A4-EDA00E2645EA}"/>
    <hyperlink ref="E852" r:id="rId829" xr:uid="{78C395C0-737D-4734-99CE-8EE740D245D3}"/>
    <hyperlink ref="E853" r:id="rId830" xr:uid="{33523744-F795-4751-AEBB-B50681F6D874}"/>
    <hyperlink ref="E854" r:id="rId831" xr:uid="{2852A3A2-6690-47DD-AB1B-0E729A0F6278}"/>
    <hyperlink ref="E855" r:id="rId832" xr:uid="{CD0B3402-DCF9-474B-888C-23F1FA07909C}"/>
    <hyperlink ref="E856" r:id="rId833" xr:uid="{6F42EC5D-F7A8-4AB1-96BB-B799D51B46B1}"/>
    <hyperlink ref="E857" r:id="rId834" xr:uid="{149AC4B8-5F88-4CF3-A2B8-268977A7CDB2}"/>
    <hyperlink ref="E858" r:id="rId835" xr:uid="{BE8B1B88-8983-4DC9-B89E-13F3FDF5D7B0}"/>
    <hyperlink ref="E859" r:id="rId836" xr:uid="{E690EBAA-D386-49C7-BE8F-4AB96E6A3B25}"/>
    <hyperlink ref="E860" r:id="rId837" xr:uid="{93E6D047-5660-4B58-97DB-3B576BA15C77}"/>
    <hyperlink ref="E861" r:id="rId838" xr:uid="{3C3240B8-74A8-4A5A-A5D3-6D3921735AE7}"/>
    <hyperlink ref="E1257" r:id="rId839" xr:uid="{CC8D20B7-F322-43E5-B9AD-D47BEB88FD9B}"/>
    <hyperlink ref="E1258" r:id="rId840" xr:uid="{88F2EFBA-A0B1-4787-BD4C-6030C22184E4}"/>
    <hyperlink ref="E864" r:id="rId841" xr:uid="{1B851DE1-C785-4D80-B86E-E62650972AD7}"/>
    <hyperlink ref="E865" r:id="rId842" xr:uid="{3BDB1BD6-BCD6-4433-A0D2-1DFBB511E46D}"/>
    <hyperlink ref="E1259" r:id="rId843" xr:uid="{E0FE2ED5-91AA-4D5B-90B2-F658D128D843}"/>
    <hyperlink ref="E1260" r:id="rId844" xr:uid="{A9B3CAF3-449A-428D-9CB0-4808B3E2EC58}"/>
    <hyperlink ref="E868" r:id="rId845" xr:uid="{CC2D37FF-9249-4355-9915-B7D4D47306A4}"/>
    <hyperlink ref="E869" r:id="rId846" xr:uid="{65951022-89D0-484A-9439-52DF7E1B3C70}"/>
    <hyperlink ref="E870" r:id="rId847" xr:uid="{EF5C9399-7C5D-4867-838D-2355915DB6DE}"/>
    <hyperlink ref="E871" r:id="rId848" xr:uid="{CF8A456A-6835-4AE8-8941-32D3A4DC7789}"/>
    <hyperlink ref="E872" r:id="rId849" xr:uid="{3A682C0A-9017-4E35-8C6C-470CF70A1BBF}"/>
    <hyperlink ref="E873" r:id="rId850" xr:uid="{9BF7C685-FB85-4E8F-9DD4-2CB808A46299}"/>
    <hyperlink ref="E874" r:id="rId851" xr:uid="{33A87337-492C-45D6-B3BC-C3EB86BC99BF}"/>
    <hyperlink ref="E1261" r:id="rId852" xr:uid="{E9FE9D6B-9F31-4DEE-B849-7AF02E301869}"/>
    <hyperlink ref="E876" r:id="rId853" xr:uid="{EE26B76C-92A9-4824-AF47-FA1496E9DC2D}"/>
    <hyperlink ref="E877" r:id="rId854" xr:uid="{82567B38-1B04-4AD0-81AE-FF564690032B}"/>
    <hyperlink ref="E878" r:id="rId855" xr:uid="{60C31F6B-B30B-4B66-BD44-3B1482B92156}"/>
    <hyperlink ref="E879" r:id="rId856" xr:uid="{79E83F70-F539-4A99-B57C-B205B96C61EA}"/>
    <hyperlink ref="E1262" r:id="rId857" xr:uid="{C12BA1B6-4244-488F-953B-66C8B746AA28}"/>
    <hyperlink ref="E1264" r:id="rId858" xr:uid="{362012D0-CD0A-4CA9-BEF4-C9927D714C48}"/>
    <hyperlink ref="E882" r:id="rId859" xr:uid="{9144D8D1-9D3D-4329-98F3-490F1569152F}"/>
    <hyperlink ref="E883" r:id="rId860" xr:uid="{F22991A8-24D6-4BCE-9579-CF10CD9EA38F}"/>
    <hyperlink ref="E884" r:id="rId861" xr:uid="{89A61D3A-1D9F-4BF9-984A-0901D2FD0A05}"/>
    <hyperlink ref="E885" r:id="rId862" xr:uid="{481DE03C-2425-4149-B3B2-0A280D768C55}"/>
    <hyperlink ref="E886" r:id="rId863" xr:uid="{E22ED0DD-FB95-4849-AC1F-003F5E209ACC}"/>
    <hyperlink ref="E887" r:id="rId864" xr:uid="{789A0C8A-02C1-4082-AE7C-733AE3DAC5C6}"/>
    <hyperlink ref="E842" r:id="rId865" xr:uid="{ED1FE89C-86C6-4B8B-8ED4-CB667D071CED}"/>
    <hyperlink ref="E889" r:id="rId866" xr:uid="{FAF25599-25CF-4145-9EA7-6C01FBB4C1D4}"/>
    <hyperlink ref="E890" r:id="rId867" xr:uid="{B8F433A8-8E63-4F3C-9B13-9C164D08E48E}"/>
    <hyperlink ref="E891" r:id="rId868" xr:uid="{204D39CF-C400-4CF6-9234-02D5A40D52E0}"/>
    <hyperlink ref="E892" r:id="rId869" xr:uid="{FDC6BECD-7BF2-45DF-8386-6D8CC7A5B794}"/>
    <hyperlink ref="E893" r:id="rId870" xr:uid="{800971B0-AB52-417F-B426-88956BBF20BE}"/>
    <hyperlink ref="E894" r:id="rId871" xr:uid="{BA7607F3-F7C4-463C-9B8C-7BF80365F34E}"/>
    <hyperlink ref="E895" r:id="rId872" xr:uid="{BD492CA7-9D50-4740-8C27-7FA58F7D09D3}"/>
    <hyperlink ref="E896" r:id="rId873" xr:uid="{D7336595-07AF-468A-8E84-F835055B3034}"/>
    <hyperlink ref="E897" r:id="rId874" xr:uid="{93F41EA9-C161-4BA1-85A4-6F29B8D5B7E7}"/>
    <hyperlink ref="E898" r:id="rId875" xr:uid="{6F4A5821-D2A0-4DBC-BE7A-CA123C2F0FF7}"/>
    <hyperlink ref="E823" r:id="rId876" xr:uid="{E07A8A7F-D99C-41F0-8FC6-B02EA32EEF6F}"/>
    <hyperlink ref="E900" r:id="rId877" xr:uid="{1A7AD68B-BA68-4B9B-A2CC-9E4CCCBE8DAB}"/>
    <hyperlink ref="E901" r:id="rId878" xr:uid="{AE46598A-F2D3-48B3-AA83-4405E10F81B4}"/>
    <hyperlink ref="E902" r:id="rId879" xr:uid="{29280F93-7814-45D0-85B0-7817FD0D0CFA}"/>
    <hyperlink ref="E903" r:id="rId880" xr:uid="{535BF610-93B2-4205-94C0-59C70B1F7CC2}"/>
    <hyperlink ref="E904" r:id="rId881" xr:uid="{A970BEE9-216C-4F8F-81A1-BF6719F64004}"/>
    <hyperlink ref="E905" r:id="rId882" xr:uid="{F0F1754F-DC0F-4B07-B373-2A2C7F70993B}"/>
    <hyperlink ref="E906" r:id="rId883" xr:uid="{45AD2B52-8864-43E1-8DF9-8D2506C16FE5}"/>
    <hyperlink ref="E907" r:id="rId884" xr:uid="{75262574-275D-40D9-BB1E-053B86E7A985}"/>
    <hyperlink ref="E908" r:id="rId885" xr:uid="{3D3BE8E5-A528-4DBC-9EC4-F7FFD820DBA4}"/>
    <hyperlink ref="E805" r:id="rId886" xr:uid="{A9D67854-1E79-43B4-B90B-9E6C539B9F8F}"/>
    <hyperlink ref="E798" r:id="rId887" xr:uid="{688B4B2E-38A5-4F33-B082-BB2DADC44ADF}"/>
    <hyperlink ref="E911" r:id="rId888" xr:uid="{05ACE642-2CE0-4708-8EEC-F6FDF89F22E5}"/>
    <hyperlink ref="E912" r:id="rId889" xr:uid="{038D749D-2C8A-48E6-AA87-0C6B7FA4D0F0}"/>
    <hyperlink ref="E913" r:id="rId890" xr:uid="{EA08C1CF-A46B-49A2-935E-33626A7C6831}"/>
    <hyperlink ref="E914" r:id="rId891" xr:uid="{2A38AB92-D956-42F7-85DB-D72A7D777703}"/>
    <hyperlink ref="E915" r:id="rId892" xr:uid="{A4AE4751-E600-448E-8DF3-21F8F5D6602C}"/>
    <hyperlink ref="E916" r:id="rId893" xr:uid="{79E7B152-0701-4DF7-9015-BA457C1276C3}"/>
    <hyperlink ref="E917" r:id="rId894" xr:uid="{2C15DC85-C04C-4A42-87DC-DE86E51B8230}"/>
    <hyperlink ref="E918" r:id="rId895" xr:uid="{33A62A5D-7E93-43A0-A99A-083DD0B882B2}"/>
    <hyperlink ref="E919" r:id="rId896" xr:uid="{172F8F4C-BF90-4C26-9F26-947A982CFC98}"/>
    <hyperlink ref="E920" r:id="rId897" xr:uid="{7D8B1EDB-6EAC-4189-9B8E-6EBD0973D596}"/>
    <hyperlink ref="E921" r:id="rId898" xr:uid="{F969F082-6A6A-45A3-BF88-0C67D4460E05}"/>
    <hyperlink ref="E922" r:id="rId899" xr:uid="{3EB11393-B836-406C-8545-FC049548F43A}"/>
    <hyperlink ref="E923" r:id="rId900" xr:uid="{1FB7FE6C-0494-400B-B66E-EC1F6F2DB721}"/>
    <hyperlink ref="E924" r:id="rId901" xr:uid="{F0490609-04D4-4682-B987-E75462825D89}"/>
    <hyperlink ref="E925" r:id="rId902" xr:uid="{E10C41A5-86C6-49B1-AA76-E31F2521959D}"/>
    <hyperlink ref="E1265" r:id="rId903" xr:uid="{01B97BDB-B321-4478-8AD2-A2A3E2956361}"/>
    <hyperlink ref="E927" r:id="rId904" xr:uid="{62E64C3B-7F97-4CA9-B153-1641FAA0BDF0}"/>
    <hyperlink ref="E928" r:id="rId905" xr:uid="{80BA1504-2F80-4F3E-9905-051DA35459B8}"/>
    <hyperlink ref="E929" r:id="rId906" xr:uid="{3B8C69DD-5CA6-4797-8FA3-E06DD8D931F0}"/>
    <hyperlink ref="E930" r:id="rId907" xr:uid="{1174D30F-143D-4219-A6CF-A8CF93D25790}"/>
    <hyperlink ref="E931" r:id="rId908" xr:uid="{601BC422-4E47-47A3-921E-64DE23C5A7A7}"/>
    <hyperlink ref="E1266" r:id="rId909" xr:uid="{6475703F-B7B9-4BEE-A647-E0C2CA16EB2C}"/>
    <hyperlink ref="E933" r:id="rId910" xr:uid="{53E6CE54-6FAD-4AA0-BEEA-81C9D25C9486}"/>
    <hyperlink ref="E934" r:id="rId911" xr:uid="{7C1A7C5B-CE49-4566-B1E4-E4D44ECCF035}"/>
    <hyperlink ref="E935" r:id="rId912" xr:uid="{75DC0A88-99DC-4B96-B9C2-E2A3F6B35D7C}"/>
    <hyperlink ref="E936" r:id="rId913" xr:uid="{083CFA3F-1977-478F-9BFC-087E8593D73D}"/>
    <hyperlink ref="E937" r:id="rId914" xr:uid="{E476D1B3-DFBD-4E07-9638-65223A6F35B7}"/>
    <hyperlink ref="E938" r:id="rId915" xr:uid="{2BC56042-3695-4D0B-8546-9E08D38E0F3F}"/>
    <hyperlink ref="E1267" r:id="rId916" xr:uid="{B8E59C8C-E74D-448A-AF4C-2D3AC231D34F}"/>
    <hyperlink ref="E940" r:id="rId917" xr:uid="{F17BAEE0-0B17-4CCE-A22A-CAFF85051A1A}"/>
    <hyperlink ref="E1268" r:id="rId918" xr:uid="{10DEDCD3-FD6C-44E7-85AE-D966959F60BA}"/>
    <hyperlink ref="E942" r:id="rId919" xr:uid="{3A52B193-233D-41E7-9F41-58DD47505BEC}"/>
    <hyperlink ref="E943" r:id="rId920" xr:uid="{31221FB4-2687-4548-AC7F-DFABA37B35FB}"/>
    <hyperlink ref="E944" r:id="rId921" xr:uid="{6CA35190-C2A3-423C-BD67-3D0C5F3A24F5}"/>
    <hyperlink ref="E945" r:id="rId922" xr:uid="{718D8916-8DBF-4C5C-A790-F56A0D7184F5}"/>
    <hyperlink ref="E946" r:id="rId923" xr:uid="{5AA5B3F5-0271-441D-B46A-482543A9C333}"/>
    <hyperlink ref="E947" r:id="rId924" xr:uid="{D14DE84E-2D37-4374-8FDD-4AF73CC73070}"/>
    <hyperlink ref="E1269" r:id="rId925" xr:uid="{EA2B0107-7909-4030-B369-214BA085C003}"/>
    <hyperlink ref="E949" r:id="rId926" xr:uid="{F0C77383-A62B-4204-A9C5-45E5C41B2863}"/>
    <hyperlink ref="E950" r:id="rId927" xr:uid="{298F882C-1120-4FF7-8B27-2BDD88F700EA}"/>
    <hyperlink ref="E951" r:id="rId928" xr:uid="{7B1F4978-1EBC-4739-9BA5-03FD9810683E}"/>
    <hyperlink ref="E952" r:id="rId929" xr:uid="{24DA3011-A4AD-4F7D-9E6C-F661C069B0D7}"/>
    <hyperlink ref="E1270" r:id="rId930" xr:uid="{E0311805-65B1-4448-BBB0-62667587578C}"/>
    <hyperlink ref="E954" r:id="rId931" xr:uid="{6BB1B967-73A8-4278-9E26-823FC85B04CD}"/>
    <hyperlink ref="E955" r:id="rId932" xr:uid="{BCC1395B-EC6B-4308-8E3E-0D70B9651E70}"/>
    <hyperlink ref="E956" r:id="rId933" xr:uid="{55C689B5-A288-4021-A622-1A7DAF767E90}"/>
    <hyperlink ref="E957" r:id="rId934" xr:uid="{93B8EB11-9357-48A7-AD07-3B91F0F551A5}"/>
    <hyperlink ref="E1271" r:id="rId935" xr:uid="{14B96741-1412-41DE-8ECA-0F30D26552E1}"/>
    <hyperlink ref="E959" r:id="rId936" xr:uid="{7D9EFF04-8B91-4567-A049-AE278494FD5A}"/>
    <hyperlink ref="E960" r:id="rId937" xr:uid="{3B60BEF8-583C-4790-ADF3-26E2F731D298}"/>
    <hyperlink ref="E961" r:id="rId938" xr:uid="{AD46F4FA-38EA-4274-AAF5-F35827605333}"/>
    <hyperlink ref="E962" r:id="rId939" xr:uid="{DD3378AB-BADC-40B0-BFCE-701248A2A247}"/>
    <hyperlink ref="E963" r:id="rId940" xr:uid="{38F53E89-1DF3-416E-A704-882038F5F2E5}"/>
    <hyperlink ref="E880" r:id="rId941" xr:uid="{266D396A-47FE-4F47-9722-C60D7754CF9D}"/>
    <hyperlink ref="E965" r:id="rId942" xr:uid="{4316A9B1-F40E-479D-BF3F-B79FBA565B5E}"/>
    <hyperlink ref="E966" r:id="rId943" xr:uid="{01EF0F34-3C76-4B66-8F13-6090B6176A5A}"/>
    <hyperlink ref="E875" r:id="rId944" xr:uid="{E44354FD-C115-409E-9896-827B30050ECD}"/>
    <hyperlink ref="E968" r:id="rId945" xr:uid="{112302F0-FBC0-4C0A-9844-F223B5820155}"/>
    <hyperlink ref="E969" r:id="rId946" xr:uid="{70D42D87-769C-4ABF-9D77-46C32A7200B6}"/>
    <hyperlink ref="E867" r:id="rId947" xr:uid="{6B7D2CC7-6160-4C3C-8FCE-DB6EDC0E9A5B}"/>
    <hyperlink ref="E866" r:id="rId948" xr:uid="{DEFA9E07-8BCD-457E-9829-C5611B2A6E3C}"/>
    <hyperlink ref="E863" r:id="rId949" xr:uid="{68F179E7-E19A-41E3-91C7-19A85A5CC851}"/>
    <hyperlink ref="E973" r:id="rId950" xr:uid="{8554A607-BE12-400C-8933-0FC1A9E59CB2}"/>
    <hyperlink ref="E862" r:id="rId951" xr:uid="{24EDCB07-4387-4F2C-8CCA-D7EC607CCCD4}"/>
    <hyperlink ref="E975" r:id="rId952" xr:uid="{D5FD593B-DAB8-4F75-87E9-F35496422072}"/>
    <hyperlink ref="E844" r:id="rId953" xr:uid="{7FBB6A14-9967-4043-91B1-673C1FF2F333}"/>
    <hyperlink ref="E977" r:id="rId954" xr:uid="{FBD969B8-19D0-4D4A-A13E-A0DA19CE6CCA}"/>
    <hyperlink ref="E978" r:id="rId955" xr:uid="{4AC43E80-0D75-40A1-9195-8E87C096A937}"/>
    <hyperlink ref="E979" r:id="rId956" xr:uid="{43A9A92A-5A1A-4BE3-B2AF-9290D2C7567E}"/>
    <hyperlink ref="E980" r:id="rId957" xr:uid="{CA80CC9B-23B3-4BD5-A943-ABCBF14AAF5B}"/>
    <hyperlink ref="E981" r:id="rId958" xr:uid="{05E67E95-563C-410B-BDBA-DB8F43326117}"/>
    <hyperlink ref="E982" r:id="rId959" xr:uid="{624F784D-0671-406C-9B18-DE94BD97E5D1}"/>
    <hyperlink ref="E983" r:id="rId960" xr:uid="{A6938860-2523-4433-9163-4C3EA8EA9959}"/>
    <hyperlink ref="E984" r:id="rId961" xr:uid="{0FE655B3-3B05-4E9A-9D5D-0F1B730537CD}"/>
    <hyperlink ref="E985" r:id="rId962" xr:uid="{967780C7-0FA3-4EEC-BAF3-9932A6F375AE}"/>
    <hyperlink ref="E986" r:id="rId963" xr:uid="{93EBEA5E-FAA9-4F5E-BCB3-099DB3AD795C}"/>
    <hyperlink ref="E987" r:id="rId964" xr:uid="{3868D996-1B9B-4E53-AB76-AFBA465FC779}"/>
    <hyperlink ref="E988" r:id="rId965" xr:uid="{F455685D-5D91-4B6A-9026-5629F855B503}"/>
    <hyperlink ref="E989" r:id="rId966" xr:uid="{D1B00E78-A7AD-424D-A2A8-A9F1837F0681}"/>
    <hyperlink ref="E990" r:id="rId967" xr:uid="{49EAF25F-B281-4E5D-A243-8C074E246CD3}"/>
    <hyperlink ref="E991" r:id="rId968" xr:uid="{2A571B9A-657D-43C1-8E33-421B620032AD}"/>
    <hyperlink ref="E992" r:id="rId969" xr:uid="{0C04AE4E-0849-48C5-841A-30AB386F16E2}"/>
    <hyperlink ref="E993" r:id="rId970" xr:uid="{8BABC4A1-B291-4265-B3A1-1F1B3C800C67}"/>
    <hyperlink ref="E994" r:id="rId971" xr:uid="{0A137266-AA25-4BE0-B4D6-BA387BF2E964}"/>
    <hyperlink ref="E995" r:id="rId972" xr:uid="{92EE6B63-5D87-481F-9DBE-76206F898764}"/>
    <hyperlink ref="E996" r:id="rId973" xr:uid="{A2971661-971B-4B82-82FD-8E002E37B5D5}"/>
    <hyperlink ref="E997" r:id="rId974" xr:uid="{AD895FEA-3529-4DDE-A2C8-9CFC35336C0A}"/>
    <hyperlink ref="E998" r:id="rId975" xr:uid="{F9ED848F-64FE-47B6-9725-DB41110E25F4}"/>
    <hyperlink ref="E999" r:id="rId976" xr:uid="{5B7A4B02-A88E-44AF-A0B7-E03E510ECE0A}"/>
    <hyperlink ref="E1272" r:id="rId977" xr:uid="{C4814F2A-79D8-40F3-9963-BC312F039668}"/>
    <hyperlink ref="E1001" r:id="rId978" xr:uid="{FA52488D-E9B5-4CCE-9CAF-F4645124E22F}"/>
    <hyperlink ref="E1273" r:id="rId979" xr:uid="{68C9379A-0060-4701-BB41-A58DF367E69D}"/>
    <hyperlink ref="E1003" r:id="rId980" xr:uid="{51CB929B-C4A1-4468-86A8-1433ACE7795B}"/>
    <hyperlink ref="E1274" r:id="rId981" xr:uid="{AF41DFD9-1091-4D12-9961-86081F9110CC}"/>
    <hyperlink ref="E1005" r:id="rId982" xr:uid="{9DB3202D-E1FB-466C-9E94-5DF7F0EDD2FC}"/>
    <hyperlink ref="E1275" r:id="rId983" xr:uid="{8910F4CE-E8CB-4296-BE70-79317B1CEC8B}"/>
    <hyperlink ref="E1007" r:id="rId984" xr:uid="{36AC7176-6519-476C-AF81-048F51EC964A}"/>
    <hyperlink ref="E1008" r:id="rId985" xr:uid="{EDFEEB1D-1B19-4BCE-9498-B396F8842BBD}"/>
    <hyperlink ref="E1009" r:id="rId986" xr:uid="{FCF86CFA-B698-420A-BF45-8C2460A93CFA}"/>
    <hyperlink ref="E1010" r:id="rId987" xr:uid="{F22B25DE-236F-4E9F-8AC3-1E36BE248415}"/>
    <hyperlink ref="E1276" r:id="rId988" xr:uid="{20503309-7CCE-454C-9188-43235351CF99}"/>
    <hyperlink ref="E1012" r:id="rId989" xr:uid="{D47B5E25-171A-461E-A0B5-9906BD09E2D0}"/>
    <hyperlink ref="E1013" r:id="rId990" xr:uid="{E8E6F9EF-2272-4836-9702-3950E0F3D92B}"/>
    <hyperlink ref="E1014" r:id="rId991" xr:uid="{4E36B4AC-3453-4122-8A7C-ACCF63DEE5CF}"/>
    <hyperlink ref="E1015" r:id="rId992" xr:uid="{C1A8397F-7745-4D61-8D19-6A59FC9276C2}"/>
    <hyperlink ref="E1016" r:id="rId993" xr:uid="{75988CB4-88CD-4C31-9D80-3EA2FFE706BA}"/>
    <hyperlink ref="E1017" r:id="rId994" xr:uid="{4963828F-7A4B-45E1-921A-4404841B71E6}"/>
    <hyperlink ref="E1018" r:id="rId995" xr:uid="{02515EF1-32E8-42B8-AAC5-DE133749FB59}"/>
    <hyperlink ref="E1019" r:id="rId996" xr:uid="{F4149D94-1D43-4039-9016-1DBA26C3D301}"/>
    <hyperlink ref="E1020" r:id="rId997" xr:uid="{B3EABF11-AD96-4509-A7AC-6A40D8C5EF39}"/>
    <hyperlink ref="E1021" r:id="rId998" xr:uid="{1F58D833-C914-4DFB-8FEC-B3D5DA7605E4}"/>
    <hyperlink ref="E1277" r:id="rId999" xr:uid="{C707A1C6-75D9-4783-B0D1-36C9C01F006B}"/>
    <hyperlink ref="E1278" r:id="rId1000" xr:uid="{4CE38358-ED36-4C24-9E46-E054BC5B6FB0}"/>
    <hyperlink ref="E1024" r:id="rId1001" xr:uid="{FFDD6018-BAF8-461C-8ED9-A123ABDC8048}"/>
    <hyperlink ref="E1025" r:id="rId1002" xr:uid="{B317B93D-AA70-4889-A179-43EFC448D0B7}"/>
    <hyperlink ref="E1026" r:id="rId1003" xr:uid="{B53E5545-0275-42AC-9F96-0B83C90E1D9B}"/>
    <hyperlink ref="E1027" r:id="rId1004" xr:uid="{AFB9AB94-4161-414E-ABB4-7461514C71A6}"/>
    <hyperlink ref="E1028" r:id="rId1005" xr:uid="{4F2226A0-4E75-4EFE-8B53-7BBEC3ED6BB6}"/>
    <hyperlink ref="E1029" r:id="rId1006" xr:uid="{03F6C33A-CE1B-44A9-9F17-AE601947C6B4}"/>
    <hyperlink ref="E1030" r:id="rId1007" xr:uid="{402461FB-0868-4D66-B65A-2D8495A9283E}"/>
    <hyperlink ref="E1031" r:id="rId1008" xr:uid="{854A2BE6-0207-438D-A7DF-EF445B679E49}"/>
    <hyperlink ref="E1032" r:id="rId1009" xr:uid="{BCAA7C54-42BD-49BC-99F7-4AB083399A04}"/>
    <hyperlink ref="E909" r:id="rId1010" xr:uid="{13392510-7A07-4560-B38F-6303AB0E2280}"/>
    <hyperlink ref="E1034" r:id="rId1011" xr:uid="{D4F02EFD-71FF-4DA8-98EE-707708A3082E}"/>
    <hyperlink ref="E899" r:id="rId1012" xr:uid="{F5FFDEC8-1D12-420F-BD21-6C898DD45D22}"/>
    <hyperlink ref="E888" r:id="rId1013" xr:uid="{31CC263A-1F4E-40A9-8954-616902C8762F}"/>
    <hyperlink ref="E1037" r:id="rId1014" xr:uid="{3A8C14F2-2864-4BFD-B422-F474BDD95B79}"/>
    <hyperlink ref="E1038" r:id="rId1015" xr:uid="{D9560030-48AE-4035-8BB9-E0A8907AE304}"/>
    <hyperlink ref="E1039" r:id="rId1016" xr:uid="{2277C5BC-B93D-4F43-8647-1AD3E9605F47}"/>
    <hyperlink ref="E1040" r:id="rId1017" xr:uid="{CC90329C-B31D-4319-8EC4-9B03CCB69F90}"/>
    <hyperlink ref="E1041" r:id="rId1018" xr:uid="{8955E181-0C33-448F-9013-EAB0BE90E38F}"/>
    <hyperlink ref="E881" r:id="rId1019" xr:uid="{AB252774-11C1-4EFD-9E76-B9C7404DB687}"/>
    <hyperlink ref="E1043" r:id="rId1020" xr:uid="{D4486F75-CDCD-4FE0-8B54-744B7AA0A2AD}"/>
    <hyperlink ref="E1044" r:id="rId1021" xr:uid="{F50D1C3E-E1E1-45C3-8A7F-445F30C580FC}"/>
    <hyperlink ref="E1045" r:id="rId1022" xr:uid="{4ACE0AD2-41D1-4311-8612-C9A48893E8A9}"/>
    <hyperlink ref="E1046" r:id="rId1023" xr:uid="{64DB5A79-904A-48FA-94E6-37BF863453DB}"/>
    <hyperlink ref="E1047" r:id="rId1024" xr:uid="{32EB46F6-A1DE-43A8-90FA-A51D284F54C9}"/>
    <hyperlink ref="E1279" r:id="rId1025" xr:uid="{CC29F40F-E4F3-4B48-8EBA-833B30745CCC}"/>
    <hyperlink ref="E1049" r:id="rId1026" xr:uid="{40E3291C-5540-4E5B-BBE2-BC6E2D602C81}"/>
    <hyperlink ref="E1281" r:id="rId1027" xr:uid="{D3E8C58E-974A-461E-9C6C-4B966661316C}"/>
    <hyperlink ref="E1051" r:id="rId1028" xr:uid="{BFDFCF9A-0FBB-4347-B7DC-8BDE1C094A3B}"/>
    <hyperlink ref="E1282" r:id="rId1029" xr:uid="{D0B489B2-80AD-4EE0-92B5-EE8B39173904}"/>
    <hyperlink ref="E1053" r:id="rId1030" xr:uid="{08DBDA72-FD8F-46C2-ACEA-A0F7FBFAC8BE}"/>
    <hyperlink ref="E1283" r:id="rId1031" xr:uid="{635FA089-BC08-43FF-A98E-1E3DA7AD2862}"/>
    <hyperlink ref="E1055" r:id="rId1032" xr:uid="{6FAE414D-3BC4-40AB-9180-641FAC48662B}"/>
    <hyperlink ref="E1056" r:id="rId1033" xr:uid="{9A49F4C6-02BC-4A7D-B4E6-380365C71FF6}"/>
    <hyperlink ref="E1057" r:id="rId1034" xr:uid="{8CB14F7F-8408-4410-A0E5-DF3FCA56D6FC}"/>
    <hyperlink ref="E1284" r:id="rId1035" xr:uid="{DBEB8B32-CFEE-4550-A0B7-B0C9D8913375}"/>
    <hyperlink ref="E1059" r:id="rId1036" xr:uid="{DAD1C5B5-089A-4F43-872A-5E0F07959F3B}"/>
    <hyperlink ref="E1285" r:id="rId1037" xr:uid="{8B3EF9B6-8084-49F4-9B06-AFA8149D67BC}"/>
    <hyperlink ref="E1061" r:id="rId1038" xr:uid="{8AE7750B-7291-4513-8A26-553BE3192EF3}"/>
    <hyperlink ref="E1286" r:id="rId1039" xr:uid="{97D32750-AB8A-4EAE-A888-CF71EF0D0241}"/>
    <hyperlink ref="E1287" r:id="rId1040" xr:uid="{039BFF56-FBD4-4BE9-B6A9-8FE8E0AE8709}"/>
    <hyperlink ref="E1288" r:id="rId1041" xr:uid="{1D1FB8D2-2A50-416B-A05D-B48AB9C644C9}"/>
    <hyperlink ref="E1065" r:id="rId1042" xr:uid="{54E6F7F9-65FE-4BDA-9207-8EA8A6DE81F0}"/>
    <hyperlink ref="E1289" r:id="rId1043" xr:uid="{3447D2E1-AFF5-4AA1-8EF4-D4194655267A}"/>
    <hyperlink ref="E1067" r:id="rId1044" xr:uid="{03AF42C5-924A-4BF1-BDF7-57961AB8687B}"/>
    <hyperlink ref="E1068" r:id="rId1045" xr:uid="{D787CEED-3353-49B7-B2EF-CE2C994EC733}"/>
    <hyperlink ref="E1290" r:id="rId1046" xr:uid="{60E4A599-F3BC-43F6-A236-047D7D165F4C}"/>
    <hyperlink ref="E1291" r:id="rId1047" xr:uid="{A6080D44-594E-48FD-B376-6090B6A84411}"/>
    <hyperlink ref="E1071" r:id="rId1048" xr:uid="{A8D7F1A6-BE25-4498-A4E3-9D0CE092CB66}"/>
    <hyperlink ref="E1072" r:id="rId1049" xr:uid="{722F9C3B-AF3F-469C-AF63-3972F055D9DA}"/>
    <hyperlink ref="E1073" r:id="rId1050" xr:uid="{EE7B69D0-5C0C-4B69-AE14-3F8AA94BB855}"/>
    <hyperlink ref="E1292" r:id="rId1051" xr:uid="{9B2C7124-AC89-414A-9212-C11220D15FB5}"/>
    <hyperlink ref="E1293" r:id="rId1052" xr:uid="{76AA63AF-7062-487C-BFB8-473D3AD083D4}"/>
    <hyperlink ref="E1294" r:id="rId1053" xr:uid="{2ABDF2C7-2BBA-4070-9B4F-5497955D90C2}"/>
    <hyperlink ref="E964" r:id="rId1054" xr:uid="{D2F3F743-D385-4E16-8772-9CF30C896DD7}"/>
    <hyperlink ref="E958" r:id="rId1055" xr:uid="{C0133D45-DE49-4AC1-A6D2-2848C0F6E6B6}"/>
    <hyperlink ref="E953" r:id="rId1056" xr:uid="{B77CC277-3447-415E-8263-6096E6A8DDFE}"/>
    <hyperlink ref="E1080" r:id="rId1057" xr:uid="{FDB918C5-63CA-4E19-A793-A52DCA6644BD}"/>
    <hyperlink ref="E1081" r:id="rId1058" xr:uid="{A8868B62-D2E8-493A-A621-F3E52334E8DA}"/>
    <hyperlink ref="E1082" r:id="rId1059" xr:uid="{7C9603E1-C0D6-4D4E-BEA1-3EB9106F5742}"/>
    <hyperlink ref="E1064" r:id="rId1060" xr:uid="{53158609-667C-4EC2-BAC0-8920115EED67}"/>
    <hyperlink ref="E948" r:id="rId1061" xr:uid="{E05D6A08-E59F-4954-BFA4-822E7FDCF833}"/>
    <hyperlink ref="E941" r:id="rId1062" xr:uid="{96075DCB-9AAE-4073-B402-892E38B65D0B}"/>
    <hyperlink ref="E1086" r:id="rId1063" xr:uid="{DFDA2170-536A-48FC-9CE5-0047D74D5578}"/>
    <hyperlink ref="E1087" r:id="rId1064" xr:uid="{B3D90FD3-69CD-40F0-B2A6-62E5D66F6C6D}"/>
    <hyperlink ref="E1088" r:id="rId1065" xr:uid="{DEA7C7E9-630E-4244-9A72-6C7017119E35}"/>
    <hyperlink ref="E926" r:id="rId1066" xr:uid="{E20FF4BE-1622-4053-A0C7-71915451D5B6}"/>
    <hyperlink ref="E939" r:id="rId1067" xr:uid="{C20D5D33-C70B-456B-8580-71E50AD5035B}"/>
    <hyperlink ref="E932" r:id="rId1068" xr:uid="{DE18F763-9D69-4C8F-8DD6-0978F3515101}"/>
    <hyperlink ref="E1092" r:id="rId1069" xr:uid="{6860649F-C907-48B9-94CF-E0553466EA23}"/>
    <hyperlink ref="E910" r:id="rId1070" xr:uid="{B691C0FF-6118-428D-BC2E-F60C2EEA4943}"/>
    <hyperlink ref="E1094" r:id="rId1071" xr:uid="{4257BE33-51A8-4717-8312-D2DF53DA6CEA}"/>
    <hyperlink ref="E1095" r:id="rId1072" xr:uid="{939AAED9-6988-4C42-941B-85F7774AD97D}"/>
    <hyperlink ref="E1295" r:id="rId1073" xr:uid="{C52625FE-939A-46BF-8A4D-1CFD17C330AD}"/>
    <hyperlink ref="E1097" r:id="rId1074" xr:uid="{AB349D22-30A7-4755-93C5-3705F7912243}"/>
    <hyperlink ref="E1098" r:id="rId1075" xr:uid="{C0A67BE1-20FE-4ECF-B78A-6379653147C0}"/>
    <hyperlink ref="E1296" r:id="rId1076" xr:uid="{2E5045C8-4BEC-4451-9652-04AAB71457A5}"/>
    <hyperlink ref="E1297" r:id="rId1077" xr:uid="{F05EA099-0F59-4E79-8695-30AFEE4068E9}"/>
    <hyperlink ref="E1298" r:id="rId1078" xr:uid="{0E450286-9772-4FF3-9244-6411AD64DBF5}"/>
    <hyperlink ref="E1299" r:id="rId1079" xr:uid="{98C5A904-4093-40BB-811C-79F564EBD5D3}"/>
    <hyperlink ref="E1103" r:id="rId1080" xr:uid="{FC2CDD90-2CFC-40BC-8A35-4930489636AC}"/>
    <hyperlink ref="E1300" r:id="rId1081" xr:uid="{36DD099B-D02F-4023-ACAB-8A6B16BBDF85}"/>
    <hyperlink ref="E1301" r:id="rId1082" xr:uid="{46ADFEC8-1BD2-4717-BFF2-108F4269B756}"/>
    <hyperlink ref="E1302" r:id="rId1083" xr:uid="{657AE3F5-FB02-493E-9692-DB4D28F75914}"/>
    <hyperlink ref="E1107" r:id="rId1084" xr:uid="{BC20F3CE-B97A-4321-A4CF-7C842BE2EC03}"/>
    <hyperlink ref="E1108" r:id="rId1085" xr:uid="{57F4B2F3-5671-4580-8F35-302AEDA675F5}"/>
    <hyperlink ref="E1109" r:id="rId1086" xr:uid="{63D7751D-6D30-48FE-9226-FD08FE978386}"/>
    <hyperlink ref="E1303" r:id="rId1087" xr:uid="{251E3790-CB56-44A4-BDB6-104958C3754B}"/>
    <hyperlink ref="E1304" r:id="rId1088" xr:uid="{3B12F25F-E637-4923-AE63-14AF60A8DBEC}"/>
    <hyperlink ref="E1305" r:id="rId1089" xr:uid="{D059D601-0A7C-439C-BD1F-24D51D8EB9C1}"/>
    <hyperlink ref="E1306" r:id="rId1090" xr:uid="{3B855407-1759-467F-B389-64254334483D}"/>
    <hyperlink ref="E1307" r:id="rId1091" xr:uid="{FF59076E-7C3A-46BA-B9B4-6B29E2FEAA1B}"/>
    <hyperlink ref="E1308" r:id="rId1092" xr:uid="{E9D0E734-14FA-48F8-8BAF-D5EEEF18C88D}"/>
    <hyperlink ref="E1116" r:id="rId1093" xr:uid="{6AA8ECB4-DD2B-4EF7-9ACB-A5C1CDA0DFA3}"/>
    <hyperlink ref="E1309" r:id="rId1094" xr:uid="{1AE17D06-7DE9-4326-9786-B16979401CD9}"/>
    <hyperlink ref="E1118" r:id="rId1095" xr:uid="{CC4454B9-2AC5-4768-BE3A-AA495D82CBAF}"/>
    <hyperlink ref="E1310" r:id="rId1096" xr:uid="{9B82580A-C09E-46AD-9308-49CADC77B961}"/>
    <hyperlink ref="E1311" r:id="rId1097" xr:uid="{224B5A89-8EE0-4D06-B122-6935644A0161}"/>
    <hyperlink ref="E1312" r:id="rId1098" xr:uid="{6056D5C8-8611-47D4-BADD-3F9FDA3FA0C4}"/>
    <hyperlink ref="E1313" r:id="rId1099" xr:uid="{55EB5C9C-0001-4620-B975-FF1819EF360A}"/>
    <hyperlink ref="E1314" r:id="rId1100" xr:uid="{2F93254C-4881-4CD5-949B-E6AF1C6F4511}"/>
    <hyperlink ref="E1315" r:id="rId1101" xr:uid="{BE4277D9-38EC-4AD4-AF08-DDB8D3F6282B}"/>
    <hyperlink ref="E1316" r:id="rId1102" xr:uid="{AAF55672-5677-4376-A865-A3F95FBD0C3A}"/>
    <hyperlink ref="E1317" r:id="rId1103" xr:uid="{39BEAD8D-9C3E-4856-B9CD-6C2337884A61}"/>
    <hyperlink ref="E1318" r:id="rId1104" xr:uid="{BF4FD358-01A0-4967-B877-698E9AD27CA2}"/>
    <hyperlink ref="E1128" r:id="rId1105" xr:uid="{DF334846-B983-472C-ACDC-D4087C913676}"/>
    <hyperlink ref="E1319" r:id="rId1106" xr:uid="{1FF1FD16-F781-48D1-BF0B-691ADCA4228A}"/>
    <hyperlink ref="E1320" r:id="rId1107" xr:uid="{7127B3B3-5F7D-41B6-ACA6-3203E4CAA1B4}"/>
    <hyperlink ref="E1321" r:id="rId1108" xr:uid="{15B511F1-AC8D-4F38-AA64-7ADF3B0CBC6E}"/>
    <hyperlink ref="E1132" r:id="rId1109" xr:uid="{39CF7ABD-EE44-4E9D-9F98-486492867E0B}"/>
    <hyperlink ref="E1322" r:id="rId1110" xr:uid="{C09E469F-4F17-43B2-A245-29C2D9FC2A53}"/>
    <hyperlink ref="E1323" r:id="rId1111" xr:uid="{43CDE8EC-84A9-4443-AA51-1957FB48010D}"/>
    <hyperlink ref="E1324" r:id="rId1112" xr:uid="{E2895ADE-B929-4DF8-943B-526D24E021F6}"/>
    <hyperlink ref="E1325" r:id="rId1113" xr:uid="{F64836C2-BBE0-4F55-A105-A3BFE3935EE2}"/>
    <hyperlink ref="E1326" r:id="rId1114" xr:uid="{FC6A27AA-12CB-4191-8BC1-4CE19F092E32}"/>
    <hyperlink ref="E1138" r:id="rId1115" xr:uid="{DC38AC05-2037-4E6E-9EC4-D7625D5EAAB0}"/>
    <hyperlink ref="E1327" r:id="rId1116" xr:uid="{6BC17CB8-AA08-4800-8A38-44F1FC310E43}"/>
    <hyperlink ref="E1140" r:id="rId1117" xr:uid="{9F25EAF7-8A93-4E76-BF1A-52AC414DB739}"/>
    <hyperlink ref="E1004" r:id="rId1118" xr:uid="{F9BE61D0-E8A8-4E12-9258-AE3E2E5462E2}"/>
    <hyperlink ref="E1000" r:id="rId1119" xr:uid="{80225CDB-5A6C-462B-ACA0-59BBED892149}"/>
    <hyperlink ref="E1002" r:id="rId1120" xr:uid="{82CE6B27-1F3D-4318-8D72-9EF3C77C19DA}"/>
    <hyperlink ref="E1144" r:id="rId1121" xr:uid="{D2D0362D-4493-467F-9AFD-DB90318A852D}"/>
    <hyperlink ref="E1145" r:id="rId1122" xr:uid="{54EB70BA-186A-4382-8D97-06AA25F003D4}"/>
    <hyperlink ref="E976" r:id="rId1123" xr:uid="{26B1237F-95C1-4CE1-9195-DA44B0E57186}"/>
    <hyperlink ref="E974" r:id="rId1124" xr:uid="{A0BE8BC1-3A5B-4059-B220-5932760BE1A3}"/>
    <hyperlink ref="E972" r:id="rId1125" xr:uid="{E2D1ED6B-1D70-4EF8-B80F-4EEBC2A9E8DB}"/>
    <hyperlink ref="E1149" r:id="rId1126" xr:uid="{DD1B92C8-1EB5-498D-AC88-A6A2F8AF2B6A}"/>
    <hyperlink ref="E1150" r:id="rId1127" xr:uid="{83BD561A-9600-4F88-B0D6-28AC27898F86}"/>
    <hyperlink ref="E1151" r:id="rId1128" xr:uid="{165A81EC-4311-4C7F-9F7D-40F4381E8275}"/>
    <hyperlink ref="E1152" r:id="rId1129" xr:uid="{598D101B-8DE8-49E0-BD96-9596761ED7EA}"/>
    <hyperlink ref="E1153" r:id="rId1130" xr:uid="{CED7D3DF-D61D-41DC-B9E5-86E89E638941}"/>
    <hyperlink ref="E971" r:id="rId1131" xr:uid="{B6A941C7-A0D8-44B6-8FB1-3633E1A2383F}"/>
    <hyperlink ref="E970" r:id="rId1132" xr:uid="{10806D21-BE29-4097-8FCF-7CFD19E4A314}"/>
    <hyperlink ref="E967" r:id="rId1133" xr:uid="{E52EA75F-5493-4A59-A657-718D4A16813C}"/>
    <hyperlink ref="E1328" r:id="rId1134" xr:uid="{8E796D39-A59A-4A2D-9E8B-38F529C0E521}"/>
    <hyperlink ref="E1329" r:id="rId1135" xr:uid="{59B8EC6D-2047-49BA-AE7B-36946A397F49}"/>
    <hyperlink ref="E1330" r:id="rId1136" xr:uid="{0A3E52D5-0BA3-4D6F-8124-07A644C4A01F}"/>
    <hyperlink ref="E1331" r:id="rId1137" xr:uid="{E0E4B849-08AA-4C48-AA03-DA69F3C111AE}"/>
    <hyperlink ref="E1332" r:id="rId1138" xr:uid="{A9CE6363-22C0-48BC-AF58-80B0C7C9B21D}"/>
    <hyperlink ref="E1333" r:id="rId1139" xr:uid="{51685634-82FA-4D50-9C07-0A7B5203B4CE}"/>
    <hyperlink ref="E1334" r:id="rId1140" xr:uid="{6E249E23-6B47-4673-B100-1A47D6E6E184}"/>
    <hyperlink ref="E1335" r:id="rId1141" xr:uid="{CA39A3E7-F8A9-4E6C-8CA1-E5397A088F93}"/>
    <hyperlink ref="E1336" r:id="rId1142" xr:uid="{95B022CD-34F8-4CB2-830D-7A22F463B3A1}"/>
    <hyperlink ref="E1337" r:id="rId1143" xr:uid="{ADF6DE6C-6A06-40C7-AEC9-D5ED89268A39}"/>
    <hyperlink ref="E1167" r:id="rId1144" xr:uid="{31F591FA-FA57-4447-89A4-FE7B775DA5E2}"/>
    <hyperlink ref="E1338" r:id="rId1145" xr:uid="{6CBF6256-0EC9-4064-BB5D-BC75BFA90E51}"/>
    <hyperlink ref="E1339" r:id="rId1146" xr:uid="{EFD85C89-344C-4645-A6A8-B38BC9EA2A21}"/>
    <hyperlink ref="E1340" r:id="rId1147" xr:uid="{45BDA0B9-A4D6-4EDA-A67D-D229B0BFE918}"/>
    <hyperlink ref="E1341" r:id="rId1148" xr:uid="{8507F36F-7459-4BAF-8ED8-A464A8D21663}"/>
    <hyperlink ref="E1343" r:id="rId1149" xr:uid="{ADD2EA12-CDD8-46BB-A1AA-E181E5C7834C}"/>
    <hyperlink ref="E1346" r:id="rId1150" xr:uid="{AC938575-3FE2-4C33-8953-14AFC2C8B50B}"/>
    <hyperlink ref="E1347" r:id="rId1151" xr:uid="{14C8217B-309B-4542-9244-09A8CE6DD967}"/>
    <hyperlink ref="E1050" r:id="rId1152" xr:uid="{8C452773-EC48-4A64-B3AC-A0077F492302}"/>
    <hyperlink ref="E1048" r:id="rId1153" xr:uid="{1D54F526-6E0F-4904-9ABA-352B04292DC6}"/>
    <hyperlink ref="E1042" r:id="rId1154" xr:uid="{EC6F714D-97E4-4F9E-8DFA-ABFF00C7CBE3}"/>
    <hyperlink ref="E1036" r:id="rId1155" xr:uid="{3982977C-276F-416F-8DBD-5BA952BC918C}"/>
    <hyperlink ref="E1035" r:id="rId1156" xr:uid="{9C67CCC0-90A7-4ED3-BB6A-2B49995C19F9}"/>
    <hyperlink ref="E1033" r:id="rId1157" xr:uid="{F80D3CC5-BE5F-4D32-8118-867704098641}"/>
    <hyperlink ref="E1023" r:id="rId1158" xr:uid="{E0D3F9D1-2E6E-40C3-A141-AB715389F157}"/>
    <hyperlink ref="E1022" r:id="rId1159" xr:uid="{819FD9F1-690F-4CAA-8291-335B4187A867}"/>
    <hyperlink ref="E1011" r:id="rId1160" xr:uid="{71FF7B9C-2BB6-4FE2-8E28-3D984D99E7B5}"/>
    <hyperlink ref="E1006" r:id="rId1161" xr:uid="{510C6583-E1BB-4AB3-9103-D042FE4266B6}"/>
    <hyperlink ref="E1348" r:id="rId1162" xr:uid="{B8BB157B-544A-4088-868E-389C664FEAEB}"/>
    <hyperlink ref="E1349" r:id="rId1163" xr:uid="{CAB49099-B0C1-4BB0-9568-47D0812D5B63}"/>
    <hyperlink ref="E1350" r:id="rId1164" xr:uid="{985C6292-A54C-42AA-87D5-7994D803E1AC}"/>
    <hyperlink ref="E1188" r:id="rId1165" xr:uid="{EE393785-E5CA-4A9D-856F-A52ED15F9D96}"/>
    <hyperlink ref="E1351" r:id="rId1166" xr:uid="{80BB3574-29ED-4B2B-A856-985BCAFC47CB}"/>
    <hyperlink ref="E1352" r:id="rId1167" xr:uid="{5DCA3751-BAC2-49F3-8334-E85BC76E943B}"/>
    <hyperlink ref="E1353" r:id="rId1168" xr:uid="{1A99BAAA-5546-4123-8BBC-9FD52BD20A53}"/>
    <hyperlink ref="E1354" r:id="rId1169" xr:uid="{DF09C4FB-A498-4E99-94AD-15C23F4693F6}"/>
    <hyperlink ref="E1355" r:id="rId1170" xr:uid="{58B96185-5426-4B7D-81B0-C881AEC06903}"/>
    <hyperlink ref="E1356" r:id="rId1171" xr:uid="{C055CF74-7815-419F-BB57-BB89B369AD6F}"/>
    <hyperlink ref="E1357" r:id="rId1172" xr:uid="{C6BF18CE-5D6A-4EF9-BC23-6673A71FE7DC}"/>
    <hyperlink ref="E1358" r:id="rId1173" xr:uid="{645526DB-B8A4-41E4-A569-486CB9625089}"/>
    <hyperlink ref="E1359" r:id="rId1174" xr:uid="{8C9F5D0D-7F22-4BE9-8DAD-17F8908EC4E4}"/>
    <hyperlink ref="E1360" r:id="rId1175" xr:uid="{35440EFA-3C06-49C6-8A1F-9B2A1F9EF4D4}"/>
    <hyperlink ref="E1361" r:id="rId1176" xr:uid="{52D2ABF9-7251-40CE-99C0-218F0FDCFCCF}"/>
    <hyperlink ref="E1362" r:id="rId1177" xr:uid="{E205C961-5481-43DF-96DB-3B443731A2BC}"/>
    <hyperlink ref="E1364" r:id="rId1178" xr:uid="{3F97704F-99D2-4B8F-866E-2BEA4C51B155}"/>
    <hyperlink ref="E1365" r:id="rId1179" xr:uid="{F5A30CF4-777B-4B6F-805F-F910B58429CB}"/>
    <hyperlink ref="E1366" r:id="rId1180" xr:uid="{C22B367C-0215-4C63-9240-A4DEDC30DBBF}"/>
    <hyperlink ref="E1367" r:id="rId1181" xr:uid="{72E048F7-F74B-4C2C-BD58-6F5C95C7569B}"/>
    <hyperlink ref="E1368" r:id="rId1182" xr:uid="{90F0932C-4A1A-4B6F-A739-68B9F005DAB6}"/>
    <hyperlink ref="E1369" r:id="rId1183" xr:uid="{F398C62E-3E31-490A-BC9C-16BF66B7D8D4}"/>
    <hyperlink ref="E1370" r:id="rId1184" xr:uid="{456BA835-A583-4650-A550-E42C71653045}"/>
    <hyperlink ref="E1371" r:id="rId1185" xr:uid="{50DADCB2-8805-4D8E-8A62-C30CCBCD8293}"/>
    <hyperlink ref="E1063" r:id="rId1186" xr:uid="{F045D38F-4658-493F-865E-4395C44AA67B}"/>
    <hyperlink ref="E1069" r:id="rId1187" xr:uid="{CA7B4A96-1DDE-4851-952C-121C8C0C2308}"/>
    <hyperlink ref="E1062" r:id="rId1188" xr:uid="{C26B23A8-26ED-49C0-A6B3-D89305B8AA74}"/>
    <hyperlink ref="E1066" r:id="rId1189" xr:uid="{1AF820E1-51B5-4F0A-81E2-6D2413C1F469}"/>
    <hyperlink ref="E1060" r:id="rId1190" xr:uid="{2868B8BD-E1CC-4B9F-B180-22A5CA2ECEE1}"/>
    <hyperlink ref="E1058" r:id="rId1191" xr:uid="{2FE664D5-0B57-4CF7-9D7B-F327E5FB2DA6}"/>
    <hyperlink ref="E1054" r:id="rId1192" xr:uid="{F370AE4C-ADC9-4A44-8A83-00A1D216B893}"/>
    <hyperlink ref="E1052" r:id="rId1193" xr:uid="{DFC76EC4-378B-4541-ADF4-45FF6522C71C}"/>
    <hyperlink ref="E1372" r:id="rId1194" xr:uid="{F7688F6A-60E2-4C1E-86AA-0F0AF7103831}"/>
    <hyperlink ref="E1373" r:id="rId1195" xr:uid="{70C70D24-3D9E-4E42-ACD0-C23F4CACC93B}"/>
    <hyperlink ref="E1374" r:id="rId1196" xr:uid="{03F383DA-DE65-4636-9C30-380776951026}"/>
    <hyperlink ref="E1375" r:id="rId1197" xr:uid="{4E35DA37-E848-459A-A8DB-4698B3709C5C}"/>
    <hyperlink ref="E1376" r:id="rId1198" xr:uid="{4C7B395E-047E-4944-94F6-05DCA6E0C345}"/>
    <hyperlink ref="E1377" r:id="rId1199" xr:uid="{C3113832-496C-4A14-9CCA-0AA07DFDEBB6}"/>
    <hyperlink ref="E1378" r:id="rId1200" xr:uid="{30A1FE36-4E8A-40DF-9E18-A902BB361E86}"/>
    <hyperlink ref="E1379" r:id="rId1201" xr:uid="{5B70EFF5-3B91-4356-8D17-B3CD3B75C856}"/>
    <hyperlink ref="E1380" r:id="rId1202" xr:uid="{F0950C9C-C2D8-4758-AE5B-6FACE876E566}"/>
    <hyperlink ref="E1381" r:id="rId1203" xr:uid="{6FB31ADB-5F56-4411-9BB9-E9467BC434B0}"/>
    <hyperlink ref="E1382" r:id="rId1204" xr:uid="{ED4D94ED-C462-43F7-8ED5-3CBC62499468}"/>
    <hyperlink ref="E1383" r:id="rId1205" xr:uid="{3CD90B6B-6DFB-4D9C-B08E-CE97118EBF96}"/>
    <hyperlink ref="E1384" r:id="rId1206" xr:uid="{5DE69F53-0857-4535-982A-C33AFB34F5C8}"/>
    <hyperlink ref="E1385" r:id="rId1207" xr:uid="{02570212-464E-4980-A8F5-73F49704A58F}"/>
    <hyperlink ref="E1386" r:id="rId1208" xr:uid="{57EA8F86-6565-4E4F-8F4D-A317681D7A2F}"/>
    <hyperlink ref="E1387" r:id="rId1209" xr:uid="{1E27DBE0-D24F-43E1-84A0-10869EE9433B}"/>
    <hyperlink ref="E1388" r:id="rId1210" xr:uid="{1AF0B195-63C6-4695-89C9-F6AAF962CF27}"/>
    <hyperlink ref="E1389" r:id="rId1211" xr:uid="{6A2DF8F8-6694-405F-A978-4EB7C72D5338}"/>
    <hyperlink ref="E1390" r:id="rId1212" xr:uid="{4E4A79AC-E9B7-4EF6-B9F2-B0081A71A0CD}"/>
    <hyperlink ref="E1392" r:id="rId1213" xr:uid="{D62A1CEA-1555-42EC-97C7-A6A19C715BC6}"/>
    <hyperlink ref="E1393" r:id="rId1214" xr:uid="{4773BD1D-4D42-459E-A9E7-8AFC2DEAE3A2}"/>
    <hyperlink ref="E1394" r:id="rId1215" xr:uid="{EEA7315D-D775-4EC8-890F-AD0B14718916}"/>
    <hyperlink ref="E1395" r:id="rId1216" xr:uid="{BCFCD334-6120-4C4B-8984-5C2BC9A2C02C}"/>
    <hyperlink ref="E1396" r:id="rId1217" xr:uid="{BF2C194B-EACF-465A-A96F-4B0971FCEC85}"/>
    <hyperlink ref="E1398" r:id="rId1218" xr:uid="{68965A48-E50E-4138-BBCB-52E15F6DCFC1}"/>
    <hyperlink ref="E1399" r:id="rId1219" xr:uid="{4CDCAB44-56D1-4FB8-B309-A1C2D0F1F2EF}"/>
    <hyperlink ref="E1400" r:id="rId1220" xr:uid="{FD6E0E8D-40AE-4A6C-8E81-83A934EE95BA}"/>
    <hyperlink ref="E1401" r:id="rId1221" xr:uid="{808E5280-91F4-405E-BF4C-047EA950F897}"/>
    <hyperlink ref="E1402" r:id="rId1222" xr:uid="{3003CAB1-58A4-41F9-B02F-5AE89E8D4537}"/>
    <hyperlink ref="E1403" r:id="rId1223" xr:uid="{5C99AD51-50F3-4706-A02C-43A42A8DA52E}"/>
    <hyperlink ref="E1404" r:id="rId1224" xr:uid="{AE311E71-5BA8-40F2-9C39-291120D3E9C9}"/>
    <hyperlink ref="E1405" r:id="rId1225" xr:uid="{211100A7-8CF7-4EBA-8886-7B5459B9BC23}"/>
    <hyperlink ref="E1406" r:id="rId1226" xr:uid="{AB00E904-2592-4AC3-8B1A-6935065BD336}"/>
    <hyperlink ref="E1407" r:id="rId1227" xr:uid="{739AD4DB-26DF-47A2-AA63-B89751B1A9B2}"/>
    <hyperlink ref="E1091" r:id="rId1228" xr:uid="{D9963446-8412-47BA-8FB8-16A5897AD807}"/>
    <hyperlink ref="E1090" r:id="rId1229" xr:uid="{153626E9-24BE-4C8A-A7E0-7A92BE3659CC}"/>
    <hyperlink ref="E1089" r:id="rId1230" xr:uid="{29BC2D47-8D60-41E9-8AA7-1055BEB29BAE}"/>
    <hyperlink ref="E1093" r:id="rId1231" xr:uid="{626FC3E3-5E69-41D2-A9F4-DA6FD55BA89B}"/>
    <hyperlink ref="E1085" r:id="rId1232" xr:uid="{2F753CF2-62BB-4E08-946D-B0DFFAC4487B}"/>
    <hyperlink ref="E1084" r:id="rId1233" xr:uid="{67C31786-EEDF-4E5E-AB58-60F9E614E1B3}"/>
    <hyperlink ref="E1083" r:id="rId1234" xr:uid="{CB687ADB-A149-4EAC-A9C3-06D7F283AD2B}"/>
    <hyperlink ref="E1079" r:id="rId1235" xr:uid="{8AA2839F-992D-4C85-B211-F52F019AADA0}"/>
    <hyperlink ref="E1078" r:id="rId1236" xr:uid="{40F04F65-C6C4-41FF-A01D-A3A0EBA2359E}"/>
    <hyperlink ref="E1077" r:id="rId1237" xr:uid="{237C14A0-FBBB-4367-9BE5-D7C0C9C8A5B1}"/>
    <hyperlink ref="E1076" r:id="rId1238" xr:uid="{1B7DB64C-87AA-479F-B3EA-836032D9B3CA}"/>
    <hyperlink ref="E1075" r:id="rId1239" xr:uid="{A194B72D-504F-4026-924B-4D0217568ED8}"/>
    <hyperlink ref="E1263" r:id="rId1240" xr:uid="{AAF22C27-4B52-4202-82FA-9BF18CFBF8ED}"/>
    <hyperlink ref="E1074" r:id="rId1241" xr:uid="{B9850D6E-499F-4447-8A0C-9A73954110FA}"/>
    <hyperlink ref="E1070" r:id="rId1242" xr:uid="{B2E68C8D-B701-49C8-BB18-A292C5A3D8DD}"/>
    <hyperlink ref="E1408" r:id="rId1243" xr:uid="{427C1298-C715-4226-98DC-F81CE8D0AAF8}"/>
    <hyperlink ref="E1409" r:id="rId1244" xr:uid="{9EDCEAD5-54E7-46C4-B44B-D16B3535B856}"/>
    <hyperlink ref="E1410" r:id="rId1245" xr:uid="{9E405AC6-039B-42B6-86AF-76B73A53E97D}"/>
    <hyperlink ref="E1411" r:id="rId1246" xr:uid="{1CBEB813-A364-4084-96F7-1355A07F5F44}"/>
    <hyperlink ref="E1412" r:id="rId1247" xr:uid="{CBBFBF81-DE33-4321-8CCB-63D333F85C0F}"/>
    <hyperlink ref="E1413" r:id="rId1248" xr:uid="{AF7D4176-1182-4563-A24A-EF085ED8FD68}"/>
    <hyperlink ref="E1415" r:id="rId1249" xr:uid="{3279D0A3-6A46-4DEA-905A-94042EEA18D4}"/>
    <hyperlink ref="E1416" r:id="rId1250" xr:uid="{194005A6-1637-4C55-81F4-0F948ADBB218}"/>
    <hyperlink ref="E1417" r:id="rId1251" xr:uid="{7C709DE6-9CE6-4DCC-A1D2-F9896DDB89C7}"/>
    <hyperlink ref="E1418" r:id="rId1252" xr:uid="{17FB1739-3368-4029-B672-3B7B228456EA}"/>
    <hyperlink ref="E1419" r:id="rId1253" xr:uid="{8B3B8AE7-1EEB-458A-900B-DAC6E24CD882}"/>
    <hyperlink ref="E1420" r:id="rId1254" xr:uid="{48BC84EC-BB4F-4FD1-8DDB-29C279720DDE}"/>
    <hyperlink ref="E1421" r:id="rId1255" xr:uid="{9DD54DBE-DD09-4E6E-AB23-B2B9229ED922}"/>
    <hyperlink ref="E1422" r:id="rId1256" xr:uid="{6D2E4587-A90C-4EC5-A96B-A4649A50752E}"/>
    <hyperlink ref="E1280" r:id="rId1257" xr:uid="{81B67D50-D0AD-4190-96DC-285F9DDD7FDD}"/>
    <hyperlink ref="E1423" r:id="rId1258" xr:uid="{7D412A81-16EB-48E7-AD69-2B3C72A6BD01}"/>
    <hyperlink ref="E1424" r:id="rId1259" xr:uid="{740B34FB-453B-4638-B55E-09C1DF7F380F}"/>
    <hyperlink ref="E1425" r:id="rId1260" xr:uid="{B518659A-BECA-460C-B79B-85021D8C2E31}"/>
    <hyperlink ref="E1426" r:id="rId1261" xr:uid="{269F1725-B27D-41DA-90C6-AE04CEB6E324}"/>
    <hyperlink ref="E1427" r:id="rId1262" xr:uid="{530B222D-8C21-48B2-9F40-06B50A88AC06}"/>
    <hyperlink ref="E1428" r:id="rId1263" xr:uid="{5E281201-14DC-4F82-B42F-0B530D8AA456}"/>
    <hyperlink ref="E1429" r:id="rId1264" xr:uid="{898F66EF-8311-41C3-8E6B-497712672CB3}"/>
    <hyperlink ref="E1430" r:id="rId1265" xr:uid="{2AB84ECD-3BEA-4891-BA10-AF953EB15902}"/>
    <hyperlink ref="E1431" r:id="rId1266" xr:uid="{59ED61E3-1A6B-49C6-A526-8F751B36CEFF}"/>
    <hyperlink ref="E1123" r:id="rId1267" xr:uid="{11999029-CF0F-4601-AD74-C99D4B15D4C4}"/>
    <hyperlink ref="E1122" r:id="rId1268" xr:uid="{05DE2EFA-3481-42F1-B763-20DA299A96D8}"/>
    <hyperlink ref="E1124" r:id="rId1269" xr:uid="{C7EA4CF2-C5FB-450E-B26B-999834DD73B9}"/>
    <hyperlink ref="E1119" r:id="rId1270" xr:uid="{BD8DECBB-455A-4F1A-81BF-1EC00CB2EA8A}"/>
    <hyperlink ref="E1121" r:id="rId1271" xr:uid="{833BB190-71BA-4718-9474-A3161CF41A69}"/>
    <hyperlink ref="E1120" r:id="rId1272" xr:uid="{5C2344AD-E064-4285-9B73-289F9D3EDE10}"/>
    <hyperlink ref="E1113" r:id="rId1273" xr:uid="{69DE3923-2751-410C-BC3D-630A9B2979CD}"/>
    <hyperlink ref="E1112" r:id="rId1274" xr:uid="{A2524D8B-0220-43EF-A584-7F70BBB3298E}"/>
    <hyperlink ref="E1117" r:id="rId1275" xr:uid="{11870E3E-81E8-4B49-842D-7A0EC5EB7E96}"/>
    <hyperlink ref="E1115" r:id="rId1276" xr:uid="{7D90F458-4ADF-4124-B313-367D29F53467}"/>
    <hyperlink ref="E1114" r:id="rId1277" xr:uid="{7187DC4A-CEE9-45FF-9EDD-9B8F65480765}"/>
    <hyperlink ref="E1111" r:id="rId1278" xr:uid="{90D1BA52-DC2C-4924-8DD0-5D6DDE04D470}"/>
    <hyperlink ref="E1110" r:id="rId1279" xr:uid="{1F919A55-9F52-4C19-BF99-00F5EB7DB76C}"/>
    <hyperlink ref="E1104" r:id="rId1280" xr:uid="{D8F9FEF7-585E-4D22-BAFD-A723820C4A7E}"/>
    <hyperlink ref="E1102" r:id="rId1281" xr:uid="{88E7701E-0C51-493E-8F39-B80D66925600}"/>
    <hyperlink ref="E1106" r:id="rId1282" xr:uid="{C333940D-2775-47A7-8307-39EAAB367801}"/>
    <hyperlink ref="E1105" r:id="rId1283" xr:uid="{CAFDF039-30E7-41EE-A032-2D1D3CE301DC}"/>
    <hyperlink ref="E1101" r:id="rId1284" xr:uid="{190175B3-1E70-4C27-AA03-3EFC800F51A1}"/>
    <hyperlink ref="E1100" r:id="rId1285" xr:uid="{DDDA9942-C8CB-4154-8074-1902B1902B9C}"/>
    <hyperlink ref="E1099" r:id="rId1286" xr:uid="{18F4CD59-8E02-4645-A943-D108F4652F97}"/>
    <hyperlink ref="E1096" r:id="rId1287" xr:uid="{84ABB0C9-3EEE-4B29-8C1E-C591F96D7347}"/>
    <hyperlink ref="E1432" r:id="rId1288" xr:uid="{5CC2B8D9-8AD6-441F-9AD4-8DD164EF942D}"/>
    <hyperlink ref="E1433" r:id="rId1289" xr:uid="{CF4C72D2-22B7-4B5C-B4C1-880A8637DD1D}"/>
    <hyperlink ref="E1434" r:id="rId1290" xr:uid="{3FF59532-63B8-465D-B126-9AFEA6403EC4}"/>
    <hyperlink ref="E1436" r:id="rId1291" xr:uid="{74A4E2A4-A0DD-4880-9CCA-55CF355F32FF}"/>
    <hyperlink ref="E1437" r:id="rId1292" xr:uid="{EA79695A-D039-490F-B592-DCDDA9C4F8FB}"/>
    <hyperlink ref="E1438" r:id="rId1293" xr:uid="{CCD5E82B-D4C1-44B2-90EC-C2000C7C9546}"/>
    <hyperlink ref="E1439" r:id="rId1294" xr:uid="{953F450D-E6DF-4B79-82C6-7D0561F892FE}"/>
    <hyperlink ref="E1440" r:id="rId1295" xr:uid="{800B876A-313C-4EE7-8046-A47C2C83883D}"/>
    <hyperlink ref="E1441" r:id="rId1296" xr:uid="{2B6E079F-9053-49FE-938D-7E5A67A192FB}"/>
    <hyperlink ref="E1442" r:id="rId1297" xr:uid="{BAAE176F-4675-44A4-A490-196F9E7C5C9C}"/>
    <hyperlink ref="E1443" r:id="rId1298" xr:uid="{17F82F57-0ACD-4C8F-8F3A-D95D42C26AD5}"/>
    <hyperlink ref="E1444" r:id="rId1299" xr:uid="{EF06A1E6-AF2B-4540-A2B2-11AAE2353D50}"/>
    <hyperlink ref="E1445" r:id="rId1300" xr:uid="{4F2E0F6D-AA37-4FFE-A5DE-B63650370DEF}"/>
    <hyperlink ref="E1446" r:id="rId1301" xr:uid="{4E7CA1FD-ED71-4902-9F4A-FF5E6594BF8B}"/>
    <hyperlink ref="E1447" r:id="rId1302" xr:uid="{B432D51C-9961-4BAF-891F-970D38FF47C4}"/>
    <hyperlink ref="E1448" r:id="rId1303" xr:uid="{7765926C-7523-4D8F-B183-C3DD547D50E1}"/>
    <hyperlink ref="E1449" r:id="rId1304" xr:uid="{AF5429C8-688E-4A22-84B9-CD5CEA847BF2}"/>
    <hyperlink ref="E1450" r:id="rId1305" xr:uid="{5D10DC33-3710-42D6-914A-2E461BF24C7C}"/>
    <hyperlink ref="E1451" r:id="rId1306" xr:uid="{A6CBC40B-0D37-4646-B488-324CEC0D4F0D}"/>
    <hyperlink ref="E1452" r:id="rId1307" xr:uid="{481FBA6B-6AC0-42EB-87E6-963AA21BC73B}"/>
    <hyperlink ref="E1453" r:id="rId1308" xr:uid="{EFEF9F0D-83D8-4F41-8A88-D145EE8503BE}"/>
    <hyperlink ref="E1454" r:id="rId1309" xr:uid="{0E3E39D6-2253-45E4-B258-CBD33E27848D}"/>
    <hyperlink ref="E1455" r:id="rId1310" xr:uid="{D1348108-0099-4859-B1DC-E2F824F0B04E}"/>
    <hyperlink ref="E1456" r:id="rId1311" xr:uid="{A86D76F0-8D6B-405C-B186-F8369AAA4F16}"/>
    <hyperlink ref="E1457" r:id="rId1312" xr:uid="{560C6EB6-5AEF-40B7-918F-FF799843E31A}"/>
    <hyperlink ref="E1458" r:id="rId1313" xr:uid="{980B4C0A-3F95-4D26-AA6A-0BBFA3ADFB50}"/>
    <hyperlink ref="E1459" r:id="rId1314" xr:uid="{847D8D4C-9403-4841-9432-A3D9F2E8C18B}"/>
    <hyperlink ref="E1460" r:id="rId1315" xr:uid="{356D575C-E608-432B-B26C-1366D9F9338C}"/>
    <hyperlink ref="E1461" r:id="rId1316" xr:uid="{D5768597-F326-47FA-8BF0-224E77D948DE}"/>
    <hyperlink ref="E1462" r:id="rId1317" xr:uid="{53123DCA-D790-4C95-9EDA-E9E22C364819}"/>
    <hyperlink ref="E1134" r:id="rId1318" xr:uid="{75EB6498-D529-424C-953F-3FF3DD238AEE}"/>
    <hyperlink ref="E1342" r:id="rId1319" xr:uid="{84E55914-B363-49F4-B75F-2FB16342902A}"/>
    <hyperlink ref="E1133" r:id="rId1320" xr:uid="{CCD5B2D3-6952-4B0E-9E10-855AEC0CC6F5}"/>
    <hyperlink ref="E1344" r:id="rId1321" xr:uid="{B4C67567-AD3B-4B12-96FD-8AA1D0162400}"/>
    <hyperlink ref="E1345" r:id="rId1322" xr:uid="{D92DFE57-5C19-4949-A2D6-209B05E6F901}"/>
    <hyperlink ref="E1131" r:id="rId1323" xr:uid="{DEE72919-AEF1-403A-B410-B509255C78F4}"/>
    <hyperlink ref="E1130" r:id="rId1324" xr:uid="{C07FBF13-5A68-43DE-9975-9F17481F9DD0}"/>
    <hyperlink ref="E1129" r:id="rId1325" xr:uid="{D12A09B4-EB75-406E-BBEB-42734F6EBD39}"/>
    <hyperlink ref="E1127" r:id="rId1326" xr:uid="{D32696BB-14C4-4231-B26F-23ECE903417C}"/>
    <hyperlink ref="E1126" r:id="rId1327" xr:uid="{9FCA3F66-FFEB-4514-9099-181F834A1B15}"/>
    <hyperlink ref="E1125" r:id="rId1328" xr:uid="{C188453C-4B99-4080-BD23-A13797637FEA}"/>
    <hyperlink ref="E1463" r:id="rId1329" xr:uid="{658DE03D-BA65-480D-8286-2CB91B51835C}"/>
    <hyperlink ref="E1464" r:id="rId1330" xr:uid="{3DEBCE9B-B18A-4DC7-8BD6-834C27D4B0DC}"/>
    <hyperlink ref="E1465" r:id="rId1331" xr:uid="{592A78D3-6D01-4D4E-BC22-0DC70483D1DF}"/>
    <hyperlink ref="E1466" r:id="rId1332" xr:uid="{B1B0C5D9-8140-4D07-A927-C5DC965C52FA}"/>
    <hyperlink ref="E1467" r:id="rId1333" xr:uid="{8B928E59-6BA4-41E4-8BF6-36F44D730714}"/>
    <hyperlink ref="E1468" r:id="rId1334" xr:uid="{D9E78F84-548C-40E2-B9ED-9F54B9CD08B5}"/>
    <hyperlink ref="E1469" r:id="rId1335" xr:uid="{D85CD845-4F39-473C-886F-C02A682A3E55}"/>
    <hyperlink ref="E1470" r:id="rId1336" xr:uid="{AADA61FE-BE7A-44E3-8E71-9650A05EC38E}"/>
    <hyperlink ref="E1471" r:id="rId1337" xr:uid="{0031E1A3-8DCD-40ED-91D2-F6E538524727}"/>
    <hyperlink ref="E1472" r:id="rId1338" xr:uid="{E21DE168-78BA-4AE5-9B03-1C43D77F2673}"/>
    <hyperlink ref="E1473" r:id="rId1339" xr:uid="{76A05664-50D5-44C2-95AA-32DB367935C4}"/>
    <hyperlink ref="E1363" r:id="rId1340" xr:uid="{806D31D2-A4E8-40FF-9C0A-2CB730B96F0B}"/>
    <hyperlink ref="E1475" r:id="rId1341" xr:uid="{000C8676-D057-4ECA-9586-3746B060CA89}"/>
    <hyperlink ref="E1474" r:id="rId1342" xr:uid="{010F115D-A9EC-42B0-8B61-BC897BF1789E}"/>
    <hyperlink ref="E1476" r:id="rId1343" xr:uid="{087FC7FE-D1B8-41B7-9530-E645B3A96C23}"/>
    <hyperlink ref="E1477" r:id="rId1344" xr:uid="{96EB9851-625C-4A4E-B15A-406FF8A1B726}"/>
    <hyperlink ref="E1478" r:id="rId1345" xr:uid="{1D2E5458-8448-4D49-84D9-DAFB8951B536}"/>
    <hyperlink ref="E1479" r:id="rId1346" xr:uid="{BD016ACC-E5FA-408F-BDE7-666624BD57D8}"/>
    <hyperlink ref="E1480" r:id="rId1347" xr:uid="{330F8ABC-E490-410D-883A-CD7ECAEE6AF6}"/>
    <hyperlink ref="E1481" r:id="rId1348" xr:uid="{2698AFAA-F24B-442E-B832-F69755D3DF28}"/>
    <hyperlink ref="E1482" r:id="rId1349" xr:uid="{1BFB82A7-B2F5-4EF5-90D7-E66B21AE38EF}"/>
    <hyperlink ref="E1483" r:id="rId1350" xr:uid="{F1823EB8-352D-4E16-A4BB-8FB3F100ECA0}"/>
    <hyperlink ref="E1484" r:id="rId1351" xr:uid="{3254729C-46A5-463F-AADE-1C9F9BAD77EF}"/>
    <hyperlink ref="E1157" r:id="rId1352" xr:uid="{6D085AA6-2251-45AB-B1B2-2EC3AABFBF7C}"/>
    <hyperlink ref="E1148" r:id="rId1353" xr:uid="{B97916DA-AC2A-4460-9FD2-56A0E39B180A}"/>
    <hyperlink ref="E1156" r:id="rId1354" xr:uid="{16CE5342-1E67-48C9-8A17-0C785DCABB3D}"/>
    <hyperlink ref="E1155" r:id="rId1355" xr:uid="{A6E97F1B-564B-4CB5-B443-3EA0D9A41741}"/>
    <hyperlink ref="E1147" r:id="rId1356" xr:uid="{FF249B3A-DA20-4D77-94CA-2D65B49D1728}"/>
    <hyperlink ref="E1154" r:id="rId1357" xr:uid="{53FCC8D2-852C-4077-B804-C70AD0445418}"/>
    <hyperlink ref="E1146" r:id="rId1358" xr:uid="{444CE5CC-14FE-451A-92DF-FFBE6EC37013}"/>
    <hyperlink ref="E1142" r:id="rId1359" xr:uid="{DD9D9E85-66A3-46F5-86A8-11CA98899467}"/>
    <hyperlink ref="E1141" r:id="rId1360" xr:uid="{D137CE06-04D8-43EF-ABB1-65493F5C592E}"/>
    <hyperlink ref="E1143" r:id="rId1361" xr:uid="{D3815EFC-DEBB-4F25-BFD7-B32CECEEA56E}"/>
    <hyperlink ref="E1139" r:id="rId1362" xr:uid="{9B1C1BED-26CB-416C-A36A-929BFEB243B6}"/>
    <hyperlink ref="E1136" r:id="rId1363" xr:uid="{06A62F58-926B-4159-A8A0-EEB8DC7C82FE}"/>
    <hyperlink ref="E1135" r:id="rId1364" xr:uid="{AA326CBD-F924-4B5C-8379-0DF5A194AB96}"/>
    <hyperlink ref="E1137" r:id="rId1365" xr:uid="{141E77F1-F395-45A1-92C6-79C60D01C389}"/>
    <hyperlink ref="E1485" r:id="rId1366" xr:uid="{6BC8E306-1C01-4404-8741-15736F817682}"/>
    <hyperlink ref="E1486" r:id="rId1367" xr:uid="{06569F27-9BF9-4E70-A41E-7129C1490239}"/>
    <hyperlink ref="E1391" r:id="rId1368" xr:uid="{E220E712-D272-4931-80CA-002271053DEA}"/>
    <hyperlink ref="E1487" r:id="rId1369" xr:uid="{DCA46921-276C-412B-B64D-E7A459F6B6F8}"/>
    <hyperlink ref="E1488" r:id="rId1370" xr:uid="{387CB17E-B5A1-49EB-BFE3-05D9F2FD4AA9}"/>
    <hyperlink ref="E1489" r:id="rId1371" xr:uid="{C77954C6-09AB-4558-825B-CDB93E470E7C}"/>
    <hyperlink ref="E1490" r:id="rId1372" xr:uid="{0EEF3AD0-13E3-41BB-B5AD-6371F223CCD2}"/>
    <hyperlink ref="E1492" r:id="rId1373" xr:uid="{B6AF694F-2CBF-4AF1-BFA5-F32D4DCF2AD6}"/>
    <hyperlink ref="E1397" r:id="rId1374" xr:uid="{44FD4695-1A1F-4A04-826B-60B693B3A11A}"/>
    <hyperlink ref="E1493" r:id="rId1375" xr:uid="{919BF863-8D4C-47CF-BC17-3226984AB187}"/>
    <hyperlink ref="E1494" r:id="rId1376" xr:uid="{2A5F0BAF-E6C3-4FF8-9179-445A6E43269D}"/>
    <hyperlink ref="E1495" r:id="rId1377" xr:uid="{57960532-DD23-4C90-AC7D-B5934F8840AF}"/>
    <hyperlink ref="E1165" r:id="rId1378" xr:uid="{116578E6-9F65-469B-BBB3-0986013893E2}"/>
    <hyperlink ref="E1164" r:id="rId1379" xr:uid="{0A76A885-AF7D-455E-AC62-1F7BFA2CA045}"/>
    <hyperlink ref="E1163" r:id="rId1380" xr:uid="{D427A77C-7D53-43AB-90CD-20BD9B79838E}"/>
    <hyperlink ref="E1161" r:id="rId1381" xr:uid="{C5E648FA-700B-44CC-9047-D141325F191A}"/>
    <hyperlink ref="E1162" r:id="rId1382" xr:uid="{B4C3D655-D2AB-4DF2-83EC-BEE949F4BFF0}"/>
    <hyperlink ref="E1160" r:id="rId1383" xr:uid="{D4C8C465-85B5-4D2E-933C-1399B1C807E0}"/>
    <hyperlink ref="E1159" r:id="rId1384" xr:uid="{F7C1E089-5C08-4777-9FD8-007464285D53}"/>
    <hyperlink ref="E1158" r:id="rId1385" xr:uid="{7B5093A1-B5E6-49E1-98A9-CBC7D6E41B3E}"/>
    <hyperlink ref="E1496" r:id="rId1386" xr:uid="{4153235B-10A7-47FC-919C-508F913A8874}"/>
    <hyperlink ref="E1497" r:id="rId1387" xr:uid="{A2B6FDBA-AAFD-426D-8590-77D5544B1B87}"/>
    <hyperlink ref="E1498" r:id="rId1388" xr:uid="{91126B79-810E-476B-BBEA-65CB01EED857}"/>
    <hyperlink ref="E1499" r:id="rId1389" xr:uid="{DB56E132-0269-4FC6-8AFE-EF560E9E4FD5}"/>
    <hyperlink ref="E1500" r:id="rId1390" xr:uid="{15EFC3AA-D4CF-4B90-9101-D0A73FB7D8D0}"/>
    <hyperlink ref="E1414" r:id="rId1391" xr:uid="{4E7E8C4F-335E-4BEC-8602-F965BA1B17B3}"/>
    <hyperlink ref="E1501" r:id="rId1392" xr:uid="{D8CBB153-AFE6-4D95-B1A2-2EE4E9B56593}"/>
    <hyperlink ref="E1502" r:id="rId1393" xr:uid="{A2CDED1C-8CC1-46FB-894E-6D7FD258A7BA}"/>
    <hyperlink ref="E1504" r:id="rId1394" xr:uid="{0C6694B8-1886-4811-AE26-B72AF33E634F}"/>
    <hyperlink ref="E1505" r:id="rId1395" xr:uid="{4F0EBD60-5CF5-4D1F-8677-CECB80BBBC92}"/>
    <hyperlink ref="E1506" r:id="rId1396" xr:uid="{102FD18C-812F-46F1-BB57-F757D9CC5BFE}"/>
    <hyperlink ref="E1507" r:id="rId1397" xr:uid="{596AADF4-5850-40C1-A529-4F8B29E71008}"/>
    <hyperlink ref="E1509" r:id="rId1398" xr:uid="{44E92F71-AD5B-407F-AF84-D722AA5EAC5B}"/>
    <hyperlink ref="E1510" r:id="rId1399" xr:uid="{F58F0C96-FD22-4016-8109-D3CF13533ADC}"/>
    <hyperlink ref="E1511" r:id="rId1400" xr:uid="{6D1A0272-E9FF-4CD6-9B9C-938CFCA25EAD}"/>
    <hyperlink ref="E1512" r:id="rId1401" xr:uid="{43A84C1B-909D-418F-A344-2C9D0FE46B88}"/>
    <hyperlink ref="E1513" r:id="rId1402" xr:uid="{FEE71549-A223-4ECB-A5D1-E49A9460BAF9}"/>
    <hyperlink ref="E1514" r:id="rId1403" xr:uid="{B849990B-0B61-4E83-940E-25839EAF2106}"/>
    <hyperlink ref="E1515" r:id="rId1404" xr:uid="{04552645-1075-4848-91E5-15839FEB94D6}"/>
    <hyperlink ref="E1516" r:id="rId1405" xr:uid="{1003FCFD-6832-41EF-9DEF-9B326A50A4E1}"/>
    <hyperlink ref="E1517" r:id="rId1406" xr:uid="{DEF8BC6C-A916-4D84-A8AC-C183CBFBF2D4}"/>
    <hyperlink ref="E1518" r:id="rId1407" xr:uid="{015523A8-14EE-4918-9F5F-D98CEA2E124E}"/>
    <hyperlink ref="E1519" r:id="rId1408" xr:uid="{F5AB3918-DB72-4FCD-99B5-ABA025E0DA10}"/>
    <hyperlink ref="E1520" r:id="rId1409" xr:uid="{47AE9C78-E97F-4CF4-88E4-74E0E948CE64}"/>
    <hyperlink ref="E1521" r:id="rId1410" xr:uid="{E08EBBFD-6337-45E9-86EA-CF33036A3C0A}"/>
    <hyperlink ref="E1174" r:id="rId1411" xr:uid="{C59627AB-104B-42D5-B295-57EC39ACFD82}"/>
    <hyperlink ref="E1435" r:id="rId1412" xr:uid="{24C51182-D376-42BD-B8DA-6361B8AECA1B}"/>
    <hyperlink ref="E1173" r:id="rId1413" xr:uid="{CD1B720A-D090-4DF8-ACA0-2B25D6A53363}"/>
    <hyperlink ref="E1171" r:id="rId1414" xr:uid="{540D0858-6D3B-44C2-AFAF-A02EA82DEF82}"/>
    <hyperlink ref="E1172" r:id="rId1415" xr:uid="{9ED4AB7D-3F4B-4905-99DB-CDF0EC40F742}"/>
    <hyperlink ref="E1170" r:id="rId1416" xr:uid="{6E84FBC5-5D51-458D-A43C-5C0A96FEE135}"/>
    <hyperlink ref="E1169" r:id="rId1417" xr:uid="{58977F4C-DA75-488E-9BFF-2F0934F6C5E7}"/>
    <hyperlink ref="E1168" r:id="rId1418" xr:uid="{0C5D3EB9-ABBD-4BFD-8B39-3CF113242C50}"/>
    <hyperlink ref="E1166" r:id="rId1419" xr:uid="{02D2FA57-E25B-4228-8C1C-6C9D2D424C0D}"/>
    <hyperlink ref="E1190" r:id="rId1420" xr:uid="{B7FFB9CD-697A-4E5F-9402-7EB848576C34}"/>
    <hyperlink ref="E1189" r:id="rId1421" xr:uid="{D3828840-2961-476F-BF63-000CD0B94A46}"/>
    <hyperlink ref="E1183" r:id="rId1422" xr:uid="{B36CC96F-CC35-40B6-9663-95A4192B8F24}"/>
    <hyperlink ref="E1187" r:id="rId1423" xr:uid="{7E5F8D9D-102C-4387-ADCB-40FAF27927D3}"/>
    <hyperlink ref="E1186" r:id="rId1424" xr:uid="{7195294E-2929-488B-AC60-E97C574E258B}"/>
    <hyperlink ref="E1185" r:id="rId1425" xr:uid="{E7B9C6FE-B682-4A3F-9C69-5E824A13656D}"/>
    <hyperlink ref="E1182" r:id="rId1426" xr:uid="{E580BC58-D998-461F-9224-67BCBF9FE8BE}"/>
    <hyperlink ref="E1184" r:id="rId1427" xr:uid="{FEEFF53D-C21B-470F-A771-52E7E4999118}"/>
    <hyperlink ref="E1181" r:id="rId1428" xr:uid="{8F2F98B4-1C2F-4986-8081-93F2C809BFD8}"/>
    <hyperlink ref="E1180" r:id="rId1429" xr:uid="{F1F16B57-810B-4036-B02E-CE861073B3A4}"/>
    <hyperlink ref="E1179" r:id="rId1430" xr:uid="{7BDAA132-B336-4B45-B6F0-503513DE6B86}"/>
    <hyperlink ref="E1177" r:id="rId1431" xr:uid="{BB39BD17-982B-4889-8E22-85B72238B7FF}"/>
    <hyperlink ref="E1178" r:id="rId1432" xr:uid="{92EA79DB-F31C-4FDB-989D-D911DBC30A82}"/>
    <hyperlink ref="E1176" r:id="rId1433" xr:uid="{F83C5E63-5CF7-4914-994F-C32515B8831A}"/>
    <hyperlink ref="E1175" r:id="rId1434" xr:uid="{9A1389D6-9680-48F7-AC13-4DE280D61A56}"/>
    <hyperlink ref="E1522" r:id="rId1435" xr:uid="{6E3B6AF1-4714-4CEE-90D0-E7321F342FC1}"/>
    <hyperlink ref="E1523" r:id="rId1436" xr:uid="{A694AB00-06CF-413D-91DC-4E8FDF68F021}"/>
    <hyperlink ref="E1524" r:id="rId1437" xr:uid="{7D0F1222-01CD-4E49-B132-FAB1DE4C93D9}"/>
    <hyperlink ref="E1525" r:id="rId1438" xr:uid="{EA3A071B-EF3D-4E63-A206-82E8FE77AFF4}"/>
    <hyperlink ref="E1526" r:id="rId1439" xr:uid="{85261D6C-A4B4-4329-AC7F-90ADEFD9F1CF}"/>
    <hyperlink ref="E1527" r:id="rId1440" xr:uid="{27CC6B10-5A29-4B4D-BAC7-CA264A05F543}"/>
    <hyperlink ref="E1528" r:id="rId1441" xr:uid="{5CCF85F7-B8FB-4646-98DF-3FBA26D2D18A}"/>
    <hyperlink ref="E1529" r:id="rId1442" xr:uid="{AF42D96B-A142-4180-A300-276A1E01E46C}"/>
    <hyperlink ref="E1531" r:id="rId1443" xr:uid="{115B516A-773E-4CC6-9E1E-E7287CDA1B91}"/>
    <hyperlink ref="E1532" r:id="rId1444" xr:uid="{35CFAE59-6504-44D6-B01B-BF7E74844890}"/>
    <hyperlink ref="E1533" r:id="rId1445" xr:uid="{F09E8A42-D81A-406D-9287-4D0B67AF9BA4}"/>
    <hyperlink ref="E1535" r:id="rId1446" xr:uid="{4DA7318F-3A81-48BD-A353-9DAD64FEB3F0}"/>
    <hyperlink ref="E1536" r:id="rId1447" xr:uid="{ACA083A4-FB81-43DD-8CBB-15B8F44902C8}"/>
    <hyperlink ref="E1537" r:id="rId1448" xr:uid="{53F2C288-6886-467A-9314-A5EEB2084F9A}"/>
    <hyperlink ref="E1538" r:id="rId1449" xr:uid="{58167B7D-C155-4813-ADB1-394FE632FDB2}"/>
    <hyperlink ref="E1539" r:id="rId1450" xr:uid="{E40C1F78-2B35-458E-AFA0-6C4B614C7599}"/>
    <hyperlink ref="E1540" r:id="rId1451" xr:uid="{74AE3749-A354-48E6-A799-C787FB9F4119}"/>
    <hyperlink ref="E1541" r:id="rId1452" xr:uid="{EF419E3D-3986-4170-8250-FBC82985468A}"/>
    <hyperlink ref="E1542" r:id="rId1453" xr:uid="{303953FB-9DE2-421C-AFA7-3AAF07025AA1}"/>
    <hyperlink ref="E1543" r:id="rId1454" xr:uid="{EC7746AF-AF86-4D14-A142-3D314D0A2C71}"/>
    <hyperlink ref="E1544" r:id="rId1455" xr:uid="{26BB51FD-D6C3-444F-8EB9-B628040D6E84}"/>
    <hyperlink ref="E1250" r:id="rId1456" xr:uid="{089C3FF0-4915-4095-8AAE-9F2E24E93079}"/>
    <hyperlink ref="E1251" r:id="rId1457" xr:uid="{2A76ED9B-FF56-4CEB-8475-AFD50FE0701B}"/>
    <hyperlink ref="E1545" r:id="rId1458" xr:uid="{6F396F79-C8A4-4553-BE83-F089831DF719}"/>
    <hyperlink ref="E1546" r:id="rId1459" xr:uid="{72C62F7F-225C-4D7C-A52B-98BF3E35D624}"/>
    <hyperlink ref="E1547" r:id="rId1460" xr:uid="{9B5AC288-0F87-4DF9-838F-69AD048C1AB9}"/>
    <hyperlink ref="E1548" r:id="rId1461" xr:uid="{C4AC6DF2-10CE-4AED-8FA7-62E953E7552F}"/>
    <hyperlink ref="E1549" r:id="rId1462" xr:uid="{E8DD8DA6-F54E-4CC7-ADD6-F606580E3D54}"/>
    <hyperlink ref="E1550" r:id="rId1463" xr:uid="{F5DADC50-C34B-4231-BCCA-717900820D78}"/>
    <hyperlink ref="E1551" r:id="rId1464" xr:uid="{125F0F3A-4F81-49D2-98A9-5CEDF9A166C4}"/>
    <hyperlink ref="E1552" r:id="rId1465" xr:uid="{DB8167BF-019B-4EB9-8294-D2B0ECF3E030}"/>
    <hyperlink ref="E1553" r:id="rId1466" xr:uid="{A0F79FDE-2B66-49C6-AE05-64C43A413D17}"/>
    <hyperlink ref="E1554" r:id="rId1467" xr:uid="{377BAD3D-FBB0-45FD-9D77-34300B737AF6}"/>
    <hyperlink ref="E1491" r:id="rId1468" xr:uid="{BB291178-B8F5-455B-9341-632D08122D15}"/>
    <hyperlink ref="E1555" r:id="rId1469" xr:uid="{59FFA5F0-ADB3-4768-BFED-97F13743F5B2}"/>
    <hyperlink ref="E1556" r:id="rId1470" xr:uid="{664C22CF-2A4D-441A-8BCE-64053E33CEBA}"/>
    <hyperlink ref="E1557" r:id="rId1471" xr:uid="{E325967E-40F6-4DD5-83C6-CFBBD04960A7}"/>
    <hyperlink ref="E1558" r:id="rId1472" xr:uid="{2F5ED74F-83FC-4611-AA7C-12FE098BF0F3}"/>
    <hyperlink ref="E1559" r:id="rId1473" xr:uid="{9E67F859-4857-4A55-9086-6D7B980106E0}"/>
    <hyperlink ref="E1560" r:id="rId1474" xr:uid="{2D909A86-4825-4E3F-89A3-C910D54D4F01}"/>
    <hyperlink ref="E1561" r:id="rId1475" xr:uid="{FA1C2233-8938-4A36-9782-0379FD9CB40D}"/>
    <hyperlink ref="E1562" r:id="rId1476" xr:uid="{815D709A-175F-4E21-87D9-51B5976BC9F8}"/>
    <hyperlink ref="E1563" r:id="rId1477" xr:uid="{5330B31F-DF73-4517-B7D0-1031890A2896}"/>
    <hyperlink ref="E1565" r:id="rId1478" xr:uid="{64A72EF8-678F-457E-B04F-02EEAC9FEE6E}"/>
    <hyperlink ref="E1201" r:id="rId1479" xr:uid="{87133E75-3148-4FBE-A651-25A00F23525B}"/>
    <hyperlink ref="E1503" r:id="rId1480" xr:uid="{9120026D-C033-4A67-91DF-623D60022427}"/>
    <hyperlink ref="E1200" r:id="rId1481" xr:uid="{DDED9491-7D02-42D9-8C21-40B54FF2BA92}"/>
    <hyperlink ref="E1199" r:id="rId1482" xr:uid="{E1791B71-FBEB-45CA-AB73-44AF03D00014}"/>
    <hyperlink ref="E1198" r:id="rId1483" xr:uid="{D03B1A18-9312-486F-9158-FC71D586FCFC}"/>
    <hyperlink ref="E1197" r:id="rId1484" xr:uid="{B7AF6962-4BEB-4ADF-BF65-3D55537394BB}"/>
    <hyperlink ref="E1508" r:id="rId1485" xr:uid="{1AAFBE18-803E-45C3-8E79-A498ECF2B066}"/>
    <hyperlink ref="E1196" r:id="rId1486" xr:uid="{F2DA66A3-CE45-4A8D-9DBD-663F8E5CAAF1}"/>
    <hyperlink ref="E1195" r:id="rId1487" xr:uid="{693ED4BF-DF5A-44D2-B864-1EDB44405850}"/>
    <hyperlink ref="E1194" r:id="rId1488" xr:uid="{591FCD2A-1062-4343-9E24-3CCD487EBEEB}"/>
    <hyperlink ref="E1193" r:id="rId1489" xr:uid="{F262B9DE-5DD2-4233-858B-A5A26382274C}"/>
    <hyperlink ref="E1192" r:id="rId1490" xr:uid="{B6347FD1-EC1D-4E00-A977-EBA431952E11}"/>
    <hyperlink ref="E1191" r:id="rId1491" xr:uid="{A8E0815F-5811-4285-85D3-494D6F2A3F95}"/>
    <hyperlink ref="E1205" r:id="rId1492" xr:uid="{682618C0-D058-4445-B058-887456AC7C09}"/>
    <hyperlink ref="E1208" r:id="rId1493" xr:uid="{110C1852-90EB-4B9C-98D0-81CBA94260FD}"/>
    <hyperlink ref="E1207" r:id="rId1494" xr:uid="{62C82B3C-967D-40F1-B8E7-48051997E5EA}"/>
    <hyperlink ref="E1206" r:id="rId1495" xr:uid="{2A45381C-AFC3-44B0-B22E-7F88C3B55CE1}"/>
    <hyperlink ref="E1204" r:id="rId1496" xr:uid="{A7DA102B-1206-446E-A184-6EC0B0547337}"/>
    <hyperlink ref="E1203" r:id="rId1497" xr:uid="{C789BF6A-8B10-41AE-BB45-E296819D6415}"/>
    <hyperlink ref="E1202" r:id="rId1498" xr:uid="{5395F379-CBE8-4CFF-8088-67363D8C3D9C}"/>
    <hyperlink ref="E1568" r:id="rId1499" xr:uid="{1A35E2F0-D680-4539-9930-AA49C95AFF63}"/>
    <hyperlink ref="E1570" r:id="rId1500" xr:uid="{C37C76A3-EE70-45BC-BE3F-CD7573EA73C7}"/>
    <hyperlink ref="E1571" r:id="rId1501" xr:uid="{E5F5FEC3-82AC-4B9B-B96C-65CD7ECBFA23}"/>
    <hyperlink ref="E1572" r:id="rId1502" xr:uid="{E80B19AB-53D0-4ECC-BA30-269191CA8A7A}"/>
    <hyperlink ref="E1573" r:id="rId1503" xr:uid="{A506B922-C8A6-4CCE-A304-2F62F9E6E2C1}"/>
    <hyperlink ref="E1574" r:id="rId1504" xr:uid="{34C9FB78-3E63-41B0-BD9D-8CF9491AAC49}"/>
    <hyperlink ref="E1575" r:id="rId1505" xr:uid="{B8509540-945C-4BBA-AEC1-25DD9DD572D2}"/>
    <hyperlink ref="E1576" r:id="rId1506" xr:uid="{8CA2DCF2-B0BE-4C36-A167-A29705D483ED}"/>
    <hyperlink ref="E1530" r:id="rId1507" xr:uid="{79580CB5-D3EF-45BA-B457-C44A84D6E755}"/>
    <hyperlink ref="E1578" r:id="rId1508" xr:uid="{065A154D-7406-4F72-B941-AF5A6D6D4B9B}"/>
    <hyperlink ref="E1579" r:id="rId1509" xr:uid="{1B148051-DC53-4660-A7A6-8A2DF839BB65}"/>
    <hyperlink ref="E1580" r:id="rId1510" xr:uid="{15D2F831-D606-461B-96EF-6F7AF75EA240}"/>
    <hyperlink ref="E1534" r:id="rId1511" xr:uid="{8D192009-2C80-4A9B-BEEF-E9858E0FC9C6}"/>
    <hyperlink ref="E1581" r:id="rId1512" xr:uid="{ABA50869-C64C-45F4-AF04-28FCAEE1E445}"/>
    <hyperlink ref="E1582" r:id="rId1513" xr:uid="{A01FF31D-73BA-4843-88F7-18180ADB7305}"/>
    <hyperlink ref="E1584" r:id="rId1514" xr:uid="{43583C57-2B77-4CA9-A446-5EE95F964BEB}"/>
    <hyperlink ref="E1585" r:id="rId1515" xr:uid="{72B7908E-7CA3-4D0C-9EAE-528D21C6F663}"/>
    <hyperlink ref="E1586" r:id="rId1516" xr:uid="{3207F456-9EAB-4837-8537-1254ABFBAD16}"/>
    <hyperlink ref="E1587" r:id="rId1517" xr:uid="{9BBDB76A-B9AF-4D77-A76F-DAB257994819}"/>
    <hyperlink ref="E1589" r:id="rId1518" xr:uid="{2B316EAE-6977-4C72-BF92-C09C61A060BD}"/>
    <hyperlink ref="E1590" r:id="rId1519" xr:uid="{B16AC0C9-FC64-4CAA-A8C5-AF059068198A}"/>
    <hyperlink ref="E1591" r:id="rId1520" xr:uid="{CA1390F3-5876-4478-A9A7-A284C83F32EA}"/>
    <hyperlink ref="E1592" r:id="rId1521" xr:uid="{7FBF2B53-C390-4185-843B-2ADD6FAB206B}"/>
    <hyperlink ref="E1594" r:id="rId1522" xr:uid="{6A0E3625-072C-4A42-9567-941C0A78E48C}"/>
    <hyperlink ref="E1595" r:id="rId1523" xr:uid="{98C668A9-7CA3-47D9-83B0-32E14AC9A86D}"/>
    <hyperlink ref="E1596" r:id="rId1524" xr:uid="{C843FE8D-A5B7-4AD3-85CC-FD8327BF5431}"/>
    <hyperlink ref="E1597" r:id="rId1525" xr:uid="{C5FD6EF8-DF4C-4EDB-BBA7-6FF1358AADAD}"/>
    <hyperlink ref="E1215" r:id="rId1526" xr:uid="{87413BBD-5DB8-4FBB-BCC6-EA25D3C8BDCB}"/>
    <hyperlink ref="E1214" r:id="rId1527" xr:uid="{AC8039D2-5641-41D2-84D3-5D6F5CFAFCAC}"/>
    <hyperlink ref="E1213" r:id="rId1528" xr:uid="{FCD26444-AC6C-40FC-824E-6D2E98F7F894}"/>
    <hyperlink ref="E1212" r:id="rId1529" xr:uid="{F724AACA-6BDD-436D-86DA-3E53B3B033D5}"/>
    <hyperlink ref="E1211" r:id="rId1530" xr:uid="{633B6B51-C47C-41ED-BCFB-1AF7F625A8B5}"/>
    <hyperlink ref="E1210" r:id="rId1531" xr:uid="{FD5F9146-9B33-441D-B86A-2990E46AD6A9}"/>
    <hyperlink ref="E1209" r:id="rId1532" xr:uid="{C753F37C-C1D7-4649-8EE1-721D0BD8B50B}"/>
    <hyperlink ref="E1598" r:id="rId1533" xr:uid="{2B020637-0A10-41F2-9BD4-E012ECED8053}"/>
    <hyperlink ref="E1222" r:id="rId1534" xr:uid="{FE18527F-D00F-4F63-9FEF-00818C20F2F9}"/>
    <hyperlink ref="E1221" r:id="rId1535" xr:uid="{62D838D6-B366-45A8-8CED-6719D7620EE5}"/>
    <hyperlink ref="E1220" r:id="rId1536" xr:uid="{7DBDDF8C-31F2-4914-B775-D2638F4F651B}"/>
    <hyperlink ref="E1219" r:id="rId1537" xr:uid="{9502F1F4-72E3-48C5-BE08-1359AE745CC6}"/>
    <hyperlink ref="E1218" r:id="rId1538" xr:uid="{58709A74-65B5-4BAB-AFF1-5BE0FCCDA725}"/>
    <hyperlink ref="E1217" r:id="rId1539" xr:uid="{8A1D62B7-AF64-4F27-9F2B-D7AB39A13D4B}"/>
    <hyperlink ref="E1216" r:id="rId1540" xr:uid="{815A57C6-72FE-4DCD-9250-CB9E6108A227}"/>
    <hyperlink ref="E1564" r:id="rId1541" xr:uid="{58CE186F-FBB9-4F7E-89F3-5831FF13EC69}"/>
    <hyperlink ref="E1599" r:id="rId1542" xr:uid="{2FB240AF-8388-4F80-BA30-F25977DBE676}"/>
    <hyperlink ref="E1566" r:id="rId1543" xr:uid="{F8946E74-0E9A-4ECD-8672-0102B3742342}"/>
    <hyperlink ref="E1567" r:id="rId1544" xr:uid="{52691F2C-59AA-4306-9D5C-1DA24A3092A2}"/>
    <hyperlink ref="E1600" r:id="rId1545" xr:uid="{7D1CAB17-4F79-479E-A189-864F53AEDE92}"/>
    <hyperlink ref="E1569" r:id="rId1546" xr:uid="{1B450801-B9FD-4744-95C0-99DEDE906E45}"/>
    <hyperlink ref="E1601" r:id="rId1547" xr:uid="{B83D554D-39E8-4D1D-8ADF-3843D13B9FEC}"/>
    <hyperlink ref="E1602" r:id="rId1548" xr:uid="{2816EE66-C6EF-4254-8FA9-4F15EC691B74}"/>
    <hyperlink ref="E1603" r:id="rId1549" xr:uid="{ECE459B5-5CF7-4DDC-9900-D39AD79B6153}"/>
    <hyperlink ref="E1604" r:id="rId1550" xr:uid="{E09865D6-76DA-4D67-B89F-3BAD8B5BC0BE}"/>
    <hyperlink ref="E1605" r:id="rId1551" xr:uid="{CEE1D4B0-4511-4419-A315-3ED00B0265FA}"/>
    <hyperlink ref="E1606" r:id="rId1552" xr:uid="{8694AB7C-6236-4047-876A-D569727CB0E2}"/>
    <hyperlink ref="E1607" r:id="rId1553" xr:uid="{7B9B6E2A-3168-4343-8343-E2A3BBAAB578}"/>
    <hyperlink ref="E1577" r:id="rId1554" xr:uid="{A367405D-82C5-45DF-8EBE-7DDB600F68E8}"/>
    <hyperlink ref="E1608" r:id="rId1555" xr:uid="{45436FD1-485D-48EF-9784-ED611F41DD0A}"/>
    <hyperlink ref="E1610" r:id="rId1556" xr:uid="{0C32E017-C857-4124-877C-30A84A940F36}"/>
    <hyperlink ref="E1611" r:id="rId1557" xr:uid="{31EAF5DB-50EB-4E07-A6A5-114494909DAC}"/>
    <hyperlink ref="E1612" r:id="rId1558" xr:uid="{BF7ABA9B-D83D-4F85-8FBD-F68572C0D8EB}"/>
    <hyperlink ref="E1613" r:id="rId1559" xr:uid="{07A54A2A-A55A-4B24-A0A1-BD5396195BF8}"/>
    <hyperlink ref="E1583" r:id="rId1560" xr:uid="{6F06997E-BD74-47F8-B89C-DD1B7623846C}"/>
    <hyperlink ref="E1614" r:id="rId1561" xr:uid="{64EDFF72-76B0-462C-A789-909E014EBC5B}"/>
    <hyperlink ref="E1615" r:id="rId1562" xr:uid="{7C8BD35B-6F23-4A98-86BC-B7BDFCD9591C}"/>
    <hyperlink ref="E1617" r:id="rId1563" xr:uid="{5F395B78-CAB1-48DB-AC08-31B0A9180D1E}"/>
    <hyperlink ref="E1618" r:id="rId1564" xr:uid="{A647058F-4148-45A4-B680-A42FF067B8D2}"/>
    <hyperlink ref="E1588" r:id="rId1565" xr:uid="{5C2EE5A9-B45E-4785-9A3F-44EBBD4CAFC3}"/>
    <hyperlink ref="E1619" r:id="rId1566" xr:uid="{5333DFF9-5631-4F03-B74D-28FBA2E0FC24}"/>
    <hyperlink ref="E1620" r:id="rId1567" xr:uid="{72184C18-93F8-4C2F-A43C-4445AADB98D2}"/>
    <hyperlink ref="E1621" r:id="rId1568" xr:uid="{833DE0EE-8275-4664-A4DA-35C91AB4B167}"/>
    <hyperlink ref="E1622" r:id="rId1569" xr:uid="{D3B851E9-48DD-492B-8BAC-66D6E4EB64E4}"/>
    <hyperlink ref="E1593" r:id="rId1570" xr:uid="{0A9E85E3-43B5-45F2-9B39-513CF7346242}"/>
    <hyperlink ref="E1623" r:id="rId1571" xr:uid="{7D5DD089-A501-4615-B549-1B069C104929}"/>
    <hyperlink ref="E1624" r:id="rId1572" xr:uid="{A1FCBC68-B239-42A1-9FBA-0444FE4BBEE6}"/>
    <hyperlink ref="E1625" r:id="rId1573" xr:uid="{B98341C0-C983-46E0-BBB5-195EBAC06EC0}"/>
    <hyperlink ref="E1626" r:id="rId1574" xr:uid="{38249F22-7FF1-4ED4-8AFE-D170216FC03F}"/>
    <hyperlink ref="E1223" r:id="rId1575" xr:uid="{71498724-1F15-4A5F-AC6F-026CB0F28BA3}"/>
    <hyperlink ref="E1228" r:id="rId1576" xr:uid="{E0806E13-3A1B-4291-8C33-E4574B1B68D4}"/>
    <hyperlink ref="E1227" r:id="rId1577" xr:uid="{505A687F-5B33-4C29-9A28-7792CCD90174}"/>
    <hyperlink ref="E1226" r:id="rId1578" xr:uid="{BB5AF2EB-C1A9-49EE-B023-DFAC21C02FD4}"/>
    <hyperlink ref="E1225" r:id="rId1579" xr:uid="{A7F543A5-B5C6-4FC6-89F1-D39BBBEC2015}"/>
    <hyperlink ref="E1224" r:id="rId1580" xr:uid="{14CB6343-EC78-4FED-A343-3E200CC0E129}"/>
    <hyperlink ref="E1627" r:id="rId1581" xr:uid="{19A686C3-A61D-4F2F-9AF9-6F1472430041}"/>
    <hyperlink ref="E1628" r:id="rId1582" xr:uid="{2AAAF350-4E0B-4003-BC3D-E49FA4B708C6}"/>
    <hyperlink ref="E1631" r:id="rId1583" xr:uid="{83EE0517-3B60-4649-A4E2-98A415D7CF33}"/>
    <hyperlink ref="E1634" r:id="rId1584" xr:uid="{C3B61884-DC2A-4879-B4DB-AC3D5336AE72}"/>
    <hyperlink ref="E1635" r:id="rId1585" xr:uid="{6539BB1D-6144-4DC7-8D3E-7B9E3DB333F5}"/>
    <hyperlink ref="E1609" r:id="rId1586" xr:uid="{17533C16-D3A7-40FC-AF44-5BD62A9E0D5F}"/>
    <hyperlink ref="E1636" r:id="rId1587" xr:uid="{2C5409E0-A3B4-42E3-9294-EDD87E245DC2}"/>
    <hyperlink ref="E1639" r:id="rId1588" xr:uid="{8EFBAE99-2350-4ECB-AAA7-1BC3B9DE49F0}"/>
    <hyperlink ref="E1642" r:id="rId1589" xr:uid="{C2401CF9-1FDC-4A3C-8843-D6CF3936B7B3}"/>
    <hyperlink ref="E1643" r:id="rId1590" xr:uid="{165A7ABC-1BB1-446A-889E-E35E3C7EF503}"/>
    <hyperlink ref="E1644" r:id="rId1591" xr:uid="{331D830C-8656-49CE-9AE7-9A978B97AFE4}"/>
    <hyperlink ref="E1645" r:id="rId1592" xr:uid="{68C342DA-F6FC-405D-B2F1-48111D5EB819}"/>
    <hyperlink ref="E1630" r:id="rId1593" xr:uid="{9077E211-ABC7-4D35-BADD-79C427B8E5B2}"/>
    <hyperlink ref="E1647" r:id="rId1594" xr:uid="{961D0F68-E6E6-4F90-8D94-85E00881FF91}"/>
    <hyperlink ref="E1649" r:id="rId1595" xr:uid="{6FFD94CB-7730-4424-9567-9A817719C58F}"/>
    <hyperlink ref="E1651" r:id="rId1596" xr:uid="{00B14878-872D-48A2-B83F-AC334ACE1CC2}"/>
    <hyperlink ref="E1652" r:id="rId1597" xr:uid="{71FDB8BD-5EAA-4416-B713-E0CAD2B99CD8}"/>
    <hyperlink ref="E1653" r:id="rId1598" xr:uid="{1C7B4693-C9F8-4A9F-99BC-C8A6F67B88EE}"/>
    <hyperlink ref="E1654" r:id="rId1599" xr:uid="{B0C2DB4B-E408-4734-B58C-56D17E2E8FCF}"/>
    <hyperlink ref="E1233" r:id="rId1600" xr:uid="{8DFB3659-EBBE-405D-A87E-22C32CD7088A}"/>
    <hyperlink ref="E1232" r:id="rId1601" xr:uid="{E2EE7215-B703-4513-B9D0-31EE1AE4F7F1}"/>
    <hyperlink ref="E1234" r:id="rId1602" xr:uid="{03CA5332-E38C-41D5-A8AE-8BC7CBB44C35}"/>
    <hyperlink ref="E1230" r:id="rId1603" xr:uid="{B6FE8109-ADEB-4E93-BD02-3C8A15FC919C}"/>
    <hyperlink ref="E1231" r:id="rId1604" xr:uid="{038C00F2-5FE5-419A-8FF3-5E5DBE621831}"/>
    <hyperlink ref="E1229" r:id="rId1605" xr:uid="{A04F1404-0786-47F2-89A7-72369784C1D9}"/>
    <hyperlink ref="E1629" r:id="rId1606" xr:uid="{91648A31-E591-4A38-9C65-19AF416060E8}"/>
    <hyperlink ref="E1616" r:id="rId1607" xr:uid="{D6D18CDB-1DF4-4010-A757-304C757C6238}"/>
    <hyperlink ref="E1658" r:id="rId1608" xr:uid="{3B75746C-81E6-48C3-97AE-0FE3559362E1}"/>
    <hyperlink ref="E1632" r:id="rId1609" xr:uid="{6BAE0622-9437-4865-BBC4-B3950E094E7E}"/>
    <hyperlink ref="E1675" r:id="rId1610" xr:uid="{860A0629-A9CB-40CB-BD7D-472FB70E3C7A}"/>
    <hyperlink ref="E1659" r:id="rId1611" xr:uid="{FC2373A8-9D1B-4269-A63A-C2D1DFDFA7B9}"/>
    <hyperlink ref="E1661" r:id="rId1612" xr:uid="{8442800D-3A81-4579-A143-AB28BAD6D92E}"/>
    <hyperlink ref="E1236" r:id="rId1613" xr:uid="{A3A6180C-B88A-4DF6-8424-7904DA6C318A}"/>
    <hyperlink ref="E1633" r:id="rId1614" xr:uid="{C34A8CE4-879E-4114-995D-9B4F53C3EF56}"/>
    <hyperlink ref="E1638" r:id="rId1615" xr:uid="{85C9DBF6-CD9F-4283-8464-F521271DF128}"/>
    <hyperlink ref="E1235" r:id="rId1616" xr:uid="{5E8BCF7A-8F2B-4109-985F-0391142F098B}"/>
    <hyperlink ref="E1640" r:id="rId1617" xr:uid="{AD6FD198-A80C-4C52-9AB8-555C920B5270}"/>
    <hyperlink ref="E1641" r:id="rId1618" xr:uid="{CF55A814-EFD0-4D5D-989E-AD8C504E9F87}"/>
    <hyperlink ref="E1662" r:id="rId1619" xr:uid="{863A1204-0285-4758-A7A7-49E287CCBF23}"/>
    <hyperlink ref="E1663" r:id="rId1620" xr:uid="{C6E2B212-CC5C-49C1-B62C-33426A63007C}"/>
    <hyperlink ref="E1664" r:id="rId1621" xr:uid="{375A430F-278A-4C0D-A137-367A1743535E}"/>
    <hyperlink ref="E1665" r:id="rId1622" xr:uid="{0BC0F98E-07AF-4D60-B277-A03E7FDC4A53}"/>
    <hyperlink ref="E1637" r:id="rId1623" xr:uid="{05D136FD-F6F8-45EE-AEC8-24DA5C63BEA5}"/>
    <hyperlink ref="E1666" r:id="rId1624" xr:uid="{56B2B94D-D7CB-4752-ABBB-D18C4F60D0AA}"/>
    <hyperlink ref="E1648" r:id="rId1625" xr:uid="{F831BC52-80DE-474E-8B40-FDF56CC9EB3A}"/>
    <hyperlink ref="E1667" r:id="rId1626" xr:uid="{F30229F9-B574-4564-8FC5-F106FC8D69DC}"/>
    <hyperlink ref="E1679" r:id="rId1627" xr:uid="{4BD005E5-62D6-4AD7-BC38-E8FC16D82DF4}"/>
    <hyperlink ref="E1668" r:id="rId1628" xr:uid="{4978FACF-94C6-47A4-8C5A-74C5B24BFB49}"/>
    <hyperlink ref="E1669" r:id="rId1629" xr:uid="{88FA70B7-2132-45B5-A47F-D6098A1315E1}"/>
    <hyperlink ref="E1670" r:id="rId1630" xr:uid="{7C029047-8695-47E0-A7FF-893E338D1CCF}"/>
    <hyperlink ref="E1672" r:id="rId1631" xr:uid="{15A0D8E4-79E0-4226-A511-A1A462666786}"/>
    <hyperlink ref="E1681" r:id="rId1632" xr:uid="{546F55D3-F57F-47CC-94C1-D978A5B97A1A}"/>
    <hyperlink ref="E1656" r:id="rId1633" xr:uid="{02B71AB2-A616-4B8E-A028-06608E6BCFF3}"/>
    <hyperlink ref="E1657" r:id="rId1634" xr:uid="{4061CC16-2180-4A55-BF93-3785656E813A}"/>
    <hyperlink ref="E1673" r:id="rId1635" xr:uid="{B8D26238-3325-46B5-BD7C-F2676BD7B030}"/>
    <hyperlink ref="E1674" r:id="rId1636" xr:uid="{C5CB978D-7CAC-4A84-AE6E-B39220F3C0D3}"/>
    <hyperlink ref="E1660" r:id="rId1637" xr:uid="{61F8705E-799F-47D5-A749-6F6CA6D531AE}"/>
    <hyperlink ref="E1676" r:id="rId1638" xr:uid="{185A78C0-B73F-47C9-B49C-638D806CB37E}"/>
    <hyperlink ref="E1677" r:id="rId1639" xr:uid="{F6B82D23-3667-4BA7-A60F-9B616DC64ED5}"/>
    <hyperlink ref="E1243" r:id="rId1640" xr:uid="{F8599A12-B948-4209-B926-83B06B3C7F84}"/>
    <hyperlink ref="E1242" r:id="rId1641" xr:uid="{31D1985F-77C2-42D2-B030-95DACB626795}"/>
    <hyperlink ref="E1240" r:id="rId1642" xr:uid="{EBC1711F-A01D-45BD-8FEC-436B3476BCAE}"/>
    <hyperlink ref="E1239" r:id="rId1643" xr:uid="{40068115-568F-4BB6-B003-F8EE3FE21C4E}"/>
    <hyperlink ref="E1238" r:id="rId1644" xr:uid="{B7E584FF-0287-423F-AEBF-3818D1E1786F}"/>
    <hyperlink ref="E1237" r:id="rId1645" xr:uid="{AFEBBCE1-1C3A-404E-9CF5-B6BF38E564E1}"/>
    <hyperlink ref="E1241" r:id="rId1646" xr:uid="{B3C78F98-BB2F-4D3D-9C94-15C2290E8A5B}"/>
    <hyperlink ref="E1680" r:id="rId1647" xr:uid="{5B158E38-95E3-4C1C-98AC-0E94D3C875BC}"/>
    <hyperlink ref="E1671" r:id="rId1648" xr:uid="{05A9300E-9042-4003-B456-A97F228FED66}"/>
    <hyperlink ref="E1683" r:id="rId1649" xr:uid="{A93A9C00-668F-4AE1-A74C-28803724B64F}"/>
    <hyperlink ref="E1684" r:id="rId1650" xr:uid="{5AFF262C-80B4-404E-BD91-FF0877FB5AC9}"/>
    <hyperlink ref="E1685" r:id="rId1651" xr:uid="{22D69B71-A744-4D83-920B-C6007360708A}"/>
    <hyperlink ref="E1646" r:id="rId1652" xr:uid="{20154308-DFEC-4FFD-924B-857ED85E11FA}"/>
    <hyperlink ref="E1687" r:id="rId1653" xr:uid="{471A9B28-B39E-4E56-91C1-9B989252AA1E}"/>
    <hyperlink ref="E1692" r:id="rId1654" xr:uid="{CC2E7DEC-25BF-425F-8E13-E3079E413560}"/>
    <hyperlink ref="E1678" r:id="rId1655" xr:uid="{0BBF2DBF-149A-494E-9DE2-B997271F560C}"/>
    <hyperlink ref="E1650" r:id="rId1656" xr:uid="{11298E45-1D66-4CA4-800F-A60A6A848385}"/>
    <hyperlink ref="E1248" r:id="rId1657" xr:uid="{D4828AB5-EBE1-4E49-A930-8E6CBFECEF69}"/>
    <hyperlink ref="E1682" r:id="rId1658" xr:uid="{3A5DFFC6-6D0B-4F2F-80D4-2F3C14FEDE5B}"/>
    <hyperlink ref="E1686" r:id="rId1659" xr:uid="{C25E1006-D04F-4F00-BC7E-F5AD44E58BD4}"/>
    <hyperlink ref="E1247" r:id="rId1660" xr:uid="{B1D8E906-E1D0-4D6F-BE04-7A1C07B94F08}"/>
    <hyperlink ref="E1246" r:id="rId1661" xr:uid="{EB7FB559-2C5D-4395-B6B3-58814DA71B71}"/>
    <hyperlink ref="E1245" r:id="rId1662" xr:uid="{D7C671C5-CA1C-440C-B7E9-2FC269E778CF}"/>
    <hyperlink ref="E1716" r:id="rId1663" xr:uid="{6EC47F1F-0336-4AFE-9F7B-0A2FBFD12CF1}"/>
    <hyperlink ref="E1244" r:id="rId1664" xr:uid="{0D513A3E-5950-4811-91B5-89F867AE94A1}"/>
    <hyperlink ref="E1688" r:id="rId1665" xr:uid="{82D7AC77-E224-4419-B456-81A7EF32792D}"/>
    <hyperlink ref="E1689" r:id="rId1666" xr:uid="{E9F77040-DFDA-429B-A0CE-CA36C81E6423}"/>
    <hyperlink ref="E1690" r:id="rId1667" xr:uid="{A93470E4-870A-4680-A607-7483CF590F69}"/>
    <hyperlink ref="E1655" r:id="rId1668" xr:uid="{7461BDAA-DEF7-48CC-B592-E2E9F037AA29}"/>
    <hyperlink ref="E1694" r:id="rId1669" xr:uid="{2A8D303E-F44F-4EE1-A576-FD414B1F6859}"/>
    <hyperlink ref="E1693" r:id="rId1670" xr:uid="{50E1D0B0-926E-49EE-BAA7-99740D9718DF}"/>
    <hyperlink ref="E1698" r:id="rId1671" xr:uid="{26BBC4D5-1645-4365-A733-226C6F9AECF3}"/>
    <hyperlink ref="E1695" r:id="rId1672" xr:uid="{191744E5-E180-40C3-95F1-92A31CF51456}"/>
    <hyperlink ref="E1696" r:id="rId1673" xr:uid="{2123234C-E23E-4474-AEFA-BD20ED35EF68}"/>
    <hyperlink ref="E1697" r:id="rId1674" xr:uid="{1E65F5F9-5856-458C-B32B-EF362716DEAC}"/>
    <hyperlink ref="E1702" r:id="rId1675" xr:uid="{7465D297-FA10-4CED-804E-9BE0BAD82F79}"/>
    <hyperlink ref="E1691" r:id="rId1676" xr:uid="{6EA2AEE0-7A67-4778-ACCB-CF36BEEB6451}"/>
    <hyperlink ref="E1700" r:id="rId1677" xr:uid="{8EA21176-FD1D-4554-8F9F-7380EB6C5B54}"/>
    <hyperlink ref="E1701" r:id="rId1678" xr:uid="{D48D3D89-30C5-4518-9A25-08FCB50E2E7A}"/>
    <hyperlink ref="E1703" r:id="rId1679" xr:uid="{BC99B931-5AC7-41F5-BD32-A5ACC0B3672C}"/>
    <hyperlink ref="E1715" r:id="rId1680" xr:uid="{F1658633-E1DA-43E9-9D46-0BED15B35568}"/>
    <hyperlink ref="E1699" r:id="rId1681" xr:uid="{BF729E5F-0D04-42A2-97DD-4CA502E84A57}"/>
    <hyperlink ref="E1705" r:id="rId1682" xr:uid="{DCE0842D-DC80-480B-B77A-064EA20729C4}"/>
    <hyperlink ref="E1704" r:id="rId1683" xr:uid="{044C9969-D404-46D7-9FAA-E2F7DFDCF6C1}"/>
    <hyperlink ref="E1707" r:id="rId1684" xr:uid="{8F7CA0B8-8724-4059-8DD8-DCC0223572EB}"/>
    <hyperlink ref="E1708" r:id="rId1685" xr:uid="{0830D536-048C-4404-BC45-736168C1B801}"/>
    <hyperlink ref="E1709" r:id="rId1686" xr:uid="{72719F2A-3DA8-4AC2-9B08-28A7A0643A24}"/>
    <hyperlink ref="E1710" r:id="rId1687" xr:uid="{C9203F71-1357-4EF9-9AD8-889F7393416B}"/>
    <hyperlink ref="E1711" r:id="rId1688" xr:uid="{097D2614-A68B-4B77-8147-64D19998F8AC}"/>
    <hyperlink ref="E1712" r:id="rId1689" xr:uid="{6547C16E-4EB3-49BB-B104-B21F082E19E9}"/>
    <hyperlink ref="E1706" r:id="rId1690" xr:uid="{A72E5E16-0B41-4294-BF7F-D9363C7E77BA}"/>
    <hyperlink ref="E1714" r:id="rId1691" xr:uid="{38EFECE1-B130-479B-BBCB-431E06141261}"/>
    <hyperlink ref="E1249" r:id="rId1692" xr:uid="{1AD95558-40A6-4324-B551-2AA0650A10C5}"/>
    <hyperlink ref="E1713" r:id="rId1693" xr:uid="{974829AF-CA8D-45F7-A83C-4B77146062B1}"/>
    <hyperlink ref="E1717" r:id="rId1694" xr:uid="{50BC37D9-D8D9-4244-9B20-5CDB1983953F}"/>
    <hyperlink ref="E1718" r:id="rId1695" xr:uid="{42ED662F-9428-43F8-AC87-3EDC04EB1115}"/>
    <hyperlink ref="E1719" r:id="rId1696" xr:uid="{8736D415-1C1D-4A1F-86FF-CADC10C54F48}"/>
    <hyperlink ref="E1720" r:id="rId1697" xr:uid="{73FB35C6-A64A-4D7B-AA0A-E1AF07E770A2}"/>
    <hyperlink ref="E1721" r:id="rId1698" xr:uid="{1E823AE5-4714-4E17-B00F-E80C949A98DD}"/>
    <hyperlink ref="E1722" r:id="rId1699" xr:uid="{E3D383D6-B38B-474A-9167-1C98EAD95B2E}"/>
    <hyperlink ref="E1723" r:id="rId1700" xr:uid="{DF93DA70-22FA-45D1-8B5F-0D5B84933117}"/>
    <hyperlink ref="E1724" r:id="rId1701" xr:uid="{CB0DECE9-AA8F-4E90-ACF5-762B81009334}"/>
    <hyperlink ref="E1725" r:id="rId1702" xr:uid="{404B7EB8-DA7C-4170-9428-5A0EC75A03B8}"/>
    <hyperlink ref="E1726" r:id="rId1703" xr:uid="{4C50C6D8-E048-4427-8F7A-F64739C8C245}"/>
    <hyperlink ref="E1727" r:id="rId1704" xr:uid="{7B6D7B2B-FD4B-44C6-8667-F28D6686C986}"/>
    <hyperlink ref="E1728" r:id="rId1705" xr:uid="{1B7C0CEC-F574-4C7D-BBD7-FAC461AF411E}"/>
    <hyperlink ref="E1729" r:id="rId1706" xr:uid="{084BAFC9-A167-4D87-A06C-6E8F469F259F}"/>
    <hyperlink ref="E1730" r:id="rId1707" xr:uid="{DB694937-3145-4D9D-9A76-F4C3282A6BF1}"/>
    <hyperlink ref="E1731" r:id="rId1708" xr:uid="{B5128928-92B0-416F-975D-9200E268ED54}"/>
    <hyperlink ref="E1732" r:id="rId1709" xr:uid="{B2C26CA4-8E02-407F-8068-1CF871392283}"/>
    <hyperlink ref="E1733" r:id="rId1710" xr:uid="{2C4E4E89-61F2-4C3F-8F2E-59CD8E3B67F2}"/>
    <hyperlink ref="E1734" r:id="rId1711" xr:uid="{42B137B2-5EE7-4E39-9B58-200FA147AC57}"/>
    <hyperlink ref="E1735" r:id="rId1712" xr:uid="{2D45DFEB-6005-4722-B9C9-F8C791CCF826}"/>
    <hyperlink ref="E1736" r:id="rId1713" xr:uid="{6CBD65CC-E7D4-4AA9-9556-8127D8F4D112}"/>
    <hyperlink ref="E1737" r:id="rId1714" xr:uid="{5D35C65F-BA8C-4B8A-81F4-2112061EE343}"/>
    <hyperlink ref="E1738" r:id="rId1715" xr:uid="{6F3851D0-A8C8-4FF1-9173-1524EA763EEA}"/>
    <hyperlink ref="E1739" r:id="rId1716" xr:uid="{B09EBD4D-8909-43B0-A4E4-D4222D65F1A4}"/>
    <hyperlink ref="E1740" r:id="rId1717" xr:uid="{3E4ADE71-DD77-4B2E-B333-C94928E5003B}"/>
    <hyperlink ref="E1741" r:id="rId1718" xr:uid="{EC3038AB-2123-4473-AA0C-4830F8B14C69}"/>
    <hyperlink ref="E1742" r:id="rId1719" xr:uid="{92AA3AA4-9CB2-4459-9B7B-736C7DF5BF8F}"/>
    <hyperlink ref="E1743" r:id="rId1720" xr:uid="{DC00C945-43DC-41D3-A224-95DAAA99AF95}"/>
    <hyperlink ref="E1744" r:id="rId1721" xr:uid="{2BF1C2E0-A884-494D-9717-9370728D0410}"/>
    <hyperlink ref="E1745" r:id="rId1722" xr:uid="{87CDF523-D8A9-43E8-BC2D-53F480899377}"/>
    <hyperlink ref="E1746" r:id="rId1723" xr:uid="{31CD559A-6C9E-4A33-9283-9420EB1F4B59}"/>
    <hyperlink ref="E1747" r:id="rId1724" xr:uid="{EF78D258-FF67-402C-881E-E93C75A3BD36}"/>
    <hyperlink ref="E1748" r:id="rId1725" xr:uid="{110CE820-C214-49B2-87AE-37068F0FF858}"/>
    <hyperlink ref="E1749" r:id="rId1726" xr:uid="{479784D3-53D7-439A-9A1C-D267E98307AD}"/>
    <hyperlink ref="E1750" r:id="rId1727" xr:uid="{D61EEEAF-1FB2-4BF0-8D9A-908352A7FD94}"/>
    <hyperlink ref="E1751" r:id="rId1728" xr:uid="{DB456E8C-38AC-4275-8989-F038D97A42E8}"/>
    <hyperlink ref="E1752" r:id="rId1729" xr:uid="{522AE181-F100-4640-995C-593E9A53B7C2}"/>
    <hyperlink ref="E1753" r:id="rId1730" xr:uid="{6EF84405-D206-4CD4-94DE-B0ED133A7920}"/>
    <hyperlink ref="E1754" r:id="rId1731" xr:uid="{610291AF-7776-44EC-9A26-81A4EE4C75D6}"/>
    <hyperlink ref="E1755" r:id="rId1732" xr:uid="{6ECCEE32-6BED-426E-AC47-A6CF0CBE3A81}"/>
    <hyperlink ref="E1756" r:id="rId1733" xr:uid="{80F6D79A-A0C8-4941-97E0-973781D899BE}"/>
    <hyperlink ref="E1757" r:id="rId1734" xr:uid="{F8C82528-2E37-4BE5-9441-49237A3F6BED}"/>
    <hyperlink ref="E1758" r:id="rId1735" xr:uid="{F3A743DC-36FA-45DA-A2C9-C808030857AC}"/>
    <hyperlink ref="E1759" r:id="rId1736" xr:uid="{952A93DD-1437-499F-B84C-41F9F446A6F4}"/>
    <hyperlink ref="E1760" r:id="rId1737" xr:uid="{152DC9B1-A99A-4CB5-926A-3D47D1FC58F9}"/>
    <hyperlink ref="E1761" r:id="rId1738" xr:uid="{661DD02E-C16F-4A46-BE1B-B9792F7AEF40}"/>
    <hyperlink ref="E1762" r:id="rId1739" xr:uid="{EADEA1FC-A775-4ED0-8F84-5AD5AF3679E1}"/>
    <hyperlink ref="E1763" r:id="rId1740" xr:uid="{74EFC35A-570A-4D16-8C5A-3864B5BB6AB5}"/>
    <hyperlink ref="E1764" r:id="rId1741" xr:uid="{B175FC90-433C-48AE-969D-F9FA8351A145}"/>
    <hyperlink ref="E1765" r:id="rId1742" xr:uid="{D2F6454D-94F1-40BC-88A1-7F951ACAC9E8}"/>
    <hyperlink ref="E1766" r:id="rId1743" xr:uid="{81482F1C-E465-4F47-BF8B-4878FC104426}"/>
    <hyperlink ref="E1767" r:id="rId1744" xr:uid="{AA6D50A1-A044-4847-84EE-5E87AD343DEE}"/>
    <hyperlink ref="E1768" r:id="rId1745" xr:uid="{9E960A08-1B1C-4E03-8765-15C5E6A0FC51}"/>
    <hyperlink ref="E1769" r:id="rId1746" xr:uid="{C33AC770-093B-4E56-B7ED-C2C6E2BBF283}"/>
    <hyperlink ref="E1770" r:id="rId1747" xr:uid="{1EC0C819-D035-4B6C-BC93-B56BCF4DC56D}"/>
    <hyperlink ref="E1771" r:id="rId1748" xr:uid="{6AA15F60-A4D0-46DD-B1FB-A60C85C0697C}"/>
    <hyperlink ref="E1772" r:id="rId1749" xr:uid="{3446DD3D-0155-4358-BAD9-458037FB8C30}"/>
    <hyperlink ref="E1773" r:id="rId1750" xr:uid="{7B5D1FDF-94DF-4B30-81D4-6DAF3F4ECDEA}"/>
    <hyperlink ref="E1774" r:id="rId1751" xr:uid="{D5ABE591-3FD0-4214-A473-6E393FFB2F85}"/>
    <hyperlink ref="E1775" r:id="rId1752" xr:uid="{8987B3CA-77AE-422B-9715-85ADAF78BCB5}"/>
    <hyperlink ref="E1776" r:id="rId1753" xr:uid="{EB267E0D-B014-4F74-9CD5-39AF61EA81F0}"/>
    <hyperlink ref="E1777" r:id="rId1754" xr:uid="{ADBA82FB-D70C-4F8F-868B-FB94712D1C55}"/>
    <hyperlink ref="E1778" r:id="rId1755" xr:uid="{28DD06E2-D0A6-42B4-B80A-E9247178C01E}"/>
    <hyperlink ref="E1779" r:id="rId1756" xr:uid="{DA75D152-A9C6-4082-A5A0-107CB19C98CE}"/>
    <hyperlink ref="E1780" r:id="rId1757" xr:uid="{0B9806AD-FEA1-4DAB-9B38-1133FA9DE44E}"/>
    <hyperlink ref="E1781" r:id="rId1758" xr:uid="{A7222A2A-DF8B-4095-914F-89BDAC6A844E}"/>
    <hyperlink ref="E1782" r:id="rId1759" xr:uid="{B229783D-284D-497E-88CA-20C54C32DC33}"/>
    <hyperlink ref="E1783" r:id="rId1760" xr:uid="{967C5DE0-FDC8-4573-BC34-9BDE2379E85A}"/>
    <hyperlink ref="E1784" r:id="rId1761" xr:uid="{65A86FC3-447A-4FD9-8BBE-E3889741E06B}"/>
    <hyperlink ref="E1785" r:id="rId1762" xr:uid="{2ADB2942-FFFB-4143-A29B-9040E6877CB2}"/>
    <hyperlink ref="E1786" r:id="rId1763" xr:uid="{85988D0C-9428-4B89-9D1C-D8657EA18EDA}"/>
    <hyperlink ref="E1787" r:id="rId1764" xr:uid="{0F4B730E-AB59-4A4C-870D-5CB65BC4DE2E}"/>
    <hyperlink ref="E1788" r:id="rId1765" xr:uid="{07C50235-4B00-493B-8696-CF97FACE4AAD}"/>
    <hyperlink ref="E1789" r:id="rId1766" xr:uid="{67647360-458E-4C7C-BF5E-FDF9C6715240}"/>
    <hyperlink ref="E1790" r:id="rId1767" xr:uid="{10911120-4C5B-4A1F-906D-1AD55F5D97F9}"/>
    <hyperlink ref="E1791" r:id="rId1768" xr:uid="{C397E7DE-FC17-4CCE-A3B3-E04BF3B08E46}"/>
    <hyperlink ref="E1792" r:id="rId1769" xr:uid="{E61E3902-8586-4D79-BDF3-75AD73D5F81D}"/>
    <hyperlink ref="E1793" r:id="rId1770" xr:uid="{A9A046C8-F8C8-4B1B-B7B7-588E5B7CFCA6}"/>
    <hyperlink ref="E1794" r:id="rId1771" xr:uid="{1814B231-B0AC-4A15-9570-39F006F83C58}"/>
    <hyperlink ref="E1795" r:id="rId1772" xr:uid="{DF769A02-1025-430B-8349-9248F371B6CB}"/>
    <hyperlink ref="E1796" r:id="rId1773" xr:uid="{83C8AE3A-60BF-46BC-A89F-723B1068FD40}"/>
    <hyperlink ref="E1797" r:id="rId1774" xr:uid="{04BB0D93-129C-40BB-BD86-43FB84796CE3}"/>
    <hyperlink ref="E1798" r:id="rId1775" xr:uid="{F7AC67C5-B2DA-4B66-A96D-04B9516940FB}"/>
    <hyperlink ref="E1799" r:id="rId1776" xr:uid="{A1FBCA18-6404-44A7-B5BF-118858A6A9C9}"/>
    <hyperlink ref="E1800" r:id="rId1777" xr:uid="{7CB66688-F810-4814-A40A-21F124B31C93}"/>
    <hyperlink ref="E1801" r:id="rId1778" xr:uid="{BC2C4207-C1AA-4715-B37E-38680491FB10}"/>
    <hyperlink ref="E1802" r:id="rId1779" xr:uid="{C9797206-6227-409F-A5D1-A8C1C3CA0438}"/>
    <hyperlink ref="E1803" r:id="rId1780" xr:uid="{377CDA8D-3A91-4ADF-A585-DF70A34B450D}"/>
    <hyperlink ref="E1804" r:id="rId1781" xr:uid="{43954231-1138-454B-948A-BDF1CC356C5A}"/>
    <hyperlink ref="E1805" r:id="rId1782" xr:uid="{1C20E692-5BAE-4C40-ACD4-70655A7F8AEC}"/>
    <hyperlink ref="E1806" r:id="rId1783" xr:uid="{CBBBA209-E3D9-4C13-837D-F28953DEFCC9}"/>
    <hyperlink ref="E1807" r:id="rId1784" xr:uid="{7D792E88-3D10-4B5B-BD42-4AC27A63B45D}"/>
    <hyperlink ref="E1808" r:id="rId1785" xr:uid="{1EFD5992-CDE0-453F-84DC-EF3F86CD71D6}"/>
    <hyperlink ref="E1809" r:id="rId1786" xr:uid="{D5D38377-245C-4788-BB5D-5A7E5C5D4EEE}"/>
    <hyperlink ref="E1810" r:id="rId1787" xr:uid="{9FB7910C-2092-42CD-A750-8C25D6D771BE}"/>
    <hyperlink ref="E1811" r:id="rId1788" xr:uid="{B2BC4C8E-CBD2-4F49-B92D-6F22D187BE2B}"/>
    <hyperlink ref="E1812" r:id="rId1789" xr:uid="{AE0F8A95-6899-4A45-9B7C-EBF623A1F58A}"/>
    <hyperlink ref="E1813" r:id="rId1790" xr:uid="{615DE005-CC51-465B-A5FE-2C8D5E594D11}"/>
    <hyperlink ref="E1814" r:id="rId1791" xr:uid="{CFDA4BC5-CBF9-4CC0-A2D6-191DE9426661}"/>
    <hyperlink ref="E1815" r:id="rId1792" xr:uid="{77E6D251-0F19-4158-B1E3-9109C3F692BF}"/>
    <hyperlink ref="E1816" r:id="rId1793" xr:uid="{8998ED88-0CB6-4205-BC51-C066BAF45892}"/>
    <hyperlink ref="E1817" r:id="rId1794" xr:uid="{A9AA9B53-F2A8-44EF-931E-3B9D16E4D84E}"/>
    <hyperlink ref="E1818" r:id="rId1795" xr:uid="{4E4C833D-AE9F-4FBB-8085-889BD6F627C6}"/>
    <hyperlink ref="E1819" r:id="rId1796" xr:uid="{682C0A29-B5ED-4645-8624-DA30D37FDA5B}"/>
    <hyperlink ref="E1820" r:id="rId1797" xr:uid="{1EE0769E-76F5-4269-8070-2CB6F25B9E75}"/>
    <hyperlink ref="E1821" r:id="rId1798" xr:uid="{2B7E8C37-6453-4870-94EE-999969B9260A}"/>
    <hyperlink ref="E1822" r:id="rId1799" xr:uid="{2ECA8DA2-7668-4EF7-9B00-0B604C828745}"/>
    <hyperlink ref="E1823" r:id="rId1800" xr:uid="{D5391E3F-1DF8-415A-9414-DF4286B359A6}"/>
    <hyperlink ref="E1824" r:id="rId1801" xr:uid="{40E823F9-9774-45F7-A58C-99704DBE4E0C}"/>
    <hyperlink ref="E1825" r:id="rId1802" xr:uid="{94C94125-1385-4A78-89A2-64E145EBEE75}"/>
    <hyperlink ref="E1826" r:id="rId1803" xr:uid="{28AA807F-C5CC-4969-8C0D-05ECE8601882}"/>
    <hyperlink ref="E1827" r:id="rId1804" xr:uid="{C4916D26-C548-4D60-B483-593FD579AA7B}"/>
    <hyperlink ref="E1828" r:id="rId1805" xr:uid="{1967A9CF-AC9C-4348-AEFE-638E4CD4DD11}"/>
    <hyperlink ref="E1829" r:id="rId1806" xr:uid="{16E45BE6-A39D-4405-95CA-4C22B65EE6B2}"/>
    <hyperlink ref="E1830" r:id="rId1807" xr:uid="{9E54DD04-1526-4973-B382-3EEAB3811664}"/>
    <hyperlink ref="E1831" r:id="rId1808" xr:uid="{835F2369-F2F6-4AFC-8C72-54C50FBDD626}"/>
    <hyperlink ref="E1832" r:id="rId1809" xr:uid="{60A8C841-E84D-4A41-901D-88E2CA6A1C33}"/>
    <hyperlink ref="E1833" r:id="rId1810" xr:uid="{6BBCFDC6-75C3-44B9-8DED-143F5BAE1262}"/>
    <hyperlink ref="E1834" r:id="rId1811" xr:uid="{CE3A01E3-9FE1-4372-A22F-90EFEC019F8A}"/>
    <hyperlink ref="E1835" r:id="rId1812" xr:uid="{E7636977-85DF-4058-9A41-610C43F30864}"/>
    <hyperlink ref="E1836" r:id="rId1813" xr:uid="{E96811B1-A804-4D3A-9EC4-D11F362F9030}"/>
    <hyperlink ref="E1837" r:id="rId1814" xr:uid="{940D70D8-6045-42A2-976D-ACB7E351799F}"/>
    <hyperlink ref="E1838" r:id="rId1815" xr:uid="{B2CDF40F-EAD9-4C74-BE82-29338EF3784E}"/>
    <hyperlink ref="E1839" r:id="rId1816" xr:uid="{6EBBEAA4-4243-4C12-87D0-86DEF517A4FA}"/>
    <hyperlink ref="E1840" r:id="rId1817" xr:uid="{4798865F-A1D1-42D2-A66D-0ED2B5E28430}"/>
    <hyperlink ref="E1841" r:id="rId1818" xr:uid="{27EF3875-66DE-4668-9184-691FB914B49E}"/>
    <hyperlink ref="E1842" r:id="rId1819" xr:uid="{33507D22-4E0C-4789-B415-17B9244764F6}"/>
    <hyperlink ref="E1843" r:id="rId1820" xr:uid="{CCDD654A-FB9D-49CB-A415-1A3937143772}"/>
    <hyperlink ref="E1844" r:id="rId1821" xr:uid="{8782E6C1-DA7D-4C13-BCD7-810B21FD0243}"/>
    <hyperlink ref="E1845" r:id="rId1822" xr:uid="{EE3137A1-A051-4CB3-8C2A-8F3BD9C2A8E1}"/>
    <hyperlink ref="E1846" r:id="rId1823" xr:uid="{0A12D03B-BF10-46B8-B110-AAF63E34953A}"/>
    <hyperlink ref="E1847" r:id="rId1824" xr:uid="{DF12C0D6-F48C-4B38-8819-486DEAAE2609}"/>
    <hyperlink ref="E1848" r:id="rId1825" xr:uid="{383F786C-8E4F-499B-BEAE-E82143EC5582}"/>
    <hyperlink ref="E1849" r:id="rId1826" xr:uid="{BCA4FE5E-7791-4CB1-9797-1D560BA46844}"/>
    <hyperlink ref="E1850" r:id="rId1827" xr:uid="{DA76B87A-9461-438F-A1B6-E305DCD89375}"/>
    <hyperlink ref="E1851" r:id="rId1828" xr:uid="{1CEE8647-2B87-4A71-9D70-95FD5E432604}"/>
    <hyperlink ref="E1852" r:id="rId1829" xr:uid="{45A70107-13A5-4C9F-8D25-5013F33E66F6}"/>
    <hyperlink ref="E1853" r:id="rId1830" xr:uid="{DA6CA6F9-794A-47BF-852F-B952F01D0C3F}"/>
    <hyperlink ref="E1854" r:id="rId1831" xr:uid="{6519B23E-2DC8-4694-987F-4A6C9A00164A}"/>
    <hyperlink ref="E1855" r:id="rId1832" xr:uid="{7CDF55C1-D23B-4761-9716-153FD640D35B}"/>
    <hyperlink ref="E1856" r:id="rId1833" xr:uid="{E8243628-1F05-4114-A236-3F580799C9DD}"/>
    <hyperlink ref="E1857" r:id="rId1834" xr:uid="{A96460DD-73CA-47AC-AF04-2D5A2ECABD7B}"/>
    <hyperlink ref="E1858" r:id="rId1835" xr:uid="{AAB39A82-758F-4C04-B16E-62906E27A621}"/>
    <hyperlink ref="E1859" r:id="rId1836" xr:uid="{FA36DA53-2478-462F-BD9E-5543BC85B5DD}"/>
    <hyperlink ref="E1860" r:id="rId1837" xr:uid="{B01660FE-0919-404B-B923-D4D0EBB72512}"/>
    <hyperlink ref="E1861" r:id="rId1838" xr:uid="{1C8776F5-2C77-4209-B5CA-86FE49206A21}"/>
    <hyperlink ref="E1862" r:id="rId1839" xr:uid="{74668418-5E3E-451E-AC1F-65B8D65D0920}"/>
    <hyperlink ref="E1863" r:id="rId1840" xr:uid="{030EF66F-1A59-475F-BC4F-BF7C49AD7656}"/>
    <hyperlink ref="E1864" r:id="rId1841" xr:uid="{2F897F21-01AE-4269-BAB2-5ADA75AF49E3}"/>
    <hyperlink ref="E1865" r:id="rId1842" xr:uid="{69E90306-7363-4660-BF26-7591FAC396C9}"/>
    <hyperlink ref="E1866" r:id="rId1843" xr:uid="{E225F0B8-5F32-4F33-BAD2-21B3CAD0513A}"/>
    <hyperlink ref="E1867" r:id="rId1844" xr:uid="{6D178E81-99A6-4FC9-A2C1-CB21E433CB54}"/>
    <hyperlink ref="E1868" r:id="rId1845" xr:uid="{ED3B2AF4-6A9C-4F25-A8C8-AC459E2BEFD5}"/>
    <hyperlink ref="E1869" r:id="rId1846" xr:uid="{5E44BD8A-AA73-478B-A0A9-D5D619215284}"/>
    <hyperlink ref="E1870" r:id="rId1847" xr:uid="{B745E0E9-9D84-413E-85BB-D6EE4E7310B5}"/>
    <hyperlink ref="E1871" r:id="rId1848" xr:uid="{EBD4F654-E44D-48E7-9AEC-390297C89FD7}"/>
    <hyperlink ref="E1872" r:id="rId1849" xr:uid="{1E39E89C-AB62-4317-9F41-0FD2A14D6BCA}"/>
    <hyperlink ref="E1873" r:id="rId1850" xr:uid="{F84C0431-FDBC-4C98-8A00-00A37BA3FCB5}"/>
    <hyperlink ref="E1874" r:id="rId1851" xr:uid="{657AEA48-8601-40EB-AA6D-D7F3A93E410D}"/>
    <hyperlink ref="E1875" r:id="rId1852" xr:uid="{682AE63A-EEA2-4FD1-A910-43A8D54CB727}"/>
    <hyperlink ref="E1876" r:id="rId1853" xr:uid="{690E7AFE-EC14-4CAC-A4A1-862077DD7B0D}"/>
    <hyperlink ref="E1877" r:id="rId1854" xr:uid="{C891314C-9C03-47E7-9B8F-F0DAC2A5A556}"/>
    <hyperlink ref="E1878" r:id="rId1855" xr:uid="{A0907E5E-FD84-493B-93FD-F2F6BCF9BD25}"/>
    <hyperlink ref="E1879" r:id="rId1856" xr:uid="{666C3AB0-619F-489C-9642-A3C10948B717}"/>
    <hyperlink ref="E1880" r:id="rId1857" xr:uid="{4930664D-00E2-4E56-A5CC-E8B99D231DD2}"/>
    <hyperlink ref="E1881" r:id="rId1858" xr:uid="{6C080632-0F54-477D-A5E6-48B7D700F6B4}"/>
    <hyperlink ref="E1882" r:id="rId1859" xr:uid="{F6AC3683-AAEF-4E94-8C52-FC980BC32A85}"/>
    <hyperlink ref="E1883" r:id="rId1860" xr:uid="{4F3AF7DA-52FD-442B-AADD-F09F7CC02FDE}"/>
    <hyperlink ref="E1884" r:id="rId1861" xr:uid="{3DC05BF1-124A-4286-9350-72D0FD8BEB26}"/>
    <hyperlink ref="E1885" r:id="rId1862" xr:uid="{F46EDCAD-2669-4224-9F6F-65625BBC0CD0}"/>
    <hyperlink ref="E1886" r:id="rId1863" xr:uid="{1E411648-11D0-4CDE-94D7-A1A0E2D158F3}"/>
    <hyperlink ref="E1887" r:id="rId1864" xr:uid="{EF71768A-818B-44DD-95BD-9BBFE973FA0B}"/>
    <hyperlink ref="E1888" r:id="rId1865" xr:uid="{13866479-9CCE-4F05-A6EB-3F6D7DF48A7E}"/>
    <hyperlink ref="E1889" r:id="rId1866" xr:uid="{034E0E87-24AE-4D19-AA84-2128D824FD15}"/>
    <hyperlink ref="E1890" r:id="rId1867" xr:uid="{0A8C9C11-B752-4B05-A679-E1443CA28323}"/>
    <hyperlink ref="E1891" r:id="rId1868" xr:uid="{9E79B987-9AA5-45E5-B230-003479F1172A}"/>
    <hyperlink ref="E1892" r:id="rId1869" xr:uid="{558AF889-9C7F-45F6-B01C-B0849C0D7826}"/>
    <hyperlink ref="E1893" r:id="rId1870" xr:uid="{7266C1F2-1003-46BB-B05D-FB13D1882A0C}"/>
    <hyperlink ref="E1894" r:id="rId1871" xr:uid="{A9349C81-D35B-410C-99C9-B6B84585B8AA}"/>
    <hyperlink ref="E1895" r:id="rId1872" xr:uid="{70E4E80E-C2E7-4E49-BD46-D73190E93D1F}"/>
    <hyperlink ref="E1896" r:id="rId1873" xr:uid="{083ED8A4-0EC1-46F7-845B-008121AAC36E}"/>
    <hyperlink ref="E1897" r:id="rId1874" xr:uid="{52BA2683-2F40-4119-B637-3136424AC3AB}"/>
    <hyperlink ref="E1898" r:id="rId1875" xr:uid="{BA672705-8D5D-4A0C-A036-D295D85B3DF9}"/>
    <hyperlink ref="E1899" r:id="rId1876" xr:uid="{BD1C18A0-2440-4E44-9DEE-164AE1111E2D}"/>
    <hyperlink ref="E1900" r:id="rId1877" xr:uid="{80467DC5-BF8B-4C4F-89E6-221991E978F8}"/>
    <hyperlink ref="E1901" r:id="rId1878" xr:uid="{9492207F-6520-44FE-9E74-46F0D98BB6A7}"/>
    <hyperlink ref="E1902" r:id="rId1879" xr:uid="{F3BAA1F6-987D-44C7-923E-F8C7E6AD5560}"/>
    <hyperlink ref="E1903" r:id="rId1880" xr:uid="{9719C7FD-82B8-4697-97D8-954AFAB76CB4}"/>
    <hyperlink ref="E1904" r:id="rId1881" xr:uid="{758B3143-4B00-4656-A20B-C4931F104F74}"/>
    <hyperlink ref="E1905" r:id="rId1882" xr:uid="{D1EC566E-9837-48A9-9D72-9E26B11A01C1}"/>
    <hyperlink ref="E1906" r:id="rId1883" xr:uid="{935C4965-9727-4835-9803-0FCE7AC08D89}"/>
    <hyperlink ref="E1907" r:id="rId1884" xr:uid="{CA6303EA-DA82-406E-80CD-0730816B2FFD}"/>
    <hyperlink ref="E1908" r:id="rId1885" xr:uid="{CCF3228D-43B5-4C90-A359-870C7E7E390E}"/>
    <hyperlink ref="E1909" r:id="rId1886" xr:uid="{4DDA4554-54CE-40EC-9452-7E97ABE5D052}"/>
    <hyperlink ref="E1910" r:id="rId1887" xr:uid="{CADBADB0-3217-48E9-AC41-FAACAA81A5BC}"/>
    <hyperlink ref="E1911" r:id="rId1888" xr:uid="{B7B4192E-7863-470F-B472-F67836B5F1D9}"/>
    <hyperlink ref="E1912" r:id="rId1889" xr:uid="{B4BDFD8E-0774-4D5A-8A17-B39E78F5620D}"/>
    <hyperlink ref="E1913" r:id="rId1890" xr:uid="{A716AB60-3ACD-4A22-9780-07C7AB136C72}"/>
    <hyperlink ref="E1914" r:id="rId1891" xr:uid="{EFF94C22-CFB7-465E-AF23-026CEE03CCF9}"/>
    <hyperlink ref="E1915" r:id="rId1892" xr:uid="{82D8A946-F756-4499-B8E0-B9A17FF01F57}"/>
    <hyperlink ref="E1916" r:id="rId1893" xr:uid="{CA3DC61D-05FD-478F-A1F1-C17DF4998CC5}"/>
    <hyperlink ref="E1917" r:id="rId1894" xr:uid="{AB60E264-3708-474E-9C5D-60CB75ED8250}"/>
    <hyperlink ref="E1918" r:id="rId1895" xr:uid="{106E12C3-C395-423D-9167-6AB900081009}"/>
    <hyperlink ref="E1919" r:id="rId1896" xr:uid="{1B8CD258-DD6C-451E-9E2A-6BA7B111DBE6}"/>
    <hyperlink ref="E1920" r:id="rId1897" xr:uid="{BEB8DCBC-EE95-4ED2-916B-0F13F9735214}"/>
    <hyperlink ref="E1921" r:id="rId1898" xr:uid="{07F543DF-E4E1-4B00-9B39-BC42CBFFC55B}"/>
    <hyperlink ref="E1922" r:id="rId1899" xr:uid="{FF2E3098-990D-4D4E-A639-91D9A55D73BA}"/>
    <hyperlink ref="E1923" r:id="rId1900" xr:uid="{ED573315-3922-43FA-BB1C-F26B41761B4B}"/>
    <hyperlink ref="E1924" r:id="rId1901" xr:uid="{DDFA054B-85DA-49EB-937B-D3FFADA3148B}"/>
    <hyperlink ref="E1925" r:id="rId1902" xr:uid="{D4809955-C18B-497F-9B84-0E1C3FB2E72C}"/>
    <hyperlink ref="E1926" r:id="rId1903" xr:uid="{E05988D7-4C9E-45AD-AA1F-1F979B042F00}"/>
    <hyperlink ref="E1927" r:id="rId1904" xr:uid="{A0237699-301D-474D-8E52-4098EA556009}"/>
    <hyperlink ref="E1928" r:id="rId1905" xr:uid="{217EE5B6-C8CC-42E5-8347-0628C17B3E64}"/>
    <hyperlink ref="E1929" r:id="rId1906" xr:uid="{6D89169C-4219-429D-B8AC-AE1F1944F80D}"/>
    <hyperlink ref="E1930" r:id="rId1907" xr:uid="{C6942619-560D-4A80-A296-BC201336DA2F}"/>
    <hyperlink ref="E1931" r:id="rId1908" xr:uid="{1BF22BEF-D98A-4451-9041-CED9EC73AC12}"/>
    <hyperlink ref="E1932" r:id="rId1909" xr:uid="{386F4726-2373-4884-A353-559ECB861A0B}"/>
    <hyperlink ref="E1933" r:id="rId1910" xr:uid="{0CA023D0-C9CF-4ABD-8C9D-3645036F06AE}"/>
    <hyperlink ref="E1934" r:id="rId1911" xr:uid="{786CA94B-7266-457B-8C16-71202BD08780}"/>
    <hyperlink ref="E1935" r:id="rId1912" xr:uid="{29BD13D0-603D-4CA4-8421-63EA68CF0D03}"/>
    <hyperlink ref="E1936" r:id="rId1913" xr:uid="{BC159B50-1377-40AE-938E-87C2FF0D7EED}"/>
    <hyperlink ref="E1937" r:id="rId1914" xr:uid="{912F6FCE-89DB-47EB-9956-AA797E769B22}"/>
    <hyperlink ref="E1938" r:id="rId1915" xr:uid="{31735AB7-7467-4CB4-AD5A-9F4E711DD217}"/>
    <hyperlink ref="E1939" r:id="rId1916" xr:uid="{80487C3B-184C-440A-B165-509DE6D4965C}"/>
    <hyperlink ref="E1940" r:id="rId1917" xr:uid="{95D3EFBA-EB7B-442E-BC97-0A6A390FF1B7}"/>
    <hyperlink ref="E1941" r:id="rId1918" xr:uid="{6CA38B74-1C28-45A5-8637-3C299F383CD8}"/>
    <hyperlink ref="E1942" r:id="rId1919" xr:uid="{D9246F1A-4949-41C3-8882-5E142A4D36E6}"/>
    <hyperlink ref="E1943" r:id="rId1920" xr:uid="{FD7E33F0-6FBD-46FF-B72F-D1D7E8C338F8}"/>
    <hyperlink ref="E1944" r:id="rId1921" xr:uid="{27EFACDA-67FA-451D-91C8-EDFFFD47EEEF}"/>
    <hyperlink ref="E1945" r:id="rId1922" xr:uid="{DDDC9D41-A64F-4B06-9704-0D13F377C3D3}"/>
    <hyperlink ref="E1946" r:id="rId1923" xr:uid="{356F5331-C33B-4CD3-A8CE-62FAD81D0E05}"/>
    <hyperlink ref="E1947" r:id="rId1924" xr:uid="{DD7B02F2-AD04-4E24-8F55-1975B8110E31}"/>
    <hyperlink ref="E1948" r:id="rId1925" xr:uid="{9281E959-D7EA-4EC7-84CE-271436873CB7}"/>
    <hyperlink ref="E1949" r:id="rId1926" xr:uid="{C8B01A0F-EF25-49B8-9043-EAE3DAB43105}"/>
    <hyperlink ref="E1950" r:id="rId1927" xr:uid="{42C80A2F-340B-4B9A-911C-C902F2153E87}"/>
    <hyperlink ref="E1951" r:id="rId1928" xr:uid="{1D84B872-4390-4AC2-BFFB-3528E0FD3381}"/>
    <hyperlink ref="E1952" r:id="rId1929" xr:uid="{A280C6C5-0C65-4864-B4C1-D71BAFBFA384}"/>
    <hyperlink ref="E1953" r:id="rId1930" xr:uid="{6A7671DE-BD7A-4555-AD86-EEF6B07BF52F}"/>
    <hyperlink ref="E1954" r:id="rId1931" xr:uid="{0E71D84B-FB1E-4F9E-97A2-90EA1A1EB87D}"/>
    <hyperlink ref="E1955" r:id="rId1932" xr:uid="{DC2F5387-95EE-4012-8514-746C462D17CF}"/>
    <hyperlink ref="E1956" r:id="rId1933" xr:uid="{7BDF5313-ECBD-463D-A925-59DB1EE2112C}"/>
    <hyperlink ref="E1957" r:id="rId1934" xr:uid="{821ADC57-41ED-4CE4-A703-3ED0ADA27A6F}"/>
    <hyperlink ref="E1958" r:id="rId1935" xr:uid="{4550967F-27AB-411B-B26E-CAD169381898}"/>
    <hyperlink ref="E1959" r:id="rId1936" xr:uid="{27A2BC3B-FB3D-4E09-879F-90368A921FA2}"/>
    <hyperlink ref="E1960" r:id="rId1937" xr:uid="{E54A1332-CD5B-4996-945F-42C9261B734A}"/>
    <hyperlink ref="E1961" r:id="rId1938" xr:uid="{7860FDF5-63BF-4BA3-B56B-AE087746D16A}"/>
    <hyperlink ref="E1962" r:id="rId1939" xr:uid="{490492BE-EE0A-4C67-8BCD-F2D5573C51F3}"/>
    <hyperlink ref="E1963" r:id="rId1940" xr:uid="{07289159-DF56-4BEF-A2FC-2511846E5510}"/>
    <hyperlink ref="E1964" r:id="rId1941" xr:uid="{3FB1DE86-68E1-43FA-A147-E25555910F4E}"/>
    <hyperlink ref="E1965" r:id="rId1942" xr:uid="{86B9526E-FA3E-47C3-9403-FD7E89F4869C}"/>
    <hyperlink ref="E1966" r:id="rId1943" xr:uid="{7F8DBFC9-35CF-47F0-978A-0820134A7BFA}"/>
    <hyperlink ref="E1967" r:id="rId1944" xr:uid="{83DB6EA6-54D7-40AF-B73D-9C5251DDAC74}"/>
    <hyperlink ref="E1968" r:id="rId1945" xr:uid="{C4377008-A49D-4E1B-97E3-E1E89E040ADC}"/>
    <hyperlink ref="E1969" r:id="rId1946" xr:uid="{9A0F9995-1E99-4C0A-9C28-ECA667838BCA}"/>
    <hyperlink ref="E1970" r:id="rId1947" xr:uid="{64D66A84-F5CB-4602-83F1-90A482B1AA3C}"/>
    <hyperlink ref="E1971" r:id="rId1948" xr:uid="{8EBDB250-F13D-48D4-BC83-168727467997}"/>
    <hyperlink ref="E1972" r:id="rId1949" xr:uid="{CB5D9559-A653-495D-9A0E-827E4B9B61C0}"/>
    <hyperlink ref="E1973" r:id="rId1950" xr:uid="{93E94C6F-7B16-42B0-9E95-AB3A98FB2194}"/>
    <hyperlink ref="E1974" r:id="rId1951" xr:uid="{D969B55C-37AE-4F8C-A871-313586BBBD35}"/>
    <hyperlink ref="E1975" r:id="rId1952" xr:uid="{10D98E8A-A152-479E-B4DD-563412E244E0}"/>
    <hyperlink ref="E1976" r:id="rId1953" xr:uid="{CE12F06A-5ECD-40BD-BC95-4113D3ED4116}"/>
    <hyperlink ref="E1977" r:id="rId1954" xr:uid="{83F5E136-BB2C-4364-AAE1-E0414BB8BAA7}"/>
    <hyperlink ref="E1978" r:id="rId1955" xr:uid="{107A6ED2-BC29-4673-BEBA-6C6F86D29130}"/>
    <hyperlink ref="E1979" r:id="rId1956" xr:uid="{C9DE1935-9F80-48A9-9143-26025615DE85}"/>
    <hyperlink ref="E1980" r:id="rId1957" xr:uid="{07B5D68A-0480-4618-A791-39AB998662DF}"/>
    <hyperlink ref="E1981" r:id="rId1958" xr:uid="{2C7FD0DE-A103-41E0-8FC2-960C0D3F2415}"/>
    <hyperlink ref="E1982" r:id="rId1959" xr:uid="{514EAF18-1C88-45A2-BFF8-40F6CC34CBD6}"/>
    <hyperlink ref="E1983" r:id="rId1960" xr:uid="{DDC7938E-1338-408B-B437-081A606047E3}"/>
    <hyperlink ref="E1984" r:id="rId1961" xr:uid="{2B173B6B-B652-4899-A26D-0AE95319B9F8}"/>
    <hyperlink ref="E1985" r:id="rId1962" xr:uid="{A757EFD1-B2C1-4940-96FD-D41E9AC6AFA7}"/>
    <hyperlink ref="E1986" r:id="rId1963" xr:uid="{E1559237-87A4-4947-AB36-5AD5B18D72FF}"/>
    <hyperlink ref="E1987" r:id="rId1964" xr:uid="{0CACFDE9-87B4-4863-BD2E-CA722F6BA1B5}"/>
    <hyperlink ref="E1988" r:id="rId1965" xr:uid="{AC23D3B0-2424-41F4-AA72-7F6E2AE11D9A}"/>
    <hyperlink ref="E1989" r:id="rId1966" xr:uid="{955ACA7A-5AC4-48A8-9B7D-822B03AEA30A}"/>
    <hyperlink ref="E1990" r:id="rId1967" xr:uid="{B092FAC2-3324-4861-9F48-195CB75EAA60}"/>
    <hyperlink ref="E1991" r:id="rId1968" xr:uid="{7EB8ACEF-55CC-4EE7-A8CE-D6A6908548DE}"/>
    <hyperlink ref="E1992" r:id="rId1969" xr:uid="{F064828C-D97F-4F06-8BEA-F1F94824A09D}"/>
    <hyperlink ref="E1993" r:id="rId1970" xr:uid="{260ED324-C6A9-402E-B4AD-4F6E72F2E065}"/>
    <hyperlink ref="E1994" r:id="rId1971" xr:uid="{1894EADD-BF82-4820-9635-76E673512C73}"/>
    <hyperlink ref="E1995" r:id="rId1972" xr:uid="{E9FFD95F-C9FB-46D7-BFC7-DA2041E81FF0}"/>
    <hyperlink ref="E1996" r:id="rId1973" xr:uid="{A9037CB5-864B-40D2-ACA7-CC57559DF2D1}"/>
    <hyperlink ref="E1997" r:id="rId1974" xr:uid="{2E5A6AFC-38E8-4DAE-A414-0AEB889CDA72}"/>
    <hyperlink ref="E1998" r:id="rId1975" xr:uid="{5555CDC9-676A-4B13-B0EF-AD3C23C8D5BD}"/>
    <hyperlink ref="E1999" r:id="rId1976" xr:uid="{5D297504-977F-4FEF-81C1-3BC71C903DF6}"/>
    <hyperlink ref="E2000" r:id="rId1977" xr:uid="{1F3C2862-CB32-4328-BBC5-8158ED5B2CC7}"/>
    <hyperlink ref="E2001" r:id="rId1978" xr:uid="{03F35790-5094-4140-858D-E028831813BC}"/>
    <hyperlink ref="E2002" r:id="rId1979" xr:uid="{68C64FE0-C8F7-43C5-AE29-21426D07120A}"/>
    <hyperlink ref="E2003" r:id="rId1980" xr:uid="{FBDE7136-2444-4260-87E6-F7F85CE9A050}"/>
    <hyperlink ref="E2004" r:id="rId1981" xr:uid="{BEFEFC10-522B-4CE0-AEF6-7CBD260E13F1}"/>
    <hyperlink ref="E2005" r:id="rId1982" xr:uid="{B083473F-E7A7-4F0A-B57A-0040C5795A34}"/>
    <hyperlink ref="E2006" r:id="rId1983" xr:uid="{9BE6F533-3EAB-42F3-A25B-F4948DA44CBC}"/>
    <hyperlink ref="E2007" r:id="rId1984" xr:uid="{CB77F285-7DDC-4BF3-87B2-54697F5B8B31}"/>
    <hyperlink ref="E2008" r:id="rId1985" xr:uid="{938937B6-9C66-4EC1-9739-05321956AC27}"/>
    <hyperlink ref="E2009" r:id="rId1986" xr:uid="{32E4B37E-5EBE-4E68-A6E3-E8FE976D65C3}"/>
    <hyperlink ref="E2010" r:id="rId1987" xr:uid="{5788653E-06D0-4D36-AABF-1D8480F6E6C0}"/>
    <hyperlink ref="E2011" r:id="rId1988" xr:uid="{DCB4424D-0920-422A-98C7-164D90C1FC10}"/>
    <hyperlink ref="E2012" r:id="rId1989" xr:uid="{CB3985ED-55B2-4048-B5A8-1B5E3FA6D15A}"/>
    <hyperlink ref="E2013" r:id="rId1990" xr:uid="{63B8DF35-9210-4F23-BB50-9CF115F4F86F}"/>
    <hyperlink ref="E2014" r:id="rId1991" xr:uid="{D7D6FF11-57EE-4F18-92DA-8B7C24012F57}"/>
    <hyperlink ref="E2015" r:id="rId1992" xr:uid="{A037DE07-888A-43ED-8C33-3D5EFAA3D3ED}"/>
    <hyperlink ref="E2016" r:id="rId1993" xr:uid="{E688173E-3140-43EE-8196-6344B4FE1C55}"/>
    <hyperlink ref="E2017" r:id="rId1994" xr:uid="{A570DAD3-E7B1-4C3F-BD97-A7C56D71280C}"/>
    <hyperlink ref="E2018" r:id="rId1995" xr:uid="{B909FF3E-E8AE-4406-8DD1-3A0F213AED3E}"/>
    <hyperlink ref="E2019" r:id="rId1996" xr:uid="{8D8D0152-B6E4-49A9-AF64-B974B6CF1016}"/>
    <hyperlink ref="E2020" r:id="rId1997" xr:uid="{454F415C-8E95-4602-AD45-B31C670E5EA6}"/>
    <hyperlink ref="E2021" r:id="rId1998" xr:uid="{BD6858C0-049D-4E97-B4FF-12C8FE77E393}"/>
    <hyperlink ref="E2022" r:id="rId1999" xr:uid="{995ACD66-B4EE-4344-8CF1-70F69EB637A1}"/>
    <hyperlink ref="E2023" r:id="rId2000" xr:uid="{63B3E829-5EA1-48D0-ACDC-08FEFD352878}"/>
    <hyperlink ref="E2024" r:id="rId2001" xr:uid="{A8F4BFDC-FC0D-45F5-8AC8-287FAD400F8F}"/>
    <hyperlink ref="E2025" r:id="rId2002" xr:uid="{13E1397B-1513-4082-B1F4-D6E6E6DAC67A}"/>
    <hyperlink ref="E2026" r:id="rId2003" xr:uid="{72DA25A8-479A-4207-84E9-1019A426E51C}"/>
    <hyperlink ref="E2027" r:id="rId2004" xr:uid="{86318175-B1D7-48BF-B40A-781CF2A80F7C}"/>
    <hyperlink ref="E2028" r:id="rId2005" xr:uid="{55237A7F-532A-4E68-A036-33F0E2ECD97F}"/>
    <hyperlink ref="E2029" r:id="rId2006" xr:uid="{C09C2EB1-490E-4943-B6FF-7CE647E684F4}"/>
    <hyperlink ref="E2030" r:id="rId2007" xr:uid="{A5D3DE06-5B4E-4689-BD61-730E441D91FA}"/>
    <hyperlink ref="E2031" r:id="rId2008" xr:uid="{98D08D09-0957-42AA-A45D-CC3E032563B1}"/>
    <hyperlink ref="E2032" r:id="rId2009" xr:uid="{4A9880B4-389C-42D2-9F91-46A8719FEE2E}"/>
    <hyperlink ref="E2033" r:id="rId2010" xr:uid="{A6F3D597-1633-47BB-A720-DF4620E053E8}"/>
    <hyperlink ref="E2034" r:id="rId2011" xr:uid="{A76E44DF-8DB0-4CEC-84D7-983CF8567174}"/>
    <hyperlink ref="E2035" r:id="rId2012" xr:uid="{03385F20-7EB1-409C-B3FD-CE98A6924A57}"/>
    <hyperlink ref="E2036" r:id="rId2013" xr:uid="{13361778-FB6D-46BA-BEEA-9BC7BDF64457}"/>
    <hyperlink ref="E2037" r:id="rId2014" xr:uid="{7F287287-8CF7-469B-B1CE-2526E879344A}"/>
    <hyperlink ref="E2038" r:id="rId2015" xr:uid="{813AFA2A-DC91-4D48-BF2D-35CE3D3DE997}"/>
    <hyperlink ref="E2039" r:id="rId2016" xr:uid="{520461CB-E42C-460D-AA45-5228F0AB2FAC}"/>
    <hyperlink ref="E2040" r:id="rId2017" xr:uid="{BD6F87BF-FD4F-4CFA-A38B-2675AF579403}"/>
    <hyperlink ref="E2041" r:id="rId2018" xr:uid="{09610CBB-FF04-4F8F-BF44-0C48660574C3}"/>
    <hyperlink ref="E2042" r:id="rId2019" xr:uid="{252C84C1-1447-4917-8879-DAA5A9EF0B16}"/>
    <hyperlink ref="E2044" r:id="rId2020" xr:uid="{414FCEE6-A8D0-43AC-8218-8159BFC5EA89}"/>
    <hyperlink ref="E2045" r:id="rId2021" xr:uid="{A3217842-FD71-45FD-8279-3A95361B98E5}"/>
    <hyperlink ref="E2046" r:id="rId2022" xr:uid="{9E3575B5-C598-469A-B86B-929570C54641}"/>
    <hyperlink ref="E2047" r:id="rId2023" xr:uid="{81E4ABCB-B3E9-4A18-AAA6-7E5232CCE6E2}"/>
    <hyperlink ref="E2048" r:id="rId2024" xr:uid="{639F60AD-0301-4E3C-BC2E-9C8DEA76F871}"/>
    <hyperlink ref="E2049" r:id="rId2025" xr:uid="{CD3FFBE5-D4FA-4AB2-8726-29BC13D2439C}"/>
    <hyperlink ref="E2051" r:id="rId2026" xr:uid="{C5035F75-6D63-4A4D-BFE2-BC99ECD8C073}"/>
    <hyperlink ref="E2052" r:id="rId2027" xr:uid="{109E98E0-98BB-492E-9A26-F1612B2892B0}"/>
    <hyperlink ref="E2053" r:id="rId2028" xr:uid="{B58C5C4F-8AC5-4417-8A3A-218A020E5C8D}"/>
    <hyperlink ref="E2054" r:id="rId2029" xr:uid="{8C5BD449-CE7F-429F-8AA8-0D438970A90D}"/>
    <hyperlink ref="E2055" r:id="rId2030" xr:uid="{6A9C87D2-A003-4C8A-B548-E0CB5D5EE49D}"/>
    <hyperlink ref="E2056" r:id="rId2031" xr:uid="{CC39C601-2CD3-4E61-8B7E-9A425EE744B2}"/>
    <hyperlink ref="E2057" r:id="rId2032" xr:uid="{98AECDA3-7856-4DB9-943D-9934C8345220}"/>
    <hyperlink ref="E2058" r:id="rId2033" xr:uid="{A3BF597A-453A-41AE-8D04-EAF109140A5E}"/>
    <hyperlink ref="E2059" r:id="rId2034" xr:uid="{E858A435-7541-49EB-B8D3-8B0EAF5BB178}"/>
    <hyperlink ref="E2060" r:id="rId2035" xr:uid="{A8222374-CBA7-4A12-A0F0-E2777E193018}"/>
    <hyperlink ref="E2061" r:id="rId2036" xr:uid="{02AD444B-9F85-49C3-B7EE-CD6A7DA87A5C}"/>
    <hyperlink ref="E2062" r:id="rId2037" xr:uid="{18CE0961-E20D-48CC-95F1-8C4340605507}"/>
    <hyperlink ref="E2063" r:id="rId2038" xr:uid="{47373716-2F5C-459E-AE59-27D7BC4945C6}"/>
    <hyperlink ref="E2064" r:id="rId2039" xr:uid="{2BF507DA-1C22-4591-A1D4-B45A769BC2FE}"/>
    <hyperlink ref="E2065" r:id="rId2040" xr:uid="{F7D126AE-FF82-40FC-AD06-9DED576E9B14}"/>
    <hyperlink ref="E2066" r:id="rId2041" xr:uid="{F10E46CD-B9AC-4C36-900F-9C502CA1A05F}"/>
    <hyperlink ref="E2067" r:id="rId2042" xr:uid="{2C5E8E93-C495-4D9D-B37B-CBC515097783}"/>
    <hyperlink ref="E2068" r:id="rId2043" xr:uid="{F289EA39-4AE4-4D03-A3E8-0D8BAC35094E}"/>
    <hyperlink ref="E2069" r:id="rId2044" xr:uid="{D1ECA105-7E73-4F76-A596-2CF2A56E3A34}"/>
    <hyperlink ref="E2070" r:id="rId2045" xr:uid="{F25B9EFC-8484-40F6-ABC7-628F8515423C}"/>
    <hyperlink ref="E2071" r:id="rId2046" xr:uid="{C327826F-C145-4C9F-B439-71576965B95A}"/>
    <hyperlink ref="E2072" r:id="rId2047" xr:uid="{1EF12284-98F7-4701-B814-5076C1D05DB6}"/>
    <hyperlink ref="E2073" r:id="rId2048" xr:uid="{4D5DF00F-D4A2-491A-BEC1-38FE495D339A}"/>
    <hyperlink ref="E2074" r:id="rId2049" xr:uid="{3B4BEA7A-51FC-4305-88DB-F37EBEAC51B2}"/>
    <hyperlink ref="E2075" r:id="rId2050" xr:uid="{B2322C9A-1DF0-4CF4-B07F-B2F1C5DC85DF}"/>
    <hyperlink ref="E2076" r:id="rId2051" xr:uid="{90F96A5A-C015-4123-A22F-B05D87A9F2BF}"/>
    <hyperlink ref="E2077" r:id="rId2052" xr:uid="{C5F18A3B-7F26-43A9-ADC1-80E0E1C8C466}"/>
    <hyperlink ref="E2078" r:id="rId2053" xr:uid="{9E0890D7-9AED-4DAF-ACAC-B4696D5878CB}"/>
    <hyperlink ref="E2079" r:id="rId2054" xr:uid="{17FFB0FB-63C7-4B9F-9766-3170FF06B440}"/>
    <hyperlink ref="E2080" r:id="rId2055" xr:uid="{BE39EA7E-95EB-456C-9D5D-A77A177100AB}"/>
    <hyperlink ref="E2081" r:id="rId2056" xr:uid="{499B0A46-7F6E-47E0-BB13-A5FBF6407616}"/>
    <hyperlink ref="E2082" r:id="rId2057" xr:uid="{7CB975FE-8F73-4470-8478-1A8E007014AE}"/>
    <hyperlink ref="E2083" r:id="rId2058" xr:uid="{BC059563-DE13-4EEA-93D1-A7706A5CB55E}"/>
    <hyperlink ref="E2084" r:id="rId2059" xr:uid="{84E1813F-9ABC-487A-92D6-DAD529968955}"/>
    <hyperlink ref="E2043" r:id="rId2060" xr:uid="{5FFE33E5-679B-40A2-BEA7-EA584D380260}"/>
    <hyperlink ref="E2050" r:id="rId2061" xr:uid="{CAC9AFC8-00B0-4779-A725-B429A1F26D81}"/>
    <hyperlink ref="E2085" r:id="rId2062" xr:uid="{E581618E-A491-4D7A-A04E-D48E6FE9F505}"/>
    <hyperlink ref="E2086" r:id="rId2063" xr:uid="{2FC1693C-9BBD-4170-93C9-6223A4E7E3AB}"/>
    <hyperlink ref="E2087" r:id="rId2064" xr:uid="{796CC9B1-0BDB-4780-AE43-2AD32CF083E6}"/>
    <hyperlink ref="E2088" r:id="rId2065" xr:uid="{29837FCB-474C-4587-8053-644BD4C1E1C3}"/>
    <hyperlink ref="E2089" r:id="rId2066" xr:uid="{6AA4C564-FF8B-49A1-935D-9702107E9C96}"/>
    <hyperlink ref="E2090" r:id="rId2067" xr:uid="{BE8DB905-36F6-46F0-9CCD-F46A5835E96B}"/>
    <hyperlink ref="E2091" r:id="rId2068" xr:uid="{03E09EFC-E93C-497E-AE6D-76DB52C038D3}"/>
    <hyperlink ref="E2092" r:id="rId2069" xr:uid="{9B90BF3B-A966-4348-A0F2-713B4F2DC857}"/>
    <hyperlink ref="E2093" r:id="rId2070" xr:uid="{AF10E0E8-BC3E-47F6-B064-09F37F5DE63A}"/>
    <hyperlink ref="E2094" r:id="rId2071" xr:uid="{7E17097A-BDD6-4ECB-9A64-5985F59C1919}"/>
    <hyperlink ref="E2095" r:id="rId2072" xr:uid="{59D089F3-26E7-4592-BD22-20CFCA06A177}"/>
    <hyperlink ref="E2096" r:id="rId2073" xr:uid="{CD04F2FA-584B-4D08-A023-08F79CAD6E8D}"/>
    <hyperlink ref="E2097" r:id="rId2074" xr:uid="{4C8B6C9A-E321-4F3E-A5FD-6F8AC6EAF6D3}"/>
    <hyperlink ref="E2098" r:id="rId2075" xr:uid="{B2F6006A-999F-46C5-8853-9651289317D9}"/>
    <hyperlink ref="E2099" r:id="rId2076" xr:uid="{A4A03C6E-4744-4AC5-8D8F-FFD1F331C797}"/>
    <hyperlink ref="E2100" r:id="rId2077" xr:uid="{FA3E1A24-7874-42E3-B392-46BD4CE65312}"/>
    <hyperlink ref="E2101" r:id="rId2078" xr:uid="{97E6095C-A658-4B29-9811-DF2151BB2922}"/>
    <hyperlink ref="E2102" r:id="rId2079" xr:uid="{B3362BAB-F797-4757-92F7-07421AFDF2BF}"/>
    <hyperlink ref="E2103" r:id="rId2080" xr:uid="{D1783C0E-C9CB-45A8-9D2A-8CD57FE9ED3C}"/>
    <hyperlink ref="E2104" r:id="rId2081" xr:uid="{1311B94F-FF21-4135-8869-CFBB2B034C75}"/>
    <hyperlink ref="E2105" r:id="rId2082" xr:uid="{503FD8E3-861A-4045-9425-61CD7F905D28}"/>
    <hyperlink ref="E2106" r:id="rId2083" xr:uid="{9A721264-2AF2-45C4-B3BF-49EDAD60549F}"/>
    <hyperlink ref="E2107" r:id="rId2084" xr:uid="{52565B9F-C986-49B4-B03B-BB2BA17A9893}"/>
    <hyperlink ref="E2108" r:id="rId2085" xr:uid="{600F5244-86C2-4884-8733-DEA526769564}"/>
    <hyperlink ref="E2109" r:id="rId2086" xr:uid="{56F4AB96-521F-4EA2-8B7B-D4BDF5190EF7}"/>
    <hyperlink ref="E2110" r:id="rId2087" xr:uid="{AB91EC0E-664B-44CC-9963-F82C0559D5C3}"/>
    <hyperlink ref="E2111" r:id="rId2088" xr:uid="{2946785F-D203-48A4-B1C7-AA24BDAEC369}"/>
    <hyperlink ref="E2112" r:id="rId2089" xr:uid="{97DCFBBF-59D4-4401-8306-C357D99644BA}"/>
    <hyperlink ref="E2113" r:id="rId2090" xr:uid="{0D721F15-13B7-46FF-9F33-684D905D1006}"/>
    <hyperlink ref="E2114" r:id="rId2091" xr:uid="{50A74641-4151-4B99-A4DE-6A35A2D28735}"/>
    <hyperlink ref="E2115" r:id="rId2092" xr:uid="{A0C4C336-74CC-476E-BD84-2BBD814C1E81}"/>
    <hyperlink ref="E2116" r:id="rId2093" xr:uid="{60AB287A-F8C1-49D1-B4E5-B864AE022C94}"/>
    <hyperlink ref="E2117" r:id="rId2094" xr:uid="{E9A1590D-824B-4210-81C6-483E6A229FB1}"/>
    <hyperlink ref="E2118" r:id="rId2095" xr:uid="{5D879F1E-3D5B-443C-9438-59CC911D06C2}"/>
    <hyperlink ref="E2119" r:id="rId2096" xr:uid="{6908BDCD-1B0F-45C7-B5C9-D0EA6E4F532D}"/>
    <hyperlink ref="E2120" r:id="rId2097" xr:uid="{78D5DD71-0EAD-46BB-A5CE-BC8EB3ABBA1C}"/>
    <hyperlink ref="E2121" r:id="rId2098" xr:uid="{8A167EED-242B-41D2-94B5-D3422C762BA6}"/>
    <hyperlink ref="E2122" r:id="rId2099" xr:uid="{0AB40E4E-7935-4021-8822-420CE2D4436B}"/>
    <hyperlink ref="E2123" r:id="rId2100" xr:uid="{A07A3F57-F720-45AC-90C3-17D5148A8657}"/>
    <hyperlink ref="E2124" r:id="rId2101" xr:uid="{E38CBE40-E788-46E9-9098-3ED006F5661E}"/>
    <hyperlink ref="E2125" r:id="rId2102" xr:uid="{DFB5431F-212E-4130-8CED-6AD279762AF9}"/>
    <hyperlink ref="E2126" r:id="rId2103" xr:uid="{772AF499-8792-4326-8B89-C12258F3C9A9}"/>
    <hyperlink ref="E2127" r:id="rId2104" xr:uid="{A79664E5-9988-415C-8B11-5FC9E31890AF}"/>
    <hyperlink ref="E2128" r:id="rId2105" xr:uid="{8534A717-1440-479D-AB9E-E4F0E4BFC96B}"/>
    <hyperlink ref="E2129" r:id="rId2106" xr:uid="{E3311B85-BC1A-44FD-AE64-1D9859A7CB34}"/>
    <hyperlink ref="E2130" r:id="rId2107" xr:uid="{166B166B-55ED-4275-A00F-2AD76C134BF6}"/>
    <hyperlink ref="E2131" r:id="rId2108" xr:uid="{5E106D7C-51E6-4826-A7B0-38069B60C24E}"/>
    <hyperlink ref="E2132" r:id="rId2109" xr:uid="{266D0541-7094-42C6-B00C-B86479E5E8B5}"/>
    <hyperlink ref="E2133" r:id="rId2110" xr:uid="{06F3E51D-5712-40CF-9017-F58982A270BB}"/>
    <hyperlink ref="E2134" r:id="rId2111" xr:uid="{3883F082-59FC-4516-956F-FC2F8A8EF928}"/>
    <hyperlink ref="E2135" r:id="rId2112" xr:uid="{620D8D0D-DD3D-485C-9936-D19664EFEE7C}"/>
    <hyperlink ref="E2136" r:id="rId2113" xr:uid="{37088B86-D2A0-419E-9A9C-F5EBC059CE5F}"/>
    <hyperlink ref="E2137" r:id="rId2114" xr:uid="{64E8F20E-F4A8-47FA-955D-58988AAD37E0}"/>
    <hyperlink ref="E2138" r:id="rId2115" xr:uid="{66F9AE94-CD16-4802-A8AC-34FB8067AF50}"/>
    <hyperlink ref="E2139" r:id="rId2116" xr:uid="{768D1604-DE22-4608-8654-E9CD07941851}"/>
    <hyperlink ref="E2140" r:id="rId2117" xr:uid="{2BB98F5E-DC38-4C05-BFEC-6181807CD739}"/>
    <hyperlink ref="E2141" r:id="rId2118" xr:uid="{2D441520-CF38-415B-835D-67F2200E5911}"/>
    <hyperlink ref="E2142" r:id="rId2119" xr:uid="{0687C9FE-2549-4DC9-9F02-97B2C464E9E2}"/>
    <hyperlink ref="E2143" r:id="rId2120" xr:uid="{798AD20F-1E32-47C2-A10C-E77E85A69A46}"/>
    <hyperlink ref="E2144" r:id="rId2121" xr:uid="{003E92F7-D548-48A4-B012-B09EDE9564BE}"/>
    <hyperlink ref="E2145" r:id="rId2122" xr:uid="{926538B3-2A44-4D4E-A6D2-B2CFC46EAD3B}"/>
    <hyperlink ref="E2146" r:id="rId2123" xr:uid="{4B1AAB06-D04D-4AAF-A0CE-5208B0AFE361}"/>
    <hyperlink ref="E2147" r:id="rId2124" xr:uid="{9AAFB387-91E5-4080-9ED4-5D00E955C95C}"/>
    <hyperlink ref="E2148" r:id="rId2125" xr:uid="{8220B473-2A75-4287-B363-1BE57F1CBEDD}"/>
    <hyperlink ref="E2149" r:id="rId2126" xr:uid="{551FD159-8B27-457E-AC50-6593284C800B}"/>
    <hyperlink ref="E2150" r:id="rId2127" xr:uid="{77B1B4B8-B437-4861-8C65-0E30C0637385}"/>
    <hyperlink ref="E2151" r:id="rId2128" xr:uid="{538699EB-E79A-41CC-BCCD-B6B702A3F7CE}"/>
    <hyperlink ref="E2152" r:id="rId2129" xr:uid="{6DFD0194-4B66-4B2B-B2CB-6B0F0B4C086F}"/>
    <hyperlink ref="E2153" r:id="rId2130" xr:uid="{CF0D8FEC-4C1F-4B57-B5AC-47B74E5FF7AF}"/>
    <hyperlink ref="E2154" r:id="rId2131" xr:uid="{EC47D53B-045B-4FBE-A926-25B1045490FB}"/>
    <hyperlink ref="E2155" r:id="rId2132" xr:uid="{2F944EA0-4C9B-4C5B-8EF8-9D528324A5A0}"/>
    <hyperlink ref="E2156" r:id="rId2133" xr:uid="{9769B71A-8815-43C5-94D3-457048BCEF36}"/>
    <hyperlink ref="E2157" r:id="rId2134" xr:uid="{07498505-DA62-4277-A761-0C9DF0A7E1CC}"/>
    <hyperlink ref="E2158" r:id="rId2135" xr:uid="{D8E3FE4F-CEB1-4B53-98F9-B1D2D8C8C0B3}"/>
    <hyperlink ref="E2159" r:id="rId2136" xr:uid="{22E3D073-A631-4BC5-80AC-20C58D75F58C}"/>
    <hyperlink ref="E2160" r:id="rId2137" xr:uid="{371127C9-6C1B-47BC-B69A-E0D3D70F87BE}"/>
    <hyperlink ref="E2161" r:id="rId2138" xr:uid="{A851FDC5-A124-4531-93B0-E4175847B358}"/>
    <hyperlink ref="E2162" r:id="rId2139" xr:uid="{E08BF2F4-FE81-446B-8860-3A74AADBE574}"/>
    <hyperlink ref="E2163" r:id="rId2140" xr:uid="{6BCF3447-073F-4323-9E2C-EDE23527BC7F}"/>
    <hyperlink ref="E2164" r:id="rId2141" xr:uid="{3E6F5FB3-B32E-46CF-8533-0CD171C26D50}"/>
    <hyperlink ref="E2165" r:id="rId2142" xr:uid="{5D73933C-5BC6-4AAC-B7B2-F360148EF57A}"/>
    <hyperlink ref="E2166" r:id="rId2143" xr:uid="{F4F849C3-3D32-4D8C-B673-D38F8755170B}"/>
    <hyperlink ref="E2167" r:id="rId2144" xr:uid="{AF215C6B-2DFC-40EF-BC9B-BEBAB708B75F}"/>
    <hyperlink ref="E2168" r:id="rId2145" xr:uid="{D7E4576A-C72C-485C-869A-5DA935803B78}"/>
    <hyperlink ref="E2169" r:id="rId2146" xr:uid="{05CEA8E4-FF0D-4F52-AD99-D550DC9C40F6}"/>
    <hyperlink ref="E2170" r:id="rId2147" xr:uid="{84A214AE-943D-4D7C-BB82-9CA06261F347}"/>
    <hyperlink ref="E2171" r:id="rId2148" xr:uid="{B6BF9F4D-5A6B-4C1B-B2C4-4E0DEDAE0750}"/>
    <hyperlink ref="E2172" r:id="rId2149" xr:uid="{19B60621-8665-4B8D-AD0B-DFE70D7760E9}"/>
    <hyperlink ref="E2173" r:id="rId2150" xr:uid="{FFAC3CC2-93DA-49C3-A765-E10F8A1BCC9E}"/>
    <hyperlink ref="E2174" r:id="rId2151" xr:uid="{6209F49A-3483-4A79-A211-2BEB8D5DD161}"/>
    <hyperlink ref="E2175" r:id="rId2152" xr:uid="{B767B662-DCAD-4DCF-AD8A-408E088C76F1}"/>
    <hyperlink ref="E2176" r:id="rId2153" xr:uid="{79B7A15F-ADBC-4C7B-9EAD-A705AA01B2CB}"/>
    <hyperlink ref="E2177" r:id="rId2154" xr:uid="{780AA784-09CD-4553-BD39-FD27E1D57A64}"/>
    <hyperlink ref="E2178" r:id="rId2155" xr:uid="{C5839CEC-88CD-4FD9-B0B1-67EE994451A3}"/>
    <hyperlink ref="E2179" r:id="rId2156" xr:uid="{EB7F1F22-4EDE-4EF4-861D-3B3453FC5E84}"/>
    <hyperlink ref="E2180" r:id="rId2157" xr:uid="{ACA6DE70-CABB-4C9F-AF36-E3DDBA53CA5D}"/>
    <hyperlink ref="E2181" r:id="rId2158" xr:uid="{1FBF8842-1672-499B-8F8A-21DA57A1D8E4}"/>
    <hyperlink ref="E2182" r:id="rId2159" xr:uid="{CA62CC47-D66D-4D6C-990E-6A083A499B26}"/>
    <hyperlink ref="E2183" r:id="rId2160" xr:uid="{F60F88A7-8F09-4DA5-A9AF-37D3082FD666}"/>
    <hyperlink ref="E2184" r:id="rId2161" xr:uid="{313DB063-AEBA-409D-8D0D-715A60157AA6}"/>
    <hyperlink ref="E2185" r:id="rId2162" xr:uid="{49E59492-6C5D-44C1-9D0F-3084ECCB74CB}"/>
    <hyperlink ref="E2186" r:id="rId2163" xr:uid="{DEC01C82-E3B9-4FBF-886C-BCED207DAAD5}"/>
    <hyperlink ref="E2187" r:id="rId2164" xr:uid="{80016B3D-0AE7-454E-B85C-AA2F2B2B6012}"/>
    <hyperlink ref="E2188" r:id="rId2165" xr:uid="{81FE8F16-ACFB-4E3C-AC3F-57AA0A2E0080}"/>
    <hyperlink ref="E2189" r:id="rId2166" xr:uid="{A702ADBE-3550-40F5-9945-AC442E4C6816}"/>
    <hyperlink ref="E2190" r:id="rId2167" xr:uid="{84B3DDBA-9AF7-4D23-96AE-4F9FA2BE5D20}"/>
    <hyperlink ref="E2191" r:id="rId2168" xr:uid="{4EAEF01A-92F1-4651-8437-55096607738A}"/>
    <hyperlink ref="E2192" r:id="rId2169" xr:uid="{F580D410-E7AA-408D-8B23-8445172CC04B}"/>
    <hyperlink ref="E2193" r:id="rId2170" xr:uid="{26100D5A-B74F-4B8A-8A9C-80CAC0695515}"/>
    <hyperlink ref="E2194" r:id="rId2171" xr:uid="{0D6D696B-D7CE-4154-A334-DD99E0EF7F43}"/>
    <hyperlink ref="E2195" r:id="rId2172" xr:uid="{5779B625-7080-40BC-A9F0-20BC3ACCD3E9}"/>
    <hyperlink ref="E2196" r:id="rId2173" xr:uid="{5D0AE874-39A5-49DA-B481-E0054C3E21E0}"/>
    <hyperlink ref="E2197" r:id="rId2174" xr:uid="{5F7B3E27-4F72-4489-9F0D-FA8773340650}"/>
    <hyperlink ref="E2198" r:id="rId2175" xr:uid="{29B702D1-9324-49ED-A1C5-FB93ECD7E973}"/>
    <hyperlink ref="E2199" r:id="rId2176" xr:uid="{5AE830F8-6801-428A-B100-895E375307CE}"/>
    <hyperlink ref="E2200" r:id="rId2177" xr:uid="{9DA199A3-DC46-44AB-A4CF-3DEBDBA9A9CE}"/>
    <hyperlink ref="E2201" r:id="rId2178" xr:uid="{60D33DD9-C72C-45B3-9C39-24F8C13536DA}"/>
    <hyperlink ref="E2202" r:id="rId2179" xr:uid="{CA15E472-D7A7-4962-BDBE-C6361EF296AC}"/>
    <hyperlink ref="E2203" r:id="rId2180" xr:uid="{B43EC836-7442-4177-8038-E41C2C52EAFC}"/>
    <hyperlink ref="E2204" r:id="rId2181" xr:uid="{E077ABE9-9125-4687-82F3-0EB0245F1AB8}"/>
    <hyperlink ref="E2205" r:id="rId2182" xr:uid="{E8EF0E29-29E6-48A0-9669-151B2380061C}"/>
    <hyperlink ref="E2206" r:id="rId2183" xr:uid="{1E27BAE6-BE21-411D-A843-92423F938159}"/>
    <hyperlink ref="E2207" r:id="rId2184" xr:uid="{C010B9FC-C98C-4442-907A-F790913FD16C}"/>
    <hyperlink ref="E2208" r:id="rId2185" xr:uid="{E2099211-3318-434B-9D34-7B2911942241}"/>
    <hyperlink ref="E2209" r:id="rId2186" xr:uid="{1B117181-3652-4614-86D7-EAB0EDD20DD6}"/>
    <hyperlink ref="E2210" r:id="rId2187" xr:uid="{E8ADF817-4894-4C96-89A9-5CDEC2BAEE1F}"/>
    <hyperlink ref="E2211" r:id="rId2188" xr:uid="{D011B921-C29D-4F19-9E05-3CEB2C0E7B26}"/>
    <hyperlink ref="E2212" r:id="rId2189" xr:uid="{C68C35B3-9E2A-45C8-8C9B-CA4CE09A5D3D}"/>
    <hyperlink ref="E2213" r:id="rId2190" xr:uid="{6AC03AC9-37A9-4769-8151-49B7F62C41D7}"/>
    <hyperlink ref="E2214" r:id="rId2191" xr:uid="{1A815D43-79E5-4275-A66C-F8B9D9F48923}"/>
    <hyperlink ref="E2215" r:id="rId2192" xr:uid="{A96E71CC-F984-4457-B0A3-0FEDC54AB97C}"/>
    <hyperlink ref="E2216" r:id="rId2193" xr:uid="{4717B4E1-9B1A-4053-931E-1D9907D4B76C}"/>
    <hyperlink ref="E2217" r:id="rId2194" xr:uid="{C3E2F23B-8DE8-4C4F-AEDE-FA3E4D98763D}"/>
    <hyperlink ref="E2218" r:id="rId2195" xr:uid="{BFC53E16-076E-4575-99ED-7F5E24C499A8}"/>
    <hyperlink ref="E2219" r:id="rId2196" xr:uid="{6335DAA3-0EF4-4B99-8FB0-7FF1E551100D}"/>
    <hyperlink ref="E2220" r:id="rId2197" xr:uid="{CB00789A-D2B4-42A7-88BF-3FAC58596205}"/>
    <hyperlink ref="E2221" r:id="rId2198" xr:uid="{B13130E9-1D1E-4A82-B3CF-A780E1C68654}"/>
    <hyperlink ref="E2222" r:id="rId2199" xr:uid="{4FB2F6CA-BCAD-4173-AA58-DB916BF21585}"/>
    <hyperlink ref="E2223" r:id="rId2200" xr:uid="{DC111552-F0CC-475D-A5DD-08C7E24513F9}"/>
    <hyperlink ref="E2224" r:id="rId2201" xr:uid="{DC73DD19-103E-4895-83AE-6B41199A3CBF}"/>
    <hyperlink ref="E2225" r:id="rId2202" xr:uid="{713129F3-01D5-4E51-B388-56D53150D84F}"/>
    <hyperlink ref="E2226" r:id="rId2203" xr:uid="{F76D2BAC-5E41-4260-B153-19D8878C7E95}"/>
    <hyperlink ref="E2227" r:id="rId2204" xr:uid="{053CE469-BADA-43FB-8EAA-F9B2FE49BDA1}"/>
    <hyperlink ref="E2228" r:id="rId2205" xr:uid="{5BF31ADC-C124-4B92-9329-6518C3603147}"/>
    <hyperlink ref="E2229" r:id="rId2206" xr:uid="{BDB62B6B-DDA5-4AC9-AF26-673EC413C9C5}"/>
    <hyperlink ref="E2230" r:id="rId2207" xr:uid="{AEDC7C93-125B-4D52-A090-9B750ADF9ADD}"/>
    <hyperlink ref="E2231" r:id="rId2208" xr:uid="{992BB020-04D3-4D42-B5EF-5852C76BB604}"/>
    <hyperlink ref="E2232" r:id="rId2209" xr:uid="{2157D7B0-B17C-4611-9847-FC813F731272}"/>
    <hyperlink ref="E2233" r:id="rId2210" xr:uid="{131522CF-86FA-4A24-B693-677CA81842AB}"/>
    <hyperlink ref="E2234" r:id="rId2211" xr:uid="{98BAB98F-1AD2-41C9-B469-13B17619F745}"/>
    <hyperlink ref="E2235" r:id="rId2212" xr:uid="{16003998-C334-4325-92FD-75ED51D6A5EF}"/>
    <hyperlink ref="E2236" r:id="rId2213" xr:uid="{1F986FFD-A45F-45E5-882C-1103208EE446}"/>
    <hyperlink ref="E2237" r:id="rId2214" xr:uid="{2F191745-7458-49BD-883C-9F5178BABB04}"/>
    <hyperlink ref="E2238" r:id="rId2215" xr:uid="{FC9223C0-07D8-4062-B5A5-140F62D29EA5}"/>
    <hyperlink ref="E2239" r:id="rId2216" xr:uid="{594A973E-0F36-4B9C-ACB3-121B1A5335AB}"/>
    <hyperlink ref="E2240" r:id="rId2217" xr:uid="{4EF97C5C-9ACD-49DD-BF76-2AC6569CFAA5}"/>
    <hyperlink ref="E2241" r:id="rId2218" xr:uid="{A17D8FBF-9F6E-43DD-85AF-753C6F11EDC2}"/>
    <hyperlink ref="E2242" r:id="rId2219" xr:uid="{7C9230B3-06D9-4915-A6B8-03B3F242ECDB}"/>
    <hyperlink ref="E2243" r:id="rId2220" xr:uid="{6978337D-7773-4A12-9243-AFA5DB466AEE}"/>
    <hyperlink ref="E2244" r:id="rId2221" xr:uid="{5C3B09E7-9085-4F40-8900-B8486D909FD9}"/>
    <hyperlink ref="E2245" r:id="rId2222" xr:uid="{61713560-1B66-4C89-B8FC-E0015CAAC65D}"/>
    <hyperlink ref="E2246" r:id="rId2223" xr:uid="{0C87A017-81FA-433A-8140-8A3B36A1D801}"/>
    <hyperlink ref="E2247" r:id="rId2224" xr:uid="{8A9B6235-3902-4076-AF22-2BA5CAC4E680}"/>
    <hyperlink ref="E2248" r:id="rId2225" xr:uid="{1C6C7411-9C47-475C-BED7-F40F1F080C45}"/>
    <hyperlink ref="E2249" r:id="rId2226" xr:uid="{F37D1491-8292-4BA6-B167-593BA8663D2E}"/>
    <hyperlink ref="E2250" r:id="rId2227" xr:uid="{DDCD31D3-1903-468F-8210-69DD4C4CEFBF}"/>
    <hyperlink ref="E2251" r:id="rId2228" xr:uid="{C875E891-B7D3-4F9D-A7C1-D1748A0ED7F5}"/>
    <hyperlink ref="E2252" r:id="rId2229" xr:uid="{A16818AE-55F4-4996-804D-7D0C83982DE3}"/>
    <hyperlink ref="E2253" r:id="rId2230" xr:uid="{5901A342-8D99-4F84-BFEF-8A9F20D55B3D}"/>
    <hyperlink ref="E2254" r:id="rId2231" xr:uid="{EB957B2A-1115-405A-BF65-84F867F8823A}"/>
    <hyperlink ref="E2255" r:id="rId2232" xr:uid="{4CE42E5F-9187-45FE-BE34-445B4E6E44E2}"/>
    <hyperlink ref="E2256" r:id="rId2233" xr:uid="{9222C0A3-FFB2-47F4-83F6-67B8AEF1535D}"/>
    <hyperlink ref="E2257" r:id="rId2234" xr:uid="{C06F31A8-7C45-40EC-9F4E-7A183E74E8E6}"/>
    <hyperlink ref="E2258" r:id="rId2235" xr:uid="{13B72759-544F-4837-BD02-377DEB978855}"/>
    <hyperlink ref="E2259" r:id="rId2236" xr:uid="{4D5AE393-09C9-441C-91AF-F32331C2BADC}"/>
    <hyperlink ref="E2260" r:id="rId2237" xr:uid="{92BC622D-B7CA-482C-AED9-5DD77DEB04B6}"/>
    <hyperlink ref="E2261" r:id="rId2238" xr:uid="{CA0124A1-D8C2-430C-B891-6377C11008A9}"/>
    <hyperlink ref="E2262" r:id="rId2239" xr:uid="{26D787B1-C3FC-49FE-9467-578AEDB8F796}"/>
    <hyperlink ref="E2263" r:id="rId2240" xr:uid="{4852554F-C643-423F-8DA6-4122CB2E43D2}"/>
    <hyperlink ref="E2264" r:id="rId2241" xr:uid="{3B130C4D-A8B5-42B4-8276-D816D80BE871}"/>
    <hyperlink ref="E2265" r:id="rId2242" xr:uid="{9483A637-D974-4062-BAB4-2250E419E296}"/>
    <hyperlink ref="E2266" r:id="rId2243" xr:uid="{F932F464-CF6E-40DD-AF88-EC6942078CAD}"/>
    <hyperlink ref="E2267" r:id="rId2244" xr:uid="{37029B0C-DFF4-4018-A11D-7ED32B1ED522}"/>
    <hyperlink ref="E2268" r:id="rId2245" xr:uid="{A254934F-FE05-456C-B827-AA9E27728311}"/>
    <hyperlink ref="E2269" r:id="rId2246" xr:uid="{C771865D-C69D-450E-B1C1-F8567A24BBC6}"/>
    <hyperlink ref="E2270" r:id="rId2247" xr:uid="{5D96049A-A632-4AF3-996C-40925573D280}"/>
    <hyperlink ref="E2271" r:id="rId2248" xr:uid="{CE391BB5-8130-4DA4-AF25-BD8EF142FC9E}"/>
    <hyperlink ref="E2272" r:id="rId2249" xr:uid="{D235C564-DC04-47E0-B337-D7F21B5027E2}"/>
    <hyperlink ref="E2273" r:id="rId2250" xr:uid="{810D55BF-FE40-47F4-B204-C83ADE6D3CB6}"/>
    <hyperlink ref="E2274" r:id="rId2251" xr:uid="{6A03CD5B-25FF-4FF9-8EEA-1414D804CC52}"/>
    <hyperlink ref="E2275" r:id="rId2252" xr:uid="{B643D87A-C467-4128-92CD-6BD4A5D88D73}"/>
    <hyperlink ref="E2276" r:id="rId2253" xr:uid="{63902C18-DE77-413B-BAA0-E750F78F0BD9}"/>
    <hyperlink ref="E2277" r:id="rId2254" xr:uid="{D46A748E-AF76-4D5F-A8E5-C0C336B6C30D}"/>
    <hyperlink ref="E2278" r:id="rId2255" xr:uid="{A0166287-5822-47FB-A06D-93020C8BED16}"/>
    <hyperlink ref="E2279" r:id="rId2256" xr:uid="{780CA2D8-5953-4B99-A17F-EFC919A85F9A}"/>
    <hyperlink ref="E2280" r:id="rId2257" xr:uid="{C72E2235-0677-45C1-9323-74953C2F52F9}"/>
    <hyperlink ref="E2281" r:id="rId2258" xr:uid="{E1C0824D-D6C5-4857-912F-2C47C86E0C2A}"/>
    <hyperlink ref="E2282" r:id="rId2259" xr:uid="{8FAF8068-68A6-4AEF-99FC-B8D0E9D44A69}"/>
    <hyperlink ref="E2283" r:id="rId2260" xr:uid="{7C68FF9C-293D-4BEF-B87B-339F6E2BADE7}"/>
    <hyperlink ref="E2284" r:id="rId2261" xr:uid="{DAB46C5F-FC55-4EE8-A25C-477052296B8C}"/>
    <hyperlink ref="E2285" r:id="rId2262" xr:uid="{B7B2E178-4D59-47BC-9637-87DD7583B9A1}"/>
    <hyperlink ref="E2286" r:id="rId2263" xr:uid="{B4D3702E-348F-4F7F-9931-24B530ACD138}"/>
    <hyperlink ref="E2287" r:id="rId2264" xr:uid="{44F74210-B854-4E35-B8A7-2BDB13A2B1DD}"/>
    <hyperlink ref="E2288" r:id="rId2265" xr:uid="{9E374720-85B4-48AF-BDE4-5C8C70D6E2BF}"/>
    <hyperlink ref="E2289" r:id="rId2266" xr:uid="{AB394B5A-E9DE-46E8-80DF-3F3DD82670D1}"/>
    <hyperlink ref="E2290" r:id="rId2267" xr:uid="{391491DC-1EBA-462B-A03D-58FD8FC4D13F}"/>
    <hyperlink ref="E2291" r:id="rId2268" xr:uid="{949D7BDF-9B22-4A5D-BC2E-DB10E3CF6E0A}"/>
    <hyperlink ref="E2292" r:id="rId2269" xr:uid="{E8B747CB-69CE-44D2-A6F9-54289D62FD2B}"/>
    <hyperlink ref="E2293" r:id="rId2270" xr:uid="{6292DA44-1789-4BC0-8DEC-374EC6F4976F}"/>
    <hyperlink ref="E2294" r:id="rId2271" xr:uid="{1B86922B-DC27-418A-A9C9-4A467239ED75}"/>
    <hyperlink ref="E2295" r:id="rId2272" xr:uid="{3DCC997B-9529-4341-BAD4-1782887A4A7A}"/>
    <hyperlink ref="E2296" r:id="rId2273" xr:uid="{DC7530F7-938F-4119-805F-0A60D4A4BBEB}"/>
    <hyperlink ref="E2297" r:id="rId2274" xr:uid="{545554DC-CB46-4C44-A993-7E412F41F6EC}"/>
    <hyperlink ref="E2298" r:id="rId2275" xr:uid="{1086EA06-242F-44B3-8B31-D0F89AAC5BE8}"/>
    <hyperlink ref="E2299" r:id="rId2276" xr:uid="{407AD4AB-2BD8-48AE-B0FA-AEADF0AEB897}"/>
    <hyperlink ref="E2300" r:id="rId2277" xr:uid="{1E61A4F0-6D59-4FCD-B282-4FBF69937571}"/>
    <hyperlink ref="E2301" r:id="rId2278" xr:uid="{B648F2C2-7939-471A-874C-C5699F65F882}"/>
    <hyperlink ref="E2302" r:id="rId2279" xr:uid="{4C275CE2-BBB6-40A4-A056-535F3D65B8CF}"/>
    <hyperlink ref="E2303" r:id="rId2280" xr:uid="{1F3BC81A-70E8-4847-AD7D-88ED40318AB3}"/>
    <hyperlink ref="E2304" r:id="rId2281" xr:uid="{3A033C37-CD49-4F4B-8D7B-8EC2B07BF1FB}"/>
    <hyperlink ref="E2305" r:id="rId2282" xr:uid="{FDFC7CA1-FC96-458B-BB3E-28F04FCCA3E7}"/>
    <hyperlink ref="E2306" r:id="rId2283" xr:uid="{ABB4C89E-3FC2-48E3-BB80-5FE001B8B577}"/>
    <hyperlink ref="E2307" r:id="rId2284" xr:uid="{D64A3B8C-1FBF-4B10-ABCE-A4789A157317}"/>
    <hyperlink ref="E2308" r:id="rId2285" xr:uid="{B11A0472-2115-4931-B5C3-25209ACB3BF2}"/>
    <hyperlink ref="E2309" r:id="rId2286" xr:uid="{476D86BC-CBC9-48D4-AD2C-79C20DC02F4D}"/>
    <hyperlink ref="E2310" r:id="rId2287" xr:uid="{1322B42B-20A7-4DF7-B999-04244AA83512}"/>
    <hyperlink ref="E2311" r:id="rId2288" xr:uid="{5D8A144C-59D5-46CD-8FD9-5E1C25CA4B0C}"/>
    <hyperlink ref="E2312" r:id="rId2289" xr:uid="{42920392-191A-4841-B986-3AFD5CD517CC}"/>
    <hyperlink ref="E2313" r:id="rId2290" xr:uid="{E7D5C0B5-9938-4BDE-B5A0-0869C02D4CCB}"/>
    <hyperlink ref="E2314" r:id="rId2291" xr:uid="{96135340-F876-46C8-9100-FDDFB50C7CD2}"/>
    <hyperlink ref="E2315" r:id="rId2292" xr:uid="{C387EE27-88B4-48BC-BA60-245C9BB7EBAB}"/>
    <hyperlink ref="E2316" r:id="rId2293" xr:uid="{FB93338A-B310-4700-861E-FB1E0AF4173B}"/>
    <hyperlink ref="E2317" r:id="rId2294" xr:uid="{39351E18-9E90-47B8-AD0B-1410143D2814}"/>
    <hyperlink ref="E2318" r:id="rId2295" xr:uid="{C2AACDC8-5C2C-4C47-83D0-F1493F784B0F}"/>
    <hyperlink ref="E2319" r:id="rId2296" xr:uid="{7B5959C3-734C-425D-9B3E-973F34920C44}"/>
    <hyperlink ref="E2320" r:id="rId2297" xr:uid="{838EBBF6-2FE7-4EC6-BCEE-431D45B09905}"/>
    <hyperlink ref="E2321" r:id="rId2298" xr:uid="{00248884-F6AB-4FF7-9E7F-B63241465594}"/>
    <hyperlink ref="E2322" r:id="rId2299" xr:uid="{D072396E-F67E-4EEA-A3ED-D9AC8FE6E573}"/>
    <hyperlink ref="E2323" r:id="rId2300" xr:uid="{2918543A-32FB-41EB-BCFA-B1F829A24ADC}"/>
    <hyperlink ref="E2324" r:id="rId2301" xr:uid="{D41651BC-AD83-4D1F-AF23-A01F25EC6014}"/>
    <hyperlink ref="E2325" r:id="rId2302" xr:uid="{73921D54-BAAD-40C0-AC47-7370FAAA4FCE}"/>
    <hyperlink ref="E2326" r:id="rId2303" xr:uid="{70EA4012-2582-4B91-9CBB-7C41ABF592D3}"/>
    <hyperlink ref="E2327" r:id="rId2304" xr:uid="{EAD695D8-DB94-4A76-8FC7-3E2A7D4382C8}"/>
    <hyperlink ref="E2328" r:id="rId2305" xr:uid="{9EC18410-ECAD-4B8F-B09B-994C24DA7AB6}"/>
    <hyperlink ref="E2329" r:id="rId2306" xr:uid="{A213E5DF-62D3-4475-81A1-2BBE56114EE1}"/>
    <hyperlink ref="E2330" r:id="rId2307" xr:uid="{4AB91013-1BA0-4714-A88B-E7933A385F99}"/>
    <hyperlink ref="E2331" r:id="rId2308" xr:uid="{AB652CF9-A429-417D-82F0-F525277B8143}"/>
    <hyperlink ref="E2332" r:id="rId2309" xr:uid="{25D9DCA1-1D55-4A39-9334-4F9C1691BF0D}"/>
    <hyperlink ref="E2333" r:id="rId2310" xr:uid="{13E38FDD-8469-4C72-9B1D-0E48F55E588B}"/>
    <hyperlink ref="E2334" r:id="rId2311" xr:uid="{7C5F199C-261D-4134-8917-1ADBE13630E4}"/>
    <hyperlink ref="E2335" r:id="rId2312" xr:uid="{F7FAB5F3-EB01-4598-AB63-47BC70A1DFD3}"/>
    <hyperlink ref="E2336" r:id="rId2313" xr:uid="{E7190BEB-E4F5-4407-A6DD-4390B607EFB1}"/>
    <hyperlink ref="E2337" r:id="rId2314" xr:uid="{D3454EA0-A365-4037-8EEF-FDB7EB356D2F}"/>
    <hyperlink ref="E2338" r:id="rId2315" xr:uid="{AE09A5D9-ECF4-4A35-9712-4DB06DB45D5C}"/>
    <hyperlink ref="E2339" r:id="rId2316" xr:uid="{145C05F2-59B6-4B2F-A096-E8362B97D477}"/>
    <hyperlink ref="E2340" r:id="rId2317" xr:uid="{9391CDE2-8140-4B4B-9717-67DB9AD186EE}"/>
    <hyperlink ref="E2341" r:id="rId2318" xr:uid="{2369F589-B8B3-425D-998B-FEA73CE69480}"/>
    <hyperlink ref="E2342" r:id="rId2319" xr:uid="{73269B74-CA18-4E09-B4EF-515EFD40C075}"/>
    <hyperlink ref="E2343" r:id="rId2320" xr:uid="{63F8FB0E-9324-4F31-9570-9C1D5E820B1C}"/>
    <hyperlink ref="E2344" r:id="rId2321" xr:uid="{C1CBBD87-6AFE-4F5C-AC92-1A62F9A2339E}"/>
    <hyperlink ref="E2345" r:id="rId2322" xr:uid="{ED12D931-BCFF-4F3F-B385-07B3B217124F}"/>
    <hyperlink ref="E2346" r:id="rId2323" xr:uid="{8FC4D10B-FA15-4837-94B7-80604B3D0BB5}"/>
    <hyperlink ref="E2347" r:id="rId2324" xr:uid="{3A38448B-8828-4F7E-BF94-1680CFEC7562}"/>
    <hyperlink ref="E2348" r:id="rId2325" xr:uid="{805F073D-5AE0-4581-8F82-EA317B4B4864}"/>
    <hyperlink ref="E2349" r:id="rId2326" xr:uid="{CB087E8B-8C7A-4B2B-8878-5E1A12EC5276}"/>
    <hyperlink ref="E2350" r:id="rId2327" xr:uid="{CBD68E15-7E4D-4BF9-802D-4D1D1DFDB5F9}"/>
    <hyperlink ref="E2351" r:id="rId2328" xr:uid="{20C39070-245E-4ECE-92AC-BEBB7B04A887}"/>
    <hyperlink ref="E2352" r:id="rId2329" xr:uid="{09752D53-8B27-4A3D-A6F8-554672F2CE7C}"/>
    <hyperlink ref="E2353" r:id="rId2330" xr:uid="{6C9BE63E-20C5-4982-A085-7BD2DAB724D6}"/>
    <hyperlink ref="E2354" r:id="rId2331" xr:uid="{C7E82ADB-6090-4B83-9A69-34FD9CCE0C1F}"/>
    <hyperlink ref="E2355" r:id="rId2332" xr:uid="{AE568D75-0C05-47C3-823B-53BD0687D42B}"/>
    <hyperlink ref="E2356" r:id="rId2333" xr:uid="{92E92C20-39CA-4B84-A5DD-B6892EB1392A}"/>
    <hyperlink ref="E2357" r:id="rId2334" xr:uid="{E8AE22C7-B762-4B0B-AFDF-FBB395217C06}"/>
    <hyperlink ref="E2358" r:id="rId2335" xr:uid="{A1785548-136A-4B46-9DDC-78078200F556}"/>
    <hyperlink ref="E2359" r:id="rId2336" xr:uid="{5A941EDF-F0FD-43D3-A433-91E9936CA6B1}"/>
    <hyperlink ref="E2360" r:id="rId2337" xr:uid="{57F7EDF4-7053-48FC-9508-023481E35DCC}"/>
    <hyperlink ref="E2361" r:id="rId2338" xr:uid="{8A956C45-16F5-468C-8D80-38E7A9C04D3C}"/>
    <hyperlink ref="E2362" r:id="rId2339" xr:uid="{1F345DE6-812D-4F81-B96B-A72EE0509E24}"/>
    <hyperlink ref="E2363" r:id="rId2340" xr:uid="{FFC7162C-E61D-449A-A2BA-D11F71F47D08}"/>
    <hyperlink ref="E2364" r:id="rId2341" xr:uid="{D26C1CE9-9E08-4659-9993-1F648E4BEAE5}"/>
    <hyperlink ref="E2365" r:id="rId2342" xr:uid="{D19A3717-64E4-4BF6-99B6-667D47CB6CBA}"/>
    <hyperlink ref="E2366" r:id="rId2343" xr:uid="{D2162030-627A-4753-B098-A7054732C488}"/>
    <hyperlink ref="E2367" r:id="rId2344" xr:uid="{03787326-8051-4F44-BB01-6017B558C1EC}"/>
    <hyperlink ref="E2368" r:id="rId2345" xr:uid="{92FA0897-20BA-4B59-96AE-07877A083DA1}"/>
    <hyperlink ref="E2369" r:id="rId2346" xr:uid="{86A1EDF4-B7B4-4AA3-939A-388CFFC6F70F}"/>
    <hyperlink ref="E2370" r:id="rId2347" xr:uid="{8B82A4BA-494F-4A53-96A6-2868B9F24AED}"/>
    <hyperlink ref="E2371" r:id="rId2348" xr:uid="{2C64D902-BF59-489D-9680-9DEB0328E9E9}"/>
    <hyperlink ref="E2372" r:id="rId2349" xr:uid="{3CD4C69E-1160-4480-BA6B-A229C341BAEA}"/>
    <hyperlink ref="E2373" r:id="rId2350" xr:uid="{20A1577F-7659-405E-8A15-224088FA2C9C}"/>
    <hyperlink ref="E2374" r:id="rId2351" xr:uid="{6633D203-0CE2-43B2-A411-000A67920382}"/>
    <hyperlink ref="E2375" r:id="rId2352" xr:uid="{AFD4AC4D-FE79-4315-BD45-C5735A1275D8}"/>
    <hyperlink ref="E2376" r:id="rId2353" xr:uid="{0B00171C-F2ED-4F36-8390-F639E2DFA97A}"/>
    <hyperlink ref="E2377" r:id="rId2354" xr:uid="{0D1630F8-8268-4FE2-B992-FA83CF6596CD}"/>
    <hyperlink ref="E2378" r:id="rId2355" xr:uid="{606CCFB1-4806-4DAF-B2AC-0146091C548C}"/>
    <hyperlink ref="E2379" r:id="rId2356" xr:uid="{2A8CAAEA-3A90-467C-96A1-673DC2CB42F8}"/>
    <hyperlink ref="E2380" r:id="rId2357" xr:uid="{845CD27A-D905-4E1F-A2EE-E81260B56AB1}"/>
    <hyperlink ref="E2381" r:id="rId2358" xr:uid="{FE89B327-91A3-4D2E-9E6B-843DFFAB3E92}"/>
    <hyperlink ref="E2382" r:id="rId2359" xr:uid="{9B7902DE-F38F-424F-A602-D79A0B507368}"/>
    <hyperlink ref="E2383" r:id="rId2360" xr:uid="{7C5D38C6-7CF2-4F0C-B8D8-3A5F51DC5B12}"/>
    <hyperlink ref="E2384" r:id="rId2361" xr:uid="{204C7939-2213-4507-B62D-65949875AF0E}"/>
    <hyperlink ref="E2385" r:id="rId2362" xr:uid="{69BA3279-50A6-4658-BB47-C6DEF528F211}"/>
    <hyperlink ref="E2386" r:id="rId2363" xr:uid="{09907A91-9B47-41CE-932B-E9D8F4F64C14}"/>
    <hyperlink ref="E2387" r:id="rId2364" xr:uid="{3D631DEB-A422-4FE1-9DD4-647B7CA8489E}"/>
    <hyperlink ref="E2388" r:id="rId2365" xr:uid="{DCC7B164-C69F-4546-9CB0-77FFD55C88E1}"/>
    <hyperlink ref="E2389" r:id="rId2366" xr:uid="{11AC9015-7D13-4B5E-A6C0-CD1E00F806D9}"/>
    <hyperlink ref="E2390" r:id="rId2367" xr:uid="{499E5263-B8DC-401C-8772-58554207F130}"/>
    <hyperlink ref="E2391" r:id="rId2368" xr:uid="{44D53BBE-FD7E-4CFD-A832-96284C9DEC73}"/>
    <hyperlink ref="E2392" r:id="rId2369" xr:uid="{6D821593-2872-4121-85CB-E613231B84DF}"/>
    <hyperlink ref="E2393" r:id="rId2370" xr:uid="{0BCB6164-F3A9-4790-86E8-55CDBCBAE621}"/>
    <hyperlink ref="E2394" r:id="rId2371" xr:uid="{AD072041-FDBE-475D-84B7-D13D35DC17AE}"/>
    <hyperlink ref="E2395" r:id="rId2372" xr:uid="{0C8B7C78-172E-4642-AE04-B95C26F69FDE}"/>
    <hyperlink ref="E2396" r:id="rId2373" xr:uid="{1D9584FA-45A9-457E-B658-876287ACF009}"/>
    <hyperlink ref="E2397" r:id="rId2374" xr:uid="{A5B813D1-8474-43AD-8611-68BADE436F15}"/>
    <hyperlink ref="E2398" r:id="rId2375" xr:uid="{DE44C511-2FDF-48CA-A0D6-513DE71FD9EF}"/>
    <hyperlink ref="E2399" r:id="rId2376" xr:uid="{F8867535-C835-44A6-846B-FEE4BED39E30}"/>
    <hyperlink ref="E2400" r:id="rId2377" xr:uid="{97D834D3-1C2F-4310-AE87-23EB4667961B}"/>
    <hyperlink ref="E2401" r:id="rId2378" xr:uid="{E11EAEAA-40D5-4075-875F-C3B006237493}"/>
    <hyperlink ref="E2402" r:id="rId2379" xr:uid="{D9BD3568-E070-4A97-BB45-DDF9AE1406B3}"/>
    <hyperlink ref="E2403" r:id="rId2380" xr:uid="{18640B52-908F-4E1F-A443-3E6984D35158}"/>
    <hyperlink ref="E2404" r:id="rId2381" xr:uid="{929A4531-12DC-47C7-B1FE-E43C6C9EF361}"/>
    <hyperlink ref="E2405" r:id="rId2382" xr:uid="{F27CF120-7490-4033-8265-995D273B6D34}"/>
    <hyperlink ref="E2406" r:id="rId2383" xr:uid="{A65931F7-776A-4B7B-A7F1-3E7E151F1B5F}"/>
    <hyperlink ref="E2407" r:id="rId2384" xr:uid="{283F39CA-B4C6-4C41-B910-7F26A60E8C08}"/>
    <hyperlink ref="E2408" r:id="rId2385" xr:uid="{9E1332E6-9A0F-4193-A572-B2F2C6F5F1D4}"/>
    <hyperlink ref="E2409" r:id="rId2386" xr:uid="{E42DEF7E-FA07-4166-B75D-B190D93E1ADE}"/>
    <hyperlink ref="E2410" r:id="rId2387" xr:uid="{1AF04619-00D6-46BA-A717-726E8D5087E7}"/>
    <hyperlink ref="E2411" r:id="rId2388" xr:uid="{BF64A1E8-76E4-4917-A374-999F6A983809}"/>
    <hyperlink ref="E2412" r:id="rId2389" xr:uid="{7CC03D35-F33B-4A23-892D-D84AE77F86A0}"/>
    <hyperlink ref="E2413" r:id="rId2390" xr:uid="{9DDB3C6D-6823-4340-BCEB-F5AD80CBF8DE}"/>
    <hyperlink ref="E2414" r:id="rId2391" xr:uid="{F82680C8-F19E-4EFA-814E-6C58B175AEFE}"/>
    <hyperlink ref="E2415" r:id="rId2392" xr:uid="{31828E78-29FD-4D17-88F2-563EB868A241}"/>
    <hyperlink ref="E2416" r:id="rId2393" xr:uid="{5FED1BB9-70FA-42D9-9734-CB5EF613F943}"/>
    <hyperlink ref="E2417" r:id="rId2394" xr:uid="{713D1F0E-5321-48B5-AC43-C35D5AE08E6F}"/>
    <hyperlink ref="E2418" r:id="rId2395" xr:uid="{FC1C31CE-0CFC-48C1-982E-8B5CE3BA05E1}"/>
    <hyperlink ref="E2419" r:id="rId2396" xr:uid="{13EFB33C-55FF-48EE-A034-0A543D9982F6}"/>
    <hyperlink ref="E2420" r:id="rId2397" xr:uid="{CB979C26-A7D2-41CF-84D6-DADE93800EEA}"/>
    <hyperlink ref="E2421" r:id="rId2398" xr:uid="{3B3AF58B-B67B-4932-8D14-00CB8F23625D}"/>
    <hyperlink ref="E2422" r:id="rId2399" xr:uid="{E77C0855-D7D5-49DE-B9C3-E43B109897AB}"/>
    <hyperlink ref="E2423" r:id="rId2400" xr:uid="{AA23BDD8-DC36-4532-9CA1-F6EEE38BC873}"/>
    <hyperlink ref="E2424" r:id="rId2401" xr:uid="{67EFD57A-C1F7-4916-BFF6-EA4ACB2D7F48}"/>
    <hyperlink ref="E2425" r:id="rId2402" xr:uid="{9AA30E59-38AA-4AE4-A1AB-8F2B784D9B31}"/>
    <hyperlink ref="E2426" r:id="rId2403" xr:uid="{A152FE4F-4701-44DC-BCA1-7F58BDED470F}"/>
    <hyperlink ref="E2427" r:id="rId2404" xr:uid="{66E0FC06-9DE2-499D-B0A4-CB3073C60174}"/>
    <hyperlink ref="E2428" r:id="rId2405" xr:uid="{4D7CE5D9-3D19-4E1F-8F3B-D35E154541E8}"/>
    <hyperlink ref="E2429" r:id="rId2406" xr:uid="{3CE16C9C-EEED-4992-96FB-96F7F021EF56}"/>
    <hyperlink ref="E2430" r:id="rId2407" xr:uid="{A88DCAE0-BEDC-4BD0-AC23-FEBFCB4C7605}"/>
    <hyperlink ref="E2431" r:id="rId2408" xr:uid="{4F0718A7-C75C-491F-8AD7-E7E4B7632205}"/>
    <hyperlink ref="E2432" r:id="rId2409" xr:uid="{A1D0AE0E-7E87-4626-843F-9D824FE0E866}"/>
    <hyperlink ref="E2433" r:id="rId2410" xr:uid="{C0AD28FA-DD0D-47B5-9258-891C0905C5A5}"/>
    <hyperlink ref="E2434" r:id="rId2411" xr:uid="{84837E07-AE09-4E67-9116-C8F168CE103B}"/>
    <hyperlink ref="E2435" r:id="rId2412" xr:uid="{58696375-4A11-4B73-B4CD-F41C2BE7C7E0}"/>
    <hyperlink ref="E2436" r:id="rId2413" xr:uid="{87EF0ECE-E27A-449B-843A-CD1C5ABCD78B}"/>
    <hyperlink ref="E2437" r:id="rId2414" xr:uid="{1E62D31D-FD7C-490A-B7A7-B7FDFC0CF916}"/>
    <hyperlink ref="E2438" r:id="rId2415" xr:uid="{C5F30C45-C427-431C-AD48-8F0453B05FF9}"/>
    <hyperlink ref="E2439" r:id="rId2416" xr:uid="{974A8E8D-35FF-4302-9DD5-94813A21EED0}"/>
    <hyperlink ref="E2440" r:id="rId2417" xr:uid="{F1975C59-F9F7-4C8A-ABF9-017C30F9E25A}"/>
    <hyperlink ref="E2441" r:id="rId2418" xr:uid="{199C1873-8548-444A-B0DF-C6AF08F4D1B6}"/>
    <hyperlink ref="E2442" r:id="rId2419" xr:uid="{28EA0EB3-1721-4B95-8753-4C92A801880E}"/>
    <hyperlink ref="E2443" r:id="rId2420" xr:uid="{C6E38AF7-5EA2-4DCA-80CE-37F4CE613980}"/>
    <hyperlink ref="E2444" r:id="rId2421" xr:uid="{A29CE90B-354B-4E84-8710-C1C153B71CBA}"/>
    <hyperlink ref="E2445" r:id="rId2422" xr:uid="{791D7883-B66C-4D0C-812A-AB0E8BF3F280}"/>
    <hyperlink ref="E2446" r:id="rId2423" xr:uid="{F7DD4F58-CD19-41BC-BC84-364C5A2AD3AF}"/>
    <hyperlink ref="E2447" r:id="rId2424" xr:uid="{17A60BA5-F172-4492-9260-B5D859676FAA}"/>
    <hyperlink ref="E2448" r:id="rId2425" xr:uid="{386D04E0-DD5C-4246-8821-B6CA911A2F8B}"/>
    <hyperlink ref="E2449" r:id="rId2426" xr:uid="{D76F61CC-917D-4DB4-BA20-3C587DAE9A38}"/>
    <hyperlink ref="E2450" r:id="rId2427" xr:uid="{B71DEB73-FCF2-41FA-A8D3-3701EB5D7925}"/>
    <hyperlink ref="E2451" r:id="rId2428" xr:uid="{261FE4F7-7E83-4AAD-960B-AB4E4BC4D186}"/>
    <hyperlink ref="E2452" r:id="rId2429" xr:uid="{DAF04997-8EA2-4B73-B490-12BCD704A682}"/>
    <hyperlink ref="E2453" r:id="rId2430" xr:uid="{A1B659EE-8C05-4998-BCBD-3B973C9073EF}"/>
    <hyperlink ref="E2454" r:id="rId2431" xr:uid="{0DAC6BFD-472F-4CC4-A77E-436A21C36EC4}"/>
    <hyperlink ref="E2455" r:id="rId2432" xr:uid="{711BC0C5-71C4-4D70-8074-1967467B3558}"/>
    <hyperlink ref="E2456" r:id="rId2433" xr:uid="{5B182C99-B7D5-47F5-BF4B-CAE27670B43A}"/>
    <hyperlink ref="E2457" r:id="rId2434" xr:uid="{2D1BA3D1-182A-413B-865F-DB94B45A1D15}"/>
    <hyperlink ref="E2458" r:id="rId2435" xr:uid="{DC32CB65-BFF7-4036-AC64-F90BB46095B3}"/>
    <hyperlink ref="E2459" r:id="rId2436" xr:uid="{9D7E886A-CC34-49A3-9399-2B11ACF24E11}"/>
    <hyperlink ref="E2460" r:id="rId2437" xr:uid="{BB476DE9-9043-45BF-AD86-3DBA4BAB96F7}"/>
    <hyperlink ref="E2461" r:id="rId2438" xr:uid="{99FB9C3C-781A-418A-BF41-5E5EE6F0A88D}"/>
    <hyperlink ref="E2462" r:id="rId2439" xr:uid="{DB0C06DD-324F-4A4E-8EB3-09821D99B00D}"/>
    <hyperlink ref="E2463" r:id="rId2440" xr:uid="{5DAFB90B-9949-47C2-B102-D935636DD57E}"/>
    <hyperlink ref="E2464" r:id="rId2441" xr:uid="{03FE13C0-5942-4BA1-986A-E46F9B199A7F}"/>
    <hyperlink ref="E2465" r:id="rId2442" xr:uid="{35BF2492-F89A-4AA1-982E-2573FB12E67D}"/>
    <hyperlink ref="E2466" r:id="rId2443" xr:uid="{A8C737C4-6525-435B-876C-846165B478F6}"/>
    <hyperlink ref="E2467" r:id="rId2444" xr:uid="{2249669F-5E3D-4D0E-A33A-87D246906185}"/>
    <hyperlink ref="E2468" r:id="rId2445" xr:uid="{818428D8-441B-41E4-85F4-3B604AE5AA39}"/>
    <hyperlink ref="E2470" r:id="rId2446" xr:uid="{75503F0A-9EAE-431B-9FA8-DD9E22FF8DC8}"/>
    <hyperlink ref="E2471" r:id="rId2447" xr:uid="{CE388407-5935-41AA-959D-8ACC2A74AFA8}"/>
    <hyperlink ref="E2472" r:id="rId2448" xr:uid="{E6BA52E4-DD12-4907-B2A6-88097542A29E}"/>
    <hyperlink ref="E2473" r:id="rId2449" xr:uid="{67EFBBC2-25DF-488A-AF1B-B288B34A5639}"/>
    <hyperlink ref="E2474" r:id="rId2450" xr:uid="{45C413B4-ADC9-4D56-AE1A-2B550884E6CE}"/>
    <hyperlink ref="E2476" r:id="rId2451" xr:uid="{1B5894D3-14FA-439D-BE17-F87C0121374B}"/>
    <hyperlink ref="E2477" r:id="rId2452" xr:uid="{4558CF33-9966-447C-B910-46FDF095C4BF}"/>
    <hyperlink ref="E2478" r:id="rId2453" xr:uid="{83CD3940-D133-4E97-9117-A8E6C13BB1FB}"/>
    <hyperlink ref="E2479" r:id="rId2454" xr:uid="{1BFAE0BA-C6AA-474A-807A-FBFD6AF1FEBE}"/>
    <hyperlink ref="E2480" r:id="rId2455" xr:uid="{8D4AA232-7167-4C25-BC17-351E27349255}"/>
    <hyperlink ref="E2481" r:id="rId2456" xr:uid="{3D5417BD-BFB7-4A5C-9D51-19C0DFB26D77}"/>
    <hyperlink ref="E2482" r:id="rId2457" xr:uid="{3B421E10-F12A-4E74-A1F0-22E09B87E94D}"/>
    <hyperlink ref="E2483" r:id="rId2458" xr:uid="{3FF865F1-608C-47F7-A010-E66BFD11B17F}"/>
    <hyperlink ref="E2484" r:id="rId2459" xr:uid="{E24D89A4-981E-4446-83BC-7895BA6B37EB}"/>
    <hyperlink ref="E2485" r:id="rId2460" xr:uid="{7DC80BA7-A288-4897-ACCA-FFF39DE5AF09}"/>
    <hyperlink ref="E2486" r:id="rId2461" xr:uid="{F52188CF-7539-433D-8380-7DE4363AF194}"/>
    <hyperlink ref="E2487" r:id="rId2462" xr:uid="{FE8B2C7C-06B0-48D7-B292-543F361B7BD5}"/>
    <hyperlink ref="E2488" r:id="rId2463" xr:uid="{2D6E1E48-F446-431B-9567-194680FC1DD2}"/>
    <hyperlink ref="E2489" r:id="rId2464" xr:uid="{D731427B-FFBA-4227-B41D-FDF15775E95B}"/>
    <hyperlink ref="E2490" r:id="rId2465" xr:uid="{C6056825-1780-4D12-8197-20AA67A57C63}"/>
    <hyperlink ref="E2491" r:id="rId2466" xr:uid="{9F34D596-A8C9-4A1C-B1E1-BD8E2BB4C9A4}"/>
    <hyperlink ref="E2492" r:id="rId2467" xr:uid="{70F4C32F-45D2-4E2F-B1B2-3E19DA8BDAB3}"/>
    <hyperlink ref="E2493" r:id="rId2468" xr:uid="{8DA211D9-2670-4894-B5C8-7F91C357E4FB}"/>
    <hyperlink ref="E2494" r:id="rId2469" xr:uid="{4D7BE926-CA47-4A09-A765-5A5127B0B607}"/>
    <hyperlink ref="E2495" r:id="rId2470" xr:uid="{44287D5C-827F-470E-B75D-D40B98AD8ED3}"/>
    <hyperlink ref="E2496" r:id="rId2471" xr:uid="{E86832F1-9E59-42EF-83C4-3E6F468A2DD4}"/>
    <hyperlink ref="E2498" r:id="rId2472" xr:uid="{538AD61A-F58C-4DC7-ACF4-D55FF4739084}"/>
    <hyperlink ref="E2499" r:id="rId2473" xr:uid="{D8E44018-FCC8-48D7-9A3A-C17BCAC5BFC2}"/>
    <hyperlink ref="E2500" r:id="rId2474" xr:uid="{53B09590-C599-46F1-8682-6D7E3975AE5D}"/>
    <hyperlink ref="E2501" r:id="rId2475" xr:uid="{D79FBDC6-EC62-4AA0-A0F0-37FA8DA1AD1F}"/>
    <hyperlink ref="E2502" r:id="rId2476" xr:uid="{D8D8ED06-AB1B-4726-A892-F61FA2FAB94A}"/>
    <hyperlink ref="E2503" r:id="rId2477" xr:uid="{61F4E5CC-7953-4165-B2AA-DAA219ADB784}"/>
    <hyperlink ref="E2504" r:id="rId2478" xr:uid="{34C10192-4E48-417F-ABEA-81927867E2AC}"/>
    <hyperlink ref="E2505" r:id="rId2479" xr:uid="{97A07FB5-3626-45DB-A888-3E898B396B64}"/>
    <hyperlink ref="E2506" r:id="rId2480" xr:uid="{8C6C0644-0DC6-4551-BCF6-AC5DF82204CA}"/>
    <hyperlink ref="E2507" r:id="rId2481" xr:uid="{FD69C14B-F588-4075-831B-7B2B261716AD}"/>
    <hyperlink ref="E2508" r:id="rId2482" xr:uid="{007425FD-E546-4D87-9762-9E44AEBB8201}"/>
    <hyperlink ref="E2509" r:id="rId2483" xr:uid="{D2625FA5-9811-4505-AB0D-D400D2990C83}"/>
    <hyperlink ref="E2510" r:id="rId2484" xr:uid="{905021CA-D131-4C69-8D3E-20610C30AD88}"/>
    <hyperlink ref="E2511" r:id="rId2485" xr:uid="{7F3C1FEA-BDCC-4B02-A3ED-30BF2607B49F}"/>
    <hyperlink ref="E2512" r:id="rId2486" xr:uid="{F55727A5-071D-42A5-9288-C4040869B65A}"/>
    <hyperlink ref="E2513" r:id="rId2487" xr:uid="{EBF6694A-C6B4-426E-BB2A-85AE35AA9D60}"/>
    <hyperlink ref="E2514" r:id="rId2488" xr:uid="{3C0900E8-1B3A-4358-A857-AD6D5E66B926}"/>
    <hyperlink ref="E2515" r:id="rId2489" xr:uid="{0BBB3481-BC18-4A30-8FFA-E8DD2C4E8410}"/>
    <hyperlink ref="E2516" r:id="rId2490" xr:uid="{24569A77-FFF0-459F-9C24-50B311C6DC6A}"/>
    <hyperlink ref="E2517" r:id="rId2491" xr:uid="{0A0D8BA4-B2DA-49CB-8604-7CA00AECE286}"/>
    <hyperlink ref="E2518" r:id="rId2492" xr:uid="{6CC0D1C2-C4A8-4B2D-9B13-8F293CD78F05}"/>
    <hyperlink ref="E2519" r:id="rId2493" xr:uid="{2BBB475D-D4F0-46D1-93B2-E998E29B7500}"/>
    <hyperlink ref="E2520" r:id="rId2494" xr:uid="{2AA6F5A3-95FC-4E6E-A7D8-1110BE053137}"/>
    <hyperlink ref="E2521" r:id="rId2495" xr:uid="{CC2F8890-DE82-45FF-952E-5F9956CAC9F1}"/>
    <hyperlink ref="E2522" r:id="rId2496" xr:uid="{1D48C6DE-99D2-48E7-87B6-13C5E6F7BDD3}"/>
    <hyperlink ref="E2523" r:id="rId2497" xr:uid="{10EC6CAA-1100-4BBA-881F-D21CCB40FDEA}"/>
    <hyperlink ref="E2524" r:id="rId2498" xr:uid="{603047B9-48DD-40A1-986D-D8B8D2EFC02C}"/>
    <hyperlink ref="E2525" r:id="rId2499" xr:uid="{0A2702F6-BC71-49E6-AAD5-7276B227B730}"/>
    <hyperlink ref="E2526" r:id="rId2500" xr:uid="{E534F0B5-BBDF-4FC7-903C-F3AC77F4D5BB}"/>
    <hyperlink ref="E2527" r:id="rId2501" xr:uid="{C9408113-5686-4992-846A-D3F1402D1060}"/>
    <hyperlink ref="E2528" r:id="rId2502" xr:uid="{21DDF320-EB0F-420B-942A-8FA075B7E677}"/>
    <hyperlink ref="E2529" r:id="rId2503" xr:uid="{36BAAE4C-D859-4DE2-A7F2-CB3DE2D9D90D}"/>
    <hyperlink ref="E2530" r:id="rId2504" xr:uid="{7D85AC29-A0C5-46BA-AC20-851807E55E22}"/>
    <hyperlink ref="E2531" r:id="rId2505" xr:uid="{67007954-650D-4C45-AE8E-3AA318AE91AB}"/>
    <hyperlink ref="E2532" r:id="rId2506" xr:uid="{F340C952-D3D1-473D-82B2-65DFA8ABCD37}"/>
    <hyperlink ref="E2533" r:id="rId2507" xr:uid="{BB998040-6DE1-4F1F-A280-A53915E6241D}"/>
    <hyperlink ref="E2534" r:id="rId2508" xr:uid="{53639A97-15D7-4989-9582-E2F10FC502B9}"/>
    <hyperlink ref="E2535" r:id="rId2509" xr:uid="{0C766829-5291-4005-BA97-405F4008F019}"/>
    <hyperlink ref="E2536" r:id="rId2510" xr:uid="{5FC8A04B-4F61-468E-8556-1CD7AD8EDFB2}"/>
    <hyperlink ref="E2537" r:id="rId2511" xr:uid="{105D9829-EE19-41C3-B285-CEDEFB8FCFBE}"/>
    <hyperlink ref="E2538" r:id="rId2512" xr:uid="{151F7750-C23F-4FBB-A3FA-618C6CC82E30}"/>
    <hyperlink ref="E2539" r:id="rId2513" xr:uid="{215A6C92-9662-43C5-AAF3-3A09636352AB}"/>
    <hyperlink ref="E2540" r:id="rId2514" xr:uid="{2479E493-55C1-4CC1-8191-E9AD4553D4FA}"/>
    <hyperlink ref="E2541" r:id="rId2515" xr:uid="{9A38FD7D-BDE4-4E34-A7CF-FCD3D017BBC5}"/>
    <hyperlink ref="E2542" r:id="rId2516" xr:uid="{77C0A2A6-8829-41A2-A8AC-C1F1040C27C6}"/>
    <hyperlink ref="E2543" r:id="rId2517" xr:uid="{BE557A32-1BE6-4EEE-8D78-E17EC6994C6C}"/>
    <hyperlink ref="E2544" r:id="rId2518" xr:uid="{8A5956AB-3D56-46F0-B31A-1DB035193918}"/>
    <hyperlink ref="E2545" r:id="rId2519" xr:uid="{1FCB7E1F-8C2A-4271-AE13-5E53A96E7DFA}"/>
    <hyperlink ref="E2546" r:id="rId2520" xr:uid="{42E42CD3-A690-4739-AB37-82E63EC8A2FA}"/>
    <hyperlink ref="E2547" r:id="rId2521" xr:uid="{AA3AD226-1B3D-485A-9245-41553A745B21}"/>
    <hyperlink ref="E2548" r:id="rId2522" xr:uid="{20FB06C6-76A3-46FB-A82E-833C3CB098F7}"/>
    <hyperlink ref="E2549" r:id="rId2523" xr:uid="{87516982-5125-48B7-A11F-BB3BB5DE3801}"/>
    <hyperlink ref="E2550" r:id="rId2524" xr:uid="{2A026D32-AB6A-4F19-B541-89927F096AC6}"/>
    <hyperlink ref="E2551" r:id="rId2525" xr:uid="{F6A31A71-5C59-4A63-955A-3BD6CE6D5FF2}"/>
    <hyperlink ref="E2552" r:id="rId2526" xr:uid="{ADAC27D1-1288-46FA-932E-241AD5AECFAF}"/>
    <hyperlink ref="E2553" r:id="rId2527" xr:uid="{5AB52270-0245-440B-B611-C986C4ACCA34}"/>
    <hyperlink ref="E2554" r:id="rId2528" xr:uid="{7C1A1FB0-9A5C-45C5-BE79-D85A48A08179}"/>
    <hyperlink ref="E2555" r:id="rId2529" xr:uid="{9F52FC5F-2C38-452F-BC72-473A9FF145F5}"/>
    <hyperlink ref="E2556" r:id="rId2530" xr:uid="{AE541688-E01B-42A0-8B8D-D37451638D72}"/>
    <hyperlink ref="E2557" r:id="rId2531" xr:uid="{90433104-FBAE-4A37-A820-7B16A35EC500}"/>
    <hyperlink ref="E2558" r:id="rId2532" xr:uid="{8146A8EC-EC87-4BD2-8F53-3FF2C24AE48D}"/>
    <hyperlink ref="E2559" r:id="rId2533" xr:uid="{060DD649-0741-43D0-95F6-E8A8F8E60765}"/>
    <hyperlink ref="E2560" r:id="rId2534" xr:uid="{027F681A-0A99-4797-8D08-6DF66DF8C0B7}"/>
    <hyperlink ref="E2561" r:id="rId2535" xr:uid="{027559DA-0D1D-452B-9484-89ED2870CA39}"/>
    <hyperlink ref="E2562" r:id="rId2536" xr:uid="{1D127810-420F-407D-B8B5-D8D9CA4D3F8A}"/>
    <hyperlink ref="E2563" r:id="rId2537" xr:uid="{23416B90-E016-4965-B9C9-D7A399712102}"/>
    <hyperlink ref="E2564" r:id="rId2538" xr:uid="{20608EC7-B644-4FB3-987C-29337111F686}"/>
    <hyperlink ref="E2565" r:id="rId2539" xr:uid="{6B8E4AB3-58A9-4053-8633-4BF1E9B355D1}"/>
    <hyperlink ref="E2566" r:id="rId2540" xr:uid="{BBB40B86-9339-4901-9001-EA444A0FA12E}"/>
    <hyperlink ref="E2567" r:id="rId2541" xr:uid="{85C8CB3C-A21A-4BFA-B48E-A9E93162BB3A}"/>
    <hyperlink ref="E2568" r:id="rId2542" xr:uid="{24BDBC5E-6870-4C8D-9AC5-89EA8D71183D}"/>
    <hyperlink ref="E2569" r:id="rId2543" xr:uid="{400E3084-5E98-4A34-831D-66202B18468F}"/>
    <hyperlink ref="E2570" r:id="rId2544" xr:uid="{57A907E5-3E00-4862-A1EF-AAF436B32A07}"/>
    <hyperlink ref="E2571" r:id="rId2545" xr:uid="{20098A1F-E665-41B8-8D51-3D3F02F8FA9F}"/>
    <hyperlink ref="E2572" r:id="rId2546" xr:uid="{C7F3C22B-C20F-449B-8B63-8B0C217193FE}"/>
    <hyperlink ref="E2573" r:id="rId2547" xr:uid="{CF0B2C87-954F-426F-9D93-AE4350AAB669}"/>
    <hyperlink ref="E2574" r:id="rId2548" xr:uid="{B75B35FF-5CC7-4110-B566-BA47BFA03BD5}"/>
    <hyperlink ref="E2575" r:id="rId2549" xr:uid="{92AF491D-E4D9-495A-B41A-DBD4638C04A9}"/>
    <hyperlink ref="E2576" r:id="rId2550" xr:uid="{B4CCB403-2EA0-44C9-B6B1-85B784EAE286}"/>
    <hyperlink ref="E2577" r:id="rId2551" xr:uid="{B696A49C-0F6D-4B35-9382-A304814AA8C0}"/>
    <hyperlink ref="E2578" r:id="rId2552" xr:uid="{B2044C84-4A98-4E30-800B-B73A5443FE58}"/>
    <hyperlink ref="E2579" r:id="rId2553" xr:uid="{2CC12B78-260E-4170-8149-2815365ED2C9}"/>
    <hyperlink ref="E2580" r:id="rId2554" xr:uid="{674D7A80-25DC-4F44-A873-04E788F85098}"/>
    <hyperlink ref="E2581" r:id="rId2555" xr:uid="{AA3F13F1-754D-420C-BE0E-87EC76CE7165}"/>
    <hyperlink ref="E2582" r:id="rId2556" xr:uid="{1A5F425E-159E-402A-AD84-F932EBBB46CA}"/>
    <hyperlink ref="E2607" r:id="rId2557" xr:uid="{39A0C2DB-ADD2-4514-AA74-7D4A7EB1FDCC}"/>
    <hyperlink ref="E2584" r:id="rId2558" xr:uid="{CC940D5D-5CAA-4C0E-A7C0-2B705C137D48}"/>
    <hyperlink ref="E2585" r:id="rId2559" xr:uid="{CD947C32-7375-453C-93B4-EE3504D6DA8A}"/>
    <hyperlink ref="E2609" r:id="rId2560" xr:uid="{205EEAE3-42E4-4996-80B5-4C721B420B81}"/>
    <hyperlink ref="E2587" r:id="rId2561" xr:uid="{6883644D-15E1-4895-B8CD-4D6E0647BF59}"/>
    <hyperlink ref="E2588" r:id="rId2562" xr:uid="{664490BB-3032-4B6E-B8D1-9DED27AE099D}"/>
    <hyperlink ref="E2589" r:id="rId2563" xr:uid="{12D5FBA6-A7AF-48E1-80D8-19451753B362}"/>
    <hyperlink ref="E2590" r:id="rId2564" xr:uid="{77936E8C-2D62-4B9A-BDC6-A57C52F0ED84}"/>
    <hyperlink ref="E2591" r:id="rId2565" xr:uid="{39484EDF-F2C9-4427-8D93-FEE29F23726C}"/>
    <hyperlink ref="E2592" r:id="rId2566" xr:uid="{AB787A27-3DCE-4858-9BAF-358B79285964}"/>
    <hyperlink ref="E2593" r:id="rId2567" xr:uid="{9D837780-4EC9-40B6-9EFC-70D42987D639}"/>
    <hyperlink ref="E2594" r:id="rId2568" xr:uid="{BB1B7CC7-3575-44A9-9D75-AEE4363A3027}"/>
    <hyperlink ref="E2595" r:id="rId2569" xr:uid="{73A12211-9275-4493-9ABF-3DE15F746A03}"/>
    <hyperlink ref="E2596" r:id="rId2570" xr:uid="{37AB2BF3-1621-49AD-A803-422AF901C7A0}"/>
    <hyperlink ref="E2597" r:id="rId2571" xr:uid="{E6FBEABE-4251-4647-A664-187FB5876904}"/>
    <hyperlink ref="E2598" r:id="rId2572" xr:uid="{2865344F-D021-4512-B088-06B6C3DDEC0F}"/>
    <hyperlink ref="E2599" r:id="rId2573" xr:uid="{3B13BCE3-8879-4C10-9C1A-EBD30DE77F51}"/>
    <hyperlink ref="E2600" r:id="rId2574" xr:uid="{AD2D25F0-6F36-4E89-8A1A-3517F85DFF1C}"/>
    <hyperlink ref="E2601" r:id="rId2575" xr:uid="{FA579AC4-8B2B-4C17-8316-D12BC7BE8E78}"/>
    <hyperlink ref="E2602" r:id="rId2576" xr:uid="{19C80F87-7CF3-452B-B26D-D20A393487F9}"/>
    <hyperlink ref="E2603" r:id="rId2577" xr:uid="{774336BA-327E-458A-A431-D3F4C7FA12FA}"/>
    <hyperlink ref="E2604" r:id="rId2578" xr:uid="{6C69CAFE-2D3A-463A-A05E-D7EF1885E403}"/>
    <hyperlink ref="E2605" r:id="rId2579" xr:uid="{637FEE39-6E8A-4884-A05D-03195333D8DA}"/>
    <hyperlink ref="E2606" r:id="rId2580" xr:uid="{0E7BAB15-BF65-427F-A978-EFCF2F93B66D}"/>
    <hyperlink ref="E2610" r:id="rId2581" xr:uid="{DC3D0D6D-2520-4B94-B175-CEF20678EFEC}"/>
    <hyperlink ref="E2608" r:id="rId2582" xr:uid="{9CE895B3-4561-41D7-8744-7C0160098AB2}"/>
    <hyperlink ref="E2583" r:id="rId2583" xr:uid="{32FB7D39-F5B0-42E6-B6FB-C15051F662D1}"/>
    <hyperlink ref="E2586" r:id="rId2584" xr:uid="{C91CE535-0F1E-43B0-86AD-368B04BBC100}"/>
    <hyperlink ref="E2611" r:id="rId2585" xr:uid="{A7A88755-B919-4BDF-B912-0DFD8B90E8F0}"/>
    <hyperlink ref="E2612" r:id="rId2586" xr:uid="{8B077870-36DF-4F27-B27C-DDE6ED445051}"/>
    <hyperlink ref="E2613" r:id="rId2587" xr:uid="{BEF0BC2C-0B60-4939-A605-6821E1FBBC46}"/>
    <hyperlink ref="E2614" r:id="rId2588" xr:uid="{F3FC7A9D-8125-435E-90EA-8252413462FB}"/>
    <hyperlink ref="E2615" r:id="rId2589" xr:uid="{17367CBB-8682-409F-AF90-590518A561AC}"/>
    <hyperlink ref="E2616" r:id="rId2590" xr:uid="{63449BEA-5F2F-4AC9-9821-4D41F976D538}"/>
    <hyperlink ref="E2617" r:id="rId2591" xr:uid="{BFEB93A4-8BB8-41FF-A0B0-EE3C9068E9A1}"/>
    <hyperlink ref="E2618" r:id="rId2592" xr:uid="{8C8980C4-247C-4459-8449-63F4B807055E}"/>
    <hyperlink ref="E2619" r:id="rId2593" xr:uid="{B17341B8-A6C0-4A76-AA63-19ACD3828522}"/>
    <hyperlink ref="E2620" r:id="rId2594" xr:uid="{465FE8DA-D1F6-4AAD-9833-0FDF3B5D88F7}"/>
    <hyperlink ref="E2621" r:id="rId2595" xr:uid="{9D6199E4-7436-404E-AE95-990D3F292FAC}"/>
    <hyperlink ref="E2626" r:id="rId2596" xr:uid="{BB64D4A8-2D3A-4964-A32C-B0EF56951724}"/>
    <hyperlink ref="E2623" r:id="rId2597" xr:uid="{33BEB028-0B8C-4AF2-8858-B2BD5DCE35B8}"/>
    <hyperlink ref="E2624" r:id="rId2598" xr:uid="{EA33F1AA-CC72-4D8F-A5A6-2C1B250A2484}"/>
    <hyperlink ref="E2625" r:id="rId2599" xr:uid="{AFDDA2F5-6049-494E-A127-2402D9014350}"/>
    <hyperlink ref="E2642" r:id="rId2600" xr:uid="{A74B1A22-FDAF-41B0-8327-66CC78D23FCD}"/>
    <hyperlink ref="E2627" r:id="rId2601" xr:uid="{A8C8165C-865E-4990-B837-39FD2DF11C5A}"/>
    <hyperlink ref="E2628" r:id="rId2602" xr:uid="{DFE1B133-EE64-480D-A536-9E70372DB596}"/>
    <hyperlink ref="E2629" r:id="rId2603" xr:uid="{969A9C4B-F6B3-482B-8B8A-345378E639E4}"/>
    <hyperlink ref="E2630" r:id="rId2604" xr:uid="{29B2B536-1C86-4D67-870E-5A18A5E41564}"/>
    <hyperlink ref="E2631" r:id="rId2605" xr:uid="{0F2BBABC-BEC0-4289-82EA-2D3838DD964D}"/>
    <hyperlink ref="E2632" r:id="rId2606" xr:uid="{21548C62-11CB-423F-9372-A5BAC9B189F1}"/>
    <hyperlink ref="E2633" r:id="rId2607" xr:uid="{AF5A2D07-BEEB-44C8-A582-0A83E91FBD05}"/>
    <hyperlink ref="E2634" r:id="rId2608" xr:uid="{CF92FA5F-A877-45BE-AED6-019F9142E5B7}"/>
    <hyperlink ref="E2635" r:id="rId2609" xr:uid="{544C8D48-EE32-49A4-B451-3B3DC9685621}"/>
    <hyperlink ref="E2636" r:id="rId2610" xr:uid="{C305D5B9-2161-45E3-BB99-B8781252D846}"/>
    <hyperlink ref="E2637" r:id="rId2611" xr:uid="{7CBD9E25-7515-42C1-885E-2EC68826774D}"/>
    <hyperlink ref="E2622" r:id="rId2612" xr:uid="{004CC46A-6FEE-4D76-9488-13A2E6E28529}"/>
    <hyperlink ref="E2639" r:id="rId2613" xr:uid="{673AB568-7A39-4F0E-9BFA-02FE7685EB7E}"/>
    <hyperlink ref="E2638" r:id="rId2614" xr:uid="{F8FDAFE7-D1AC-47BB-8B0F-44DE772A30A4}"/>
    <hyperlink ref="E2641" r:id="rId2615" xr:uid="{9015D54A-9358-484A-98DA-B194166DF9E1}"/>
    <hyperlink ref="E2640" r:id="rId2616" xr:uid="{1BC78A12-6037-4BF3-A227-C10475DC4478}"/>
    <hyperlink ref="E2643" r:id="rId2617" xr:uid="{DBC99B2A-8C1E-4832-9A5E-08993A9D0E63}"/>
    <hyperlink ref="E2645" r:id="rId2618" xr:uid="{B3B4A393-3DC6-49C1-AF8F-EBDA03CBDBC7}"/>
    <hyperlink ref="E2646" r:id="rId2619" xr:uid="{1A2E49F5-A14A-43D5-AE60-9DF9FE82105C}"/>
    <hyperlink ref="E2647" r:id="rId2620" xr:uid="{306A9549-B453-445A-831F-F88D582B8B36}"/>
    <hyperlink ref="E2648" r:id="rId2621" xr:uid="{70CE91F1-70CE-4EF7-9CE9-DBC6E1CFAEAF}"/>
    <hyperlink ref="E2649" r:id="rId2622" xr:uid="{C0E20F58-2D33-4277-A85E-7D5C1151ABE5}"/>
    <hyperlink ref="E2650" r:id="rId2623" xr:uid="{73670756-0205-4FBE-8017-585386BFE70D}"/>
    <hyperlink ref="E2651" r:id="rId2624" xr:uid="{E4B50489-8378-4D4B-A637-72053083FB5E}"/>
    <hyperlink ref="E2652" r:id="rId2625" xr:uid="{D8030759-9E54-459B-949F-45615B5C237B}"/>
    <hyperlink ref="E2653" r:id="rId2626" xr:uid="{EB684CF0-E20B-428E-842A-504C84E99178}"/>
    <hyperlink ref="E2644" r:id="rId2627" xr:uid="{6C02DA37-56AA-4ABC-89DE-7E03F5D65854}"/>
    <hyperlink ref="E2654" r:id="rId2628" xr:uid="{1B6699BB-7A90-4EBD-A589-05D26AF8DE84}"/>
    <hyperlink ref="E2655" r:id="rId2629" xr:uid="{F278014E-6D84-493A-874C-FAA15FC209E1}"/>
    <hyperlink ref="E2656" r:id="rId2630" xr:uid="{C6907DAF-DCC1-4C13-80C4-5CADAE83A100}"/>
    <hyperlink ref="E2657" r:id="rId2631" xr:uid="{1113BCFE-A700-4EEB-A291-47E8E3272E1E}"/>
    <hyperlink ref="E2658" r:id="rId2632" xr:uid="{B809C785-2F5C-402C-9F8B-93CCE1FB0EF1}"/>
    <hyperlink ref="E2659" r:id="rId2633" xr:uid="{83468EDB-6036-4DD5-9885-0F05E001A24A}"/>
    <hyperlink ref="E2660" r:id="rId2634" xr:uid="{55B9D238-D2FB-44EF-A582-FC16C2A57FE9}"/>
    <hyperlink ref="E2661" r:id="rId2635" xr:uid="{520666C3-31A5-4122-A859-5687063AEF22}"/>
    <hyperlink ref="E2662" r:id="rId2636" xr:uid="{EE4684FF-D8FC-45E2-83EE-2B9DDEC7758C}"/>
    <hyperlink ref="E2663" r:id="rId2637" xr:uid="{EB2BAE5F-4F6A-444C-8205-F8340C691CC9}"/>
    <hyperlink ref="E2664" r:id="rId2638" xr:uid="{A7703966-B19F-486B-866A-A38B389FE586}"/>
    <hyperlink ref="E2665" r:id="rId2639" xr:uid="{04BA9534-7ABB-4343-9006-1E6DA112BA84}"/>
    <hyperlink ref="E2666" r:id="rId2640" xr:uid="{AE27BCBD-0376-4288-B770-CD79DD1A267F}"/>
    <hyperlink ref="E2667" r:id="rId2641" xr:uid="{598D9120-0112-4492-9383-363C45D2E91C}"/>
    <hyperlink ref="E2668" r:id="rId2642" xr:uid="{9F0EE808-FC4F-4B3C-BACF-A80FCCCFEA05}"/>
    <hyperlink ref="E2669" r:id="rId2643" xr:uid="{8F926D9D-21CA-4EFE-844B-817B19A9718F}"/>
    <hyperlink ref="E2670" r:id="rId2644" xr:uid="{F8D3EC81-4EC0-47F1-A3C4-02337751C2DD}"/>
    <hyperlink ref="E2671" r:id="rId2645" xr:uid="{74B04E58-A43D-4E38-BE18-16647318969E}"/>
    <hyperlink ref="E2672" r:id="rId2646" xr:uid="{AA758D54-BB34-4FF6-B612-FC921C0FE0CA}"/>
    <hyperlink ref="E2673" r:id="rId2647" xr:uid="{21E36EC9-D5CA-4887-912C-644AB50F6A6B}"/>
    <hyperlink ref="E2674" r:id="rId2648" xr:uid="{7F06C391-775C-43FF-AE5E-E365ED724B84}"/>
    <hyperlink ref="E2675" r:id="rId2649" xr:uid="{0452BED5-CE33-4091-BC94-2FCFC1321119}"/>
    <hyperlink ref="E2676" r:id="rId2650" xr:uid="{203A2A7A-4968-487F-90E6-84AE7CF03848}"/>
    <hyperlink ref="E2677" r:id="rId2651" xr:uid="{2C4D8A68-528D-42F4-924E-E9457488527B}"/>
    <hyperlink ref="E2678" r:id="rId2652" xr:uid="{A7FBF24A-8AAA-4B3E-9916-C72A0162CB3C}"/>
    <hyperlink ref="E2679" r:id="rId2653" xr:uid="{BEBF07B0-BE8D-4337-8D31-F045502225D9}"/>
    <hyperlink ref="E2680" r:id="rId2654" xr:uid="{1A36CA87-2AE1-4308-9728-9662CE7CA79F}"/>
    <hyperlink ref="E2681" r:id="rId2655" xr:uid="{28F8DC39-02D8-4D52-A53F-E85C4FB82CFC}"/>
    <hyperlink ref="E2682" r:id="rId2656" xr:uid="{3D408693-E1AF-441F-8EEF-F37B37E52E17}"/>
    <hyperlink ref="E2683" r:id="rId2657" xr:uid="{247BD3A0-C611-482E-8DF9-3AA83E2C0AE7}"/>
    <hyperlink ref="E2684" r:id="rId2658" xr:uid="{E52A841A-BFC7-43A4-9539-AE738A4D48D0}"/>
    <hyperlink ref="E2685" r:id="rId2659" xr:uid="{EA370D0B-D978-4A41-BE3F-F067D4023491}"/>
    <hyperlink ref="E2686" r:id="rId2660" xr:uid="{E2DBD525-7FDF-41DB-9646-77CF6F0B4542}"/>
    <hyperlink ref="E2687" r:id="rId2661" xr:uid="{8ACC8EFA-BFF1-4583-A27B-A19C5DAAE322}"/>
    <hyperlink ref="E2688" r:id="rId2662" xr:uid="{92CE50A3-6F07-4EA6-9793-93435FE54BA1}"/>
    <hyperlink ref="E2689" r:id="rId2663" xr:uid="{C591C593-0E07-45A9-A258-A35E9EE00AAD}"/>
    <hyperlink ref="E2690" r:id="rId2664" xr:uid="{BC62DCF6-9ECB-4910-B7A1-C4193ED3B888}"/>
    <hyperlink ref="E2691" r:id="rId2665" xr:uid="{27354AA2-8330-4B8D-ACDB-0FF68716BB92}"/>
    <hyperlink ref="E2692" r:id="rId2666" xr:uid="{E92665C7-C090-4FFF-8722-F13DAA36A8F8}"/>
    <hyperlink ref="E2693" r:id="rId2667" xr:uid="{51FB17B2-17FC-48E2-A9A5-FA2263595E23}"/>
    <hyperlink ref="E2694" r:id="rId2668" xr:uid="{4E5CEE01-7C1C-41B0-A683-C64E06238FAD}"/>
    <hyperlink ref="E2695" r:id="rId2669" xr:uid="{C466351C-C991-4C45-9CE6-30804DC10FD6}"/>
    <hyperlink ref="E2696" r:id="rId2670" xr:uid="{5EC0D48E-B7EE-4EEC-AB85-DCEF51A4D2E0}"/>
    <hyperlink ref="E2697" r:id="rId2671" xr:uid="{897B70C3-3583-4AC6-96A9-96062AD2566C}"/>
    <hyperlink ref="E2698" r:id="rId2672" xr:uid="{173D5A2C-B15E-4D37-AE19-DC562F14AAD8}"/>
    <hyperlink ref="E2699" r:id="rId2673" xr:uid="{5B43CA16-77FB-454B-8E8F-E9413FBBEA8C}"/>
    <hyperlink ref="E2700" r:id="rId2674" xr:uid="{3AADB709-98D8-4F3A-A34C-ACB8112B686C}"/>
    <hyperlink ref="E2701" r:id="rId2675" xr:uid="{900E454C-8FC7-4810-A89D-5E1E722C91E1}"/>
    <hyperlink ref="E2702" r:id="rId2676" xr:uid="{6C75A822-3D9B-4956-A894-9F3930C308A9}"/>
    <hyperlink ref="E2703" r:id="rId2677" xr:uid="{8324B0C1-7482-47FF-BD7E-CF8E9BE8C172}"/>
    <hyperlink ref="E2705" r:id="rId2678" xr:uid="{09AAF6C6-6915-4B24-9E48-585CE715B518}"/>
    <hyperlink ref="E2706" r:id="rId2679" xr:uid="{24E9CD2C-6D99-4374-8861-365491B9AF86}"/>
    <hyperlink ref="E2707" r:id="rId2680" xr:uid="{7D7CB7D0-E50E-4402-B673-4404EF171F10}"/>
    <hyperlink ref="E2708" r:id="rId2681" xr:uid="{1844BA8B-3ACA-4FF7-B071-81D23A36A051}"/>
    <hyperlink ref="E2709" r:id="rId2682" xr:uid="{F7376D15-6075-4175-BA5C-CBA8070449A7}"/>
    <hyperlink ref="E2710" r:id="rId2683" xr:uid="{112462D9-B588-40F3-865A-0BC8EA2DEC60}"/>
    <hyperlink ref="E2711" r:id="rId2684" xr:uid="{586187FE-3021-46E5-AFA4-80B4F3B60EB3}"/>
    <hyperlink ref="E2712" r:id="rId2685" xr:uid="{EB805647-F3D8-4FA4-96E8-E0AF19DC2F02}"/>
    <hyperlink ref="E2713" r:id="rId2686" xr:uid="{2F132F37-4D63-4A44-99BE-BB35E0CB3B64}"/>
    <hyperlink ref="E2714" r:id="rId2687" xr:uid="{190A1976-CF43-4F9E-BE18-327471E4DBE0}"/>
    <hyperlink ref="E2715" r:id="rId2688" xr:uid="{E460B178-1E7E-44E8-BF1E-65CA6A552843}"/>
    <hyperlink ref="E2716" r:id="rId2689" xr:uid="{A168DEB6-96B4-4F25-A34A-2CC0F38FA1D7}"/>
    <hyperlink ref="E2717" r:id="rId2690" xr:uid="{B7FF9960-9C9D-4A98-BD59-42A006AF4367}"/>
    <hyperlink ref="E2718" r:id="rId2691" xr:uid="{184F9E01-3204-430D-83C0-D8E2F1E9884E}"/>
    <hyperlink ref="E2719" r:id="rId2692" xr:uid="{E208A7B8-846E-4658-BF7C-5AA34C535D4F}"/>
    <hyperlink ref="E2720" r:id="rId2693" xr:uid="{B44F5247-2165-485C-8F92-C587EE01B50F}"/>
    <hyperlink ref="E2721" r:id="rId2694" xr:uid="{98E284C5-E29C-4D88-8B21-A7FA1CB7D9E2}"/>
    <hyperlink ref="E2722" r:id="rId2695" xr:uid="{6F7329A6-1ED0-4808-B12A-E39D84747973}"/>
    <hyperlink ref="E2723" r:id="rId2696" xr:uid="{75002F5D-3666-49B4-BF63-9DBB45E502D6}"/>
    <hyperlink ref="E2724" r:id="rId2697" xr:uid="{FCDF5D50-899C-4A5B-BF2B-622F00BF2888}"/>
    <hyperlink ref="E2725" r:id="rId2698" xr:uid="{0E6E5ED2-9FFC-417E-8D85-7C6F4981C957}"/>
    <hyperlink ref="E2726" r:id="rId2699" xr:uid="{3B1514B9-5659-4219-8A7B-CA7BE89F27B0}"/>
    <hyperlink ref="E2727" r:id="rId2700" xr:uid="{BE2598D3-804B-47A4-B342-D6BEAB7EE534}"/>
    <hyperlink ref="E2728" r:id="rId2701" xr:uid="{1BF43EC3-993E-445E-8F2C-ADBC19F3A8A1}"/>
    <hyperlink ref="E2729" r:id="rId2702" xr:uid="{02EBFABF-A124-4681-83B1-61B1304EFD39}"/>
    <hyperlink ref="E2730" r:id="rId2703" xr:uid="{ED2A8E31-D31F-4431-B2B5-C418C2DE8D81}"/>
    <hyperlink ref="E2731" r:id="rId2704" xr:uid="{D40CB30A-49B3-48AA-957E-739EA602B112}"/>
    <hyperlink ref="E2733" r:id="rId2705" xr:uid="{5C7D6957-09E6-46CA-981A-CC93488B6E8D}"/>
    <hyperlink ref="E2734" r:id="rId2706" xr:uid="{C668D2D3-7DCF-40EF-BF89-54F5DCE19B51}"/>
    <hyperlink ref="E2735" r:id="rId2707" xr:uid="{EF1B2299-27C3-4AFC-A5D5-C072E26ED987}"/>
    <hyperlink ref="E2736" r:id="rId2708" xr:uid="{E2ED2B14-CE44-43C4-AEDC-0BB356234C1A}"/>
    <hyperlink ref="E2737" r:id="rId2709" xr:uid="{83C941FB-E5FF-4EA3-91D6-C4E8CB9A6F5F}"/>
    <hyperlink ref="E2738" r:id="rId2710" xr:uid="{CB9CC7ED-428D-43B8-89A3-BCA80F9A4D77}"/>
    <hyperlink ref="E2739" r:id="rId2711" xr:uid="{7BC165CF-0550-4B3F-8B6A-6A083F6C9878}"/>
    <hyperlink ref="E2740" r:id="rId2712" xr:uid="{7C74DE8C-28A6-4538-B864-2A67B319DD6D}"/>
    <hyperlink ref="E2741" r:id="rId2713" xr:uid="{B4BC663B-5193-444A-871E-50CD0A7D3013}"/>
    <hyperlink ref="E2743" r:id="rId2714" xr:uid="{5CA66448-01A3-4E13-B017-0BB2DF007F27}"/>
    <hyperlink ref="E2744" r:id="rId2715" xr:uid="{34CC18D7-4BF2-440D-9FDB-4B6B8A946AB0}"/>
    <hyperlink ref="E2745" r:id="rId2716" xr:uid="{C9051F9A-0763-47C5-B99D-38D51D782121}"/>
    <hyperlink ref="E2746" r:id="rId2717" xr:uid="{239D64D8-B468-46EA-B03A-AEE7E6A3B837}"/>
    <hyperlink ref="E2747" r:id="rId2718" xr:uid="{138A9F1D-6321-4811-BE2E-635DB6CA9203}"/>
    <hyperlink ref="E2748" r:id="rId2719" xr:uid="{2671C78F-A3F9-4F2E-8743-81DC4A12A0B0}"/>
    <hyperlink ref="E2749" r:id="rId2720" xr:uid="{5B331C3C-5AF5-4277-ABA2-BF201BBBC18D}"/>
    <hyperlink ref="E2750" r:id="rId2721" xr:uid="{789C2986-F61C-4370-A7B7-FBF11BDB6E59}"/>
    <hyperlink ref="E2751" r:id="rId2722" xr:uid="{2BBD3487-CC32-43F8-8712-A5CFA6973341}"/>
    <hyperlink ref="E2752" r:id="rId2723" xr:uid="{A12BE81B-FD4E-4F54-A88C-911B14ABF938}"/>
    <hyperlink ref="E2753" r:id="rId2724" xr:uid="{69C3A3DC-6EAC-496E-9C17-9CA04AFE7C4B}"/>
    <hyperlink ref="E2754" r:id="rId2725" xr:uid="{5B8A8E1F-9541-4BA2-808A-321E43E3228A}"/>
    <hyperlink ref="E2755" r:id="rId2726" xr:uid="{C1153C39-40E6-44B2-83D8-744A2345F5FA}"/>
    <hyperlink ref="E2756" r:id="rId2727" xr:uid="{FF34736B-9B1E-465B-BF95-D8671303130E}"/>
    <hyperlink ref="E2757" r:id="rId2728" xr:uid="{D81016AE-2998-4BD8-91D3-739D09FD5B26}"/>
    <hyperlink ref="E2758" r:id="rId2729" xr:uid="{66146076-DF50-4D38-A9DE-A28C0E1A38E9}"/>
    <hyperlink ref="E2759" r:id="rId2730" xr:uid="{5666E3E8-3DD0-4EA8-A7CE-4C3D6A9BC15C}"/>
    <hyperlink ref="E2760" r:id="rId2731" xr:uid="{E81C42B5-5571-4D13-A39F-FF7C2720996E}"/>
    <hyperlink ref="E2761" r:id="rId2732" xr:uid="{F67A738E-FB4D-4A38-8F4F-54E00AF66DCC}"/>
    <hyperlink ref="E2762" r:id="rId2733" xr:uid="{CD8E228E-822F-4272-AEE2-B68862CAAE22}"/>
    <hyperlink ref="E2763" r:id="rId2734" xr:uid="{B606EC42-D0FC-4B99-942D-9E485AE90816}"/>
    <hyperlink ref="E2764" r:id="rId2735" xr:uid="{A1FE02B9-CEA4-475A-81C2-F856F57D9CCA}"/>
    <hyperlink ref="E2765" r:id="rId2736" xr:uid="{7B980473-A9BF-434D-B1F9-7BBA40EBAEA1}"/>
    <hyperlink ref="E2766" r:id="rId2737" xr:uid="{3EC89E37-5CFB-4A90-BA76-802C010CC0B7}"/>
    <hyperlink ref="E2767" r:id="rId2738" xr:uid="{FC05498C-88A7-4CA8-9ADE-0E502033DE0B}"/>
    <hyperlink ref="E2769" r:id="rId2739" xr:uid="{F188D281-2CA1-4ED9-B798-728107773E25}"/>
    <hyperlink ref="E2770" r:id="rId2740" xr:uid="{5C7D5431-37EB-4CBD-987B-E9D7B15A974D}"/>
    <hyperlink ref="E2771" r:id="rId2741" xr:uid="{096A9F4F-C051-45D5-89C7-5837A79835BA}"/>
    <hyperlink ref="E2772" r:id="rId2742" xr:uid="{9FEC51DD-8968-474E-A52B-6A1D2C4A0BFF}"/>
    <hyperlink ref="E2773" r:id="rId2743" xr:uid="{597259B8-B70A-457B-BE07-89384F25961E}"/>
    <hyperlink ref="E2774" r:id="rId2744" xr:uid="{D4F35625-9D4D-468B-AA4C-21B7AB5E2A8C}"/>
    <hyperlink ref="E2775" r:id="rId2745" xr:uid="{39C11A5C-ADDC-4F7D-9BA5-E1897E1ED35B}"/>
    <hyperlink ref="E2776" r:id="rId2746" xr:uid="{00A22E35-89EC-4136-AD8E-F989DA5CAAB7}"/>
    <hyperlink ref="E2777" r:id="rId2747" xr:uid="{648C5E7D-8F0A-460A-98CD-9C747E3F6035}"/>
    <hyperlink ref="E2778" r:id="rId2748" xr:uid="{B758D20B-AE9A-44DE-AAA9-31122006F1CF}"/>
    <hyperlink ref="E2779" r:id="rId2749" xr:uid="{2D5A4F3B-5B80-4B34-B45E-083A933E6E50}"/>
    <hyperlink ref="E2780" r:id="rId2750" xr:uid="{2CD703AA-054B-41AA-B15A-3331955C84B3}"/>
    <hyperlink ref="E2781" r:id="rId2751" xr:uid="{43816A2E-B8FE-4B48-9E8D-59EC4338E21C}"/>
    <hyperlink ref="E2782" r:id="rId2752" xr:uid="{56749CBC-DCBF-46BE-A85F-DC58FFB589E8}"/>
    <hyperlink ref="E2783" r:id="rId2753" xr:uid="{479E28D1-3410-4DD5-BEF8-E7CDD50B85A5}"/>
    <hyperlink ref="E2784" r:id="rId2754" xr:uid="{83F53BC3-40A1-4AFC-8BEF-7D8FE2F8E0C8}"/>
    <hyperlink ref="E2785" r:id="rId2755" xr:uid="{66347154-9524-4A7A-A564-9AD36A21F4F3}"/>
    <hyperlink ref="E2786" r:id="rId2756" xr:uid="{8CB03EDD-8232-4C36-8F2E-A26E86272707}"/>
    <hyperlink ref="E2787" r:id="rId2757" xr:uid="{AA51E1A0-01C4-4A61-B46C-F4BB3D140CEF}"/>
    <hyperlink ref="E2788" r:id="rId2758" xr:uid="{2E517BE0-AC0B-4C4A-A027-3E3A8E2B10C1}"/>
    <hyperlink ref="E2789" r:id="rId2759" xr:uid="{B2F55BF0-1CC0-410C-806F-866808792BBD}"/>
    <hyperlink ref="E2790" r:id="rId2760" xr:uid="{8DB6A005-AB3A-4A55-AE80-C45AE8967104}"/>
    <hyperlink ref="E2791" r:id="rId2761" xr:uid="{DAF39B40-5BB4-4FE1-B781-57E842F9D946}"/>
    <hyperlink ref="E2792" r:id="rId2762" xr:uid="{FC6EC814-2C2B-48C0-8BA7-FB0EB6398B39}"/>
    <hyperlink ref="E2793" r:id="rId2763" xr:uid="{2141A09F-F208-408A-B129-93A9DBF37280}"/>
    <hyperlink ref="E2794" r:id="rId2764" xr:uid="{DDB172AD-B539-4A3B-B9ED-83318A85EE9D}"/>
    <hyperlink ref="E2795" r:id="rId2765" xr:uid="{0A3F1A5F-D5B8-4416-B33E-14C246EDBEB7}"/>
    <hyperlink ref="E2796" r:id="rId2766" xr:uid="{B42F7962-9AE1-4CC6-A45D-35DBBD764908}"/>
    <hyperlink ref="E2797" r:id="rId2767" xr:uid="{EF35AA75-93DB-41CC-A733-A1F2E1909CBD}"/>
    <hyperlink ref="E2798" r:id="rId2768" xr:uid="{C84DB1F7-5D88-40A3-A3D5-E6FAB294DB47}"/>
    <hyperlink ref="E2799" r:id="rId2769" xr:uid="{9315DA5A-209A-4EDA-B18D-6235ED71F409}"/>
    <hyperlink ref="E2800" r:id="rId2770" xr:uid="{9F5CF824-D556-420D-A570-A3B0A3B9D43E}"/>
    <hyperlink ref="E2801" r:id="rId2771" xr:uid="{64536741-6DE2-4CC6-B441-B440D4EA21DA}"/>
    <hyperlink ref="E2802" r:id="rId2772" xr:uid="{9FBA80E0-8A7E-4D48-969D-9CC21C167371}"/>
    <hyperlink ref="E2803" r:id="rId2773" xr:uid="{C6692203-4620-4616-B449-CEA937558171}"/>
    <hyperlink ref="E2804" r:id="rId2774" xr:uid="{78034C63-C3A6-4AA0-BEDC-C03201CBE0E5}"/>
    <hyperlink ref="E2805" r:id="rId2775" xr:uid="{54B67DF0-1142-4B2A-93BF-3C9C213F3F1A}"/>
    <hyperlink ref="E2806" r:id="rId2776" xr:uid="{3B0B749D-39A5-4B53-9ABD-FAFEE93F1283}"/>
    <hyperlink ref="E2807" r:id="rId2777" xr:uid="{D3044F80-8499-42E9-9433-A29429500474}"/>
    <hyperlink ref="E2808" r:id="rId2778" xr:uid="{2FF69D21-3DD4-46BB-BFE1-877F28BD275F}"/>
    <hyperlink ref="E2809" r:id="rId2779" xr:uid="{4C55A340-EBFF-4679-8EF2-21841F711D9C}"/>
    <hyperlink ref="E2810" r:id="rId2780" xr:uid="{9D5255E3-F2DB-4348-8792-9B1E052F05CD}"/>
    <hyperlink ref="E2811" r:id="rId2781" xr:uid="{F69FB375-066D-4C71-BD7B-AF5B6100BC76}"/>
    <hyperlink ref="E2812" r:id="rId2782" xr:uid="{8BCC393F-5722-4503-B5E4-BF7B482529A9}"/>
    <hyperlink ref="E2813" r:id="rId2783" xr:uid="{A91BBBDD-3076-4EA2-BACF-83C061615E13}"/>
    <hyperlink ref="E2814" r:id="rId2784" xr:uid="{2BF98477-3685-4EA1-8840-F32535CCAC21}"/>
    <hyperlink ref="E2815" r:id="rId2785" xr:uid="{EA1ADD0D-D954-4E8E-963F-7B7CB5AC712E}"/>
    <hyperlink ref="E2816" r:id="rId2786" xr:uid="{62CB3859-84D6-4530-A5E8-412D3893ABE4}"/>
    <hyperlink ref="E2817" r:id="rId2787" xr:uid="{97F2D863-5305-4813-8B3F-63DEDE4AF5CD}"/>
    <hyperlink ref="E2843" r:id="rId2788" xr:uid="{DD2C7225-3B3A-4CD1-A29E-75874FBD0F94}"/>
    <hyperlink ref="E2844" r:id="rId2789" xr:uid="{E534BC27-D201-414A-957E-67216640BCB2}"/>
    <hyperlink ref="E2845" r:id="rId2790" xr:uid="{D6A88CFE-0A02-4EC0-836D-1720B6C76260}"/>
    <hyperlink ref="E2846" r:id="rId2791" xr:uid="{4C45A01A-34DD-4DEA-82D7-4A841E9D1A10}"/>
    <hyperlink ref="E2847" r:id="rId2792" xr:uid="{454B7BC1-FECF-41C6-9401-CF32D94E1F11}"/>
    <hyperlink ref="E2848" r:id="rId2793" xr:uid="{EFCD46CB-CBB9-4D4C-829F-E9AB77661294}"/>
    <hyperlink ref="E2849" r:id="rId2794" xr:uid="{BC8E6494-1234-4C39-8D12-49E96DAD5E3E}"/>
    <hyperlink ref="E2850" r:id="rId2795" xr:uid="{E8C7AE7A-0594-493C-B790-54918216D4E8}"/>
    <hyperlink ref="E2851" r:id="rId2796" xr:uid="{7FEBEDF3-DC6C-493F-8B41-B3CC326D54A6}"/>
    <hyperlink ref="E2852" r:id="rId2797" xr:uid="{60AE4029-9D94-4E14-8796-4B11AD4FFF84}"/>
    <hyperlink ref="E2853" r:id="rId2798" xr:uid="{4F73499B-21DE-4871-823B-AE0CCCDDAF19}"/>
    <hyperlink ref="E2854" r:id="rId2799" xr:uid="{A8523B62-43FD-4D2F-A067-2525E3B1F20A}"/>
    <hyperlink ref="E2855" r:id="rId2800" xr:uid="{C091069F-66E9-4B87-A9DE-70C017136FBC}"/>
    <hyperlink ref="E2856" r:id="rId2801" xr:uid="{2AF22A68-4922-4BC2-83CD-441AC0EBE648}"/>
    <hyperlink ref="E2857" r:id="rId2802" xr:uid="{7506DA43-B43B-457F-A9FE-1C960BE53D4D}"/>
    <hyperlink ref="E2858" r:id="rId2803" xr:uid="{EF5E1E39-9693-4216-8020-DCC9141BE4E4}"/>
    <hyperlink ref="E2859" r:id="rId2804" xr:uid="{14B3B5E6-2063-4BAE-A03D-DEE77EC0734D}"/>
    <hyperlink ref="E2860" r:id="rId2805" xr:uid="{D0E879A5-6BD1-444F-857F-78CB70C4D9C6}"/>
    <hyperlink ref="E2861" r:id="rId2806" xr:uid="{597DDD90-9CBD-40B3-A05F-2A8A16787C46}"/>
    <hyperlink ref="E2862" r:id="rId2807" xr:uid="{6FC16AEA-F4C5-45CE-8BD3-0AD259BE6DE0}"/>
    <hyperlink ref="E2863" r:id="rId2808" xr:uid="{FDC0B885-0C39-4241-B107-A3EAEE5C48DD}"/>
    <hyperlink ref="E2864" r:id="rId2809" xr:uid="{89D19B0E-5764-495D-A2FE-38C60B2800C3}"/>
    <hyperlink ref="E2865" r:id="rId2810" xr:uid="{BBB573FF-2282-4BE8-9877-5C22494C4E5A}"/>
    <hyperlink ref="E2866" r:id="rId2811" xr:uid="{A6A33A3C-5205-4AFD-9758-043F70E03374}"/>
    <hyperlink ref="E2867" r:id="rId2812" xr:uid="{E4247419-AE97-4260-8D60-6428676DE033}"/>
    <hyperlink ref="E2868" r:id="rId2813" xr:uid="{1E4EBF8E-AF80-43CF-86B9-9F31453002F9}"/>
    <hyperlink ref="E2869" r:id="rId2814" xr:uid="{5B2694E0-7C10-4C77-AD09-091BA427210F}"/>
    <hyperlink ref="E2870" r:id="rId2815" xr:uid="{73A655BB-53B4-4B5C-8575-B8A4D9A7F8E9}"/>
    <hyperlink ref="E2871" r:id="rId2816" xr:uid="{6F0305D2-1476-41D1-8004-E765CF4868B8}"/>
    <hyperlink ref="E2872" r:id="rId2817" xr:uid="{B6B504B6-5DA2-4328-8049-D0B73FA6DC6D}"/>
    <hyperlink ref="E2873" r:id="rId2818" xr:uid="{14AACC40-6B61-46FE-9A0F-CFD9CA1FE5C2}"/>
    <hyperlink ref="E2874" r:id="rId2819" xr:uid="{64095BF9-612F-4CFC-B8EA-E655A6FCBF25}"/>
    <hyperlink ref="E2875" r:id="rId2820" xr:uid="{D93A9B5D-0D81-4A2C-8816-AC342F3916C8}"/>
    <hyperlink ref="E2876" r:id="rId2821" xr:uid="{C5E66F02-CC63-4C2B-B937-5EC838C6B3C6}"/>
    <hyperlink ref="E2877" r:id="rId2822" xr:uid="{DDEAC7E1-125B-43E9-A6BF-F185A3EB834C}"/>
    <hyperlink ref="E2878" r:id="rId2823" xr:uid="{0DD79A22-183B-4CF3-B948-69BE53DA3A7E}"/>
    <hyperlink ref="E2879" r:id="rId2824" xr:uid="{0D89D8D6-1ACF-474B-A484-DB7180A3B352}"/>
    <hyperlink ref="E2880" r:id="rId2825" xr:uid="{3E91E484-8FFA-4B62-BD90-3B877CD27F3B}"/>
    <hyperlink ref="E2881" r:id="rId2826" xr:uid="{34187B3B-3AE0-48FE-BCE8-0A39284FAF57}"/>
    <hyperlink ref="E2882" r:id="rId2827" xr:uid="{147C1C5F-6EA8-4A45-A32E-0FAA543DAFD2}"/>
    <hyperlink ref="E2883" r:id="rId2828" xr:uid="{DA284E50-4BAE-487C-8B04-C195E740C6CE}"/>
    <hyperlink ref="E2884" r:id="rId2829" xr:uid="{D7560CDA-C00A-4378-B214-DBD8305210D6}"/>
    <hyperlink ref="E2885" r:id="rId2830" xr:uid="{AE7D201F-7C3B-4428-869C-6E4D17AD6EE7}"/>
    <hyperlink ref="E2886" r:id="rId2831" xr:uid="{24F4BD32-F425-44A1-9572-856CCACACC7D}"/>
    <hyperlink ref="E2887" r:id="rId2832" xr:uid="{684C642B-1D78-40DD-96DC-66821DBE67A1}"/>
    <hyperlink ref="E2888" r:id="rId2833" xr:uid="{E1C06780-AE63-4E97-BFF5-36FE99CA4B6C}"/>
    <hyperlink ref="E2889" r:id="rId2834" xr:uid="{DB83C306-214E-42A1-8AA3-9248B39D7891}"/>
    <hyperlink ref="E2890" r:id="rId2835" xr:uid="{A1685028-572A-4BFB-BD3B-52FF93F6CD17}"/>
    <hyperlink ref="E2891" r:id="rId2836" xr:uid="{A9AEA750-378B-4270-B72F-9CD9F698D05A}"/>
    <hyperlink ref="E2892" r:id="rId2837" xr:uid="{8427BF32-34CA-4ED3-950A-F77B5F4E3570}"/>
    <hyperlink ref="E2893" r:id="rId2838" xr:uid="{534CFAA2-F0B7-4A2A-B72B-8546F78524B3}"/>
    <hyperlink ref="E2894" r:id="rId2839" xr:uid="{E8C13F48-C4B2-4543-AA97-A369F7EE7A68}"/>
    <hyperlink ref="E2895" r:id="rId2840" xr:uid="{4656D79A-3E29-4C3E-8A71-3423FBAD72DE}"/>
    <hyperlink ref="E2896" r:id="rId2841" xr:uid="{488B9D25-500E-4ADD-B171-EBDFD6223D3C}"/>
    <hyperlink ref="E2897" r:id="rId2842" xr:uid="{760B6986-8C78-4327-98BF-148118E8A28C}"/>
    <hyperlink ref="E2898" r:id="rId2843" xr:uid="{AD8645B5-21CF-4F1A-BDD5-BA2D508A460C}"/>
    <hyperlink ref="E2899" r:id="rId2844" xr:uid="{9658B3DD-9747-4BD2-AA82-CFDF6EFA5178}"/>
    <hyperlink ref="E2900" r:id="rId2845" xr:uid="{6FC4AF68-D9B1-4B01-B88C-32909C727725}"/>
    <hyperlink ref="E2901" r:id="rId2846" xr:uid="{67363B76-9068-4B68-B127-A26819655F50}"/>
    <hyperlink ref="E2902" r:id="rId2847" xr:uid="{DF88E744-B035-4C23-A26F-AAD5DDD53E6C}"/>
    <hyperlink ref="E2903" r:id="rId2848" xr:uid="{B32439F2-50D9-4426-9CDE-4A69A5BD3082}"/>
    <hyperlink ref="E2904" r:id="rId2849" xr:uid="{73EB6BF7-ACF3-4CA4-8408-9539E4175E11}"/>
    <hyperlink ref="E2905" r:id="rId2850" xr:uid="{A82272AE-026D-451D-B57B-D47C1A4CA206}"/>
    <hyperlink ref="E2906" r:id="rId2851" xr:uid="{7441882D-C748-4337-881B-F141122CAAE4}"/>
    <hyperlink ref="E2907" r:id="rId2852" xr:uid="{69AA4D83-0EE6-4DF5-81CA-193E7715621A}"/>
    <hyperlink ref="E2908" r:id="rId2853" xr:uid="{9F8843D4-0A18-4584-86CE-4D926B0FD684}"/>
    <hyperlink ref="E2909" r:id="rId2854" xr:uid="{783D11B1-2847-4569-9A9C-86BD4C4108A3}"/>
    <hyperlink ref="E2910" r:id="rId2855" xr:uid="{65BCB844-6BC0-4529-8CB5-25D2B125EBCD}"/>
    <hyperlink ref="E2911" r:id="rId2856" xr:uid="{A7BCD941-D17C-4140-8A74-DF86691D6489}"/>
    <hyperlink ref="E2912" r:id="rId2857" xr:uid="{30899E75-C30E-4399-98C1-B4B3B196EC6F}"/>
    <hyperlink ref="E2913" r:id="rId2858" xr:uid="{FFA22A06-BE6E-49B1-9BF6-647C914D0901}"/>
    <hyperlink ref="E2914" r:id="rId2859" xr:uid="{74D1D9ED-039E-4761-9336-B44FBAC7B28D}"/>
    <hyperlink ref="E2915" r:id="rId2860" xr:uid="{D7ED2EB8-BEE1-4F92-9D3B-EF9F42B423B0}"/>
    <hyperlink ref="E2916" r:id="rId2861" xr:uid="{332E6A3B-DDEA-4E18-80DF-0A88EE1F8129}"/>
    <hyperlink ref="E2917" r:id="rId2862" xr:uid="{219ECE94-9CF7-4AE6-9C0A-FE86458D8BCE}"/>
    <hyperlink ref="E2918" r:id="rId2863" xr:uid="{48D2520F-D906-4513-96C3-F5400ACFE361}"/>
    <hyperlink ref="E2919" r:id="rId2864" xr:uid="{2F225EC4-9680-4CE7-B372-A4CF27029F9E}"/>
    <hyperlink ref="E2920" r:id="rId2865" xr:uid="{384ACF33-11AA-4E94-9FF3-7FC74E058FDB}"/>
    <hyperlink ref="E2921" r:id="rId2866" xr:uid="{CD6CBAB9-8EB6-48FE-8705-D7389B651C1F}"/>
    <hyperlink ref="E2922" r:id="rId2867" xr:uid="{33B975FD-1A02-49DB-ACD8-54C3529D26EC}"/>
    <hyperlink ref="E2923" r:id="rId2868" xr:uid="{55E4DF71-3A1D-4193-9F6C-4C403BCA49F1}"/>
    <hyperlink ref="E2924" r:id="rId2869" xr:uid="{0215DB31-51F7-4A03-AFA1-9534ECE4E7DE}"/>
    <hyperlink ref="E2925" r:id="rId2870" xr:uid="{9ADAA386-1A7D-40C4-B256-ED9E261C4AD8}"/>
    <hyperlink ref="E2926" r:id="rId2871" xr:uid="{AD45D841-7255-4730-A774-6166D2E5471D}"/>
    <hyperlink ref="E2927" r:id="rId2872" xr:uid="{E0D0D6B4-D1A8-4AB7-A394-51882E2D6248}"/>
    <hyperlink ref="E2928" r:id="rId2873" xr:uid="{C3067C48-A9BB-47FF-965A-43FA69F02D60}"/>
    <hyperlink ref="E2929" r:id="rId2874" xr:uid="{74C535B0-84C9-4101-9530-AF5988173748}"/>
    <hyperlink ref="E2930" r:id="rId2875" xr:uid="{4E228353-9E40-4924-8881-F59C44548CDE}"/>
    <hyperlink ref="E2931" r:id="rId2876" xr:uid="{20EE93EF-4069-4731-8E62-467A4E2B9FC9}"/>
    <hyperlink ref="E2932" r:id="rId2877" xr:uid="{A1CCF5AB-D80E-4149-A3D3-8EF5E1FA180C}"/>
    <hyperlink ref="E2933" r:id="rId2878" xr:uid="{F35AF9DD-3D53-477B-A104-45CA2B02F14B}"/>
    <hyperlink ref="E2934" r:id="rId2879" xr:uid="{50E57703-42C9-48B3-B941-9618D20253B5}"/>
    <hyperlink ref="E2935" r:id="rId2880" xr:uid="{62DFF565-7756-4A2A-9E20-420EC73E5F6F}"/>
    <hyperlink ref="E2936" r:id="rId2881" xr:uid="{DA22A362-1420-49B1-B17B-BD53F0D5FD07}"/>
    <hyperlink ref="E2937" r:id="rId2882" xr:uid="{BA01DF73-909A-4EA2-B8DF-8512937EB4BF}"/>
    <hyperlink ref="E2938" r:id="rId2883" xr:uid="{3B478BF1-C898-499A-968E-7B2338FCA89C}"/>
    <hyperlink ref="E2939" r:id="rId2884" xr:uid="{2CE1007F-A639-4B63-A0E8-57B3D3D5C9D1}"/>
    <hyperlink ref="E2940" r:id="rId2885" xr:uid="{7058E5B0-FC40-4B18-B412-F48BD2A9C63F}"/>
    <hyperlink ref="E2941" r:id="rId2886" xr:uid="{7D3CE33E-EA1D-4518-8A37-C164ABB7E797}"/>
    <hyperlink ref="E2942" r:id="rId2887" xr:uid="{9E0066E1-2BC7-42F6-AA25-9ABDCEFA14B7}"/>
    <hyperlink ref="E2943" r:id="rId2888" xr:uid="{5AEE2C9B-8C15-4A4E-98FA-96949736CA66}"/>
    <hyperlink ref="E2944" r:id="rId2889" xr:uid="{EAFFCA78-9D12-4AAD-AF5B-4D362F4C8715}"/>
    <hyperlink ref="E2945" r:id="rId2890" xr:uid="{81E6F91B-A8BE-4760-9EB0-F072F7525F0C}"/>
    <hyperlink ref="E2946" r:id="rId2891" xr:uid="{309F7CF1-6094-4390-AB6E-2AD5224620FF}"/>
    <hyperlink ref="E2947" r:id="rId2892" xr:uid="{7B62915B-3369-40A1-8710-809C17856C97}"/>
    <hyperlink ref="E2948" r:id="rId2893" xr:uid="{FD759EE4-7BE9-42E2-9B4C-450040E660B9}"/>
    <hyperlink ref="E2949" r:id="rId2894" xr:uid="{DBB90A11-91E2-477E-9E4A-BF5AAD6EE271}"/>
    <hyperlink ref="E2950" r:id="rId2895" xr:uid="{697F806D-6D1C-43E9-8698-79A92C3AD51F}"/>
    <hyperlink ref="E2951" r:id="rId2896" xr:uid="{FBB3987B-526F-4737-ABA0-CBCC0D306651}"/>
    <hyperlink ref="E2952" r:id="rId2897" xr:uid="{17F70644-34F1-49C0-BBC8-142C8332FAB4}"/>
    <hyperlink ref="E2953" r:id="rId2898" xr:uid="{9D5502B5-4CB4-4BE0-B8A6-799045E9E458}"/>
    <hyperlink ref="E2954" r:id="rId2899" xr:uid="{312B5F5E-ADED-4038-AE0D-4E4647CEF5C0}"/>
    <hyperlink ref="E2955" r:id="rId2900" xr:uid="{AA0C910A-B3C5-485A-A16E-3CDDF226B827}"/>
    <hyperlink ref="E2956" r:id="rId2901" xr:uid="{7593FE98-4B7C-4156-8CDA-0533EDF8219F}"/>
    <hyperlink ref="E2957" r:id="rId2902" xr:uid="{14AB7C7C-A4E8-4D81-B662-EF6F0AA33257}"/>
    <hyperlink ref="E2958" r:id="rId2903" xr:uid="{AF8294E7-D60C-4968-ACBE-15D24B1EEC6F}"/>
    <hyperlink ref="E2959" r:id="rId2904" xr:uid="{148FAEAA-F1C4-40B5-AA62-333E479B095E}"/>
    <hyperlink ref="E2960" r:id="rId2905" xr:uid="{1D3814F6-3605-41E3-BF01-6A4E50BF4372}"/>
    <hyperlink ref="E2961" r:id="rId2906" xr:uid="{E442B1EC-CD1E-47B5-982C-EA3F7E629103}"/>
    <hyperlink ref="E2962" r:id="rId2907" xr:uid="{FD8B531A-3847-49D8-93DF-6CCD73D2A59A}"/>
    <hyperlink ref="E2963" r:id="rId2908" xr:uid="{84648B4C-ADBD-4799-BA4E-30A9F36D4665}"/>
    <hyperlink ref="E2964" r:id="rId2909" xr:uid="{400F636A-8869-4C17-A0B9-F91ECE9FBF32}"/>
    <hyperlink ref="E2965" r:id="rId2910" xr:uid="{F34B4370-D4CE-4646-BFBF-C8C47789A237}"/>
    <hyperlink ref="E2966" r:id="rId2911" xr:uid="{0BFE2584-A3FC-4EAB-B74C-63B4FB73A3AA}"/>
    <hyperlink ref="E2967" r:id="rId2912" xr:uid="{DF6D941A-481B-46B8-913C-F677FCBE6D6E}"/>
    <hyperlink ref="E2968" r:id="rId2913" xr:uid="{DF320047-219E-47D4-B42B-A5AC285354BD}"/>
    <hyperlink ref="E2969" r:id="rId2914" xr:uid="{3805AE6A-7E9B-4774-AEDB-03C10B7449BF}"/>
    <hyperlink ref="E2970" r:id="rId2915" xr:uid="{274CD06D-A0D4-4B96-B7C8-D0CE4953BB78}"/>
    <hyperlink ref="E2971" r:id="rId2916" xr:uid="{C2C95BD4-4268-4CF2-8F05-7691633E9ACF}"/>
    <hyperlink ref="E2972" r:id="rId2917" xr:uid="{9CF4870C-6B2F-4274-BFBB-4E223272F880}"/>
    <hyperlink ref="E2973" r:id="rId2918" xr:uid="{00A47438-9838-4FA8-B919-E7C63A953451}"/>
    <hyperlink ref="E2974" r:id="rId2919" xr:uid="{35D2A3C8-D584-4A96-8307-BD77A1ABDC63}"/>
    <hyperlink ref="E2975" r:id="rId2920" xr:uid="{FCB6D2A7-398F-45DB-A0FB-7777E8A81938}"/>
    <hyperlink ref="E2976" r:id="rId2921" xr:uid="{1FF9D84F-5718-4807-9A7A-72796D5AFCDE}"/>
    <hyperlink ref="E2977" r:id="rId2922" xr:uid="{BCA1131F-A66A-4EEE-999F-A05B62A0B4C8}"/>
    <hyperlink ref="E2978" r:id="rId2923" xr:uid="{450B5150-174D-4B57-9090-931A3027006B}"/>
    <hyperlink ref="E2979" r:id="rId2924" xr:uid="{F51B0E8E-81CA-4AA2-8206-67DDA67CFC46}"/>
    <hyperlink ref="E2980" r:id="rId2925" xr:uid="{71636304-C368-4688-9D7B-22D389808581}"/>
    <hyperlink ref="E2981" r:id="rId2926" xr:uid="{273F9B1C-08E0-4689-90B4-024EEE5B683D}"/>
    <hyperlink ref="E2982" r:id="rId2927" xr:uid="{902FA143-1D10-47D7-95B0-72A131CA14F3}"/>
    <hyperlink ref="E2983" r:id="rId2928" xr:uid="{3ED14F85-5FB5-48F2-9A62-44A4872C031E}"/>
    <hyperlink ref="E2984" r:id="rId2929" xr:uid="{0C658278-174B-437D-AF0B-A7906FB80675}"/>
    <hyperlink ref="E2985" r:id="rId2930" xr:uid="{F5687828-C858-4A3B-A338-664BE36221CE}"/>
    <hyperlink ref="E2986" r:id="rId2931" xr:uid="{BEB18610-B6B0-4173-9BB3-B6C5C12FE86A}"/>
    <hyperlink ref="E2987" r:id="rId2932" xr:uid="{A8E0FAF7-D5BF-4F45-BCB1-2FCD587C1F4E}"/>
    <hyperlink ref="E2988" r:id="rId2933" xr:uid="{6EA8955A-3F62-4F42-8180-EB7ED656BB0F}"/>
    <hyperlink ref="E2989" r:id="rId2934" xr:uid="{6398A17A-FFFA-43BF-B9B6-ECA538922C7D}"/>
    <hyperlink ref="E2990" r:id="rId2935" xr:uid="{7E242718-4A10-4639-84C7-4D4C0079F473}"/>
    <hyperlink ref="E2991" r:id="rId2936" xr:uid="{9F36C771-20DB-471C-AEA0-CCC773AFE240}"/>
    <hyperlink ref="E2992" r:id="rId2937" xr:uid="{A659364E-367D-47A5-9550-BA9BDC7F9537}"/>
    <hyperlink ref="E2993" r:id="rId2938" xr:uid="{639F3A3F-99C8-497B-A203-FEB275EDB7F6}"/>
    <hyperlink ref="E2994" r:id="rId2939" xr:uid="{45FF4BEE-9D68-4101-9188-68973CAEC46D}"/>
    <hyperlink ref="E2995" r:id="rId2940" xr:uid="{C45CA5EF-7344-4FC9-B719-6412680223DF}"/>
    <hyperlink ref="E2996" r:id="rId2941" xr:uid="{6B982FC4-88F9-4999-996B-A6D0F2F2E045}"/>
    <hyperlink ref="E2997" r:id="rId2942" xr:uid="{E7B143B0-4914-4836-8731-52DE68885FC9}"/>
    <hyperlink ref="E2998" r:id="rId2943" xr:uid="{36F6499B-B2EF-4891-8CDF-AF924C2ABA9D}"/>
    <hyperlink ref="E2999" r:id="rId2944" xr:uid="{35471C68-409B-46CA-B9EC-D7CADBCB844C}"/>
    <hyperlink ref="E3000" r:id="rId2945" xr:uid="{3C1A4735-0D00-4FAD-AFFE-1D32BA2B0EC3}"/>
    <hyperlink ref="E3001" r:id="rId2946" xr:uid="{C9D4F529-D0A1-4EBA-B5A1-3D02E6C173EB}"/>
    <hyperlink ref="E3002" r:id="rId2947" xr:uid="{E3C33482-A61B-4456-B125-7449A57825BD}"/>
    <hyperlink ref="E3003" r:id="rId2948" xr:uid="{46FA76EF-2683-4890-8C3B-1495CA1A210D}"/>
    <hyperlink ref="E3004" r:id="rId2949" xr:uid="{CFC576A5-9B43-467D-B69F-4565C0B0C545}"/>
    <hyperlink ref="E3005" r:id="rId2950" xr:uid="{66F22E6B-66B9-4132-964C-52C6E4A54CF7}"/>
    <hyperlink ref="E3006" r:id="rId2951" xr:uid="{0B12D375-BB79-41B1-AE1C-8BEBE7E88B12}"/>
    <hyperlink ref="E3007" r:id="rId2952" xr:uid="{7FD25710-AAEC-4CD3-A808-9FA5571CF2A0}"/>
    <hyperlink ref="E3008" r:id="rId2953" xr:uid="{9DB6016D-B9C6-4CE9-B432-BCB17031C561}"/>
    <hyperlink ref="E3009" r:id="rId2954" xr:uid="{0178EFC1-A288-45E2-BFC2-2D278E9AD3FC}"/>
    <hyperlink ref="E3010" r:id="rId2955" xr:uid="{EE538893-CA74-4BE5-A803-924311C66540}"/>
    <hyperlink ref="E3011" r:id="rId2956" xr:uid="{086E9687-FC87-4312-9CD2-DD98ADB821E8}"/>
    <hyperlink ref="E3012" r:id="rId2957" xr:uid="{F1C3778E-DAA3-4251-9635-ABD269811159}"/>
    <hyperlink ref="E3013" r:id="rId2958" xr:uid="{1F581C34-4169-47E2-A84A-0EB116AEC929}"/>
    <hyperlink ref="E3014" r:id="rId2959" xr:uid="{12E98EC2-0BC3-492F-B64B-670803713B65}"/>
    <hyperlink ref="E3015" r:id="rId2960" xr:uid="{3FF82476-74DD-4558-A3EA-AE428EC54C2E}"/>
    <hyperlink ref="E3016" r:id="rId2961" xr:uid="{FE4BA04D-1E24-4CF2-AEF2-99814CA09D44}"/>
    <hyperlink ref="E3017" r:id="rId2962" xr:uid="{13B4D8CC-5D58-43E5-9C4D-FD1747D17186}"/>
    <hyperlink ref="E3018" r:id="rId2963" xr:uid="{FFDA84B2-996D-4646-9EB1-58292DAACEF2}"/>
    <hyperlink ref="E3019" r:id="rId2964" xr:uid="{9F7CF066-3593-411C-85DB-715524C968D4}"/>
    <hyperlink ref="E3020" r:id="rId2965" xr:uid="{0DAFA7B2-02AA-439B-B54F-4BC103868D51}"/>
    <hyperlink ref="E3021" r:id="rId2966" xr:uid="{41BA2A52-CD66-4F84-9089-B3A84EE12709}"/>
    <hyperlink ref="E3022" r:id="rId2967" xr:uid="{AE45CD99-A894-4ED0-B20C-4A77254E1323}"/>
    <hyperlink ref="E3023" r:id="rId2968" xr:uid="{753EBBD5-7576-4B76-8D90-020A69B8B2D9}"/>
    <hyperlink ref="E3024" r:id="rId2969" xr:uid="{BA3A8BAD-CFF8-41D1-8117-E1CB24B712C4}"/>
    <hyperlink ref="E3025" r:id="rId2970" xr:uid="{D959123B-2710-4FA6-85BF-34236F952C6C}"/>
    <hyperlink ref="E3026" r:id="rId2971" xr:uid="{BE798159-4C2C-4A56-97B7-9F0149B5074A}"/>
    <hyperlink ref="E3027" r:id="rId2972" xr:uid="{8A485A0B-F86D-49B4-A22F-D53C2D75C364}"/>
    <hyperlink ref="E3028" r:id="rId2973" xr:uid="{B7E5220E-6DED-432E-A616-3F067247D210}"/>
    <hyperlink ref="E3029" r:id="rId2974" xr:uid="{A07FF9BE-12DE-4442-8E9F-732ECE1365D9}"/>
    <hyperlink ref="E3030" r:id="rId2975" xr:uid="{BC4CA26F-D927-455B-AF70-8C9471075B9F}"/>
    <hyperlink ref="E3031" r:id="rId2976" xr:uid="{B361F47B-26D8-428D-887E-911E6BC8178C}"/>
    <hyperlink ref="E3032" r:id="rId2977" xr:uid="{3392F446-878B-4634-AF8D-F2B272AE5FDE}"/>
    <hyperlink ref="E3033" r:id="rId2978" xr:uid="{E22B8D16-2367-42E5-9BFD-1C687995CEF2}"/>
    <hyperlink ref="E3034" r:id="rId2979" xr:uid="{E310E319-90EE-4B85-AB10-CF1CAEACB7AF}"/>
    <hyperlink ref="E3035" r:id="rId2980" xr:uid="{F7429AFC-4DF0-47EF-95A2-134A06DF64B4}"/>
    <hyperlink ref="E3036" r:id="rId2981" xr:uid="{D0BA0F3E-6226-4334-9FCE-54CA5FA9629A}"/>
    <hyperlink ref="E3037" r:id="rId2982" xr:uid="{5F81AAAA-8475-4688-B157-4B28369EC198}"/>
    <hyperlink ref="E3038" r:id="rId2983" xr:uid="{AFA41E96-522F-4931-9FBC-6AEECDD73E9D}"/>
    <hyperlink ref="E3039" r:id="rId2984" xr:uid="{FD14A8F1-236B-4315-AE95-914A83D41C53}"/>
    <hyperlink ref="E3040" r:id="rId2985" xr:uid="{2B66EA49-9A2D-4D0E-B12C-17B4333ED4B6}"/>
    <hyperlink ref="E3041" r:id="rId2986" xr:uid="{D19D6820-6011-46CD-A59F-929FE8477A36}"/>
    <hyperlink ref="E3042" r:id="rId2987" xr:uid="{DEE8AEED-908A-4714-92C0-EBF339BB8F05}"/>
    <hyperlink ref="E3043" r:id="rId2988" xr:uid="{449BEDFE-7800-449E-AAAE-3E0F6A40BCBC}"/>
    <hyperlink ref="E3045" r:id="rId2989" xr:uid="{EC2E9FF8-5B02-48D5-BB7E-0304AE84D2C0}"/>
    <hyperlink ref="E3046" r:id="rId2990" xr:uid="{1F7A5389-6172-48BC-A420-8010DC3952B4}"/>
    <hyperlink ref="E3047" r:id="rId2991" xr:uid="{06CBDEC8-3532-41D1-89D9-6FD5AD2F3B7C}"/>
    <hyperlink ref="E3048" r:id="rId2992" xr:uid="{A404AEDC-9778-4B61-B4EB-ACC979D4404D}"/>
    <hyperlink ref="E3049" r:id="rId2993" xr:uid="{67D8862C-BA8D-4CBC-8AA1-3249AC79CADC}"/>
    <hyperlink ref="E3050" r:id="rId2994" xr:uid="{112C92C3-5D1C-404E-8E6A-4296DD20A57E}"/>
    <hyperlink ref="E3051" r:id="rId2995" xr:uid="{FB8B45F7-76A9-4AAC-A7E1-8E2A5E6D1EDF}"/>
    <hyperlink ref="E3052" r:id="rId2996" xr:uid="{48071345-7D1F-4635-8AD9-4372F4984632}"/>
    <hyperlink ref="E3053" r:id="rId2997" xr:uid="{8B5D2D50-97AE-4A7C-9E84-05F0846C8216}"/>
    <hyperlink ref="E3054" r:id="rId2998" xr:uid="{FA8B5AAC-10BC-41EF-AC6E-F41AEE9BD53A}"/>
    <hyperlink ref="E3055" r:id="rId2999" xr:uid="{FAE080BD-28AA-4433-BB09-1F6A323B6FA4}"/>
    <hyperlink ref="E3056" r:id="rId3000" xr:uid="{5AC33638-4BB6-4DA5-89F3-9A0D7E4F7814}"/>
    <hyperlink ref="E3057" r:id="rId3001" xr:uid="{3F386E9E-142A-4431-96FD-6502A7AD0028}"/>
    <hyperlink ref="E3058" r:id="rId3002" xr:uid="{6CDD1308-9FA9-4FA9-BDC9-1AA0751702CF}"/>
    <hyperlink ref="E3059" r:id="rId3003" xr:uid="{3365A5ED-D38E-4388-99BB-0511DF39F7DA}"/>
    <hyperlink ref="E3060" r:id="rId3004" xr:uid="{743B0AC2-6876-4F76-8C2A-87713ACBD02C}"/>
    <hyperlink ref="E3061" r:id="rId3005" xr:uid="{3E5C0757-69A8-4358-8533-D972843C3B47}"/>
    <hyperlink ref="E3062" r:id="rId3006" xr:uid="{DF44AD52-CC75-42B7-A8F7-D82D2D86A749}"/>
    <hyperlink ref="E3063" r:id="rId3007" xr:uid="{28EF1AAE-480B-4B02-88AC-156C01F488F8}"/>
    <hyperlink ref="E3064" r:id="rId3008" xr:uid="{938CCC6F-8734-4B19-B439-72F92A101AE5}"/>
    <hyperlink ref="E3065" r:id="rId3009" xr:uid="{C9573B75-4EF6-478C-941C-790963270740}"/>
    <hyperlink ref="E3066" r:id="rId3010" xr:uid="{21F70A26-46F2-4960-877D-4EEE25E3BE1E}"/>
    <hyperlink ref="E3067" r:id="rId3011" xr:uid="{676BE00C-8BE7-476E-8E4D-9EA6A4AB2FEF}"/>
    <hyperlink ref="E3068" r:id="rId3012" xr:uid="{F51E8532-CD9B-4A06-A383-6A17B92BFCE9}"/>
    <hyperlink ref="E3069" r:id="rId3013" xr:uid="{3355ACAB-6947-401C-AEB6-0B814D5125DE}"/>
    <hyperlink ref="E3070" r:id="rId3014" xr:uid="{0D0CDFD8-8B76-4942-8AE5-3AFFA56AEB71}"/>
    <hyperlink ref="E3072" r:id="rId3015" xr:uid="{7CA153CC-F7D3-4CC0-94B9-A4D901B25C6A}"/>
    <hyperlink ref="E3073" r:id="rId3016" xr:uid="{811CF5C8-35AE-4039-AF0C-7ACE0FA321D3}"/>
    <hyperlink ref="E3074" r:id="rId3017" xr:uid="{41688F7B-BCDC-49D5-9389-A1132E880096}"/>
    <hyperlink ref="E3075" r:id="rId3018" xr:uid="{7FDFB356-FB8A-4F33-8466-754FBEC7489D}"/>
    <hyperlink ref="E3076" r:id="rId3019" xr:uid="{A4B53152-C066-4A22-8191-D336180256F8}"/>
    <hyperlink ref="E3077" r:id="rId3020" xr:uid="{26414A8C-6573-468E-8CBA-50AB34F0DA02}"/>
    <hyperlink ref="E3078" r:id="rId3021" xr:uid="{4AC7A7CB-F5D0-4EA1-B694-270175C3B264}"/>
    <hyperlink ref="E3079" r:id="rId3022" xr:uid="{8FBFE6B1-BFA1-4D66-9BB8-F176AC1856D1}"/>
    <hyperlink ref="E3080" r:id="rId3023" xr:uid="{D9CFE13A-00D3-43A2-A64D-9CCF1EA4BF1F}"/>
    <hyperlink ref="E3081" r:id="rId3024" xr:uid="{A4BB98D0-C17F-47A8-8A66-70CB34AA2D55}"/>
    <hyperlink ref="E3082" r:id="rId3025" xr:uid="{2A0CFFE9-BFC4-406F-BF84-355FBD7877EB}"/>
    <hyperlink ref="E3083" r:id="rId3026" xr:uid="{2E995327-B167-4A6A-BEE4-A1A86A502490}"/>
    <hyperlink ref="E3084" r:id="rId3027" xr:uid="{E19C1C8C-9423-4AD8-8CD5-F124A84B9BAD}"/>
    <hyperlink ref="E3085" r:id="rId3028" xr:uid="{88946A93-C365-466B-BD78-6130BCE99689}"/>
    <hyperlink ref="E3086" r:id="rId3029" xr:uid="{69A0B824-CECE-475C-9ED1-F147079B648C}"/>
    <hyperlink ref="E3087" r:id="rId3030" xr:uid="{4D83394E-C2E9-4D63-B548-A8E52DB62320}"/>
    <hyperlink ref="E3088" r:id="rId3031" xr:uid="{2DD79AE7-12AE-425B-976D-AD0A5A2D67A9}"/>
    <hyperlink ref="E3089" r:id="rId3032" xr:uid="{68CAB4E1-D923-4C26-9E48-7FF2F17743E0}"/>
    <hyperlink ref="E3090" r:id="rId3033" xr:uid="{E3DC282C-45EB-47BB-819F-A237374CD816}"/>
    <hyperlink ref="E3091" r:id="rId3034" xr:uid="{61A98E83-494C-4F98-9F7B-A869BC60D2B1}"/>
    <hyperlink ref="E3092" r:id="rId3035" xr:uid="{0F4BE9FC-186B-4304-AC5C-105797F2A7B5}"/>
    <hyperlink ref="E3093" r:id="rId3036" xr:uid="{E186C526-6026-4D9A-9EB7-4A91D1B75FF9}"/>
    <hyperlink ref="E3094" r:id="rId3037" xr:uid="{FB6E53EF-CC4D-4B38-AE99-4AD4ED9627C8}"/>
    <hyperlink ref="E3095" r:id="rId3038" xr:uid="{379A30E5-E033-4AAC-923D-C8FD617FA7A1}"/>
    <hyperlink ref="E3096" r:id="rId3039" xr:uid="{18E84854-3144-42DD-9E6C-73145DD133B2}"/>
    <hyperlink ref="E3097" r:id="rId3040" xr:uid="{6E7185ED-7DB2-4254-84B9-8D3882E942C4}"/>
    <hyperlink ref="E3098" r:id="rId3041" xr:uid="{A8081DF8-9080-4B93-9ADB-8B82B208BD2E}"/>
    <hyperlink ref="E3099" r:id="rId3042" xr:uid="{3F7B7DF4-6F31-41D5-B5B8-E183D74CE4FB}"/>
    <hyperlink ref="E3100" r:id="rId3043" xr:uid="{F0132BB4-42EE-438F-BFA3-4D9A37C5C6D0}"/>
    <hyperlink ref="E3101" r:id="rId3044" xr:uid="{65820229-37AA-4ECF-8BDF-19CAEF90F39C}"/>
    <hyperlink ref="E3102" r:id="rId3045" xr:uid="{4EF6F444-2A26-400D-BCF9-8FC6D3C02652}"/>
    <hyperlink ref="E3103" r:id="rId3046" xr:uid="{B92F47A9-0FB0-403E-A112-101054672CF9}"/>
    <hyperlink ref="E3104" r:id="rId3047" xr:uid="{9E3B4E46-A7F6-4EC3-9016-60F85DCD3E65}"/>
    <hyperlink ref="E3105" r:id="rId3048" xr:uid="{C966E4F8-4BE9-43C0-B2C6-BAC4BF5E064D}"/>
    <hyperlink ref="E3106" r:id="rId3049" xr:uid="{F179BABB-E531-4345-8B0F-2A96EC33AA50}"/>
    <hyperlink ref="E3107" r:id="rId3050" xr:uid="{2C6DE13F-EF2C-46C5-A6CA-4D325763C3CB}"/>
    <hyperlink ref="E3108" r:id="rId3051" xr:uid="{68D67F71-A6E7-4298-A961-F35802170A05}"/>
    <hyperlink ref="E3109" r:id="rId3052" xr:uid="{7429E786-7311-4331-93D3-67EA7BBA7FBC}"/>
    <hyperlink ref="E3110" r:id="rId3053" xr:uid="{31F5832E-FE3A-4645-A5DB-981DB11D7C1D}"/>
    <hyperlink ref="E3111" r:id="rId3054" xr:uid="{0BD27CB8-F4A7-46D8-9CA7-B928B6A5A10C}"/>
    <hyperlink ref="E3112" r:id="rId3055" xr:uid="{81F523B3-51A1-4E50-BC49-FC26145478E0}"/>
    <hyperlink ref="E3113" r:id="rId3056" xr:uid="{8322F4A0-AFCC-49F5-9FB6-AE8A25A2CFF9}"/>
    <hyperlink ref="E3114" r:id="rId3057" xr:uid="{02CD29F0-1F05-4974-936F-D3660E781408}"/>
    <hyperlink ref="E3115" r:id="rId3058" xr:uid="{DCF0BD5B-12AE-4E9F-9EE6-75ABAA587A9C}"/>
    <hyperlink ref="E3116" r:id="rId3059" xr:uid="{BF94175E-06C0-46DA-8197-E5CB8F770D4E}"/>
    <hyperlink ref="E3117" r:id="rId3060" xr:uid="{5B7CF982-B7F0-4A6F-BE90-9D7EFCF0C996}"/>
    <hyperlink ref="E3118" r:id="rId3061" xr:uid="{29B66CC5-8034-4193-A94B-12969D8837AF}"/>
    <hyperlink ref="E3119" r:id="rId3062" xr:uid="{7943ACD2-221C-47D8-A28E-55824588DF41}"/>
    <hyperlink ref="E3120" r:id="rId3063" xr:uid="{ABC40DB2-89E1-440A-97D9-EA4964C55EAB}"/>
    <hyperlink ref="E3121" r:id="rId3064" xr:uid="{E0FD4898-36FE-4DE9-B0EB-DA2F1241515F}"/>
    <hyperlink ref="E3122" r:id="rId3065" xr:uid="{3AE26693-5A75-4AE5-8FEA-2206B15DB708}"/>
    <hyperlink ref="E3123" r:id="rId3066" xr:uid="{2B9FFCF6-C7BC-4F0F-8D44-3E0659770575}"/>
    <hyperlink ref="E3124" r:id="rId3067" xr:uid="{A25B14A5-256C-462F-8E63-6659D12EB2BA}"/>
    <hyperlink ref="E3125" r:id="rId3068" xr:uid="{B673E01F-DF97-46B8-9782-ADBF08AB408B}"/>
    <hyperlink ref="E3126" r:id="rId3069" xr:uid="{6805CEDF-D0E5-47E1-A479-31DCE757DA56}"/>
    <hyperlink ref="E3127" r:id="rId3070" xr:uid="{FCB8FDFC-CE89-4349-BD8D-00C1CBF737E3}"/>
    <hyperlink ref="E3128" r:id="rId3071" xr:uid="{CF49ADF6-D0ED-4AD3-BEDC-C59DD9B9F934}"/>
    <hyperlink ref="E3129" r:id="rId3072" xr:uid="{094D7558-E40D-4F06-9169-39B73C4B305A}"/>
    <hyperlink ref="E3130" r:id="rId3073" xr:uid="{75505883-B07A-4D4E-B818-A12BA345FF08}"/>
    <hyperlink ref="E3131" r:id="rId3074" xr:uid="{E6B1233E-8202-45D8-872E-CD3FB1AB7BBE}"/>
    <hyperlink ref="E3132" r:id="rId3075" xr:uid="{B52665D9-680A-41C8-A87C-22FA8EE8276F}"/>
    <hyperlink ref="E3133" r:id="rId3076" xr:uid="{6E237477-D631-44D2-B419-FF2AD1946C8A}"/>
    <hyperlink ref="E3134" r:id="rId3077" xr:uid="{D2B7A8AD-A10A-49BA-B42C-5EC8A82D4814}"/>
    <hyperlink ref="E3136" r:id="rId3078" xr:uid="{DC58CF11-84D7-47B6-A538-A6FF7BDFD17E}"/>
    <hyperlink ref="E3137" r:id="rId3079" xr:uid="{4A9EDD3E-487F-442A-AC4D-526A142B943D}"/>
    <hyperlink ref="E3138" r:id="rId3080" xr:uid="{31E9E11D-E9DA-499D-88BA-260CD91138BD}"/>
    <hyperlink ref="E3139" r:id="rId3081" xr:uid="{A821A399-18F9-451D-A875-E1C28572C694}"/>
    <hyperlink ref="E3140" r:id="rId3082" xr:uid="{FBB46934-B45A-4451-A502-241BBD0E777B}"/>
    <hyperlink ref="E3141" r:id="rId3083" xr:uid="{8570A1CC-9225-4333-BD41-1E99FF1FDA9E}"/>
    <hyperlink ref="E3142" r:id="rId3084" xr:uid="{2CFB3238-82CA-4D2E-B3DC-179353744E2D}"/>
    <hyperlink ref="E3143" r:id="rId3085" xr:uid="{6726FC03-E6EF-46DA-BF77-19124264D6DA}"/>
    <hyperlink ref="E3144" r:id="rId3086" xr:uid="{F20B7F2D-EAC3-49E3-B5CB-F00FA7320651}"/>
    <hyperlink ref="E3135" r:id="rId3087" xr:uid="{A6F02594-3270-4303-BB10-0AA567288307}"/>
    <hyperlink ref="E3145" r:id="rId3088" xr:uid="{30B530F3-07CB-4642-AFF6-8F239D0FD807}"/>
    <hyperlink ref="E3146" r:id="rId3089" xr:uid="{95BD9F37-4AB9-4605-9F7E-2B141E58C7D1}"/>
    <hyperlink ref="E3147" r:id="rId3090" xr:uid="{9A0334A3-A780-44C3-BB51-D7F26409B045}"/>
    <hyperlink ref="E3148" r:id="rId3091" xr:uid="{AFB84A30-56FD-4280-B6E9-D9CBFEDB0B23}"/>
    <hyperlink ref="E3149" r:id="rId3092" xr:uid="{6BF43B90-824C-4483-A4A2-DCC10F881A82}"/>
    <hyperlink ref="E3150" r:id="rId3093" xr:uid="{201597A9-D10C-450D-A952-DE9942F8CA08}"/>
    <hyperlink ref="E3151" r:id="rId3094" xr:uid="{DAD95C79-E3D7-4966-946A-35BBEDA9C059}"/>
    <hyperlink ref="E3152" r:id="rId3095" xr:uid="{476E3050-175E-4539-8094-C459128A52AC}"/>
    <hyperlink ref="E3153" r:id="rId3096" xr:uid="{9EBDD742-A412-4A66-8C8D-7B9E10C304E5}"/>
    <hyperlink ref="E3154" r:id="rId3097" xr:uid="{2407A53B-4DFA-444F-B634-CED2DE0669D6}"/>
    <hyperlink ref="E3155" r:id="rId3098" xr:uid="{5B9923D4-41BF-4789-AA27-783DB45A9354}"/>
    <hyperlink ref="E3156" r:id="rId3099" xr:uid="{F1ADD094-6744-4D46-92DA-7F75EE695AC6}"/>
    <hyperlink ref="E3157" r:id="rId3100" xr:uid="{DCB20A27-FFE0-40FB-81FC-104194DC5B19}"/>
    <hyperlink ref="E3158" r:id="rId3101" xr:uid="{B864827B-0FBA-429A-A0A5-C70F7B344FA6}"/>
    <hyperlink ref="E3159" r:id="rId3102" xr:uid="{05047983-F374-489C-BEEA-EBCD0C6FD009}"/>
    <hyperlink ref="E3160" r:id="rId3103" xr:uid="{9C8F4FD8-3832-41AD-8751-E77090875119}"/>
    <hyperlink ref="E3161" r:id="rId3104" xr:uid="{B5E9A0B5-B27E-4A52-BF1F-66F23A1099E2}"/>
    <hyperlink ref="E3162" r:id="rId3105" xr:uid="{49B7AB66-40F8-4446-8D18-CB680A3B7C6E}"/>
    <hyperlink ref="E3163" r:id="rId3106" xr:uid="{9E31B6DF-4EAA-43AE-8379-EF4EE40C6A5E}"/>
    <hyperlink ref="E3164" r:id="rId3107" xr:uid="{38ED3BA9-0F13-4D60-B294-3E6B05904445}"/>
    <hyperlink ref="E3165" r:id="rId3108" xr:uid="{67C5803A-0424-4195-9FC7-697BB01E9C40}"/>
    <hyperlink ref="E3166" r:id="rId3109" xr:uid="{9614863A-4257-42E7-BEB2-C57052208DB3}"/>
    <hyperlink ref="E3167" r:id="rId3110" xr:uid="{3602C5D1-25B7-4D6C-ACAF-5C6DBB2DABCF}"/>
    <hyperlink ref="E3168" r:id="rId3111" xr:uid="{73030348-2D23-4D4B-8850-3E9C3289A6B0}"/>
    <hyperlink ref="E3169" r:id="rId3112" xr:uid="{E0C2B8BA-EE97-4BC9-B496-42653150C592}"/>
    <hyperlink ref="E3170" r:id="rId3113" xr:uid="{AA8EBB16-8882-420E-BAF3-52659B7BF495}"/>
    <hyperlink ref="E3171" r:id="rId3114" xr:uid="{ED6A080A-0119-47D6-831B-14D2866090C6}"/>
    <hyperlink ref="E3172" r:id="rId3115" xr:uid="{4FC19D7C-8ACD-4618-BAB7-27B7604BA8E5}"/>
    <hyperlink ref="E3173" r:id="rId3116" xr:uid="{DF72E988-C8AD-4222-B6E9-6F1FA4ED705F}"/>
    <hyperlink ref="E3174" r:id="rId3117" xr:uid="{E23CEDC2-F293-4373-B30E-B1C9CBDB611B}"/>
    <hyperlink ref="E3175" r:id="rId3118" xr:uid="{DBE09DBA-C4C4-42A2-AE92-E9BC1C2D2CB1}"/>
    <hyperlink ref="E3176" r:id="rId3119" xr:uid="{7DF1F2B9-D493-4002-B982-8176828CEE44}"/>
    <hyperlink ref="E3177" r:id="rId3120" xr:uid="{F642FDC2-B895-4D2E-B190-29ED0A971B4A}"/>
    <hyperlink ref="E3178" r:id="rId3121" xr:uid="{06585302-F364-4D44-A82C-96E3446BC9D4}"/>
    <hyperlink ref="E3179" r:id="rId3122" xr:uid="{98C5AA98-FC1C-4CA5-86BD-581D5B2F256F}"/>
    <hyperlink ref="E3180" r:id="rId3123" xr:uid="{0675060E-B258-44E1-B61B-34F9D6BCBA6C}"/>
    <hyperlink ref="E3181" r:id="rId3124" xr:uid="{C4A91897-00F3-4C67-B35A-B43DA1EAD585}"/>
    <hyperlink ref="E3182" r:id="rId3125" xr:uid="{32D126DF-D03D-4CAA-9B35-373559FD229F}"/>
    <hyperlink ref="E3183" r:id="rId3126" xr:uid="{A3C900B2-6FF8-4A3E-8E70-5D9DBC6DE963}"/>
    <hyperlink ref="E3184" r:id="rId3127" xr:uid="{30F40ABB-29C9-437D-A7E6-5BF44BD97171}"/>
    <hyperlink ref="E3185" r:id="rId3128" xr:uid="{434287F0-7E8B-4825-8F5C-381818945A94}"/>
    <hyperlink ref="E3186" r:id="rId3129" xr:uid="{58D7660D-9E26-4649-9F2C-5ACACDB22B40}"/>
    <hyperlink ref="E3187" r:id="rId3130" xr:uid="{5C7BEC78-B471-4454-85D0-F90FCBA4BE53}"/>
    <hyperlink ref="E3188" r:id="rId3131" xr:uid="{13E4AD70-0A87-48F4-A1B9-3FD6D8070B73}"/>
    <hyperlink ref="E3189" r:id="rId3132" xr:uid="{D41E259C-2DC0-4F29-B918-81314B8004B0}"/>
    <hyperlink ref="E3190" r:id="rId3133" xr:uid="{85372003-77EC-4149-8DE2-0ABF550E4372}"/>
    <hyperlink ref="E3191" r:id="rId3134" xr:uid="{4483E283-C310-4ACE-A252-A646433467FD}"/>
    <hyperlink ref="E3192" r:id="rId3135" xr:uid="{494CD896-BBCB-4D4A-9F55-83F8C5813E57}"/>
    <hyperlink ref="E3193" r:id="rId3136" xr:uid="{C3925526-5A8D-4F9E-B5B7-33F13440DA2F}"/>
    <hyperlink ref="E3194" r:id="rId3137" xr:uid="{CF6C0BC2-7790-4036-B4B5-19BF2A69E04A}"/>
    <hyperlink ref="E3195" r:id="rId3138" xr:uid="{4E740311-6566-4400-B788-D92881BE3E15}"/>
    <hyperlink ref="E3196" r:id="rId3139" xr:uid="{A5085514-8075-4D36-A634-EDA546CD0C90}"/>
    <hyperlink ref="E3197" r:id="rId3140" xr:uid="{B70E3CBB-CD7B-40A4-8C98-72FD6C287A06}"/>
    <hyperlink ref="E3198" r:id="rId3141" xr:uid="{4FAA9A3A-FFE5-4190-85A7-496C619015CF}"/>
    <hyperlink ref="E3199" r:id="rId3142" xr:uid="{C499F0A2-9E74-4F6B-B0BA-4A2B76F31C04}"/>
    <hyperlink ref="E3200" r:id="rId3143" xr:uid="{C277EBDE-4861-49CA-BC9E-0214F89A637A}"/>
    <hyperlink ref="E3201" r:id="rId3144" xr:uid="{7DFB0039-1F1E-4967-B3F4-5B8A54C5179E}"/>
    <hyperlink ref="E3202" r:id="rId3145" xr:uid="{45018EBD-A51F-4530-982B-FA9836B26778}"/>
    <hyperlink ref="E3203" r:id="rId3146" xr:uid="{DE4A40BA-A325-42C7-9431-EF6F895E7A11}"/>
    <hyperlink ref="E3204" r:id="rId3147" xr:uid="{CCA041BF-3EBD-411B-BC76-E9E1D8C216D8}"/>
    <hyperlink ref="E3205" r:id="rId3148" xr:uid="{FA961AB0-DF9B-4727-96D8-CD92E029470B}"/>
    <hyperlink ref="E3206" r:id="rId3149" xr:uid="{A8929D8B-693C-4304-9F39-01A74062F4CB}"/>
    <hyperlink ref="E3207" r:id="rId3150" xr:uid="{7DA3C856-F46E-48ED-B04B-14D0E2C59F58}"/>
    <hyperlink ref="E3208" r:id="rId3151" xr:uid="{11AB9DE0-6D44-4A73-9996-B761CC258034}"/>
    <hyperlink ref="E3209" r:id="rId3152" xr:uid="{E50FC28C-889A-45DC-869E-2B587F2E8DF5}"/>
    <hyperlink ref="E3210" r:id="rId3153" xr:uid="{EBC5944C-4338-43B6-8079-AA4D0A59C5E0}"/>
    <hyperlink ref="E3211" r:id="rId3154" xr:uid="{2C2C87C2-443C-4888-967D-CBD89FFE0AE1}"/>
    <hyperlink ref="E3212" r:id="rId3155" xr:uid="{9B1A4AC1-183F-400C-96E2-DFC2C4F1969B}"/>
    <hyperlink ref="E3213" r:id="rId3156" xr:uid="{5637EB13-52D6-4859-9A8E-7E1F7CCDA140}"/>
    <hyperlink ref="E3214" r:id="rId3157" xr:uid="{EB166955-7BE0-4A2F-B0B0-5E5BEC2E1BDA}"/>
    <hyperlink ref="E3215" r:id="rId3158" xr:uid="{664C1B7F-F907-4158-B0B6-7FE10D017212}"/>
    <hyperlink ref="E3216" r:id="rId3159" xr:uid="{BC2B8A22-EA10-4D7F-95FD-AB2B90BA0C57}"/>
    <hyperlink ref="E3217" r:id="rId3160" xr:uid="{D0B1AE1C-0DF6-4DEA-9140-63A325E15711}"/>
    <hyperlink ref="E3218" r:id="rId3161" xr:uid="{44F5E6BB-99AB-4073-B05D-C0227F4F765B}"/>
    <hyperlink ref="E3219" r:id="rId3162" xr:uid="{810B79B5-AD16-47EB-9335-157EA314064C}"/>
    <hyperlink ref="E3220" r:id="rId3163" xr:uid="{7D2D4F9F-D731-4450-9B26-C2465ECA5E16}"/>
    <hyperlink ref="E3221" r:id="rId3164" xr:uid="{403B05F4-FFBB-4179-9712-D2044D6AD595}"/>
    <hyperlink ref="E3222" r:id="rId3165" xr:uid="{65BE7EBA-6AC7-4EB1-955D-1EC7BFD56F15}"/>
    <hyperlink ref="E3223" r:id="rId3166" xr:uid="{B45877C4-5C97-427C-A7B9-D9716F96B048}"/>
    <hyperlink ref="E3224" r:id="rId3167" xr:uid="{2DD5CF18-5B1A-4E37-A618-FA8BD544C863}"/>
    <hyperlink ref="E3225" r:id="rId3168" xr:uid="{4768F242-3CBB-46B3-9604-C15CF9389B2B}"/>
    <hyperlink ref="E3226" r:id="rId3169" xr:uid="{881C2BEB-8321-443D-A212-3FF6DDBC5AFC}"/>
    <hyperlink ref="E3227" r:id="rId3170" xr:uid="{3194496D-9062-4540-9EB8-3CD59859E6FF}"/>
    <hyperlink ref="E3228" r:id="rId3171" xr:uid="{C8EDC49D-62CE-4E23-BA80-F43264D3E32A}"/>
    <hyperlink ref="E3229" r:id="rId3172" xr:uid="{CCF8BA66-DF70-482C-B7FB-E88659AFC61C}"/>
    <hyperlink ref="E3230" r:id="rId3173" xr:uid="{054A90E3-53B0-4683-ADC7-D7C7E17C56F5}"/>
    <hyperlink ref="E3231" r:id="rId3174" xr:uid="{B360729E-F576-4174-BFD2-828F3A074F1C}"/>
    <hyperlink ref="E3232" r:id="rId3175" xr:uid="{2CDCAA46-74DC-456D-B164-30C110D1D39C}"/>
    <hyperlink ref="E3233" r:id="rId3176" xr:uid="{A9F8CDFA-C59B-4D8E-8524-9A950A91DCCC}"/>
    <hyperlink ref="E3234" r:id="rId3177" xr:uid="{EBBD3B67-6B0A-4A21-8561-2818E15CB806}"/>
    <hyperlink ref="E3235" r:id="rId3178" xr:uid="{3A745409-7C40-43C5-84EA-CEC386B1A8A3}"/>
    <hyperlink ref="E3236" r:id="rId3179" xr:uid="{A69FED42-DC8A-447D-BBBD-7A4D4EB73531}"/>
    <hyperlink ref="E3237" r:id="rId3180" xr:uid="{EBE735D3-2E3F-48AF-AEDA-6A5E26E9DC87}"/>
    <hyperlink ref="E3238" r:id="rId3181" xr:uid="{87ADDB9D-6B69-43C9-9D70-CABA5AF19FA6}"/>
    <hyperlink ref="E3239" r:id="rId3182" xr:uid="{4581A027-5CE4-4AD6-BA81-56270A1A9BB6}"/>
    <hyperlink ref="E3240" r:id="rId3183" xr:uid="{B57960A6-A70F-4D54-9133-5ABC7F41BB18}"/>
    <hyperlink ref="E3241" r:id="rId3184" xr:uid="{37DE980B-6136-49C1-93B5-4C86821520AF}"/>
    <hyperlink ref="E3242" r:id="rId3185" xr:uid="{E980A4C1-484C-4269-B011-AF4FACD756EE}"/>
    <hyperlink ref="E3243" r:id="rId3186" xr:uid="{69763A83-FDA8-43D9-9A13-B3EC51CCA989}"/>
    <hyperlink ref="E3244" r:id="rId3187" xr:uid="{6045AEE5-F466-4FE6-9FD5-D3FA6C313A59}"/>
    <hyperlink ref="E3245" r:id="rId3188" xr:uid="{93F45A10-C48F-4B53-BE05-3740FED4F0D5}"/>
    <hyperlink ref="E3246" r:id="rId3189" xr:uid="{7C0465D7-6ECA-47BA-B7CD-92B96CD832DC}"/>
    <hyperlink ref="E3247" r:id="rId3190" xr:uid="{B07D59BE-78AF-4704-83F4-10ABEBF93168}"/>
    <hyperlink ref="E3248" r:id="rId3191" xr:uid="{CA3295A6-BE18-441B-87F4-7F26DC16916C}"/>
    <hyperlink ref="E3249" r:id="rId3192" xr:uid="{F4CD5A20-CEE2-4B6B-B3DB-5722B110416F}"/>
    <hyperlink ref="E3250" r:id="rId3193" xr:uid="{8DDAB653-0F9C-4684-AAB4-7DD04DE3F45C}"/>
    <hyperlink ref="E3251" r:id="rId3194" xr:uid="{FCB3D221-41C1-4F5A-94C3-7F84E720384F}"/>
    <hyperlink ref="E3252" r:id="rId3195" xr:uid="{D3931FE6-727A-44E5-9598-CB7B1E837D3A}"/>
    <hyperlink ref="E3253" r:id="rId3196" xr:uid="{0CB9ABDA-9BBD-41DA-93E0-B87034D1C641}"/>
    <hyperlink ref="E3254" r:id="rId3197" xr:uid="{20543E2B-A751-4BA5-BC6B-2BFCAD94E7CD}"/>
    <hyperlink ref="E3255" r:id="rId3198" xr:uid="{01D7A0CC-C836-41BB-8224-F64E57BD888A}"/>
    <hyperlink ref="E3256" r:id="rId3199" xr:uid="{5308B430-189E-4CB8-8470-8C214B6FEAC5}"/>
    <hyperlink ref="E3257" r:id="rId3200" xr:uid="{826C4AC7-19E0-4A75-9C8C-0434E59821FA}"/>
    <hyperlink ref="E3258" r:id="rId3201" xr:uid="{C15FB32F-E2C5-482B-A528-3D712E0094C1}"/>
    <hyperlink ref="E3259" r:id="rId3202" xr:uid="{E6BC33C8-DEEB-4AFC-9B9E-08B6AF2D4CDE}"/>
    <hyperlink ref="E3260" r:id="rId3203" xr:uid="{8C19C921-CD7D-48D6-8711-F06C52CDA121}"/>
    <hyperlink ref="E3261" r:id="rId3204" xr:uid="{BF0A2620-1381-41DD-92AA-E766D294EE0F}"/>
    <hyperlink ref="E3262" r:id="rId3205" xr:uid="{41D5D32B-68D1-47C7-9821-2F4B75B3A3CF}"/>
    <hyperlink ref="E3263" r:id="rId3206" xr:uid="{CEB15F4B-A2E4-403C-9861-09F90A600AB0}"/>
    <hyperlink ref="E3264" r:id="rId3207" xr:uid="{C6311490-1AC4-4F6B-A139-ADBE3EC0EEC2}"/>
    <hyperlink ref="E3265" r:id="rId3208" xr:uid="{1301EC2F-6272-4382-B752-08085E50084D}"/>
    <hyperlink ref="E3266" r:id="rId3209" xr:uid="{13977BA0-75A5-477F-8537-F6E849CD4AD4}"/>
    <hyperlink ref="E3267" r:id="rId3210" xr:uid="{D1801F30-8E5C-4D2B-832C-E0BD9D3A121F}"/>
    <hyperlink ref="E3268" r:id="rId3211" xr:uid="{9DE2385A-E743-4B06-9A02-3243D42D4BC0}"/>
    <hyperlink ref="E3269" r:id="rId3212" xr:uid="{ACB9A121-BDBD-4E27-980C-900688374C06}"/>
    <hyperlink ref="E3270" r:id="rId3213" xr:uid="{406173AF-8EBA-476D-8FBD-1A27DA228D40}"/>
    <hyperlink ref="E3271" r:id="rId3214" xr:uid="{BE599293-FBCC-4A0A-A27A-2795165764C6}"/>
    <hyperlink ref="E3272" r:id="rId3215" xr:uid="{8EE512D0-7567-4C66-8DDB-FD7B85E51DEF}"/>
    <hyperlink ref="E3273" r:id="rId3216" xr:uid="{3567B0EE-9DC4-4A1F-8323-14916AAD9C09}"/>
    <hyperlink ref="E3274" r:id="rId3217" xr:uid="{A1511CE6-AB0C-4530-9E39-8D63AB954438}"/>
    <hyperlink ref="E3275" r:id="rId3218" xr:uid="{FA67BAE8-9164-4EB0-88AA-56D863A773DF}"/>
    <hyperlink ref="E3276" r:id="rId3219" xr:uid="{6727DC4D-A8F9-41A7-A226-DEBF8A39B136}"/>
    <hyperlink ref="E3277" r:id="rId3220" xr:uid="{DAF9791D-1391-4943-81BF-28F005E5D147}"/>
    <hyperlink ref="E3278" r:id="rId3221" xr:uid="{E8D3C2DA-CFC0-4B31-BB07-C9C88A78E0D2}"/>
    <hyperlink ref="E3280" r:id="rId3222" xr:uid="{015297AA-CC4C-417F-B771-60718929FC17}"/>
    <hyperlink ref="E3281" r:id="rId3223" xr:uid="{76B2849B-1636-442B-8B31-9B2D31E3095C}"/>
    <hyperlink ref="E3282" r:id="rId3224" xr:uid="{EB8189A2-81E6-4878-9787-7149AA6AA379}"/>
    <hyperlink ref="E3283" r:id="rId3225" xr:uid="{33F7B872-31B4-418C-8F6B-DDB1CFE4DA0A}"/>
    <hyperlink ref="E3284" r:id="rId3226" xr:uid="{D5F19BC9-20F2-4CD3-8CCA-C5E095969F98}"/>
    <hyperlink ref="E3285" r:id="rId3227" xr:uid="{8D84E24F-37D4-49FA-9FFA-DEC4245432CA}"/>
    <hyperlink ref="E3286" r:id="rId3228" xr:uid="{7D43DF0F-B924-4B62-87BC-CFAA5DC8BB9F}"/>
    <hyperlink ref="E3287" r:id="rId3229" xr:uid="{1923A0C9-2E3F-4590-8454-1E5445F54C4A}"/>
    <hyperlink ref="E3288" r:id="rId3230" xr:uid="{FD5DDE00-E3CF-474E-864A-A08BB4AA435B}"/>
    <hyperlink ref="E3289" r:id="rId3231" xr:uid="{BB8B9A2B-3641-4BE4-8F3B-06559B5EF20B}"/>
    <hyperlink ref="E3290" r:id="rId3232" xr:uid="{A14C67DA-0ED9-479D-BBEA-CEA3FB5B253F}"/>
    <hyperlink ref="E3291" r:id="rId3233" xr:uid="{29AF8B5B-92E0-459A-8D4D-8FE71ED69B2C}"/>
    <hyperlink ref="E3292" r:id="rId3234" xr:uid="{8446B87F-D130-49B8-9580-D6163CFEF425}"/>
    <hyperlink ref="E3293" r:id="rId3235" xr:uid="{AA131E21-57E4-4004-99B8-BCE86E58AF62}"/>
    <hyperlink ref="E3294" r:id="rId3236" xr:uid="{88E23D95-B9DC-4989-9170-BC5ABF725FD2}"/>
    <hyperlink ref="E3295" r:id="rId3237" xr:uid="{15D73A44-4087-4686-AFBB-8B0FA1215BD6}"/>
    <hyperlink ref="E3296" r:id="rId3238" xr:uid="{34C0470D-E997-4C62-B417-1867B3C02E2E}"/>
    <hyperlink ref="E3297" r:id="rId3239" xr:uid="{E9EDD01B-2071-4EF5-825E-4A028D72922B}"/>
    <hyperlink ref="E3298" r:id="rId3240" xr:uid="{2C592FBF-909C-41BE-B52B-ADD5D427278A}"/>
    <hyperlink ref="E3299" r:id="rId3241" xr:uid="{D3B1880D-E5C1-4933-B0C3-E062E60E7E5E}"/>
    <hyperlink ref="E3300" r:id="rId3242" xr:uid="{C0AE80B2-024B-4E33-A30D-F45E8169E86C}"/>
    <hyperlink ref="E3301" r:id="rId3243" xr:uid="{B696ADA5-8707-491B-8B94-728215780A14}"/>
    <hyperlink ref="E3302" r:id="rId3244" xr:uid="{16E62A93-AE86-41E1-BD57-793EFFB3CF0D}"/>
    <hyperlink ref="E3303" r:id="rId3245" xr:uid="{3CCCCC64-78EA-4024-A614-00E3DCD02878}"/>
    <hyperlink ref="E3304" r:id="rId3246" xr:uid="{59F7EE45-C981-4C60-9454-4FC6BD0514D5}"/>
    <hyperlink ref="E3305" r:id="rId3247" xr:uid="{DF4C5A92-4921-410F-8BD5-AF9568926C90}"/>
    <hyperlink ref="E3306" r:id="rId3248" xr:uid="{9F108A4E-2727-4A0E-AC9D-90608714EF0C}"/>
    <hyperlink ref="E3307" r:id="rId3249" xr:uid="{77154CC9-BBE0-4A3F-B11D-D96EE391D26C}"/>
    <hyperlink ref="E3308" r:id="rId3250" xr:uid="{65952AF9-BE35-4E5B-BE9E-5F5B38935CB9}"/>
    <hyperlink ref="E3309" r:id="rId3251" xr:uid="{032993C9-22D4-4456-9AB0-4FAE3D4E4C21}"/>
    <hyperlink ref="E3310" r:id="rId3252" xr:uid="{0A21386B-FB72-4FA0-ADBF-317F8C3E2EA9}"/>
    <hyperlink ref="E3311" r:id="rId3253" xr:uid="{CC620088-0FAD-4016-8878-15E64821FD8E}"/>
    <hyperlink ref="E3312" r:id="rId3254" xr:uid="{AC5DA899-4616-48A5-8A7B-5A471B5C7775}"/>
    <hyperlink ref="E3313" r:id="rId3255" xr:uid="{A6CCF714-5C14-4FEA-9B10-DCAB6573ECCB}"/>
    <hyperlink ref="E3314" r:id="rId3256" xr:uid="{1B335B4F-298A-4AD0-88E5-6A87A20C8452}"/>
    <hyperlink ref="E3315" r:id="rId3257" xr:uid="{38DBB320-67BE-42C3-BE41-59AC8A38069E}"/>
    <hyperlink ref="E3316" r:id="rId3258" xr:uid="{BDEC18CF-8A7B-4FA0-AC18-5579D62DA349}"/>
    <hyperlink ref="E3317" r:id="rId3259" xr:uid="{77E25CB4-6FC3-45FC-AD57-D51C262FC686}"/>
    <hyperlink ref="E3318" r:id="rId3260" xr:uid="{73C2A06E-169B-400B-BDF2-95E9FCF7CA77}"/>
    <hyperlink ref="E3319" r:id="rId3261" xr:uid="{48A59CCF-B612-47DC-B271-585E32F9FE4C}"/>
    <hyperlink ref="E3320" r:id="rId3262" xr:uid="{2B0C23AE-13E9-4BB1-B315-5A27355AE9C3}"/>
    <hyperlink ref="E3321" r:id="rId3263" xr:uid="{31510AA0-0266-4C1F-AB4A-C3E20020AED1}"/>
    <hyperlink ref="E3322" r:id="rId3264" xr:uid="{81D003B5-FC80-4699-81A7-8CA164DDD246}"/>
    <hyperlink ref="E3323" r:id="rId3265" xr:uid="{012E515D-E983-4893-B376-DD3501EA356B}"/>
    <hyperlink ref="E3324" r:id="rId3266" xr:uid="{E7FC7AC7-57F9-4688-9B19-A3400291CEE6}"/>
    <hyperlink ref="E3325" r:id="rId3267" xr:uid="{EA54FBAB-9028-4F1A-A52F-D9FC0213AFDA}"/>
    <hyperlink ref="E3326" r:id="rId3268" xr:uid="{AA197E4F-9767-440C-BC02-C051AE5A4E17}"/>
    <hyperlink ref="E3327" r:id="rId3269" xr:uid="{6D4F34B9-8622-4B4F-B80B-939B52959443}"/>
    <hyperlink ref="E3328" r:id="rId3270" xr:uid="{8251BC8F-1CCA-46A9-8744-D3F9065C2B87}"/>
    <hyperlink ref="E3329" r:id="rId3271" xr:uid="{42549DF7-3B0B-4467-B5C5-D60BB916031C}"/>
    <hyperlink ref="E3330" r:id="rId3272" xr:uid="{6D0A542A-DE47-431A-894E-CF009092BCC5}"/>
    <hyperlink ref="E3331" r:id="rId3273" xr:uid="{7854B682-8ACE-42A3-9B8E-A02DD2F2336F}"/>
    <hyperlink ref="E3332" r:id="rId3274" xr:uid="{0DFEAA03-509D-4B4C-B7C8-7CCFDAF4ED0B}"/>
    <hyperlink ref="E3333" r:id="rId3275" xr:uid="{1A8DA8E8-AA69-47D4-A597-AA9259771686}"/>
    <hyperlink ref="E3334" r:id="rId3276" xr:uid="{C46E9F49-FE57-49FC-B3A5-94F1BF676F6A}"/>
    <hyperlink ref="E3335" r:id="rId3277" xr:uid="{A8661492-119D-47AF-90D4-C77041F4B204}"/>
    <hyperlink ref="E3336" r:id="rId3278" xr:uid="{3F21FE54-4C6C-45DE-A9D9-BF3073958D44}"/>
    <hyperlink ref="E3337" r:id="rId3279" xr:uid="{F2535C50-1491-46EC-9ACA-371D2C6E0CD2}"/>
    <hyperlink ref="E3338" r:id="rId3280" xr:uid="{D899A595-98A3-4A5F-82A9-859E06A2F486}"/>
    <hyperlink ref="E3339" r:id="rId3281" xr:uid="{8934C5F9-A84A-4C5B-8B4E-F052C788B1D0}"/>
    <hyperlink ref="E3340" r:id="rId3282" xr:uid="{1B954DD7-99CB-4C5A-86DC-DEBD0B79419C}"/>
    <hyperlink ref="E3341" r:id="rId3283" xr:uid="{3398B7C2-D649-4E1A-A8BB-AE7CD5ED2C94}"/>
    <hyperlink ref="E3342" r:id="rId3284" xr:uid="{239A8A98-84D6-4761-9868-04D04FDA8307}"/>
    <hyperlink ref="E3343" r:id="rId3285" xr:uid="{A87F4420-B9A0-4FC2-A42D-9A3608300509}"/>
    <hyperlink ref="E3345" r:id="rId3286" xr:uid="{EFCEE4AF-D584-4426-8399-E30B7B3AD160}"/>
    <hyperlink ref="E3344" r:id="rId3287" xr:uid="{6C793915-ADEA-420E-B04A-0A777CA6A64F}"/>
    <hyperlink ref="E3346" r:id="rId3288" xr:uid="{1D3725D1-A93E-4479-B091-E064170A0D6A}"/>
    <hyperlink ref="E3347" r:id="rId3289" xr:uid="{B11F5CE0-7A8C-4F14-9355-AC9AF84C506B}"/>
    <hyperlink ref="E3348" r:id="rId3290" xr:uid="{E8642BAC-4429-4939-B65B-F5F2E136778E}"/>
    <hyperlink ref="E3349" r:id="rId3291" xr:uid="{C3F96F8F-7C8C-451C-A8AD-9505BE732966}"/>
    <hyperlink ref="E3350" r:id="rId3292" xr:uid="{C3B91392-9AEA-4E10-8B13-9106DD3F3BC0}"/>
    <hyperlink ref="E3351" r:id="rId3293" xr:uid="{8215AEE4-F479-421A-99A4-63EA15A48FC6}"/>
    <hyperlink ref="E3352" r:id="rId3294" xr:uid="{2B4C1A93-6B46-400F-A76C-D6F936A8360B}"/>
    <hyperlink ref="E3353" r:id="rId3295" xr:uid="{F47A5EE5-CB11-4F57-B70C-FFFB58F34A79}"/>
    <hyperlink ref="E3354" r:id="rId3296" xr:uid="{819EBB83-8CC6-44E3-995C-B3F3A3B6BDBD}"/>
    <hyperlink ref="E3355" r:id="rId3297" xr:uid="{F98B2BD5-43E4-4475-9A8F-6D9437421042}"/>
    <hyperlink ref="E3356" r:id="rId3298" xr:uid="{E66D2146-943E-4321-A794-40172B26A187}"/>
    <hyperlink ref="E3357" r:id="rId3299" xr:uid="{64FD8554-CE59-4308-B842-23FCB636EAFB}"/>
    <hyperlink ref="E3358" r:id="rId3300" xr:uid="{6FE6C93B-3BE8-459F-B5B7-F7DE4DBD49D9}"/>
    <hyperlink ref="E3359" r:id="rId3301" xr:uid="{9D672ACA-2DBB-4DE6-B044-08B51999CCAE}"/>
    <hyperlink ref="E3360" r:id="rId3302" xr:uid="{79442A7F-B414-4634-8677-A49F91442F70}"/>
    <hyperlink ref="E3361" r:id="rId3303" xr:uid="{F9AEEA5C-11AA-407D-AA17-1FFDBED2CB0A}"/>
    <hyperlink ref="E3362" r:id="rId3304" xr:uid="{952EED95-32EF-4D4F-A41A-E63775E0E1F5}"/>
    <hyperlink ref="E3363" r:id="rId3305" xr:uid="{824047D3-92B4-4A18-92CD-AA1B6A0CD264}"/>
    <hyperlink ref="E3364" r:id="rId3306" xr:uid="{5ACF42CF-AAF3-41D4-80C0-3D8D2D8E194C}"/>
    <hyperlink ref="E3365" r:id="rId3307" xr:uid="{883A326C-8098-4791-9706-86F88299706E}"/>
    <hyperlink ref="E3366" r:id="rId3308" xr:uid="{02773B12-7C82-4DE8-A335-C5608F60D0FA}"/>
    <hyperlink ref="E3367" r:id="rId3309" xr:uid="{F6A9691B-9DF5-40C1-9931-186B54E04FBE}"/>
    <hyperlink ref="E3368" r:id="rId3310" xr:uid="{56859853-C4B0-4C3B-9260-72B61C903600}"/>
    <hyperlink ref="E3369" r:id="rId3311" xr:uid="{C8B2AAF9-E6A9-43BB-9342-0D83E3562F49}"/>
    <hyperlink ref="E3370" r:id="rId3312" xr:uid="{9113AA58-4F56-4F3C-8DE6-8BA3551B5A3B}"/>
    <hyperlink ref="E3371" r:id="rId3313" xr:uid="{56B7A27E-890D-4688-B3EE-4CB55E283599}"/>
    <hyperlink ref="E3372" r:id="rId3314" xr:uid="{DDCF5579-2B1C-442E-B68C-0FA8186322F0}"/>
    <hyperlink ref="E3373" r:id="rId3315" xr:uid="{F55A46CB-7E47-4FD0-B3C1-341B999D8C92}"/>
    <hyperlink ref="E3374" r:id="rId3316" xr:uid="{BD31AC3C-1DC4-4B25-A742-D6FFFC5A2096}"/>
    <hyperlink ref="E3375" r:id="rId3317" xr:uid="{2DECBE14-E52E-4CDE-99FA-02161225483D}"/>
    <hyperlink ref="E3376" r:id="rId3318" xr:uid="{383649A7-432A-485E-9AC3-82364BD4720C}"/>
    <hyperlink ref="E3377" r:id="rId3319" xr:uid="{BFEAF217-8DD8-43D0-94A3-3375A1F53B37}"/>
    <hyperlink ref="E3378" r:id="rId3320" xr:uid="{BA0E181D-CFCD-4A9F-96D7-4747372CD4B5}"/>
    <hyperlink ref="E3379" r:id="rId3321" xr:uid="{9AAB23AD-2012-4D14-87EC-50CDE4F31126}"/>
    <hyperlink ref="E3380" r:id="rId3322" xr:uid="{2FF43078-345F-4699-B8BD-3E426D7B6C43}"/>
    <hyperlink ref="E3381" r:id="rId3323" xr:uid="{9A783CE2-A985-4C07-906F-B27F8ADEFCAA}"/>
    <hyperlink ref="E3382" r:id="rId3324" xr:uid="{2757F30A-056B-4B22-8785-66E048BE96E3}"/>
    <hyperlink ref="E3383" r:id="rId3325" xr:uid="{7C7197EA-18F5-4F6D-9DA6-AE1D44D22E17}"/>
    <hyperlink ref="E3384" r:id="rId3326" xr:uid="{0F1D285C-6B13-4EF0-9B78-B43B87ED683C}"/>
    <hyperlink ref="E3385" r:id="rId3327" xr:uid="{055F4C5F-F81B-4A83-A969-05DBCEF00510}"/>
    <hyperlink ref="E3386" r:id="rId3328" xr:uid="{EDA20EE8-2F37-4C1D-AFEE-BC001E0E4584}"/>
    <hyperlink ref="E3387" r:id="rId3329" xr:uid="{AA6C678E-0EAE-4CAD-8E9C-C52A1A2C57BA}"/>
    <hyperlink ref="E3388" r:id="rId3330" xr:uid="{0DCD5911-7915-4560-B14D-6FC20AA8F9C4}"/>
    <hyperlink ref="E3389" r:id="rId3331" xr:uid="{0C861B02-1CEA-477E-A491-08DB210C5B81}"/>
    <hyperlink ref="E3390" r:id="rId3332" xr:uid="{9436937F-3A12-4CD2-AACC-87EC7D9884AB}"/>
    <hyperlink ref="E3391" r:id="rId3333" xr:uid="{A9E4DC04-A659-4A70-B74E-99C834FE1D26}"/>
    <hyperlink ref="E3392" r:id="rId3334" xr:uid="{2D94FEF6-569D-439B-95FE-87A8CE6232F0}"/>
    <hyperlink ref="E3393" r:id="rId3335" xr:uid="{44505480-C470-4328-B219-F20559FC399B}"/>
    <hyperlink ref="E3394" r:id="rId3336" xr:uid="{FD510685-CE43-4732-8B29-014979C04DC7}"/>
    <hyperlink ref="E3395" r:id="rId3337" xr:uid="{346EF0E4-574F-4B89-AD2F-6A1DF544E81A}"/>
    <hyperlink ref="E3396" r:id="rId3338" xr:uid="{CD9D28F5-281F-4B58-B367-3D82042D858D}"/>
    <hyperlink ref="E3397" r:id="rId3339" xr:uid="{F997BB57-80D7-4F94-9245-AB57D18E9657}"/>
    <hyperlink ref="E3398" r:id="rId3340" xr:uid="{64C6F8B9-F18E-46FF-BC2B-3F746066C0D2}"/>
    <hyperlink ref="E3399" r:id="rId3341" xr:uid="{61B16223-C3CB-4CF3-B816-53E129114241}"/>
    <hyperlink ref="E3400" r:id="rId3342" xr:uid="{F5EAFE17-753E-4A99-8684-F6867EB9C4AA}"/>
    <hyperlink ref="E3401" r:id="rId3343" xr:uid="{EC62E422-6128-4DD5-8906-6ACD797F3544}"/>
    <hyperlink ref="E3402" r:id="rId3344" xr:uid="{13C3D271-DC23-4989-A18F-C5F3396444F2}"/>
    <hyperlink ref="E3403" r:id="rId3345" xr:uid="{633E12C3-0F38-4FE7-85DA-0D62275ED7D5}"/>
    <hyperlink ref="E3404" r:id="rId3346" xr:uid="{1002ED7C-3EF0-4441-81F1-52D8AF0BE074}"/>
    <hyperlink ref="E3405" r:id="rId3347" xr:uid="{595202E9-7A33-47F9-BE45-313C70859EE8}"/>
    <hyperlink ref="E3406" r:id="rId3348" xr:uid="{2E55EF12-63D9-4333-9233-96D03CDEDDA2}"/>
    <hyperlink ref="E3407" r:id="rId3349" xr:uid="{51ECF1C6-5879-474F-8099-723D9D22363D}"/>
    <hyperlink ref="E3408" r:id="rId3350" xr:uid="{21C01871-8B44-4626-A4AB-3F17B49A5AFD}"/>
    <hyperlink ref="E3409" r:id="rId3351" xr:uid="{6387AA11-35E4-425B-BA36-5B6E61F14A31}"/>
    <hyperlink ref="E3410" r:id="rId3352" xr:uid="{1181E68E-E7C8-4719-9A08-845AB979A750}"/>
    <hyperlink ref="E3411" r:id="rId3353" xr:uid="{170BB995-A4B4-4B9D-ACB1-4DBDDA1D8E08}"/>
    <hyperlink ref="E3412" r:id="rId3354" xr:uid="{BBC07F91-C190-4829-979E-937C0B2F3CF7}"/>
    <hyperlink ref="E3413" r:id="rId3355" xr:uid="{87BB9493-1ED6-4D3B-950A-5442078CFF2B}"/>
    <hyperlink ref="E3415" r:id="rId3356" xr:uid="{18156FB9-F310-4A0F-8896-4BAA2B0109DD}"/>
    <hyperlink ref="E3414" r:id="rId3357" xr:uid="{DE11D6C1-2CAA-4167-9CAF-781EC41E0F23}"/>
    <hyperlink ref="E3416" r:id="rId3358" xr:uid="{6495D2D2-6817-49A8-8C09-BFE490181DFD}"/>
    <hyperlink ref="E3417" r:id="rId3359" xr:uid="{CA54A4F4-AF23-4DB1-8A16-BE95252C5171}"/>
    <hyperlink ref="E3419" r:id="rId3360" xr:uid="{50D0162B-E550-4B63-AC4C-0551A3BFA1DF}"/>
    <hyperlink ref="E3420" r:id="rId3361" xr:uid="{44647645-AA20-479D-A3E6-AB9F59FCB5A4}"/>
    <hyperlink ref="E3421" r:id="rId3362" xr:uid="{30BC811B-0784-4F61-A0C6-409A8920E4DE}"/>
    <hyperlink ref="E3418" r:id="rId3363" xr:uid="{2A6C7E84-1875-4EC3-8694-E9435AB5D142}"/>
    <hyperlink ref="E3422" r:id="rId3364" xr:uid="{D0627C6B-7F37-4103-8009-978C23393DA0}"/>
    <hyperlink ref="E3423" r:id="rId3365" xr:uid="{5D84FEF5-5070-40BD-9345-38CD6E1CD7B2}"/>
    <hyperlink ref="E3424" r:id="rId3366" xr:uid="{73FC02F7-8433-49DD-B2D2-64E2011489D9}"/>
    <hyperlink ref="E3425" r:id="rId3367" xr:uid="{6323435D-D4C4-41D9-ADFD-47588472AFB8}"/>
    <hyperlink ref="E3426" r:id="rId3368" xr:uid="{C0FAC6CE-13E3-4781-B69E-D81BB933344C}"/>
    <hyperlink ref="E3427" r:id="rId3369" xr:uid="{DB2EA4AF-18C1-4162-A6F9-3E8BD6DA46B4}"/>
    <hyperlink ref="E3428" r:id="rId3370" xr:uid="{5D5B5858-F0D4-4BEC-A337-A22DD5F105FB}"/>
    <hyperlink ref="E3429" r:id="rId3371" xr:uid="{90001572-2017-42BC-ACF7-57602E77C4A3}"/>
    <hyperlink ref="E3430" r:id="rId3372" xr:uid="{5D0C01ED-4B52-462C-8C2F-103763918C5F}"/>
    <hyperlink ref="E3431" r:id="rId3373" xr:uid="{7BACDA40-689B-4A1F-990C-301D3B34127C}"/>
    <hyperlink ref="E3432" r:id="rId3374" xr:uid="{5520E489-8D4E-4AAF-86C5-C810426FA36B}"/>
    <hyperlink ref="E3433" r:id="rId3375" xr:uid="{3E529240-B6F5-439F-B101-6768ACA55D14}"/>
    <hyperlink ref="E3434" r:id="rId3376" xr:uid="{5A7E3CC6-8118-48C5-9D10-9E60BCA0F5B2}"/>
    <hyperlink ref="E3435" r:id="rId3377" xr:uid="{C6511499-5414-4551-8F0F-6D348E4AE36A}"/>
    <hyperlink ref="E3436" r:id="rId3378" xr:uid="{B7D383C4-596A-4D15-8693-FC3043B0E72A}"/>
    <hyperlink ref="E3437" r:id="rId3379" xr:uid="{CBAB210E-89B2-4DF5-91B5-2BF78B74D745}"/>
    <hyperlink ref="E3438" r:id="rId3380" xr:uid="{E7EC231D-2D2E-4873-8772-1053E2070CEE}"/>
    <hyperlink ref="E3439" r:id="rId3381" xr:uid="{C5883857-FE0E-4AB2-A03D-081F3D04F27F}"/>
    <hyperlink ref="E3440" r:id="rId3382" xr:uid="{9C5D8710-B08D-49D5-8A1A-A71A1E50B61D}"/>
    <hyperlink ref="E3441" r:id="rId3383" xr:uid="{26A2CD9B-86FD-4003-8FFE-96836D9505D8}"/>
    <hyperlink ref="E3442" r:id="rId3384" xr:uid="{0923A0D8-A2F1-48CB-AD16-EEB7B953185B}"/>
    <hyperlink ref="E3443" r:id="rId3385" xr:uid="{C22C2E33-3801-4B59-B20A-C387658D285C}"/>
    <hyperlink ref="E3444" r:id="rId3386" xr:uid="{F5F5E673-2B0E-491D-9675-91250D491D3D}"/>
    <hyperlink ref="E3445" r:id="rId3387" xr:uid="{7E92CBA2-9B71-404E-839F-8BDA6556B2E2}"/>
    <hyperlink ref="E3446" r:id="rId3388" xr:uid="{6EE13F44-564A-4EB2-8B67-58ECD5F3C2B5}"/>
    <hyperlink ref="E3447" r:id="rId3389" xr:uid="{BB501C0A-CCC7-45D9-BC81-FDF9D8126196}"/>
    <hyperlink ref="E3448" r:id="rId3390" xr:uid="{ADABEA36-958F-46C5-B6CA-5D40E5A15FF0}"/>
    <hyperlink ref="E3449" r:id="rId3391" xr:uid="{4EF2B060-5A82-45D8-8CF8-34A2D869D55B}"/>
    <hyperlink ref="E3450" r:id="rId3392" xr:uid="{06F58469-71F6-4C38-AB9C-777E184E05BB}"/>
    <hyperlink ref="E3451" r:id="rId3393" xr:uid="{57B6B175-33B3-4B48-BC68-210CBCC1A0FA}"/>
    <hyperlink ref="E3452" r:id="rId3394" xr:uid="{3DEBA7D4-B335-4A41-9EAD-AA07A8D15D00}"/>
    <hyperlink ref="E3453" r:id="rId3395" xr:uid="{EA1732E1-B8F1-4C53-8960-C903667E7E1F}"/>
    <hyperlink ref="E3454" r:id="rId3396" xr:uid="{F3997FDE-34BA-415D-B50F-066B94343564}"/>
    <hyperlink ref="E3455" r:id="rId3397" xr:uid="{C07FB0FD-6D8F-411F-B865-3012BC140431}"/>
    <hyperlink ref="E3456" r:id="rId3398" xr:uid="{AE98D66A-C79D-456A-84F9-A307D8C9AABF}"/>
    <hyperlink ref="E3457" r:id="rId3399" xr:uid="{4F12F7AC-4E4E-4B40-8318-48639D1B0B4A}"/>
    <hyperlink ref="E3458" r:id="rId3400" xr:uid="{7DD0A76B-7754-491E-95D1-450957A25407}"/>
    <hyperlink ref="E3459" r:id="rId3401" xr:uid="{355F9AB5-7EB4-4765-853D-FC5E60B51B16}"/>
    <hyperlink ref="E3460" r:id="rId3402" xr:uid="{D3282C4A-1078-45CA-BCE2-0E3B61669C9F}"/>
    <hyperlink ref="E3461" r:id="rId3403" xr:uid="{3E8F274A-1C24-43C6-A0C4-E4E94DF360BB}"/>
    <hyperlink ref="E3462" r:id="rId3404" xr:uid="{D105E4CA-0C17-463B-8290-B3C91E7D68A1}"/>
    <hyperlink ref="E3463" r:id="rId3405" xr:uid="{4B13B96B-66D0-4A0E-B744-CDA580416777}"/>
    <hyperlink ref="E3464" r:id="rId3406" xr:uid="{C0D54D6B-34CF-4A8A-B9EC-7BF423C87F6C}"/>
    <hyperlink ref="E3465" r:id="rId3407" xr:uid="{A771E87A-B1FB-4247-A74D-29F60AABE9AB}"/>
    <hyperlink ref="E3466" r:id="rId3408" xr:uid="{7F8750AC-B750-4C6E-BFE3-D57BE1FC760E}"/>
    <hyperlink ref="E3467" r:id="rId3409" xr:uid="{340853DD-DD4D-43AD-A081-5D8B28F15E65}"/>
    <hyperlink ref="E3468" r:id="rId3410" xr:uid="{E567CF6C-170B-4A7A-ACB8-5C3721411CF0}"/>
    <hyperlink ref="E3469" r:id="rId3411" xr:uid="{0692F3CF-2EB2-4F1B-B6B9-991E40F34FB3}"/>
    <hyperlink ref="E3470" r:id="rId3412" xr:uid="{B919E2FA-850D-49CC-9979-C57A539C5EF5}"/>
    <hyperlink ref="E3471" r:id="rId3413" xr:uid="{68807A3B-BBDD-465C-AAE7-BB61ED3AEBC9}"/>
    <hyperlink ref="E3472" r:id="rId3414" xr:uid="{45D1BB19-85F4-438B-B47A-87BB725ACB0D}"/>
    <hyperlink ref="E3473" r:id="rId3415" xr:uid="{482E5B0B-BD08-4575-AE2D-49DE357B26DC}"/>
    <hyperlink ref="E3474" r:id="rId3416" xr:uid="{2D687DDB-5A9F-4552-AAA3-4CCA7503BDCC}"/>
    <hyperlink ref="E3475" r:id="rId3417" xr:uid="{04CD4F12-F7FF-4DA5-AB50-E5B53DE229CF}"/>
    <hyperlink ref="E3476" r:id="rId3418" xr:uid="{DBDBA6B1-F0B0-4FE2-83F1-2F579014983F}"/>
    <hyperlink ref="E3477" r:id="rId3419" xr:uid="{57BBF314-E69F-4ECF-A5D2-3DDF914CEAE4}"/>
    <hyperlink ref="E3478" r:id="rId3420" xr:uid="{0800B29A-C755-4C00-9E48-7127429A4C58}"/>
    <hyperlink ref="E3479" r:id="rId3421" xr:uid="{1144764A-5B9F-4247-84C8-781EBD390EE0}"/>
    <hyperlink ref="E3480" r:id="rId3422" xr:uid="{5CA87872-28F5-4BAE-AEED-0EA403522B9A}"/>
    <hyperlink ref="E3481" r:id="rId3423" xr:uid="{D638BAA9-CBF2-4BC8-A315-AC9C7D9E6712}"/>
    <hyperlink ref="E3482" r:id="rId3424" xr:uid="{4BB8BCB0-5E88-44BA-BCBB-14F2297AB674}"/>
    <hyperlink ref="E3483" r:id="rId3425" xr:uid="{00B95C76-FA79-4145-AF31-00D5CB34BC5A}"/>
    <hyperlink ref="E3484" r:id="rId3426" xr:uid="{B7A81D5B-E409-4EF1-A2BB-7404844C89CA}"/>
    <hyperlink ref="E3486" r:id="rId3427" xr:uid="{74FDAF6A-5A79-4948-81E2-F6953CE89DB9}"/>
    <hyperlink ref="E3487" r:id="rId3428" xr:uid="{6DF98F48-8D50-4DD3-8995-FA281B5CD1C6}"/>
    <hyperlink ref="E3488" r:id="rId3429" xr:uid="{D887A28C-1E20-4D99-A182-87A0AAFD85E1}"/>
    <hyperlink ref="E3489" r:id="rId3430" xr:uid="{A77AD8D2-27FB-45EF-9EE1-120EDB85AB4B}"/>
    <hyperlink ref="E3490" r:id="rId3431" xr:uid="{1D37C494-CE8B-417F-89A6-D5C4367C3939}"/>
    <hyperlink ref="E3491" r:id="rId3432" xr:uid="{C8FD8EE6-FEA1-4073-9D7E-92B31FB3C088}"/>
    <hyperlink ref="E3492" r:id="rId3433" xr:uid="{97CDC2DA-9CA7-4897-918D-4D5DD3E3895A}"/>
    <hyperlink ref="E3493" r:id="rId3434" xr:uid="{29B8BE5B-E245-4284-826D-BE1D6D0A3A1E}"/>
    <hyperlink ref="E3494" r:id="rId3435" xr:uid="{36296C31-B13B-4C13-AF1A-85514C767F23}"/>
    <hyperlink ref="E3495" r:id="rId3436" xr:uid="{7662BDAD-0ACD-40BC-94AA-AB50E8005A75}"/>
    <hyperlink ref="E3496" r:id="rId3437" xr:uid="{0DC45676-7B93-4A8A-BACF-17B21FD45E1A}"/>
    <hyperlink ref="E3497" r:id="rId3438" xr:uid="{0F00AB80-0776-49C7-9FA8-ED0B4159ACA8}"/>
    <hyperlink ref="E3498" r:id="rId3439" xr:uid="{EEB6950C-1BC0-45EB-A257-F4EBB528D307}"/>
    <hyperlink ref="E3499" r:id="rId3440" xr:uid="{845FBD63-378A-4A66-8232-EA692BFEF715}"/>
    <hyperlink ref="E3500" r:id="rId3441" xr:uid="{B666C8B2-80AB-4C27-B7A8-3C198467E5F9}"/>
    <hyperlink ref="E3501" r:id="rId3442" xr:uid="{6BC89175-C915-43F3-AA6B-04C20B4D5105}"/>
    <hyperlink ref="E3502" r:id="rId3443" xr:uid="{BB4C4A45-A76F-4B36-91E7-CA1D33E34726}"/>
    <hyperlink ref="E3503" r:id="rId3444" xr:uid="{9C07D331-C914-45B2-9343-A1D5E309A0AD}"/>
    <hyperlink ref="E3504" r:id="rId3445" xr:uid="{AE4A66A5-0EB8-4F6F-ABFA-59503F3F4511}"/>
    <hyperlink ref="E3505" r:id="rId3446" xr:uid="{D8F0D201-AE01-44AD-A777-02EE03028E8B}"/>
    <hyperlink ref="E3506" r:id="rId3447" xr:uid="{F1D67F61-5F97-4AA8-952C-84FBCEF2FAE6}"/>
    <hyperlink ref="E3507" r:id="rId3448" xr:uid="{4ED8823E-4D60-4204-BA2F-9201C75BC5FD}"/>
    <hyperlink ref="E3508" r:id="rId3449" xr:uid="{6719B307-A6FE-49A5-8D82-682EEE94DF9B}"/>
    <hyperlink ref="E3509" r:id="rId3450" xr:uid="{9ED2560F-7C15-410C-AFAB-5E2EF39B244B}"/>
    <hyperlink ref="E3510" r:id="rId3451" xr:uid="{BBF1B49A-EA54-45B5-86E5-3E796D18F580}"/>
    <hyperlink ref="E3511" r:id="rId3452" xr:uid="{0B2C58C2-B113-489F-ABD2-FD18EBB018E5}"/>
    <hyperlink ref="E3512" r:id="rId3453" xr:uid="{A8E5D0D9-D63D-40AB-8C8E-3CB9A6DBB84E}"/>
    <hyperlink ref="E3513" r:id="rId3454" xr:uid="{3BF4942B-AA35-457D-B5B0-42ADE3B147F2}"/>
    <hyperlink ref="E3514" r:id="rId3455" xr:uid="{D4F6BDA4-9C5A-4553-B92A-4E3680FE3CBC}"/>
    <hyperlink ref="E3515" r:id="rId3456" xr:uid="{6B0DEAE1-8B72-4BE7-A912-A519502B1F61}"/>
    <hyperlink ref="E3516" r:id="rId3457" xr:uid="{8DF185CF-03CF-4499-AE3C-5535DA722C21}"/>
    <hyperlink ref="E3517" r:id="rId3458" xr:uid="{D0F39321-FFF7-46E5-8766-C2D4839B441A}"/>
    <hyperlink ref="E3518" r:id="rId3459" xr:uid="{ABCAF816-6058-4907-A9B2-47E01065AC24}"/>
    <hyperlink ref="E3519" r:id="rId3460" xr:uid="{B18AD112-0D24-454A-8A93-977CB4956ED4}"/>
    <hyperlink ref="E3521" r:id="rId3461" xr:uid="{8FABB159-A9D9-4156-91E2-45435D698C9E}"/>
    <hyperlink ref="E3520" r:id="rId3462" xr:uid="{D9CAD45A-855F-44F3-9D09-A512FD79D294}"/>
    <hyperlink ref="E3522" r:id="rId3463" xr:uid="{19C11BFF-76D6-4067-A0F4-916AB0F01B49}"/>
    <hyperlink ref="E3523" r:id="rId3464" xr:uid="{6A51828F-084C-43FA-9893-8800DB00ED1C}"/>
    <hyperlink ref="E3525" r:id="rId3465" xr:uid="{CD0BE1BE-415E-423B-8BAD-85855442D327}"/>
    <hyperlink ref="E3526" r:id="rId3466" xr:uid="{59557707-9D0D-46B7-9DAD-0A808820CFE1}"/>
    <hyperlink ref="E3527" r:id="rId3467" xr:uid="{24EB9770-9614-4D44-A3D1-3D3E1AB28519}"/>
    <hyperlink ref="E3528" r:id="rId3468" xr:uid="{0F81A60E-EE8D-43E6-A317-B6DA2CC3A532}"/>
    <hyperlink ref="E3529" r:id="rId3469" xr:uid="{7C656330-D78E-45AD-89AC-29A9D6A4DB1C}"/>
    <hyperlink ref="E3530" r:id="rId3470" xr:uid="{F6A8CA20-E974-4869-99EE-CA188A26AF13}"/>
    <hyperlink ref="E3531" r:id="rId3471" xr:uid="{1F95FFA1-68CC-42CF-8646-AD551C76C900}"/>
    <hyperlink ref="E3532" r:id="rId3472" xr:uid="{AE3988B3-3AB9-4969-AF1D-AF14ABB9D6E3}"/>
    <hyperlink ref="E3533" r:id="rId3473" xr:uid="{E6B2DA6B-873E-4651-86E1-DC9565AB6671}"/>
    <hyperlink ref="E3534" r:id="rId3474" xr:uid="{9A0912D6-0193-4869-A82D-2250CC8937D8}"/>
    <hyperlink ref="E3535" r:id="rId3475" xr:uid="{C0BDD6B7-D8CB-4420-8A5A-801C1521AC1D}"/>
    <hyperlink ref="E3536" r:id="rId3476" xr:uid="{0B0AA592-6E1E-4CB6-AA54-3FACDE32929F}"/>
    <hyperlink ref="E3537" r:id="rId3477" xr:uid="{E1934305-4220-4F35-BF07-4C7058FA2006}"/>
    <hyperlink ref="E3538" r:id="rId3478" xr:uid="{56D9B48E-5C9D-492D-943B-16AB2359C569}"/>
    <hyperlink ref="E3539" r:id="rId3479" xr:uid="{38CC4280-BB88-4730-A0C6-3F1B75B36420}"/>
    <hyperlink ref="E3540" r:id="rId3480" xr:uid="{1A92747C-8601-4F4F-AAE7-4416658E0E14}"/>
    <hyperlink ref="E3541" r:id="rId3481" xr:uid="{A3E8095C-7398-4A53-872D-B9E3D8372B5D}"/>
    <hyperlink ref="E3542" r:id="rId3482" xr:uid="{4B9AED15-83EA-44C0-BB42-3B73B0C01610}"/>
    <hyperlink ref="E3543" r:id="rId3483" xr:uid="{70663E85-9F14-4DDE-BE8C-D3C4C701B403}"/>
    <hyperlink ref="E3544" r:id="rId3484" xr:uid="{2DBAF8BE-D760-4E6E-A5FC-556CC34E4138}"/>
    <hyperlink ref="E3545" r:id="rId3485" xr:uid="{818D8507-B5EB-4954-BC57-BE5A91749515}"/>
    <hyperlink ref="E3546" r:id="rId3486" xr:uid="{B04D2D3C-F5F8-4FA2-9729-F3F21AE3E8EC}"/>
    <hyperlink ref="E3547" r:id="rId3487" xr:uid="{934F2C2E-DCE8-4066-ACA8-0C6FB0F0F683}"/>
    <hyperlink ref="E3548" r:id="rId3488" xr:uid="{B172D767-8B74-426C-B474-795B7F56E948}"/>
    <hyperlink ref="E3549" r:id="rId3489" xr:uid="{165E80F1-48F2-4C2E-9493-498F931E41C0}"/>
    <hyperlink ref="E3550" r:id="rId3490" xr:uid="{288C1E82-6B58-4075-BF05-255A81FF1881}"/>
    <hyperlink ref="E3551" r:id="rId3491" xr:uid="{44E6A3B5-571E-4579-9D44-EA16543AB3BF}"/>
    <hyperlink ref="E3552" r:id="rId3492" xr:uid="{1FDE6488-9A59-4F69-8CC3-FBDD8267847B}"/>
    <hyperlink ref="E3553" r:id="rId3493" xr:uid="{02A9AB54-5D12-4400-8CEE-0232F2C847EE}"/>
    <hyperlink ref="E3554" r:id="rId3494" xr:uid="{7675A5A0-9044-4860-9B11-BE6690EE4657}"/>
    <hyperlink ref="E3555" r:id="rId3495" xr:uid="{31A2796A-106D-4B16-9D0C-DDF2D813061E}"/>
    <hyperlink ref="E3556" r:id="rId3496" xr:uid="{A543AD6F-AEE0-43A4-91AF-430915F4D861}"/>
    <hyperlink ref="E3557" r:id="rId3497" xr:uid="{D602131A-C50E-4DAD-B22E-8B6AB5D88899}"/>
    <hyperlink ref="E3558" r:id="rId3498" xr:uid="{199229AD-4F3C-40DF-96D4-F527D384C818}"/>
    <hyperlink ref="E3559" r:id="rId3499" xr:uid="{97D37900-19D2-409C-8578-36C9E0091EA6}"/>
    <hyperlink ref="E3560" r:id="rId3500" xr:uid="{F9A85DBC-977D-46E6-8D5F-E120B2AF6685}"/>
    <hyperlink ref="E3561" r:id="rId3501" xr:uid="{F4EDA18B-334B-49BB-94C1-535049823857}"/>
    <hyperlink ref="E3562" r:id="rId3502" xr:uid="{E2BD0FE1-9544-4B82-8140-50B1EBB41563}"/>
    <hyperlink ref="E3563" r:id="rId3503" xr:uid="{9637C58F-D349-4FF6-A297-8393D024D49A}"/>
    <hyperlink ref="E3564" r:id="rId3504" xr:uid="{550634D6-5936-47DF-B78C-36D7EF3E0A29}"/>
    <hyperlink ref="E3565" r:id="rId3505" xr:uid="{04F54B3D-6949-4FDC-90E5-B9D62DB0C2D0}"/>
    <hyperlink ref="E3566" r:id="rId3506" xr:uid="{640F525E-76CE-483F-ABA0-A16F9AF73747}"/>
    <hyperlink ref="E3567" r:id="rId3507" xr:uid="{1C42D717-A057-47B3-B201-28629F59CBD6}"/>
    <hyperlink ref="E3568" r:id="rId3508" xr:uid="{D37C73EC-258D-417B-986A-984DA030D404}"/>
    <hyperlink ref="E3569" r:id="rId3509" xr:uid="{852D4DAE-2D79-4600-8A16-FF9858873906}"/>
    <hyperlink ref="E3571" r:id="rId3510" xr:uid="{64116AE4-5B40-4EDF-8D60-739994769C16}"/>
    <hyperlink ref="E3572" r:id="rId3511" xr:uid="{02ABEE77-7316-442D-A5BD-C55610AE78A2}"/>
    <hyperlink ref="E3573" r:id="rId3512" xr:uid="{954513F8-84A0-408B-9139-D76C2B298F2C}"/>
    <hyperlink ref="E3570" r:id="rId3513" xr:uid="{2488AC9B-5561-4987-BE92-91F5991A148C}"/>
    <hyperlink ref="E3574" r:id="rId3514" xr:uid="{7672AE9F-5FDA-47FC-B220-1D19FB10E914}"/>
    <hyperlink ref="E3575" r:id="rId3515" xr:uid="{3B250D19-D21C-4965-8BD9-A625B9295864}"/>
    <hyperlink ref="E3576" r:id="rId3516" xr:uid="{F8F8DD30-9239-45AB-9557-116C89E149F4}"/>
    <hyperlink ref="E3577" r:id="rId3517" xr:uid="{62A95370-9877-41F4-B8DF-23195A2344E2}"/>
    <hyperlink ref="E3578" r:id="rId3518" xr:uid="{DA3EA782-5BB2-41C5-9445-0CCEAF6AEAEB}"/>
    <hyperlink ref="E3579" r:id="rId3519" xr:uid="{03299B4D-9D27-4122-BC37-43C2542EDACB}"/>
    <hyperlink ref="E3580" r:id="rId3520" xr:uid="{0327B8DF-6D7F-43F4-BD12-7F0EAB7FA027}"/>
    <hyperlink ref="E3581" r:id="rId3521" xr:uid="{64377605-6AF2-4DFB-9A37-1ACFD146B74D}"/>
    <hyperlink ref="E3582" r:id="rId3522" xr:uid="{864F3DFC-2AC8-411F-8F04-8AE4DF0FFD9D}"/>
    <hyperlink ref="E3583" r:id="rId3523" xr:uid="{43B731E4-5D4B-4D5F-8310-A53054A295F7}"/>
    <hyperlink ref="E3584" r:id="rId3524" xr:uid="{0074A291-D75F-4BCB-95CC-384649F6AB68}"/>
    <hyperlink ref="E3585" r:id="rId3525" xr:uid="{C1982033-720F-4F92-97A5-030A251A9F26}"/>
    <hyperlink ref="E3586" r:id="rId3526" xr:uid="{0A943054-8738-4978-8FE7-82F7B6076B18}"/>
    <hyperlink ref="E3587" r:id="rId3527" xr:uid="{420240EC-9CD0-4683-825E-6DBF6876FE4A}"/>
    <hyperlink ref="E3588" r:id="rId3528" xr:uid="{A642187E-C035-4F1A-B2CD-9EC3A813124D}"/>
    <hyperlink ref="E3589" r:id="rId3529" xr:uid="{B5D8E9E5-4188-4A69-AEEA-63CB9A98F254}"/>
    <hyperlink ref="E3590" r:id="rId3530" xr:uid="{57D32F32-5EFD-4126-A7E0-E4E129F412D0}"/>
    <hyperlink ref="E3591" r:id="rId3531" xr:uid="{47976921-A87D-4A3F-80A4-0282C09A935B}"/>
    <hyperlink ref="E3592" r:id="rId3532" xr:uid="{F7B4B2CC-CD8F-47EA-A88D-188090F095AA}"/>
    <hyperlink ref="E3593" r:id="rId3533" xr:uid="{FE4112E8-D685-4DA0-9777-A1E3A07B308B}"/>
    <hyperlink ref="E3594" r:id="rId3534" xr:uid="{086D44BB-7D13-4306-8AC9-512416C1C6CB}"/>
    <hyperlink ref="E3595" r:id="rId3535" xr:uid="{D9E73C4C-E762-413D-850E-943C388CD853}"/>
    <hyperlink ref="E3596" r:id="rId3536" xr:uid="{6729B186-47CD-48BA-93CA-9967E73BCFD5}"/>
    <hyperlink ref="E3597" r:id="rId3537" xr:uid="{343E1164-A828-4FF0-81DC-3B264BCEDD79}"/>
    <hyperlink ref="E3598" r:id="rId3538" xr:uid="{56C36E0D-8C32-44AB-824A-80E228874E35}"/>
    <hyperlink ref="E3599" r:id="rId3539" xr:uid="{0B321361-165A-4112-B8A3-8CC6244A003D}"/>
    <hyperlink ref="E3600" r:id="rId3540" xr:uid="{28FA9597-287A-4E75-8FFE-09A69C597A87}"/>
    <hyperlink ref="E3601" r:id="rId3541" xr:uid="{08509C2D-A46D-4F4A-A428-014C9EA8B1BC}"/>
    <hyperlink ref="E3602" r:id="rId3542" xr:uid="{CE70D84A-64F9-4A10-A7B2-45A85EBA1AB4}"/>
    <hyperlink ref="E3603" r:id="rId3543" xr:uid="{C1DF7E2D-EE4D-4727-8832-4B42110C268B}"/>
    <hyperlink ref="E3604" r:id="rId3544" xr:uid="{957E165B-DF3D-43A0-8CF6-9DDEF016982E}"/>
    <hyperlink ref="E3605" r:id="rId3545" xr:uid="{DEB3625B-FA41-4871-8FE3-B2FB17F650D8}"/>
    <hyperlink ref="E3606" r:id="rId3546" xr:uid="{6FE50CB5-FA39-4370-96C5-E13B797C3076}"/>
    <hyperlink ref="E3607" r:id="rId3547" xr:uid="{B8C2C8F3-D237-4A0F-A277-240738A146EC}"/>
    <hyperlink ref="E3608" r:id="rId3548" xr:uid="{58317CC2-3686-4964-8002-75D328B9F80E}"/>
    <hyperlink ref="E3609" r:id="rId3549" xr:uid="{6631D982-82B9-4902-9286-14F5CF6A4807}"/>
    <hyperlink ref="E3610" r:id="rId3550" xr:uid="{3C645331-07DC-4C7C-8DEF-3CCD3DA62F89}"/>
    <hyperlink ref="E3611" r:id="rId3551" xr:uid="{1A175D8E-B35E-4742-A5C8-0CC6701CECFD}"/>
    <hyperlink ref="E3612" r:id="rId3552" xr:uid="{0D46536E-13DC-497D-B233-935375D5A707}"/>
    <hyperlink ref="E3613" r:id="rId3553" xr:uid="{27CA39AB-9895-40E0-B950-B959528BAD7C}"/>
    <hyperlink ref="E3614" r:id="rId3554" xr:uid="{64C71431-B791-4218-93EB-570D1FFA6147}"/>
    <hyperlink ref="E3615" r:id="rId3555" xr:uid="{EF4129CD-EDEE-46A6-AA7D-869B29145BC6}"/>
    <hyperlink ref="E3616" r:id="rId3556" xr:uid="{24F6172C-9CE2-43A0-823C-366B216A67E5}"/>
    <hyperlink ref="E3617" r:id="rId3557" xr:uid="{CEA074C8-60B0-4A91-B6E9-7F8D776CB713}"/>
    <hyperlink ref="E3618" r:id="rId3558" xr:uid="{C5EE35E9-156E-4DBC-9AD1-D1E61E99126E}"/>
    <hyperlink ref="E3619" r:id="rId3559" xr:uid="{787893ED-397A-4822-A93B-884F4AF3CF92}"/>
    <hyperlink ref="E3620" r:id="rId3560" xr:uid="{15F5D48C-D929-4C62-B16B-7BD876892E08}"/>
    <hyperlink ref="E3621" r:id="rId3561" xr:uid="{1E6C0930-013E-46CE-89FF-796199F2616D}"/>
    <hyperlink ref="E3622" r:id="rId3562" xr:uid="{F4BCB727-2F75-4D1F-B912-452E6E4D72CF}"/>
    <hyperlink ref="E3623" r:id="rId3563" xr:uid="{BACD727C-321A-477D-8F14-72DCB7495A37}"/>
    <hyperlink ref="E3624" r:id="rId3564" xr:uid="{B13EC7F8-3262-4D21-8D77-5B4303D18E6F}"/>
    <hyperlink ref="E3625" r:id="rId3565" xr:uid="{A9F3CA64-E05C-41C3-9288-FF6956641527}"/>
    <hyperlink ref="E3626" r:id="rId3566" xr:uid="{6DB7EFF6-FBE8-41F9-A19D-826A966E85A0}"/>
    <hyperlink ref="E3627" r:id="rId3567" xr:uid="{22C26941-C2F6-48A7-A765-E90B4BE09478}"/>
    <hyperlink ref="E3628" r:id="rId3568" xr:uid="{E1BF4DE1-49B3-423F-B4C3-7D8A89E05800}"/>
    <hyperlink ref="E3629" r:id="rId3569" xr:uid="{BD11B120-C901-4F59-BE6D-53135705F185}"/>
    <hyperlink ref="E3630" r:id="rId3570" xr:uid="{B896F48D-1498-4518-BF7B-B09A22180179}"/>
    <hyperlink ref="E3631" r:id="rId3571" xr:uid="{54B5EF79-84E9-4633-9898-00CB90023BB8}"/>
    <hyperlink ref="E3632" r:id="rId3572" xr:uid="{24E23C8A-70AD-4752-B857-BDE90E1D67D8}"/>
    <hyperlink ref="E3633" r:id="rId3573" xr:uid="{5E43FBBC-3650-4055-968B-3F41165DC58C}"/>
    <hyperlink ref="E3634" r:id="rId3574" xr:uid="{DAB4D323-2D0A-4E8D-95E1-8AD8DB797BE8}"/>
    <hyperlink ref="E3635" r:id="rId3575" xr:uid="{F60D90FD-8C21-4AFD-A436-10C5198A3C21}"/>
    <hyperlink ref="E3636" r:id="rId3576" xr:uid="{E51AC72D-0480-4E89-B332-957D1755EB31}"/>
    <hyperlink ref="E3637" r:id="rId3577" xr:uid="{1FCF1AB8-F64A-45FA-9C6C-1DDFDE847082}"/>
    <hyperlink ref="E3638" r:id="rId3578" xr:uid="{08FB397E-937F-4F8D-98D5-AC02D3F6796A}"/>
    <hyperlink ref="E3639" r:id="rId3579" xr:uid="{82FAFE30-13C0-4871-8112-BD4A06C03B87}"/>
    <hyperlink ref="E3640" r:id="rId3580" xr:uid="{5E18D5A0-70B8-4475-B2A8-7551078A484B}"/>
    <hyperlink ref="E3641" r:id="rId3581" xr:uid="{EDEA107F-41C0-4C79-BE02-A29BD064DFE2}"/>
    <hyperlink ref="E3642" r:id="rId3582" xr:uid="{860188BF-2AFA-45BC-971D-496E633C9141}"/>
    <hyperlink ref="E3643" r:id="rId3583" xr:uid="{F8DE70DC-2C71-447C-885B-54D563B8A00C}"/>
    <hyperlink ref="E3644" r:id="rId3584" xr:uid="{7F38317D-9B48-4E0C-BF26-2F20A7944EB5}"/>
    <hyperlink ref="E3645" r:id="rId3585" xr:uid="{020E0134-255B-4D19-BDF7-AA7C4FC94792}"/>
    <hyperlink ref="E3646" r:id="rId3586" xr:uid="{88D8C94D-A1D1-4E44-AB48-337279566E67}"/>
    <hyperlink ref="E3647" r:id="rId3587" xr:uid="{FB301FC0-BB8D-4F33-8581-B8114B523E05}"/>
    <hyperlink ref="E3648" r:id="rId3588" xr:uid="{8BB286D2-6AD7-4957-9336-3593D2675EF0}"/>
    <hyperlink ref="E3649" r:id="rId3589" xr:uid="{FE3D3710-5DFD-41FF-9521-6AED283B5FE8}"/>
    <hyperlink ref="E3650" r:id="rId3590" xr:uid="{89A7DA8D-5F6F-4707-9927-5534CF8F28BB}"/>
    <hyperlink ref="E3651" r:id="rId3591" xr:uid="{C1035EEC-5C28-4D3A-A39E-3919081496F6}"/>
    <hyperlink ref="E3652" r:id="rId3592" xr:uid="{CBC5D0CD-D477-40A1-903F-2BC9F8C51DCD}"/>
    <hyperlink ref="E3653" r:id="rId3593" xr:uid="{2AF63FAF-682B-4C1C-91A7-5DC3A6A9632C}"/>
    <hyperlink ref="E3654" r:id="rId3594" xr:uid="{C67B8906-B7D1-4E73-A7AA-BBDD90D553F3}"/>
    <hyperlink ref="E3655" r:id="rId3595" xr:uid="{3FB7D09F-A627-46EE-848B-9460D54F64BF}"/>
    <hyperlink ref="E3656" r:id="rId3596" xr:uid="{F64161EA-7BAB-48F1-971A-2D86ECFD1960}"/>
    <hyperlink ref="E3657" r:id="rId3597" xr:uid="{E4A86A2C-77F4-479F-AB7B-F90D6A400752}"/>
    <hyperlink ref="E3658" r:id="rId3598" xr:uid="{1D6774DA-9420-45F3-86B5-A8236CD71CEF}"/>
    <hyperlink ref="E3659" r:id="rId3599" xr:uid="{BC466EF2-A9A5-413F-A945-874486D0261F}"/>
    <hyperlink ref="E3660" r:id="rId3600" xr:uid="{A0DC1D54-07E5-453C-BD8C-6D0B60495F73}"/>
    <hyperlink ref="E3661" r:id="rId3601" xr:uid="{A88B1CC1-E3B6-4252-B2E2-877337D2E905}"/>
    <hyperlink ref="E3662" r:id="rId3602" xr:uid="{76AF0072-ECBA-4DC4-ABE4-8EAC40A513EB}"/>
    <hyperlink ref="E3663" r:id="rId3603" xr:uid="{F59A0E08-D868-44FE-B0EA-362834DB3B93}"/>
    <hyperlink ref="E3664" r:id="rId3604" xr:uid="{DB4F0025-67D7-498F-B070-D363982F340E}"/>
    <hyperlink ref="E3665" r:id="rId3605" xr:uid="{0FDC7EE9-AEBC-4EB2-884E-CD8EF65BE68C}"/>
    <hyperlink ref="E3666" r:id="rId3606" xr:uid="{8B34DA33-4082-4284-A0DE-AE52DCCE188A}"/>
    <hyperlink ref="E3667" r:id="rId3607" xr:uid="{7CE53F86-56D4-4178-A7BA-817658CDFCF1}"/>
    <hyperlink ref="E3669" r:id="rId3608" xr:uid="{9B117671-4C6E-4CA2-9830-CE3D78FA8085}"/>
    <hyperlink ref="E3670" r:id="rId3609" xr:uid="{7401028F-C379-47E3-8C3B-C1ADD810F0BA}"/>
    <hyperlink ref="E3671" r:id="rId3610" xr:uid="{18690E55-1DA7-43AB-B0EF-E115E77DFFDC}"/>
    <hyperlink ref="E3672" r:id="rId3611" xr:uid="{8EFB451F-6E7F-4628-AB61-1D881AEAD061}"/>
    <hyperlink ref="E3673" r:id="rId3612" xr:uid="{A49E843A-E656-48CB-9E23-56AF5C8559DC}"/>
    <hyperlink ref="E3674" r:id="rId3613" xr:uid="{DF9C01CA-454C-4B26-B803-DC3ABDD8AB34}"/>
    <hyperlink ref="E3675" r:id="rId3614" xr:uid="{3464F004-3A00-4CFD-B221-60EF42D3A5A5}"/>
    <hyperlink ref="E3676" r:id="rId3615" xr:uid="{E231CFDD-E43E-4078-B918-BA362C82FA9B}"/>
    <hyperlink ref="E3677" r:id="rId3616" xr:uid="{5BD0392F-FBCC-4672-A66B-B6FB945E3754}"/>
    <hyperlink ref="E3668" r:id="rId3617" xr:uid="{53FC9B71-2104-4528-9BFB-F4B784835E18}"/>
    <hyperlink ref="E3678" r:id="rId3618" xr:uid="{2A6AB750-4F06-48E7-A0EE-770615B94EBA}"/>
    <hyperlink ref="E3679" r:id="rId3619" xr:uid="{3FA18CD3-6557-466F-A90A-780879D3CE30}"/>
    <hyperlink ref="E3680" r:id="rId3620" xr:uid="{974B1447-678E-4131-BB37-A01C85B8560A}"/>
    <hyperlink ref="E3681" r:id="rId3621" xr:uid="{52753B06-6D7B-44CC-9ABF-CFEFFDDC0C95}"/>
    <hyperlink ref="E3682" r:id="rId3622" xr:uid="{FB092C94-2D76-4841-B65D-379BF30F1F64}"/>
    <hyperlink ref="E3683" r:id="rId3623" xr:uid="{7CA5DE7F-DE25-4BA5-B9EF-B69DE523CFE2}"/>
    <hyperlink ref="E3684" r:id="rId3624" xr:uid="{1352B36F-5BEE-4C10-9F0A-5D03E1B63AA2}"/>
    <hyperlink ref="E3685" r:id="rId3625" xr:uid="{9F824498-D15B-4897-8872-8C980607403C}"/>
    <hyperlink ref="E3686" r:id="rId3626" xr:uid="{CD6A2F04-5B3C-4046-A9A3-8CDC52E996B0}"/>
    <hyperlink ref="E3687" r:id="rId3627" xr:uid="{AB67494C-5DED-4DD9-8EBE-D0E66E5F6B42}"/>
    <hyperlink ref="E3688" r:id="rId3628" xr:uid="{E8A71A2B-A4EC-43C3-96B5-8C202EA99973}"/>
    <hyperlink ref="E3689" r:id="rId3629" xr:uid="{A59A0493-1D35-4BF0-806F-96BA4C8FC1E6}"/>
    <hyperlink ref="E3690" r:id="rId3630" xr:uid="{41F5C5CA-05BE-416D-9A17-CC19E55E4C58}"/>
    <hyperlink ref="E3691" r:id="rId3631" xr:uid="{7A3FF8C2-C0AC-4B74-9683-C3594A363438}"/>
    <hyperlink ref="E3692" r:id="rId3632" xr:uid="{70C59E01-F266-41D9-88CD-AC64AD165C23}"/>
    <hyperlink ref="E3693" r:id="rId3633" xr:uid="{187673D4-458D-46D9-A079-0D9E06262CD7}"/>
    <hyperlink ref="E3694" r:id="rId3634" xr:uid="{14FF4C66-0F93-4507-AC13-54CE967555E4}"/>
    <hyperlink ref="E3695" r:id="rId3635" xr:uid="{24951EF5-360D-4B82-9351-A8666447DCE6}"/>
    <hyperlink ref="E3696" r:id="rId3636" xr:uid="{02479ABA-7EA7-48CF-AD74-0FE80AEB4DC4}"/>
    <hyperlink ref="E3697" r:id="rId3637" xr:uid="{E0FED9FE-759B-4EEC-B870-B87BFC55CA9D}"/>
    <hyperlink ref="E3698" r:id="rId3638" xr:uid="{B3B24385-D0A6-47E4-9D9E-D9554892FD84}"/>
    <hyperlink ref="E3699" r:id="rId3639" xr:uid="{9D82C84A-8E17-46FB-94A3-88AD211B3E21}"/>
    <hyperlink ref="E3700" r:id="rId3640" xr:uid="{188EAC84-47B0-4F07-8C52-C7DCAF98C6CA}"/>
    <hyperlink ref="E3701" r:id="rId3641" xr:uid="{9153D297-1D77-419B-9E34-248F9DC52149}"/>
    <hyperlink ref="E3702" r:id="rId3642" xr:uid="{31862058-C0B3-4DE9-B283-BEE5B5F9EA41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C83D160-CDD3-48C5-8FFE-7C1E67926676}">
          <x14:formula1>
            <xm:f>NOTOCAR!$E$2:$E$39</xm:f>
          </x14:formula1>
          <xm:sqref>M1:M1785 M1787:M1048576 K1:K1048576</xm:sqref>
        </x14:dataValidation>
        <x14:dataValidation type="list" allowBlank="1" showInputMessage="1" showErrorMessage="1" xr:uid="{AC3AC4C0-6304-4DCD-8919-50C3ACF7018E}">
          <x14:formula1>
            <xm:f>NOTOCAR!$F$2:$F$4</xm:f>
          </x14:formula1>
          <xm:sqref>H1:H3115 H3117:H1048576</xm:sqref>
        </x14:dataValidation>
        <x14:dataValidation type="list" allowBlank="1" showInputMessage="1" showErrorMessage="1" xr:uid="{BA5C3DCC-082B-4175-84E5-21FCAA4CBB28}">
          <x14:formula1>
            <xm:f>NOTOCAR!$D$2:$D$18</xm:f>
          </x14:formula1>
          <xm:sqref>G1:G1048576</xm:sqref>
        </x14:dataValidation>
        <x14:dataValidation type="list" allowBlank="1" showInputMessage="1" showErrorMessage="1" xr:uid="{D59F4742-3069-4ADB-B4A6-BD7E61FCF0CE}">
          <x14:formula1>
            <xm:f>NOTOCAR!$C$2:$C$30</xm:f>
          </x14:formula1>
          <xm:sqref>F1:F1048576</xm:sqref>
        </x14:dataValidation>
        <x14:dataValidation type="list" allowBlank="1" showInputMessage="1" showErrorMessage="1" xr:uid="{49A2C86A-05D0-4D1A-BAF1-38CB0AFBA71E}">
          <x14:formula1>
            <xm:f>NOTOCAR!$B$2:$B$80</xm:f>
          </x14:formula1>
          <xm:sqref>E1:E1048576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756F9-807E-4349-8B4B-B49C0C99ABA6}">
  <sheetPr>
    <tabColor rgb="FFFF0000"/>
  </sheetPr>
  <dimension ref="A1:AI44"/>
  <sheetViews>
    <sheetView workbookViewId="0">
      <selection activeCell="AH15" sqref="AH15"/>
    </sheetView>
  </sheetViews>
  <sheetFormatPr defaultRowHeight="15"/>
  <cols>
    <col min="3" max="3" width="21.85546875" customWidth="1"/>
    <col min="4" max="4" width="3.7109375" customWidth="1"/>
    <col min="5" max="5" width="12.85546875" customWidth="1"/>
    <col min="6" max="6" width="13.28515625" customWidth="1"/>
    <col min="7" max="7" width="9.140625" bestFit="1" customWidth="1"/>
    <col min="8" max="8" width="13.5703125" customWidth="1"/>
    <col min="9" max="9" width="3.5703125" customWidth="1"/>
    <col min="10" max="10" width="13.140625" customWidth="1"/>
    <col min="11" max="11" width="14.28515625" customWidth="1"/>
    <col min="12" max="12" width="9.140625" bestFit="1" customWidth="1"/>
    <col min="13" max="13" width="13.85546875" customWidth="1"/>
    <col min="14" max="14" width="3.28515625" customWidth="1"/>
    <col min="15" max="15" width="9.140625" bestFit="1" customWidth="1"/>
    <col min="16" max="16" width="13.42578125" customWidth="1"/>
    <col min="17" max="17" width="9.140625" bestFit="1" customWidth="1"/>
    <col min="18" max="18" width="14.85546875" customWidth="1"/>
    <col min="19" max="19" width="3" customWidth="1"/>
    <col min="20" max="20" width="9.140625" bestFit="1" customWidth="1"/>
    <col min="21" max="21" width="14.85546875" customWidth="1"/>
    <col min="22" max="22" width="9.140625" bestFit="1" customWidth="1"/>
    <col min="23" max="23" width="13.28515625" customWidth="1"/>
    <col min="24" max="24" width="3" customWidth="1"/>
    <col min="25" max="25" width="9.140625" bestFit="1" customWidth="1"/>
    <col min="26" max="26" width="14.140625" customWidth="1"/>
    <col min="27" max="27" width="9.140625" bestFit="1" customWidth="1"/>
    <col min="28" max="28" width="13.85546875" customWidth="1"/>
    <col min="29" max="29" width="3.28515625" customWidth="1"/>
    <col min="30" max="30" width="22.7109375" customWidth="1"/>
    <col min="31" max="31" width="9.140625" bestFit="1" customWidth="1"/>
    <col min="32" max="32" width="20.42578125" customWidth="1"/>
  </cols>
  <sheetData>
    <row r="1" spans="1:35">
      <c r="A1" s="367" t="s">
        <v>57</v>
      </c>
      <c r="B1" s="368"/>
      <c r="C1" s="369" t="s">
        <v>1</v>
      </c>
      <c r="E1" s="385" t="s">
        <v>19</v>
      </c>
      <c r="F1" s="386"/>
      <c r="G1" s="386"/>
      <c r="H1" s="387"/>
      <c r="J1" s="399" t="s">
        <v>66</v>
      </c>
      <c r="K1" s="400"/>
      <c r="L1" s="400"/>
      <c r="M1" s="401"/>
      <c r="O1" s="399" t="s">
        <v>69</v>
      </c>
      <c r="P1" s="400"/>
      <c r="Q1" s="400"/>
      <c r="R1" s="401"/>
      <c r="T1" s="399" t="s">
        <v>16</v>
      </c>
      <c r="U1" s="400"/>
      <c r="V1" s="400"/>
      <c r="W1" s="401"/>
      <c r="Y1" s="399" t="s">
        <v>82</v>
      </c>
      <c r="Z1" s="400"/>
      <c r="AA1" s="400"/>
      <c r="AB1" s="401"/>
      <c r="AD1" s="369" t="s">
        <v>1</v>
      </c>
    </row>
    <row r="2" spans="1:35">
      <c r="A2" s="367"/>
      <c r="B2" s="368"/>
      <c r="C2" s="369"/>
      <c r="E2" s="388"/>
      <c r="F2" s="389"/>
      <c r="G2" s="389"/>
      <c r="H2" s="390"/>
      <c r="J2" s="402"/>
      <c r="K2" s="403"/>
      <c r="L2" s="403"/>
      <c r="M2" s="404"/>
      <c r="O2" s="402"/>
      <c r="P2" s="403"/>
      <c r="Q2" s="403"/>
      <c r="R2" s="404"/>
      <c r="T2" s="402"/>
      <c r="U2" s="403"/>
      <c r="V2" s="403"/>
      <c r="W2" s="404"/>
      <c r="Y2" s="402"/>
      <c r="Z2" s="403"/>
      <c r="AA2" s="403"/>
      <c r="AB2" s="404"/>
      <c r="AD2" s="369"/>
    </row>
    <row r="3" spans="1:35">
      <c r="A3" s="19"/>
      <c r="B3" s="19"/>
      <c r="E3" s="391" t="s">
        <v>83</v>
      </c>
      <c r="F3" s="391"/>
      <c r="G3" s="392" t="s">
        <v>8</v>
      </c>
      <c r="H3" s="392"/>
      <c r="J3" s="391" t="s">
        <v>83</v>
      </c>
      <c r="K3" s="391"/>
      <c r="L3" s="392" t="s">
        <v>8</v>
      </c>
      <c r="M3" s="392"/>
      <c r="O3" s="391" t="s">
        <v>83</v>
      </c>
      <c r="P3" s="391"/>
      <c r="Q3" s="392" t="s">
        <v>8</v>
      </c>
      <c r="R3" s="392"/>
      <c r="T3" s="391" t="s">
        <v>83</v>
      </c>
      <c r="U3" s="391"/>
      <c r="V3" s="392" t="s">
        <v>8</v>
      </c>
      <c r="W3" s="392"/>
      <c r="Y3" s="391" t="s">
        <v>83</v>
      </c>
      <c r="Z3" s="391"/>
      <c r="AA3" s="392" t="s">
        <v>8</v>
      </c>
      <c r="AB3" s="392"/>
    </row>
    <row r="4" spans="1:35" ht="15.75">
      <c r="C4" s="37" t="s">
        <v>10</v>
      </c>
      <c r="E4" s="254">
        <f>COUNTIFS(General!F:F, "IP CERRADA", General!K:K, "A MIÑO", General!H:H, "PTE. APROBACION", General!G:G, "IP CON ORDEN", General!O:O, "&gt;="&amp;DATE(2025,11,1), General!O:O, "&lt;="&amp;DATE(2025,11,31))</f>
        <v>0</v>
      </c>
      <c r="F4" s="38">
        <f>E4*AG5</f>
        <v>0</v>
      </c>
      <c r="G4" s="41">
        <f>COUNTIFS(General!F:F, "IP CERRADA", General!M:M, "A MIÑO", General!H:H, "PTE. APROBACION", General!G:G, "IP CON ORDEN", General!O:O, "&gt;="&amp;DATE(2025,11,1), General!O:O, "&lt;="&amp;DATE(2025,11,31))</f>
        <v>0</v>
      </c>
      <c r="H4" s="42">
        <f>G4*AH5</f>
        <v>0</v>
      </c>
      <c r="J4" s="254">
        <f>COUNTIFS(General!F:F, "IP CERRADA", General!K:K, "J. FERLANTI", General!H:H, "PTE. APROBACION", General!G:G, "IP CON ORDEN", General!O:O, "&gt;="&amp;DATE(2025,11,1), General!O:O, "&lt;="&amp;DATE(2025,11,31)) + COUNTIFS(General!F:F, "PARA FACTURAR", General!K:K, "J. FERLANTI", General!G:G, "IP CON ORDEN", General!O:O, "&gt;="&amp;DATE(2025,11,1), General!O:O, "&lt;="&amp;DATE(2025,11,31))</f>
        <v>2</v>
      </c>
      <c r="K4" s="38">
        <f>J4*AG5</f>
        <v>19124</v>
      </c>
      <c r="L4" s="41">
        <f>COUNTIFS(General!F:F, "IP CERRADA", General!M:M, "J. FERLANTI", General!H:H, "PTE. APROBACION", General!G:G, "IP CON ORDEN", General!O:O, "&gt;="&amp;DATE(2025,11,1), General!O:O, "&lt;="&amp;DATE(2025,11,31)) + COUNTIFS(General!F:F, "PARA FACTURAR", General!M:M, "J. FERLANTI", General!H:H, "EN TRAMITE", General!G:G, "IP CON ORDEN", General!O:O, "&gt;="&amp;DATE(2024,10,1), General!O:O, "&lt;="&amp;DATE(2024,10,31) )</f>
        <v>87</v>
      </c>
      <c r="M4" s="42">
        <f>L4*AH5</f>
        <v>776475</v>
      </c>
      <c r="O4" s="254">
        <f>COUNTIFS(General!F:F, "IP CERRADA", General!K:K, "J NEIRA", General!H:H, "PTE. APROBACION", General!G:G, "IP CON ORDEN", General!O:O, "&gt;="&amp;DATE(2025,11,1), General!O:O, "&lt;="&amp;DATE(2025,11,31))</f>
        <v>0</v>
      </c>
      <c r="P4" s="38">
        <f>O4*AG5</f>
        <v>0</v>
      </c>
      <c r="Q4" s="41">
        <f>COUNTIFS(General!F:F, "IP CERRADA", General!M:M, "J NEIRA", General!H:H, "PTE. APROBACION", General!G:G, "IP CON ORDEN", General!O:O, "&gt;="&amp;DATE(2025,11,1), General!O:O, "&lt;="&amp;DATE(2025,11,31))</f>
        <v>0</v>
      </c>
      <c r="R4" s="42">
        <f>Q4*AH5</f>
        <v>0</v>
      </c>
      <c r="T4" s="254">
        <f>COUNTIFS(General!F:F, "IP CERRADA", General!K:K, "L DEL PIERO", General!H:H, "PTE. APROBACION", General!G:G, "IP CON ORDEN", General!O:O, "&gt;="&amp;DATE(2025,11,1), General!O:O, "&lt;="&amp;DATE(2025,11,31))</f>
        <v>44</v>
      </c>
      <c r="U4" s="38">
        <f>T4*AG5</f>
        <v>420728</v>
      </c>
      <c r="V4" s="41">
        <f>COUNTIFS(General!F:F, "IP CERRADA", General!M:M, "L DEL PIERO", General!H:H, "PTE. APROBACION", General!G:G, "IP CON ORDEN", General!O:O, "&gt;="&amp;DATE(2025,11,1), General!O:O, "&lt;="&amp;DATE(2025,11,31))</f>
        <v>0</v>
      </c>
      <c r="W4" s="42">
        <f>V4*AH5</f>
        <v>0</v>
      </c>
      <c r="Y4" s="254">
        <f>COUNTIFS(General!F:F, "IP CERRADA", General!K:K, "E Delia", General!H:H, "PTE. APROBACION", General!G:G, "IP CON ORDEN", General!O:O, "&gt;="&amp;DATE(2025,11,1), General!O:O, "&lt;="&amp;DATE(2025,11,31)) + COUNTIFS(General!F:F, "PARA FACTURAR", General!K:K, "E Delia", General!G:G, "IP CON ORDEN", General!O:O, "&gt;="&amp;DATE(2025,11,1), General!O:O, "&lt;="&amp;DATE(2025,11,31))</f>
        <v>41</v>
      </c>
      <c r="Z4" s="38">
        <f>Y4*AG5</f>
        <v>392042</v>
      </c>
      <c r="AA4" s="41">
        <f>COUNTIFS(General!F:F, "IP CERRADA", General!M:M, "E Delia", General!H:H, "PTE. APROBACION", General!G:G, "IP CON ORDEN", General!O:O, "&gt;="&amp;DATE(2025,11,1), General!O:O, "&lt;="&amp;DATE(2025,11,31))</f>
        <v>0</v>
      </c>
      <c r="AB4" s="42">
        <f>AA4*AH5</f>
        <v>0</v>
      </c>
      <c r="AD4" s="37" t="s">
        <v>10</v>
      </c>
      <c r="AF4" s="1" t="s">
        <v>6</v>
      </c>
      <c r="AG4" s="1" t="s">
        <v>7</v>
      </c>
      <c r="AH4" s="1" t="s">
        <v>8</v>
      </c>
      <c r="AI4" s="259"/>
    </row>
    <row r="5" spans="1:35" ht="15.75">
      <c r="C5" s="261" t="s">
        <v>15</v>
      </c>
      <c r="E5" s="39">
        <f>COUNTIFS(General!F:F, "IP CERRADA", General!K:K, "A MIÑO", General!H:H, "PTE. APROBACION", General!G:G, "POSIBLE DT", General!O:O, "&gt;="&amp;DATE(2025,11,1), General!O:O, "&lt;="&amp;DATE(2025,11,31))</f>
        <v>0</v>
      </c>
      <c r="F5" s="40">
        <f>E5*AG7</f>
        <v>0</v>
      </c>
      <c r="G5" s="43">
        <f>COUNTIFS(General!F:F, "IP CERRADA", General!M:M, "A MIÑO", General!H:H, "PTE. APROBACION", General!G:G, "POSIBLE DT", General!O:O, "&gt;="&amp;DATE(2025,11,1), General!O:O, "&lt;="&amp;DATE(2025,11,31))</f>
        <v>0</v>
      </c>
      <c r="H5" s="44">
        <f>G5*AH7</f>
        <v>0</v>
      </c>
      <c r="J5" s="39">
        <f>COUNTIFS(General!F:F, "IP CERRADA", General!K:K, "J. FERLANTI", General!H:H, "PTE. APROBACION", General!G:G, "POSIBLE DT", General!O:O, "&gt;="&amp;DATE(2025,11,1), General!O:O, "&lt;="&amp;DATE(2025,11,31)) + COUNTIFS(General!F:F, "PARA FACTURAR", General!K:K, "J. FERLANTI", General!G:G, "POSIBLE DT", General!O:O, "&gt;="&amp;DATE(2025,11,1), General!O:O, "&lt;="&amp;DATE(2025,11,31))</f>
        <v>0</v>
      </c>
      <c r="K5" s="40">
        <f>J5*AG7</f>
        <v>0</v>
      </c>
      <c r="L5" s="43">
        <f>COUNTIFS(General!F:F, "IP CERRADA", General!M:M, "J. FERLANTI", General!H:H, "PTE. APROBACION", General!G:G, "POSIBLE DT", General!O:O, "&gt;="&amp;DATE(2025,11,1), General!O:O, "&lt;="&amp;DATE(2025,11,31)) + COUNTIFS(General!F:F, "PARA FACTURAR", General!M:M, "J. FERLANTI", General!H:H, "EN TRAMITE", General!G:G, "POSIBLE DT", General!O:O, "&gt;="&amp;DATE(2025,11,1), General!O:O, "&lt;="&amp;DATE(2025,11,31))</f>
        <v>20</v>
      </c>
      <c r="M5" s="44">
        <f>L5*AH7</f>
        <v>178500</v>
      </c>
      <c r="O5" s="39">
        <f>COUNTIFS(General!F:F, "IP CERRADA", General!K:K, "J NEIRA", General!H:H, "PTE. APROBACION", General!G:G, "POSIBLE DT", General!O:O, "&gt;="&amp;DATE(2025,11,1), General!O:O, "&lt;="&amp;DATE(2025,11,31))</f>
        <v>0</v>
      </c>
      <c r="P5" s="40">
        <f>O5*AG7</f>
        <v>0</v>
      </c>
      <c r="Q5" s="43">
        <f>COUNTIFS(General!F:F, "IP CERRADA", General!M:M, "J NEIRA", General!H:H, "PTE. APROBACION", General!G:G, "POSIBLE DT", General!O:O, "&gt;="&amp;DATE(2025,11,1), General!O:O, "&lt;="&amp;DATE(2025,11,31))</f>
        <v>0</v>
      </c>
      <c r="R5" s="44">
        <f>Q5*AH7</f>
        <v>0</v>
      </c>
      <c r="T5" s="39">
        <f>COUNTIFS(General!F:F, "IP CERRADA", General!K:K, "L DEL PIERO", General!H:H, "PTE. APROBACION", General!G:G, "POSIBLE DT", General!O:O, "&gt;="&amp;DATE(2025,11,1), General!O:O, "&lt;="&amp;DATE(2025,11,31))</f>
        <v>9</v>
      </c>
      <c r="U5" s="40">
        <f>T5*AG7</f>
        <v>86058</v>
      </c>
      <c r="V5" s="43">
        <f>COUNTIFS(General!F:F, "IP CERRADA", General!M:M, "L DEL PIERO", General!H:H, "PTE. APROBACION", General!G:G, "POSIBLE DT", General!O:O, "&gt;="&amp;DATE(2025,11,1), General!O:O, "&lt;="&amp;DATE(2025,11,31))</f>
        <v>0</v>
      </c>
      <c r="W5" s="44">
        <f>V5*AH7</f>
        <v>0</v>
      </c>
      <c r="Y5" s="39">
        <f>COUNTIFS(General!F:F, "IP CERRADA", General!K:K, "E Delia", General!H:H, "PTE. APROBACION", General!G:G, "POSIBLE DT", General!O:O, "&gt;="&amp;DATE(2025,11,1), General!O:O, "&lt;="&amp;DATE(2025,11,31))</f>
        <v>11</v>
      </c>
      <c r="Z5" s="40">
        <f>Y5*AG7</f>
        <v>105182</v>
      </c>
      <c r="AA5" s="43">
        <f>COUNTIFS(General!F:F, "IP CERRADA", General!M:M, "E Delia", General!H:H, "PTE. APROBACION", General!G:G, "POSIBLE DT", General!O:O, "&gt;="&amp;DATE(2025,11,1), General!O:O, "&lt;="&amp;DATE(2025,11,31))</f>
        <v>0</v>
      </c>
      <c r="AB5" s="44">
        <f>AA5*AH7</f>
        <v>0</v>
      </c>
      <c r="AD5" s="261" t="s">
        <v>15</v>
      </c>
      <c r="AF5" s="118" t="s">
        <v>10</v>
      </c>
      <c r="AG5" s="119">
        <v>9562</v>
      </c>
      <c r="AH5" s="119">
        <v>8925</v>
      </c>
      <c r="AI5" s="116"/>
    </row>
    <row r="6" spans="1:35" ht="15.75">
      <c r="C6" s="37" t="s">
        <v>18</v>
      </c>
      <c r="E6" s="254">
        <f>COUNTIFS(General!F:F, "IP CERRADA", General!K:K, "A MIÑO", General!H:H, "PTE. APROBACION", General!G:G, "IP SIN ORDEN", General!O:O, "&gt;="&amp;DATE(2025,11,1), General!O:O, "&lt;="&amp;DATE(2025,11,31))</f>
        <v>1</v>
      </c>
      <c r="F6" s="38">
        <f>E6*AG8</f>
        <v>9562</v>
      </c>
      <c r="G6" s="41">
        <f>COUNTIFS(General!F:F, "IP CERRADA", General!M:M, "A MIÑO", General!H:H, "PTE. APROBACION", General!G:G, "IP SIN ORDEN", General!O:O, "&gt;="&amp;DATE(2025,11,1), General!O:O, "&lt;="&amp;DATE(2025,11,31))</f>
        <v>0</v>
      </c>
      <c r="H6" s="42">
        <f>G6*AH8</f>
        <v>0</v>
      </c>
      <c r="J6" s="254">
        <f>COUNTIFS(General!F:F, "IP CERRADA", General!K:K, "J. FERLANTI", General!H:H, "PTE. APROBACION", General!G:G, "IP SIN ORDEN", General!O:O, "&gt;="&amp;DATE(2025,11,1), General!O:O, "&lt;="&amp;DATE(2025,11,31)) + COUNTIFS(General!F:F, "PARA FACTURAR", General!K:K, "J. FERLANTI", General!G:G, "IP SIN ORDEN", General!O:O, "&gt;="&amp;DATE(2025,11,1), General!O:O, "&lt;="&amp;DATE(2025,11,31))</f>
        <v>0</v>
      </c>
      <c r="K6" s="38">
        <f>J6*AG8</f>
        <v>0</v>
      </c>
      <c r="L6" s="41">
        <f>COUNTIFS(General!F:F, "IP CERRADA", General!M:M, "J. FERLANTI", General!H:H, "PTE. APROBACION", General!G:G, "IP SIN ORDEN", General!O:O, "&gt;="&amp;DATE(2025,11,1), General!O:O, "&lt;="&amp;DATE(2025,11,31)) + COUNTIFS(General!F:F, "PARA FACTURAR", General!M:M, "J. FERLANTI", General!H:H, "EN TRAMITE", General!G:G, "IP SIN ORDEN", General!O:O, "&gt;="&amp;DATE(2025,11,1), General!O:O, "&lt;="&amp;DATE(2025,11,31))</f>
        <v>38</v>
      </c>
      <c r="M6" s="42">
        <f>L6*AH8</f>
        <v>339150</v>
      </c>
      <c r="O6" s="254">
        <f>COUNTIFS(General!F:F, "IP CERRADA", General!K:K, "J NEIRA", General!H:H, "PTE. APROBACION", General!G:G, "IP SIN ORDEN", General!O:O, "&gt;="&amp;DATE(2025,11,1), General!O:O, "&lt;="&amp;DATE(2025,11,31))</f>
        <v>0</v>
      </c>
      <c r="P6" s="38">
        <f>O6*AG8</f>
        <v>0</v>
      </c>
      <c r="Q6" s="41">
        <f>COUNTIFS(General!F:F, "IP CERRADA", General!M:M, "J NEIRA", General!H:H, "PTE. APROBACION", General!G:G, "IP SIN ORDEN", General!O:O, "&gt;="&amp;DATE(2025,11,1), General!O:O, "&lt;="&amp;DATE(2025,11,31))</f>
        <v>0</v>
      </c>
      <c r="R6" s="42">
        <f>Q6*AH8</f>
        <v>0</v>
      </c>
      <c r="T6" s="254">
        <f>COUNTIFS(General!F:F, "IP CERRADA", General!K:K, "L DEL PIERO", General!H:H, "PTE. APROBACION", General!G:G, "IP SIN ORDEN", General!O:O, "&gt;="&amp;DATE(2025,11,1), General!O:O, "&lt;="&amp;DATE(2025,11,31))</f>
        <v>17</v>
      </c>
      <c r="U6" s="38">
        <f>T6*AG8</f>
        <v>162554</v>
      </c>
      <c r="V6" s="41">
        <f>COUNTIFS(General!F:F, "IP CERRADA", General!M:M, "L DEL PIERO", General!H:H, "PTE. APROBACION", General!G:G, "IP SIN ORDEN", General!O:O, "&gt;="&amp;DATE(2025,11,1), General!O:O, "&lt;="&amp;DATE(2025,11,31))</f>
        <v>0</v>
      </c>
      <c r="W6" s="42">
        <f>V6*AH8</f>
        <v>0</v>
      </c>
      <c r="Y6" s="254">
        <f>COUNTIFS(General!F:F, "IP CERRADA", General!K:K, "E Delia", General!H:H, "PTE. APROBACION", General!G:G, "IP SIN ORDEN", General!O:O, "&gt;="&amp;DATE(2025,11,1), General!O:O, "&lt;="&amp;DATE(2025,11,31))</f>
        <v>20</v>
      </c>
      <c r="Z6" s="38">
        <f>Y6*AG8</f>
        <v>191240</v>
      </c>
      <c r="AA6" s="41">
        <f>COUNTIFS(General!F:F, "IP CERRADA", General!M:M, "E Delia", General!H:H, "PTE. APROBACION", General!G:G, "IP SIN ORDEN", General!O:O, "&gt;="&amp;DATE(2025,11,1), General!O:O, "&lt;="&amp;DATE(2025,11,31))</f>
        <v>0</v>
      </c>
      <c r="AB6" s="42">
        <f>AA6*AH8</f>
        <v>0</v>
      </c>
      <c r="AD6" s="37" t="s">
        <v>18</v>
      </c>
      <c r="AF6" s="118"/>
      <c r="AG6" s="119"/>
      <c r="AH6" s="119"/>
      <c r="AI6" s="116"/>
    </row>
    <row r="7" spans="1:35" ht="15.75">
      <c r="C7" s="261" t="s">
        <v>21</v>
      </c>
      <c r="E7" s="39">
        <f>COUNTIFS(General!F:F, "IP CERRADA", General!K:K, "A MIÑO", General!H:H, "PTE. APROBACION", General!G:G, "AMPLIACION", General!O:O, "&gt;="&amp;DATE(2025,11,1), General!O:O, "&lt;="&amp;DATE(2025,11,31))</f>
        <v>0</v>
      </c>
      <c r="F7" s="40">
        <f>E7*AG9</f>
        <v>0</v>
      </c>
      <c r="G7" s="43">
        <f>COUNTIFS(General!F:F, "IP CERRADA", General!M:M, "A MIÑO", General!H:H, "PTE. APROBACION", General!G:G, "AMPLIACION", General!O:O, "&gt;="&amp;DATE(2025,11,1), General!O:O, "&lt;="&amp;DATE(2025,11,31))</f>
        <v>0</v>
      </c>
      <c r="H7" s="44">
        <f>G7*AH9</f>
        <v>0</v>
      </c>
      <c r="J7" s="39">
        <f>COUNTIFS(General!F:F, "IP CERRADA", General!K:K, "J. FERLANTI", General!H:H, "PTE. APROBACION", General!G:G, "AMPLIACION", General!O:O, "&gt;="&amp;DATE(2025,11,1), General!O:O, "&lt;="&amp;DATE(2025,11,31)) + COUNTIFS(General!F:F, "PARA FACTURAR", General!K:K, "J. FERLANTI", General!G:G, "AMPLIACION", General!O:O, "&gt;="&amp;DATE(2025,11,1), General!O:O, "&lt;="&amp;DATE(2025,11,31))</f>
        <v>9</v>
      </c>
      <c r="K7" s="40">
        <f>J7*AG9</f>
        <v>38250</v>
      </c>
      <c r="L7" s="43">
        <f>COUNTIFS(General!F:F, "IP CERRADA", General!M:M, "J. FERLANTI", General!H:H, "PTE. APROBACION", General!G:G, "AMPLIACION", General!O:O, "&gt;="&amp;DATE(2025,11,1), General!O:O, "&lt;="&amp;DATE(2025,11,31)) + COUNTIFS(General!F:F, "PARA FACTURAR", General!M:M, "J. FERLANTI", General!H:H, "EN TRAMITE", General!G:G, "AMPLIACION", General!O:O, "&gt;="&amp;DATE(2025,11,1), General!O:O, "&lt;="&amp;DATE(2025,11,31))</f>
        <v>19</v>
      </c>
      <c r="M7" s="44">
        <f>L7*AH9</f>
        <v>38000</v>
      </c>
      <c r="O7" s="39">
        <f>COUNTIFS(General!F:F, "IP CERRADA", General!K:K, "J NEIRA", General!H:H, "PTE. APROBACION", General!G:G, "AMPLIACION", General!O:O, "&gt;="&amp;DATE(2025,11,1), General!O:O, "&lt;="&amp;DATE(2025,11,31))</f>
        <v>0</v>
      </c>
      <c r="P7" s="40">
        <f>O7*AG9</f>
        <v>0</v>
      </c>
      <c r="Q7" s="43">
        <f>COUNTIFS(General!F:F, "IP CERRADA", General!M:M, "J NEIRA", General!H:H, "PTE. APROBACION", General!G:G, "AMPLIACION", General!O:O, "&gt;="&amp;DATE(2025,11,1), General!O:O, "&lt;="&amp;DATE(2025,11,31))</f>
        <v>0</v>
      </c>
      <c r="R7" s="44">
        <f>Q7*AH9</f>
        <v>0</v>
      </c>
      <c r="T7" s="39">
        <f>COUNTIFS(General!F:F, "IP CERRADA", General!K:K, "L DEL PIERO", General!H:H, "PTE. APROBACION", General!G:G, "AMPLIACION", General!O:O, "&gt;="&amp;DATE(2025,11,1), General!O:O, "&lt;="&amp;DATE(2025,11,31))</f>
        <v>7</v>
      </c>
      <c r="U7" s="40">
        <f>T7*AG9</f>
        <v>29750</v>
      </c>
      <c r="V7" s="43">
        <f>COUNTIFS(General!F:F, "IP CERRADA", General!M:M, "L DEL PIERO", General!H:H, "PTE. APROBACION", General!G:G, "AMPLIACION", General!O:O, "&gt;="&amp;DATE(2025,11,1), General!O:O, "&lt;="&amp;DATE(2025,11,31))</f>
        <v>0</v>
      </c>
      <c r="W7" s="44">
        <f>V7*AH9</f>
        <v>0</v>
      </c>
      <c r="Y7" s="39">
        <f>COUNTIFS(General!F:F, "IP CERRADA", General!K:K, "E Delia", General!H:H, "PTE. APROBACION", General!G:G, "AMPLIACION", General!O:O, "&gt;="&amp;DATE(2025,11,1), General!O:O, "&lt;="&amp;DATE(2025,11,31))</f>
        <v>3</v>
      </c>
      <c r="Z7" s="40">
        <f>Y7*AG9</f>
        <v>12750</v>
      </c>
      <c r="AA7" s="43">
        <f>COUNTIFS(General!F:F, "IP CERRADA", General!M:M, "E Delia", General!H:H, "PTE. APROBACION", General!G:G, "AMPLIACION", General!O:O, "&gt;="&amp;DATE(2025,11,1), General!O:O, "&lt;="&amp;DATE(2025,11,31))</f>
        <v>0</v>
      </c>
      <c r="AB7" s="44">
        <f>AA7*AH9</f>
        <v>0</v>
      </c>
      <c r="AD7" s="261" t="s">
        <v>21</v>
      </c>
      <c r="AF7" s="120" t="s">
        <v>15</v>
      </c>
      <c r="AG7" s="121">
        <v>9562</v>
      </c>
      <c r="AH7" s="121">
        <v>8925</v>
      </c>
      <c r="AI7" s="116"/>
    </row>
    <row r="8" spans="1:35" ht="15.75">
      <c r="C8" s="37" t="s">
        <v>24</v>
      </c>
      <c r="E8" s="254" t="s">
        <v>27</v>
      </c>
      <c r="F8" s="38" t="s">
        <v>27</v>
      </c>
      <c r="G8" s="41">
        <f>COUNTIFS(General!F:F, "IP CERRADA", General!M:M, "A MIÑO", General!H:H, "PTE. APROBACION", General!G:G, "ENVIO DE ORDEN", General!O:O, "&gt;="&amp;DATE(2025,11,1), General!O:O, "&lt;="&amp;DATE(2025,11,31))</f>
        <v>0</v>
      </c>
      <c r="H8" s="42">
        <f>G8*AH10</f>
        <v>0</v>
      </c>
      <c r="J8" s="254" t="s">
        <v>27</v>
      </c>
      <c r="K8" s="38" t="s">
        <v>27</v>
      </c>
      <c r="L8" s="41">
        <f>COUNTIFS(General!F:F, "IP SIN ORDEN", General!M:M, "J. FERLANTI", General!H:H, "PTE. APROBACION", General!G:G, "ENVIO DE ORDEN", General!O:O, "&gt;="&amp;DATE(2025,11,1), General!O:O, "&lt;="&amp;DATE(2025,11,31)) + COUNTIFS(General!F:F, "PARA FACTURAR", General!M:M, "J. FERLANTI", General!H:H, "EN TRAMITE", General!G:G, "ENVIO DE ORDEN", General!O:O, "&gt;="&amp;DATE(2025,11,1), General!O:O, "&lt;="&amp;DATE(2025,11,31))</f>
        <v>0</v>
      </c>
      <c r="M8" s="42">
        <f>L8*AH10</f>
        <v>0</v>
      </c>
      <c r="O8" s="254"/>
      <c r="P8" s="38"/>
      <c r="Q8" s="41">
        <f>COUNTIFS(General!F:F, "IP CERRADA", General!M:M, "J NEIRA", General!H:H, "PTE. APROBACION", General!G:G, "ENVIO DE ORDEN", General!O:O, "&gt;="&amp;DATE(2025,11,1), General!O:O, "&lt;="&amp;DATE(2025,11,31))</f>
        <v>0</v>
      </c>
      <c r="R8" s="42">
        <f>Q8*AH10</f>
        <v>0</v>
      </c>
      <c r="T8" s="254"/>
      <c r="U8" s="38"/>
      <c r="V8" s="41">
        <f>COUNTIFS(General!F:F, "IP CERRADA", General!M:M, "L DEL PIERO", General!H:H, "PTE. APROBACION", General!G:G, "ENVIO DE ORDEN", General!O:O, "&gt;="&amp;DATE(2025,11,1), General!O:O, "&lt;="&amp;DATE(2025,11,31))</f>
        <v>0</v>
      </c>
      <c r="W8" s="42">
        <f>V8*AH10</f>
        <v>0</v>
      </c>
      <c r="Y8" s="254"/>
      <c r="Z8" s="38"/>
      <c r="AA8" s="41">
        <f>COUNTIFS(General!F:F, "IP CERRADA", General!M:M, "E Delia", General!H:H, "PTE. APROBACION", General!G:G, "ENVIO DE ORDEN", General!O:O, "&gt;="&amp;DATE(2025,11,1), General!O:O, "&lt;="&amp;DATE(2025,11,31))</f>
        <v>0</v>
      </c>
      <c r="AB8" s="42">
        <f>AA8*AH10</f>
        <v>0</v>
      </c>
      <c r="AD8" s="37" t="s">
        <v>24</v>
      </c>
      <c r="AF8" s="118" t="s">
        <v>18</v>
      </c>
      <c r="AG8" s="119">
        <v>9562</v>
      </c>
      <c r="AH8" s="119">
        <v>8925</v>
      </c>
      <c r="AI8" s="116"/>
    </row>
    <row r="9" spans="1:35" ht="15.75">
      <c r="C9" s="261" t="s">
        <v>29</v>
      </c>
      <c r="E9" s="39">
        <f>COUNTIFS(General!F:F, "IP CERRADA", General!K:K, "A MIÑO", General!H:H, "PTE. APROBACION", General!G:G, "IP CAMIONES", General!O:O, "&gt;="&amp;DATE(2025,11,1), General!O:O, "&lt;="&amp;DATE(2025,11,31))</f>
        <v>0</v>
      </c>
      <c r="F9" s="40">
        <f>E9*AG15</f>
        <v>0</v>
      </c>
      <c r="G9" s="43">
        <f>COUNTIFS(General!F:F, "IP SIN ORDEN", General!M:M, "J. FERLANTI", General!H:H, "PTE. APROBACION", General!G:G, "IP CAMIONES", General!O:O, "&gt;="&amp;DATE(2025,11,1), General!O:O, "&lt;="&amp;DATE(2025,11,31)) + COUNTIFS(General!F:F, "PARA FACTURAR", General!M:M, "J. FERLANTI", General!H:H, "EN TRAMITE", General!G:G, "IP CAMIONES", General!O:O, "&gt;="&amp;DATE(2025,11,1), General!O:O, "&lt;="&amp;DATE(2025,11,31))</f>
        <v>0</v>
      </c>
      <c r="H9" s="44">
        <f>G9*AH15</f>
        <v>0</v>
      </c>
      <c r="J9" s="39">
        <f>COUNTIFS(General!F:F, "IP CERRADA", General!K:K, "J. FERLANTI", General!H:H, "PTE. APROBACION", General!G:G, "IP CAMIONES", General!O:O, "&gt;="&amp;DATE(2025,11,1), General!O:O, "&lt;="&amp;DATE(2025,11,31)) + COUNTIFS(General!F:F, "PARA FACTURAR", General!K:K, "J. FERLANTI", General!G:G, "IP CAMIONES", General!O:O, "&gt;="&amp;DATE(2025,11,1), General!O:O, "&lt;="&amp;DATE(2025,11,31))</f>
        <v>0</v>
      </c>
      <c r="K9" s="40">
        <f>J9*AG15</f>
        <v>0</v>
      </c>
      <c r="L9" s="43">
        <f>COUNTIFS(General!F:F, "IP CERRADA", General!M:M, "J. FERLANTI", General!H:H, "PTE. APROBACION", General!G:G, "IP CAMIONES", General!O:O, "&gt;="&amp;DATE(2025,11,1), General!O:O, "&lt;="&amp;DATE(2025,11,31))</f>
        <v>0</v>
      </c>
      <c r="M9" s="44">
        <f>L9*AH15</f>
        <v>0</v>
      </c>
      <c r="O9" s="39">
        <f>COUNTIFS(General!F:F, "IP CERRADA", General!K:K, "J NEIRA", General!H:H, "PTE. APROBACION", General!G:G, "IP CAMIONES", General!O:O, "&gt;="&amp;DATE(2025,11,1), General!O:O, "&lt;="&amp;DATE(2025,11,31))</f>
        <v>0</v>
      </c>
      <c r="P9" s="40">
        <f>O9*AG15</f>
        <v>0</v>
      </c>
      <c r="Q9" s="43">
        <f>COUNTIFS(General!F:F, "IP CERRADA", General!M:M, "J NEIRA", General!H:H, "PTE. APROBACION", General!G:G, "IP CAMIONES", General!O:O, "&gt;="&amp;DATE(2025,11,1), General!O:O, "&lt;="&amp;DATE(2025,11,31))</f>
        <v>0</v>
      </c>
      <c r="R9" s="44">
        <f>Q9*AH15</f>
        <v>0</v>
      </c>
      <c r="T9" s="39">
        <f>COUNTIFS(General!F:F, "IP CERRADA", General!K:K, "L DEL PIERO", General!H:H, "PTE. APROBACION", General!G:G, "IP CAMIONES", General!O:O, "&gt;="&amp;DATE(2025,11,1), General!O:O, "&lt;="&amp;DATE(2025,11,31))</f>
        <v>0</v>
      </c>
      <c r="U9" s="40">
        <f>T9*AG15</f>
        <v>0</v>
      </c>
      <c r="V9" s="43">
        <f>COUNTIFS(General!F:F, "IP CERRADA", General!M:M, "L DEL PIERO", General!H:H, "PTE. APROBACION", General!G:G, "IP CAMIONES", General!O:O, "&gt;="&amp;DATE(2025,11,1), General!O:O, "&lt;="&amp;DATE(2025,11,31))</f>
        <v>0</v>
      </c>
      <c r="W9" s="44">
        <f>V9*AH15</f>
        <v>0</v>
      </c>
      <c r="Y9" s="39">
        <f>COUNTIFS(General!F:F, "IP CERRADA", General!K:K, "E Delia", General!H:H, "PTE. APROBACION", General!G:G, "IP CAMIONES", General!O:O, "&gt;="&amp;DATE(2025,11,1), General!O:O, "&lt;="&amp;DATE(2025,11,31))</f>
        <v>0</v>
      </c>
      <c r="Z9" s="40">
        <f>Y9*AG15</f>
        <v>0</v>
      </c>
      <c r="AA9" s="43">
        <f>COUNTIFS(General!F:F, "IP CERRADA", General!M:M, "E Delia", General!H:H, "PTE. APROBACION", General!G:G, "IP CAMIONES", General!O:O, "&gt;="&amp;DATE(2025,11,1), General!O:O, "&lt;="&amp;DATE(2025,11,31))</f>
        <v>0</v>
      </c>
      <c r="AB9" s="44">
        <f>AA9*AH15</f>
        <v>0</v>
      </c>
      <c r="AD9" s="261" t="s">
        <v>29</v>
      </c>
      <c r="AF9" s="120" t="s">
        <v>21</v>
      </c>
      <c r="AG9" s="121">
        <v>4250</v>
      </c>
      <c r="AH9" s="121">
        <v>2000</v>
      </c>
      <c r="AI9" s="116"/>
    </row>
    <row r="10" spans="1:35" ht="15.75">
      <c r="C10" s="37" t="s">
        <v>30</v>
      </c>
      <c r="E10" s="254">
        <f>COUNTIFS(General!F:F, "IP CERRADA", General!K:K, "A MIÑO", General!H:H, "PTE. APROBACION", General!G:G, "TERCEROS", General!O:O, "&gt;="&amp;DATE(2024,3,1), General!O:O, "&gt;="&amp;DATE(2025,11,1), General!O:O, "&lt;="&amp;DATE(2025,11,31))</f>
        <v>0</v>
      </c>
      <c r="F10" s="38">
        <f>E10*AG12</f>
        <v>0</v>
      </c>
      <c r="G10" s="41">
        <f>COUNTIFS(General!F:F, "IP CERRADA", General!M:M, "A MIÑO", General!H:H, "PTE. APROBACION", General!G:G, "TERCEROS", General!O:O, "&gt;="&amp;DATE(2025,11,1), General!O:O, "&lt;="&amp;DATE(2025,11,31))</f>
        <v>0</v>
      </c>
      <c r="H10" s="42">
        <f>G10*AH12</f>
        <v>0</v>
      </c>
      <c r="J10" s="254">
        <f>COUNTIFS(General!F:F, "IP CERRADA", General!K:K, "J. FERLANTI", General!H:H, "PTE. APROBACION", General!G:G, "TERCEROS", General!O:O, "&gt;="&amp;DATE(2025,11,1), General!O:O, "&lt;="&amp;DATE(2025,11,31)) + COUNTIFS(General!F:F, "PARA FACTURAR", General!K:K, "J. FERLANTI", General!G:G, "TERCEROS", General!O:O, "&gt;="&amp;DATE(2025,11,1), General!O:O, "&lt;="&amp;DATE(2025,11,31))</f>
        <v>0</v>
      </c>
      <c r="K10" s="38">
        <f>J10*AG12</f>
        <v>0</v>
      </c>
      <c r="L10" s="41">
        <f>COUNTIFS(General!F:F, "IP SIN ORDEN", General!M:M, "J. FERLANTI", General!H:H, "PTE. APROBACION", General!G:G, "TERCEROS", General!O:O, "&gt;="&amp;DATE(2025,11,1), General!O:O, "&lt;="&amp;DATE(2025,11,31)) + COUNTIFS(General!F:F, "PARA FACTURAR", General!M:M, "J. FERLANTI", General!H:H, "EN TRAMITE", General!G:G, "TERCEROS", General!O:O, "&gt;="&amp;DATE(2025,11,1), General!O:O, "&lt;="&amp;DATE(2025,11,31))</f>
        <v>0</v>
      </c>
      <c r="M10" s="42">
        <f>L10*AH12</f>
        <v>0</v>
      </c>
      <c r="O10" s="254">
        <f>COUNTIFS(General!F:F, "IP CERRADA", General!K:K, "J NEIRA", General!H:H, "PTE. APROBACION", General!G:G, "TERCEROS", General!O:O, "&gt;="&amp;DATE(2024,3,1), General!O:O, "&gt;="&amp;DATE(2025,11,1), General!O:O, "&lt;="&amp;DATE(2025,11,31))</f>
        <v>0</v>
      </c>
      <c r="P10" s="38">
        <f>O10*AG12</f>
        <v>0</v>
      </c>
      <c r="Q10" s="41">
        <f>COUNTIFS(General!F:F, "IP CERRADA", General!M:M, "J NEIRA", General!H:H, "PTE. APROBACION", General!G:G, "TERCEROS", General!O:O, "&gt;="&amp;DATE(2025,11,1), General!O:O, "&lt;="&amp;DATE(2025,11,31))</f>
        <v>0</v>
      </c>
      <c r="R10" s="42">
        <f>Q10*AH12</f>
        <v>0</v>
      </c>
      <c r="T10" s="254">
        <f>COUNTIFS(General!F:F, "IP CERRADA", General!K:K, "L DEL PIERO", General!H:H, "PTE. APROBACION", General!G:G, "TERCEROS", General!O:O, "&gt;="&amp;DATE(2024,3,1), General!O:O, "&gt;="&amp;DATE(2025,11,1), General!O:O, "&lt;="&amp;DATE(2025,11,31))</f>
        <v>0</v>
      </c>
      <c r="U10" s="38">
        <f>T10*AG12</f>
        <v>0</v>
      </c>
      <c r="V10" s="41">
        <f>COUNTIFS(General!F:F, "IP CERRADA", General!M:M, "L DEL PIERO", General!H:H, "PTE. APROBACION", General!G:G, "TERCEROS", General!O:O, "&gt;="&amp;DATE(2025,11,1), General!O:O, "&lt;="&amp;DATE(2025,11,31))</f>
        <v>0</v>
      </c>
      <c r="W10" s="42">
        <f>V10*AH12</f>
        <v>0</v>
      </c>
      <c r="Y10" s="254">
        <f>COUNTIFS(General!F:F, "IP CERRADA", General!K:K, "E Delia", General!H:H, "PTE. APROBACION", General!G:G, "TERCEROS", General!O:O, "&gt;="&amp;DATE(2024,3,1), General!O:O, "&gt;="&amp;DATE(2025,11,1), General!O:O, "&lt;="&amp;DATE(2025,11,31))</f>
        <v>0</v>
      </c>
      <c r="Z10" s="38">
        <f>Y10*AG12</f>
        <v>0</v>
      </c>
      <c r="AA10" s="41">
        <f>COUNTIFS(General!F:F, "IP CERRADA", General!M:M, "E Delia", General!H:H, "PTE. APROBACION", General!G:G, "TERCEROS", General!O:O, "&gt;="&amp;DATE(2025,11,1), General!O:O, "&lt;="&amp;DATE(2025,11,31))</f>
        <v>0</v>
      </c>
      <c r="AB10" s="42">
        <f>AA10*AH12</f>
        <v>0</v>
      </c>
      <c r="AD10" s="37" t="s">
        <v>30</v>
      </c>
      <c r="AF10" s="118" t="s">
        <v>24</v>
      </c>
      <c r="AG10" s="119" t="s">
        <v>27</v>
      </c>
      <c r="AH10" s="119"/>
      <c r="AI10" s="116"/>
    </row>
    <row r="11" spans="1:35" ht="15.75">
      <c r="C11" s="261" t="s">
        <v>32</v>
      </c>
      <c r="E11" s="39" t="s">
        <v>27</v>
      </c>
      <c r="F11" s="40" t="s">
        <v>27</v>
      </c>
      <c r="G11" s="43">
        <f>COUNTIFS(General!F:F, "IP CERRADA", General!M:M, "A MIÑO", General!H:H, "PTE. APROBACION", General!G:G, "FOTOS", General!O:O, "&gt;="&amp;DATE(2025,11,1), General!O:O, "&lt;="&amp;DATE(2025,11,31))</f>
        <v>0</v>
      </c>
      <c r="H11" s="44">
        <v>0</v>
      </c>
      <c r="J11" s="39" t="s">
        <v>27</v>
      </c>
      <c r="K11" s="40" t="s">
        <v>27</v>
      </c>
      <c r="L11" s="43">
        <f>COUNTIFS(General!F:F, "IP SIN ORDEN", General!M:M, "J. FERLANTI", General!H:H, "PTE. APROBACION", General!G:G, "FOTOS", General!O:O, "&gt;="&amp;DATE(2025,11,1), General!O:O, "&lt;="&amp;DATE(2025,11,31)) + COUNTIFS(General!F:F, "PARA FACTURAR", General!M:M, "J. FERLANTI", General!H:H, "EN TRAMITE", General!G:G, "FOTOS", General!O:O, "&gt;="&amp;DATE(2025,11,1), General!O:O, "&lt;="&amp;DATE(2025,11,31))</f>
        <v>0</v>
      </c>
      <c r="M11" s="44">
        <f>L11*AH13</f>
        <v>0</v>
      </c>
      <c r="O11" s="39"/>
      <c r="P11" s="40"/>
      <c r="Q11" s="43">
        <f>COUNTIFS(General!F:F, "IP CERRADA", General!M:M, "J NEIRA", General!H:H, "PTE. APROBACION", General!G:G, "FOTOS", General!O:O, "&gt;="&amp;DATE(2025,11,1), General!O:O, "&lt;="&amp;DATE(2025,11,31))</f>
        <v>0</v>
      </c>
      <c r="R11" s="44">
        <f>Q11*AH13</f>
        <v>0</v>
      </c>
      <c r="T11" s="39"/>
      <c r="U11" s="40"/>
      <c r="V11" s="43">
        <f>COUNTIFS(General!F:F, "IP CERRADA", General!M:M, "L DEL PIERO", General!H:H, "PTE. APROBACION", General!G:G, "FOTOS", General!O:O, "&gt;="&amp;DATE(2025,11,1), General!O:O, "&lt;="&amp;DATE(2025,11,31))</f>
        <v>0</v>
      </c>
      <c r="W11" s="44">
        <f>V11*AH13</f>
        <v>0</v>
      </c>
      <c r="Y11" s="39"/>
      <c r="Z11" s="40"/>
      <c r="AA11" s="43">
        <f>COUNTIFS(General!F:F, "IP CERRADA", General!M:M, "E Delia", General!H:H, "PTE. APROBACION", General!G:G, "FOTOS", General!O:O, "&gt;="&amp;DATE(2025,11,1), General!O:O, "&lt;="&amp;DATE(2025,11,31))</f>
        <v>0</v>
      </c>
      <c r="AB11" s="44">
        <f>AA11*AH13</f>
        <v>0</v>
      </c>
      <c r="AD11" s="261" t="s">
        <v>32</v>
      </c>
      <c r="AF11" s="120" t="s">
        <v>26</v>
      </c>
      <c r="AG11" s="121">
        <v>2550</v>
      </c>
      <c r="AH11" s="121" t="s">
        <v>27</v>
      </c>
      <c r="AI11" s="116"/>
    </row>
    <row r="12" spans="1:35" ht="15.75">
      <c r="C12" s="37" t="s">
        <v>84</v>
      </c>
      <c r="E12" s="254">
        <f>COUNTIFS(General!F:F, "IP CERRADA", General!K:K, "A MIÑO", General!K:K, "A MIÑO", General!H:H, "PTE. APROBACION", General!G:G, "IP FINAL/INTERMEDIA", General!O:O, "&gt;="&amp;DATE(2025,11,1), General!O:O, "&lt;="&amp;DATE(2025,11,31))</f>
        <v>0</v>
      </c>
      <c r="F12" s="38">
        <f>E12*AG14</f>
        <v>0</v>
      </c>
      <c r="G12" s="41">
        <f>COUNTIFS(General!F:F, "IP CERRADA", General!M:M, "A MIÑO", General!H:H, "PTE. APROBACION", General!G:G, "IP REMOTA", General!O:O, "&gt;="&amp;DATE(2025,11,1), General!O:O, "&lt;="&amp;DATE(2025,11,31))</f>
        <v>0</v>
      </c>
      <c r="H12" s="42">
        <f>G12*AH14</f>
        <v>0</v>
      </c>
      <c r="J12" s="254">
        <f>COUNTIFS(General!F:F, "IP CERRADA", General!K:K, "J. FERLANTI", General!H:H, "PTE. APROBACION", General!G:G, "IP FINAL/INTERMEDIA", General!O:O, "&gt;="&amp;DATE(2025,11,1), General!O:O, "&lt;="&amp;DATE(2025,11,31)) + COUNTIFS(General!F:F, "PARA FACTURAR", General!K:K, "J. FERLANTI", General!G:G, "IP FINAL/INTERMEDIA", General!O:O, "&gt;="&amp;DATE(2025,11,1), General!O:O, "&lt;="&amp;DATE(2025,11,31))</f>
        <v>0</v>
      </c>
      <c r="K12" s="38">
        <f>J12*AG9</f>
        <v>0</v>
      </c>
      <c r="L12" s="41">
        <f>COUNTIFS(General!F:F, "IP CERRADA", General!M:M, "J. FERLANTI", General!H:H, "PTE. APROBACION", General!G:G, "IP FINAL/INTERMEDIA", General!O:O, "&gt;="&amp;DATE(2025,11,1), General!O:O, "&lt;="&amp;DATE(2025,11,31)) + COUNTIFS(General!F:F, "PARA FACTURAR", General!M:M, "J. FERLANTI", General!H:H, "EN TRAMITE", General!G:G, "IP FINAL/INTERMEDIA", General!O:O, "&gt;="&amp;DATE(2025,11,1), General!O:O, "&lt;="&amp;DATE(2025,11,31))</f>
        <v>0</v>
      </c>
      <c r="M12" s="42">
        <f>L12*AH9</f>
        <v>0</v>
      </c>
      <c r="O12" s="254">
        <f>COUNTIFS(General!F:F, "IP CERRADA", General!K:K, "J NEIRA", General!K:K, "A MIÑO", General!H:H, "PTE. APROBACION", General!G:G, "IP REMOTA", General!O:O, "&gt;="&amp;DATE(2025,11,1), General!O:O, "&lt;="&amp;DATE(2025,11,31))</f>
        <v>0</v>
      </c>
      <c r="P12" s="38">
        <f>O12*AG14</f>
        <v>0</v>
      </c>
      <c r="Q12" s="41">
        <f>COUNTIFS(General!F:F, "IP CERRADA", General!M:M, "J NEIRA", General!H:H, "PTE. APROBACION", General!G:G, "IP REMOTA", General!O:O, "&gt;="&amp;DATE(2025,11,1), General!O:O, "&lt;="&amp;DATE(2025,11,31))</f>
        <v>0</v>
      </c>
      <c r="R12" s="42">
        <f>Q12*AH14</f>
        <v>0</v>
      </c>
      <c r="T12" s="254">
        <f>COUNTIFS(General!F:F, "IP CERRADA", General!K:K, "L DEL PIERO", General!K:K, "A MIÑO", General!H:H, "PTE. APROBACION", General!G:G, "IP REMOTA", General!O:O, "&gt;="&amp;DATE(2025,11,1), General!O:O, "&lt;="&amp;DATE(2025,11,31))</f>
        <v>0</v>
      </c>
      <c r="U12" s="38">
        <f>T12*AG14</f>
        <v>0</v>
      </c>
      <c r="V12" s="41">
        <f>COUNTIFS(General!F:F, "IP CERRADA", General!M:M, "L DEL PIERO", General!H:H, "PTE. APROBACION", General!G:G, "IP REMOTA", General!O:O, "&gt;="&amp;DATE(2025,11,1), General!O:O, "&lt;="&amp;DATE(2025,11,31))</f>
        <v>0</v>
      </c>
      <c r="W12" s="42">
        <f>V12*AH14</f>
        <v>0</v>
      </c>
      <c r="Y12" s="254">
        <f>COUNTIFS(General!F:F, "IP CERRADA", General!K:K, "E Delia",  General!H:H, "PTE. APROBACION", General!G:G, "IP FINAL/INTERMEDIA", General!O:O, "&gt;="&amp;DATE(2025,11,1), General!O:O, "&lt;="&amp;DATE(2025,11,31))</f>
        <v>0</v>
      </c>
      <c r="Z12" s="38">
        <f>Y12*AG9</f>
        <v>0</v>
      </c>
      <c r="AA12" s="41">
        <f>COUNTIFS(General!F:F, "IP CERRADA", General!M:M, "E Delia", General!H:H, "PTE. APROBACION", General!G:G, "IP REMOTA", General!O:O, "&gt;="&amp;DATE(2025,11,1), General!O:O, "&lt;="&amp;DATE(2025,11,31))</f>
        <v>0</v>
      </c>
      <c r="AB12" s="42">
        <f>AA12*AH14</f>
        <v>0</v>
      </c>
      <c r="AD12" s="37" t="s">
        <v>34</v>
      </c>
      <c r="AF12" s="118" t="s">
        <v>30</v>
      </c>
      <c r="AG12" s="119">
        <v>9562</v>
      </c>
      <c r="AH12" s="119">
        <v>8925</v>
      </c>
      <c r="AI12" s="116"/>
    </row>
    <row r="13" spans="1:35" ht="15.75">
      <c r="C13" s="261" t="s">
        <v>37</v>
      </c>
      <c r="E13" s="39" t="s">
        <v>27</v>
      </c>
      <c r="F13" s="40" t="s">
        <v>27</v>
      </c>
      <c r="G13" s="43">
        <f>COUNTIFS(General!F:F, "IP CERRADA", General!M:M, "A MIÑO", General!H:H, "PTE. APROBACION", General!G:G, "IP VIRTUAL", General!O:O, "&gt;="&amp;DATE(2025,11,1), General!O:O, "&lt;="&amp;DATE(2025,11,31))</f>
        <v>0</v>
      </c>
      <c r="H13" s="44">
        <f>G13*AH16</f>
        <v>0</v>
      </c>
      <c r="J13" s="39" t="s">
        <v>27</v>
      </c>
      <c r="K13" s="40" t="s">
        <v>27</v>
      </c>
      <c r="L13" s="43">
        <f>COUNTIFS(General!F:F, "IP SIN ORDEN", General!M:M, "J. FERLANTI", General!H:H, "PTE. APROBACION", General!G:G, "IP VIRTUAL", General!O:O, "&gt;="&amp;DATE(2025,11,1), General!O:O, "&lt;="&amp;DATE(2025,11,31)) + COUNTIFS(General!F:F, "PARA FACTURAR", General!M:M, "J. FERLANTI", General!H:H, "EN TRAMITE", General!G:G, "IP VIRTUAL", General!O:O, "&gt;="&amp;DATE(2025,11,1), General!O:O, "&lt;="&amp;DATE(2025,11,31))</f>
        <v>0</v>
      </c>
      <c r="M13" s="44">
        <f>L13*AH16</f>
        <v>0</v>
      </c>
      <c r="O13" s="39"/>
      <c r="P13" s="40"/>
      <c r="Q13" s="43">
        <f>COUNTIFS(General!F:F, "IP CERRADA", General!M:M, "J NEIRA", General!H:H, "PTE. APROBACION", General!G:G, "IP VIRTUAL", General!O:O, "&gt;="&amp;DATE(2025,11,1), General!O:O, "&lt;="&amp;DATE(2025,11,31))</f>
        <v>0</v>
      </c>
      <c r="R13" s="44">
        <f>Q13*AH16</f>
        <v>0</v>
      </c>
      <c r="T13" s="39"/>
      <c r="U13" s="40"/>
      <c r="V13" s="43">
        <f>COUNTIFS(General!F:F, "IP CERRADA", General!M:M, "L DEL PIERO", General!H:H, "PTE. APROBACION", General!G:G, "IP VIRTUAL", General!O:O, "&gt;="&amp;DATE(2025,11,1), General!O:O, "&lt;="&amp;DATE(2025,11,31))</f>
        <v>0</v>
      </c>
      <c r="W13" s="44">
        <f>V13*AH16</f>
        <v>0</v>
      </c>
      <c r="Y13" s="39"/>
      <c r="Z13" s="40"/>
      <c r="AA13" s="43">
        <f>COUNTIFS(General!F:F, "IP CERRADA", General!M:M, "E Delia", General!H:H, "PTE. APROBACION", General!G:G, "IP VIRTUAL", General!O:O, "&gt;="&amp;DATE(2025,11,1), General!O:O, "&lt;="&amp;DATE(2025,11,31))</f>
        <v>0</v>
      </c>
      <c r="AB13" s="44">
        <f>AA13*AH16</f>
        <v>0</v>
      </c>
      <c r="AD13" s="261" t="s">
        <v>37</v>
      </c>
      <c r="AF13" s="120" t="s">
        <v>32</v>
      </c>
      <c r="AG13" s="121" t="s">
        <v>27</v>
      </c>
      <c r="AH13" s="121">
        <v>0</v>
      </c>
      <c r="AI13" s="116"/>
    </row>
    <row r="14" spans="1:35" ht="15.75">
      <c r="C14" s="37" t="s">
        <v>26</v>
      </c>
      <c r="E14" s="254">
        <f>COUNTIFS(General!F:F, "IP CERRADA", General!K:K, "A MIÑO", General!K:K, "A MIÑO", General!H:H, "PTE. APROBACION", General!G:G, "AUSENTE", General!O:O, "&gt;="&amp;DATE(2025,11,1), General!O:O, "&lt;="&amp;DATE(2025,11,31))</f>
        <v>0</v>
      </c>
      <c r="F14" s="38">
        <f>E14*AG11</f>
        <v>0</v>
      </c>
      <c r="G14" s="41" t="s">
        <v>27</v>
      </c>
      <c r="H14" s="42" t="s">
        <v>27</v>
      </c>
      <c r="J14" s="254">
        <f>COUNTIFS(General!F:F, "IP CERRADA", General!K:K, "J. FERLANTI", General!H:H, "PTE. APROBACION", General!G:G, "AUSENTE", General!O:O, "&gt;="&amp;DATE(2025,11,1), General!O:O, "&lt;="&amp;DATE(2025,11,31)) + COUNTIFS(General!F:F, "PARA FACTURAR", General!K:K, "J. FERLANTI", General!G:G, "AUSENTE", General!O:O, "&gt;="&amp;DATE(2025,11,1), General!O:O, "&lt;="&amp;DATE(2025,11,31))</f>
        <v>0</v>
      </c>
      <c r="K14" s="38">
        <f>J14*AG11</f>
        <v>0</v>
      </c>
      <c r="L14" s="41"/>
      <c r="M14" s="42"/>
      <c r="O14" s="254">
        <f>COUNTIFS(General!F:F, "IP CERRADA", General!K:K, "J NEIRA", General!K:K, "A MIÑO", General!H:H, "PTE. APROBACION", General!G:G, "AUSENTE", General!O:O, "&gt;="&amp;DATE(2025,11,1), General!O:O, "&lt;="&amp;DATE(2025,11,31))</f>
        <v>0</v>
      </c>
      <c r="P14" s="38">
        <f>O14*AG11</f>
        <v>0</v>
      </c>
      <c r="Q14" s="41"/>
      <c r="R14" s="42"/>
      <c r="T14" s="254">
        <f>COUNTIFS(General!F:F, "IP CERRADA", General!K:K, "L DEL PIERO", General!K:K, "A MIÑO", General!H:H, "PTE. APROBACION", General!G:G, "AUSENTE", General!O:O, "&gt;="&amp;DATE(2025,11,1), General!O:O, "&lt;="&amp;DATE(2025,11,31))</f>
        <v>0</v>
      </c>
      <c r="U14" s="38">
        <f>T14*AG11</f>
        <v>0</v>
      </c>
      <c r="V14" s="41"/>
      <c r="W14" s="42"/>
      <c r="Y14" s="254">
        <f>COUNTIFS(General!F:F, "IP CERRADA", General!K:K, "E Delia", General!K:K, "E DELIA", General!H:H, "PTE. APROBACION", General!G:G, "AUSENTE", General!O:O, "&gt;="&amp;DATE(2025,11,1), General!O:O, "&lt;="&amp;DATE(2025,11,31))</f>
        <v>7</v>
      </c>
      <c r="Z14" s="38">
        <f>Y14*AG11</f>
        <v>17850</v>
      </c>
      <c r="AA14" s="41"/>
      <c r="AB14" s="42"/>
      <c r="AD14" s="37" t="s">
        <v>26</v>
      </c>
      <c r="AF14" s="118" t="s">
        <v>34</v>
      </c>
      <c r="AG14" s="119">
        <v>0</v>
      </c>
      <c r="AH14" s="119">
        <v>0</v>
      </c>
      <c r="AI14" s="116"/>
    </row>
    <row r="15" spans="1:35">
      <c r="E15" s="395" t="s">
        <v>44</v>
      </c>
      <c r="F15" s="396"/>
      <c r="G15" s="397" t="s">
        <v>44</v>
      </c>
      <c r="H15" s="398"/>
      <c r="J15" s="383" t="s">
        <v>44</v>
      </c>
      <c r="K15" s="384"/>
      <c r="L15" s="381" t="s">
        <v>44</v>
      </c>
      <c r="M15" s="382"/>
      <c r="O15" s="383" t="s">
        <v>44</v>
      </c>
      <c r="P15" s="384"/>
      <c r="Q15" s="381" t="s">
        <v>44</v>
      </c>
      <c r="R15" s="382"/>
      <c r="T15" s="383" t="s">
        <v>44</v>
      </c>
      <c r="U15" s="384"/>
      <c r="V15" s="381" t="s">
        <v>44</v>
      </c>
      <c r="W15" s="382"/>
      <c r="Y15" s="383" t="s">
        <v>44</v>
      </c>
      <c r="Z15" s="384"/>
      <c r="AA15" s="381" t="s">
        <v>44</v>
      </c>
      <c r="AB15" s="382"/>
      <c r="AF15" s="120" t="s">
        <v>29</v>
      </c>
      <c r="AG15" s="121">
        <v>9562</v>
      </c>
      <c r="AH15" s="121">
        <v>8925</v>
      </c>
      <c r="AI15" s="116"/>
    </row>
    <row r="16" spans="1:35">
      <c r="E16" s="37">
        <f>E4+E5+E6+E7+E9+E10+E12+E14</f>
        <v>1</v>
      </c>
      <c r="F16" s="29">
        <f>F4+F5+F6+F7+F9+F10+F12+F14</f>
        <v>9562</v>
      </c>
      <c r="G16" s="51">
        <f>G4+G5+G6+G7+G8+G9+G10+G11+G12+G13</f>
        <v>0</v>
      </c>
      <c r="H16" s="45">
        <f>H4+H5+H6+H7+H8+H9+H10+H11+H12+H13</f>
        <v>0</v>
      </c>
      <c r="J16" s="37">
        <f>J4+J5+J6+J7+J9+J10+J12+J14</f>
        <v>11</v>
      </c>
      <c r="K16" s="29">
        <f>K4+K5+K6+K7+K9+K10+K12+K14</f>
        <v>57374</v>
      </c>
      <c r="L16" s="51">
        <f>L4+L5+L6+L7+L8+L9+L10+L11+L12+L13</f>
        <v>164</v>
      </c>
      <c r="M16" s="45">
        <f>M4+M5+M6+M7+M8+M9+M10+M11+M12+M13</f>
        <v>1332125</v>
      </c>
      <c r="O16" s="37">
        <f>O4+O5+O6+O7+O8+O9+O10+O11+O12+O13+O14</f>
        <v>0</v>
      </c>
      <c r="P16" s="29">
        <f>P4+P5+P6+P7+P8+P9+P10+P11+P12+P13</f>
        <v>0</v>
      </c>
      <c r="Q16" s="51">
        <f>Q4+Q5+Q6+Q7+Q8+Q9+Q10+Q11+Q12+Q13</f>
        <v>0</v>
      </c>
      <c r="R16" s="45">
        <f>R4+R5+R6+R7+R8+R9+R10+R11+R12+R13</f>
        <v>0</v>
      </c>
      <c r="T16" s="37">
        <f>T4+T5+T6+T7+T8+T9+T10+T11+T12+T13+T14</f>
        <v>77</v>
      </c>
      <c r="U16" s="29">
        <f>U4+U5+U6+U7+U8+U9+U10+U11+U12+U13</f>
        <v>699090</v>
      </c>
      <c r="V16" s="51">
        <f>V4+V5+V6+V7+V8+V9+V10+V11+V12+V13</f>
        <v>0</v>
      </c>
      <c r="W16" s="45">
        <f>W4+W5+W6+W7+W8+W9+W10+W11+W12+W13</f>
        <v>0</v>
      </c>
      <c r="Y16" s="37">
        <f>Y4+Y5+Y6+Y7+Y8+Y9+Y10+Y11+Y12+Y13+Y14</f>
        <v>82</v>
      </c>
      <c r="Z16" s="29">
        <f>Z4+Z5+Z6+Z7+Z8+Z9+Z10+Z11+Z12+Z13</f>
        <v>701214</v>
      </c>
      <c r="AA16" s="51">
        <f>AA4+AA5+AA6+AA7+AA8+AA9+AA10+AA11+AA12+AA13</f>
        <v>0</v>
      </c>
      <c r="AB16" s="45">
        <f>AB4+AB5+AB6+AB7+AB8+AB9+AB10+AB11+AB12+AB13</f>
        <v>0</v>
      </c>
      <c r="AF16" s="118" t="s">
        <v>37</v>
      </c>
      <c r="AG16" s="119" t="s">
        <v>27</v>
      </c>
      <c r="AH16" s="119">
        <v>0</v>
      </c>
      <c r="AI16" s="116"/>
    </row>
    <row r="17" spans="3:35">
      <c r="E17" s="48"/>
      <c r="F17" s="49"/>
      <c r="G17" s="48"/>
      <c r="H17" s="49"/>
      <c r="J17" s="48"/>
      <c r="K17" s="49"/>
      <c r="L17" s="48"/>
      <c r="M17" s="49"/>
      <c r="O17" s="48"/>
      <c r="P17" s="49"/>
      <c r="Q17" s="48"/>
      <c r="R17" s="49"/>
      <c r="T17" s="48"/>
      <c r="U17" s="49"/>
      <c r="V17" s="48"/>
      <c r="W17" s="49"/>
      <c r="Y17" s="48"/>
      <c r="Z17" s="49"/>
      <c r="AA17" s="48"/>
      <c r="AB17" s="49"/>
      <c r="AF17" s="118"/>
      <c r="AG17" s="119"/>
      <c r="AH17" s="119"/>
      <c r="AI17" s="116"/>
    </row>
    <row r="18" spans="3:35">
      <c r="E18" s="395"/>
      <c r="F18" s="396"/>
      <c r="G18" s="261"/>
      <c r="H18" s="52"/>
      <c r="J18" s="380"/>
      <c r="K18" s="380"/>
      <c r="L18" s="261"/>
      <c r="M18" s="50"/>
      <c r="O18" s="380"/>
      <c r="P18" s="380"/>
      <c r="Q18" s="261"/>
      <c r="R18" s="50"/>
      <c r="T18" s="380"/>
      <c r="U18" s="380"/>
      <c r="V18" s="261"/>
      <c r="W18" s="50"/>
      <c r="Y18" s="380"/>
      <c r="Z18" s="380"/>
      <c r="AA18" s="261"/>
      <c r="AB18" s="50"/>
      <c r="AF18" s="118"/>
      <c r="AG18" s="119"/>
      <c r="AH18" s="119"/>
      <c r="AI18" s="116"/>
    </row>
    <row r="19" spans="3:35">
      <c r="E19" s="376" t="s">
        <v>3</v>
      </c>
      <c r="F19" s="377"/>
      <c r="G19" s="99">
        <f>COUNTIFS(General!F:F, "LICITANDO REPUESTOS", General!M:M, "A MIÑO")</f>
        <v>0</v>
      </c>
      <c r="H19" s="100"/>
      <c r="J19" s="376" t="s">
        <v>3</v>
      </c>
      <c r="K19" s="377"/>
      <c r="L19" s="99">
        <f>COUNTIFS(General!F:F, "LICITANDO REPUESTOS", General!M:M, "J. FERLANTI")</f>
        <v>16</v>
      </c>
      <c r="M19" s="100"/>
      <c r="O19" s="393" t="s">
        <v>3</v>
      </c>
      <c r="P19" s="394"/>
      <c r="Q19" s="99">
        <f>COUNTIFS(General!F:F, "LICITANDO REPUESTOS", General!M:M, "J NEIRA")</f>
        <v>0</v>
      </c>
      <c r="R19" s="100"/>
      <c r="T19" s="376" t="s">
        <v>3</v>
      </c>
      <c r="U19" s="377"/>
      <c r="V19" s="95"/>
      <c r="W19" s="96"/>
      <c r="Y19" s="376" t="s">
        <v>3</v>
      </c>
      <c r="Z19" s="377"/>
      <c r="AA19" s="95"/>
      <c r="AB19" s="96"/>
      <c r="AF19" s="122" t="s">
        <v>43</v>
      </c>
      <c r="AG19" s="123">
        <v>300</v>
      </c>
      <c r="AH19" s="123" t="s">
        <v>27</v>
      </c>
      <c r="AI19" s="117"/>
    </row>
    <row r="20" spans="3:35">
      <c r="E20" s="378" t="s">
        <v>85</v>
      </c>
      <c r="F20" s="379"/>
      <c r="G20" s="97"/>
      <c r="H20" s="98"/>
      <c r="J20" s="378" t="s">
        <v>85</v>
      </c>
      <c r="K20" s="379"/>
      <c r="L20" s="97">
        <f>COUNTIFS(General!F:F, "IP COORDINADA", General!M:M, "J. FERLANTI")</f>
        <v>34</v>
      </c>
      <c r="M20" s="98"/>
      <c r="O20" s="378" t="s">
        <v>85</v>
      </c>
      <c r="P20" s="379"/>
      <c r="Q20" s="97"/>
      <c r="R20" s="98"/>
      <c r="T20" s="378" t="s">
        <v>85</v>
      </c>
      <c r="U20" s="379"/>
      <c r="V20" s="97"/>
      <c r="W20" s="98"/>
      <c r="Y20" s="378" t="s">
        <v>85</v>
      </c>
      <c r="Z20" s="379"/>
      <c r="AA20" s="97"/>
      <c r="AB20" s="98"/>
    </row>
    <row r="21" spans="3:35">
      <c r="E21" s="374" t="s">
        <v>86</v>
      </c>
      <c r="F21" s="375"/>
      <c r="G21" s="46">
        <f>E4+E5+E6+E7+E9+E10+E12+E14+G4+G5+G6+G7+G8+G9+G10+G11+G12+G13</f>
        <v>1</v>
      </c>
      <c r="H21" s="47">
        <f>F16+H16+H18</f>
        <v>9562</v>
      </c>
      <c r="J21" s="374" t="s">
        <v>86</v>
      </c>
      <c r="K21" s="375"/>
      <c r="L21" s="46">
        <f>J4+J5+J6+J7+J9+J10+J12+J14+L4+L5+L6+L7+L9+L8+L10+L11+L12+L13</f>
        <v>175</v>
      </c>
      <c r="M21" s="47">
        <f>M16+M18+K16</f>
        <v>1389499</v>
      </c>
      <c r="O21" s="374" t="s">
        <v>86</v>
      </c>
      <c r="P21" s="375"/>
      <c r="Q21" s="46">
        <f>Q4+Q5+Q6+Q7+Q8+Q9+Q10+Q11+Q12+Q13+O4+O5+O6+O8+O7+O9+O10+O11+O12+O13</f>
        <v>0</v>
      </c>
      <c r="R21" s="47">
        <f>P16+R16</f>
        <v>0</v>
      </c>
      <c r="T21" s="374" t="s">
        <v>86</v>
      </c>
      <c r="U21" s="375"/>
      <c r="V21" s="46">
        <f>V4+V5+V6+V7+V8+V9+V10+V11+V12+V13+T4+T5+T6+T8+T7+T9+T10+T11+T12+T13</f>
        <v>77</v>
      </c>
      <c r="W21" s="47">
        <f>U16+W16</f>
        <v>699090</v>
      </c>
      <c r="Y21" s="374" t="s">
        <v>86</v>
      </c>
      <c r="Z21" s="375"/>
      <c r="AA21" s="46">
        <f>AA4+AA5+AA6+AA7+AA8+AA9+AA10+AA11+AA12+AA13+Y4+Y5+Y6+Y8+Y7+Y9+Y10+Y11+Y12+Y13</f>
        <v>75</v>
      </c>
      <c r="AB21" s="47">
        <f>Z16+AB16</f>
        <v>701214</v>
      </c>
    </row>
    <row r="22" spans="3:35">
      <c r="S22" t="s">
        <v>87</v>
      </c>
    </row>
    <row r="24" spans="3:35">
      <c r="C24" s="369" t="s">
        <v>1</v>
      </c>
      <c r="E24" s="385" t="s">
        <v>33</v>
      </c>
      <c r="F24" s="386"/>
      <c r="G24" s="386"/>
      <c r="H24" s="387"/>
      <c r="J24" s="385" t="s">
        <v>31</v>
      </c>
      <c r="K24" s="386"/>
      <c r="L24" s="386"/>
      <c r="M24" s="387"/>
      <c r="O24" s="385" t="s">
        <v>88</v>
      </c>
      <c r="P24" s="386"/>
      <c r="Q24" s="386"/>
      <c r="R24" s="387"/>
      <c r="T24" s="385" t="s">
        <v>22</v>
      </c>
      <c r="U24" s="386"/>
      <c r="V24" s="386"/>
      <c r="W24" s="387"/>
      <c r="Y24" s="385" t="s">
        <v>28</v>
      </c>
      <c r="Z24" s="386"/>
      <c r="AA24" s="386"/>
      <c r="AB24" s="387"/>
      <c r="AD24" s="369" t="s">
        <v>1</v>
      </c>
    </row>
    <row r="25" spans="3:35">
      <c r="C25" s="369"/>
      <c r="E25" s="388"/>
      <c r="F25" s="389"/>
      <c r="G25" s="389"/>
      <c r="H25" s="390"/>
      <c r="J25" s="388"/>
      <c r="K25" s="389"/>
      <c r="L25" s="389"/>
      <c r="M25" s="390"/>
      <c r="O25" s="388"/>
      <c r="P25" s="389"/>
      <c r="Q25" s="389"/>
      <c r="R25" s="390"/>
      <c r="T25" s="388"/>
      <c r="U25" s="389"/>
      <c r="V25" s="389"/>
      <c r="W25" s="390"/>
      <c r="Y25" s="388"/>
      <c r="Z25" s="389"/>
      <c r="AA25" s="389"/>
      <c r="AB25" s="390"/>
      <c r="AD25" s="369"/>
    </row>
    <row r="26" spans="3:35">
      <c r="E26" s="391" t="s">
        <v>83</v>
      </c>
      <c r="F26" s="391"/>
      <c r="G26" s="392" t="s">
        <v>8</v>
      </c>
      <c r="H26" s="392"/>
      <c r="J26" s="391" t="s">
        <v>83</v>
      </c>
      <c r="K26" s="391"/>
      <c r="L26" s="392" t="s">
        <v>8</v>
      </c>
      <c r="M26" s="392"/>
      <c r="O26" s="391" t="s">
        <v>83</v>
      </c>
      <c r="P26" s="391"/>
      <c r="Q26" s="392" t="s">
        <v>8</v>
      </c>
      <c r="R26" s="392"/>
      <c r="T26" s="391" t="s">
        <v>83</v>
      </c>
      <c r="U26" s="391"/>
      <c r="V26" s="392" t="s">
        <v>8</v>
      </c>
      <c r="W26" s="392"/>
      <c r="Y26" s="391" t="s">
        <v>83</v>
      </c>
      <c r="Z26" s="391"/>
      <c r="AA26" s="392" t="s">
        <v>8</v>
      </c>
      <c r="AB26" s="392"/>
    </row>
    <row r="27" spans="3:35" ht="15.75">
      <c r="C27" s="37" t="s">
        <v>10</v>
      </c>
      <c r="E27" s="254">
        <f>COUNTIFS(General!F:F, "IP CERRADA", General!K:K, "G DICLEMENTE", General!H:H, "PTE. APROBACION", General!G:G, "IP CON ORDEN", General!O:O, "&gt;="&amp;DATE(2025,11,1), General!O:O, "&lt;="&amp;DATE(2025,11,31))</f>
        <v>0</v>
      </c>
      <c r="F27" s="38">
        <f>E27*AG5</f>
        <v>0</v>
      </c>
      <c r="G27" s="55">
        <f>COUNTIFS(General!F:F, "IP CERRADA", General!M:M, "G DICLEMENTE", General!H:H, "PTE. APROBACION", General!G:G, "IP CON ORDEN", General!O:O, "&gt;="&amp;DATE(2025,11,1), General!O:O, "&lt;="&amp;DATE(2025,11,31))</f>
        <v>0</v>
      </c>
      <c r="H27" s="42">
        <f>G27*AH5</f>
        <v>0</v>
      </c>
      <c r="J27" s="254">
        <f>COUNTIFS(General!F:F, "IP CERRADA", General!K:K, "R. FRANCO", General!H:H, "PTE. APROBACION", General!G:G, "IP CON ORDEN", General!O:O, "&gt;="&amp;DATE(2025,11,1), General!O:O, "&lt;="&amp;DATE(2025,11,31))</f>
        <v>0</v>
      </c>
      <c r="K27" s="38">
        <f>J27*AG5</f>
        <v>0</v>
      </c>
      <c r="L27" s="41">
        <f>COUNTIFS(General!F:F, "IP CERRADA", General!M:M, "R. FRANCO", General!H:H, "PTE. APROBACION", General!G:G, "IP CON ORDEN", General!O:O, "&gt;="&amp;DATE(2025,11,1), General!O:O, "&lt;="&amp;DATE(2025,11,31))</f>
        <v>0</v>
      </c>
      <c r="M27" s="42">
        <f>L27*AH5</f>
        <v>0</v>
      </c>
      <c r="O27" s="254">
        <f>COUNTIFS(General!F:F, "IP CERRADA", General!K:K, "R ARIN", General!H:H, "PTE. APROBACION", General!G:G, "IP CON ORDEN", General!O:O, "&gt;="&amp;DATE(2025,11,1), General!O:O, "&lt;="&amp;DATE(2025,11,31))</f>
        <v>0</v>
      </c>
      <c r="P27" s="38">
        <f>O27*AG5</f>
        <v>0</v>
      </c>
      <c r="Q27" s="41">
        <f>COUNTIFS(General!F:F, "IP CERRADA", General!M:M, "R ARIN", General!H:H, "PTE. APROBACION", General!G:G, "IP CON ORDEN", General!O:O, "&gt;="&amp;DATE(2025,11,1), General!O:O, "&lt;="&amp;DATE(2025,11,31))</f>
        <v>0</v>
      </c>
      <c r="R27" s="42">
        <f>Q27*AH5</f>
        <v>0</v>
      </c>
      <c r="T27" s="254">
        <f>COUNTIFS(General!F:F, "IP CERRADA", General!K:K, "C. CRIBARI", General!H:H, "PTE. APROBACION", General!G:G, "IP CON ORDEN", General!O:O, "&gt;="&amp;DATE(2025,11,1), General!O:O, "&lt;="&amp;DATE(2025,11,31)) + COUNTIFS(General!F:F, "PARA FACTURAR", General!K:K, "C. CRIBARI", General!G:G, "IP CON ORDEN", General!O:O, "&gt;="&amp;DATE(2025,11,1), General!O:O, "&lt;="&amp;DATE(2025,11,31))</f>
        <v>0</v>
      </c>
      <c r="U27" s="38">
        <f>T27*AG5</f>
        <v>0</v>
      </c>
      <c r="V27" s="41">
        <f>COUNTIFS(General!F:F, "IP CERRADA", General!M:M, "C. CRIBARI", General!H:H, "PTE. APROBACION", General!G:G, "IP CON ORDEN", General!O:O, "&gt;="&amp;DATE(2025,11,1), General!O:O, "&lt;="&amp;DATE(2025,11,31)) + COUNTIFS(General!F:F, "PARA FACTURAR", General!M:M, "C. CRIBARI", General!H:H, "EN TRAMITE", General!G:G, "IP CON ORDEN")</f>
        <v>0</v>
      </c>
      <c r="W27" s="42">
        <f>V27*AH5</f>
        <v>0</v>
      </c>
      <c r="Y27" s="254">
        <f>COUNTIFS(General!F:F, "IP CERRADA", General!K:K, "E DZYHAJLO", General!H:H, "PTE. APROBACION", General!G:G, "IP CON ORDEN", General!O:O, "&gt;="&amp;DATE(2025,11,1), General!O:O, "&lt;="&amp;DATE(2025,11,31))</f>
        <v>0</v>
      </c>
      <c r="Z27" s="38">
        <f>Y27*AG5</f>
        <v>0</v>
      </c>
      <c r="AA27" s="41"/>
      <c r="AB27" s="42">
        <f>AA27*AH5</f>
        <v>0</v>
      </c>
      <c r="AD27" s="37" t="s">
        <v>10</v>
      </c>
    </row>
    <row r="28" spans="3:35" ht="15.75">
      <c r="C28" s="261" t="s">
        <v>15</v>
      </c>
      <c r="E28" s="39">
        <f>COUNTIFS(General!F:F, "IP CERRADA", General!K:K, "G DICLEMENTE", General!H:H, "PTE. APROBACION", General!G:G, "POSIBLE DT", General!O:O, "&gt;="&amp;DATE(2025,11,1), General!O:O, "&lt;="&amp;DATE(2025,11,31))</f>
        <v>0</v>
      </c>
      <c r="F28" s="53">
        <f>E28*AG7</f>
        <v>0</v>
      </c>
      <c r="G28" s="43">
        <f>COUNTIFS(General!F:F, "IP CERRADA", General!M:M, "G DICLEMENTE", General!H:H, "PTE. APROBACION", General!G:G, "POSIBLE DT", General!O:O, "&gt;="&amp;DATE(2025,11,1), General!O:O, "&lt;="&amp;DATE(2025,11,31))</f>
        <v>0</v>
      </c>
      <c r="H28" s="54">
        <f>G28*AH7</f>
        <v>0</v>
      </c>
      <c r="J28" s="39">
        <f>COUNTIFS(General!F:F, "IP CERRADA", General!K:K, "R. FRANCO", General!H:H, "PTE. APROBACION", General!G:G, "POSIBLE DT", General!O:O, "&gt;="&amp;DATE(2025,11,1), General!O:O, "&lt;="&amp;DATE(2025,11,31))</f>
        <v>0</v>
      </c>
      <c r="K28" s="40">
        <f>J28*AG7</f>
        <v>0</v>
      </c>
      <c r="L28" s="43">
        <f>COUNTIFS(General!F:F, "IP CERRADA", General!M:M, "R. FRANCO", General!H:H, "PTE. APROBACION", General!G:G, "POSIBLE DT", General!O:O, "&gt;="&amp;DATE(2025,11,1), General!O:O, "&lt;="&amp;DATE(2025,11,31))</f>
        <v>0</v>
      </c>
      <c r="M28" s="44">
        <f>L28*AH7</f>
        <v>0</v>
      </c>
      <c r="O28" s="39">
        <f>COUNTIFS(General!F:F, "IP CERRADA", General!K:K, "R ARIN", General!H:H, "PTE. APROBACION", General!G:G, "POSIBLE DT", General!O:O, "&gt;="&amp;DATE(2025,11,1), General!O:O, "&lt;="&amp;DATE(2025,11,31))</f>
        <v>0</v>
      </c>
      <c r="P28" s="40">
        <f>O28*AG7</f>
        <v>0</v>
      </c>
      <c r="Q28" s="43">
        <f>COUNTIFS(General!F:F, "IP CERRADA", General!M:M, "R ARIN", General!H:H, "PTE. APROBACION", General!G:G, "POSIBLE DT", General!O:O, "&gt;="&amp;DATE(2025,11,1), General!O:O, "&lt;="&amp;DATE(2025,11,31))</f>
        <v>0</v>
      </c>
      <c r="R28" s="44">
        <f>Q28*AH7</f>
        <v>0</v>
      </c>
      <c r="T28" s="39">
        <f>COUNTIFS(General!F:F, "IP CERRADA", General!K:K, "C. CRIBARI", General!H:H, "PTE. APROBACION", General!G:G, "POSIBLE DT", General!O:O, "&gt;="&amp;DATE(2025,11,1), General!O:O, "&lt;="&amp;DATE(2025,11,31)) + COUNTIFS(General!F:F, "PARA FACTURAR", General!K:K, "C. CRIBARI", General!G:G, "POSIBLE DT", General!O:O, "&gt;="&amp;DATE(2025,11,1), General!O:O, "&lt;="&amp;DATE(2025,11,31))</f>
        <v>0</v>
      </c>
      <c r="U28" s="40">
        <f>T28*AG7</f>
        <v>0</v>
      </c>
      <c r="V28" s="43">
        <f>COUNTIFS(General!F:F, "IP CERRADA", General!M:M, "C. CRIBARI", General!H:H, "PTE. APROBACION", General!G:G, "POSIBLE DT", General!O:O, "&gt;="&amp;DATE(2025,11,1), General!O:O, "&lt;="&amp;DATE(2025,11,31)) + COUNTIFS(General!F:F, "PARA FACTURAR", General!M:M, "C. CRIBARI", General!H:H, "EN TRAMITE", General!G:G, "POSIBLE DT", General!O:O, "&gt;="&amp;DATE(2025,11,1), General!O:O, "&lt;="&amp;DATE(2025,11,31))</f>
        <v>0</v>
      </c>
      <c r="W28" s="44">
        <f>V28*AH7</f>
        <v>0</v>
      </c>
      <c r="Y28" s="39">
        <f>COUNTIFS(General!F:F, "IP CERRADA", General!K:K, "E DZYHAJLO", General!H:H, "PTE. APROBACION", General!G:G, "POSIBLE DT", General!O:O, "&gt;="&amp;DATE(2025,11,1), General!O:O, "&lt;="&amp;DATE(2025,11,31))</f>
        <v>0</v>
      </c>
      <c r="Z28" s="40">
        <f>Y28*AG7</f>
        <v>0</v>
      </c>
      <c r="AA28" s="43"/>
      <c r="AB28" s="44">
        <f>AA28*AH7</f>
        <v>0</v>
      </c>
      <c r="AD28" s="261" t="s">
        <v>15</v>
      </c>
    </row>
    <row r="29" spans="3:35" ht="15.75">
      <c r="C29" s="37" t="s">
        <v>18</v>
      </c>
      <c r="E29" s="254">
        <f>COUNTIFS(General!F:F, "IP CERRADA", General!K:K, "G DICLEMENTE", General!H:H, "PTE. APROBACION", General!G:G, "IP SIN ORDEN", General!O:O, "&gt;="&amp;DATE(2025,11,1), General!O:O, "&lt;="&amp;DATE(2025,11,31))</f>
        <v>0</v>
      </c>
      <c r="F29" s="38">
        <f>E29*AG8</f>
        <v>0</v>
      </c>
      <c r="G29" s="56">
        <f>COUNTIFS(General!F:F, "IP CERRADA", General!M:M, "G DICLEMENTE", General!H:H, "PTE. APROBACION", General!G:G, "IP SIN ORDEN", General!O:O, "&gt;="&amp;DATE(2025,11,1), General!O:O, "&lt;="&amp;DATE(2025,11,31))</f>
        <v>0</v>
      </c>
      <c r="H29" s="42">
        <f>G29*AH8</f>
        <v>0</v>
      </c>
      <c r="J29" s="254">
        <f>COUNTIFS(General!F:F, "IP CERRADA", General!K:K, "R. FRANCO", General!H:H, "PTE. APROBACION", General!G:G, "IP SIN ORDEN", General!O:O, "&gt;="&amp;DATE(2025,11,1), General!O:O, "&lt;="&amp;DATE(2025,11,31))</f>
        <v>0</v>
      </c>
      <c r="K29" s="38">
        <f>J29*AG8</f>
        <v>0</v>
      </c>
      <c r="L29" s="41">
        <f>COUNTIFS(General!F:F, "IP CERRADA", General!M:M, "R. FRANCO", General!H:H, "PTE. APROBACION", General!G:G, "IP SIN ORDEN", General!O:O, "&gt;="&amp;DATE(2025,11,1), General!O:O, "&lt;="&amp;DATE(2025,11,31))</f>
        <v>0</v>
      </c>
      <c r="M29" s="42">
        <f>L29*AH8</f>
        <v>0</v>
      </c>
      <c r="O29" s="254">
        <f>COUNTIFS(General!F:F, "IP CERRADA", General!K:K, "R ARIN", General!H:H, "PTE. APROBACION", General!G:G, "IP SIN ORDEN", General!O:O, "&gt;="&amp;DATE(2025,11,1), General!O:O, "&lt;="&amp;DATE(2025,11,31))</f>
        <v>0</v>
      </c>
      <c r="P29" s="38">
        <f>O29*AG8</f>
        <v>0</v>
      </c>
      <c r="Q29" s="41">
        <f>COUNTIFS(General!F:F, "IP CERRADA", General!M:M, "R ARIN", General!H:H, "PTE. APROBACION", General!G:G, "IP SIN ORDEN", General!O:O, "&gt;="&amp;DATE(2025,11,1), General!O:O, "&lt;="&amp;DATE(2025,11,31))</f>
        <v>0</v>
      </c>
      <c r="R29" s="42">
        <f>Q29*AH8</f>
        <v>0</v>
      </c>
      <c r="T29" s="254">
        <f>COUNTIFS(General!F:F, "IP CERRADA", General!K:K, "C. CRIBARI", General!H:H, "PTE. APROBACION", General!G:G, "IP SIN ORDEN", General!O:O, "&gt;="&amp;DATE(2025,11,1), General!O:O, "&lt;="&amp;DATE(2025,11,31)) + COUNTIFS(General!F:F, "PARA FACTURAR", General!K:K, "C. CRIBARI", General!G:G, "IP SIN ORDEN", General!O:O, "&gt;="&amp;DATE(2025,11,1), General!O:O, "&lt;="&amp;DATE(2025,11,31))</f>
        <v>0</v>
      </c>
      <c r="U29" s="38">
        <f>T29*AG8</f>
        <v>0</v>
      </c>
      <c r="V29" s="41">
        <f>COUNTIFS(General!F:F, "IP CERRADA", General!M:M, "C. CRIBARI", General!H:H, "PTE. APROBACION", General!G:G, "IP SIN ORDEN", General!O:O, "&gt;="&amp;DATE(2025,11,1), General!O:O, "&lt;="&amp;DATE(2025,11,31)) + COUNTIFS(General!F:F, "PARA FACTURAR", General!M:M, "C. CRIBARI", General!H:H, "EN TRAMITE", General!G:G, "IP SIN ORDEN", General!O:O, "&gt;="&amp;DATE(2025,11,1), General!O:O, "&lt;="&amp;DATE(2025,11,31))</f>
        <v>0</v>
      </c>
      <c r="W29" s="42">
        <f>V29*AH8</f>
        <v>0</v>
      </c>
      <c r="Y29" s="254">
        <f>COUNTIFS(General!F:F, "IP CERRADA", General!K:K, "E DZYHAJLO", General!H:H, "PTE. APROBACION", General!G:G, "IP SIN ORDEN", General!O:O, "&gt;="&amp;DATE(2025,11,1), General!O:O, "&lt;="&amp;DATE(2025,11,31))</f>
        <v>0</v>
      </c>
      <c r="Z29" s="38">
        <f>Y29*AG8</f>
        <v>0</v>
      </c>
      <c r="AA29" s="41"/>
      <c r="AB29" s="42">
        <f>AA29*AH8</f>
        <v>0</v>
      </c>
      <c r="AD29" s="37" t="s">
        <v>18</v>
      </c>
    </row>
    <row r="30" spans="3:35" ht="15.75">
      <c r="C30" s="261" t="s">
        <v>21</v>
      </c>
      <c r="E30" s="39">
        <f>COUNTIFS(General!F:F, "IP CERRADA", General!K:K, "G DICLEMENTE", General!H:H, "PTE. APROBACION", General!G:G, "AMPLIACION", General!O:O, "&gt;="&amp;DATE(2025,11,1), General!O:O, "&lt;="&amp;DATE(2025,11,31))</f>
        <v>0</v>
      </c>
      <c r="F30" s="40">
        <f>E30*AG9</f>
        <v>0</v>
      </c>
      <c r="G30" s="43">
        <f>COUNTIFS(General!F:F, "IP CERRADA", General!M:M, "G DICLEMENTE", General!H:H, "PTE. APROBACION", General!G:G, "AMPLIACION", General!O:O, "&gt;="&amp;DATE(2025,11,1), General!O:O, "&lt;="&amp;DATE(2025,11,31))</f>
        <v>0</v>
      </c>
      <c r="H30" s="44">
        <f>G30*AH9</f>
        <v>0</v>
      </c>
      <c r="J30" s="39">
        <f>COUNTIFS(General!F:F, "IP CERRADA", General!K:K, "R. FRANCO", General!H:H, "PTE. APROBACION", General!G:G, "AMPLIACION", General!O:O, "&gt;="&amp;DATE(2025,11,1), General!O:O, "&lt;="&amp;DATE(2025,11,31))</f>
        <v>0</v>
      </c>
      <c r="K30" s="40">
        <f>J30*AG9</f>
        <v>0</v>
      </c>
      <c r="L30" s="43">
        <f>COUNTIFS(General!F:F, "IP CERRADA", General!M:M, "R. FRANCO", General!H:H, "PTE. APROBACION", General!G:G, "AMPLIACION", General!O:O, "&gt;="&amp;DATE(2025,11,1), General!O:O, "&lt;="&amp;DATE(2025,11,31))</f>
        <v>0</v>
      </c>
      <c r="M30" s="44">
        <f>L30*AH9</f>
        <v>0</v>
      </c>
      <c r="O30" s="39">
        <f>COUNTIFS(General!F:F, "IP CERRADA", General!K:K, "R ARIN", General!H:H, "PTE. APROBACION", General!G:G, "AMPLIACION", General!O:O, "&gt;="&amp;DATE(2025,11,1), General!O:O, "&lt;="&amp;DATE(2025,11,31))</f>
        <v>0</v>
      </c>
      <c r="P30" s="40">
        <f>O30*AG9</f>
        <v>0</v>
      </c>
      <c r="Q30" s="43">
        <f>COUNTIFS(General!F:F, "IP CERRADA", General!M:M, "R ARIN", General!H:H, "PTE. APROBACION", General!G:G, "AMPLIACION", General!O:O, "&gt;="&amp;DATE(2025,11,1), General!O:O, "&lt;="&amp;DATE(2025,11,31))</f>
        <v>0</v>
      </c>
      <c r="R30" s="44">
        <f>Q30*AH9</f>
        <v>0</v>
      </c>
      <c r="T30" s="39">
        <f>COUNTIFS(General!F:F, "IP CERRADA", General!K:K, "C. CRIBARI", General!H:H, "PTE. APROBACION", General!G:G, "AMPLIACION", General!O:O, "&gt;="&amp;DATE(2025,11,1), General!O:O, "&lt;="&amp;DATE(2025,11,31)) + COUNTIFS(General!F:F, "PARA FACTURAR", General!K:K, "C. CRIBARI", General!G:G, "AMPLIACION", General!O:O, "&gt;="&amp;DATE(2025,11,1), General!O:O, "&lt;="&amp;DATE(2025,11,31))</f>
        <v>0</v>
      </c>
      <c r="U30" s="40">
        <f>T30*AG9</f>
        <v>0</v>
      </c>
      <c r="V30" s="43">
        <f>COUNTIFS(General!F:F, "IP SIN ORDEN", General!M:M, "C. CRIBARI", General!H:H, "PTE. APROBACION", General!G:G, "AMPLIACION", General!O:O, "&gt;="&amp;DATE(2025,11,1), General!O:O, "&lt;="&amp;DATE(2025,11,31)) + COUNTIFS(General!F:F, "PARA FACTURAR", General!M:M, "C. CRIBARI", General!H:H, "EN TRAMITE", General!G:G, "AMPLIACION", General!O:O, "&gt;="&amp;DATE(2025,11,1), General!O:O, "&lt;="&amp;DATE(2025,11,31))</f>
        <v>0</v>
      </c>
      <c r="W30" s="44">
        <f>V30*AH9</f>
        <v>0</v>
      </c>
      <c r="Y30" s="39">
        <f>COUNTIFS(General!F:F, "IP CERRADA", General!K:K, "E DZYHAJLO", General!H:H, "PTE. APROBACION", General!G:G, "AMPLIACION", General!O:O, "&gt;="&amp;DATE(2025,11,1), General!O:O, "&lt;="&amp;DATE(2025,11,31))</f>
        <v>0</v>
      </c>
      <c r="Z30" s="40">
        <f>Y30*AG9</f>
        <v>0</v>
      </c>
      <c r="AA30" s="43"/>
      <c r="AB30" s="44">
        <f>AA30*AH9</f>
        <v>0</v>
      </c>
      <c r="AD30" s="261" t="s">
        <v>21</v>
      </c>
    </row>
    <row r="31" spans="3:35" ht="15.75">
      <c r="C31" s="37" t="s">
        <v>24</v>
      </c>
      <c r="E31" s="254"/>
      <c r="F31" s="38"/>
      <c r="G31" s="41">
        <f>COUNTIFS(General!F:F, "IP CERRADA", General!M:M, "G DICLEMENTE", General!H:H, "PTE. APROBACION", General!G:G, "ENVIO DE ORDEN", General!O:O, "&gt;="&amp;DATE(2025,11,1), General!O:O, "&lt;="&amp;DATE(2025,11,31))</f>
        <v>0</v>
      </c>
      <c r="H31" s="42">
        <f>G31*AH10</f>
        <v>0</v>
      </c>
      <c r="J31" s="254"/>
      <c r="K31" s="38"/>
      <c r="L31" s="41">
        <f>COUNTIFS(General!F:F, "IP CERRADA", General!M:M, "R. FRANCO", General!H:H, "PTE. APROBACION", General!G:G, "ENVIO DE ORDEN", General!O:O, "&gt;="&amp;DATE(2025,11,1), General!O:O, "&lt;="&amp;DATE(2025,11,31))</f>
        <v>0</v>
      </c>
      <c r="M31" s="42">
        <f>L31*AH10</f>
        <v>0</v>
      </c>
      <c r="O31" s="254"/>
      <c r="P31" s="38"/>
      <c r="Q31" s="41">
        <f>COUNTIFS(General!F:F, "IP CERRADA", General!M:M, "R ARIN", General!H:H, "PTE. APROBACION", General!G:G, "ENVIO DE ORDEN", General!O:O, "&gt;="&amp;DATE(2025,11,1), General!O:O, "&lt;="&amp;DATE(2025,11,31))</f>
        <v>0</v>
      </c>
      <c r="R31" s="42">
        <f>Q31*AH10</f>
        <v>0</v>
      </c>
      <c r="T31" s="254"/>
      <c r="U31" s="38"/>
      <c r="V31" s="41">
        <f>COUNTIFS(General!P:P, "IP SIN ORDEN", General!AC:AC, "J. FERLANTI", General!R:R, "PTE. APROBACION", General!Q:Q, "ENVIO DE ORDEN", General!AE:AE, "&gt;="&amp;DATE(2024,5,1), General!AE:AE, "&lt;="&amp;DATE(2024,5,31)) + COUNTIFS(General!P:P, "PARA FACTURAR", General!AC:AC, "J. FERLANTI", General!R:R, "EN TRAMITE", General!Q:Q, "ENVIO DE ORDEN", General!AE:AE, "&gt;="&amp;DATE(2024,5,1), General!AE:AE, "&lt;="&amp;DATE(2024,5,31))</f>
        <v>0</v>
      </c>
      <c r="W31" s="42">
        <f>V31*AH10</f>
        <v>0</v>
      </c>
      <c r="Y31" s="254"/>
      <c r="Z31" s="38"/>
      <c r="AA31" s="41"/>
      <c r="AB31" s="42">
        <f>AA31*AH10</f>
        <v>0</v>
      </c>
      <c r="AD31" s="37" t="s">
        <v>24</v>
      </c>
    </row>
    <row r="32" spans="3:35" ht="15.75">
      <c r="C32" s="261" t="s">
        <v>29</v>
      </c>
      <c r="E32" s="39">
        <f>COUNTIFS(General!F:F, "IP CERRADA", General!K:K, "G DICLEMENTE", General!H:H, "PTE. APROBACION", General!G:G, "IP CAMIONES", General!O:O, "&gt;="&amp;DATE(2025,11,1), General!O:O, "&lt;="&amp;DATE(2025,11,31))</f>
        <v>0</v>
      </c>
      <c r="F32" s="40">
        <f>E32*AG15</f>
        <v>0</v>
      </c>
      <c r="G32" s="43">
        <f>COUNTIFS(General!F:F, "IP CERRADA", General!M:M, "G DICLEMENTE", General!H:H, "PTE. APROBACION", General!G:G, "IP CAMIONES", General!O:O, "&gt;="&amp;DATE(2025,11,1), General!O:O, "&lt;="&amp;DATE(2025,11,31))</f>
        <v>0</v>
      </c>
      <c r="H32" s="44">
        <f>G32*AH15</f>
        <v>0</v>
      </c>
      <c r="J32" s="39">
        <f>COUNTIFS(General!F:F, "IP CERRADA", General!K:K, "R. FRANCO", General!H:H, "PTE. APROBACION", General!G:G, "IP CAMIONES", General!O:O, "&gt;="&amp;DATE(2025,11,1), General!O:O, "&lt;="&amp;DATE(2025,11,31))</f>
        <v>0</v>
      </c>
      <c r="K32" s="40">
        <f>J32*AG15</f>
        <v>0</v>
      </c>
      <c r="L32" s="43">
        <f>COUNTIFS(General!F:F, "IP CERRADA", General!M:M, "R. FRANCO", General!H:H, "PTE. APROBACION", General!G:G, "IP CAMIONES", General!O:O, "&gt;="&amp;DATE(2025,11,1), General!O:O, "&lt;="&amp;DATE(2025,11,31))</f>
        <v>0</v>
      </c>
      <c r="M32" s="44">
        <f>L32*AH15</f>
        <v>0</v>
      </c>
      <c r="O32" s="39">
        <f>COUNTIFS(General!F:F, "IP CERRADA", General!K:K, "R ARIN", General!H:H, "PTE. APROBACION", General!G:G, "IP CAMIONES", General!O:O, "&gt;="&amp;DATE(2025,11,1), General!O:O, "&lt;="&amp;DATE(2025,11,31))</f>
        <v>0</v>
      </c>
      <c r="P32" s="40">
        <f>O32*AG15</f>
        <v>0</v>
      </c>
      <c r="Q32" s="43">
        <f>COUNTIFS(General!F:F, "IP CERRADA", General!M:M, "R ARIN", General!H:H, "PTE. APROBACION", General!G:G, "IP CAMIONES", General!O:O, "&gt;="&amp;DATE(2025,11,1), General!O:O, "&lt;="&amp;DATE(2025,11,31))</f>
        <v>0</v>
      </c>
      <c r="R32" s="44">
        <f>Q32*AH15</f>
        <v>0</v>
      </c>
      <c r="T32" s="39">
        <f>COUNTIFS(General!F:F, "IP CERRADA", General!K:K, "C. CRIBARI", General!H:H, "PTE. APROBACION", General!G:G, "IP CAMIONES", General!O:O, "&gt;="&amp;DATE(2025,11,1), General!O:O, "&lt;="&amp;DATE(2025,11,31)) + COUNTIFS(General!F:F, "PARA FACTURAR", General!K:K, "C. CRIBARI", General!G:G, "IP CAMIONES", General!O:O, "&gt;="&amp;DATE(2025,11,1), General!O:O, "&lt;="&amp;DATE(2025,11,31))</f>
        <v>0</v>
      </c>
      <c r="U32" s="40">
        <f>T32*AG15</f>
        <v>0</v>
      </c>
      <c r="V32" s="43">
        <f>COUNTIFS(General!P:P, "IP CERRADA", General!AC:AC, "J. FERLANTI", General!R:R, "PTE. APROBACION", General!Q:Q, "IP CAMIONES", General!AE:AE, "&gt;="&amp;DATE(2024,5,1), General!AE:AE, "&lt;="&amp;DATE(2024,5,31))</f>
        <v>0</v>
      </c>
      <c r="W32" s="44">
        <f>V32*AH15</f>
        <v>0</v>
      </c>
      <c r="Y32" s="39">
        <f>COUNTIFS(General!F:F, "IP CERRADA", General!K:K, "E DZYHAJLO", General!H:H, "PTE. APROBACION", General!G:G, "IP CAMIONES", General!O:O, "&gt;="&amp;DATE(2025,11,1), General!O:O, "&lt;="&amp;DATE(2025,11,31))</f>
        <v>0</v>
      </c>
      <c r="Z32" s="40">
        <f>Y32*AG15</f>
        <v>0</v>
      </c>
      <c r="AA32" s="43"/>
      <c r="AB32" s="44">
        <f>AA32*AH15</f>
        <v>0</v>
      </c>
      <c r="AD32" s="261" t="s">
        <v>29</v>
      </c>
    </row>
    <row r="33" spans="3:30" ht="15.75">
      <c r="C33" s="37" t="s">
        <v>30</v>
      </c>
      <c r="E33" s="254">
        <f>COUNTIFS(General!F:F, "IP CERRADA", General!K:K, "G DICLEMENTE", General!H:H, "PTE. APROBACION", General!G:G, "TERCEROS", General!O:O, "&gt;="&amp;DATE(2024,3,1), General!O:O, "&gt;="&amp;DATE(2025,11,1), General!O:O, "&lt;="&amp;DATE(2025,11,31))</f>
        <v>0</v>
      </c>
      <c r="F33" s="38">
        <f>E33*AG12</f>
        <v>0</v>
      </c>
      <c r="G33" s="41">
        <f>COUNTIFS(General!F:F, "IP CERRADA", General!M:M, "G DICLEMENTE", General!H:H, "PTE. APROBACION", General!G:G, "TERCEROS", General!O:O, "&gt;="&amp;DATE(2025,11,1), General!O:O, "&lt;="&amp;DATE(2025,11,31))</f>
        <v>0</v>
      </c>
      <c r="H33" s="42">
        <f>G33*AH12</f>
        <v>0</v>
      </c>
      <c r="J33" s="254">
        <f>COUNTIFS(General!F:F, "IP CERRADA", General!K:K, "R. FRANCO", General!H:H, "PTE. APROBACION", General!G:G, "TERCEROS", General!O:O, "&gt;="&amp;DATE(2024,3,1), General!O:O, "&gt;="&amp;DATE(2025,11,1), General!O:O, "&lt;="&amp;DATE(2025,11,31))</f>
        <v>0</v>
      </c>
      <c r="K33" s="38">
        <f>J33*AG12</f>
        <v>0</v>
      </c>
      <c r="L33" s="41">
        <f>COUNTIFS(General!F:F, "IP CERRADA", General!M:M, "R. FRANCO", General!H:H, "PTE. APROBACION", General!G:G, "TERCEROS", General!O:O, "&gt;="&amp;DATE(2025,11,1), General!O:O, "&lt;="&amp;DATE(2025,11,31))</f>
        <v>0</v>
      </c>
      <c r="M33" s="42">
        <f>L33*AH12</f>
        <v>0</v>
      </c>
      <c r="O33" s="254">
        <f>COUNTIFS(General!F:F, "IP CERRADA", General!K:K, "R ARIN", General!H:H, "PTE. APROBACION", General!G:G, "TERCEROS", General!O:O, "&gt;="&amp;DATE(2024,3,1), General!O:O, "&gt;="&amp;DATE(2025,11,1), General!O:O, "&lt;="&amp;DATE(2025,11,31))</f>
        <v>0</v>
      </c>
      <c r="P33" s="38">
        <f>O33*AG12</f>
        <v>0</v>
      </c>
      <c r="Q33" s="41">
        <f>COUNTIFS(General!F:F, "IP CERRADA", General!M:M, "R ARIN", General!H:H, "PTE. APROBACION", General!G:G, "TERCEROS", General!O:O, "&gt;="&amp;DATE(2025,11,1), General!O:O, "&lt;="&amp;DATE(2025,11,31))</f>
        <v>0</v>
      </c>
      <c r="R33" s="42">
        <f>Q33*AH12</f>
        <v>0</v>
      </c>
      <c r="T33" s="254">
        <f>COUNTIFS(General!F:F, "IP CERRADA", General!K:K, "C. CRIBARI", General!H:H, "PTE. APROBACION", General!G:G, "TERCEROS", General!O:O, "&gt;="&amp;DATE(2024,3,1), General!O:O, "&gt;="&amp;DATE(2025,11,1), General!O:O, "&lt;="&amp;DATE(2025,11,31)) + COUNTIFS(General!F:F, "PARA FACTURAR", General!K:K, "C. CRIBARI", General!G:G, "TERCEROS", General!O:O, "&gt;="&amp;DATE(2025,11,1), General!O:O, "&lt;="&amp;DATE(2025,11,31))</f>
        <v>0</v>
      </c>
      <c r="U33" s="38">
        <f>T33*AG12</f>
        <v>0</v>
      </c>
      <c r="V33" s="41">
        <f>COUNTIFS(General!F:F, "IP CERRADA", General!M:M, "J. FERLANTI", General!H:H, "PTE. APROBACION", General!G:G, "IP CAMIONES", General!O:O, "&gt;="&amp;DATE(2025,11,1), General!O:O, "&lt;="&amp;DATE(2025,11,31))</f>
        <v>0</v>
      </c>
      <c r="W33" s="42">
        <f>V33*AH12</f>
        <v>0</v>
      </c>
      <c r="Y33" s="254">
        <f>COUNTIFS(General!F:F, "IP CERRADA", General!K:K, "E DZYHAJLO", General!H:H, "PTE. APROBACION", General!G:G, "TERCEROS", General!O:O, "&gt;="&amp;DATE(2024,3,1), General!O:O, "&gt;="&amp;DATE(2025,11,1), General!O:O, "&lt;="&amp;DATE(2025,11,31))</f>
        <v>0</v>
      </c>
      <c r="Z33" s="38">
        <f>Y33*AG12</f>
        <v>0</v>
      </c>
      <c r="AA33" s="41"/>
      <c r="AB33" s="42">
        <f>AA33*AH12</f>
        <v>0</v>
      </c>
      <c r="AD33" s="37" t="s">
        <v>30</v>
      </c>
    </row>
    <row r="34" spans="3:30" ht="15.75">
      <c r="C34" s="261" t="s">
        <v>32</v>
      </c>
      <c r="E34" s="39"/>
      <c r="F34" s="40"/>
      <c r="G34" s="43">
        <f>COUNTIFS(General!F:F, "IP CERRADA", General!M:M, "G DICLEMENTE", General!H:H, "PTE. APROBACION", General!G:G, "FOTOS", General!O:O, "&gt;="&amp;DATE(2025,11,1), General!O:O, "&lt;="&amp;DATE(2025,11,31))</f>
        <v>0</v>
      </c>
      <c r="H34" s="44">
        <f>G34*AH13</f>
        <v>0</v>
      </c>
      <c r="J34" s="39"/>
      <c r="K34" s="40"/>
      <c r="L34" s="43">
        <f>COUNTIFS(General!F:F, "IP CERRADA", General!M:M, "R. FRANCO", General!H:H, "PTE. APROBACION", General!G:G, "FOTOS", General!O:O, "&gt;="&amp;DATE(2025,11,1), General!O:O, "&lt;="&amp;DATE(2025,11,31))</f>
        <v>0</v>
      </c>
      <c r="M34" s="44">
        <f>L34*AH13</f>
        <v>0</v>
      </c>
      <c r="O34" s="39"/>
      <c r="P34" s="40"/>
      <c r="Q34" s="43">
        <f>COUNTIFS(General!F:F, "IP CERRADA", General!M:M, "R ARIN", General!H:H, "PTE. APROBACION", General!G:G, "FOTOS", General!O:O, "&gt;="&amp;DATE(2025,11,1), General!O:O, "&lt;="&amp;DATE(2025,11,31))</f>
        <v>0</v>
      </c>
      <c r="R34" s="44">
        <f>Q34*AH13</f>
        <v>0</v>
      </c>
      <c r="T34" s="39"/>
      <c r="U34" s="40"/>
      <c r="V34" s="43">
        <f>COUNTIFS(General!P:P, "IP SIN ORDEN", General!AC:AC, "J. FERLANTI", General!R:R, "PTE. APROBACION", General!Q:Q, "FOTOS", General!AE:AE, "&gt;="&amp;DATE(2024,5,1), General!AE:AE, "&lt;="&amp;DATE(2024,5,31)) + COUNTIFS(General!P:P, "PARA FACTURAR", General!AC:AC, "J. FERLANTI", General!R:R, "EN TRAMITE", General!Q:Q, "FOTOS", General!AE:AE, "&gt;="&amp;DATE(2024,5,1), General!AE:AE, "&lt;="&amp;DATE(2024,5,31))</f>
        <v>0</v>
      </c>
      <c r="W34" s="44">
        <f>V34*AH13</f>
        <v>0</v>
      </c>
      <c r="Y34" s="39"/>
      <c r="Z34" s="40"/>
      <c r="AA34" s="43"/>
      <c r="AB34" s="44">
        <f>AA34*AH13</f>
        <v>0</v>
      </c>
      <c r="AD34" s="261" t="s">
        <v>32</v>
      </c>
    </row>
    <row r="35" spans="3:30" ht="15.75">
      <c r="C35" s="37" t="s">
        <v>34</v>
      </c>
      <c r="E35" s="254">
        <f>COUNTIFS(General!F:F, "IP CERRADA", General!K:K, "G DICLEMENTE", General!H:H, "PTE. APROBACION", General!G:G, "IP REMOTA", General!O:O, "&gt;="&amp;DATE(2025,11,1), General!O:O, "&lt;="&amp;DATE(2025,11,31))</f>
        <v>0</v>
      </c>
      <c r="F35" s="38">
        <f>E35*AG14</f>
        <v>0</v>
      </c>
      <c r="G35" s="41">
        <f>COUNTIFS(General!F:F, "IP CERRADA", General!M:M, "G DICLEMENTE", General!H:H, "PTE. APROBACION", General!G:G, "IP REMOTA", General!O:O, "&gt;="&amp;DATE(2025,11,1), General!O:O, "&lt;="&amp;DATE(2025,11,31))</f>
        <v>0</v>
      </c>
      <c r="H35" s="42">
        <f>G35*AH14</f>
        <v>0</v>
      </c>
      <c r="J35" s="254">
        <f>COUNTIFS(General!F:F, "IP CERRADA", General!K:K, "R. FRANCO", General!H:H, "PTE. APROBACION", General!G:G, "IP REMOTA", General!O:O, "&gt;="&amp;DATE(2025,11,1), General!O:O, "&lt;="&amp;DATE(2025,11,31))</f>
        <v>0</v>
      </c>
      <c r="K35" s="38">
        <f>J35*AG14</f>
        <v>0</v>
      </c>
      <c r="L35" s="41">
        <f>COUNTIFS(General!F:F, "IP CERRADA", General!M:M, "R. FRANCO", General!H:H, "PTE. APROBACION", General!G:G, "IP REMOTA", General!O:O, "&gt;="&amp;DATE(2025,11,1), General!O:O, "&lt;="&amp;DATE(2025,11,31))</f>
        <v>0</v>
      </c>
      <c r="M35" s="42">
        <f>L35*AH14</f>
        <v>0</v>
      </c>
      <c r="O35" s="254">
        <f>COUNTIFS(General!F:F, "IP CERRADA", General!K:K, "R ARIN", General!H:H, "PTE. APROBACION", General!G:G, "IP REMOTA", General!O:O, "&gt;="&amp;DATE(2025,11,1), General!O:O, "&lt;="&amp;DATE(2025,11,31))</f>
        <v>0</v>
      </c>
      <c r="P35" s="38">
        <f>O35*AG14</f>
        <v>0</v>
      </c>
      <c r="Q35" s="41">
        <f>COUNTIFS(General!F:F, "IP CERRADA", General!M:M, "R ARIN", General!H:H, "PTE. APROBACION", General!G:G, "IP REMOTA", General!O:O, "&gt;="&amp;DATE(2025,11,1), General!O:O, "&lt;="&amp;DATE(2025,11,31))</f>
        <v>0</v>
      </c>
      <c r="R35" s="42">
        <f>Q35*AH14</f>
        <v>0</v>
      </c>
      <c r="T35" s="254">
        <f>COUNTIFS(General!F:F, "IP CERRADA", General!K:K, "C. CRIBARI", General!H:H, "PTE. APROBACION", General!G:G, "IP REMOTA", General!O:O, "&gt;="&amp;DATE(2025,11,1), General!O:O, "&lt;="&amp;DATE(2025,11,31))</f>
        <v>0</v>
      </c>
      <c r="U35" s="38">
        <f>T35*AG14</f>
        <v>0</v>
      </c>
      <c r="V35" s="41">
        <f>COUNTIFS(General!P:P, "IP SIN ORDEN", General!AC:AC, "J. FERLANTI", General!R:R, "PTE. APROBACION", General!Q:Q, "IP REMOTA", General!AE:AE, "&gt;="&amp;DATE(2024,5,1), General!AE:AE, "&lt;="&amp;DATE(2024,5,31)) + COUNTIFS(General!P:P, "PARA FACTURAR", General!AC:AC, "J. FERLANTI", General!R:R, "EN TRAMITE", General!Q:Q, "IP REMOTA", General!AE:AE, "&gt;="&amp;DATE(2024,5,1), General!AE:AE, "&lt;="&amp;DATE(2024,5,31))</f>
        <v>0</v>
      </c>
      <c r="W35" s="42">
        <f>V35*AH14</f>
        <v>0</v>
      </c>
      <c r="Y35" s="254">
        <f>COUNTIFS(General!F:F, "IP CERRADA", General!K:K, "E DZYHAJLO", General!H:H, "PTE. APROBACION", General!G:G, "IP REMOTA", General!O:O, "&gt;="&amp;DATE(2025,11,1), General!O:O, "&lt;="&amp;DATE(2025,11,31))</f>
        <v>0</v>
      </c>
      <c r="Z35" s="38">
        <f>Y35*AG14</f>
        <v>0</v>
      </c>
      <c r="AA35" s="41"/>
      <c r="AB35" s="42">
        <f>AA35*AH14</f>
        <v>0</v>
      </c>
      <c r="AD35" s="37" t="s">
        <v>34</v>
      </c>
    </row>
    <row r="36" spans="3:30" ht="15.75">
      <c r="C36" s="261" t="s">
        <v>37</v>
      </c>
      <c r="E36" s="39"/>
      <c r="F36" s="40"/>
      <c r="G36" s="43">
        <f>COUNTIFS(General!F:F, "IP CERRADA", General!M:M, "G DICLEMENTE", General!H:H, "PTE. APROBACION", General!G:G, "IP VIRTUAL", General!O:O, "&gt;="&amp;DATE(2025,11,1), General!O:O, "&lt;="&amp;DATE(2025,11,31))</f>
        <v>0</v>
      </c>
      <c r="H36" s="44">
        <f>G36*AH16</f>
        <v>0</v>
      </c>
      <c r="J36" s="39"/>
      <c r="K36" s="40"/>
      <c r="L36" s="43">
        <f>COUNTIFS(General!F:F, "IP CERRADA", General!M:M, "R. FRANCO", General!H:H, "PTE. APROBACION", General!G:G, "IP VIRTUAL", General!O:O, "&gt;="&amp;DATE(2025,11,1), General!O:O, "&lt;="&amp;DATE(2025,11,31))</f>
        <v>0</v>
      </c>
      <c r="M36" s="44">
        <f>L36*AH16</f>
        <v>0</v>
      </c>
      <c r="O36" s="39"/>
      <c r="P36" s="40"/>
      <c r="Q36" s="43">
        <f>COUNTIFS(General!F:F, "IP CERRADA", General!M:M, "R ARIN", General!H:H, "PTE. APROBACION", General!G:G, "IP VIRTUAL", General!O:O, "&gt;="&amp;DATE(2025,11,1), General!O:O, "&lt;="&amp;DATE(2025,11,31))</f>
        <v>0</v>
      </c>
      <c r="R36" s="44">
        <f>Q36*AH16</f>
        <v>0</v>
      </c>
      <c r="T36" s="39"/>
      <c r="U36" s="40"/>
      <c r="V36" s="43">
        <f>COUNTIFS(General!P:P, "IP SIN ORDEN", General!AC:AC, "J. FERLANTI", General!R:R, "PTE. APROBACION", General!Q:Q, "IP VIRTUAL", General!AE:AE, "&gt;="&amp;DATE(2024,5,1), General!AE:AE, "&lt;="&amp;DATE(2024,5,31)) + COUNTIFS(General!P:P, "PARA FACTURAR", General!AC:AC, "J. FERLANTI", General!R:R, "EN TRAMITE", General!Q:Q, "IP VIRTUAL", General!AE:AE, "&gt;="&amp;DATE(2024,5,1), General!AE:AE, "&lt;="&amp;DATE(2024,5,31))</f>
        <v>0</v>
      </c>
      <c r="W36" s="44">
        <f>V36*AH16</f>
        <v>0</v>
      </c>
      <c r="Y36" s="39"/>
      <c r="Z36" s="40"/>
      <c r="AA36" s="43"/>
      <c r="AB36" s="44">
        <f>AA36*AH16</f>
        <v>0</v>
      </c>
      <c r="AD36" s="261" t="s">
        <v>37</v>
      </c>
    </row>
    <row r="37" spans="3:30" ht="15.75">
      <c r="C37" s="37" t="s">
        <v>26</v>
      </c>
      <c r="E37" s="254">
        <f>COUNTIFS(General!F:F, "IP CERRADA", General!K:K, "G DICLEMENTE", General!H:H, "PTE. APROBACION", General!G:G, "AUSENTE", General!O:O, "&gt;="&amp;DATE(2025,11,1), General!O:O, "&lt;="&amp;DATE(2025,11,31))</f>
        <v>0</v>
      </c>
      <c r="F37" s="38">
        <f>E36*AG11</f>
        <v>0</v>
      </c>
      <c r="G37" s="41"/>
      <c r="H37" s="42"/>
      <c r="J37" s="254">
        <f>COUNTIFS(General!F:F, "IP CERRADA", General!K:K, "R. FRANCO", General!H:H, "PTE. APROBACION", General!G:G, "AUSENTE", General!L:L, "&gt;="&amp;DATE(2025,6,1), General!L:L, "&lt;="&amp;DATE(2025,6,31))</f>
        <v>0</v>
      </c>
      <c r="K37" s="38">
        <f>J37*AG11</f>
        <v>0</v>
      </c>
      <c r="L37" s="41"/>
      <c r="M37" s="42"/>
      <c r="O37" s="254">
        <f>COUNTIFS(General!F:F, "IP CERRADA", General!K:K, "R ARIN", General!H:H, "PTE. APROBACION", General!G:G, "AUSENTE", General!O:O, "&gt;="&amp;DATE(2025,11,1), General!O:O, "&lt;="&amp;DATE(2025,11,31))</f>
        <v>0</v>
      </c>
      <c r="P37" s="38">
        <f>O36*AG11</f>
        <v>0</v>
      </c>
      <c r="Q37" s="41"/>
      <c r="R37" s="42"/>
      <c r="T37" s="254">
        <f>COUNTIFS(General!F:F, "IP CERRADA", General!K:K, "C. CRIBARI", General!H:H, "PTE. APROBACION", General!G:G, "AUSENTE", General!O:O, "&gt;="&amp;DATE(2025,11,1), General!O:O, "&lt;="&amp;DATE(2025,11,31))</f>
        <v>0</v>
      </c>
      <c r="U37" s="38">
        <f>T37*AG11</f>
        <v>0</v>
      </c>
      <c r="V37" s="41"/>
      <c r="W37" s="42"/>
      <c r="Y37" s="254">
        <f>COUNTIFS(General!F:F, "IP CERRADA", General!K:K, "E DZYHAJLO", General!H:H, "PTE. APROBACION", General!G:G, "AUSENTE", General!O:O, "&gt;="&amp;DATE(2025,11,1), General!O:O, "&lt;="&amp;DATE(2025,11,31))</f>
        <v>0</v>
      </c>
      <c r="Z37" s="38">
        <f>Y36*AG11</f>
        <v>0</v>
      </c>
      <c r="AA37" s="41"/>
      <c r="AB37" s="42"/>
      <c r="AD37" s="37" t="s">
        <v>26</v>
      </c>
    </row>
    <row r="38" spans="3:30">
      <c r="E38" s="383" t="s">
        <v>44</v>
      </c>
      <c r="F38" s="384"/>
      <c r="G38" s="381" t="s">
        <v>44</v>
      </c>
      <c r="H38" s="382"/>
      <c r="J38" s="383" t="s">
        <v>44</v>
      </c>
      <c r="K38" s="384"/>
      <c r="L38" s="381" t="s">
        <v>44</v>
      </c>
      <c r="M38" s="382"/>
      <c r="O38" s="383" t="s">
        <v>44</v>
      </c>
      <c r="P38" s="384"/>
      <c r="Q38" s="381" t="s">
        <v>44</v>
      </c>
      <c r="R38" s="382"/>
      <c r="T38" s="383" t="s">
        <v>44</v>
      </c>
      <c r="U38" s="384"/>
      <c r="V38" s="381" t="s">
        <v>44</v>
      </c>
      <c r="W38" s="382"/>
      <c r="Y38" s="383" t="s">
        <v>44</v>
      </c>
      <c r="Z38" s="384"/>
      <c r="AA38" s="381" t="s">
        <v>44</v>
      </c>
      <c r="AB38" s="382"/>
    </row>
    <row r="39" spans="3:30">
      <c r="E39" s="37">
        <f>E27+E28+E29+E30+E31+E32+E33+E34+E35+E36+E37</f>
        <v>0</v>
      </c>
      <c r="F39" s="29">
        <f>F27+F28+F29+F30+F31+F32+F33+F34+F35+F36</f>
        <v>0</v>
      </c>
      <c r="G39" s="51">
        <f>G27+G28+G29+G30+G31+G32+G33+G34+G35+G36</f>
        <v>0</v>
      </c>
      <c r="H39" s="45">
        <f>H27+H28+H29+H30+H31+H32+H33+H34+H35+H36</f>
        <v>0</v>
      </c>
      <c r="J39" s="37">
        <f>J27+J28+J29+J30+J31+J32+J33+J34+J35+J36+J37</f>
        <v>0</v>
      </c>
      <c r="K39" s="29">
        <f>K27+K28+K29+K30+K31+K32+K33+K34+K35+K36+K37</f>
        <v>0</v>
      </c>
      <c r="L39" s="51">
        <f>L27+L28+L29+L30+L31+L32+L33+L34+L35+L36</f>
        <v>0</v>
      </c>
      <c r="M39" s="45">
        <f>M27+M28+M29+M30+M31+M32+M33+M34+M35+M36</f>
        <v>0</v>
      </c>
      <c r="O39" s="37">
        <f>O27+O28+O29+O30+O31+O32+O33+O34+O35+O36+O37</f>
        <v>0</v>
      </c>
      <c r="P39" s="29">
        <f>P27+P28+P29+P30+P31+P32+P33+P34+P35+P36</f>
        <v>0</v>
      </c>
      <c r="Q39" s="51">
        <f>Q27+Q28+Q29+Q30+Q31+Q32+Q33+Q34+Q35+Q36</f>
        <v>0</v>
      </c>
      <c r="R39" s="45">
        <f>R27+R28+R29+R30+R31+R32+R33+R34+R35+R36</f>
        <v>0</v>
      </c>
      <c r="T39" s="37">
        <f>T27+T28+T29+T30+T31+T32+T33+T34+T35+T36+T37</f>
        <v>0</v>
      </c>
      <c r="U39" s="29">
        <f>U27+U28+U29+U30+U31+U32+U33+U34+U35+U36+U37</f>
        <v>0</v>
      </c>
      <c r="V39" s="51">
        <f>V27+V28+V29+V30+V31+V32+V33+V34+V35+V36</f>
        <v>0</v>
      </c>
      <c r="W39" s="45">
        <f>W27+W28+W29+W30+W31+W32+W33+W34+W35+W36</f>
        <v>0</v>
      </c>
      <c r="Y39" s="37">
        <f>Y27+Y28+Y29+Y30+Y31+Y32+Y33+Y34+Y35+Y36+Y37</f>
        <v>0</v>
      </c>
      <c r="Z39" s="29">
        <f>Z27+Z28+Z29+Z30+Z31+Z32+Z33+Z34+Z35+Z36</f>
        <v>0</v>
      </c>
      <c r="AA39" s="51">
        <f>AA27+AA28+AA29+AA30+AA31+AA32+AA33+AA34+AA35+AA36</f>
        <v>0</v>
      </c>
      <c r="AB39" s="45">
        <f>AB27+AB28+AB29+AB30+AB31+AB32+AB33+AB34+AB35+AB36</f>
        <v>0</v>
      </c>
    </row>
    <row r="40" spans="3:30">
      <c r="E40" s="48"/>
      <c r="F40" s="49"/>
      <c r="G40" s="48"/>
      <c r="H40" s="49"/>
      <c r="J40" s="48"/>
      <c r="K40" s="49"/>
      <c r="L40" s="48"/>
      <c r="M40" s="49"/>
      <c r="O40" s="48"/>
      <c r="P40" s="49"/>
      <c r="Q40" s="48"/>
      <c r="R40" s="49"/>
      <c r="T40" s="48"/>
      <c r="U40" s="49"/>
      <c r="V40" s="48"/>
      <c r="W40" s="49"/>
      <c r="Y40" s="48"/>
      <c r="Z40" s="49"/>
      <c r="AA40" s="48"/>
      <c r="AB40" s="49"/>
    </row>
    <row r="41" spans="3:30">
      <c r="E41" s="380"/>
      <c r="F41" s="380"/>
      <c r="G41" s="261"/>
      <c r="H41" s="50"/>
      <c r="J41" s="380"/>
      <c r="K41" s="380"/>
      <c r="L41" s="261"/>
      <c r="M41" s="50"/>
      <c r="O41" s="380"/>
      <c r="P41" s="380"/>
      <c r="Q41" s="261"/>
      <c r="R41" s="50"/>
      <c r="T41" s="380"/>
      <c r="U41" s="380"/>
      <c r="V41" s="261"/>
      <c r="W41" s="50"/>
      <c r="Y41" s="380"/>
      <c r="Z41" s="380"/>
      <c r="AA41" s="261"/>
      <c r="AB41" s="50"/>
    </row>
    <row r="42" spans="3:30">
      <c r="E42" s="376" t="s">
        <v>3</v>
      </c>
      <c r="F42" s="377"/>
      <c r="G42" s="95"/>
      <c r="H42" s="96"/>
      <c r="J42" s="376" t="s">
        <v>3</v>
      </c>
      <c r="K42" s="377"/>
      <c r="L42" s="95"/>
      <c r="M42" s="96"/>
      <c r="O42" s="376" t="s">
        <v>3</v>
      </c>
      <c r="P42" s="377"/>
      <c r="Q42" s="95"/>
      <c r="R42" s="96"/>
      <c r="T42" s="376" t="s">
        <v>3</v>
      </c>
      <c r="U42" s="377"/>
      <c r="V42" s="95"/>
      <c r="W42" s="96"/>
      <c r="Y42" s="376" t="s">
        <v>3</v>
      </c>
      <c r="Z42" s="377"/>
      <c r="AA42" s="95"/>
      <c r="AB42" s="96"/>
    </row>
    <row r="43" spans="3:30">
      <c r="E43" s="378" t="s">
        <v>85</v>
      </c>
      <c r="F43" s="379"/>
      <c r="G43" s="97"/>
      <c r="H43" s="98"/>
      <c r="J43" s="378" t="s">
        <v>85</v>
      </c>
      <c r="K43" s="379"/>
      <c r="L43" s="97"/>
      <c r="M43" s="98"/>
      <c r="O43" s="378" t="s">
        <v>85</v>
      </c>
      <c r="P43" s="379"/>
      <c r="Q43" s="97"/>
      <c r="R43" s="98"/>
      <c r="T43" s="378" t="s">
        <v>85</v>
      </c>
      <c r="U43" s="379"/>
      <c r="V43" s="97"/>
      <c r="W43" s="98"/>
      <c r="Y43" s="378" t="s">
        <v>85</v>
      </c>
      <c r="Z43" s="379"/>
      <c r="AA43" s="97"/>
      <c r="AB43" s="98"/>
    </row>
    <row r="44" spans="3:30">
      <c r="E44" s="374" t="s">
        <v>86</v>
      </c>
      <c r="F44" s="375"/>
      <c r="G44" s="46">
        <f>G27+G28+G29+G30+G31+G32+G33+G34+G35+G36+E27+E28+E29+E31+E30+E32+E33+E34+E35+E36</f>
        <v>0</v>
      </c>
      <c r="H44" s="47">
        <f>F39+H39</f>
        <v>0</v>
      </c>
      <c r="J44" s="374" t="s">
        <v>86</v>
      </c>
      <c r="K44" s="375"/>
      <c r="L44" s="46">
        <f>L27+L28+L29+L30+L31+L32+L33+L34+L35+L36+J27+J28+J29+J31+J30+J32+J33+J34+J35+J36</f>
        <v>0</v>
      </c>
      <c r="M44" s="47">
        <f>K39+M39</f>
        <v>0</v>
      </c>
      <c r="O44" s="374" t="s">
        <v>86</v>
      </c>
      <c r="P44" s="375"/>
      <c r="Q44" s="46">
        <f>Q27+Q28+Q29+Q30+Q31+Q32+Q33+Q34+Q35+Q36+O27+O28+O29+O31+O30+O32+O33+O34+O35+O36</f>
        <v>0</v>
      </c>
      <c r="R44" s="47">
        <f>P39+R39</f>
        <v>0</v>
      </c>
      <c r="T44" s="374" t="s">
        <v>86</v>
      </c>
      <c r="U44" s="375"/>
      <c r="V44" s="46">
        <f>V27+V28+V29+V30+V31+V32+V33+V34+V35+V36+T27+T28+T29+T31+T30+T32+T33+T34+T35+T36</f>
        <v>0</v>
      </c>
      <c r="W44" s="47">
        <f>U39+W39</f>
        <v>0</v>
      </c>
      <c r="Y44" s="374" t="s">
        <v>86</v>
      </c>
      <c r="Z44" s="375"/>
      <c r="AA44" s="46">
        <f>AA27+AA28+AA29+AA30+AA31+AA32+AA33+AA34+AA35+AA36+Y27+Y28+Y29+Y31+Y30+Y32+Y33+Y34+Y35+Y36</f>
        <v>0</v>
      </c>
      <c r="AB44" s="47">
        <f>Z39+AB39</f>
        <v>0</v>
      </c>
    </row>
  </sheetData>
  <mergeCells count="95">
    <mergeCell ref="A1:B2"/>
    <mergeCell ref="C1:C2"/>
    <mergeCell ref="E1:H2"/>
    <mergeCell ref="J1:M2"/>
    <mergeCell ref="O1:R2"/>
    <mergeCell ref="Y1:AB2"/>
    <mergeCell ref="AD1:AD2"/>
    <mergeCell ref="E3:F3"/>
    <mergeCell ref="G3:H3"/>
    <mergeCell ref="J3:K3"/>
    <mergeCell ref="L3:M3"/>
    <mergeCell ref="O3:P3"/>
    <mergeCell ref="Q3:R3"/>
    <mergeCell ref="T3:U3"/>
    <mergeCell ref="V3:W3"/>
    <mergeCell ref="T1:W2"/>
    <mergeCell ref="Y3:Z3"/>
    <mergeCell ref="AA3:AB3"/>
    <mergeCell ref="E15:F15"/>
    <mergeCell ref="G15:H15"/>
    <mergeCell ref="J15:K15"/>
    <mergeCell ref="L15:M15"/>
    <mergeCell ref="O15:P15"/>
    <mergeCell ref="Q15:R15"/>
    <mergeCell ref="T15:U15"/>
    <mergeCell ref="V15:W15"/>
    <mergeCell ref="Y15:Z15"/>
    <mergeCell ref="AA15:AB15"/>
    <mergeCell ref="E18:F18"/>
    <mergeCell ref="J18:K18"/>
    <mergeCell ref="O18:P18"/>
    <mergeCell ref="T18:U18"/>
    <mergeCell ref="Y18:Z18"/>
    <mergeCell ref="E20:F20"/>
    <mergeCell ref="J20:K20"/>
    <mergeCell ref="O20:P20"/>
    <mergeCell ref="T20:U20"/>
    <mergeCell ref="Y20:Z20"/>
    <mergeCell ref="E19:F19"/>
    <mergeCell ref="J19:K19"/>
    <mergeCell ref="O19:P19"/>
    <mergeCell ref="T19:U19"/>
    <mergeCell ref="Y19:Z19"/>
    <mergeCell ref="C24:C25"/>
    <mergeCell ref="E24:H25"/>
    <mergeCell ref="J24:M25"/>
    <mergeCell ref="O24:R25"/>
    <mergeCell ref="T24:W25"/>
    <mergeCell ref="E21:F21"/>
    <mergeCell ref="J21:K21"/>
    <mergeCell ref="O21:P21"/>
    <mergeCell ref="T21:U21"/>
    <mergeCell ref="Y21:Z21"/>
    <mergeCell ref="Y24:AB25"/>
    <mergeCell ref="AD24:AD25"/>
    <mergeCell ref="E26:F26"/>
    <mergeCell ref="G26:H26"/>
    <mergeCell ref="J26:K26"/>
    <mergeCell ref="L26:M26"/>
    <mergeCell ref="O26:P26"/>
    <mergeCell ref="Q26:R26"/>
    <mergeCell ref="T26:U26"/>
    <mergeCell ref="V26:W26"/>
    <mergeCell ref="Y26:Z26"/>
    <mergeCell ref="AA26:AB26"/>
    <mergeCell ref="E38:F38"/>
    <mergeCell ref="G38:H38"/>
    <mergeCell ref="J38:K38"/>
    <mergeCell ref="L38:M38"/>
    <mergeCell ref="O38:P38"/>
    <mergeCell ref="Q38:R38"/>
    <mergeCell ref="T38:U38"/>
    <mergeCell ref="V38:W38"/>
    <mergeCell ref="Y38:Z38"/>
    <mergeCell ref="AA38:AB38"/>
    <mergeCell ref="E41:F41"/>
    <mergeCell ref="J41:K41"/>
    <mergeCell ref="O41:P41"/>
    <mergeCell ref="T41:U41"/>
    <mergeCell ref="Y41:Z41"/>
    <mergeCell ref="E43:F43"/>
    <mergeCell ref="J43:K43"/>
    <mergeCell ref="O43:P43"/>
    <mergeCell ref="T43:U43"/>
    <mergeCell ref="Y43:Z43"/>
    <mergeCell ref="E42:F42"/>
    <mergeCell ref="J42:K42"/>
    <mergeCell ref="O42:P42"/>
    <mergeCell ref="T42:U42"/>
    <mergeCell ref="Y42:Z42"/>
    <mergeCell ref="E44:F44"/>
    <mergeCell ref="J44:K44"/>
    <mergeCell ref="O44:P44"/>
    <mergeCell ref="T44:U44"/>
    <mergeCell ref="Y44:Z4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A5B01-EEA0-4D1A-8605-23B65A4FCE37}">
  <sheetPr>
    <tabColor theme="6" tint="0.39997558519241921"/>
  </sheetPr>
  <dimension ref="A1:AC62"/>
  <sheetViews>
    <sheetView workbookViewId="0">
      <selection activeCell="A25" sqref="A25"/>
    </sheetView>
  </sheetViews>
  <sheetFormatPr defaultRowHeight="15"/>
  <cols>
    <col min="3" max="3" width="24.7109375" customWidth="1"/>
    <col min="4" max="4" width="2.85546875" customWidth="1"/>
    <col min="5" max="5" width="11.42578125" customWidth="1"/>
    <col min="6" max="6" width="11" customWidth="1"/>
    <col min="7" max="7" width="3.140625" customWidth="1"/>
    <col min="8" max="8" width="11.140625" customWidth="1"/>
    <col min="9" max="9" width="10.5703125" customWidth="1"/>
    <col min="10" max="10" width="2.85546875" customWidth="1"/>
    <col min="11" max="11" width="11.42578125" customWidth="1"/>
    <col min="12" max="12" width="10.7109375" customWidth="1"/>
    <col min="13" max="13" width="3" customWidth="1"/>
    <col min="14" max="14" width="16.7109375" customWidth="1"/>
    <col min="15" max="15" width="12.140625" customWidth="1"/>
    <col min="16" max="16" width="9.140625" bestFit="1" customWidth="1"/>
    <col min="17" max="17" width="18.5703125" customWidth="1"/>
    <col min="18" max="18" width="9.140625" bestFit="1" customWidth="1"/>
    <col min="19" max="19" width="13.5703125" customWidth="1"/>
    <col min="20" max="20" width="8.5703125" bestFit="1" customWidth="1"/>
    <col min="21" max="21" width="4.85546875" customWidth="1"/>
    <col min="22" max="22" width="21.5703125" customWidth="1"/>
    <col min="23" max="23" width="14.42578125" customWidth="1"/>
    <col min="24" max="24" width="16.140625" customWidth="1"/>
    <col min="25" max="25" width="17.85546875" customWidth="1"/>
  </cols>
  <sheetData>
    <row r="1" spans="1:29">
      <c r="A1" s="367" t="s">
        <v>0</v>
      </c>
      <c r="B1" s="368"/>
      <c r="C1" s="369" t="s">
        <v>1</v>
      </c>
      <c r="E1" s="369" t="s">
        <v>2</v>
      </c>
      <c r="F1" s="369"/>
      <c r="H1" s="370" t="s">
        <v>3</v>
      </c>
      <c r="I1" s="371"/>
      <c r="K1" s="369" t="s">
        <v>4</v>
      </c>
      <c r="L1" s="369"/>
      <c r="N1" s="369" t="s">
        <v>5</v>
      </c>
      <c r="O1" s="369"/>
      <c r="Q1" s="3"/>
      <c r="R1" s="3"/>
      <c r="S1" s="354"/>
      <c r="T1" s="355"/>
      <c r="V1" s="1" t="s">
        <v>6</v>
      </c>
      <c r="W1" s="1" t="s">
        <v>7</v>
      </c>
      <c r="X1" s="1" t="s">
        <v>8</v>
      </c>
      <c r="Z1" s="356" t="s">
        <v>9</v>
      </c>
      <c r="AA1" s="357"/>
      <c r="AB1" s="357"/>
      <c r="AC1" s="358"/>
    </row>
    <row r="2" spans="1:29">
      <c r="A2" s="367"/>
      <c r="B2" s="368"/>
      <c r="C2" s="369"/>
      <c r="E2" s="369"/>
      <c r="F2" s="369"/>
      <c r="H2" s="372"/>
      <c r="I2" s="373"/>
      <c r="K2" s="369"/>
      <c r="L2" s="369"/>
      <c r="N2" s="369"/>
      <c r="O2" s="369"/>
      <c r="Q2" s="10"/>
      <c r="R2" s="13"/>
      <c r="S2" s="359"/>
      <c r="T2" s="360"/>
      <c r="V2" s="118" t="s">
        <v>10</v>
      </c>
      <c r="W2" s="119">
        <v>5625</v>
      </c>
      <c r="X2" s="119">
        <v>5250</v>
      </c>
      <c r="Z2" s="361" t="s">
        <v>11</v>
      </c>
      <c r="AA2" s="362"/>
      <c r="AB2" s="365" t="s">
        <v>12</v>
      </c>
      <c r="AC2" s="365" t="s">
        <v>13</v>
      </c>
    </row>
    <row r="3" spans="1:29" ht="3.75" customHeight="1">
      <c r="A3" s="19"/>
      <c r="B3" s="19"/>
      <c r="C3" s="19"/>
      <c r="E3" s="19"/>
      <c r="F3" s="19"/>
      <c r="H3" s="19"/>
      <c r="I3" s="19"/>
      <c r="K3" s="19"/>
      <c r="L3" s="19"/>
      <c r="N3" s="19"/>
      <c r="O3" s="19"/>
      <c r="Q3" s="12"/>
      <c r="R3" s="15"/>
      <c r="S3" s="351"/>
      <c r="T3" s="352"/>
      <c r="V3" s="118"/>
      <c r="W3" s="119"/>
      <c r="X3" s="119"/>
      <c r="Z3" s="363"/>
      <c r="AA3" s="364"/>
      <c r="AB3" s="366"/>
      <c r="AC3" s="366"/>
    </row>
    <row r="4" spans="1:29" ht="15.75">
      <c r="C4" s="37" t="s">
        <v>10</v>
      </c>
      <c r="E4" s="341">
        <f>COUNTIFS(General!F:F, "IP CERRADA", General!H:H, "PTE. APROBACION", General!G:G, "IP CON ORDEN", General!O:O, "&gt;="&amp;DATE(2026,1,1), General!O:O, "&lt;="&amp;DATE(2026,1,31))</f>
        <v>113</v>
      </c>
      <c r="F4" s="341"/>
      <c r="G4">
        <f>COUNTIFS(General!F:F, "IP CERRADA", General!M:M, "A MIÑO", General!H:H, "PTE. APROBACION", General!G:G, "IP CON ORDEN", General!O:O, "&gt;="&amp;DATE(2026,1,1), General!O:O, "&lt;="&amp;DATE(2026,1,31))</f>
        <v>8</v>
      </c>
      <c r="H4" s="342">
        <f>COUNTIFS(General!F:F, "LICITANDO REPUESTOS", General!G:G, "IP CON ORDEN")</f>
        <v>15</v>
      </c>
      <c r="I4" s="342"/>
      <c r="K4" s="343">
        <f>COUNTIFS(General!F:F, "IP COORDINADA", General!G:G, "IP CON ORDEN")</f>
        <v>32</v>
      </c>
      <c r="L4" s="343"/>
      <c r="N4" s="30" t="s">
        <v>14</v>
      </c>
      <c r="O4" s="31">
        <f>COUNTIFS(General!F:F, "PENDIENTE  COORDINACION")</f>
        <v>5</v>
      </c>
      <c r="Q4" s="11"/>
      <c r="R4" s="14"/>
      <c r="S4" s="346"/>
      <c r="T4" s="347"/>
      <c r="V4" s="120" t="s">
        <v>15</v>
      </c>
      <c r="W4" s="121">
        <v>5625</v>
      </c>
      <c r="X4" s="121">
        <v>5250</v>
      </c>
      <c r="Z4" s="70" t="s">
        <v>16</v>
      </c>
      <c r="AA4" s="71" t="e">
        <f>#REF!</f>
        <v>#REF!</v>
      </c>
      <c r="AB4" s="72" t="e">
        <f>AA4*$R$14</f>
        <v>#REF!</v>
      </c>
      <c r="AC4" s="72" t="e">
        <f>AB4*$T$14</f>
        <v>#REF!</v>
      </c>
    </row>
    <row r="5" spans="1:29" ht="15.75">
      <c r="C5" s="261" t="s">
        <v>15</v>
      </c>
      <c r="E5" s="353">
        <f>COUNTIFS(General!F:F, "IP CERRADA", General!H:H, "PTE. APROBACION", General!G:G, "POSIBLE DT", General!O:O, "&gt;="&amp;DATE(2026,1,1), General!O:O, "&lt;="&amp;DATE(2026,1,31))</f>
        <v>22</v>
      </c>
      <c r="F5" s="353"/>
      <c r="H5" s="349">
        <f>COUNTIFS(General!F:F, "LICITANDO REPUESTOS", General!G:G, "POSIBLE DT")</f>
        <v>0</v>
      </c>
      <c r="I5" s="349"/>
      <c r="K5" s="350">
        <f>COUNTIFS(General!F:F, "IP COORDINADA", General!G:G, "POSIBLE DT")</f>
        <v>2</v>
      </c>
      <c r="L5" s="350"/>
      <c r="N5" s="32" t="s">
        <v>17</v>
      </c>
      <c r="O5" s="33">
        <f>COUNTIFS(General!F:F, "CONTACTADO")</f>
        <v>2</v>
      </c>
      <c r="Q5" s="12"/>
      <c r="R5" s="15"/>
      <c r="S5" s="351"/>
      <c r="T5" s="352"/>
      <c r="V5" s="118" t="s">
        <v>18</v>
      </c>
      <c r="W5" s="119">
        <v>5625</v>
      </c>
      <c r="X5" s="119">
        <v>5250</v>
      </c>
      <c r="Z5" s="73" t="s">
        <v>19</v>
      </c>
      <c r="AA5" s="74" t="e">
        <f>#REF!</f>
        <v>#REF!</v>
      </c>
      <c r="AB5" s="75" t="e">
        <f>AA5*$R$14</f>
        <v>#REF!</v>
      </c>
      <c r="AC5" s="75" t="e">
        <f>AB5*$T$14</f>
        <v>#REF!</v>
      </c>
    </row>
    <row r="6" spans="1:29" ht="15.75">
      <c r="C6" s="37" t="s">
        <v>18</v>
      </c>
      <c r="E6" s="341">
        <f>COUNTIFS(General!F:F, "IP CERRADA", General!H:H, "PTE. APROBACION", General!G:G, "IP SIN ORDEN", General!O:O, "&gt;="&amp;DATE(2026,1,1), General!O:O, "&lt;="&amp;DATE(2026,1,31))</f>
        <v>51</v>
      </c>
      <c r="F6" s="341"/>
      <c r="H6" s="342">
        <f>COUNTIFS(General!F:F, "LICITANDO REPUESTOS", General!G:G, "IP SIN ORDEN")</f>
        <v>0</v>
      </c>
      <c r="I6" s="342"/>
      <c r="K6" s="343">
        <f>COUNTIFS(General!F:F, "IP COORDINADA", General!G:G, "IP SIN ORDEN")</f>
        <v>0</v>
      </c>
      <c r="L6" s="343"/>
      <c r="N6" s="30" t="s">
        <v>20</v>
      </c>
      <c r="O6" s="34">
        <f>COUNTIFS(General!F:F, "PENDIENTE DE OFRECIMIENTO")</f>
        <v>0</v>
      </c>
      <c r="Q6" s="11"/>
      <c r="R6" s="14"/>
      <c r="S6" s="346"/>
      <c r="T6" s="347"/>
      <c r="V6" s="120" t="s">
        <v>21</v>
      </c>
      <c r="W6" s="121">
        <v>2500</v>
      </c>
      <c r="X6" s="121">
        <v>2000</v>
      </c>
      <c r="Z6" s="76" t="s">
        <v>22</v>
      </c>
      <c r="AA6" s="77" t="e">
        <f>#REF!</f>
        <v>#REF!</v>
      </c>
      <c r="AB6" s="72" t="e">
        <f>AA6*$R$14</f>
        <v>#REF!</v>
      </c>
      <c r="AC6" s="72" t="e">
        <f>AB6*$T$14</f>
        <v>#REF!</v>
      </c>
    </row>
    <row r="7" spans="1:29" ht="15.75">
      <c r="C7" s="261" t="s">
        <v>21</v>
      </c>
      <c r="E7" s="353">
        <f>COUNTIFS(General!F:F, "IP CERRADA", General!H:H, "PTE. APROBACION", General!G:G, "AMPLIACION", General!O:O, "&gt;="&amp;DATE(2026,1,1), General!O:O, "&lt;="&amp;DATE(2026,1,31))</f>
        <v>10</v>
      </c>
      <c r="F7" s="353"/>
      <c r="H7" s="349">
        <f>COUNTIFS(General!F:F, "LICITANDO REPUESTOS", General!G:G, "AMPLIACION")</f>
        <v>1</v>
      </c>
      <c r="I7" s="349"/>
      <c r="K7" s="350">
        <f>COUNTIFS(General!F:F, "IP COORDINADA", General!G:G, "AMPLIACION")</f>
        <v>0</v>
      </c>
      <c r="L7" s="350"/>
      <c r="N7" s="35" t="s">
        <v>23</v>
      </c>
      <c r="O7" s="36">
        <f>COUNTIFS(General!F:F, "REVISAR MAIL - SIN RESOLVER")</f>
        <v>0</v>
      </c>
      <c r="Q7" s="12"/>
      <c r="R7" s="15"/>
      <c r="S7" s="351"/>
      <c r="T7" s="352"/>
      <c r="V7" s="118" t="s">
        <v>24</v>
      </c>
      <c r="W7" s="119">
        <v>0</v>
      </c>
      <c r="X7" s="119">
        <v>0</v>
      </c>
      <c r="Z7" s="73" t="s">
        <v>25</v>
      </c>
      <c r="AA7" s="74" t="e">
        <f>#REF!</f>
        <v>#REF!</v>
      </c>
      <c r="AB7" s="75" t="e">
        <f>AA7*$R$14</f>
        <v>#REF!</v>
      </c>
      <c r="AC7" s="75" t="e">
        <f>AB7*$T$14</f>
        <v>#REF!</v>
      </c>
    </row>
    <row r="8" spans="1:29" ht="15.75">
      <c r="C8" s="37" t="s">
        <v>24</v>
      </c>
      <c r="E8" s="341">
        <f>COUNTIFS(General!F:F, "IP CERRADA", General!H:H, "PTE. APROBACION", General!G:G, "ENVIO DE ORDEN", General!O:O, "&gt;="&amp;DATE(2026,1,1), General!O:O, "&lt;="&amp;DATE(2026,1,31))</f>
        <v>0</v>
      </c>
      <c r="F8" s="341"/>
      <c r="H8" s="342">
        <f>COUNTIFS(General!F:F, "LICITANDO REPUESTOS", General!G:G, "ENVIO DE ORDEN")</f>
        <v>0</v>
      </c>
      <c r="I8" s="342"/>
      <c r="K8" s="343">
        <f>COUNTIFS(General!F:F, "ENVIO DE ORDEN", General!G:G, "ENVIO DE ORDEN")</f>
        <v>0</v>
      </c>
      <c r="L8" s="343"/>
      <c r="Q8" s="11"/>
      <c r="R8" s="14"/>
      <c r="S8" s="346"/>
      <c r="T8" s="347"/>
      <c r="V8" s="120" t="s">
        <v>26</v>
      </c>
      <c r="W8" s="121">
        <v>1500</v>
      </c>
      <c r="X8" s="121" t="s">
        <v>27</v>
      </c>
      <c r="Z8" s="76" t="s">
        <v>28</v>
      </c>
      <c r="AA8" s="77" t="e">
        <f>#REF!</f>
        <v>#REF!</v>
      </c>
      <c r="AB8" s="72" t="e">
        <f>AA8*$R$14</f>
        <v>#REF!</v>
      </c>
      <c r="AC8" s="72" t="e">
        <f>AB8*$T$14</f>
        <v>#REF!</v>
      </c>
    </row>
    <row r="9" spans="1:29" ht="15.75">
      <c r="C9" s="261" t="s">
        <v>29</v>
      </c>
      <c r="E9" s="353">
        <f>COUNTIFS(General!F:F, "IP CERRADA", General!H:H, "PTE. APROBACION", General!G:G, "IP CAMIONES", General!O:O, "&gt;="&amp;DATE(2026,1,1), General!O:O, "&lt;="&amp;DATE(2026,1,31))</f>
        <v>0</v>
      </c>
      <c r="F9" s="353"/>
      <c r="H9" s="349">
        <f>COUNTIFS(General!F:F, "LICITANDO REPUESTOS", General!G:G, "IP CAMIONES")</f>
        <v>0</v>
      </c>
      <c r="I9" s="349"/>
      <c r="K9" s="350">
        <f>COUNTIFS(General!F:F, "IP COORDINADA", General!G:G, "IP CAMIONES")</f>
        <v>0</v>
      </c>
      <c r="L9" s="350"/>
      <c r="N9" s="115" t="s">
        <v>26</v>
      </c>
      <c r="O9" s="115">
        <f>COUNTIFS(General!F:F, "IP CERRADA", General!H:H, "PTE. APROBACION", General!G:G, "AUSENTE", General!O:O, "&gt;="&amp;DATE(2026,1,1), General!O:O, "&lt;="&amp;DATE(2026,1,31))</f>
        <v>10</v>
      </c>
      <c r="Q9" s="12"/>
      <c r="R9" s="15"/>
      <c r="S9" s="351"/>
      <c r="T9" s="352"/>
      <c r="V9" s="118" t="s">
        <v>30</v>
      </c>
      <c r="W9" s="119">
        <v>5625</v>
      </c>
      <c r="X9" s="119">
        <v>5625</v>
      </c>
      <c r="Z9" s="73" t="s">
        <v>31</v>
      </c>
      <c r="AA9" s="74" t="e">
        <f>#REF!</f>
        <v>#REF!</v>
      </c>
      <c r="AB9" s="75" t="e">
        <f>AA9*$R$14</f>
        <v>#REF!</v>
      </c>
      <c r="AC9" s="75" t="e">
        <f>AB9*$T$14</f>
        <v>#REF!</v>
      </c>
    </row>
    <row r="10" spans="1:29" ht="15.75">
      <c r="C10" s="37" t="s">
        <v>30</v>
      </c>
      <c r="E10" s="341">
        <f>COUNTIFS(General!F:F, "IP CERRADA", General!H:H, "PTE. APROBACION", General!G:G, "TERCEROS", General!O:O, "&gt;="&amp;DATE(2024,3,1), General!O:O, "&gt;="&amp;DATE(2026,1,1), General!O:O, "&lt;="&amp;DATE(2026,1,31))</f>
        <v>1</v>
      </c>
      <c r="F10" s="341"/>
      <c r="H10" s="342">
        <f>COUNTIFS(General!F:F, "LICITANDO REPUESTOS", General!G:G, "TERCEROS")</f>
        <v>0</v>
      </c>
      <c r="I10" s="342"/>
      <c r="K10" s="343">
        <f>COUNTIFS(General!F:F, "IP COORDINADA", General!G:G, "TERCEROS")</f>
        <v>0</v>
      </c>
      <c r="L10" s="343"/>
      <c r="N10" s="114"/>
      <c r="O10" s="49"/>
      <c r="Q10" s="11"/>
      <c r="R10" s="14"/>
      <c r="S10" s="346"/>
      <c r="T10" s="347"/>
      <c r="V10" s="120" t="s">
        <v>32</v>
      </c>
      <c r="W10" s="121">
        <v>0</v>
      </c>
      <c r="X10" s="121">
        <v>0</v>
      </c>
      <c r="Z10" s="76" t="s">
        <v>33</v>
      </c>
      <c r="AA10" s="77" t="e">
        <f>#REF!</f>
        <v>#REF!</v>
      </c>
      <c r="AB10" s="78" t="e">
        <f>AA10*$R$14</f>
        <v>#REF!</v>
      </c>
      <c r="AC10" s="78" t="e">
        <f>AB10*$T$14</f>
        <v>#REF!</v>
      </c>
    </row>
    <row r="11" spans="1:29" ht="15.75">
      <c r="C11" s="261" t="s">
        <v>32</v>
      </c>
      <c r="E11" s="353">
        <f>COUNTIFS(General!F:F, "IP CERRADA", General!H:H, "PTE. APROBACION", General!G:G, "FOTOS", General!O:O, "&gt;="&amp;DATE(2026,1,1), General!O:O, "&lt;="&amp;DATE(2026,1,31))</f>
        <v>0</v>
      </c>
      <c r="F11" s="353"/>
      <c r="H11" s="349">
        <f>COUNTIFS(General!F:F, "LICITANDO REPUESTOS", General!G:G, "FOTOS")</f>
        <v>0</v>
      </c>
      <c r="I11" s="349"/>
      <c r="K11" s="350">
        <f>COUNTIFS(General!F:F, "IP COORDINADA", General!G:G, "FOTOS")</f>
        <v>0</v>
      </c>
      <c r="L11" s="350"/>
      <c r="Q11" s="12"/>
      <c r="R11" s="15"/>
      <c r="S11" s="351"/>
      <c r="T11" s="352"/>
      <c r="V11" s="118" t="s">
        <v>34</v>
      </c>
      <c r="W11" s="119">
        <v>0</v>
      </c>
      <c r="X11" s="119">
        <v>0</v>
      </c>
      <c r="Z11" s="79" t="s">
        <v>35</v>
      </c>
      <c r="AA11" s="80" t="e">
        <f>#REF!</f>
        <v>#REF!</v>
      </c>
      <c r="AB11" s="81" t="e">
        <f>AA11*$R$14</f>
        <v>#REF!</v>
      </c>
      <c r="AC11" s="81" t="e">
        <f>AB11*$T$14</f>
        <v>#REF!</v>
      </c>
    </row>
    <row r="12" spans="1:29" ht="15.75">
      <c r="C12" s="37" t="s">
        <v>34</v>
      </c>
      <c r="E12" s="341">
        <f>COUNTIFS(General!F:F, "IP CERRADA", General!H:H, "PTE. APROBACION", General!G:G, "IP REMOTA", General!O:O, "&gt;="&amp;DATE(2026,1,1), General!O:O, "&lt;="&amp;DATE(2026,1,31))</f>
        <v>1</v>
      </c>
      <c r="F12" s="341"/>
      <c r="H12" s="342">
        <f>COUNTIFS(General!F:F, "LICITANDO REPUESTOS", General!G:G, "IP REMOTA")</f>
        <v>0</v>
      </c>
      <c r="I12" s="342"/>
      <c r="K12" s="343">
        <f>COUNTIFS(General!F:F, "IP COORDINADA", General!G:G, "IP REMOTA")</f>
        <v>0</v>
      </c>
      <c r="L12" s="343"/>
      <c r="N12" s="344" t="s">
        <v>36</v>
      </c>
      <c r="O12" s="345"/>
      <c r="Q12" s="11"/>
      <c r="R12" s="14"/>
      <c r="S12" s="346"/>
      <c r="T12" s="347"/>
      <c r="V12" s="120" t="s">
        <v>29</v>
      </c>
      <c r="W12" s="121">
        <v>5625</v>
      </c>
      <c r="X12" s="121">
        <v>5250</v>
      </c>
      <c r="Z12" s="82"/>
      <c r="AA12" s="83"/>
      <c r="AB12" s="84"/>
      <c r="AC12" s="84"/>
    </row>
    <row r="13" spans="1:29" ht="15.75">
      <c r="C13" s="261" t="s">
        <v>37</v>
      </c>
      <c r="E13" s="348">
        <f>COUNTIFS(General!F:F, "IP CERRADA", General!H:H, "PTE. APROBACION", General!G:G, "IP VIRTUAL", General!O:O, "&gt;="&amp;DATE(2026,1,1), General!O:O, "&lt;="&amp;DATE(2026,1,31))</f>
        <v>0</v>
      </c>
      <c r="F13" s="348"/>
      <c r="H13" s="349">
        <f>COUNTIFS(General!F:F, "LICITANDO REPUESTOS", General!G:G, "IP VIRTUAL")</f>
        <v>0</v>
      </c>
      <c r="I13" s="349"/>
      <c r="K13" s="350">
        <f>COUNTIFS(General!F:F, "IP COORDINADA", General!G:G, "IP VIRTUAL")</f>
        <v>0</v>
      </c>
      <c r="L13" s="350"/>
      <c r="N13" s="344">
        <f>SUMIFS(General!P2:P2771, General!L2:L2771, "&gt;=01/06/2024", General!L2:L2771, "&lt;=31/06/2024")</f>
        <v>0</v>
      </c>
      <c r="O13" s="345"/>
      <c r="Q13" s="12"/>
      <c r="R13" s="15"/>
      <c r="S13" s="351"/>
      <c r="T13" s="352"/>
      <c r="V13" s="118" t="s">
        <v>37</v>
      </c>
      <c r="W13" s="119" t="s">
        <v>27</v>
      </c>
      <c r="X13" s="119" t="s">
        <v>27</v>
      </c>
      <c r="Z13" s="85"/>
      <c r="AA13" s="86"/>
      <c r="AB13" s="87"/>
      <c r="AC13" s="87"/>
    </row>
    <row r="14" spans="1:29" ht="15.75">
      <c r="E14" s="112">
        <f>E4+E5+E6+E7+E8+E9+E10+E11+E12+E13</f>
        <v>198</v>
      </c>
      <c r="F14" s="113" t="s">
        <v>38</v>
      </c>
      <c r="H14" s="110">
        <f>H4+H5+H6+H7+H8+H9+H10+H11+H12+H13</f>
        <v>16</v>
      </c>
      <c r="I14" s="111" t="s">
        <v>38</v>
      </c>
      <c r="K14" s="260">
        <f>K4+K5+K6+K7+K8+K9+K10+K11+K12+K13</f>
        <v>34</v>
      </c>
      <c r="L14" s="109" t="s">
        <v>38</v>
      </c>
      <c r="N14" s="332">
        <f>N13*T14</f>
        <v>0</v>
      </c>
      <c r="O14" s="333"/>
      <c r="Q14" s="62"/>
      <c r="R14" s="63"/>
      <c r="S14" s="334"/>
      <c r="T14" s="335"/>
      <c r="V14" s="118"/>
      <c r="W14" s="119"/>
      <c r="X14" s="119"/>
      <c r="Z14" s="85"/>
      <c r="AA14" s="86"/>
      <c r="AB14" s="87"/>
      <c r="AC14" s="87"/>
    </row>
    <row r="15" spans="1:29">
      <c r="E15" s="19"/>
      <c r="F15" s="19"/>
      <c r="V15" s="118"/>
      <c r="W15" s="119"/>
      <c r="X15" s="119"/>
      <c r="Z15" s="82"/>
      <c r="AA15" s="88"/>
      <c r="AB15" s="89"/>
      <c r="AC15" s="89"/>
    </row>
    <row r="16" spans="1:29" ht="15.75">
      <c r="E16" s="336" t="s">
        <v>39</v>
      </c>
      <c r="F16" s="336"/>
      <c r="H16" s="337" t="s">
        <v>40</v>
      </c>
      <c r="I16" s="337"/>
      <c r="K16" s="338" t="s">
        <v>41</v>
      </c>
      <c r="L16" s="338"/>
      <c r="N16" s="28" t="s">
        <v>42</v>
      </c>
      <c r="O16" s="253">
        <f>COUNTIFS(General!H:H, "EN TRAMITE")</f>
        <v>98</v>
      </c>
      <c r="V16" s="122" t="s">
        <v>43</v>
      </c>
      <c r="W16" s="123">
        <v>300</v>
      </c>
      <c r="X16" s="123" t="s">
        <v>27</v>
      </c>
      <c r="Z16" s="90" t="s">
        <v>44</v>
      </c>
      <c r="AA16" s="91" t="e">
        <f>AA4+AA5+AA6+AA7+AA8+AA9+AA10+AA11</f>
        <v>#REF!</v>
      </c>
      <c r="AB16" s="92" t="e">
        <f>AB4+AB5+AB6+AB7+AB8+AB9+AB10+AB11</f>
        <v>#REF!</v>
      </c>
      <c r="AC16" s="93" t="e">
        <f>AC4+AC5+AC6+AC7+AC8+AC9+AC10+AC11</f>
        <v>#REF!</v>
      </c>
    </row>
    <row r="17" spans="3:24" ht="15.75">
      <c r="E17" s="336">
        <f>E4+E5+E6+E7+E8+E9+E10+E12+O9+E13</f>
        <v>208</v>
      </c>
      <c r="F17" s="336"/>
      <c r="H17" s="337">
        <f>H4+H5+H6+H7+H8+H9+H10+H11+H12+H13</f>
        <v>16</v>
      </c>
      <c r="I17" s="337"/>
      <c r="K17" s="338">
        <f>K4+K5+K6+K7+K8+K9+K10+K11+K12+K13</f>
        <v>34</v>
      </c>
      <c r="L17" s="338"/>
      <c r="N17" s="28" t="s">
        <v>45</v>
      </c>
      <c r="O17" s="253">
        <f>COUNTIFS(General!H:H, "PTE. APROBACION")</f>
        <v>3403</v>
      </c>
      <c r="Q17" s="339" t="s">
        <v>46</v>
      </c>
      <c r="R17" s="340"/>
      <c r="S17" s="340"/>
      <c r="T17" s="340"/>
    </row>
    <row r="18" spans="3:24" ht="15.75">
      <c r="N18" s="102" t="s">
        <v>47</v>
      </c>
      <c r="O18" s="253">
        <f>COUNTIFS(General!H:H, "ANULADO")</f>
        <v>198</v>
      </c>
      <c r="Q18" s="315" t="s">
        <v>48</v>
      </c>
      <c r="R18" s="316"/>
      <c r="S18" s="315" t="s">
        <v>12</v>
      </c>
      <c r="T18" s="319"/>
      <c r="V18" s="108" t="s">
        <v>10</v>
      </c>
      <c r="W18" s="103">
        <f>COUNTIFS(General!F:F, "PARA FACTURAR", General!G:G, "IP CON ORDEN")</f>
        <v>13</v>
      </c>
      <c r="X18" s="107"/>
    </row>
    <row r="19" spans="3:24" ht="15" customHeight="1">
      <c r="C19" s="321" t="s">
        <v>5132</v>
      </c>
      <c r="D19" s="321"/>
      <c r="E19" s="257">
        <f>E21+E22+E23+E24+E25+E26+E27+E28+E29+E30+E31+E32</f>
        <v>498</v>
      </c>
      <c r="F19" s="249">
        <f>(E19-E34)/E34</f>
        <v>-0.84667487684729059</v>
      </c>
      <c r="H19" s="322" t="s">
        <v>50</v>
      </c>
      <c r="I19" s="323"/>
      <c r="N19" s="101" t="s">
        <v>51</v>
      </c>
      <c r="O19" s="101">
        <f>COUNTIFS(General!F:F, "PARA FACTURAR")</f>
        <v>22</v>
      </c>
      <c r="Q19" s="317"/>
      <c r="R19" s="318"/>
      <c r="S19" s="317"/>
      <c r="T19" s="320"/>
      <c r="V19" s="108" t="s">
        <v>15</v>
      </c>
      <c r="W19" s="103">
        <f>COUNTIFS(General!F:F, "PARA FACTURAR", General!G:G, "POSIBLE DT")</f>
        <v>2</v>
      </c>
      <c r="X19" s="107"/>
    </row>
    <row r="20" spans="3:24" ht="15.75">
      <c r="C20" s="324" t="s">
        <v>52</v>
      </c>
      <c r="D20" s="325"/>
      <c r="E20" s="258" t="s">
        <v>53</v>
      </c>
      <c r="F20" s="257">
        <f>E19-E34</f>
        <v>-2750</v>
      </c>
      <c r="H20" s="326">
        <f>E17+H17+K17+O19</f>
        <v>280</v>
      </c>
      <c r="I20" s="327"/>
      <c r="Q20" s="328" t="s">
        <v>35</v>
      </c>
      <c r="R20" s="329"/>
      <c r="S20" s="330"/>
      <c r="T20" s="331"/>
      <c r="V20" s="108" t="s">
        <v>18</v>
      </c>
      <c r="W20" s="103">
        <f>COUNTIFS(General!F:F, "PARA FACTURAR", General!G:G, "IP SIN ORDEN")</f>
        <v>6</v>
      </c>
      <c r="X20" s="107"/>
    </row>
    <row r="21" spans="3:24" ht="15.75">
      <c r="C21" s="313" t="s">
        <v>54</v>
      </c>
      <c r="D21" s="314"/>
      <c r="E21" s="219">
        <f>COUNTIFS(General!B:B, "&gt;="&amp;DATE(2026,1,1), General!B:B, "&lt;="&amp;DATE(2026,1,31))</f>
        <v>255</v>
      </c>
      <c r="F21" s="247">
        <f>(E21-E36)/E36</f>
        <v>-1.9230769230769232E-2</v>
      </c>
      <c r="Q21" s="295" t="s">
        <v>19</v>
      </c>
      <c r="R21" s="296"/>
      <c r="S21" s="280">
        <f>PeritosDiciembre!H21</f>
        <v>0</v>
      </c>
      <c r="T21" s="281"/>
      <c r="V21" s="108" t="s">
        <v>21</v>
      </c>
      <c r="W21" s="103">
        <f>COUNTIFS(General!F:F, "PARA FACTURAR", General!G:G, "AMPLIACION")</f>
        <v>1</v>
      </c>
      <c r="X21" s="107"/>
    </row>
    <row r="22" spans="3:24" ht="15.75">
      <c r="C22" s="306" t="s">
        <v>55</v>
      </c>
      <c r="D22" s="310"/>
      <c r="E22" s="220">
        <f>COUNTIFS(General!B:B, "&gt;="&amp;DATE(2026,2,1), General!B:B, "&lt;="&amp;DATE(2026,2,31))</f>
        <v>208</v>
      </c>
      <c r="F22" s="248">
        <f>(E22-E37)/E37</f>
        <v>7.2164948453608241E-2</v>
      </c>
      <c r="H22" s="67"/>
      <c r="I22" s="67"/>
      <c r="Q22" s="299" t="s">
        <v>22</v>
      </c>
      <c r="R22" s="300"/>
      <c r="S22" s="301"/>
      <c r="T22" s="302"/>
      <c r="V22" s="108" t="s">
        <v>24</v>
      </c>
      <c r="W22" s="103">
        <f>COUNTIFS(General!F:F, "PARA FACTURAR", General!G:G, "ENVIO DE ORDEN")</f>
        <v>0</v>
      </c>
      <c r="X22" s="107"/>
    </row>
    <row r="23" spans="3:24" ht="15.75">
      <c r="C23" s="308" t="s">
        <v>56</v>
      </c>
      <c r="D23" s="309"/>
      <c r="E23" s="221">
        <f>COUNTIFS(General!B:B, "&gt;="&amp;DATE(2026,3,1), General!B:B, "&lt;="&amp;DATE(2026,3,31))</f>
        <v>35</v>
      </c>
      <c r="F23" s="248">
        <f>(E23-E38)/E38</f>
        <v>-0.84018264840182644</v>
      </c>
      <c r="H23" s="67"/>
      <c r="I23" s="67"/>
      <c r="Q23" s="295" t="s">
        <v>25</v>
      </c>
      <c r="R23" s="296"/>
      <c r="S23" s="280"/>
      <c r="T23" s="281"/>
      <c r="V23" s="108" t="s">
        <v>29</v>
      </c>
      <c r="W23" s="103">
        <f>COUNTIFS(General!F:F, "PARA FACTURAR", General!G:G, "IP CAMIONES")</f>
        <v>0</v>
      </c>
      <c r="X23" s="107"/>
    </row>
    <row r="24" spans="3:24" ht="15.75">
      <c r="C24" s="306" t="s">
        <v>57</v>
      </c>
      <c r="D24" s="310"/>
      <c r="E24" s="220">
        <f>COUNTIFS(General!B:B, "&gt;="&amp;DATE(2026,4,1), General!B:B, "&lt;="&amp;DATE(2026,4,31))</f>
        <v>0</v>
      </c>
      <c r="F24" s="248">
        <f>(E24-E39)/E39</f>
        <v>-1</v>
      </c>
      <c r="H24" s="312" t="s">
        <v>58</v>
      </c>
      <c r="I24" s="312"/>
      <c r="Q24" s="299" t="s">
        <v>59</v>
      </c>
      <c r="R24" s="300"/>
      <c r="S24" s="301">
        <f>PeritosEnero!AB21</f>
        <v>695902</v>
      </c>
      <c r="T24" s="302"/>
      <c r="V24" s="108" t="s">
        <v>30</v>
      </c>
      <c r="W24" s="103">
        <f>COUNTIFS(General!F:F, "PARA FACTURAR", General!G:G, "TERCEROS")</f>
        <v>0</v>
      </c>
      <c r="X24" s="107"/>
    </row>
    <row r="25" spans="3:24" ht="15.75">
      <c r="C25" s="308" t="s">
        <v>60</v>
      </c>
      <c r="D25" s="309"/>
      <c r="E25" s="221">
        <f>COUNTIFS(General!B:B, "&gt;="&amp;DATE(2026,5,1), General!B:B, "&lt;="&amp;DATE(2026,5,31))</f>
        <v>0</v>
      </c>
      <c r="F25" s="248">
        <f>(E25-E40)/E40</f>
        <v>-1</v>
      </c>
      <c r="H25" s="294" t="s">
        <v>61</v>
      </c>
      <c r="I25" s="294"/>
      <c r="K25" s="158">
        <f>AVERAGEIFS(General!S:S,General!B:B,"&gt;="&amp;DATE(2025,5,1),General!B:B,"&lt;="&amp;DATE(2025,5,31),General!F:F,"IP CERRADA")</f>
        <v>4.3580952380952382</v>
      </c>
      <c r="Q25" s="295" t="s">
        <v>31</v>
      </c>
      <c r="R25" s="296"/>
      <c r="S25" s="280"/>
      <c r="T25" s="281"/>
      <c r="V25" s="108" t="s">
        <v>32</v>
      </c>
      <c r="W25" s="103">
        <f>COUNTIFS(General!F:F, "PARA FACTURAR", General!G:G, "FOTOS")</f>
        <v>0</v>
      </c>
      <c r="X25" s="107"/>
    </row>
    <row r="26" spans="3:24" ht="15.75">
      <c r="C26" s="306" t="s">
        <v>62</v>
      </c>
      <c r="D26" s="310"/>
      <c r="E26" s="220">
        <f>COUNTIFS(General!B:B, "&gt;="&amp;DATE(2026,6,1), General!B:B, "&lt;="&amp;DATE(2026,6,31))</f>
        <v>0</v>
      </c>
      <c r="F26" s="248">
        <f>(E26-E41)/E41</f>
        <v>-1</v>
      </c>
      <c r="H26" s="311" t="s">
        <v>63</v>
      </c>
      <c r="I26" s="311"/>
      <c r="K26" s="158">
        <f>AVERAGEIFS(General!T:T,General!B:B,"&gt;="&amp;DATE(2025,5,1),General!B:B,"&lt;="&amp;DATE(2025,5,31),General!F:F,"IP CERRADA")</f>
        <v>1.0361904761904761</v>
      </c>
      <c r="Q26" s="299" t="s">
        <v>33</v>
      </c>
      <c r="R26" s="300"/>
      <c r="S26" s="301"/>
      <c r="T26" s="302"/>
      <c r="V26" s="108" t="s">
        <v>34</v>
      </c>
      <c r="W26" s="103">
        <f>COUNTIFS(General!F:F, "PARA FACTURAR", General!G:G, "IP REMOTA")</f>
        <v>0</v>
      </c>
      <c r="X26" s="107"/>
    </row>
    <row r="27" spans="3:24" ht="15.75">
      <c r="C27" s="303" t="s">
        <v>64</v>
      </c>
      <c r="D27" s="304"/>
      <c r="E27" s="222">
        <f>COUNTIFS(General!B:B, "&gt;="&amp;DATE(2026,7,1), General!B:B, "&lt;="&amp;DATE(2026,7,31))</f>
        <v>0</v>
      </c>
      <c r="F27" s="248">
        <f>(E27-E42)/E42</f>
        <v>-1</v>
      </c>
      <c r="H27" s="305" t="s">
        <v>65</v>
      </c>
      <c r="I27" s="305"/>
      <c r="K27" s="158">
        <f>AVERAGEIFS(General!U:U,General!B:B,"&gt;="&amp;DATE(2025,5,1),General!B:B,"&lt;="&amp;DATE(2025,5,31),General!F:F,"IP CERRADA")</f>
        <v>174.93548387096774</v>
      </c>
      <c r="Q27" s="295" t="s">
        <v>66</v>
      </c>
      <c r="R27" s="296"/>
      <c r="S27" s="280">
        <f>PeritosEnero!M21</f>
        <v>1641973</v>
      </c>
      <c r="T27" s="281"/>
      <c r="V27" s="108" t="s">
        <v>37</v>
      </c>
      <c r="W27" s="103">
        <f>COUNTIFS(General!F:F, "PARA FACTURAR", General!G:G, "IP VIRTUAL")</f>
        <v>0</v>
      </c>
      <c r="X27" s="107"/>
    </row>
    <row r="28" spans="3:24" ht="15.75">
      <c r="C28" s="306" t="s">
        <v>67</v>
      </c>
      <c r="D28" s="307"/>
      <c r="E28" s="220">
        <f>COUNTIFS(General!B:B, "&gt;="&amp;DATE(2026,8,1), General!B:B, "&lt;="&amp;DATE(2026,8,31))</f>
        <v>0</v>
      </c>
      <c r="F28" s="248">
        <f>(E28-E43)/E43</f>
        <v>-1</v>
      </c>
      <c r="H28" s="294" t="s">
        <v>68</v>
      </c>
      <c r="I28" s="294"/>
      <c r="K28" s="158">
        <f>AVERAGEIFS(General!V:V,General!B:B,"&gt;="&amp;DATE(2025,5,1),General!B:B,"&lt;="&amp;DATE(2025,5,31),General!F:F,"IP CERRADA")</f>
        <v>6.5332068311195446</v>
      </c>
      <c r="Q28" s="299" t="s">
        <v>69</v>
      </c>
      <c r="R28" s="300"/>
      <c r="S28" s="301"/>
      <c r="T28" s="302"/>
      <c r="V28" s="108" t="s">
        <v>70</v>
      </c>
      <c r="W28" s="103">
        <f>COUNTIFS(General!F:F, "PARA FACTURAR", General!G:G, "SIN HONORARIOS")</f>
        <v>0</v>
      </c>
      <c r="X28" s="107"/>
    </row>
    <row r="29" spans="3:24" ht="15.75">
      <c r="C29" s="292" t="s">
        <v>71</v>
      </c>
      <c r="D29" s="293"/>
      <c r="E29" s="223">
        <f>COUNTIFS(General!B:B, "&gt;="&amp;DATE(2026,9,1), General!B:B, "&lt;="&amp;DATE(2026,9,31))</f>
        <v>0</v>
      </c>
      <c r="F29" s="248">
        <f>(E29-E44)/E44</f>
        <v>-1</v>
      </c>
      <c r="H29" s="294" t="s">
        <v>72</v>
      </c>
      <c r="I29" s="294"/>
      <c r="J29" s="65"/>
      <c r="K29" s="158">
        <f>AVERAGEIFS(General!W:W,General!B:B,"&gt;="&amp;DATE(2025,5,1),General!B:B,"&lt;="&amp;DATE(2025,5,31),General!F:F,"IP CERRADA")</f>
        <v>175.96774193548387</v>
      </c>
      <c r="Q29" s="295" t="s">
        <v>16</v>
      </c>
      <c r="R29" s="296"/>
      <c r="S29" s="280">
        <f>PeritosEnero!W21</f>
        <v>1081570</v>
      </c>
      <c r="T29" s="281"/>
      <c r="V29" s="108" t="s">
        <v>26</v>
      </c>
      <c r="W29" s="103">
        <f>COUNTIFS(General!F:F, "PARA FACTURAR", General!G:G, "AUSENTE")</f>
        <v>0</v>
      </c>
      <c r="X29" s="107"/>
    </row>
    <row r="30" spans="3:24">
      <c r="C30" s="297" t="s">
        <v>73</v>
      </c>
      <c r="D30" s="298"/>
      <c r="E30" s="220">
        <f>COUNTIFS(General!B:B, "&gt;="&amp;DATE(2026,10,1), General!B:B, "&lt;="&amp;DATE(2026,10,31))</f>
        <v>0</v>
      </c>
      <c r="F30" s="248">
        <f>(E30-E45)/E45</f>
        <v>-1</v>
      </c>
      <c r="H30" s="294" t="s">
        <v>74</v>
      </c>
      <c r="I30" s="294"/>
      <c r="J30" s="65"/>
      <c r="K30" s="158">
        <f>AVERAGEIFS(General!X:X,General!B:B,"&gt;="&amp;DATE(2025,5,1),General!B:B,"&lt;="&amp;DATE(2025,5,31),General!F:F,"IP CERRADA")</f>
        <v>7.6228571428571428</v>
      </c>
      <c r="L30" s="67"/>
      <c r="Q30" s="299" t="s">
        <v>75</v>
      </c>
      <c r="R30" s="300"/>
      <c r="S30" s="301"/>
      <c r="T30" s="302"/>
    </row>
    <row r="31" spans="3:24">
      <c r="C31" s="276" t="s">
        <v>76</v>
      </c>
      <c r="D31" s="277"/>
      <c r="E31" s="224">
        <f>COUNTIFS(General!B:B, "&gt;="&amp;DATE(2026,11,1), General!B:B, "&lt;="&amp;DATE(2026,11,31))</f>
        <v>0</v>
      </c>
      <c r="F31" s="248">
        <f>(E31-E46)/E46</f>
        <v>-1</v>
      </c>
      <c r="H31" s="64"/>
      <c r="I31" s="64"/>
      <c r="J31" s="65"/>
      <c r="K31" s="65"/>
      <c r="L31" s="66"/>
      <c r="Q31" s="278" t="s">
        <v>77</v>
      </c>
      <c r="R31" s="279"/>
      <c r="S31" s="280"/>
      <c r="T31" s="281"/>
      <c r="V31" s="282" t="s">
        <v>78</v>
      </c>
      <c r="W31" s="283"/>
    </row>
    <row r="32" spans="3:24">
      <c r="C32" s="284" t="s">
        <v>79</v>
      </c>
      <c r="D32" s="285"/>
      <c r="E32" s="225">
        <f>COUNTIFS(General!B:B, "&gt;="&amp;DATE(2026,12,1), General!B:B, "&lt;="&amp;DATE(2026,12,31))</f>
        <v>0</v>
      </c>
      <c r="F32" s="248">
        <f>(E32-E47)/E47</f>
        <v>-1</v>
      </c>
      <c r="H32" s="64"/>
      <c r="I32" s="64"/>
      <c r="J32" s="65"/>
      <c r="K32" s="65"/>
      <c r="L32" s="67"/>
      <c r="Q32" s="286" t="s">
        <v>44</v>
      </c>
      <c r="R32" s="287"/>
      <c r="S32" s="288">
        <f>S20+S21+S22+S23+S24+S25+S26+S27+S28+S29</f>
        <v>3419445</v>
      </c>
      <c r="T32" s="289"/>
      <c r="V32" s="290">
        <f>W18+W19+W20+W21+W22+W23+W24+W25+W26+W27+W28+W29</f>
        <v>22</v>
      </c>
      <c r="W32" s="291"/>
    </row>
    <row r="33" spans="3:12">
      <c r="L33" s="104"/>
    </row>
    <row r="34" spans="3:12" ht="18.75" customHeight="1">
      <c r="C34" s="321" t="s">
        <v>49</v>
      </c>
      <c r="D34" s="321"/>
      <c r="E34" s="257">
        <f>E36+E37+E38+E39+E40+E41+E42+E43+E44+E45+E46+E47</f>
        <v>3248</v>
      </c>
      <c r="F34" s="240">
        <f>(E34-E49)/E49</f>
        <v>0.58207501217730151</v>
      </c>
      <c r="H34" s="68"/>
      <c r="I34" s="68"/>
      <c r="J34" s="69"/>
      <c r="K34" s="69"/>
    </row>
    <row r="35" spans="3:12" ht="15" customHeight="1">
      <c r="C35" s="324" t="s">
        <v>52</v>
      </c>
      <c r="D35" s="325"/>
      <c r="E35" s="258" t="s">
        <v>53</v>
      </c>
      <c r="F35" s="257">
        <f>E34-E49</f>
        <v>1195</v>
      </c>
      <c r="H35" s="68"/>
      <c r="I35" s="68"/>
      <c r="J35" s="69"/>
      <c r="K35" s="69"/>
    </row>
    <row r="36" spans="3:12">
      <c r="C36" s="313" t="s">
        <v>54</v>
      </c>
      <c r="D36" s="314"/>
      <c r="E36" s="219">
        <f>COUNTIFS(General!B:B, "&gt;="&amp;DATE(2025,1,1), General!B:B, "&lt;="&amp;DATE(2025,1,31))</f>
        <v>260</v>
      </c>
      <c r="F36" s="241">
        <f>(E36-E51)/E51</f>
        <v>0.96969696969696972</v>
      </c>
    </row>
    <row r="37" spans="3:12">
      <c r="C37" s="306" t="s">
        <v>55</v>
      </c>
      <c r="D37" s="310"/>
      <c r="E37" s="220">
        <f>COUNTIFS(General!B:B, "&gt;="&amp;DATE(2025,2,1), General!B:B, "&lt;="&amp;DATE(2025,2,31))</f>
        <v>194</v>
      </c>
      <c r="F37" s="217">
        <f>(E37-E52)/E52</f>
        <v>0.43703703703703706</v>
      </c>
    </row>
    <row r="38" spans="3:12">
      <c r="C38" s="308" t="s">
        <v>56</v>
      </c>
      <c r="D38" s="309"/>
      <c r="E38" s="221">
        <f>COUNTIFS(General!B:B, "&gt;="&amp;DATE(2025,3,1), General!B:B, "&lt;="&amp;DATE(2025,3,31))</f>
        <v>219</v>
      </c>
      <c r="F38" s="217">
        <f>(E38-E53)/E53</f>
        <v>0.23728813559322035</v>
      </c>
    </row>
    <row r="39" spans="3:12">
      <c r="C39" s="306" t="s">
        <v>57</v>
      </c>
      <c r="D39" s="310"/>
      <c r="E39" s="220">
        <f>COUNTIFS(General!B:B, "&gt;="&amp;DATE(2025,4,1), General!B:B, "&lt;="&amp;DATE(2025,4,31))</f>
        <v>541</v>
      </c>
      <c r="F39" s="217">
        <f>(E39-E54)/E54</f>
        <v>1.4816513761467891</v>
      </c>
    </row>
    <row r="40" spans="3:12">
      <c r="C40" s="308" t="s">
        <v>60</v>
      </c>
      <c r="D40" s="309"/>
      <c r="E40" s="221">
        <f>COUNTIFS(General!B:B, "&gt;="&amp;DATE(2025,5,1), General!B:B, "&lt;="&amp;DATE(2025,5,31))</f>
        <v>548</v>
      </c>
      <c r="F40" s="217">
        <f>(E40-E55)/E55</f>
        <v>1.4684684684684686</v>
      </c>
    </row>
    <row r="41" spans="3:12">
      <c r="C41" s="306" t="s">
        <v>62</v>
      </c>
      <c r="D41" s="310"/>
      <c r="E41" s="220">
        <f>COUNTIFS(General!B:B, "&gt;="&amp;DATE(2025,6,1), General!B:B, "&lt;="&amp;DATE(2025,6,31))</f>
        <v>258</v>
      </c>
      <c r="F41" s="217">
        <f>(E41-E56)/E56</f>
        <v>0.59259259259259256</v>
      </c>
    </row>
    <row r="42" spans="3:12">
      <c r="C42" s="303" t="s">
        <v>64</v>
      </c>
      <c r="D42" s="304"/>
      <c r="E42" s="222">
        <f>COUNTIFS(General!B:B, "&gt;="&amp;DATE(2025,7,1), General!B:B, "&lt;="&amp;DATE(2025,7,31))</f>
        <v>275</v>
      </c>
      <c r="F42" s="217">
        <f>(E42-E57)/E57</f>
        <v>0.28504672897196259</v>
      </c>
    </row>
    <row r="43" spans="3:12">
      <c r="C43" s="306" t="s">
        <v>67</v>
      </c>
      <c r="D43" s="307"/>
      <c r="E43" s="220">
        <f>COUNTIFS(General!B:B, "&gt;="&amp;DATE(2025,8,1), General!B:B, "&lt;="&amp;DATE(2025,8,31))</f>
        <v>194</v>
      </c>
      <c r="F43" s="217">
        <f>(E43-E58)/E58</f>
        <v>0.31972789115646261</v>
      </c>
    </row>
    <row r="44" spans="3:12">
      <c r="C44" s="292" t="s">
        <v>71</v>
      </c>
      <c r="D44" s="293"/>
      <c r="E44" s="223">
        <f>COUNTIFS(General!B:B, "&gt;="&amp;DATE(2025,9,1), General!B:B, "&lt;="&amp;DATE(2025,9,31))</f>
        <v>206</v>
      </c>
      <c r="F44" s="217">
        <f>(E44-E59)/E59</f>
        <v>0.54887218045112784</v>
      </c>
    </row>
    <row r="45" spans="3:12">
      <c r="C45" s="297" t="s">
        <v>73</v>
      </c>
      <c r="D45" s="298"/>
      <c r="E45" s="220">
        <f>COUNTIFS(General!B:B, "&gt;="&amp;DATE(2025,10,1), General!B:B, "&lt;="&amp;DATE(2025,10,31))</f>
        <v>217</v>
      </c>
      <c r="F45" s="217">
        <f>(E45-E60)/E60</f>
        <v>4.8309178743961352E-2</v>
      </c>
    </row>
    <row r="46" spans="3:12">
      <c r="C46" s="276" t="s">
        <v>76</v>
      </c>
      <c r="D46" s="277"/>
      <c r="E46" s="224">
        <f>COUNTIFS(General!B:B, "&gt;="&amp;DATE(2025,11,1), General!B:B, "&lt;="&amp;DATE(2025,11,31))</f>
        <v>147</v>
      </c>
      <c r="F46" s="217">
        <f>(E46-E61)/E61</f>
        <v>3.5211267605633804E-2</v>
      </c>
    </row>
    <row r="47" spans="3:12">
      <c r="C47" s="284" t="s">
        <v>79</v>
      </c>
      <c r="D47" s="285"/>
      <c r="E47" s="225">
        <f>COUNTIFS(General!B:B, "&gt;="&amp;DATE(2025,12,1), General!B:B, "&lt;="&amp;DATE(2025,12,31))</f>
        <v>189</v>
      </c>
      <c r="F47" s="217">
        <f>(E47-E62)/E62</f>
        <v>0.1524390243902439</v>
      </c>
    </row>
    <row r="49" spans="3:5">
      <c r="C49" s="270" t="s">
        <v>80</v>
      </c>
      <c r="D49" s="271"/>
      <c r="E49" s="257">
        <f>E51+E52+E53+E54+E55+E56+E57+E58+E59+E60+E61+E62</f>
        <v>2053</v>
      </c>
    </row>
    <row r="50" spans="3:5">
      <c r="C50" s="272" t="s">
        <v>81</v>
      </c>
      <c r="D50" s="273"/>
      <c r="E50" s="135" t="s">
        <v>53</v>
      </c>
    </row>
    <row r="51" spans="3:5">
      <c r="C51" s="274" t="s">
        <v>54</v>
      </c>
      <c r="D51" s="275"/>
      <c r="E51" s="131">
        <v>132</v>
      </c>
    </row>
    <row r="52" spans="3:5">
      <c r="C52" s="266" t="s">
        <v>55</v>
      </c>
      <c r="D52" s="267"/>
      <c r="E52" s="132">
        <v>135</v>
      </c>
    </row>
    <row r="53" spans="3:5">
      <c r="C53" s="262" t="s">
        <v>56</v>
      </c>
      <c r="D53" s="263"/>
      <c r="E53" s="133">
        <v>177</v>
      </c>
    </row>
    <row r="54" spans="3:5">
      <c r="C54" s="266" t="s">
        <v>57</v>
      </c>
      <c r="D54" s="267"/>
      <c r="E54" s="132">
        <v>218</v>
      </c>
    </row>
    <row r="55" spans="3:5">
      <c r="C55" s="262" t="s">
        <v>60</v>
      </c>
      <c r="D55" s="263"/>
      <c r="E55" s="133">
        <v>222</v>
      </c>
    </row>
    <row r="56" spans="3:5">
      <c r="C56" s="266" t="s">
        <v>62</v>
      </c>
      <c r="D56" s="267"/>
      <c r="E56" s="132">
        <v>162</v>
      </c>
    </row>
    <row r="57" spans="3:5">
      <c r="C57" s="262" t="s">
        <v>64</v>
      </c>
      <c r="D57" s="263"/>
      <c r="E57" s="138">
        <v>214</v>
      </c>
    </row>
    <row r="58" spans="3:5">
      <c r="C58" s="266" t="s">
        <v>67</v>
      </c>
      <c r="D58" s="267"/>
      <c r="E58" s="132">
        <v>147</v>
      </c>
    </row>
    <row r="59" spans="3:5">
      <c r="C59" s="262" t="s">
        <v>71</v>
      </c>
      <c r="D59" s="263"/>
      <c r="E59" s="139">
        <v>133</v>
      </c>
    </row>
    <row r="60" spans="3:5">
      <c r="C60" s="268" t="s">
        <v>73</v>
      </c>
      <c r="D60" s="269"/>
      <c r="E60" s="132">
        <v>207</v>
      </c>
    </row>
    <row r="61" spans="3:5">
      <c r="C61" s="262" t="s">
        <v>76</v>
      </c>
      <c r="D61" s="263"/>
      <c r="E61" s="137">
        <v>142</v>
      </c>
    </row>
    <row r="62" spans="3:5">
      <c r="C62" s="264" t="s">
        <v>79</v>
      </c>
      <c r="D62" s="265"/>
      <c r="E62" s="134">
        <v>164</v>
      </c>
    </row>
  </sheetData>
  <mergeCells count="145">
    <mergeCell ref="C59:D59"/>
    <mergeCell ref="C60:D60"/>
    <mergeCell ref="C61:D61"/>
    <mergeCell ref="C62:D62"/>
    <mergeCell ref="C53:D53"/>
    <mergeCell ref="C54:D54"/>
    <mergeCell ref="C55:D55"/>
    <mergeCell ref="C56:D56"/>
    <mergeCell ref="C57:D57"/>
    <mergeCell ref="C58:D58"/>
    <mergeCell ref="C46:D46"/>
    <mergeCell ref="C47:D47"/>
    <mergeCell ref="C49:D49"/>
    <mergeCell ref="C50:D50"/>
    <mergeCell ref="C51:D51"/>
    <mergeCell ref="C52:D52"/>
    <mergeCell ref="C40:D40"/>
    <mergeCell ref="C41:D41"/>
    <mergeCell ref="C42:D42"/>
    <mergeCell ref="C43:D43"/>
    <mergeCell ref="C44:D44"/>
    <mergeCell ref="C45:D45"/>
    <mergeCell ref="C34:D34"/>
    <mergeCell ref="C35:D35"/>
    <mergeCell ref="C36:D36"/>
    <mergeCell ref="C37:D37"/>
    <mergeCell ref="C38:D38"/>
    <mergeCell ref="C39:D39"/>
    <mergeCell ref="C31:D31"/>
    <mergeCell ref="Q31:R31"/>
    <mergeCell ref="S31:T31"/>
    <mergeCell ref="V31:W31"/>
    <mergeCell ref="C32:D32"/>
    <mergeCell ref="Q32:R32"/>
    <mergeCell ref="S32:T32"/>
    <mergeCell ref="V32:W32"/>
    <mergeCell ref="C29:D29"/>
    <mergeCell ref="H29:I29"/>
    <mergeCell ref="Q29:R29"/>
    <mergeCell ref="S29:T29"/>
    <mergeCell ref="C30:D30"/>
    <mergeCell ref="H30:I30"/>
    <mergeCell ref="Q30:R30"/>
    <mergeCell ref="S30:T30"/>
    <mergeCell ref="C27:D27"/>
    <mergeCell ref="H27:I27"/>
    <mergeCell ref="Q27:R27"/>
    <mergeCell ref="S27:T27"/>
    <mergeCell ref="C28:D28"/>
    <mergeCell ref="H28:I28"/>
    <mergeCell ref="Q28:R28"/>
    <mergeCell ref="S28:T28"/>
    <mergeCell ref="C25:D25"/>
    <mergeCell ref="H25:I25"/>
    <mergeCell ref="Q25:R25"/>
    <mergeCell ref="S25:T25"/>
    <mergeCell ref="C26:D26"/>
    <mergeCell ref="H26:I26"/>
    <mergeCell ref="Q26:R26"/>
    <mergeCell ref="S26:T26"/>
    <mergeCell ref="C23:D23"/>
    <mergeCell ref="Q23:R23"/>
    <mergeCell ref="S23:T23"/>
    <mergeCell ref="C24:D24"/>
    <mergeCell ref="H24:I24"/>
    <mergeCell ref="Q24:R24"/>
    <mergeCell ref="S24:T24"/>
    <mergeCell ref="C21:D21"/>
    <mergeCell ref="Q21:R21"/>
    <mergeCell ref="S21:T21"/>
    <mergeCell ref="C22:D22"/>
    <mergeCell ref="Q22:R22"/>
    <mergeCell ref="S22:T22"/>
    <mergeCell ref="Q18:R19"/>
    <mergeCell ref="S18:T19"/>
    <mergeCell ref="C19:D19"/>
    <mergeCell ref="H19:I19"/>
    <mergeCell ref="C20:D20"/>
    <mergeCell ref="H20:I20"/>
    <mergeCell ref="Q20:R20"/>
    <mergeCell ref="S20:T20"/>
    <mergeCell ref="N14:O14"/>
    <mergeCell ref="S14:T14"/>
    <mergeCell ref="E16:F16"/>
    <mergeCell ref="H16:I16"/>
    <mergeCell ref="K16:L16"/>
    <mergeCell ref="E17:F17"/>
    <mergeCell ref="H17:I17"/>
    <mergeCell ref="K17:L17"/>
    <mergeCell ref="Q17:T17"/>
    <mergeCell ref="E12:F12"/>
    <mergeCell ref="H12:I12"/>
    <mergeCell ref="K12:L12"/>
    <mergeCell ref="N12:O12"/>
    <mergeCell ref="S12:T12"/>
    <mergeCell ref="E13:F13"/>
    <mergeCell ref="H13:I13"/>
    <mergeCell ref="K13:L13"/>
    <mergeCell ref="N13:O13"/>
    <mergeCell ref="S13:T13"/>
    <mergeCell ref="E10:F10"/>
    <mergeCell ref="H10:I10"/>
    <mergeCell ref="K10:L10"/>
    <mergeCell ref="S10:T10"/>
    <mergeCell ref="E11:F11"/>
    <mergeCell ref="H11:I11"/>
    <mergeCell ref="K11:L11"/>
    <mergeCell ref="S11:T11"/>
    <mergeCell ref="E8:F8"/>
    <mergeCell ref="H8:I8"/>
    <mergeCell ref="K8:L8"/>
    <mergeCell ref="S8:T8"/>
    <mergeCell ref="E9:F9"/>
    <mergeCell ref="H9:I9"/>
    <mergeCell ref="K9:L9"/>
    <mergeCell ref="S9:T9"/>
    <mergeCell ref="E6:F6"/>
    <mergeCell ref="H6:I6"/>
    <mergeCell ref="K6:L6"/>
    <mergeCell ref="S6:T6"/>
    <mergeCell ref="E7:F7"/>
    <mergeCell ref="H7:I7"/>
    <mergeCell ref="K7:L7"/>
    <mergeCell ref="S7:T7"/>
    <mergeCell ref="E4:F4"/>
    <mergeCell ref="H4:I4"/>
    <mergeCell ref="K4:L4"/>
    <mergeCell ref="S4:T4"/>
    <mergeCell ref="E5:F5"/>
    <mergeCell ref="H5:I5"/>
    <mergeCell ref="K5:L5"/>
    <mergeCell ref="S5:T5"/>
    <mergeCell ref="S1:T1"/>
    <mergeCell ref="Z1:AC1"/>
    <mergeCell ref="S2:T2"/>
    <mergeCell ref="Z2:AA3"/>
    <mergeCell ref="AB2:AB3"/>
    <mergeCell ref="AC2:AC3"/>
    <mergeCell ref="S3:T3"/>
    <mergeCell ref="A1:B2"/>
    <mergeCell ref="C1:C2"/>
    <mergeCell ref="E1:F2"/>
    <mergeCell ref="H1:I2"/>
    <mergeCell ref="K1:L2"/>
    <mergeCell ref="N1:O2"/>
  </mergeCells>
  <conditionalFormatting sqref="N19:O19">
    <cfRule type="expression" dxfId="75" priority="20">
      <formula>#REF!="ESPERANDO RESPUESTA 3°"</formula>
    </cfRule>
    <cfRule type="expression" dxfId="74" priority="21">
      <formula>#REF!="PENDIENTE DE OFRECIMIENTO"</formula>
    </cfRule>
    <cfRule type="expression" dxfId="73" priority="22">
      <formula>#REF!="EN CONSULTA CON CIA"</formula>
    </cfRule>
    <cfRule type="expression" dxfId="72" priority="23">
      <formula>#REF!="IP REALIZADA"</formula>
    </cfRule>
    <cfRule type="expression" dxfId="71" priority="24">
      <formula>#REF!="PENDIENTE  COORDINACION"</formula>
    </cfRule>
    <cfRule type="expression" dxfId="70" priority="25">
      <formula>#REF!="LICITANDO REPUESTOS"</formula>
    </cfRule>
    <cfRule type="expression" dxfId="69" priority="26">
      <formula>#REF!="PENDIENTE PRESUPUESTO"</formula>
    </cfRule>
    <cfRule type="expression" dxfId="68" priority="27">
      <formula>#REF!="REVISAR MAIL - RESUELTO"</formula>
    </cfRule>
    <cfRule type="expression" dxfId="67" priority="28">
      <formula>#REF!="IP RECLAMADA A PERITO 5"</formula>
    </cfRule>
    <cfRule type="expression" dxfId="66" priority="29">
      <formula>#REF!="IP RECLAMADA A PERITO 4"</formula>
    </cfRule>
    <cfRule type="expression" dxfId="65" priority="30">
      <formula>#REF!="IP RECLAMADA A PERITO 2"</formula>
    </cfRule>
    <cfRule type="expression" dxfId="64" priority="31">
      <formula>#REF!="INSPECCION ANULADA"</formula>
    </cfRule>
    <cfRule type="expression" dxfId="63" priority="32">
      <formula>#REF!="IP COORDINADA"</formula>
    </cfRule>
    <cfRule type="expression" dxfId="62" priority="33">
      <formula>#REF!="CONTACTADO"</formula>
    </cfRule>
    <cfRule type="expression" dxfId="61" priority="34">
      <formula>#REF!="IP CERRADA"</formula>
    </cfRule>
    <cfRule type="expression" dxfId="60" priority="35">
      <formula>#REF!="ENVIO DE ORDEN"</formula>
    </cfRule>
    <cfRule type="expression" dxfId="59" priority="36">
      <formula>#REF!="PARA FACTURAR"</formula>
    </cfRule>
    <cfRule type="expression" dxfId="58" priority="37">
      <formula>#REF!="IP RECLAMADA A PERITO 1"</formula>
    </cfRule>
    <cfRule type="expression" dxfId="57" priority="38">
      <formula>#REF!="REVISAR MAIL - SIN RESOLVER"</formula>
    </cfRule>
  </conditionalFormatting>
  <conditionalFormatting sqref="V31">
    <cfRule type="expression" dxfId="56" priority="1">
      <formula>$V31="PENDIENTE PRESUPUESTO"</formula>
    </cfRule>
    <cfRule type="expression" dxfId="55" priority="2">
      <formula>$V31="ESPERANDO RESPUESTA 3°"</formula>
    </cfRule>
    <cfRule type="expression" dxfId="54" priority="3">
      <formula>$V31="PENDIENTE DE OFRECIMIENTO"</formula>
    </cfRule>
    <cfRule type="expression" dxfId="53" priority="4">
      <formula>$V31="EN CONSULTA CON CIA"</formula>
    </cfRule>
    <cfRule type="expression" dxfId="52" priority="5">
      <formula>$V31="IP REALIZADA"</formula>
    </cfRule>
    <cfRule type="expression" dxfId="51" priority="6">
      <formula>$V31="REVISAR MAIL - RESUELTO"</formula>
    </cfRule>
    <cfRule type="expression" dxfId="50" priority="7">
      <formula>$V31="INSPECCION ANULADA"</formula>
    </cfRule>
    <cfRule type="expression" dxfId="49" priority="8">
      <formula>$V31="IP RECLAMADA A PERITO 5"</formula>
    </cfRule>
    <cfRule type="expression" dxfId="48" priority="9">
      <formula>$V31="IP RECLAMADA A PERITO 4"</formula>
    </cfRule>
    <cfRule type="expression" dxfId="47" priority="10">
      <formula>$V31="IP RECLAMADA A PERITO 2"</formula>
    </cfRule>
    <cfRule type="expression" dxfId="46" priority="11">
      <formula>$V31="PENDIENTE  COORDINACION"</formula>
    </cfRule>
    <cfRule type="expression" dxfId="45" priority="12">
      <formula>$V31="LICITANDO REPUESTOS"</formula>
    </cfRule>
    <cfRule type="expression" dxfId="44" priority="13">
      <formula>$V31="IP COORDINADA"</formula>
    </cfRule>
    <cfRule type="expression" dxfId="43" priority="14">
      <formula>$V31="CONTACTADO"</formula>
    </cfRule>
    <cfRule type="expression" dxfId="42" priority="15">
      <formula>$V31="IP CERRADA"</formula>
    </cfRule>
    <cfRule type="expression" dxfId="41" priority="16">
      <formula>$V31="ENVIO DE ORDEN"</formula>
    </cfRule>
    <cfRule type="expression" dxfId="40" priority="17">
      <formula>$V31="PARA FACTURAR"</formula>
    </cfRule>
    <cfRule type="expression" dxfId="39" priority="18">
      <formula>$V31="IP RECLAMADA A PERITO 1"</formula>
    </cfRule>
    <cfRule type="expression" dxfId="38" priority="19">
      <formula>$V31="REVISAR MAIL - SIN RESOLVER"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2E50C-820F-41BA-9F5B-F57762805F52}">
  <sheetPr>
    <tabColor theme="6" tint="0.39997558519241921"/>
  </sheetPr>
  <dimension ref="A1:AC62"/>
  <sheetViews>
    <sheetView workbookViewId="0">
      <selection activeCell="Q30" sqref="Q30:R31"/>
    </sheetView>
  </sheetViews>
  <sheetFormatPr defaultRowHeight="15"/>
  <cols>
    <col min="3" max="3" width="24.7109375" customWidth="1"/>
    <col min="4" max="4" width="2.85546875" customWidth="1"/>
    <col min="5" max="5" width="11.42578125" customWidth="1"/>
    <col min="6" max="6" width="11" customWidth="1"/>
    <col min="7" max="7" width="3.140625" customWidth="1"/>
    <col min="8" max="8" width="11.140625" customWidth="1"/>
    <col min="9" max="9" width="10.5703125" customWidth="1"/>
    <col min="10" max="10" width="2.85546875" customWidth="1"/>
    <col min="11" max="11" width="11.42578125" customWidth="1"/>
    <col min="12" max="12" width="10.7109375" customWidth="1"/>
    <col min="13" max="13" width="3" customWidth="1"/>
    <col min="14" max="14" width="16.7109375" customWidth="1"/>
    <col min="15" max="15" width="12.140625" customWidth="1"/>
    <col min="16" max="16" width="9.140625" bestFit="1" customWidth="1"/>
    <col min="17" max="17" width="18.5703125" customWidth="1"/>
    <col min="18" max="18" width="9.140625" bestFit="1" customWidth="1"/>
    <col min="19" max="19" width="13.5703125" customWidth="1"/>
    <col min="20" max="20" width="8.5703125" bestFit="1" customWidth="1"/>
    <col min="21" max="21" width="4.85546875" customWidth="1"/>
    <col min="22" max="22" width="21.5703125" customWidth="1"/>
    <col min="23" max="23" width="14.42578125" customWidth="1"/>
    <col min="24" max="24" width="16.140625" customWidth="1"/>
    <col min="25" max="25" width="17.85546875" customWidth="1"/>
  </cols>
  <sheetData>
    <row r="1" spans="1:29">
      <c r="A1" s="367" t="s">
        <v>0</v>
      </c>
      <c r="B1" s="368"/>
      <c r="C1" s="369" t="s">
        <v>1</v>
      </c>
      <c r="E1" s="369" t="s">
        <v>2</v>
      </c>
      <c r="F1" s="369"/>
      <c r="H1" s="370" t="s">
        <v>3</v>
      </c>
      <c r="I1" s="371"/>
      <c r="K1" s="369" t="s">
        <v>4</v>
      </c>
      <c r="L1" s="369"/>
      <c r="N1" s="369" t="s">
        <v>5</v>
      </c>
      <c r="O1" s="369"/>
      <c r="Q1" s="3"/>
      <c r="R1" s="3"/>
      <c r="S1" s="354"/>
      <c r="T1" s="355"/>
      <c r="V1" s="1" t="s">
        <v>6</v>
      </c>
      <c r="W1" s="1" t="s">
        <v>7</v>
      </c>
      <c r="X1" s="1" t="s">
        <v>8</v>
      </c>
      <c r="Z1" s="356" t="s">
        <v>9</v>
      </c>
      <c r="AA1" s="357"/>
      <c r="AB1" s="357"/>
      <c r="AC1" s="358"/>
    </row>
    <row r="2" spans="1:29">
      <c r="A2" s="367"/>
      <c r="B2" s="368"/>
      <c r="C2" s="369"/>
      <c r="E2" s="369"/>
      <c r="F2" s="369"/>
      <c r="H2" s="372"/>
      <c r="I2" s="373"/>
      <c r="K2" s="369"/>
      <c r="L2" s="369"/>
      <c r="N2" s="369"/>
      <c r="O2" s="369"/>
      <c r="Q2" s="10"/>
      <c r="R2" s="13"/>
      <c r="S2" s="359"/>
      <c r="T2" s="360"/>
      <c r="V2" s="118" t="s">
        <v>10</v>
      </c>
      <c r="W2" s="119">
        <v>5625</v>
      </c>
      <c r="X2" s="119">
        <v>5250</v>
      </c>
      <c r="Z2" s="361" t="s">
        <v>11</v>
      </c>
      <c r="AA2" s="362"/>
      <c r="AB2" s="365" t="s">
        <v>12</v>
      </c>
      <c r="AC2" s="365" t="s">
        <v>13</v>
      </c>
    </row>
    <row r="3" spans="1:29" ht="3.75" customHeight="1">
      <c r="A3" s="19"/>
      <c r="B3" s="19"/>
      <c r="C3" s="19"/>
      <c r="E3" s="19"/>
      <c r="F3" s="19"/>
      <c r="H3" s="19"/>
      <c r="I3" s="19"/>
      <c r="K3" s="19"/>
      <c r="L3" s="19"/>
      <c r="N3" s="19"/>
      <c r="O3" s="19"/>
      <c r="Q3" s="12"/>
      <c r="R3" s="15"/>
      <c r="S3" s="351"/>
      <c r="T3" s="352"/>
      <c r="V3" s="118"/>
      <c r="W3" s="119"/>
      <c r="X3" s="119"/>
      <c r="Z3" s="363"/>
      <c r="AA3" s="364"/>
      <c r="AB3" s="366"/>
      <c r="AC3" s="366"/>
    </row>
    <row r="4" spans="1:29" ht="15.75">
      <c r="C4" s="37" t="s">
        <v>10</v>
      </c>
      <c r="E4" s="341">
        <f>COUNTIFS(General!F:F, "IP CERRADA", General!H:H, "PTE. APROBACION", General!G:G, "IP CON ORDEN", General!O:O, "&gt;="&amp;DATE(2026,2,1), General!O:O, "&lt;="&amp;DATE(2026,2,31))</f>
        <v>80</v>
      </c>
      <c r="F4" s="341"/>
      <c r="G4">
        <f>COUNTIFS(General!F:F, "IP CERRADA", General!M:M, "A MIÑO", General!H:H, "PTE. APROBACION", General!G:G, "IP CON ORDEN", General!O:O, "&gt;="&amp;DATE(2026,2,1), General!O:O, "&lt;="&amp;DATE(2026,2,31))</f>
        <v>2</v>
      </c>
      <c r="H4" s="342">
        <f>COUNTIFS(General!F:F, "LICITANDO REPUESTOS", General!G:G, "IP CON ORDEN")</f>
        <v>15</v>
      </c>
      <c r="I4" s="342"/>
      <c r="K4" s="343">
        <f>COUNTIFS(General!F:F, "IP COORDINADA", General!G:G, "IP CON ORDEN")</f>
        <v>32</v>
      </c>
      <c r="L4" s="343"/>
      <c r="N4" s="30" t="s">
        <v>14</v>
      </c>
      <c r="O4" s="31">
        <f>COUNTIFS(General!F:F, "PENDIENTE  COORDINACION")</f>
        <v>5</v>
      </c>
      <c r="Q4" s="11"/>
      <c r="R4" s="14"/>
      <c r="S4" s="346"/>
      <c r="T4" s="347"/>
      <c r="V4" s="120" t="s">
        <v>15</v>
      </c>
      <c r="W4" s="121">
        <v>5625</v>
      </c>
      <c r="X4" s="121">
        <v>5250</v>
      </c>
      <c r="Z4" s="70" t="s">
        <v>16</v>
      </c>
      <c r="AA4" s="71" t="e">
        <f>#REF!</f>
        <v>#REF!</v>
      </c>
      <c r="AB4" s="72" t="e">
        <f>AA4*$R$14</f>
        <v>#REF!</v>
      </c>
      <c r="AC4" s="72" t="e">
        <f>AB4*$T$14</f>
        <v>#REF!</v>
      </c>
    </row>
    <row r="5" spans="1:29" ht="15.75">
      <c r="C5" s="261" t="s">
        <v>15</v>
      </c>
      <c r="E5" s="353">
        <f>COUNTIFS(General!F:F, "IP CERRADA", General!H:H, "PTE. APROBACION", General!G:G, "POSIBLE DT", General!O:O, "&gt;="&amp;DATE(2026,2,1), General!O:O, "&lt;="&amp;DATE(2026,2,31))</f>
        <v>18</v>
      </c>
      <c r="F5" s="353"/>
      <c r="H5" s="349">
        <f>COUNTIFS(General!F:F, "LICITANDO REPUESTOS", General!G:G, "POSIBLE DT")</f>
        <v>0</v>
      </c>
      <c r="I5" s="349"/>
      <c r="K5" s="350">
        <f>COUNTIFS(General!F:F, "IP COORDINADA", General!G:G, "POSIBLE DT")</f>
        <v>2</v>
      </c>
      <c r="L5" s="350"/>
      <c r="N5" s="32" t="s">
        <v>17</v>
      </c>
      <c r="O5" s="33">
        <f>COUNTIFS(General!F:F, "CONTACTADO")</f>
        <v>2</v>
      </c>
      <c r="Q5" s="12"/>
      <c r="R5" s="15"/>
      <c r="S5" s="351"/>
      <c r="T5" s="352"/>
      <c r="V5" s="118" t="s">
        <v>18</v>
      </c>
      <c r="W5" s="119">
        <v>5625</v>
      </c>
      <c r="X5" s="119">
        <v>5250</v>
      </c>
      <c r="Z5" s="73" t="s">
        <v>19</v>
      </c>
      <c r="AA5" s="74" t="e">
        <f>#REF!</f>
        <v>#REF!</v>
      </c>
      <c r="AB5" s="75" t="e">
        <f>AA5*$R$14</f>
        <v>#REF!</v>
      </c>
      <c r="AC5" s="75" t="e">
        <f>AB5*$T$14</f>
        <v>#REF!</v>
      </c>
    </row>
    <row r="6" spans="1:29" ht="15.75">
      <c r="C6" s="37" t="s">
        <v>18</v>
      </c>
      <c r="E6" s="341">
        <f>COUNTIFS(General!F:F, "IP CERRADA", General!H:H, "PTE. APROBACION", General!G:G, "IP SIN ORDEN", General!O:O, "&gt;="&amp;DATE(2026,2,1), General!O:O, "&lt;="&amp;DATE(2026,2,31))</f>
        <v>51</v>
      </c>
      <c r="F6" s="341"/>
      <c r="H6" s="342">
        <f>COUNTIFS(General!F:F, "LICITANDO REPUESTOS", General!G:G, "IP SIN ORDEN")</f>
        <v>0</v>
      </c>
      <c r="I6" s="342"/>
      <c r="K6" s="343">
        <f>COUNTIFS(General!F:F, "IP COORDINADA", General!G:G, "IP SIN ORDEN")</f>
        <v>0</v>
      </c>
      <c r="L6" s="343"/>
      <c r="N6" s="30" t="s">
        <v>20</v>
      </c>
      <c r="O6" s="34">
        <f>COUNTIFS(General!F:F, "PENDIENTE DE OFRECIMIENTO")</f>
        <v>0</v>
      </c>
      <c r="Q6" s="11"/>
      <c r="R6" s="14"/>
      <c r="S6" s="346"/>
      <c r="T6" s="347"/>
      <c r="V6" s="120" t="s">
        <v>21</v>
      </c>
      <c r="W6" s="121">
        <v>2500</v>
      </c>
      <c r="X6" s="121">
        <v>2000</v>
      </c>
      <c r="Z6" s="76" t="s">
        <v>22</v>
      </c>
      <c r="AA6" s="77" t="e">
        <f>#REF!</f>
        <v>#REF!</v>
      </c>
      <c r="AB6" s="72" t="e">
        <f>AA6*$R$14</f>
        <v>#REF!</v>
      </c>
      <c r="AC6" s="72" t="e">
        <f>AB6*$T$14</f>
        <v>#REF!</v>
      </c>
    </row>
    <row r="7" spans="1:29" ht="15.75">
      <c r="C7" s="261" t="s">
        <v>21</v>
      </c>
      <c r="E7" s="353">
        <f>COUNTIFS(General!F:F, "IP CERRADA", General!H:H, "PTE. APROBACION", General!G:G, "AMPLIACION", General!O:O, "&gt;="&amp;DATE(2026,2,1), General!O:O, "&lt;="&amp;DATE(2026,2,31))</f>
        <v>9</v>
      </c>
      <c r="F7" s="353"/>
      <c r="H7" s="349">
        <f>COUNTIFS(General!F:F, "LICITANDO REPUESTOS", General!G:G, "AMPLIACION")</f>
        <v>1</v>
      </c>
      <c r="I7" s="349"/>
      <c r="K7" s="350">
        <f>COUNTIFS(General!F:F, "IP COORDINADA", General!G:G, "AMPLIACION")</f>
        <v>0</v>
      </c>
      <c r="L7" s="350"/>
      <c r="N7" s="35" t="s">
        <v>23</v>
      </c>
      <c r="O7" s="36">
        <f>COUNTIFS(General!F:F, "REVISAR MAIL - SIN RESOLVER")</f>
        <v>0</v>
      </c>
      <c r="Q7" s="12"/>
      <c r="R7" s="15"/>
      <c r="S7" s="351"/>
      <c r="T7" s="352"/>
      <c r="V7" s="118" t="s">
        <v>24</v>
      </c>
      <c r="W7" s="119">
        <v>0</v>
      </c>
      <c r="X7" s="119">
        <v>0</v>
      </c>
      <c r="Z7" s="73" t="s">
        <v>25</v>
      </c>
      <c r="AA7" s="74" t="e">
        <f>#REF!</f>
        <v>#REF!</v>
      </c>
      <c r="AB7" s="75" t="e">
        <f>AA7*$R$14</f>
        <v>#REF!</v>
      </c>
      <c r="AC7" s="75" t="e">
        <f>AB7*$T$14</f>
        <v>#REF!</v>
      </c>
    </row>
    <row r="8" spans="1:29" ht="15.75">
      <c r="C8" s="37" t="s">
        <v>24</v>
      </c>
      <c r="E8" s="341">
        <f>COUNTIFS(General!F:F, "IP CERRADA", General!H:H, "PTE. APROBACION", General!G:G, "ENVIO DE ORDEN", General!O:O, "&gt;="&amp;DATE(2026,2,1), General!O:O, "&lt;="&amp;DATE(2026,2,31))</f>
        <v>0</v>
      </c>
      <c r="F8" s="341"/>
      <c r="H8" s="342">
        <f>COUNTIFS(General!F:F, "LICITANDO REPUESTOS", General!G:G, "ENVIO DE ORDEN")</f>
        <v>0</v>
      </c>
      <c r="I8" s="342"/>
      <c r="K8" s="343">
        <f>COUNTIFS(General!F:F, "ENVIO DE ORDEN", General!G:G, "ENVIO DE ORDEN")</f>
        <v>0</v>
      </c>
      <c r="L8" s="343"/>
      <c r="Q8" s="11"/>
      <c r="R8" s="14"/>
      <c r="S8" s="346"/>
      <c r="T8" s="347"/>
      <c r="V8" s="120" t="s">
        <v>26</v>
      </c>
      <c r="W8" s="121">
        <v>1500</v>
      </c>
      <c r="X8" s="121" t="s">
        <v>27</v>
      </c>
      <c r="Z8" s="76" t="s">
        <v>28</v>
      </c>
      <c r="AA8" s="77" t="e">
        <f>#REF!</f>
        <v>#REF!</v>
      </c>
      <c r="AB8" s="72" t="e">
        <f>AA8*$R$14</f>
        <v>#REF!</v>
      </c>
      <c r="AC8" s="72" t="e">
        <f>AB8*$T$14</f>
        <v>#REF!</v>
      </c>
    </row>
    <row r="9" spans="1:29" ht="15.75">
      <c r="C9" s="261" t="s">
        <v>29</v>
      </c>
      <c r="E9" s="353">
        <f>COUNTIFS(General!F:F, "IP CERRADA", General!H:H, "PTE. APROBACION", General!G:G, "IP CAMIONES", General!O:O, "&gt;="&amp;DATE(2026,2,1), General!O:O, "&lt;="&amp;DATE(2026,2,31))</f>
        <v>0</v>
      </c>
      <c r="F9" s="353"/>
      <c r="H9" s="349">
        <f>COUNTIFS(General!F:F, "LICITANDO REPUESTOS", General!G:G, "IP CAMIONES")</f>
        <v>0</v>
      </c>
      <c r="I9" s="349"/>
      <c r="K9" s="350">
        <f>COUNTIFS(General!F:F, "IP COORDINADA", General!G:G, "IP CAMIONES")</f>
        <v>0</v>
      </c>
      <c r="L9" s="350"/>
      <c r="N9" s="115" t="s">
        <v>26</v>
      </c>
      <c r="O9" s="115">
        <f>COUNTIFS(General!F:F, "IP CERRADA", General!H:H, "PTE. APROBACION", General!G:G, "AUSENTE", General!O:O, "&gt;="&amp;DATE(2026,2,1), General!O:O, "&lt;="&amp;DATE(2026,2,31))</f>
        <v>12</v>
      </c>
      <c r="Q9" s="12"/>
      <c r="R9" s="15"/>
      <c r="S9" s="351"/>
      <c r="T9" s="352"/>
      <c r="V9" s="118" t="s">
        <v>30</v>
      </c>
      <c r="W9" s="119">
        <v>5625</v>
      </c>
      <c r="X9" s="119">
        <v>5625</v>
      </c>
      <c r="Z9" s="73" t="s">
        <v>31</v>
      </c>
      <c r="AA9" s="74" t="e">
        <f>#REF!</f>
        <v>#REF!</v>
      </c>
      <c r="AB9" s="75" t="e">
        <f>AA9*$R$14</f>
        <v>#REF!</v>
      </c>
      <c r="AC9" s="75" t="e">
        <f>AB9*$T$14</f>
        <v>#REF!</v>
      </c>
    </row>
    <row r="10" spans="1:29" ht="15.75">
      <c r="C10" s="37" t="s">
        <v>30</v>
      </c>
      <c r="E10" s="341">
        <f>COUNTIFS(General!F:F, "IP CERRADA", General!H:H, "PTE. APROBACION", General!G:G, "TERCEROS", General!O:O, "&gt;="&amp;DATE(2024,3,1), General!O:O, "&gt;="&amp;DATE(2026,2,1), General!O:O, "&lt;="&amp;DATE(2026,2,31))</f>
        <v>0</v>
      </c>
      <c r="F10" s="341"/>
      <c r="H10" s="342">
        <f>COUNTIFS(General!F:F, "LICITANDO REPUESTOS", General!G:G, "TERCEROS")</f>
        <v>0</v>
      </c>
      <c r="I10" s="342"/>
      <c r="K10" s="343">
        <f>COUNTIFS(General!F:F, "IP COORDINADA", General!G:G, "TERCEROS")</f>
        <v>0</v>
      </c>
      <c r="L10" s="343"/>
      <c r="N10" s="114"/>
      <c r="O10" s="49"/>
      <c r="Q10" s="11"/>
      <c r="R10" s="14"/>
      <c r="S10" s="346"/>
      <c r="T10" s="347"/>
      <c r="V10" s="120" t="s">
        <v>32</v>
      </c>
      <c r="W10" s="121">
        <v>0</v>
      </c>
      <c r="X10" s="121">
        <v>0</v>
      </c>
      <c r="Z10" s="76" t="s">
        <v>33</v>
      </c>
      <c r="AA10" s="77" t="e">
        <f>#REF!</f>
        <v>#REF!</v>
      </c>
      <c r="AB10" s="78" t="e">
        <f>AA10*$R$14</f>
        <v>#REF!</v>
      </c>
      <c r="AC10" s="78" t="e">
        <f>AB10*$T$14</f>
        <v>#REF!</v>
      </c>
    </row>
    <row r="11" spans="1:29" ht="15.75">
      <c r="C11" s="261" t="s">
        <v>32</v>
      </c>
      <c r="E11" s="353">
        <f>COUNTIFS(General!F:F, "IP CERRADA", General!H:H, "PTE. APROBACION", General!G:G, "FOTOS", General!O:O, "&gt;="&amp;DATE(2026,2,1), General!O:O, "&lt;="&amp;DATE(2026,2,31))</f>
        <v>0</v>
      </c>
      <c r="F11" s="353"/>
      <c r="H11" s="349">
        <f>COUNTIFS(General!F:F, "LICITANDO REPUESTOS", General!G:G, "FOTOS")</f>
        <v>0</v>
      </c>
      <c r="I11" s="349"/>
      <c r="K11" s="350">
        <f>COUNTIFS(General!F:F, "IP COORDINADA", General!G:G, "FOTOS")</f>
        <v>0</v>
      </c>
      <c r="L11" s="350"/>
      <c r="Q11" s="12"/>
      <c r="R11" s="15"/>
      <c r="S11" s="351"/>
      <c r="T11" s="352"/>
      <c r="V11" s="118" t="s">
        <v>34</v>
      </c>
      <c r="W11" s="119">
        <v>0</v>
      </c>
      <c r="X11" s="119">
        <v>0</v>
      </c>
      <c r="Z11" s="79" t="s">
        <v>35</v>
      </c>
      <c r="AA11" s="80" t="e">
        <f>#REF!</f>
        <v>#REF!</v>
      </c>
      <c r="AB11" s="81" t="e">
        <f>AA11*$R$14</f>
        <v>#REF!</v>
      </c>
      <c r="AC11" s="81" t="e">
        <f>AB11*$T$14</f>
        <v>#REF!</v>
      </c>
    </row>
    <row r="12" spans="1:29" ht="15.75">
      <c r="C12" s="37" t="s">
        <v>34</v>
      </c>
      <c r="E12" s="341">
        <f>COUNTIFS(General!F:F, "IP CERRADA", General!H:H, "PTE. APROBACION", General!G:G, "IP REMOTA", General!O:O, "&gt;="&amp;DATE(2026,2,1), General!O:O, "&lt;="&amp;DATE(2026,2,31))</f>
        <v>4</v>
      </c>
      <c r="F12" s="341"/>
      <c r="H12" s="342">
        <f>COUNTIFS(General!F:F, "LICITANDO REPUESTOS", General!G:G, "IP REMOTA")</f>
        <v>0</v>
      </c>
      <c r="I12" s="342"/>
      <c r="K12" s="343">
        <f>COUNTIFS(General!F:F, "IP COORDINADA", General!G:G, "IP REMOTA")</f>
        <v>0</v>
      </c>
      <c r="L12" s="343"/>
      <c r="N12" s="344" t="s">
        <v>36</v>
      </c>
      <c r="O12" s="345"/>
      <c r="Q12" s="11"/>
      <c r="R12" s="14"/>
      <c r="S12" s="346"/>
      <c r="T12" s="347"/>
      <c r="V12" s="120" t="s">
        <v>29</v>
      </c>
      <c r="W12" s="121">
        <v>5625</v>
      </c>
      <c r="X12" s="121">
        <v>5250</v>
      </c>
      <c r="Z12" s="82"/>
      <c r="AA12" s="83"/>
      <c r="AB12" s="84"/>
      <c r="AC12" s="84"/>
    </row>
    <row r="13" spans="1:29" ht="15.75">
      <c r="C13" s="261" t="s">
        <v>37</v>
      </c>
      <c r="E13" s="348">
        <f>COUNTIFS(General!F:F, "IP CERRADA", General!H:H, "PTE. APROBACION", General!G:G, "IP VIRTUAL", General!O:O, "&gt;="&amp;DATE(2026,2,1), General!O:O, "&lt;="&amp;DATE(2026,2,31))</f>
        <v>0</v>
      </c>
      <c r="F13" s="348"/>
      <c r="H13" s="349">
        <f>COUNTIFS(General!F:F, "LICITANDO REPUESTOS", General!G:G, "IP VIRTUAL")</f>
        <v>0</v>
      </c>
      <c r="I13" s="349"/>
      <c r="K13" s="350">
        <f>COUNTIFS(General!F:F, "IP COORDINADA", General!G:G, "IP VIRTUAL")</f>
        <v>0</v>
      </c>
      <c r="L13" s="350"/>
      <c r="N13" s="344">
        <f>SUMIFS(General!P2:P2771, General!L2:L2771, "&gt;=01/06/2024", General!L2:L2771, "&lt;=31/06/2024")</f>
        <v>0</v>
      </c>
      <c r="O13" s="345"/>
      <c r="Q13" s="12"/>
      <c r="R13" s="15"/>
      <c r="S13" s="351"/>
      <c r="T13" s="352"/>
      <c r="V13" s="118" t="s">
        <v>37</v>
      </c>
      <c r="W13" s="119" t="s">
        <v>27</v>
      </c>
      <c r="X13" s="119" t="s">
        <v>27</v>
      </c>
      <c r="Z13" s="85"/>
      <c r="AA13" s="86"/>
      <c r="AB13" s="87"/>
      <c r="AC13" s="87"/>
    </row>
    <row r="14" spans="1:29" ht="15.75">
      <c r="E14" s="112">
        <f>E4+E5+E6+E7+E8+E9+E10+E11+E12+E13</f>
        <v>162</v>
      </c>
      <c r="F14" s="113" t="s">
        <v>38</v>
      </c>
      <c r="H14" s="110">
        <f>H4+H5+H6+H7+H8+H9+H10+H11+H12+H13</f>
        <v>16</v>
      </c>
      <c r="I14" s="111" t="s">
        <v>38</v>
      </c>
      <c r="K14" s="260">
        <f>K4+K5+K6+K7+K8+K9+K10+K11+K12+K13</f>
        <v>34</v>
      </c>
      <c r="L14" s="109" t="s">
        <v>38</v>
      </c>
      <c r="N14" s="332">
        <f>N13*T14</f>
        <v>0</v>
      </c>
      <c r="O14" s="333"/>
      <c r="Q14" s="62"/>
      <c r="R14" s="63"/>
      <c r="S14" s="334"/>
      <c r="T14" s="335"/>
      <c r="V14" s="118"/>
      <c r="W14" s="119"/>
      <c r="X14" s="119"/>
      <c r="Z14" s="85"/>
      <c r="AA14" s="86"/>
      <c r="AB14" s="87"/>
      <c r="AC14" s="87"/>
    </row>
    <row r="15" spans="1:29">
      <c r="E15" s="19"/>
      <c r="F15" s="19"/>
      <c r="V15" s="118"/>
      <c r="W15" s="119"/>
      <c r="X15" s="119"/>
      <c r="Z15" s="82"/>
      <c r="AA15" s="88"/>
      <c r="AB15" s="89"/>
      <c r="AC15" s="89"/>
    </row>
    <row r="16" spans="1:29" ht="15.75">
      <c r="E16" s="336" t="s">
        <v>39</v>
      </c>
      <c r="F16" s="336"/>
      <c r="H16" s="337" t="s">
        <v>40</v>
      </c>
      <c r="I16" s="337"/>
      <c r="K16" s="338" t="s">
        <v>41</v>
      </c>
      <c r="L16" s="338"/>
      <c r="N16" s="28" t="s">
        <v>42</v>
      </c>
      <c r="O16" s="253">
        <f>COUNTIFS(General!H:H, "EN TRAMITE")</f>
        <v>98</v>
      </c>
      <c r="V16" s="122" t="s">
        <v>43</v>
      </c>
      <c r="W16" s="123">
        <v>300</v>
      </c>
      <c r="X16" s="123" t="s">
        <v>27</v>
      </c>
      <c r="Z16" s="90" t="s">
        <v>44</v>
      </c>
      <c r="AA16" s="91" t="e">
        <f>AA4+AA5+AA6+AA7+AA8+AA9+AA10+AA11</f>
        <v>#REF!</v>
      </c>
      <c r="AB16" s="92" t="e">
        <f>AB4+AB5+AB6+AB7+AB8+AB9+AB10+AB11</f>
        <v>#REF!</v>
      </c>
      <c r="AC16" s="93" t="e">
        <f>AC4+AC5+AC6+AC7+AC8+AC9+AC10+AC11</f>
        <v>#REF!</v>
      </c>
    </row>
    <row r="17" spans="3:24" ht="15.75">
      <c r="E17" s="336">
        <f>E4+E5+E6+E7+E8+E9+E10+E12+O9+E13</f>
        <v>174</v>
      </c>
      <c r="F17" s="336"/>
      <c r="H17" s="337">
        <f>H4+H5+H6+H7+H8+H9+H10+H11+H12+H13</f>
        <v>16</v>
      </c>
      <c r="I17" s="337"/>
      <c r="K17" s="338">
        <f>K4+K5+K6+K7+K8+K9+K10+K11+K12+K13</f>
        <v>34</v>
      </c>
      <c r="L17" s="338"/>
      <c r="N17" s="28" t="s">
        <v>45</v>
      </c>
      <c r="O17" s="253">
        <f>COUNTIFS(General!H:H, "PTE. APROBACION")</f>
        <v>3403</v>
      </c>
      <c r="Q17" s="339" t="s">
        <v>46</v>
      </c>
      <c r="R17" s="340"/>
      <c r="S17" s="340"/>
      <c r="T17" s="340"/>
    </row>
    <row r="18" spans="3:24" ht="15.75">
      <c r="N18" s="102" t="s">
        <v>47</v>
      </c>
      <c r="O18" s="253">
        <f>COUNTIFS(General!H:H, "ANULADO")</f>
        <v>198</v>
      </c>
      <c r="Q18" s="315" t="s">
        <v>48</v>
      </c>
      <c r="R18" s="316"/>
      <c r="S18" s="315" t="s">
        <v>12</v>
      </c>
      <c r="T18" s="319"/>
      <c r="V18" s="108" t="s">
        <v>10</v>
      </c>
      <c r="W18" s="103">
        <f>COUNTIFS(General!F:F, "PARA FACTURAR", General!G:G, "IP CON ORDEN")</f>
        <v>13</v>
      </c>
      <c r="X18" s="107"/>
    </row>
    <row r="19" spans="3:24" ht="15" customHeight="1">
      <c r="C19" s="321" t="s">
        <v>5132</v>
      </c>
      <c r="D19" s="321"/>
      <c r="E19" s="257">
        <f>E21+E22+E23+E24+E25+E26+E27+E28+E29+E30+E31+E32</f>
        <v>498</v>
      </c>
      <c r="F19" s="249">
        <f>(E19-E34)/E34</f>
        <v>-0.84667487684729059</v>
      </c>
      <c r="H19" s="322" t="s">
        <v>50</v>
      </c>
      <c r="I19" s="323"/>
      <c r="N19" s="101" t="s">
        <v>51</v>
      </c>
      <c r="O19" s="101">
        <f>COUNTIFS(General!F:F, "PARA FACTURAR")</f>
        <v>22</v>
      </c>
      <c r="Q19" s="317"/>
      <c r="R19" s="318"/>
      <c r="S19" s="317"/>
      <c r="T19" s="320"/>
      <c r="V19" s="108" t="s">
        <v>15</v>
      </c>
      <c r="W19" s="103">
        <f>COUNTIFS(General!F:F, "PARA FACTURAR", General!G:G, "POSIBLE DT")</f>
        <v>2</v>
      </c>
      <c r="X19" s="107"/>
    </row>
    <row r="20" spans="3:24" ht="15.75">
      <c r="C20" s="324" t="s">
        <v>52</v>
      </c>
      <c r="D20" s="325"/>
      <c r="E20" s="258" t="s">
        <v>53</v>
      </c>
      <c r="F20" s="257">
        <f>E19-E34</f>
        <v>-2750</v>
      </c>
      <c r="H20" s="326">
        <f>E17+H17+K17+O19</f>
        <v>246</v>
      </c>
      <c r="I20" s="327"/>
      <c r="Q20" s="328"/>
      <c r="R20" s="329"/>
      <c r="S20" s="330"/>
      <c r="T20" s="331"/>
      <c r="V20" s="108" t="s">
        <v>18</v>
      </c>
      <c r="W20" s="103">
        <f>COUNTIFS(General!F:F, "PARA FACTURAR", General!G:G, "IP SIN ORDEN")</f>
        <v>6</v>
      </c>
      <c r="X20" s="107"/>
    </row>
    <row r="21" spans="3:24" ht="15.75">
      <c r="C21" s="313" t="s">
        <v>54</v>
      </c>
      <c r="D21" s="314"/>
      <c r="E21" s="219">
        <f>COUNTIFS(General!B:B, "&gt;="&amp;DATE(2026,1,1), General!B:B, "&lt;="&amp;DATE(2026,1,31))</f>
        <v>255</v>
      </c>
      <c r="F21" s="250">
        <f>(E21-E36)/E36</f>
        <v>-1.9230769230769232E-2</v>
      </c>
      <c r="Q21" s="295"/>
      <c r="R21" s="296"/>
      <c r="S21" s="280"/>
      <c r="T21" s="281"/>
      <c r="V21" s="108" t="s">
        <v>21</v>
      </c>
      <c r="W21" s="103">
        <f>COUNTIFS(General!F:F, "PARA FACTURAR", General!G:G, "AMPLIACION")</f>
        <v>1</v>
      </c>
      <c r="X21" s="107"/>
    </row>
    <row r="22" spans="3:24" ht="15.75">
      <c r="C22" s="306" t="s">
        <v>55</v>
      </c>
      <c r="D22" s="310"/>
      <c r="E22" s="220">
        <f>COUNTIFS(General!B:B, "&gt;="&amp;DATE(2026,2,1), General!B:B, "&lt;="&amp;DATE(2026,2,31))</f>
        <v>208</v>
      </c>
      <c r="F22" s="248">
        <f>(E22-E37)/E37</f>
        <v>7.2164948453608241E-2</v>
      </c>
      <c r="H22" s="67"/>
      <c r="I22" s="67"/>
      <c r="Q22" s="299"/>
      <c r="R22" s="300"/>
      <c r="S22" s="301"/>
      <c r="T22" s="302"/>
      <c r="V22" s="108" t="s">
        <v>24</v>
      </c>
      <c r="W22" s="103">
        <f>COUNTIFS(General!F:F, "PARA FACTURAR", General!G:G, "ENVIO DE ORDEN")</f>
        <v>0</v>
      </c>
      <c r="X22" s="107"/>
    </row>
    <row r="23" spans="3:24" ht="15.75">
      <c r="C23" s="308" t="s">
        <v>56</v>
      </c>
      <c r="D23" s="309"/>
      <c r="E23" s="221">
        <f>COUNTIFS(General!B:B, "&gt;="&amp;DATE(2026,3,1), General!B:B, "&lt;="&amp;DATE(2026,3,31))</f>
        <v>35</v>
      </c>
      <c r="F23" s="248">
        <f>(E23-E38)/E38</f>
        <v>-0.84018264840182644</v>
      </c>
      <c r="H23" s="67"/>
      <c r="I23" s="67"/>
      <c r="Q23" s="295"/>
      <c r="R23" s="296"/>
      <c r="S23" s="280"/>
      <c r="T23" s="281"/>
      <c r="V23" s="108" t="s">
        <v>29</v>
      </c>
      <c r="W23" s="103">
        <f>COUNTIFS(General!F:F, "PARA FACTURAR", General!G:G, "IP CAMIONES")</f>
        <v>0</v>
      </c>
      <c r="X23" s="107"/>
    </row>
    <row r="24" spans="3:24" ht="15.75">
      <c r="C24" s="306" t="s">
        <v>57</v>
      </c>
      <c r="D24" s="310"/>
      <c r="E24" s="220">
        <f>COUNTIFS(General!B:B, "&gt;="&amp;DATE(2026,4,1), General!B:B, "&lt;="&amp;DATE(2026,4,31))</f>
        <v>0</v>
      </c>
      <c r="F24" s="248">
        <f>(E24-E39)/E39</f>
        <v>-1</v>
      </c>
      <c r="H24" s="312" t="s">
        <v>58</v>
      </c>
      <c r="I24" s="312"/>
      <c r="Q24" s="299" t="s">
        <v>59</v>
      </c>
      <c r="R24" s="300"/>
      <c r="S24" s="301">
        <f>PeritosFebrero!AB21</f>
        <v>523786</v>
      </c>
      <c r="T24" s="302"/>
      <c r="V24" s="108" t="s">
        <v>30</v>
      </c>
      <c r="W24" s="103">
        <f>COUNTIFS(General!F:F, "PARA FACTURAR", General!G:G, "TERCEROS")</f>
        <v>0</v>
      </c>
      <c r="X24" s="107"/>
    </row>
    <row r="25" spans="3:24" ht="15.75">
      <c r="C25" s="308" t="s">
        <v>60</v>
      </c>
      <c r="D25" s="309"/>
      <c r="E25" s="221">
        <f>COUNTIFS(General!B:B, "&gt;="&amp;DATE(2026,5,1), General!B:B, "&lt;="&amp;DATE(2026,5,31))</f>
        <v>0</v>
      </c>
      <c r="F25" s="248">
        <f>(E25-E40)/E40</f>
        <v>-1</v>
      </c>
      <c r="H25" s="294" t="s">
        <v>61</v>
      </c>
      <c r="I25" s="294"/>
      <c r="K25" s="158">
        <f>AVERAGEIFS(General!S:S,General!B:B,"&gt;="&amp;DATE(2025,5,1),General!B:B,"&lt;="&amp;DATE(2025,5,31),General!F:F,"IP CERRADA")</f>
        <v>4.3580952380952382</v>
      </c>
      <c r="Q25" s="295"/>
      <c r="R25" s="296"/>
      <c r="S25" s="280"/>
      <c r="T25" s="281"/>
      <c r="V25" s="108" t="s">
        <v>32</v>
      </c>
      <c r="W25" s="103">
        <f>COUNTIFS(General!F:F, "PARA FACTURAR", General!G:G, "FOTOS")</f>
        <v>0</v>
      </c>
      <c r="X25" s="107"/>
    </row>
    <row r="26" spans="3:24" ht="15.75">
      <c r="C26" s="306" t="s">
        <v>62</v>
      </c>
      <c r="D26" s="310"/>
      <c r="E26" s="220">
        <f>COUNTIFS(General!B:B, "&gt;="&amp;DATE(2026,6,1), General!B:B, "&lt;="&amp;DATE(2026,6,31))</f>
        <v>0</v>
      </c>
      <c r="F26" s="248">
        <f>(E26-E41)/E41</f>
        <v>-1</v>
      </c>
      <c r="H26" s="311" t="s">
        <v>63</v>
      </c>
      <c r="I26" s="311"/>
      <c r="K26" s="158">
        <f>AVERAGEIFS(General!T:T,General!B:B,"&gt;="&amp;DATE(2025,5,1),General!B:B,"&lt;="&amp;DATE(2025,5,31),General!F:F,"IP CERRADA")</f>
        <v>1.0361904761904761</v>
      </c>
      <c r="Q26" s="299"/>
      <c r="R26" s="300"/>
      <c r="S26" s="301"/>
      <c r="T26" s="302"/>
      <c r="V26" s="108" t="s">
        <v>34</v>
      </c>
      <c r="W26" s="103">
        <f>COUNTIFS(General!F:F, "PARA FACTURAR", General!G:G, "IP REMOTA")</f>
        <v>0</v>
      </c>
      <c r="X26" s="107"/>
    </row>
    <row r="27" spans="3:24" ht="15.75">
      <c r="C27" s="303" t="s">
        <v>64</v>
      </c>
      <c r="D27" s="304"/>
      <c r="E27" s="222">
        <f>COUNTIFS(General!B:B, "&gt;="&amp;DATE(2026,7,1), General!B:B, "&lt;="&amp;DATE(2026,7,31))</f>
        <v>0</v>
      </c>
      <c r="F27" s="248">
        <f>(E27-E42)/E42</f>
        <v>-1</v>
      </c>
      <c r="H27" s="305" t="s">
        <v>65</v>
      </c>
      <c r="I27" s="305"/>
      <c r="K27" s="158">
        <f>AVERAGEIFS(General!U:U,General!B:B,"&gt;="&amp;DATE(2025,5,1),General!B:B,"&lt;="&amp;DATE(2025,5,31),General!F:F,"IP CERRADA")</f>
        <v>174.93548387096774</v>
      </c>
      <c r="Q27" s="295" t="s">
        <v>66</v>
      </c>
      <c r="R27" s="296"/>
      <c r="S27" s="280">
        <f>PeritosFebrero!M21</f>
        <v>1384849</v>
      </c>
      <c r="T27" s="281"/>
      <c r="V27" s="108" t="s">
        <v>37</v>
      </c>
      <c r="W27" s="103">
        <f>COUNTIFS(General!F:F, "PARA FACTURAR", General!G:G, "IP VIRTUAL")</f>
        <v>0</v>
      </c>
      <c r="X27" s="107"/>
    </row>
    <row r="28" spans="3:24" ht="15.75">
      <c r="C28" s="306" t="s">
        <v>67</v>
      </c>
      <c r="D28" s="307"/>
      <c r="E28" s="220">
        <f>COUNTIFS(General!B:B, "&gt;="&amp;DATE(2026,8,1), General!B:B, "&lt;="&amp;DATE(2026,8,31))</f>
        <v>0</v>
      </c>
      <c r="F28" s="248">
        <f>(E28-E43)/E43</f>
        <v>-1</v>
      </c>
      <c r="H28" s="294" t="s">
        <v>68</v>
      </c>
      <c r="I28" s="294"/>
      <c r="K28" s="158">
        <f>AVERAGEIFS(General!V:V,General!B:B,"&gt;="&amp;DATE(2025,5,1),General!B:B,"&lt;="&amp;DATE(2025,5,31),General!F:F,"IP CERRADA")</f>
        <v>6.5332068311195446</v>
      </c>
      <c r="Q28" s="299"/>
      <c r="R28" s="300"/>
      <c r="S28" s="301"/>
      <c r="T28" s="302"/>
      <c r="V28" s="108" t="s">
        <v>70</v>
      </c>
      <c r="W28" s="103">
        <f>COUNTIFS(General!F:F, "PARA FACTURAR", General!G:G, "SIN HONORARIOS")</f>
        <v>0</v>
      </c>
      <c r="X28" s="107"/>
    </row>
    <row r="29" spans="3:24" ht="15.75">
      <c r="C29" s="292" t="s">
        <v>71</v>
      </c>
      <c r="D29" s="293"/>
      <c r="E29" s="223">
        <f>COUNTIFS(General!B:B, "&gt;="&amp;DATE(2026,9,1), General!B:B, "&lt;="&amp;DATE(2026,9,31))</f>
        <v>0</v>
      </c>
      <c r="F29" s="248">
        <f>(E29-E44)/E44</f>
        <v>-1</v>
      </c>
      <c r="H29" s="294" t="s">
        <v>72</v>
      </c>
      <c r="I29" s="294"/>
      <c r="J29" s="65"/>
      <c r="K29" s="158">
        <f>AVERAGEIFS(General!W:W,General!B:B,"&gt;="&amp;DATE(2025,5,1),General!B:B,"&lt;="&amp;DATE(2025,5,31),General!F:F,"IP CERRADA")</f>
        <v>175.96774193548387</v>
      </c>
      <c r="Q29" s="295" t="s">
        <v>16</v>
      </c>
      <c r="R29" s="296"/>
      <c r="S29" s="280">
        <f>PeritosFebrero!W21</f>
        <v>914766</v>
      </c>
      <c r="T29" s="281"/>
      <c r="V29" s="108" t="s">
        <v>26</v>
      </c>
      <c r="W29" s="103">
        <f>COUNTIFS(General!F:F, "PARA FACTURAR", General!G:G, "AUSENTE")</f>
        <v>0</v>
      </c>
      <c r="X29" s="107"/>
    </row>
    <row r="30" spans="3:24">
      <c r="C30" s="297" t="s">
        <v>73</v>
      </c>
      <c r="D30" s="298"/>
      <c r="E30" s="220">
        <f>COUNTIFS(General!B:B, "&gt;="&amp;DATE(2026,10,1), General!B:B, "&lt;="&amp;DATE(2026,10,31))</f>
        <v>0</v>
      </c>
      <c r="F30" s="248">
        <f>(E30-E45)/E45</f>
        <v>-1</v>
      </c>
      <c r="H30" s="294" t="s">
        <v>74</v>
      </c>
      <c r="I30" s="294"/>
      <c r="J30" s="65"/>
      <c r="K30" s="158">
        <f>AVERAGEIFS(General!X:X,General!B:B,"&gt;="&amp;DATE(2025,5,1),General!B:B,"&lt;="&amp;DATE(2025,5,31),General!F:F,"IP CERRADA")</f>
        <v>7.6228571428571428</v>
      </c>
      <c r="L30" s="67"/>
      <c r="Q30" s="299"/>
      <c r="R30" s="300"/>
      <c r="S30" s="301"/>
      <c r="T30" s="302"/>
    </row>
    <row r="31" spans="3:24">
      <c r="C31" s="276" t="s">
        <v>76</v>
      </c>
      <c r="D31" s="277"/>
      <c r="E31" s="224">
        <f>COUNTIFS(General!B:B, "&gt;="&amp;DATE(2026,11,1), General!B:B, "&lt;="&amp;DATE(2026,11,31))</f>
        <v>0</v>
      </c>
      <c r="F31" s="248">
        <f>(E31-E46)/E46</f>
        <v>-1</v>
      </c>
      <c r="H31" s="64"/>
      <c r="I31" s="64"/>
      <c r="J31" s="65"/>
      <c r="K31" s="65"/>
      <c r="L31" s="66"/>
      <c r="Q31" s="278"/>
      <c r="R31" s="279"/>
      <c r="S31" s="280"/>
      <c r="T31" s="281"/>
      <c r="V31" s="282" t="s">
        <v>78</v>
      </c>
      <c r="W31" s="283"/>
    </row>
    <row r="32" spans="3:24">
      <c r="C32" s="284" t="s">
        <v>79</v>
      </c>
      <c r="D32" s="285"/>
      <c r="E32" s="225">
        <f>COUNTIFS(General!B:B, "&gt;="&amp;DATE(2026,12,1), General!B:B, "&lt;="&amp;DATE(2026,12,31))</f>
        <v>0</v>
      </c>
      <c r="F32" s="248">
        <f>(E32-E47)/E47</f>
        <v>-1</v>
      </c>
      <c r="H32" s="64"/>
      <c r="I32" s="64"/>
      <c r="J32" s="65"/>
      <c r="K32" s="65"/>
      <c r="L32" s="67"/>
      <c r="Q32" s="286" t="s">
        <v>44</v>
      </c>
      <c r="R32" s="287"/>
      <c r="S32" s="288">
        <f>S20+S21+S22+S23+S24+S25+S26+S27+S28+S29</f>
        <v>2823401</v>
      </c>
      <c r="T32" s="289"/>
      <c r="V32" s="290">
        <f>W18+W19+W20+W21+W22+W23+W24+W25+W26+W27+W28+W29</f>
        <v>22</v>
      </c>
      <c r="W32" s="291"/>
    </row>
    <row r="33" spans="3:12">
      <c r="L33" s="104"/>
    </row>
    <row r="34" spans="3:12" ht="18.75" customHeight="1">
      <c r="C34" s="321" t="s">
        <v>49</v>
      </c>
      <c r="D34" s="321"/>
      <c r="E34" s="257">
        <f>E36+E37+E38+E39+E40+E41+E42+E43+E44+E45+E46+E47</f>
        <v>3248</v>
      </c>
      <c r="F34" s="240">
        <f>(E34-E49)/E49</f>
        <v>0.58207501217730151</v>
      </c>
      <c r="H34" s="68"/>
      <c r="I34" s="68"/>
      <c r="J34" s="69"/>
      <c r="K34" s="69"/>
    </row>
    <row r="35" spans="3:12" ht="15" customHeight="1">
      <c r="C35" s="324" t="s">
        <v>52</v>
      </c>
      <c r="D35" s="325"/>
      <c r="E35" s="258" t="s">
        <v>53</v>
      </c>
      <c r="F35" s="257">
        <f>E34-E49</f>
        <v>1195</v>
      </c>
      <c r="H35" s="68"/>
      <c r="I35" s="68"/>
      <c r="J35" s="69"/>
      <c r="K35" s="69"/>
    </row>
    <row r="36" spans="3:12">
      <c r="C36" s="313" t="s">
        <v>54</v>
      </c>
      <c r="D36" s="314"/>
      <c r="E36" s="219">
        <f>COUNTIFS(General!B:B, "&gt;="&amp;DATE(2025,1,1), General!B:B, "&lt;="&amp;DATE(2025,1,31))</f>
        <v>260</v>
      </c>
      <c r="F36" s="241">
        <f>(E36-E51)/E51</f>
        <v>0.96969696969696972</v>
      </c>
    </row>
    <row r="37" spans="3:12">
      <c r="C37" s="306" t="s">
        <v>55</v>
      </c>
      <c r="D37" s="310"/>
      <c r="E37" s="220">
        <f>COUNTIFS(General!B:B, "&gt;="&amp;DATE(2025,2,1), General!B:B, "&lt;="&amp;DATE(2025,2,31))</f>
        <v>194</v>
      </c>
      <c r="F37" s="217">
        <f>(E37-E52)/E52</f>
        <v>0.43703703703703706</v>
      </c>
    </row>
    <row r="38" spans="3:12">
      <c r="C38" s="308" t="s">
        <v>56</v>
      </c>
      <c r="D38" s="309"/>
      <c r="E38" s="221">
        <f>COUNTIFS(General!B:B, "&gt;="&amp;DATE(2025,3,1), General!B:B, "&lt;="&amp;DATE(2025,3,31))</f>
        <v>219</v>
      </c>
      <c r="F38" s="217">
        <f>(E38-E53)/E53</f>
        <v>0.23728813559322035</v>
      </c>
    </row>
    <row r="39" spans="3:12">
      <c r="C39" s="306" t="s">
        <v>57</v>
      </c>
      <c r="D39" s="310"/>
      <c r="E39" s="220">
        <f>COUNTIFS(General!B:B, "&gt;="&amp;DATE(2025,4,1), General!B:B, "&lt;="&amp;DATE(2025,4,31))</f>
        <v>541</v>
      </c>
      <c r="F39" s="217">
        <f>(E39-E54)/E54</f>
        <v>1.4816513761467891</v>
      </c>
    </row>
    <row r="40" spans="3:12">
      <c r="C40" s="308" t="s">
        <v>60</v>
      </c>
      <c r="D40" s="309"/>
      <c r="E40" s="221">
        <f>COUNTIFS(General!B:B, "&gt;="&amp;DATE(2025,5,1), General!B:B, "&lt;="&amp;DATE(2025,5,31))</f>
        <v>548</v>
      </c>
      <c r="F40" s="217">
        <f>(E40-E55)/E55</f>
        <v>1.4684684684684686</v>
      </c>
    </row>
    <row r="41" spans="3:12">
      <c r="C41" s="306" t="s">
        <v>62</v>
      </c>
      <c r="D41" s="310"/>
      <c r="E41" s="220">
        <f>COUNTIFS(General!B:B, "&gt;="&amp;DATE(2025,6,1), General!B:B, "&lt;="&amp;DATE(2025,6,31))</f>
        <v>258</v>
      </c>
      <c r="F41" s="217">
        <f>(E41-E56)/E56</f>
        <v>0.59259259259259256</v>
      </c>
    </row>
    <row r="42" spans="3:12">
      <c r="C42" s="303" t="s">
        <v>64</v>
      </c>
      <c r="D42" s="304"/>
      <c r="E42" s="222">
        <f>COUNTIFS(General!B:B, "&gt;="&amp;DATE(2025,7,1), General!B:B, "&lt;="&amp;DATE(2025,7,31))</f>
        <v>275</v>
      </c>
      <c r="F42" s="217">
        <f>(E42-E57)/E57</f>
        <v>0.28504672897196259</v>
      </c>
    </row>
    <row r="43" spans="3:12">
      <c r="C43" s="306" t="s">
        <v>67</v>
      </c>
      <c r="D43" s="307"/>
      <c r="E43" s="220">
        <f>COUNTIFS(General!B:B, "&gt;="&amp;DATE(2025,8,1), General!B:B, "&lt;="&amp;DATE(2025,8,31))</f>
        <v>194</v>
      </c>
      <c r="F43" s="217">
        <f>(E43-E58)/E58</f>
        <v>0.31972789115646261</v>
      </c>
    </row>
    <row r="44" spans="3:12">
      <c r="C44" s="292" t="s">
        <v>71</v>
      </c>
      <c r="D44" s="293"/>
      <c r="E44" s="223">
        <f>COUNTIFS(General!B:B, "&gt;="&amp;DATE(2025,9,1), General!B:B, "&lt;="&amp;DATE(2025,9,31))</f>
        <v>206</v>
      </c>
      <c r="F44" s="217">
        <f>(E44-E59)/E59</f>
        <v>0.54887218045112784</v>
      </c>
    </row>
    <row r="45" spans="3:12">
      <c r="C45" s="297" t="s">
        <v>73</v>
      </c>
      <c r="D45" s="298"/>
      <c r="E45" s="220">
        <f>COUNTIFS(General!B:B, "&gt;="&amp;DATE(2025,10,1), General!B:B, "&lt;="&amp;DATE(2025,10,31))</f>
        <v>217</v>
      </c>
      <c r="F45" s="217">
        <f>(E45-E60)/E60</f>
        <v>4.8309178743961352E-2</v>
      </c>
    </row>
    <row r="46" spans="3:12">
      <c r="C46" s="276" t="s">
        <v>76</v>
      </c>
      <c r="D46" s="277"/>
      <c r="E46" s="224">
        <f>COUNTIFS(General!B:B, "&gt;="&amp;DATE(2025,11,1), General!B:B, "&lt;="&amp;DATE(2025,11,31))</f>
        <v>147</v>
      </c>
      <c r="F46" s="217">
        <f>(E46-E61)/E61</f>
        <v>3.5211267605633804E-2</v>
      </c>
    </row>
    <row r="47" spans="3:12">
      <c r="C47" s="284" t="s">
        <v>79</v>
      </c>
      <c r="D47" s="285"/>
      <c r="E47" s="225">
        <f>COUNTIFS(General!B:B, "&gt;="&amp;DATE(2025,12,1), General!B:B, "&lt;="&amp;DATE(2025,12,31))</f>
        <v>189</v>
      </c>
      <c r="F47" s="217">
        <f>(E47-E62)/E62</f>
        <v>0.1524390243902439</v>
      </c>
    </row>
    <row r="49" spans="3:5">
      <c r="C49" s="270" t="s">
        <v>80</v>
      </c>
      <c r="D49" s="271"/>
      <c r="E49" s="257">
        <f>E51+E52+E53+E54+E55+E56+E57+E58+E59+E60+E61+E62</f>
        <v>2053</v>
      </c>
    </row>
    <row r="50" spans="3:5">
      <c r="C50" s="272" t="s">
        <v>81</v>
      </c>
      <c r="D50" s="273"/>
      <c r="E50" s="135" t="s">
        <v>53</v>
      </c>
    </row>
    <row r="51" spans="3:5">
      <c r="C51" s="274" t="s">
        <v>54</v>
      </c>
      <c r="D51" s="275"/>
      <c r="E51" s="131">
        <v>132</v>
      </c>
    </row>
    <row r="52" spans="3:5">
      <c r="C52" s="266" t="s">
        <v>55</v>
      </c>
      <c r="D52" s="267"/>
      <c r="E52" s="132">
        <v>135</v>
      </c>
    </row>
    <row r="53" spans="3:5">
      <c r="C53" s="262" t="s">
        <v>56</v>
      </c>
      <c r="D53" s="263"/>
      <c r="E53" s="133">
        <v>177</v>
      </c>
    </row>
    <row r="54" spans="3:5">
      <c r="C54" s="266" t="s">
        <v>57</v>
      </c>
      <c r="D54" s="267"/>
      <c r="E54" s="132">
        <v>218</v>
      </c>
    </row>
    <row r="55" spans="3:5">
      <c r="C55" s="262" t="s">
        <v>60</v>
      </c>
      <c r="D55" s="263"/>
      <c r="E55" s="133">
        <v>222</v>
      </c>
    </row>
    <row r="56" spans="3:5">
      <c r="C56" s="266" t="s">
        <v>62</v>
      </c>
      <c r="D56" s="267"/>
      <c r="E56" s="132">
        <v>162</v>
      </c>
    </row>
    <row r="57" spans="3:5">
      <c r="C57" s="262" t="s">
        <v>64</v>
      </c>
      <c r="D57" s="263"/>
      <c r="E57" s="138">
        <v>214</v>
      </c>
    </row>
    <row r="58" spans="3:5">
      <c r="C58" s="266" t="s">
        <v>67</v>
      </c>
      <c r="D58" s="267"/>
      <c r="E58" s="132">
        <v>147</v>
      </c>
    </row>
    <row r="59" spans="3:5">
      <c r="C59" s="262" t="s">
        <v>71</v>
      </c>
      <c r="D59" s="263"/>
      <c r="E59" s="139">
        <v>133</v>
      </c>
    </row>
    <row r="60" spans="3:5">
      <c r="C60" s="268" t="s">
        <v>73</v>
      </c>
      <c r="D60" s="269"/>
      <c r="E60" s="132">
        <v>207</v>
      </c>
    </row>
    <row r="61" spans="3:5">
      <c r="C61" s="262" t="s">
        <v>76</v>
      </c>
      <c r="D61" s="263"/>
      <c r="E61" s="137">
        <v>142</v>
      </c>
    </row>
    <row r="62" spans="3:5">
      <c r="C62" s="264" t="s">
        <v>79</v>
      </c>
      <c r="D62" s="265"/>
      <c r="E62" s="134">
        <v>164</v>
      </c>
    </row>
  </sheetData>
  <mergeCells count="145">
    <mergeCell ref="S1:T1"/>
    <mergeCell ref="Z1:AC1"/>
    <mergeCell ref="S2:T2"/>
    <mergeCell ref="Z2:AA3"/>
    <mergeCell ref="AB2:AB3"/>
    <mergeCell ref="AC2:AC3"/>
    <mergeCell ref="S3:T3"/>
    <mergeCell ref="A1:B2"/>
    <mergeCell ref="C1:C2"/>
    <mergeCell ref="E1:F2"/>
    <mergeCell ref="H1:I2"/>
    <mergeCell ref="K1:L2"/>
    <mergeCell ref="N1:O2"/>
    <mergeCell ref="E6:F6"/>
    <mergeCell ref="H6:I6"/>
    <mergeCell ref="K6:L6"/>
    <mergeCell ref="S6:T6"/>
    <mergeCell ref="E7:F7"/>
    <mergeCell ref="H7:I7"/>
    <mergeCell ref="K7:L7"/>
    <mergeCell ref="S7:T7"/>
    <mergeCell ref="E4:F4"/>
    <mergeCell ref="H4:I4"/>
    <mergeCell ref="K4:L4"/>
    <mergeCell ref="S4:T4"/>
    <mergeCell ref="E5:F5"/>
    <mergeCell ref="H5:I5"/>
    <mergeCell ref="K5:L5"/>
    <mergeCell ref="S5:T5"/>
    <mergeCell ref="E10:F10"/>
    <mergeCell ref="H10:I10"/>
    <mergeCell ref="K10:L10"/>
    <mergeCell ref="S10:T10"/>
    <mergeCell ref="E11:F11"/>
    <mergeCell ref="H11:I11"/>
    <mergeCell ref="K11:L11"/>
    <mergeCell ref="S11:T11"/>
    <mergeCell ref="E8:F8"/>
    <mergeCell ref="H8:I8"/>
    <mergeCell ref="K8:L8"/>
    <mergeCell ref="S8:T8"/>
    <mergeCell ref="E9:F9"/>
    <mergeCell ref="H9:I9"/>
    <mergeCell ref="K9:L9"/>
    <mergeCell ref="S9:T9"/>
    <mergeCell ref="E12:F12"/>
    <mergeCell ref="H12:I12"/>
    <mergeCell ref="K12:L12"/>
    <mergeCell ref="N12:O12"/>
    <mergeCell ref="S12:T12"/>
    <mergeCell ref="E13:F13"/>
    <mergeCell ref="H13:I13"/>
    <mergeCell ref="K13:L13"/>
    <mergeCell ref="N13:O13"/>
    <mergeCell ref="S13:T13"/>
    <mergeCell ref="Q18:R19"/>
    <mergeCell ref="S18:T19"/>
    <mergeCell ref="C19:D19"/>
    <mergeCell ref="H19:I19"/>
    <mergeCell ref="C20:D20"/>
    <mergeCell ref="H20:I20"/>
    <mergeCell ref="Q20:R20"/>
    <mergeCell ref="S20:T20"/>
    <mergeCell ref="N14:O14"/>
    <mergeCell ref="S14:T14"/>
    <mergeCell ref="E16:F16"/>
    <mergeCell ref="H16:I16"/>
    <mergeCell ref="K16:L16"/>
    <mergeCell ref="E17:F17"/>
    <mergeCell ref="H17:I17"/>
    <mergeCell ref="K17:L17"/>
    <mergeCell ref="Q17:T17"/>
    <mergeCell ref="C23:D23"/>
    <mergeCell ref="Q23:R23"/>
    <mergeCell ref="S23:T23"/>
    <mergeCell ref="C24:D24"/>
    <mergeCell ref="H24:I24"/>
    <mergeCell ref="Q24:R24"/>
    <mergeCell ref="S24:T24"/>
    <mergeCell ref="C21:D21"/>
    <mergeCell ref="Q21:R21"/>
    <mergeCell ref="S21:T21"/>
    <mergeCell ref="C22:D22"/>
    <mergeCell ref="Q22:R22"/>
    <mergeCell ref="S22:T22"/>
    <mergeCell ref="C27:D27"/>
    <mergeCell ref="H27:I27"/>
    <mergeCell ref="Q27:R27"/>
    <mergeCell ref="S27:T27"/>
    <mergeCell ref="C28:D28"/>
    <mergeCell ref="H28:I28"/>
    <mergeCell ref="Q28:R28"/>
    <mergeCell ref="S28:T28"/>
    <mergeCell ref="C25:D25"/>
    <mergeCell ref="H25:I25"/>
    <mergeCell ref="Q25:R25"/>
    <mergeCell ref="S25:T25"/>
    <mergeCell ref="C26:D26"/>
    <mergeCell ref="H26:I26"/>
    <mergeCell ref="Q26:R26"/>
    <mergeCell ref="S26:T26"/>
    <mergeCell ref="V31:W31"/>
    <mergeCell ref="C32:D32"/>
    <mergeCell ref="Q32:R32"/>
    <mergeCell ref="S32:T32"/>
    <mergeCell ref="V32:W32"/>
    <mergeCell ref="C29:D29"/>
    <mergeCell ref="H29:I29"/>
    <mergeCell ref="Q29:R29"/>
    <mergeCell ref="S29:T29"/>
    <mergeCell ref="C30:D30"/>
    <mergeCell ref="H30:I30"/>
    <mergeCell ref="Q30:R30"/>
    <mergeCell ref="S30:T30"/>
    <mergeCell ref="C34:D34"/>
    <mergeCell ref="C35:D35"/>
    <mergeCell ref="C36:D36"/>
    <mergeCell ref="C37:D37"/>
    <mergeCell ref="C38:D38"/>
    <mergeCell ref="C39:D39"/>
    <mergeCell ref="C31:D31"/>
    <mergeCell ref="Q31:R31"/>
    <mergeCell ref="S31:T31"/>
    <mergeCell ref="C46:D46"/>
    <mergeCell ref="C47:D47"/>
    <mergeCell ref="C49:D49"/>
    <mergeCell ref="C50:D50"/>
    <mergeCell ref="C51:D51"/>
    <mergeCell ref="C52:D52"/>
    <mergeCell ref="C40:D40"/>
    <mergeCell ref="C41:D41"/>
    <mergeCell ref="C42:D42"/>
    <mergeCell ref="C43:D43"/>
    <mergeCell ref="C44:D44"/>
    <mergeCell ref="C45:D45"/>
    <mergeCell ref="C59:D59"/>
    <mergeCell ref="C60:D60"/>
    <mergeCell ref="C61:D61"/>
    <mergeCell ref="C62:D62"/>
    <mergeCell ref="C53:D53"/>
    <mergeCell ref="C54:D54"/>
    <mergeCell ref="C55:D55"/>
    <mergeCell ref="C56:D56"/>
    <mergeCell ref="C57:D57"/>
    <mergeCell ref="C58:D58"/>
  </mergeCells>
  <conditionalFormatting sqref="N19:O19">
    <cfRule type="expression" dxfId="37" priority="20">
      <formula>#REF!="ESPERANDO RESPUESTA 3°"</formula>
    </cfRule>
    <cfRule type="expression" dxfId="36" priority="21">
      <formula>#REF!="PENDIENTE DE OFRECIMIENTO"</formula>
    </cfRule>
    <cfRule type="expression" dxfId="35" priority="22">
      <formula>#REF!="EN CONSULTA CON CIA"</formula>
    </cfRule>
    <cfRule type="expression" dxfId="34" priority="23">
      <formula>#REF!="IP REALIZADA"</formula>
    </cfRule>
    <cfRule type="expression" dxfId="33" priority="24">
      <formula>#REF!="PENDIENTE  COORDINACION"</formula>
    </cfRule>
    <cfRule type="expression" dxfId="32" priority="25">
      <formula>#REF!="LICITANDO REPUESTOS"</formula>
    </cfRule>
    <cfRule type="expression" dxfId="31" priority="26">
      <formula>#REF!="PENDIENTE PRESUPUESTO"</formula>
    </cfRule>
    <cfRule type="expression" dxfId="30" priority="27">
      <formula>#REF!="REVISAR MAIL - RESUELTO"</formula>
    </cfRule>
    <cfRule type="expression" dxfId="29" priority="28">
      <formula>#REF!="IP RECLAMADA A PERITO 5"</formula>
    </cfRule>
    <cfRule type="expression" dxfId="28" priority="29">
      <formula>#REF!="IP RECLAMADA A PERITO 4"</formula>
    </cfRule>
    <cfRule type="expression" dxfId="27" priority="30">
      <formula>#REF!="IP RECLAMADA A PERITO 2"</formula>
    </cfRule>
    <cfRule type="expression" dxfId="26" priority="31">
      <formula>#REF!="INSPECCION ANULADA"</formula>
    </cfRule>
    <cfRule type="expression" dxfId="25" priority="32">
      <formula>#REF!="IP COORDINADA"</formula>
    </cfRule>
    <cfRule type="expression" dxfId="24" priority="33">
      <formula>#REF!="CONTACTADO"</formula>
    </cfRule>
    <cfRule type="expression" dxfId="23" priority="34">
      <formula>#REF!="IP CERRADA"</formula>
    </cfRule>
    <cfRule type="expression" dxfId="22" priority="35">
      <formula>#REF!="ENVIO DE ORDEN"</formula>
    </cfRule>
    <cfRule type="expression" dxfId="21" priority="36">
      <formula>#REF!="PARA FACTURAR"</formula>
    </cfRule>
    <cfRule type="expression" dxfId="20" priority="37">
      <formula>#REF!="IP RECLAMADA A PERITO 1"</formula>
    </cfRule>
    <cfRule type="expression" dxfId="19" priority="38">
      <formula>#REF!="REVISAR MAIL - SIN RESOLVER"</formula>
    </cfRule>
  </conditionalFormatting>
  <conditionalFormatting sqref="V31">
    <cfRule type="expression" dxfId="18" priority="1">
      <formula>$V31="PENDIENTE PRESUPUESTO"</formula>
    </cfRule>
    <cfRule type="expression" dxfId="17" priority="2">
      <formula>$V31="ESPERANDO RESPUESTA 3°"</formula>
    </cfRule>
    <cfRule type="expression" dxfId="16" priority="3">
      <formula>$V31="PENDIENTE DE OFRECIMIENTO"</formula>
    </cfRule>
    <cfRule type="expression" dxfId="15" priority="4">
      <formula>$V31="EN CONSULTA CON CIA"</formula>
    </cfRule>
    <cfRule type="expression" dxfId="14" priority="5">
      <formula>$V31="IP REALIZADA"</formula>
    </cfRule>
    <cfRule type="expression" dxfId="13" priority="6">
      <formula>$V31="REVISAR MAIL - RESUELTO"</formula>
    </cfRule>
    <cfRule type="expression" dxfId="12" priority="7">
      <formula>$V31="INSPECCION ANULADA"</formula>
    </cfRule>
    <cfRule type="expression" dxfId="11" priority="8">
      <formula>$V31="IP RECLAMADA A PERITO 5"</formula>
    </cfRule>
    <cfRule type="expression" dxfId="10" priority="9">
      <formula>$V31="IP RECLAMADA A PERITO 4"</formula>
    </cfRule>
    <cfRule type="expression" dxfId="9" priority="10">
      <formula>$V31="IP RECLAMADA A PERITO 2"</formula>
    </cfRule>
    <cfRule type="expression" dxfId="8" priority="11">
      <formula>$V31="PENDIENTE  COORDINACION"</formula>
    </cfRule>
    <cfRule type="expression" dxfId="7" priority="12">
      <formula>$V31="LICITANDO REPUESTOS"</formula>
    </cfRule>
    <cfRule type="expression" dxfId="6" priority="13">
      <formula>$V31="IP COORDINADA"</formula>
    </cfRule>
    <cfRule type="expression" dxfId="5" priority="14">
      <formula>$V31="CONTACTADO"</formula>
    </cfRule>
    <cfRule type="expression" dxfId="4" priority="15">
      <formula>$V31="IP CERRADA"</formula>
    </cfRule>
    <cfRule type="expression" dxfId="3" priority="16">
      <formula>$V31="ENVIO DE ORDEN"</formula>
    </cfRule>
    <cfRule type="expression" dxfId="2" priority="17">
      <formula>$V31="PARA FACTURAR"</formula>
    </cfRule>
    <cfRule type="expression" dxfId="1" priority="18">
      <formula>$V31="IP RECLAMADA A PERITO 1"</formula>
    </cfRule>
    <cfRule type="expression" dxfId="0" priority="19">
      <formula>$V31="REVISAR MAIL - SIN RESOLVER"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E07F0-EBC4-4051-9D0F-0EB474DB0418}">
  <sheetPr>
    <tabColor rgb="FFFF0000"/>
  </sheetPr>
  <dimension ref="A1:AI44"/>
  <sheetViews>
    <sheetView topLeftCell="E1" workbookViewId="0">
      <selection activeCell="E13" sqref="E13"/>
    </sheetView>
  </sheetViews>
  <sheetFormatPr defaultRowHeight="15"/>
  <cols>
    <col min="3" max="3" width="21.85546875" customWidth="1"/>
    <col min="4" max="4" width="3.7109375" customWidth="1"/>
    <col min="5" max="5" width="12.85546875" customWidth="1"/>
    <col min="6" max="6" width="13.28515625" customWidth="1"/>
    <col min="7" max="7" width="9.140625" bestFit="1" customWidth="1"/>
    <col min="8" max="8" width="13.5703125" customWidth="1"/>
    <col min="9" max="9" width="3.5703125" customWidth="1"/>
    <col min="10" max="10" width="13.140625" customWidth="1"/>
    <col min="11" max="11" width="14.28515625" customWidth="1"/>
    <col min="12" max="12" width="9.140625" bestFit="1" customWidth="1"/>
    <col min="13" max="13" width="13.85546875" customWidth="1"/>
    <col min="14" max="14" width="3.28515625" customWidth="1"/>
    <col min="15" max="15" width="9.140625" bestFit="1" customWidth="1"/>
    <col min="16" max="16" width="13.42578125" customWidth="1"/>
    <col min="17" max="17" width="9.140625" bestFit="1" customWidth="1"/>
    <col min="18" max="18" width="14.85546875" customWidth="1"/>
    <col min="19" max="19" width="3" customWidth="1"/>
    <col min="20" max="20" width="9.140625" bestFit="1" customWidth="1"/>
    <col min="21" max="21" width="14.85546875" customWidth="1"/>
    <col min="22" max="22" width="9.140625" bestFit="1" customWidth="1"/>
    <col min="23" max="23" width="13.28515625" customWidth="1"/>
    <col min="24" max="24" width="3" customWidth="1"/>
    <col min="25" max="25" width="9.140625" bestFit="1" customWidth="1"/>
    <col min="26" max="26" width="14.140625" customWidth="1"/>
    <col min="27" max="27" width="9.140625" bestFit="1" customWidth="1"/>
    <col min="28" max="28" width="13.85546875" customWidth="1"/>
    <col min="29" max="29" width="3.28515625" customWidth="1"/>
    <col min="30" max="30" width="22.7109375" customWidth="1"/>
    <col min="31" max="31" width="9.140625" bestFit="1" customWidth="1"/>
    <col min="32" max="32" width="20.42578125" customWidth="1"/>
  </cols>
  <sheetData>
    <row r="1" spans="1:35">
      <c r="A1" s="367" t="s">
        <v>57</v>
      </c>
      <c r="B1" s="368"/>
      <c r="C1" s="369" t="s">
        <v>1</v>
      </c>
      <c r="E1" s="385" t="s">
        <v>19</v>
      </c>
      <c r="F1" s="386"/>
      <c r="G1" s="386"/>
      <c r="H1" s="387"/>
      <c r="J1" s="399" t="s">
        <v>66</v>
      </c>
      <c r="K1" s="400"/>
      <c r="L1" s="400"/>
      <c r="M1" s="401"/>
      <c r="O1" s="399" t="s">
        <v>69</v>
      </c>
      <c r="P1" s="400"/>
      <c r="Q1" s="400"/>
      <c r="R1" s="401"/>
      <c r="T1" s="399" t="s">
        <v>16</v>
      </c>
      <c r="U1" s="400"/>
      <c r="V1" s="400"/>
      <c r="W1" s="401"/>
      <c r="Y1" s="399" t="s">
        <v>82</v>
      </c>
      <c r="Z1" s="400"/>
      <c r="AA1" s="400"/>
      <c r="AB1" s="401"/>
      <c r="AD1" s="369" t="s">
        <v>1</v>
      </c>
    </row>
    <row r="2" spans="1:35">
      <c r="A2" s="367"/>
      <c r="B2" s="368"/>
      <c r="C2" s="369"/>
      <c r="E2" s="388"/>
      <c r="F2" s="389"/>
      <c r="G2" s="389"/>
      <c r="H2" s="390"/>
      <c r="J2" s="402"/>
      <c r="K2" s="403"/>
      <c r="L2" s="403"/>
      <c r="M2" s="404"/>
      <c r="O2" s="402"/>
      <c r="P2" s="403"/>
      <c r="Q2" s="403"/>
      <c r="R2" s="404"/>
      <c r="T2" s="402"/>
      <c r="U2" s="403"/>
      <c r="V2" s="403"/>
      <c r="W2" s="404"/>
      <c r="Y2" s="402"/>
      <c r="Z2" s="403"/>
      <c r="AA2" s="403"/>
      <c r="AB2" s="404"/>
      <c r="AD2" s="369"/>
    </row>
    <row r="3" spans="1:35">
      <c r="A3" s="19"/>
      <c r="B3" s="19"/>
      <c r="E3" s="391" t="s">
        <v>83</v>
      </c>
      <c r="F3" s="391"/>
      <c r="G3" s="392" t="s">
        <v>8</v>
      </c>
      <c r="H3" s="392"/>
      <c r="J3" s="391" t="s">
        <v>83</v>
      </c>
      <c r="K3" s="391"/>
      <c r="L3" s="392" t="s">
        <v>8</v>
      </c>
      <c r="M3" s="392"/>
      <c r="O3" s="391" t="s">
        <v>83</v>
      </c>
      <c r="P3" s="391"/>
      <c r="Q3" s="392" t="s">
        <v>8</v>
      </c>
      <c r="R3" s="392"/>
      <c r="T3" s="391" t="s">
        <v>83</v>
      </c>
      <c r="U3" s="391"/>
      <c r="V3" s="392" t="s">
        <v>8</v>
      </c>
      <c r="W3" s="392"/>
      <c r="Y3" s="391" t="s">
        <v>83</v>
      </c>
      <c r="Z3" s="391"/>
      <c r="AA3" s="392" t="s">
        <v>8</v>
      </c>
      <c r="AB3" s="392"/>
    </row>
    <row r="4" spans="1:35" ht="15.75">
      <c r="C4" s="37" t="s">
        <v>10</v>
      </c>
      <c r="E4" s="254">
        <f>COUNTIFS(General!F:F, "IP CERRADA", General!K:K, "A MIÑO", General!H:H, "PTE. APROBACION", General!G:G, "IP CON ORDEN", General!O:O, "&gt;="&amp;DATE(2026,1,1), General!O:O, "&lt;="&amp;DATE(2026,1,31))</f>
        <v>1</v>
      </c>
      <c r="F4" s="38">
        <f>E4*AG5</f>
        <v>9562</v>
      </c>
      <c r="G4" s="41">
        <f>COUNTIFS(General!F:F, "IP CERRADA", General!M:M, "A MIÑO", General!H:H, "PTE. APROBACION", General!G:G, "IP CON ORDEN", General!O:O, "&gt;="&amp;DATE(2026,1,1), General!O:O, "&lt;="&amp;DATE(2026,1,31))</f>
        <v>8</v>
      </c>
      <c r="H4" s="42">
        <f>G4*AH5</f>
        <v>71400</v>
      </c>
      <c r="J4" s="254">
        <f>COUNTIFS(General!F:F, "IP CERRADA", General!K:K, "J. FERLANTI", General!H:H, "PTE. APROBACION", General!G:G, "IP CON ORDEN", General!O:O, "&gt;="&amp;DATE(2026,1,1), General!O:O, "&lt;="&amp;DATE(2026,1,31)) + COUNTIFS(General!F:F, "PARA FACTURAR", General!K:K, "J. FERLANTI", General!G:G, "IP CON ORDEN", General!O:O, "&gt;="&amp;DATE(2026,1,1), General!O:O, "&lt;="&amp;DATE(2026,1,31))</f>
        <v>1</v>
      </c>
      <c r="K4" s="38">
        <f>J4*AG5</f>
        <v>9562</v>
      </c>
      <c r="L4" s="41">
        <f>COUNTIFS(General!F:F, "IP CERRADA", General!M:M, "J. FERLANTI", General!H:H, "PTE. APROBACION", General!G:G, "IP CON ORDEN", General!O:O, "&gt;="&amp;DATE(2026,1,1), General!O:O, "&lt;="&amp;DATE(2026,1,31)) + COUNTIFS(General!F:F, "PARA FACTURAR", General!M:M, "J. FERLANTI", General!H:H, "EN TRAMITE", General!G:G, "IP CON ORDEN", General!O:O, "&gt;="&amp;DATE(2024,10,1), General!O:O, "&lt;="&amp;DATE(2024,10,31) )</f>
        <v>105</v>
      </c>
      <c r="M4" s="42">
        <f>L4*AH5</f>
        <v>937125</v>
      </c>
      <c r="O4" s="254">
        <f>COUNTIFS(General!F:F, "IP CERRADA", General!K:K, "J NEIRA", General!H:H, "PTE. APROBACION", General!G:G, "IP CON ORDEN", General!O:O, "&gt;="&amp;DATE(2026,1,1), General!O:O, "&lt;="&amp;DATE(2026,1,31))</f>
        <v>0</v>
      </c>
      <c r="P4" s="38">
        <f>O4*AG5</f>
        <v>0</v>
      </c>
      <c r="Q4" s="41">
        <f>COUNTIFS(General!F:F, "IP CERRADA", General!M:M, "J NEIRA", General!H:H, "PTE. APROBACION", General!G:G, "IP CON ORDEN", General!O:O, "&gt;="&amp;DATE(2026,1,1), General!O:O, "&lt;="&amp;DATE(2026,1,31))</f>
        <v>0</v>
      </c>
      <c r="R4" s="42">
        <f>Q4*AH5</f>
        <v>0</v>
      </c>
      <c r="T4" s="254">
        <f>COUNTIFS(General!F:F, "IP CERRADA", General!K:K, "L DEL PIERO", General!H:H, "PTE. APROBACION", General!G:G, "IP CON ORDEN", General!O:O, "&gt;="&amp;DATE(2026,1,1), General!O:O, "&lt;="&amp;DATE(2026,1,31))</f>
        <v>71</v>
      </c>
      <c r="U4" s="38">
        <f>T4*AG5</f>
        <v>678902</v>
      </c>
      <c r="V4" s="41">
        <f>COUNTIFS(General!F:F, "IP CERRADA", General!M:M, "L DEL PIERO", General!H:H, "PTE. APROBACION", General!G:G, "IP CON ORDEN", General!O:O, "&gt;="&amp;DATE(2026,1,1), General!O:O, "&lt;="&amp;DATE(2026,1,31))</f>
        <v>0</v>
      </c>
      <c r="W4" s="42">
        <f>V4*AH5</f>
        <v>0</v>
      </c>
      <c r="Y4" s="254">
        <f>COUNTIFS(General!F:F, "IP CERRADA", General!K:K, "E Delia", General!H:H, "PTE. APROBACION", General!G:G, "IP CON ORDEN", General!O:O, "&gt;="&amp;DATE(2026,1,1), General!O:O, "&lt;="&amp;DATE(2026,1,31)) + COUNTIFS(General!F:F, "PARA FACTURAR", General!K:K, "E Delia", General!G:G, "IP CON ORDEN", General!O:O, "&gt;="&amp;DATE(2026,1,1), General!O:O, "&lt;="&amp;DATE(2026,1,31))</f>
        <v>40</v>
      </c>
      <c r="Z4" s="38">
        <f>Y4*AG5</f>
        <v>382480</v>
      </c>
      <c r="AA4" s="41">
        <f>COUNTIFS(General!F:F, "IP CERRADA", General!M:M, "E Delia", General!H:H, "PTE. APROBACION", General!G:G, "IP CON ORDEN", General!O:O, "&gt;="&amp;DATE(2026,1,1), General!O:O, "&lt;="&amp;DATE(2026,1,31))</f>
        <v>0</v>
      </c>
      <c r="AB4" s="42">
        <f>AA4*AH5</f>
        <v>0</v>
      </c>
      <c r="AD4" s="37" t="s">
        <v>10</v>
      </c>
      <c r="AF4" s="1" t="s">
        <v>6</v>
      </c>
      <c r="AG4" s="1" t="s">
        <v>7</v>
      </c>
      <c r="AH4" s="1" t="s">
        <v>8</v>
      </c>
      <c r="AI4" s="259"/>
    </row>
    <row r="5" spans="1:35" ht="15.75">
      <c r="C5" s="261" t="s">
        <v>15</v>
      </c>
      <c r="E5" s="39">
        <f>COUNTIFS(General!F:F, "IP CERRADA", General!K:K, "A MIÑO", General!H:H, "PTE. APROBACION", General!G:G, "POSIBLE DT", General!O:O, "&gt;="&amp;DATE(2026,1,1), General!O:O, "&lt;="&amp;DATE(2026,1,31))</f>
        <v>1</v>
      </c>
      <c r="F5" s="40">
        <f>E5*AG7</f>
        <v>9562</v>
      </c>
      <c r="G5" s="43">
        <f>COUNTIFS(General!F:F, "IP CERRADA", General!M:M, "A MIÑO", General!H:H, "PTE. APROBACION", General!G:G, "POSIBLE DT", General!O:O, "&gt;="&amp;DATE(2026,1,1), General!O:O, "&lt;="&amp;DATE(2026,1,31))</f>
        <v>1</v>
      </c>
      <c r="H5" s="44">
        <f>G5*AH7</f>
        <v>8925</v>
      </c>
      <c r="J5" s="39">
        <f>COUNTIFS(General!F:F, "IP CERRADA", General!K:K, "J. FERLANTI", General!H:H, "PTE. APROBACION", General!G:G, "POSIBLE DT", General!O:O, "&gt;="&amp;DATE(2026,1,1), General!O:O, "&lt;="&amp;DATE(2026,1,31)) + COUNTIFS(General!F:F, "PARA FACTURAR", General!K:K, "J. FERLANTI", General!G:G, "POSIBLE DT", General!O:O, "&gt;="&amp;DATE(2026,1,1), General!O:O, "&lt;="&amp;DATE(2026,1,31))</f>
        <v>0</v>
      </c>
      <c r="K5" s="40">
        <f>J5*AG7</f>
        <v>0</v>
      </c>
      <c r="L5" s="43">
        <f>COUNTIFS(General!F:F, "IP CERRADA", General!M:M, "J. FERLANTI", General!H:H, "PTE. APROBACION", General!G:G, "POSIBLE DT", General!O:O, "&gt;="&amp;DATE(2026,1,1), General!O:O, "&lt;="&amp;DATE(2026,1,31)) + COUNTIFS(General!F:F, "PARA FACTURAR", General!M:M, "J. FERLANTI", General!H:H, "EN TRAMITE", General!G:G, "POSIBLE DT", General!O:O, "&gt;="&amp;DATE(2026,1,1), General!O:O, "&lt;="&amp;DATE(2026,1,31))</f>
        <v>21</v>
      </c>
      <c r="M5" s="44">
        <f>L5*AH7</f>
        <v>187425</v>
      </c>
      <c r="O5" s="39">
        <f>COUNTIFS(General!F:F, "IP CERRADA", General!K:K, "J NEIRA", General!H:H, "PTE. APROBACION", General!G:G, "POSIBLE DT", General!O:O, "&gt;="&amp;DATE(2026,1,1), General!O:O, "&lt;="&amp;DATE(2026,1,31))</f>
        <v>0</v>
      </c>
      <c r="P5" s="40">
        <f>O5*AG7</f>
        <v>0</v>
      </c>
      <c r="Q5" s="43">
        <f>COUNTIFS(General!F:F, "IP CERRADA", General!M:M, "J NEIRA", General!H:H, "PTE. APROBACION", General!G:G, "POSIBLE DT", General!O:O, "&gt;="&amp;DATE(2026,1,1), General!O:O, "&lt;="&amp;DATE(2026,1,31))</f>
        <v>0</v>
      </c>
      <c r="R5" s="44">
        <f>Q5*AH7</f>
        <v>0</v>
      </c>
      <c r="T5" s="39">
        <f>COUNTIFS(General!F:F, "IP CERRADA", General!K:K, "L DEL PIERO", General!H:H, "PTE. APROBACION", General!G:G, "POSIBLE DT", General!O:O, "&gt;="&amp;DATE(2026,1,1), General!O:O, "&lt;="&amp;DATE(2026,1,31))</f>
        <v>13</v>
      </c>
      <c r="U5" s="40">
        <f>T5*AG7</f>
        <v>124306</v>
      </c>
      <c r="V5" s="43">
        <f>COUNTIFS(General!F:F, "IP CERRADA", General!M:M, "L DEL PIERO", General!H:H, "PTE. APROBACION", General!G:G, "POSIBLE DT", General!O:O, "&gt;="&amp;DATE(2026,1,1), General!O:O, "&lt;="&amp;DATE(2026,1,31))</f>
        <v>0</v>
      </c>
      <c r="W5" s="44">
        <f>V5*AH7</f>
        <v>0</v>
      </c>
      <c r="Y5" s="39">
        <f>COUNTIFS(General!F:F, "IP CERRADA", General!K:K, "E Delia", General!H:H, "PTE. APROBACION", General!G:G, "POSIBLE DT", General!O:O, "&gt;="&amp;DATE(2026,1,1), General!O:O, "&lt;="&amp;DATE(2026,1,31))</f>
        <v>8</v>
      </c>
      <c r="Z5" s="40">
        <f>Y5*AG7</f>
        <v>76496</v>
      </c>
      <c r="AA5" s="43">
        <f>COUNTIFS(General!F:F, "IP CERRADA", General!M:M, "E Delia", General!H:H, "PTE. APROBACION", General!G:G, "POSIBLE DT", General!O:O, "&gt;="&amp;DATE(2026,1,1), General!O:O, "&lt;="&amp;DATE(2026,1,31))</f>
        <v>0</v>
      </c>
      <c r="AB5" s="44">
        <f>AA5*AH7</f>
        <v>0</v>
      </c>
      <c r="AD5" s="261" t="s">
        <v>15</v>
      </c>
      <c r="AF5" s="118" t="s">
        <v>10</v>
      </c>
      <c r="AG5" s="119">
        <v>9562</v>
      </c>
      <c r="AH5" s="119">
        <v>8925</v>
      </c>
      <c r="AI5" s="116"/>
    </row>
    <row r="6" spans="1:35" ht="15.75">
      <c r="C6" s="37" t="s">
        <v>18</v>
      </c>
      <c r="E6" s="254">
        <f>COUNTIFS(General!F:F, "IP CERRADA", General!K:K, "A MIÑO", General!H:H, "PTE. APROBACION", General!G:G, "IP SIN ORDEN", General!O:O, "&gt;="&amp;DATE(2026,1,1), General!O:O, "&lt;="&amp;DATE(2026,1,31))</f>
        <v>0</v>
      </c>
      <c r="F6" s="38">
        <f>E6*AG8</f>
        <v>0</v>
      </c>
      <c r="G6" s="41">
        <f>COUNTIFS(General!F:F, "IP CERRADA", General!M:M, "A MIÑO", General!H:H, "PTE. APROBACION", General!G:G, "IP SIN ORDEN", General!O:O, "&gt;="&amp;DATE(2026,1,1), General!O:O, "&lt;="&amp;DATE(2026,1,31))</f>
        <v>0</v>
      </c>
      <c r="H6" s="42">
        <f>G6*AH8</f>
        <v>0</v>
      </c>
      <c r="J6" s="254">
        <f>COUNTIFS(General!F:F, "IP CERRADA", General!K:K, "J. FERLANTI", General!H:H, "PTE. APROBACION", General!G:G, "IP SIN ORDEN", General!O:O, "&gt;="&amp;DATE(2026,1,1), General!O:O, "&lt;="&amp;DATE(2026,1,31)) + COUNTIFS(General!F:F, "PARA FACTURAR", General!K:K, "J. FERLANTI", General!G:G, "IP SIN ORDEN", General!O:O, "&gt;="&amp;DATE(2026,1,1), General!O:O, "&lt;="&amp;DATE(2026,1,31))</f>
        <v>2</v>
      </c>
      <c r="K6" s="38">
        <f>J6*AG8</f>
        <v>19124</v>
      </c>
      <c r="L6" s="41">
        <f>COUNTIFS(General!F:F, "IP CERRADA", General!M:M, "J. FERLANTI", General!H:H, "PTE. APROBACION", General!G:G, "IP SIN ORDEN", General!O:O, "&gt;="&amp;DATE(2026,1,1), General!O:O, "&lt;="&amp;DATE(2026,1,31)) + COUNTIFS(General!F:F, "PARA FACTURAR", General!M:M, "J. FERLANTI", General!H:H, "EN TRAMITE", General!G:G, "IP SIN ORDEN", General!O:O, "&gt;="&amp;DATE(2026,1,1), General!O:O, "&lt;="&amp;DATE(2026,1,31))</f>
        <v>51</v>
      </c>
      <c r="M6" s="42">
        <f>L6*AH8</f>
        <v>455175</v>
      </c>
      <c r="O6" s="254">
        <f>COUNTIFS(General!F:F, "IP CERRADA", General!K:K, "J NEIRA", General!H:H, "PTE. APROBACION", General!G:G, "IP SIN ORDEN", General!O:O, "&gt;="&amp;DATE(2026,1,1), General!O:O, "&lt;="&amp;DATE(2026,1,31))</f>
        <v>0</v>
      </c>
      <c r="P6" s="38">
        <f>O6*AG8</f>
        <v>0</v>
      </c>
      <c r="Q6" s="41">
        <f>COUNTIFS(General!F:F, "IP CERRADA", General!M:M, "J NEIRA", General!H:H, "PTE. APROBACION", General!G:G, "IP SIN ORDEN", General!O:O, "&gt;="&amp;DATE(2026,1,1), General!O:O, "&lt;="&amp;DATE(2026,1,31))</f>
        <v>0</v>
      </c>
      <c r="R6" s="42">
        <f>Q6*AH8</f>
        <v>0</v>
      </c>
      <c r="T6" s="254">
        <f>COUNTIFS(General!F:F, "IP CERRADA", General!K:K, "L DEL PIERO", General!H:H, "PTE. APROBACION", General!G:G, "IP SIN ORDEN", General!O:O, "&gt;="&amp;DATE(2026,1,1), General!O:O, "&lt;="&amp;DATE(2026,1,31))</f>
        <v>26</v>
      </c>
      <c r="U6" s="38">
        <f>T6*AG8</f>
        <v>248612</v>
      </c>
      <c r="V6" s="41">
        <f>COUNTIFS(General!F:F, "IP CERRADA", General!M:M, "L DEL PIERO", General!H:H, "PTE. APROBACION", General!G:G, "IP SIN ORDEN", General!O:O, "&gt;="&amp;DATE(2026,1,1), General!O:O, "&lt;="&amp;DATE(2026,1,31))</f>
        <v>0</v>
      </c>
      <c r="W6" s="42">
        <f>V6*AH8</f>
        <v>0</v>
      </c>
      <c r="Y6" s="254">
        <f>COUNTIFS(General!F:F, "IP CERRADA", General!K:K, "E Delia", General!H:H, "PTE. APROBACION", General!G:G, "IP SIN ORDEN", General!O:O, "&gt;="&amp;DATE(2026,1,1), General!O:O, "&lt;="&amp;DATE(2026,1,31))</f>
        <v>23</v>
      </c>
      <c r="Z6" s="38">
        <f>Y6*AG8</f>
        <v>219926</v>
      </c>
      <c r="AA6" s="41">
        <f>COUNTIFS(General!F:F, "IP CERRADA", General!M:M, "E Delia", General!H:H, "PTE. APROBACION", General!G:G, "IP SIN ORDEN", General!O:O, "&gt;="&amp;DATE(2026,1,1), General!O:O, "&lt;="&amp;DATE(2026,1,31))</f>
        <v>0</v>
      </c>
      <c r="AB6" s="42">
        <f>AA6*AH8</f>
        <v>0</v>
      </c>
      <c r="AD6" s="37" t="s">
        <v>18</v>
      </c>
      <c r="AF6" s="118"/>
      <c r="AG6" s="119"/>
      <c r="AH6" s="119"/>
      <c r="AI6" s="116"/>
    </row>
    <row r="7" spans="1:35" ht="15.75">
      <c r="C7" s="261" t="s">
        <v>21</v>
      </c>
      <c r="E7" s="39">
        <f>COUNTIFS(General!F:F, "IP CERRADA", General!K:K, "A MIÑO", General!H:H, "PTE. APROBACION", General!G:G, "AMPLIACION", General!O:O, "&gt;="&amp;DATE(2026,1,1), General!O:O, "&lt;="&amp;DATE(2026,1,31))</f>
        <v>0</v>
      </c>
      <c r="F7" s="40">
        <f>E7*AG9</f>
        <v>0</v>
      </c>
      <c r="G7" s="43">
        <f>COUNTIFS(General!F:F, "IP CERRADA", General!M:M, "A MIÑO", General!H:H, "PTE. APROBACION", General!G:G, "AMPLIACION", General!O:O, "&gt;="&amp;DATE(2026,1,1), General!O:O, "&lt;="&amp;DATE(2026,1,31))</f>
        <v>0</v>
      </c>
      <c r="H7" s="44">
        <f>G7*AH9</f>
        <v>0</v>
      </c>
      <c r="J7" s="39">
        <f>COUNTIFS(General!F:F, "IP CERRADA", General!K:K, "J. FERLANTI", General!H:H, "PTE. APROBACION", General!G:G, "AMPLIACION", General!O:O, "&gt;="&amp;DATE(2026,1,1), General!O:O, "&lt;="&amp;DATE(2026,1,31)) + COUNTIFS(General!F:F, "PARA FACTURAR", General!K:K, "J. FERLANTI", General!G:G, "AMPLIACION", General!O:O, "&gt;="&amp;DATE(2026,1,1), General!O:O, "&lt;="&amp;DATE(2026,1,31))</f>
        <v>0</v>
      </c>
      <c r="K7" s="40">
        <f>J7*AG9</f>
        <v>0</v>
      </c>
      <c r="L7" s="43">
        <f>COUNTIFS(General!F:F, "IP CERRADA", General!M:M, "J. FERLANTI", General!H:H, "PTE. APROBACION", General!G:G, "AMPLIACION", General!O:O, "&gt;="&amp;DATE(2026,1,1), General!O:O, "&lt;="&amp;DATE(2026,1,31)) + COUNTIFS(General!F:F, "PARA FACTURAR", General!M:M, "J. FERLANTI", General!H:H, "EN TRAMITE", General!G:G, "AMPLIACION", General!O:O, "&gt;="&amp;DATE(2026,1,1), General!O:O, "&lt;="&amp;DATE(2026,1,31))</f>
        <v>10</v>
      </c>
      <c r="M7" s="44">
        <f>L7*AH9</f>
        <v>20000</v>
      </c>
      <c r="O7" s="39">
        <f>COUNTIFS(General!F:F, "IP CERRADA", General!K:K, "J NEIRA", General!H:H, "PTE. APROBACION", General!G:G, "AMPLIACION", General!O:O, "&gt;="&amp;DATE(2026,1,1), General!O:O, "&lt;="&amp;DATE(2026,1,31))</f>
        <v>0</v>
      </c>
      <c r="P7" s="40">
        <f>O7*AG9</f>
        <v>0</v>
      </c>
      <c r="Q7" s="43">
        <f>COUNTIFS(General!F:F, "IP CERRADA", General!M:M, "J NEIRA", General!H:H, "PTE. APROBACION", General!G:G, "AMPLIACION", General!O:O, "&gt;="&amp;DATE(2026,1,1), General!O:O, "&lt;="&amp;DATE(2026,1,31))</f>
        <v>0</v>
      </c>
      <c r="R7" s="44">
        <f>Q7*AH9</f>
        <v>0</v>
      </c>
      <c r="T7" s="39">
        <f>COUNTIFS(General!F:F, "IP CERRADA", General!K:K, "L DEL PIERO", General!H:H, "PTE. APROBACION", General!G:G, "AMPLIACION", General!O:O, "&gt;="&amp;DATE(2026,1,1), General!O:O, "&lt;="&amp;DATE(2026,1,31))</f>
        <v>7</v>
      </c>
      <c r="U7" s="40">
        <f>T7*AG9</f>
        <v>29750</v>
      </c>
      <c r="V7" s="43">
        <f>COUNTIFS(General!F:F, "IP CERRADA", General!M:M, "L DEL PIERO", General!H:H, "PTE. APROBACION", General!G:G, "AMPLIACION", General!O:O, "&gt;="&amp;DATE(2026,1,1), General!O:O, "&lt;="&amp;DATE(2026,1,31))</f>
        <v>0</v>
      </c>
      <c r="W7" s="44">
        <f>V7*AH9</f>
        <v>0</v>
      </c>
      <c r="Y7" s="39">
        <f>COUNTIFS(General!F:F, "IP CERRADA", General!K:K, "E Delia", General!H:H, "PTE. APROBACION", General!G:G, "AMPLIACION", General!O:O, "&gt;="&amp;DATE(2026,1,1), General!O:O, "&lt;="&amp;DATE(2026,1,31))</f>
        <v>3</v>
      </c>
      <c r="Z7" s="40">
        <f>Y7*AG9</f>
        <v>12750</v>
      </c>
      <c r="AA7" s="43">
        <f>COUNTIFS(General!F:F, "IP CERRADA", General!M:M, "E Delia", General!H:H, "PTE. APROBACION", General!G:G, "AMPLIACION", General!O:O, "&gt;="&amp;DATE(2026,1,1), General!O:O, "&lt;="&amp;DATE(2026,1,31))</f>
        <v>0</v>
      </c>
      <c r="AB7" s="44">
        <f>AA7*AH9</f>
        <v>0</v>
      </c>
      <c r="AD7" s="261" t="s">
        <v>21</v>
      </c>
      <c r="AF7" s="120" t="s">
        <v>15</v>
      </c>
      <c r="AG7" s="121">
        <v>9562</v>
      </c>
      <c r="AH7" s="121">
        <v>8925</v>
      </c>
      <c r="AI7" s="116"/>
    </row>
    <row r="8" spans="1:35" ht="15.75">
      <c r="C8" s="37" t="s">
        <v>24</v>
      </c>
      <c r="E8" s="254" t="s">
        <v>27</v>
      </c>
      <c r="F8" s="38" t="s">
        <v>27</v>
      </c>
      <c r="G8" s="41">
        <f>COUNTIFS(General!F:F, "IP CERRADA", General!M:M, "A MIÑO", General!H:H, "PTE. APROBACION", General!G:G, "ENVIO DE ORDEN", General!O:O, "&gt;="&amp;DATE(2026,1,1), General!O:O, "&lt;="&amp;DATE(2026,1,31))</f>
        <v>0</v>
      </c>
      <c r="H8" s="42">
        <f>G8*AH10</f>
        <v>0</v>
      </c>
      <c r="J8" s="254" t="s">
        <v>27</v>
      </c>
      <c r="K8" s="38" t="s">
        <v>27</v>
      </c>
      <c r="L8" s="41">
        <f>COUNTIFS(General!F:F, "IP SIN ORDEN", General!M:M, "J. FERLANTI", General!H:H, "PTE. APROBACION", General!G:G, "ENVIO DE ORDEN", General!O:O, "&gt;="&amp;DATE(2026,1,1), General!O:O, "&lt;="&amp;DATE(2026,1,31)) + COUNTIFS(General!F:F, "PARA FACTURAR", General!M:M, "J. FERLANTI", General!H:H, "EN TRAMITE", General!G:G, "ENVIO DE ORDEN", General!O:O, "&gt;="&amp;DATE(2026,1,1), General!O:O, "&lt;="&amp;DATE(2026,1,31))</f>
        <v>0</v>
      </c>
      <c r="M8" s="42">
        <f>L8*AH10</f>
        <v>0</v>
      </c>
      <c r="O8" s="254"/>
      <c r="P8" s="38"/>
      <c r="Q8" s="41">
        <f>COUNTIFS(General!F:F, "IP CERRADA", General!M:M, "J NEIRA", General!H:H, "PTE. APROBACION", General!G:G, "ENVIO DE ORDEN", General!O:O, "&gt;="&amp;DATE(2026,1,1), General!O:O, "&lt;="&amp;DATE(2026,1,31))</f>
        <v>0</v>
      </c>
      <c r="R8" s="42">
        <f>Q8*AH10</f>
        <v>0</v>
      </c>
      <c r="T8" s="254"/>
      <c r="U8" s="38"/>
      <c r="V8" s="41">
        <f>COUNTIFS(General!F:F, "IP CERRADA", General!M:M, "L DEL PIERO", General!H:H, "PTE. APROBACION", General!G:G, "ENVIO DE ORDEN", General!O:O, "&gt;="&amp;DATE(2026,1,1), General!O:O, "&lt;="&amp;DATE(2026,1,31))</f>
        <v>0</v>
      </c>
      <c r="W8" s="42">
        <f>V8*AH10</f>
        <v>0</v>
      </c>
      <c r="Y8" s="254"/>
      <c r="Z8" s="38"/>
      <c r="AA8" s="41">
        <f>COUNTIFS(General!F:F, "IP CERRADA", General!M:M, "E Delia", General!H:H, "PTE. APROBACION", General!G:G, "ENVIO DE ORDEN", General!O:O, "&gt;="&amp;DATE(2026,1,1), General!O:O, "&lt;="&amp;DATE(2026,1,31))</f>
        <v>0</v>
      </c>
      <c r="AB8" s="42">
        <f>AA8*AH10</f>
        <v>0</v>
      </c>
      <c r="AD8" s="37" t="s">
        <v>24</v>
      </c>
      <c r="AF8" s="118" t="s">
        <v>18</v>
      </c>
      <c r="AG8" s="119">
        <v>9562</v>
      </c>
      <c r="AH8" s="119">
        <v>8925</v>
      </c>
      <c r="AI8" s="116"/>
    </row>
    <row r="9" spans="1:35" ht="15.75">
      <c r="C9" s="261" t="s">
        <v>29</v>
      </c>
      <c r="E9" s="39">
        <f>COUNTIFS(General!F:F, "IP CERRADA", General!K:K, "A MIÑO", General!H:H, "PTE. APROBACION", General!G:G, "IP CAMIONES", General!O:O, "&gt;="&amp;DATE(2026,1,1), General!O:O, "&lt;="&amp;DATE(2026,1,31))</f>
        <v>0</v>
      </c>
      <c r="F9" s="40">
        <f>E9*AG15</f>
        <v>0</v>
      </c>
      <c r="G9" s="43">
        <f>COUNTIFS(General!F:F, "IP SIN ORDEN", General!M:M, "J. FERLANTI", General!H:H, "PTE. APROBACION", General!G:G, "IP CAMIONES", General!O:O, "&gt;="&amp;DATE(2026,1,1), General!O:O, "&lt;="&amp;DATE(2026,1,31)) + COUNTIFS(General!F:F, "PARA FACTURAR", General!M:M, "J. FERLANTI", General!H:H, "EN TRAMITE", General!G:G, "IP CAMIONES", General!O:O, "&gt;="&amp;DATE(2026,1,1), General!O:O, "&lt;="&amp;DATE(2026,1,31))</f>
        <v>0</v>
      </c>
      <c r="H9" s="44">
        <f>G9*AH15</f>
        <v>0</v>
      </c>
      <c r="J9" s="39">
        <f>COUNTIFS(General!F:F, "IP CERRADA", General!K:K, "J. FERLANTI", General!H:H, "PTE. APROBACION", General!G:G, "IP CAMIONES", General!O:O, "&gt;="&amp;DATE(2026,1,1), General!O:O, "&lt;="&amp;DATE(2026,1,31)) + COUNTIFS(General!F:F, "PARA FACTURAR", General!K:K, "J. FERLANTI", General!G:G, "IP CAMIONES", General!O:O, "&gt;="&amp;DATE(2026,1,1), General!O:O, "&lt;="&amp;DATE(2026,1,31))</f>
        <v>0</v>
      </c>
      <c r="K9" s="40">
        <f>J9*AG15</f>
        <v>0</v>
      </c>
      <c r="L9" s="43">
        <f>COUNTIFS(General!F:F, "IP CERRADA", General!M:M, "J. FERLANTI", General!H:H, "PTE. APROBACION", General!G:G, "IP CAMIONES", General!O:O, "&gt;="&amp;DATE(2026,1,1), General!O:O, "&lt;="&amp;DATE(2026,1,31))</f>
        <v>0</v>
      </c>
      <c r="M9" s="44">
        <f>L9*AH15</f>
        <v>0</v>
      </c>
      <c r="O9" s="39">
        <f>COUNTIFS(General!F:F, "IP CERRADA", General!K:K, "J NEIRA", General!H:H, "PTE. APROBACION", General!G:G, "IP CAMIONES", General!O:O, "&gt;="&amp;DATE(2026,1,1), General!O:O, "&lt;="&amp;DATE(2026,1,31))</f>
        <v>0</v>
      </c>
      <c r="P9" s="40">
        <f>O9*AG15</f>
        <v>0</v>
      </c>
      <c r="Q9" s="43">
        <f>COUNTIFS(General!F:F, "IP CERRADA", General!M:M, "J NEIRA", General!H:H, "PTE. APROBACION", General!G:G, "IP CAMIONES", General!O:O, "&gt;="&amp;DATE(2026,1,1), General!O:O, "&lt;="&amp;DATE(2026,1,31))</f>
        <v>0</v>
      </c>
      <c r="R9" s="44">
        <f>Q9*AH15</f>
        <v>0</v>
      </c>
      <c r="T9" s="39">
        <f>COUNTIFS(General!F:F, "IP CERRADA", General!K:K, "L DEL PIERO", General!H:H, "PTE. APROBACION", General!G:G, "IP CAMIONES", General!O:O, "&gt;="&amp;DATE(2026,1,1), General!O:O, "&lt;="&amp;DATE(2026,1,31))</f>
        <v>0</v>
      </c>
      <c r="U9" s="40">
        <f>T9*AG15</f>
        <v>0</v>
      </c>
      <c r="V9" s="43">
        <f>COUNTIFS(General!F:F, "IP CERRADA", General!M:M, "L DEL PIERO", General!H:H, "PTE. APROBACION", General!G:G, "IP CAMIONES", General!O:O, "&gt;="&amp;DATE(2026,1,1), General!O:O, "&lt;="&amp;DATE(2026,1,31))</f>
        <v>0</v>
      </c>
      <c r="W9" s="44">
        <f>V9*AH15</f>
        <v>0</v>
      </c>
      <c r="Y9" s="39">
        <f>COUNTIFS(General!F:F, "IP CERRADA", General!K:K, "E Delia", General!H:H, "PTE. APROBACION", General!G:G, "IP CAMIONES", General!O:O, "&gt;="&amp;DATE(2026,1,1), General!O:O, "&lt;="&amp;DATE(2026,1,31))</f>
        <v>0</v>
      </c>
      <c r="Z9" s="40">
        <f>Y9*AG15</f>
        <v>0</v>
      </c>
      <c r="AA9" s="43">
        <f>COUNTIFS(General!F:F, "IP CERRADA", General!M:M, "E Delia", General!H:H, "PTE. APROBACION", General!G:G, "IP CAMIONES", General!O:O, "&gt;="&amp;DATE(2026,1,1), General!O:O, "&lt;="&amp;DATE(2026,1,31))</f>
        <v>0</v>
      </c>
      <c r="AB9" s="44">
        <f>AA9*AH15</f>
        <v>0</v>
      </c>
      <c r="AD9" s="261" t="s">
        <v>29</v>
      </c>
      <c r="AF9" s="120" t="s">
        <v>21</v>
      </c>
      <c r="AG9" s="121">
        <v>4250</v>
      </c>
      <c r="AH9" s="121">
        <v>2000</v>
      </c>
      <c r="AI9" s="116"/>
    </row>
    <row r="10" spans="1:35" ht="15.75">
      <c r="C10" s="37" t="s">
        <v>30</v>
      </c>
      <c r="E10" s="254">
        <f>COUNTIFS(General!F:F, "IP CERRADA", General!K:K, "A MIÑO", General!H:H, "PTE. APROBACION", General!G:G, "TERCEROS", General!O:O, "&gt;="&amp;DATE(2024,3,1), General!O:O, "&gt;="&amp;DATE(2026,1,1), General!O:O, "&lt;="&amp;DATE(2026,1,31))</f>
        <v>0</v>
      </c>
      <c r="F10" s="38">
        <f>E10*AG12</f>
        <v>0</v>
      </c>
      <c r="G10" s="41">
        <f>COUNTIFS(General!F:F, "IP CERRADA", General!M:M, "A MIÑO", General!H:H, "PTE. APROBACION", General!G:G, "TERCEROS", General!O:O, "&gt;="&amp;DATE(2026,1,1), General!O:O, "&lt;="&amp;DATE(2026,1,31))</f>
        <v>0</v>
      </c>
      <c r="H10" s="42">
        <f>G10*AH12</f>
        <v>0</v>
      </c>
      <c r="J10" s="254">
        <f>COUNTIFS(General!F:F, "IP CERRADA", General!K:K, "J. FERLANTI", General!H:H, "PTE. APROBACION", General!G:G, "TERCEROS", General!O:O, "&gt;="&amp;DATE(2026,1,1), General!O:O, "&lt;="&amp;DATE(2026,1,31)) + COUNTIFS(General!F:F, "PARA FACTURAR", General!K:K, "J. FERLANTI", General!G:G, "TERCEROS", General!O:O, "&gt;="&amp;DATE(2026,1,1), General!O:O, "&lt;="&amp;DATE(2026,1,31))</f>
        <v>1</v>
      </c>
      <c r="K10" s="38">
        <f>J10*AG12</f>
        <v>9562</v>
      </c>
      <c r="L10" s="41">
        <f>COUNTIFS(General!F:F, "IP SIN ORDEN", General!M:M, "J. FERLANTI", General!H:H, "PTE. APROBACION", General!G:G, "TERCEROS", General!O:O, "&gt;="&amp;DATE(2026,1,1), General!O:O, "&lt;="&amp;DATE(2026,1,31)) + COUNTIFS(General!F:F, "PARA FACTURAR", General!M:M, "J. FERLANTI", General!H:H, "EN TRAMITE", General!G:G, "TERCEROS", General!O:O, "&gt;="&amp;DATE(2026,1,1), General!O:O, "&lt;="&amp;DATE(2026,1,31))</f>
        <v>0</v>
      </c>
      <c r="M10" s="42">
        <f>L10*AH12</f>
        <v>0</v>
      </c>
      <c r="O10" s="254">
        <f>COUNTIFS(General!F:F, "IP CERRADA", General!K:K, "J NEIRA", General!H:H, "PTE. APROBACION", General!G:G, "TERCEROS", General!O:O, "&gt;="&amp;DATE(2024,3,1), General!O:O, "&gt;="&amp;DATE(2026,1,1), General!O:O, "&lt;="&amp;DATE(2026,1,31))</f>
        <v>0</v>
      </c>
      <c r="P10" s="38">
        <f>O10*AG12</f>
        <v>0</v>
      </c>
      <c r="Q10" s="41">
        <f>COUNTIFS(General!F:F, "IP CERRADA", General!M:M, "J NEIRA", General!H:H, "PTE. APROBACION", General!G:G, "TERCEROS", General!O:O, "&gt;="&amp;DATE(2026,1,1), General!O:O, "&lt;="&amp;DATE(2026,1,31))</f>
        <v>0</v>
      </c>
      <c r="R10" s="42">
        <f>Q10*AH12</f>
        <v>0</v>
      </c>
      <c r="T10" s="254">
        <f>COUNTIFS(General!F:F, "IP CERRADA", General!K:K, "L DEL PIERO", General!H:H, "PTE. APROBACION", General!G:G, "TERCEROS", General!O:O, "&gt;="&amp;DATE(2024,3,1), General!O:O, "&gt;="&amp;DATE(2026,1,1), General!O:O, "&lt;="&amp;DATE(2026,1,31))</f>
        <v>0</v>
      </c>
      <c r="U10" s="38">
        <f>T10*AG12</f>
        <v>0</v>
      </c>
      <c r="V10" s="41">
        <f>COUNTIFS(General!F:F, "IP CERRADA", General!M:M, "L DEL PIERO", General!H:H, "PTE. APROBACION", General!G:G, "TERCEROS", General!O:O, "&gt;="&amp;DATE(2026,1,1), General!O:O, "&lt;="&amp;DATE(2026,1,31))</f>
        <v>0</v>
      </c>
      <c r="W10" s="42">
        <f>V10*AH12</f>
        <v>0</v>
      </c>
      <c r="Y10" s="254">
        <f>COUNTIFS(General!F:F, "IP CERRADA", General!K:K, "E Delia", General!H:H, "PTE. APROBACION", General!G:G, "TERCEROS", General!O:O, "&gt;="&amp;DATE(2024,3,1), General!O:O, "&gt;="&amp;DATE(2026,1,1), General!O:O, "&lt;="&amp;DATE(2026,1,31))</f>
        <v>0</v>
      </c>
      <c r="Z10" s="38">
        <f>Y10*AG12</f>
        <v>0</v>
      </c>
      <c r="AA10" s="41">
        <f>COUNTIFS(General!F:F, "IP CERRADA", General!M:M, "E Delia", General!H:H, "PTE. APROBACION", General!G:G, "TERCEROS", General!O:O, "&gt;="&amp;DATE(2026,1,1), General!O:O, "&lt;="&amp;DATE(2026,1,31))</f>
        <v>0</v>
      </c>
      <c r="AB10" s="42">
        <f>AA10*AH12</f>
        <v>0</v>
      </c>
      <c r="AD10" s="37" t="s">
        <v>30</v>
      </c>
      <c r="AF10" s="118" t="s">
        <v>24</v>
      </c>
      <c r="AG10" s="119" t="s">
        <v>27</v>
      </c>
      <c r="AH10" s="119"/>
      <c r="AI10" s="116"/>
    </row>
    <row r="11" spans="1:35" ht="15.75">
      <c r="C11" s="261" t="s">
        <v>32</v>
      </c>
      <c r="E11" s="39" t="s">
        <v>27</v>
      </c>
      <c r="F11" s="40" t="s">
        <v>27</v>
      </c>
      <c r="G11" s="43">
        <f>COUNTIFS(General!F:F, "IP CERRADA", General!M:M, "A MIÑO", General!H:H, "PTE. APROBACION", General!G:G, "FOTOS", General!O:O, "&gt;="&amp;DATE(2026,1,1), General!O:O, "&lt;="&amp;DATE(2026,1,31))</f>
        <v>0</v>
      </c>
      <c r="H11" s="44">
        <v>0</v>
      </c>
      <c r="J11" s="39" t="s">
        <v>27</v>
      </c>
      <c r="K11" s="40" t="s">
        <v>27</v>
      </c>
      <c r="L11" s="43">
        <f>COUNTIFS(General!F:F, "IP SIN ORDEN", General!M:M, "J. FERLANTI", General!H:H, "PTE. APROBACION", General!G:G, "FOTOS", General!O:O, "&gt;="&amp;DATE(2026,1,1), General!O:O, "&lt;="&amp;DATE(2026,1,31)) + COUNTIFS(General!F:F, "PARA FACTURAR", General!M:M, "J. FERLANTI", General!H:H, "EN TRAMITE", General!G:G, "FOTOS", General!O:O, "&gt;="&amp;DATE(2026,1,1), General!O:O, "&lt;="&amp;DATE(2026,1,31))</f>
        <v>0</v>
      </c>
      <c r="M11" s="44">
        <f>L11*AH13</f>
        <v>0</v>
      </c>
      <c r="O11" s="39"/>
      <c r="P11" s="40"/>
      <c r="Q11" s="43">
        <f>COUNTIFS(General!F:F, "IP CERRADA", General!M:M, "J NEIRA", General!H:H, "PTE. APROBACION", General!G:G, "FOTOS", General!O:O, "&gt;="&amp;DATE(2026,1,1), General!O:O, "&lt;="&amp;DATE(2026,1,31))</f>
        <v>0</v>
      </c>
      <c r="R11" s="44">
        <f>Q11*AH13</f>
        <v>0</v>
      </c>
      <c r="T11" s="39"/>
      <c r="U11" s="40"/>
      <c r="V11" s="43">
        <f>COUNTIFS(General!F:F, "IP CERRADA", General!M:M, "L DEL PIERO", General!H:H, "PTE. APROBACION", General!G:G, "FOTOS", General!O:O, "&gt;="&amp;DATE(2026,1,1), General!O:O, "&lt;="&amp;DATE(2026,1,31))</f>
        <v>0</v>
      </c>
      <c r="W11" s="44">
        <f>V11*AH13</f>
        <v>0</v>
      </c>
      <c r="Y11" s="39"/>
      <c r="Z11" s="40"/>
      <c r="AA11" s="43">
        <f>COUNTIFS(General!F:F, "IP CERRADA", General!M:M, "E Delia", General!H:H, "PTE. APROBACION", General!G:G, "FOTOS", General!O:O, "&gt;="&amp;DATE(2026,1,1), General!O:O, "&lt;="&amp;DATE(2026,1,31))</f>
        <v>0</v>
      </c>
      <c r="AB11" s="44">
        <f>AA11*AH13</f>
        <v>0</v>
      </c>
      <c r="AD11" s="261" t="s">
        <v>32</v>
      </c>
      <c r="AF11" s="120" t="s">
        <v>26</v>
      </c>
      <c r="AG11" s="121">
        <v>2550</v>
      </c>
      <c r="AH11" s="121" t="s">
        <v>27</v>
      </c>
      <c r="AI11" s="116"/>
    </row>
    <row r="12" spans="1:35" ht="15.75">
      <c r="C12" s="37" t="s">
        <v>84</v>
      </c>
      <c r="E12" s="254">
        <f>COUNTIFS(General!F:F, "IP CERRADA", General!K:K, "A MIÑO", General!K:K, "A MIÑO", General!H:H, "PTE. APROBACION", General!G:G, "IP FINAL/INTERMEDIA", General!O:O, "&gt;="&amp;DATE(2026,1,1), General!O:O, "&lt;="&amp;DATE(2026,1,31))</f>
        <v>0</v>
      </c>
      <c r="F12" s="38">
        <f>E12*AG14</f>
        <v>0</v>
      </c>
      <c r="G12" s="41">
        <f>COUNTIFS(General!F:F, "IP CERRADA", General!M:M, "A MIÑO", General!H:H, "PTE. APROBACION", General!G:G, "IP REMOTA", General!O:O, "&gt;="&amp;DATE(2026,1,1), General!O:O, "&lt;="&amp;DATE(2026,1,31))</f>
        <v>1</v>
      </c>
      <c r="H12" s="42">
        <f>G12*AH14</f>
        <v>8925</v>
      </c>
      <c r="J12" s="254">
        <f>COUNTIFS(General!F:F, "IP CERRADA", General!K:K, "J. FERLANTI", General!H:H, "PTE. APROBACION", General!G:G, "IP FINAL/INTERMEDIA", General!O:O, "&gt;="&amp;DATE(2026,1,1), General!O:O, "&lt;="&amp;DATE(2026,1,31)) + COUNTIFS(General!F:F, "PARA FACTURAR", General!K:K, "J. FERLANTI", General!G:G, "IP FINAL/INTERMEDIA", General!O:O, "&gt;="&amp;DATE(2026,1,1), General!O:O, "&lt;="&amp;DATE(2026,1,31))</f>
        <v>0</v>
      </c>
      <c r="K12" s="38">
        <f>J12*AG9</f>
        <v>0</v>
      </c>
      <c r="L12" s="41">
        <f>COUNTIFS(General!F:F, "IP CERRADA", General!M:M, "J. FERLANTI", General!H:H, "PTE. APROBACION", General!G:G, "IP FINAL/INTERMEDIA", General!O:O, "&gt;="&amp;DATE(2026,1,1), General!O:O, "&lt;="&amp;DATE(2026,1,31)) + COUNTIFS(General!F:F, "PARA FACTURAR", General!M:M, "J. FERLANTI", General!H:H, "EN TRAMITE", General!G:G, "IP FINAL/INTERMEDIA", General!O:O, "&gt;="&amp;DATE(2026,1,1), General!O:O, "&lt;="&amp;DATE(2026,1,31))</f>
        <v>2</v>
      </c>
      <c r="M12" s="42">
        <f>L12*AH9</f>
        <v>4000</v>
      </c>
      <c r="O12" s="254">
        <f>COUNTIFS(General!F:F, "IP CERRADA", General!K:K, "J NEIRA", General!K:K, "A MIÑO", General!H:H, "PTE. APROBACION", General!G:G, "IP REMOTA", General!O:O, "&gt;="&amp;DATE(2026,1,1), General!O:O, "&lt;="&amp;DATE(2026,1,31))</f>
        <v>0</v>
      </c>
      <c r="P12" s="38">
        <f>O12*AG14</f>
        <v>0</v>
      </c>
      <c r="Q12" s="41">
        <f>COUNTIFS(General!F:F, "IP CERRADA", General!M:M, "J NEIRA", General!H:H, "PTE. APROBACION", General!G:G, "IP REMOTA", General!O:O, "&gt;="&amp;DATE(2026,1,1), General!O:O, "&lt;="&amp;DATE(2026,1,31))</f>
        <v>0</v>
      </c>
      <c r="R12" s="42">
        <f>Q12*AH14</f>
        <v>0</v>
      </c>
      <c r="T12" s="254">
        <f>COUNTIFS(General!F:F, "IP CERRADA", General!K:K, "L DEL PIERO", General!K:K, "A MIÑO", General!H:H, "PTE. APROBACION", General!G:G, "IP REMOTA", General!O:O, "&gt;="&amp;DATE(2026,1,1), General!O:O, "&lt;="&amp;DATE(2026,1,31))</f>
        <v>0</v>
      </c>
      <c r="U12" s="38">
        <f>T12*AG14</f>
        <v>0</v>
      </c>
      <c r="V12" s="41">
        <f>COUNTIFS(General!F:F, "IP CERRADA", General!M:M, "L DEL PIERO", General!H:H, "PTE. APROBACION", General!G:G, "IP REMOTA", General!O:O, "&gt;="&amp;DATE(2026,1,1), General!O:O, "&lt;="&amp;DATE(2026,1,31))</f>
        <v>0</v>
      </c>
      <c r="W12" s="42">
        <f>V12*AH14</f>
        <v>0</v>
      </c>
      <c r="Y12" s="254">
        <f>COUNTIFS(General!F:F, "IP CERRADA", General!K:K, "E Delia",  General!H:H, "PTE. APROBACION", General!G:G, "IP FINAL/INTERMEDIA", General!O:O, "&gt;="&amp;DATE(2026,1,1), General!O:O, "&lt;="&amp;DATE(2026,1,31))</f>
        <v>1</v>
      </c>
      <c r="Z12" s="38">
        <f>Y12*AG9</f>
        <v>4250</v>
      </c>
      <c r="AA12" s="41">
        <f>COUNTIFS(General!F:F, "IP CERRADA", General!M:M, "E Delia", General!H:H, "PTE. APROBACION", General!G:G, "IP REMOTA", General!O:O, "&gt;="&amp;DATE(2026,1,1), General!O:O, "&lt;="&amp;DATE(2026,1,31))</f>
        <v>0</v>
      </c>
      <c r="AB12" s="42">
        <f>AA12*AH14</f>
        <v>0</v>
      </c>
      <c r="AD12" s="37" t="s">
        <v>34</v>
      </c>
      <c r="AF12" s="118" t="s">
        <v>30</v>
      </c>
      <c r="AG12" s="119">
        <v>9562</v>
      </c>
      <c r="AH12" s="119">
        <v>8925</v>
      </c>
      <c r="AI12" s="116"/>
    </row>
    <row r="13" spans="1:35" ht="15.75">
      <c r="C13" s="261" t="s">
        <v>37</v>
      </c>
      <c r="E13" s="39">
        <f>COUNTIFS(General!F:F, "IP CERRADA", General!K:K, "A MIÑO", General!K:K, "A MIÑO", General!H:H, "PTE. APROBACION", General!G:G, "IP REMOTA", General!O:O, "&gt;="&amp;DATE(2026,1,1), General!O:O, "&lt;="&amp;DATE(2026,1,31))</f>
        <v>1</v>
      </c>
      <c r="F13" s="40" t="s">
        <v>27</v>
      </c>
      <c r="G13" s="43">
        <f>COUNTIFS(General!F:F, "IP CERRADA", General!M:M, "A MIÑO", General!H:H, "PTE. APROBACION", General!G:G, "IP VIRTUAL", General!O:O, "&gt;="&amp;DATE(2026,1,1), General!O:O, "&lt;="&amp;DATE(2026,1,31))</f>
        <v>0</v>
      </c>
      <c r="H13" s="44">
        <f>G13*AH16</f>
        <v>0</v>
      </c>
      <c r="J13" s="39" t="s">
        <v>27</v>
      </c>
      <c r="K13" s="40" t="s">
        <v>27</v>
      </c>
      <c r="L13" s="43">
        <f>COUNTIFS(General!F:F, "IP SIN ORDEN", General!M:M, "J. FERLANTI", General!H:H, "PTE. APROBACION", General!G:G, "IP VIRTUAL", General!O:O, "&gt;="&amp;DATE(2026,1,1), General!O:O, "&lt;="&amp;DATE(2026,1,31)) + COUNTIFS(General!F:F, "PARA FACTURAR", General!M:M, "J. FERLANTI", General!H:H, "EN TRAMITE", General!G:G, "IP VIRTUAL", General!O:O, "&gt;="&amp;DATE(2026,1,1), General!O:O, "&lt;="&amp;DATE(2026,1,31))</f>
        <v>0</v>
      </c>
      <c r="M13" s="44">
        <f>L13*AH16</f>
        <v>0</v>
      </c>
      <c r="O13" s="39"/>
      <c r="P13" s="40"/>
      <c r="Q13" s="43">
        <f>COUNTIFS(General!F:F, "IP CERRADA", General!M:M, "J NEIRA", General!H:H, "PTE. APROBACION", General!G:G, "IP VIRTUAL", General!O:O, "&gt;="&amp;DATE(2026,1,1), General!O:O, "&lt;="&amp;DATE(2026,1,31))</f>
        <v>0</v>
      </c>
      <c r="R13" s="44">
        <f>Q13*AH16</f>
        <v>0</v>
      </c>
      <c r="T13" s="39"/>
      <c r="U13" s="40"/>
      <c r="V13" s="43">
        <f>COUNTIFS(General!F:F, "IP CERRADA", General!M:M, "L DEL PIERO", General!H:H, "PTE. APROBACION", General!G:G, "IP VIRTUAL", General!O:O, "&gt;="&amp;DATE(2026,1,1), General!O:O, "&lt;="&amp;DATE(2026,1,31))</f>
        <v>0</v>
      </c>
      <c r="W13" s="44">
        <f>V13*AH16</f>
        <v>0</v>
      </c>
      <c r="Y13" s="39"/>
      <c r="Z13" s="40"/>
      <c r="AA13" s="43">
        <f>COUNTIFS(General!F:F, "IP CERRADA", General!M:M, "E Delia", General!H:H, "PTE. APROBACION", General!G:G, "IP VIRTUAL", General!O:O, "&gt;="&amp;DATE(2026,1,1), General!O:O, "&lt;="&amp;DATE(2026,1,31))</f>
        <v>0</v>
      </c>
      <c r="AB13" s="44">
        <f>AA13*AH16</f>
        <v>0</v>
      </c>
      <c r="AD13" s="261" t="s">
        <v>37</v>
      </c>
      <c r="AF13" s="120" t="s">
        <v>32</v>
      </c>
      <c r="AG13" s="121" t="s">
        <v>27</v>
      </c>
      <c r="AH13" s="121">
        <v>0</v>
      </c>
      <c r="AI13" s="116"/>
    </row>
    <row r="14" spans="1:35" ht="15.75">
      <c r="C14" s="37" t="s">
        <v>26</v>
      </c>
      <c r="E14" s="254">
        <f>COUNTIFS(General!F:F, "IP CERRADA", General!K:K, "A MIÑO", General!K:K, "A MIÑO", General!H:H, "PTE. APROBACION", General!G:G, "AUSENTE", General!O:O, "&gt;="&amp;DATE(2026,1,1), General!O:O, "&lt;="&amp;DATE(2026,1,31))</f>
        <v>0</v>
      </c>
      <c r="F14" s="38">
        <f>E14*AG11</f>
        <v>0</v>
      </c>
      <c r="G14" s="41" t="s">
        <v>27</v>
      </c>
      <c r="H14" s="42" t="s">
        <v>27</v>
      </c>
      <c r="J14" s="254">
        <f>COUNTIFS(General!F:F, "IP CERRADA", General!K:K, "J. FERLANTI", General!H:H, "PTE. APROBACION", General!G:G, "AUSENTE", General!O:O, "&gt;="&amp;DATE(2026,1,1), General!O:O, "&lt;="&amp;DATE(2026,1,31)) + COUNTIFS(General!F:F, "PARA FACTURAR", General!K:K, "J. FERLANTI", General!G:G, "AUSENTE", General!O:O, "&gt;="&amp;DATE(2026,1,1), General!O:O, "&lt;="&amp;DATE(2026,1,31))</f>
        <v>0</v>
      </c>
      <c r="K14" s="38">
        <f>J14*AG11</f>
        <v>0</v>
      </c>
      <c r="L14" s="41"/>
      <c r="M14" s="42"/>
      <c r="O14" s="254">
        <f>COUNTIFS(General!F:F, "IP CERRADA", General!K:K, "J NEIRA", General!K:K, "A MIÑO", General!H:H, "PTE. APROBACION", General!G:G, "AUSENTE", General!O:O, "&gt;="&amp;DATE(2026,1,1), General!O:O, "&lt;="&amp;DATE(2026,1,31))</f>
        <v>0</v>
      </c>
      <c r="P14" s="38">
        <f>O14*AG11</f>
        <v>0</v>
      </c>
      <c r="Q14" s="41"/>
      <c r="R14" s="42"/>
      <c r="T14" s="254">
        <f>COUNTIFS(General!F:F, "IP CERRADA", General!K:K, "L DEL PIERO", General!K:K, "A MIÑO", General!H:H, "PTE. APROBACION", General!G:G, "AUSENTE", General!O:O, "&gt;="&amp;DATE(2026,1,1), General!O:O, "&lt;="&amp;DATE(2026,1,31))</f>
        <v>0</v>
      </c>
      <c r="U14" s="38">
        <f>T14*AG11</f>
        <v>0</v>
      </c>
      <c r="V14" s="41"/>
      <c r="W14" s="42"/>
      <c r="Y14" s="254">
        <f>COUNTIFS(General!F:F, "IP CERRADA", General!K:K, "E Delia", General!K:K, "E DELIA", General!H:H, "PTE. APROBACION", General!G:G, "AUSENTE", General!O:O, "&gt;="&amp;DATE(2026,1,1), General!O:O, "&lt;="&amp;DATE(2026,1,31))</f>
        <v>1</v>
      </c>
      <c r="Z14" s="38">
        <f>Y14*AG11</f>
        <v>2550</v>
      </c>
      <c r="AA14" s="41"/>
      <c r="AB14" s="42"/>
      <c r="AD14" s="37" t="s">
        <v>26</v>
      </c>
      <c r="AF14" s="118" t="s">
        <v>34</v>
      </c>
      <c r="AG14" s="119">
        <v>9562</v>
      </c>
      <c r="AH14" s="119">
        <v>8925</v>
      </c>
      <c r="AI14" s="116"/>
    </row>
    <row r="15" spans="1:35">
      <c r="E15" s="395" t="s">
        <v>44</v>
      </c>
      <c r="F15" s="396"/>
      <c r="G15" s="397" t="s">
        <v>44</v>
      </c>
      <c r="H15" s="398"/>
      <c r="J15" s="383" t="s">
        <v>44</v>
      </c>
      <c r="K15" s="384"/>
      <c r="L15" s="381" t="s">
        <v>44</v>
      </c>
      <c r="M15" s="382"/>
      <c r="O15" s="383" t="s">
        <v>44</v>
      </c>
      <c r="P15" s="384"/>
      <c r="Q15" s="381" t="s">
        <v>44</v>
      </c>
      <c r="R15" s="382"/>
      <c r="T15" s="383" t="s">
        <v>44</v>
      </c>
      <c r="U15" s="384"/>
      <c r="V15" s="381" t="s">
        <v>44</v>
      </c>
      <c r="W15" s="382"/>
      <c r="Y15" s="383" t="s">
        <v>44</v>
      </c>
      <c r="Z15" s="384"/>
      <c r="AA15" s="381" t="s">
        <v>44</v>
      </c>
      <c r="AB15" s="382"/>
      <c r="AF15" s="120" t="s">
        <v>29</v>
      </c>
      <c r="AG15" s="121">
        <v>9562</v>
      </c>
      <c r="AH15" s="121">
        <v>8925</v>
      </c>
      <c r="AI15" s="116"/>
    </row>
    <row r="16" spans="1:35">
      <c r="E16" s="37">
        <f>E4+E5+E6+E7+E9+E10+E12+E14</f>
        <v>2</v>
      </c>
      <c r="F16" s="29">
        <f>F4+F5+F6+F7+F9+F10+F12+F14</f>
        <v>19124</v>
      </c>
      <c r="G16" s="51">
        <f>G4+G5+G6+G7+G8+G9+G10+G11+G12+G13</f>
        <v>10</v>
      </c>
      <c r="H16" s="45">
        <f>H4+H5+H6+H7+H8+H9+H10+H11+H12+H13</f>
        <v>89250</v>
      </c>
      <c r="J16" s="37">
        <f>J4+J5+J6+J7+J9+J10+J12+J14</f>
        <v>4</v>
      </c>
      <c r="K16" s="29">
        <f>K4+K5+K6+K7+K9+K10+K12+K14</f>
        <v>38248</v>
      </c>
      <c r="L16" s="51">
        <f>L4+L5+L6+L7+L8+L9+L10+L11+L12+L13</f>
        <v>189</v>
      </c>
      <c r="M16" s="45">
        <f>M4+M5+M6+M7+M8+M9+M10+M11+M12+M13</f>
        <v>1603725</v>
      </c>
      <c r="O16" s="37">
        <f>O4+O5+O6+O7+O8+O9+O10+O11+O12+O13+O14</f>
        <v>0</v>
      </c>
      <c r="P16" s="29">
        <f>P4+P5+P6+P7+P8+P9+P10+P11+P12+P13</f>
        <v>0</v>
      </c>
      <c r="Q16" s="51">
        <f>Q4+Q5+Q6+Q7+Q8+Q9+Q10+Q11+Q12+Q13</f>
        <v>0</v>
      </c>
      <c r="R16" s="45">
        <f>R4+R5+R6+R7+R8+R9+R10+R11+R12+R13</f>
        <v>0</v>
      </c>
      <c r="T16" s="37">
        <f>T4+T5+T6+T7+T8+T9+T10+T11+T12+T13+T14</f>
        <v>117</v>
      </c>
      <c r="U16" s="29">
        <f>U4+U5+U6+U7+U8+U9+U10+U11+U12+U13</f>
        <v>1081570</v>
      </c>
      <c r="V16" s="51">
        <f>V4+V5+V6+V7+V8+V9+V10+V11+V12+V13</f>
        <v>0</v>
      </c>
      <c r="W16" s="45">
        <f>W4+W5+W6+W7+W8+W9+W10+W11+W12+W13</f>
        <v>0</v>
      </c>
      <c r="Y16" s="37">
        <f>Y4+Y5+Y6+Y7+Y8+Y9+Y10+Y11+Y12+Y13+Y14</f>
        <v>76</v>
      </c>
      <c r="Z16" s="29">
        <f>Z4+Z5+Z6+Z7+Z8+Z9+Z10+Z11+Z12+Z13</f>
        <v>695902</v>
      </c>
      <c r="AA16" s="51">
        <f>AA4+AA5+AA6+AA7+AA8+AA9+AA10+AA11+AA12+AA13</f>
        <v>0</v>
      </c>
      <c r="AB16" s="45">
        <f>AB4+AB5+AB6+AB7+AB8+AB9+AB10+AB11+AB12+AB13</f>
        <v>0</v>
      </c>
      <c r="AF16" s="118" t="s">
        <v>37</v>
      </c>
      <c r="AG16" s="119" t="s">
        <v>27</v>
      </c>
      <c r="AH16" s="119">
        <v>0</v>
      </c>
      <c r="AI16" s="116"/>
    </row>
    <row r="17" spans="3:35">
      <c r="E17" s="48"/>
      <c r="F17" s="49"/>
      <c r="G17" s="48"/>
      <c r="H17" s="49"/>
      <c r="J17" s="48"/>
      <c r="K17" s="49"/>
      <c r="L17" s="48"/>
      <c r="M17" s="49"/>
      <c r="O17" s="48"/>
      <c r="P17" s="49"/>
      <c r="Q17" s="48"/>
      <c r="R17" s="49"/>
      <c r="T17" s="48"/>
      <c r="U17" s="49"/>
      <c r="V17" s="48"/>
      <c r="W17" s="49"/>
      <c r="Y17" s="48"/>
      <c r="Z17" s="49"/>
      <c r="AA17" s="48"/>
      <c r="AB17" s="49"/>
      <c r="AF17" s="118"/>
      <c r="AG17" s="119"/>
      <c r="AH17" s="119"/>
      <c r="AI17" s="116"/>
    </row>
    <row r="18" spans="3:35">
      <c r="E18" s="395"/>
      <c r="F18" s="396"/>
      <c r="G18" s="261"/>
      <c r="H18" s="52"/>
      <c r="J18" s="380"/>
      <c r="K18" s="380"/>
      <c r="L18" s="261"/>
      <c r="M18" s="50"/>
      <c r="O18" s="380"/>
      <c r="P18" s="380"/>
      <c r="Q18" s="261"/>
      <c r="R18" s="50"/>
      <c r="T18" s="380"/>
      <c r="U18" s="380"/>
      <c r="V18" s="261"/>
      <c r="W18" s="50"/>
      <c r="Y18" s="380"/>
      <c r="Z18" s="380"/>
      <c r="AA18" s="261"/>
      <c r="AB18" s="50"/>
      <c r="AF18" s="118"/>
      <c r="AG18" s="119"/>
      <c r="AH18" s="119"/>
      <c r="AI18" s="116"/>
    </row>
    <row r="19" spans="3:35">
      <c r="E19" s="376" t="s">
        <v>3</v>
      </c>
      <c r="F19" s="377"/>
      <c r="G19" s="99">
        <f>COUNTIFS(General!F:F, "LICITANDO REPUESTOS", General!M:M, "A MIÑO")</f>
        <v>0</v>
      </c>
      <c r="H19" s="100"/>
      <c r="J19" s="376" t="s">
        <v>3</v>
      </c>
      <c r="K19" s="377"/>
      <c r="L19" s="99">
        <f>COUNTIFS(General!F:F, "LICITANDO REPUESTOS", General!M:M, "J. FERLANTI")</f>
        <v>16</v>
      </c>
      <c r="M19" s="100"/>
      <c r="O19" s="393" t="s">
        <v>3</v>
      </c>
      <c r="P19" s="394"/>
      <c r="Q19" s="99">
        <f>COUNTIFS(General!F:F, "LICITANDO REPUESTOS", General!M:M, "J NEIRA")</f>
        <v>0</v>
      </c>
      <c r="R19" s="100"/>
      <c r="T19" s="376" t="s">
        <v>3</v>
      </c>
      <c r="U19" s="377"/>
      <c r="V19" s="95"/>
      <c r="W19" s="96"/>
      <c r="Y19" s="376" t="s">
        <v>3</v>
      </c>
      <c r="Z19" s="377"/>
      <c r="AA19" s="95"/>
      <c r="AB19" s="96"/>
      <c r="AF19" s="122" t="s">
        <v>43</v>
      </c>
      <c r="AG19" s="123">
        <v>300</v>
      </c>
      <c r="AH19" s="123" t="s">
        <v>27</v>
      </c>
      <c r="AI19" s="117"/>
    </row>
    <row r="20" spans="3:35">
      <c r="E20" s="378" t="s">
        <v>85</v>
      </c>
      <c r="F20" s="379"/>
      <c r="G20" s="97"/>
      <c r="H20" s="98"/>
      <c r="J20" s="378" t="s">
        <v>85</v>
      </c>
      <c r="K20" s="379"/>
      <c r="L20" s="97">
        <f>COUNTIFS(General!F:F, "IP COORDINADA", General!M:M, "J. FERLANTI")</f>
        <v>34</v>
      </c>
      <c r="M20" s="98"/>
      <c r="O20" s="378" t="s">
        <v>85</v>
      </c>
      <c r="P20" s="379"/>
      <c r="Q20" s="97"/>
      <c r="R20" s="98"/>
      <c r="T20" s="378" t="s">
        <v>85</v>
      </c>
      <c r="U20" s="379"/>
      <c r="V20" s="97"/>
      <c r="W20" s="98"/>
      <c r="Y20" s="378" t="s">
        <v>85</v>
      </c>
      <c r="Z20" s="379"/>
      <c r="AA20" s="97"/>
      <c r="AB20" s="98"/>
    </row>
    <row r="21" spans="3:35">
      <c r="E21" s="374" t="s">
        <v>86</v>
      </c>
      <c r="F21" s="375"/>
      <c r="G21" s="46">
        <f>E4+E5+E6+E7+E9+E10+E12+E14+G4+G5+G6+G7+G8+G9+G10+G11+G12+G13</f>
        <v>12</v>
      </c>
      <c r="H21" s="47">
        <f>F16+H16+H18</f>
        <v>108374</v>
      </c>
      <c r="J21" s="374" t="s">
        <v>86</v>
      </c>
      <c r="K21" s="375"/>
      <c r="L21" s="46">
        <f>J4+J5+J6+J7+J9+J10+J12+J14+L4+L5+L6+L7+L9+L8+L10+L11+L12+L13</f>
        <v>193</v>
      </c>
      <c r="M21" s="47">
        <f>M16+M18+K16</f>
        <v>1641973</v>
      </c>
      <c r="O21" s="374" t="s">
        <v>86</v>
      </c>
      <c r="P21" s="375"/>
      <c r="Q21" s="46">
        <f>Q4+Q5+Q6+Q7+Q8+Q9+Q10+Q11+Q12+Q13+O4+O5+O6+O8+O7+O9+O10+O11+O12+O13</f>
        <v>0</v>
      </c>
      <c r="R21" s="47">
        <f>P16+R16</f>
        <v>0</v>
      </c>
      <c r="T21" s="374" t="s">
        <v>86</v>
      </c>
      <c r="U21" s="375"/>
      <c r="V21" s="46">
        <f>V4+V5+V6+V7+V8+V9+V10+V11+V12+V13+T4+T5+T6+T8+T7+T9+T10+T11+T12+T13</f>
        <v>117</v>
      </c>
      <c r="W21" s="47">
        <f>U16+W16</f>
        <v>1081570</v>
      </c>
      <c r="Y21" s="374" t="s">
        <v>86</v>
      </c>
      <c r="Z21" s="375"/>
      <c r="AA21" s="46">
        <f>AA4+AA5+AA6+AA7+AA8+AA9+AA10+AA11+AA12+AA13+Y4+Y5+Y6+Y8+Y7+Y9+Y10+Y11+Y12+Y13</f>
        <v>75</v>
      </c>
      <c r="AB21" s="47">
        <f>Z16+AB16</f>
        <v>695902</v>
      </c>
    </row>
    <row r="22" spans="3:35">
      <c r="S22" t="s">
        <v>87</v>
      </c>
    </row>
    <row r="24" spans="3:35">
      <c r="C24" s="369" t="s">
        <v>1</v>
      </c>
      <c r="E24" s="385" t="s">
        <v>33</v>
      </c>
      <c r="F24" s="386"/>
      <c r="G24" s="386"/>
      <c r="H24" s="387"/>
      <c r="J24" s="385" t="s">
        <v>31</v>
      </c>
      <c r="K24" s="386"/>
      <c r="L24" s="386"/>
      <c r="M24" s="387"/>
      <c r="O24" s="385" t="s">
        <v>88</v>
      </c>
      <c r="P24" s="386"/>
      <c r="Q24" s="386"/>
      <c r="R24" s="387"/>
      <c r="T24" s="385" t="s">
        <v>22</v>
      </c>
      <c r="U24" s="386"/>
      <c r="V24" s="386"/>
      <c r="W24" s="387"/>
      <c r="Y24" s="385" t="s">
        <v>28</v>
      </c>
      <c r="Z24" s="386"/>
      <c r="AA24" s="386"/>
      <c r="AB24" s="387"/>
      <c r="AD24" s="369" t="s">
        <v>1</v>
      </c>
    </row>
    <row r="25" spans="3:35">
      <c r="C25" s="369"/>
      <c r="E25" s="388"/>
      <c r="F25" s="389"/>
      <c r="G25" s="389"/>
      <c r="H25" s="390"/>
      <c r="J25" s="388"/>
      <c r="K25" s="389"/>
      <c r="L25" s="389"/>
      <c r="M25" s="390"/>
      <c r="O25" s="388"/>
      <c r="P25" s="389"/>
      <c r="Q25" s="389"/>
      <c r="R25" s="390"/>
      <c r="T25" s="388"/>
      <c r="U25" s="389"/>
      <c r="V25" s="389"/>
      <c r="W25" s="390"/>
      <c r="Y25" s="388"/>
      <c r="Z25" s="389"/>
      <c r="AA25" s="389"/>
      <c r="AB25" s="390"/>
      <c r="AD25" s="369"/>
    </row>
    <row r="26" spans="3:35">
      <c r="E26" s="391" t="s">
        <v>83</v>
      </c>
      <c r="F26" s="391"/>
      <c r="G26" s="392" t="s">
        <v>8</v>
      </c>
      <c r="H26" s="392"/>
      <c r="J26" s="391" t="s">
        <v>83</v>
      </c>
      <c r="K26" s="391"/>
      <c r="L26" s="392" t="s">
        <v>8</v>
      </c>
      <c r="M26" s="392"/>
      <c r="O26" s="391" t="s">
        <v>83</v>
      </c>
      <c r="P26" s="391"/>
      <c r="Q26" s="392" t="s">
        <v>8</v>
      </c>
      <c r="R26" s="392"/>
      <c r="T26" s="391" t="s">
        <v>83</v>
      </c>
      <c r="U26" s="391"/>
      <c r="V26" s="392" t="s">
        <v>8</v>
      </c>
      <c r="W26" s="392"/>
      <c r="Y26" s="391" t="s">
        <v>83</v>
      </c>
      <c r="Z26" s="391"/>
      <c r="AA26" s="392" t="s">
        <v>8</v>
      </c>
      <c r="AB26" s="392"/>
    </row>
    <row r="27" spans="3:35" ht="15.75">
      <c r="C27" s="37" t="s">
        <v>10</v>
      </c>
      <c r="E27" s="254">
        <f>COUNTIFS(General!F:F, "IP CERRADA", General!K:K, "G DICLEMENTE", General!H:H, "PTE. APROBACION", General!G:G, "IP CON ORDEN", General!O:O, "&gt;="&amp;DATE(2026,1,1), General!O:O, "&lt;="&amp;DATE(2026,1,31))</f>
        <v>0</v>
      </c>
      <c r="F27" s="38">
        <f>E27*AG5</f>
        <v>0</v>
      </c>
      <c r="G27" s="55">
        <f>COUNTIFS(General!F:F, "IP CERRADA", General!M:M, "G DICLEMENTE", General!H:H, "PTE. APROBACION", General!G:G, "IP CON ORDEN", General!O:O, "&gt;="&amp;DATE(2026,1,1), General!O:O, "&lt;="&amp;DATE(2026,1,31))</f>
        <v>0</v>
      </c>
      <c r="H27" s="42">
        <f>G27*AH5</f>
        <v>0</v>
      </c>
      <c r="J27" s="254">
        <f>COUNTIFS(General!F:F, "IP CERRADA", General!K:K, "R. FRANCO", General!H:H, "PTE. APROBACION", General!G:G, "IP CON ORDEN", General!O:O, "&gt;="&amp;DATE(2026,1,1), General!O:O, "&lt;="&amp;DATE(2026,1,31))</f>
        <v>0</v>
      </c>
      <c r="K27" s="38">
        <f>J27*AG5</f>
        <v>0</v>
      </c>
      <c r="L27" s="41">
        <f>COUNTIFS(General!F:F, "IP CERRADA", General!M:M, "R. FRANCO", General!H:H, "PTE. APROBACION", General!G:G, "IP CON ORDEN", General!O:O, "&gt;="&amp;DATE(2026,1,1), General!O:O, "&lt;="&amp;DATE(2026,1,31))</f>
        <v>0</v>
      </c>
      <c r="M27" s="42">
        <f>L27*AH5</f>
        <v>0</v>
      </c>
      <c r="O27" s="254">
        <f>COUNTIFS(General!F:F, "IP CERRADA", General!K:K, "R ARIN", General!H:H, "PTE. APROBACION", General!G:G, "IP CON ORDEN", General!O:O, "&gt;="&amp;DATE(2026,1,1), General!O:O, "&lt;="&amp;DATE(2026,1,31))</f>
        <v>0</v>
      </c>
      <c r="P27" s="38">
        <f>O27*AG5</f>
        <v>0</v>
      </c>
      <c r="Q27" s="41">
        <f>COUNTIFS(General!F:F, "IP CERRADA", General!M:M, "R ARIN", General!H:H, "PTE. APROBACION", General!G:G, "IP CON ORDEN", General!O:O, "&gt;="&amp;DATE(2026,1,1), General!O:O, "&lt;="&amp;DATE(2026,1,31))</f>
        <v>0</v>
      </c>
      <c r="R27" s="42">
        <f>Q27*AH5</f>
        <v>0</v>
      </c>
      <c r="T27" s="254">
        <f>COUNTIFS(General!F:F, "IP CERRADA", General!K:K, "C. CRIBARI", General!H:H, "PTE. APROBACION", General!G:G, "IP CON ORDEN", General!O:O, "&gt;="&amp;DATE(2026,1,1), General!O:O, "&lt;="&amp;DATE(2026,1,31)) + COUNTIFS(General!F:F, "PARA FACTURAR", General!K:K, "C. CRIBARI", General!G:G, "IP CON ORDEN", General!O:O, "&gt;="&amp;DATE(2026,1,1), General!O:O, "&lt;="&amp;DATE(2026,1,31))</f>
        <v>0</v>
      </c>
      <c r="U27" s="38">
        <f>T27*AG5</f>
        <v>0</v>
      </c>
      <c r="V27" s="41">
        <f>COUNTIFS(General!F:F, "IP CERRADA", General!M:M, "C. CRIBARI", General!H:H, "PTE. APROBACION", General!G:G, "IP CON ORDEN", General!O:O, "&gt;="&amp;DATE(2026,1,1), General!O:O, "&lt;="&amp;DATE(2026,1,31)) + COUNTIFS(General!F:F, "PARA FACTURAR", General!M:M, "C. CRIBARI", General!H:H, "EN TRAMITE", General!G:G, "IP CON ORDEN")</f>
        <v>0</v>
      </c>
      <c r="W27" s="42">
        <f>V27*AH5</f>
        <v>0</v>
      </c>
      <c r="Y27" s="254">
        <f>COUNTIFS(General!F:F, "IP CERRADA", General!K:K, "E DZYHAJLO", General!H:H, "PTE. APROBACION", General!G:G, "IP CON ORDEN", General!O:O, "&gt;="&amp;DATE(2026,1,1), General!O:O, "&lt;="&amp;DATE(2026,1,31))</f>
        <v>0</v>
      </c>
      <c r="Z27" s="38">
        <f>Y27*AG5</f>
        <v>0</v>
      </c>
      <c r="AA27" s="41"/>
      <c r="AB27" s="42">
        <f>AA27*AH5</f>
        <v>0</v>
      </c>
      <c r="AD27" s="37" t="s">
        <v>10</v>
      </c>
    </row>
    <row r="28" spans="3:35" ht="15.75">
      <c r="C28" s="261" t="s">
        <v>15</v>
      </c>
      <c r="E28" s="39">
        <f>COUNTIFS(General!F:F, "IP CERRADA", General!K:K, "G DICLEMENTE", General!H:H, "PTE. APROBACION", General!G:G, "POSIBLE DT", General!O:O, "&gt;="&amp;DATE(2026,1,1), General!O:O, "&lt;="&amp;DATE(2026,1,31))</f>
        <v>0</v>
      </c>
      <c r="F28" s="53">
        <f>E28*AG7</f>
        <v>0</v>
      </c>
      <c r="G28" s="43">
        <f>COUNTIFS(General!F:F, "IP CERRADA", General!M:M, "G DICLEMENTE", General!H:H, "PTE. APROBACION", General!G:G, "POSIBLE DT", General!O:O, "&gt;="&amp;DATE(2026,1,1), General!O:O, "&lt;="&amp;DATE(2026,1,31))</f>
        <v>0</v>
      </c>
      <c r="H28" s="54">
        <f>G28*AH7</f>
        <v>0</v>
      </c>
      <c r="J28" s="39">
        <f>COUNTIFS(General!F:F, "IP CERRADA", General!K:K, "R. FRANCO", General!H:H, "PTE. APROBACION", General!G:G, "POSIBLE DT", General!O:O, "&gt;="&amp;DATE(2026,1,1), General!O:O, "&lt;="&amp;DATE(2026,1,31))</f>
        <v>0</v>
      </c>
      <c r="K28" s="40">
        <f>J28*AG7</f>
        <v>0</v>
      </c>
      <c r="L28" s="43">
        <f>COUNTIFS(General!F:F, "IP CERRADA", General!M:M, "R. FRANCO", General!H:H, "PTE. APROBACION", General!G:G, "POSIBLE DT", General!O:O, "&gt;="&amp;DATE(2026,1,1), General!O:O, "&lt;="&amp;DATE(2026,1,31))</f>
        <v>0</v>
      </c>
      <c r="M28" s="44">
        <f>L28*AH7</f>
        <v>0</v>
      </c>
      <c r="O28" s="39">
        <f>COUNTIFS(General!F:F, "IP CERRADA", General!K:K, "R ARIN", General!H:H, "PTE. APROBACION", General!G:G, "POSIBLE DT", General!O:O, "&gt;="&amp;DATE(2026,1,1), General!O:O, "&lt;="&amp;DATE(2026,1,31))</f>
        <v>0</v>
      </c>
      <c r="P28" s="40">
        <f>O28*AG7</f>
        <v>0</v>
      </c>
      <c r="Q28" s="43">
        <f>COUNTIFS(General!F:F, "IP CERRADA", General!M:M, "R ARIN", General!H:H, "PTE. APROBACION", General!G:G, "POSIBLE DT", General!O:O, "&gt;="&amp;DATE(2026,1,1), General!O:O, "&lt;="&amp;DATE(2026,1,31))</f>
        <v>0</v>
      </c>
      <c r="R28" s="44">
        <f>Q28*AH7</f>
        <v>0</v>
      </c>
      <c r="T28" s="39">
        <f>COUNTIFS(General!F:F, "IP CERRADA", General!K:K, "C. CRIBARI", General!H:H, "PTE. APROBACION", General!G:G, "POSIBLE DT", General!O:O, "&gt;="&amp;DATE(2026,1,1), General!O:O, "&lt;="&amp;DATE(2026,1,31)) + COUNTIFS(General!F:F, "PARA FACTURAR", General!K:K, "C. CRIBARI", General!G:G, "POSIBLE DT", General!O:O, "&gt;="&amp;DATE(2026,1,1), General!O:O, "&lt;="&amp;DATE(2026,1,31))</f>
        <v>0</v>
      </c>
      <c r="U28" s="40">
        <f>T28*AG7</f>
        <v>0</v>
      </c>
      <c r="V28" s="43">
        <f>COUNTIFS(General!F:F, "IP CERRADA", General!M:M, "C. CRIBARI", General!H:H, "PTE. APROBACION", General!G:G, "POSIBLE DT", General!O:O, "&gt;="&amp;DATE(2026,1,1), General!O:O, "&lt;="&amp;DATE(2026,1,31)) + COUNTIFS(General!F:F, "PARA FACTURAR", General!M:M, "C. CRIBARI", General!H:H, "EN TRAMITE", General!G:G, "POSIBLE DT", General!O:O, "&gt;="&amp;DATE(2026,1,1), General!O:O, "&lt;="&amp;DATE(2026,1,31))</f>
        <v>0</v>
      </c>
      <c r="W28" s="44">
        <f>V28*AH7</f>
        <v>0</v>
      </c>
      <c r="Y28" s="39">
        <f>COUNTIFS(General!F:F, "IP CERRADA", General!K:K, "E DZYHAJLO", General!H:H, "PTE. APROBACION", General!G:G, "POSIBLE DT", General!O:O, "&gt;="&amp;DATE(2026,1,1), General!O:O, "&lt;="&amp;DATE(2026,1,31))</f>
        <v>0</v>
      </c>
      <c r="Z28" s="40">
        <f>Y28*AG7</f>
        <v>0</v>
      </c>
      <c r="AA28" s="43"/>
      <c r="AB28" s="44">
        <f>AA28*AH7</f>
        <v>0</v>
      </c>
      <c r="AD28" s="261" t="s">
        <v>15</v>
      </c>
    </row>
    <row r="29" spans="3:35" ht="15.75">
      <c r="C29" s="37" t="s">
        <v>18</v>
      </c>
      <c r="E29" s="254">
        <f>COUNTIFS(General!F:F, "IP CERRADA", General!K:K, "G DICLEMENTE", General!H:H, "PTE. APROBACION", General!G:G, "IP SIN ORDEN", General!O:O, "&gt;="&amp;DATE(2026,1,1), General!O:O, "&lt;="&amp;DATE(2026,1,31))</f>
        <v>0</v>
      </c>
      <c r="F29" s="38">
        <f>E29*AG8</f>
        <v>0</v>
      </c>
      <c r="G29" s="56">
        <f>COUNTIFS(General!F:F, "IP CERRADA", General!M:M, "G DICLEMENTE", General!H:H, "PTE. APROBACION", General!G:G, "IP SIN ORDEN", General!O:O, "&gt;="&amp;DATE(2026,1,1), General!O:O, "&lt;="&amp;DATE(2026,1,31))</f>
        <v>0</v>
      </c>
      <c r="H29" s="42">
        <f>G29*AH8</f>
        <v>0</v>
      </c>
      <c r="J29" s="254">
        <f>COUNTIFS(General!F:F, "IP CERRADA", General!K:K, "R. FRANCO", General!H:H, "PTE. APROBACION", General!G:G, "IP SIN ORDEN", General!O:O, "&gt;="&amp;DATE(2026,1,1), General!O:O, "&lt;="&amp;DATE(2026,1,31))</f>
        <v>0</v>
      </c>
      <c r="K29" s="38">
        <f>J29*AG8</f>
        <v>0</v>
      </c>
      <c r="L29" s="41">
        <f>COUNTIFS(General!F:F, "IP CERRADA", General!M:M, "R. FRANCO", General!H:H, "PTE. APROBACION", General!G:G, "IP SIN ORDEN", General!O:O, "&gt;="&amp;DATE(2026,1,1), General!O:O, "&lt;="&amp;DATE(2026,1,31))</f>
        <v>0</v>
      </c>
      <c r="M29" s="42">
        <f>L29*AH8</f>
        <v>0</v>
      </c>
      <c r="O29" s="254">
        <f>COUNTIFS(General!F:F, "IP CERRADA", General!K:K, "R ARIN", General!H:H, "PTE. APROBACION", General!G:G, "IP SIN ORDEN", General!O:O, "&gt;="&amp;DATE(2026,1,1), General!O:O, "&lt;="&amp;DATE(2026,1,31))</f>
        <v>0</v>
      </c>
      <c r="P29" s="38">
        <f>O29*AG8</f>
        <v>0</v>
      </c>
      <c r="Q29" s="41">
        <f>COUNTIFS(General!F:F, "IP CERRADA", General!M:M, "R ARIN", General!H:H, "PTE. APROBACION", General!G:G, "IP SIN ORDEN", General!O:O, "&gt;="&amp;DATE(2026,1,1), General!O:O, "&lt;="&amp;DATE(2026,1,31))</f>
        <v>0</v>
      </c>
      <c r="R29" s="42">
        <f>Q29*AH8</f>
        <v>0</v>
      </c>
      <c r="T29" s="254">
        <f>COUNTIFS(General!F:F, "IP CERRADA", General!K:K, "C. CRIBARI", General!H:H, "PTE. APROBACION", General!G:G, "IP SIN ORDEN", General!O:O, "&gt;="&amp;DATE(2026,1,1), General!O:O, "&lt;="&amp;DATE(2026,1,31)) + COUNTIFS(General!F:F, "PARA FACTURAR", General!K:K, "C. CRIBARI", General!G:G, "IP SIN ORDEN", General!O:O, "&gt;="&amp;DATE(2026,1,1), General!O:O, "&lt;="&amp;DATE(2026,1,31))</f>
        <v>0</v>
      </c>
      <c r="U29" s="38">
        <f>T29*AG8</f>
        <v>0</v>
      </c>
      <c r="V29" s="41">
        <f>COUNTIFS(General!F:F, "IP CERRADA", General!M:M, "C. CRIBARI", General!H:H, "PTE. APROBACION", General!G:G, "IP SIN ORDEN", General!O:O, "&gt;="&amp;DATE(2026,1,1), General!O:O, "&lt;="&amp;DATE(2026,1,31)) + COUNTIFS(General!F:F, "PARA FACTURAR", General!M:M, "C. CRIBARI", General!H:H, "EN TRAMITE", General!G:G, "IP SIN ORDEN", General!O:O, "&gt;="&amp;DATE(2026,1,1), General!O:O, "&lt;="&amp;DATE(2026,1,31))</f>
        <v>0</v>
      </c>
      <c r="W29" s="42">
        <f>V29*AH8</f>
        <v>0</v>
      </c>
      <c r="Y29" s="254">
        <f>COUNTIFS(General!F:F, "IP CERRADA", General!K:K, "E DZYHAJLO", General!H:H, "PTE. APROBACION", General!G:G, "IP SIN ORDEN", General!O:O, "&gt;="&amp;DATE(2026,1,1), General!O:O, "&lt;="&amp;DATE(2026,1,31))</f>
        <v>0</v>
      </c>
      <c r="Z29" s="38">
        <f>Y29*AG8</f>
        <v>0</v>
      </c>
      <c r="AA29" s="41"/>
      <c r="AB29" s="42">
        <f>AA29*AH8</f>
        <v>0</v>
      </c>
      <c r="AD29" s="37" t="s">
        <v>18</v>
      </c>
    </row>
    <row r="30" spans="3:35" ht="15.75">
      <c r="C30" s="261" t="s">
        <v>21</v>
      </c>
      <c r="E30" s="39">
        <f>COUNTIFS(General!F:F, "IP CERRADA", General!K:K, "G DICLEMENTE", General!H:H, "PTE. APROBACION", General!G:G, "AMPLIACION", General!O:O, "&gt;="&amp;DATE(2026,1,1), General!O:O, "&lt;="&amp;DATE(2026,1,31))</f>
        <v>0</v>
      </c>
      <c r="F30" s="40">
        <f>E30*AG9</f>
        <v>0</v>
      </c>
      <c r="G30" s="43">
        <f>COUNTIFS(General!F:F, "IP CERRADA", General!M:M, "G DICLEMENTE", General!H:H, "PTE. APROBACION", General!G:G, "AMPLIACION", General!O:O, "&gt;="&amp;DATE(2026,1,1), General!O:O, "&lt;="&amp;DATE(2026,1,31))</f>
        <v>0</v>
      </c>
      <c r="H30" s="44">
        <f>G30*AH9</f>
        <v>0</v>
      </c>
      <c r="J30" s="39">
        <f>COUNTIFS(General!F:F, "IP CERRADA", General!K:K, "R. FRANCO", General!H:H, "PTE. APROBACION", General!G:G, "AMPLIACION", General!O:O, "&gt;="&amp;DATE(2026,1,1), General!O:O, "&lt;="&amp;DATE(2026,1,31))</f>
        <v>0</v>
      </c>
      <c r="K30" s="40">
        <f>J30*AG9</f>
        <v>0</v>
      </c>
      <c r="L30" s="43">
        <f>COUNTIFS(General!F:F, "IP CERRADA", General!M:M, "R. FRANCO", General!H:H, "PTE. APROBACION", General!G:G, "AMPLIACION", General!O:O, "&gt;="&amp;DATE(2026,1,1), General!O:O, "&lt;="&amp;DATE(2026,1,31))</f>
        <v>0</v>
      </c>
      <c r="M30" s="44">
        <f>L30*AH9</f>
        <v>0</v>
      </c>
      <c r="O30" s="39">
        <f>COUNTIFS(General!F:F, "IP CERRADA", General!K:K, "R ARIN", General!H:H, "PTE. APROBACION", General!G:G, "AMPLIACION", General!O:O, "&gt;="&amp;DATE(2026,1,1), General!O:O, "&lt;="&amp;DATE(2026,1,31))</f>
        <v>0</v>
      </c>
      <c r="P30" s="40">
        <f>O30*AG9</f>
        <v>0</v>
      </c>
      <c r="Q30" s="43">
        <f>COUNTIFS(General!F:F, "IP CERRADA", General!M:M, "R ARIN", General!H:H, "PTE. APROBACION", General!G:G, "AMPLIACION", General!O:O, "&gt;="&amp;DATE(2026,1,1), General!O:O, "&lt;="&amp;DATE(2026,1,31))</f>
        <v>0</v>
      </c>
      <c r="R30" s="44">
        <f>Q30*AH9</f>
        <v>0</v>
      </c>
      <c r="T30" s="39">
        <f>COUNTIFS(General!F:F, "IP CERRADA", General!K:K, "C. CRIBARI", General!H:H, "PTE. APROBACION", General!G:G, "AMPLIACION", General!O:O, "&gt;="&amp;DATE(2026,1,1), General!O:O, "&lt;="&amp;DATE(2026,1,31)) + COUNTIFS(General!F:F, "PARA FACTURAR", General!K:K, "C. CRIBARI", General!G:G, "AMPLIACION", General!O:O, "&gt;="&amp;DATE(2026,1,1), General!O:O, "&lt;="&amp;DATE(2026,1,31))</f>
        <v>0</v>
      </c>
      <c r="U30" s="40">
        <f>T30*AG9</f>
        <v>0</v>
      </c>
      <c r="V30" s="43">
        <f>COUNTIFS(General!F:F, "IP SIN ORDEN", General!M:M, "C. CRIBARI", General!H:H, "PTE. APROBACION", General!G:G, "AMPLIACION", General!O:O, "&gt;="&amp;DATE(2026,1,1), General!O:O, "&lt;="&amp;DATE(2026,1,31)) + COUNTIFS(General!F:F, "PARA FACTURAR", General!M:M, "C. CRIBARI", General!H:H, "EN TRAMITE", General!G:G, "AMPLIACION", General!O:O, "&gt;="&amp;DATE(2026,1,1), General!O:O, "&lt;="&amp;DATE(2026,1,31))</f>
        <v>0</v>
      </c>
      <c r="W30" s="44">
        <f>V30*AH9</f>
        <v>0</v>
      </c>
      <c r="Y30" s="39">
        <f>COUNTIFS(General!F:F, "IP CERRADA", General!K:K, "E DZYHAJLO", General!H:H, "PTE. APROBACION", General!G:G, "AMPLIACION", General!O:O, "&gt;="&amp;DATE(2026,1,1), General!O:O, "&lt;="&amp;DATE(2026,1,31))</f>
        <v>0</v>
      </c>
      <c r="Z30" s="40">
        <f>Y30*AG9</f>
        <v>0</v>
      </c>
      <c r="AA30" s="43"/>
      <c r="AB30" s="44">
        <f>AA30*AH9</f>
        <v>0</v>
      </c>
      <c r="AD30" s="261" t="s">
        <v>21</v>
      </c>
    </row>
    <row r="31" spans="3:35" ht="15.75">
      <c r="C31" s="37" t="s">
        <v>24</v>
      </c>
      <c r="E31" s="254"/>
      <c r="F31" s="38"/>
      <c r="G31" s="41">
        <f>COUNTIFS(General!F:F, "IP CERRADA", General!M:M, "G DICLEMENTE", General!H:H, "PTE. APROBACION", General!G:G, "ENVIO DE ORDEN", General!O:O, "&gt;="&amp;DATE(2026,1,1), General!O:O, "&lt;="&amp;DATE(2026,1,31))</f>
        <v>0</v>
      </c>
      <c r="H31" s="42">
        <f>G31*AH10</f>
        <v>0</v>
      </c>
      <c r="J31" s="254"/>
      <c r="K31" s="38"/>
      <c r="L31" s="41">
        <f>COUNTIFS(General!F:F, "IP CERRADA", General!M:M, "R. FRANCO", General!H:H, "PTE. APROBACION", General!G:G, "ENVIO DE ORDEN", General!O:O, "&gt;="&amp;DATE(2026,1,1), General!O:O, "&lt;="&amp;DATE(2026,1,31))</f>
        <v>0</v>
      </c>
      <c r="M31" s="42">
        <f>L31*AH10</f>
        <v>0</v>
      </c>
      <c r="O31" s="254"/>
      <c r="P31" s="38"/>
      <c r="Q31" s="41">
        <f>COUNTIFS(General!F:F, "IP CERRADA", General!M:M, "R ARIN", General!H:H, "PTE. APROBACION", General!G:G, "ENVIO DE ORDEN", General!O:O, "&gt;="&amp;DATE(2026,1,1), General!O:O, "&lt;="&amp;DATE(2026,1,31))</f>
        <v>0</v>
      </c>
      <c r="R31" s="42">
        <f>Q31*AH10</f>
        <v>0</v>
      </c>
      <c r="T31" s="254"/>
      <c r="U31" s="38"/>
      <c r="V31" s="41">
        <f>COUNTIFS(General!P:P, "IP SIN ORDEN", General!AC:AC, "J. FERLANTI", General!R:R, "PTE. APROBACION", General!Q:Q, "ENVIO DE ORDEN", General!AE:AE, "&gt;="&amp;DATE(2024,5,1), General!AE:AE, "&lt;="&amp;DATE(2024,5,31)) + COUNTIFS(General!P:P, "PARA FACTURAR", General!AC:AC, "J. FERLANTI", General!R:R, "EN TRAMITE", General!Q:Q, "ENVIO DE ORDEN", General!AE:AE, "&gt;="&amp;DATE(2024,5,1), General!AE:AE, "&lt;="&amp;DATE(2024,5,31))</f>
        <v>0</v>
      </c>
      <c r="W31" s="42">
        <f>V31*AH10</f>
        <v>0</v>
      </c>
      <c r="Y31" s="254"/>
      <c r="Z31" s="38"/>
      <c r="AA31" s="41"/>
      <c r="AB31" s="42">
        <f>AA31*AH10</f>
        <v>0</v>
      </c>
      <c r="AD31" s="37" t="s">
        <v>24</v>
      </c>
    </row>
    <row r="32" spans="3:35" ht="15.75">
      <c r="C32" s="261" t="s">
        <v>29</v>
      </c>
      <c r="E32" s="39">
        <f>COUNTIFS(General!F:F, "IP CERRADA", General!K:K, "G DICLEMENTE", General!H:H, "PTE. APROBACION", General!G:G, "IP CAMIONES", General!O:O, "&gt;="&amp;DATE(2026,1,1), General!O:O, "&lt;="&amp;DATE(2026,1,31))</f>
        <v>0</v>
      </c>
      <c r="F32" s="40">
        <f>E32*AG15</f>
        <v>0</v>
      </c>
      <c r="G32" s="43">
        <f>COUNTIFS(General!F:F, "IP CERRADA", General!M:M, "G DICLEMENTE", General!H:H, "PTE. APROBACION", General!G:G, "IP CAMIONES", General!O:O, "&gt;="&amp;DATE(2026,1,1), General!O:O, "&lt;="&amp;DATE(2026,1,31))</f>
        <v>0</v>
      </c>
      <c r="H32" s="44">
        <f>G32*AH15</f>
        <v>0</v>
      </c>
      <c r="J32" s="39">
        <f>COUNTIFS(General!F:F, "IP CERRADA", General!K:K, "R. FRANCO", General!H:H, "PTE. APROBACION", General!G:G, "IP CAMIONES", General!O:O, "&gt;="&amp;DATE(2026,1,1), General!O:O, "&lt;="&amp;DATE(2026,1,31))</f>
        <v>0</v>
      </c>
      <c r="K32" s="40">
        <f>J32*AG15</f>
        <v>0</v>
      </c>
      <c r="L32" s="43">
        <f>COUNTIFS(General!F:F, "IP CERRADA", General!M:M, "R. FRANCO", General!H:H, "PTE. APROBACION", General!G:G, "IP CAMIONES", General!O:O, "&gt;="&amp;DATE(2026,1,1), General!O:O, "&lt;="&amp;DATE(2026,1,31))</f>
        <v>0</v>
      </c>
      <c r="M32" s="44">
        <f>L32*AH15</f>
        <v>0</v>
      </c>
      <c r="O32" s="39">
        <f>COUNTIFS(General!F:F, "IP CERRADA", General!K:K, "R ARIN", General!H:H, "PTE. APROBACION", General!G:G, "IP CAMIONES", General!O:O, "&gt;="&amp;DATE(2026,1,1), General!O:O, "&lt;="&amp;DATE(2026,1,31))</f>
        <v>0</v>
      </c>
      <c r="P32" s="40">
        <f>O32*AG15</f>
        <v>0</v>
      </c>
      <c r="Q32" s="43">
        <f>COUNTIFS(General!F:F, "IP CERRADA", General!M:M, "R ARIN", General!H:H, "PTE. APROBACION", General!G:G, "IP CAMIONES", General!O:O, "&gt;="&amp;DATE(2026,1,1), General!O:O, "&lt;="&amp;DATE(2026,1,31))</f>
        <v>0</v>
      </c>
      <c r="R32" s="44">
        <f>Q32*AH15</f>
        <v>0</v>
      </c>
      <c r="T32" s="39">
        <f>COUNTIFS(General!F:F, "IP CERRADA", General!K:K, "C. CRIBARI", General!H:H, "PTE. APROBACION", General!G:G, "IP CAMIONES", General!O:O, "&gt;="&amp;DATE(2026,1,1), General!O:O, "&lt;="&amp;DATE(2026,1,31)) + COUNTIFS(General!F:F, "PARA FACTURAR", General!K:K, "C. CRIBARI", General!G:G, "IP CAMIONES", General!O:O, "&gt;="&amp;DATE(2026,1,1), General!O:O, "&lt;="&amp;DATE(2026,1,31))</f>
        <v>0</v>
      </c>
      <c r="U32" s="40">
        <f>T32*AG15</f>
        <v>0</v>
      </c>
      <c r="V32" s="43">
        <f>COUNTIFS(General!P:P, "IP CERRADA", General!AC:AC, "J. FERLANTI", General!R:R, "PTE. APROBACION", General!Q:Q, "IP CAMIONES", General!AE:AE, "&gt;="&amp;DATE(2024,5,1), General!AE:AE, "&lt;="&amp;DATE(2024,5,31))</f>
        <v>0</v>
      </c>
      <c r="W32" s="44">
        <f>V32*AH15</f>
        <v>0</v>
      </c>
      <c r="Y32" s="39">
        <f>COUNTIFS(General!F:F, "IP CERRADA", General!K:K, "E DZYHAJLO", General!H:H, "PTE. APROBACION", General!G:G, "IP CAMIONES", General!O:O, "&gt;="&amp;DATE(2026,1,1), General!O:O, "&lt;="&amp;DATE(2026,1,31))</f>
        <v>0</v>
      </c>
      <c r="Z32" s="40">
        <f>Y32*AG15</f>
        <v>0</v>
      </c>
      <c r="AA32" s="43"/>
      <c r="AB32" s="44">
        <f>AA32*AH15</f>
        <v>0</v>
      </c>
      <c r="AD32" s="261" t="s">
        <v>29</v>
      </c>
    </row>
    <row r="33" spans="3:30" ht="15.75">
      <c r="C33" s="37" t="s">
        <v>30</v>
      </c>
      <c r="E33" s="254">
        <f>COUNTIFS(General!F:F, "IP CERRADA", General!K:K, "G DICLEMENTE", General!H:H, "PTE. APROBACION", General!G:G, "TERCEROS", General!O:O, "&gt;="&amp;DATE(2024,3,1), General!O:O, "&gt;="&amp;DATE(2026,1,1), General!O:O, "&lt;="&amp;DATE(2026,1,31))</f>
        <v>0</v>
      </c>
      <c r="F33" s="38">
        <f>E33*AG12</f>
        <v>0</v>
      </c>
      <c r="G33" s="41">
        <f>COUNTIFS(General!F:F, "IP CERRADA", General!M:M, "G DICLEMENTE", General!H:H, "PTE. APROBACION", General!G:G, "TERCEROS", General!O:O, "&gt;="&amp;DATE(2026,1,1), General!O:O, "&lt;="&amp;DATE(2026,1,31))</f>
        <v>0</v>
      </c>
      <c r="H33" s="42">
        <f>G33*AH12</f>
        <v>0</v>
      </c>
      <c r="J33" s="254">
        <f>COUNTIFS(General!F:F, "IP CERRADA", General!K:K, "R. FRANCO", General!H:H, "PTE. APROBACION", General!G:G, "TERCEROS", General!O:O, "&gt;="&amp;DATE(2024,3,1), General!O:O, "&gt;="&amp;DATE(2026,1,1), General!O:O, "&lt;="&amp;DATE(2026,1,31))</f>
        <v>0</v>
      </c>
      <c r="K33" s="38">
        <f>J33*AG12</f>
        <v>0</v>
      </c>
      <c r="L33" s="41">
        <f>COUNTIFS(General!F:F, "IP CERRADA", General!M:M, "R. FRANCO", General!H:H, "PTE. APROBACION", General!G:G, "TERCEROS", General!O:O, "&gt;="&amp;DATE(2026,1,1), General!O:O, "&lt;="&amp;DATE(2026,1,31))</f>
        <v>0</v>
      </c>
      <c r="M33" s="42">
        <f>L33*AH12</f>
        <v>0</v>
      </c>
      <c r="O33" s="254">
        <f>COUNTIFS(General!F:F, "IP CERRADA", General!K:K, "R ARIN", General!H:H, "PTE. APROBACION", General!G:G, "TERCEROS", General!O:O, "&gt;="&amp;DATE(2024,3,1), General!O:O, "&gt;="&amp;DATE(2026,1,1), General!O:O, "&lt;="&amp;DATE(2026,1,31))</f>
        <v>0</v>
      </c>
      <c r="P33" s="38">
        <f>O33*AG12</f>
        <v>0</v>
      </c>
      <c r="Q33" s="41">
        <f>COUNTIFS(General!F:F, "IP CERRADA", General!M:M, "R ARIN", General!H:H, "PTE. APROBACION", General!G:G, "TERCEROS", General!O:O, "&gt;="&amp;DATE(2026,1,1), General!O:O, "&lt;="&amp;DATE(2026,1,31))</f>
        <v>0</v>
      </c>
      <c r="R33" s="42">
        <f>Q33*AH12</f>
        <v>0</v>
      </c>
      <c r="T33" s="254">
        <f>COUNTIFS(General!F:F, "IP CERRADA", General!K:K, "C. CRIBARI", General!H:H, "PTE. APROBACION", General!G:G, "TERCEROS", General!O:O, "&gt;="&amp;DATE(2024,3,1), General!O:O, "&gt;="&amp;DATE(2026,1,1), General!O:O, "&lt;="&amp;DATE(2026,1,31)) + COUNTIFS(General!F:F, "PARA FACTURAR", General!K:K, "C. CRIBARI", General!G:G, "TERCEROS", General!O:O, "&gt;="&amp;DATE(2026,1,1), General!O:O, "&lt;="&amp;DATE(2026,1,31))</f>
        <v>0</v>
      </c>
      <c r="U33" s="38">
        <f>T33*AG12</f>
        <v>0</v>
      </c>
      <c r="V33" s="41">
        <f>COUNTIFS(General!F:F, "IP CERRADA", General!M:M, "J. FERLANTI", General!H:H, "PTE. APROBACION", General!G:G, "IP CAMIONES", General!O:O, "&gt;="&amp;DATE(2026,1,1), General!O:O, "&lt;="&amp;DATE(2026,1,31))</f>
        <v>0</v>
      </c>
      <c r="W33" s="42">
        <f>V33*AH12</f>
        <v>0</v>
      </c>
      <c r="Y33" s="254">
        <f>COUNTIFS(General!F:F, "IP CERRADA", General!K:K, "E DZYHAJLO", General!H:H, "PTE. APROBACION", General!G:G, "TERCEROS", General!O:O, "&gt;="&amp;DATE(2024,3,1), General!O:O, "&gt;="&amp;DATE(2026,1,1), General!O:O, "&lt;="&amp;DATE(2026,1,31))</f>
        <v>0</v>
      </c>
      <c r="Z33" s="38">
        <f>Y33*AG12</f>
        <v>0</v>
      </c>
      <c r="AA33" s="41"/>
      <c r="AB33" s="42">
        <f>AA33*AH12</f>
        <v>0</v>
      </c>
      <c r="AD33" s="37" t="s">
        <v>30</v>
      </c>
    </row>
    <row r="34" spans="3:30" ht="15.75">
      <c r="C34" s="261" t="s">
        <v>32</v>
      </c>
      <c r="E34" s="39"/>
      <c r="F34" s="40"/>
      <c r="G34" s="43">
        <f>COUNTIFS(General!F:F, "IP CERRADA", General!M:M, "G DICLEMENTE", General!H:H, "PTE. APROBACION", General!G:G, "FOTOS", General!O:O, "&gt;="&amp;DATE(2026,1,1), General!O:O, "&lt;="&amp;DATE(2026,1,31))</f>
        <v>0</v>
      </c>
      <c r="H34" s="44">
        <f>G34*AH13</f>
        <v>0</v>
      </c>
      <c r="J34" s="39"/>
      <c r="K34" s="40"/>
      <c r="L34" s="43">
        <f>COUNTIFS(General!F:F, "IP CERRADA", General!M:M, "R. FRANCO", General!H:H, "PTE. APROBACION", General!G:G, "FOTOS", General!O:O, "&gt;="&amp;DATE(2026,1,1), General!O:O, "&lt;="&amp;DATE(2026,1,31))</f>
        <v>0</v>
      </c>
      <c r="M34" s="44">
        <f>L34*AH13</f>
        <v>0</v>
      </c>
      <c r="O34" s="39"/>
      <c r="P34" s="40"/>
      <c r="Q34" s="43">
        <f>COUNTIFS(General!F:F, "IP CERRADA", General!M:M, "R ARIN", General!H:H, "PTE. APROBACION", General!G:G, "FOTOS", General!O:O, "&gt;="&amp;DATE(2026,1,1), General!O:O, "&lt;="&amp;DATE(2026,1,31))</f>
        <v>0</v>
      </c>
      <c r="R34" s="44">
        <f>Q34*AH13</f>
        <v>0</v>
      </c>
      <c r="T34" s="39"/>
      <c r="U34" s="40"/>
      <c r="V34" s="43">
        <f>COUNTIFS(General!P:P, "IP SIN ORDEN", General!AC:AC, "J. FERLANTI", General!R:R, "PTE. APROBACION", General!Q:Q, "FOTOS", General!AE:AE, "&gt;="&amp;DATE(2024,5,1), General!AE:AE, "&lt;="&amp;DATE(2024,5,31)) + COUNTIFS(General!P:P, "PARA FACTURAR", General!AC:AC, "J. FERLANTI", General!R:R, "EN TRAMITE", General!Q:Q, "FOTOS", General!AE:AE, "&gt;="&amp;DATE(2024,5,1), General!AE:AE, "&lt;="&amp;DATE(2024,5,31))</f>
        <v>0</v>
      </c>
      <c r="W34" s="44">
        <f>V34*AH13</f>
        <v>0</v>
      </c>
      <c r="Y34" s="39"/>
      <c r="Z34" s="40"/>
      <c r="AA34" s="43"/>
      <c r="AB34" s="44">
        <f>AA34*AH13</f>
        <v>0</v>
      </c>
      <c r="AD34" s="261" t="s">
        <v>32</v>
      </c>
    </row>
    <row r="35" spans="3:30" ht="15.75">
      <c r="C35" s="37" t="s">
        <v>34</v>
      </c>
      <c r="E35" s="254">
        <f>COUNTIFS(General!F:F, "IP CERRADA", General!K:K, "G DICLEMENTE", General!H:H, "PTE. APROBACION", General!G:G, "IP REMOTA", General!O:O, "&gt;="&amp;DATE(2026,1,1), General!O:O, "&lt;="&amp;DATE(2026,1,31))</f>
        <v>0</v>
      </c>
      <c r="F35" s="38">
        <f>E35*AG14</f>
        <v>0</v>
      </c>
      <c r="G35" s="41">
        <f>COUNTIFS(General!F:F, "IP CERRADA", General!M:M, "G DICLEMENTE", General!H:H, "PTE. APROBACION", General!G:G, "IP REMOTA", General!O:O, "&gt;="&amp;DATE(2026,1,1), General!O:O, "&lt;="&amp;DATE(2026,1,31))</f>
        <v>0</v>
      </c>
      <c r="H35" s="42">
        <f>G35*AH14</f>
        <v>0</v>
      </c>
      <c r="J35" s="254">
        <f>COUNTIFS(General!F:F, "IP CERRADA", General!K:K, "R. FRANCO", General!H:H, "PTE. APROBACION", General!G:G, "IP REMOTA", General!O:O, "&gt;="&amp;DATE(2026,1,1), General!O:O, "&lt;="&amp;DATE(2026,1,31))</f>
        <v>0</v>
      </c>
      <c r="K35" s="38">
        <f>J35*AG14</f>
        <v>0</v>
      </c>
      <c r="L35" s="41">
        <f>COUNTIFS(General!F:F, "IP CERRADA", General!M:M, "R. FRANCO", General!H:H, "PTE. APROBACION", General!G:G, "IP REMOTA", General!O:O, "&gt;="&amp;DATE(2026,1,1), General!O:O, "&lt;="&amp;DATE(2026,1,31))</f>
        <v>0</v>
      </c>
      <c r="M35" s="42">
        <f>L35*AH14</f>
        <v>0</v>
      </c>
      <c r="O35" s="254">
        <f>COUNTIFS(General!F:F, "IP CERRADA", General!K:K, "R ARIN", General!H:H, "PTE. APROBACION", General!G:G, "IP REMOTA", General!O:O, "&gt;="&amp;DATE(2026,1,1), General!O:O, "&lt;="&amp;DATE(2026,1,31))</f>
        <v>0</v>
      </c>
      <c r="P35" s="38">
        <f>O35*AG14</f>
        <v>0</v>
      </c>
      <c r="Q35" s="41">
        <f>COUNTIFS(General!F:F, "IP CERRADA", General!M:M, "R ARIN", General!H:H, "PTE. APROBACION", General!G:G, "IP REMOTA", General!O:O, "&gt;="&amp;DATE(2026,1,1), General!O:O, "&lt;="&amp;DATE(2026,1,31))</f>
        <v>0</v>
      </c>
      <c r="R35" s="42">
        <f>Q35*AH14</f>
        <v>0</v>
      </c>
      <c r="T35" s="254">
        <f>COUNTIFS(General!F:F, "IP CERRADA", General!K:K, "C. CRIBARI", General!H:H, "PTE. APROBACION", General!G:G, "IP REMOTA", General!O:O, "&gt;="&amp;DATE(2026,1,1), General!O:O, "&lt;="&amp;DATE(2026,1,31))</f>
        <v>0</v>
      </c>
      <c r="U35" s="38">
        <f>T35*AG14</f>
        <v>0</v>
      </c>
      <c r="V35" s="41">
        <f>COUNTIFS(General!P:P, "IP SIN ORDEN", General!AC:AC, "J. FERLANTI", General!R:R, "PTE. APROBACION", General!Q:Q, "IP REMOTA", General!AE:AE, "&gt;="&amp;DATE(2024,5,1), General!AE:AE, "&lt;="&amp;DATE(2024,5,31)) + COUNTIFS(General!P:P, "PARA FACTURAR", General!AC:AC, "J. FERLANTI", General!R:R, "EN TRAMITE", General!Q:Q, "IP REMOTA", General!AE:AE, "&gt;="&amp;DATE(2024,5,1), General!AE:AE, "&lt;="&amp;DATE(2024,5,31))</f>
        <v>0</v>
      </c>
      <c r="W35" s="42">
        <f>V35*AH14</f>
        <v>0</v>
      </c>
      <c r="Y35" s="254">
        <f>COUNTIFS(General!F:F, "IP CERRADA", General!K:K, "E DZYHAJLO", General!H:H, "PTE. APROBACION", General!G:G, "IP REMOTA", General!O:O, "&gt;="&amp;DATE(2026,1,1), General!O:O, "&lt;="&amp;DATE(2026,1,31))</f>
        <v>0</v>
      </c>
      <c r="Z35" s="38">
        <f>Y35*AG14</f>
        <v>0</v>
      </c>
      <c r="AA35" s="41"/>
      <c r="AB35" s="42">
        <f>AA35*AH14</f>
        <v>0</v>
      </c>
      <c r="AD35" s="37" t="s">
        <v>34</v>
      </c>
    </row>
    <row r="36" spans="3:30" ht="15.75">
      <c r="C36" s="261" t="s">
        <v>37</v>
      </c>
      <c r="E36" s="39"/>
      <c r="F36" s="40"/>
      <c r="G36" s="43">
        <f>COUNTIFS(General!F:F, "IP CERRADA", General!M:M, "G DICLEMENTE", General!H:H, "PTE. APROBACION", General!G:G, "IP VIRTUAL", General!O:O, "&gt;="&amp;DATE(2026,1,1), General!O:O, "&lt;="&amp;DATE(2026,1,31))</f>
        <v>0</v>
      </c>
      <c r="H36" s="44">
        <f>G36*AH16</f>
        <v>0</v>
      </c>
      <c r="J36" s="39"/>
      <c r="K36" s="40"/>
      <c r="L36" s="43">
        <f>COUNTIFS(General!F:F, "IP CERRADA", General!M:M, "R. FRANCO", General!H:H, "PTE. APROBACION", General!G:G, "IP VIRTUAL", General!O:O, "&gt;="&amp;DATE(2026,1,1), General!O:O, "&lt;="&amp;DATE(2026,1,31))</f>
        <v>0</v>
      </c>
      <c r="M36" s="44">
        <f>L36*AH16</f>
        <v>0</v>
      </c>
      <c r="O36" s="39"/>
      <c r="P36" s="40"/>
      <c r="Q36" s="43">
        <f>COUNTIFS(General!F:F, "IP CERRADA", General!M:M, "R ARIN", General!H:H, "PTE. APROBACION", General!G:G, "IP VIRTUAL", General!O:O, "&gt;="&amp;DATE(2026,1,1), General!O:O, "&lt;="&amp;DATE(2026,1,31))</f>
        <v>0</v>
      </c>
      <c r="R36" s="44">
        <f>Q36*AH16</f>
        <v>0</v>
      </c>
      <c r="T36" s="39"/>
      <c r="U36" s="40"/>
      <c r="V36" s="43">
        <f>COUNTIFS(General!P:P, "IP SIN ORDEN", General!AC:AC, "J. FERLANTI", General!R:R, "PTE. APROBACION", General!Q:Q, "IP VIRTUAL", General!AE:AE, "&gt;="&amp;DATE(2024,5,1), General!AE:AE, "&lt;="&amp;DATE(2024,5,31)) + COUNTIFS(General!P:P, "PARA FACTURAR", General!AC:AC, "J. FERLANTI", General!R:R, "EN TRAMITE", General!Q:Q, "IP VIRTUAL", General!AE:AE, "&gt;="&amp;DATE(2024,5,1), General!AE:AE, "&lt;="&amp;DATE(2024,5,31))</f>
        <v>0</v>
      </c>
      <c r="W36" s="44">
        <f>V36*AH16</f>
        <v>0</v>
      </c>
      <c r="Y36" s="39"/>
      <c r="Z36" s="40"/>
      <c r="AA36" s="43"/>
      <c r="AB36" s="44">
        <f>AA36*AH16</f>
        <v>0</v>
      </c>
      <c r="AD36" s="261" t="s">
        <v>37</v>
      </c>
    </row>
    <row r="37" spans="3:30" ht="15.75">
      <c r="C37" s="37" t="s">
        <v>26</v>
      </c>
      <c r="E37" s="254">
        <f>COUNTIFS(General!F:F, "IP CERRADA", General!K:K, "G DICLEMENTE", General!H:H, "PTE. APROBACION", General!G:G, "AUSENTE", General!O:O, "&gt;="&amp;DATE(2026,1,1), General!O:O, "&lt;="&amp;DATE(2026,1,31))</f>
        <v>0</v>
      </c>
      <c r="F37" s="38">
        <f>E36*AG11</f>
        <v>0</v>
      </c>
      <c r="G37" s="41"/>
      <c r="H37" s="42"/>
      <c r="J37" s="254">
        <f>COUNTIFS(General!F:F, "IP CERRADA", General!K:K, "R. FRANCO", General!H:H, "PTE. APROBACION", General!G:G, "AUSENTE", General!L:L, "&gt;="&amp;DATE(2025,6,1), General!L:L, "&lt;="&amp;DATE(2025,6,31))</f>
        <v>0</v>
      </c>
      <c r="K37" s="38">
        <f>J37*AG11</f>
        <v>0</v>
      </c>
      <c r="L37" s="41"/>
      <c r="M37" s="42"/>
      <c r="O37" s="254">
        <f>COUNTIFS(General!F:F, "IP CERRADA", General!K:K, "R ARIN", General!H:H, "PTE. APROBACION", General!G:G, "AUSENTE", General!O:O, "&gt;="&amp;DATE(2026,1,1), General!O:O, "&lt;="&amp;DATE(2026,1,31))</f>
        <v>0</v>
      </c>
      <c r="P37" s="38">
        <f>O36*AG11</f>
        <v>0</v>
      </c>
      <c r="Q37" s="41"/>
      <c r="R37" s="42"/>
      <c r="T37" s="254">
        <f>COUNTIFS(General!F:F, "IP CERRADA", General!K:K, "C. CRIBARI", General!H:H, "PTE. APROBACION", General!G:G, "AUSENTE", General!O:O, "&gt;="&amp;DATE(2026,1,1), General!O:O, "&lt;="&amp;DATE(2026,1,31))</f>
        <v>0</v>
      </c>
      <c r="U37" s="38">
        <f>T37*AG11</f>
        <v>0</v>
      </c>
      <c r="V37" s="41"/>
      <c r="W37" s="42"/>
      <c r="Y37" s="254">
        <f>COUNTIFS(General!F:F, "IP CERRADA", General!K:K, "E DZYHAJLO", General!H:H, "PTE. APROBACION", General!G:G, "AUSENTE", General!O:O, "&gt;="&amp;DATE(2026,1,1), General!O:O, "&lt;="&amp;DATE(2026,1,31))</f>
        <v>0</v>
      </c>
      <c r="Z37" s="38">
        <f>Y36*AG11</f>
        <v>0</v>
      </c>
      <c r="AA37" s="41"/>
      <c r="AB37" s="42"/>
      <c r="AD37" s="37" t="s">
        <v>26</v>
      </c>
    </row>
    <row r="38" spans="3:30">
      <c r="E38" s="383" t="s">
        <v>44</v>
      </c>
      <c r="F38" s="384"/>
      <c r="G38" s="381" t="s">
        <v>44</v>
      </c>
      <c r="H38" s="382"/>
      <c r="J38" s="383" t="s">
        <v>44</v>
      </c>
      <c r="K38" s="384"/>
      <c r="L38" s="381" t="s">
        <v>44</v>
      </c>
      <c r="M38" s="382"/>
      <c r="O38" s="383" t="s">
        <v>44</v>
      </c>
      <c r="P38" s="384"/>
      <c r="Q38" s="381" t="s">
        <v>44</v>
      </c>
      <c r="R38" s="382"/>
      <c r="T38" s="383" t="s">
        <v>44</v>
      </c>
      <c r="U38" s="384"/>
      <c r="V38" s="381" t="s">
        <v>44</v>
      </c>
      <c r="W38" s="382"/>
      <c r="Y38" s="383" t="s">
        <v>44</v>
      </c>
      <c r="Z38" s="384"/>
      <c r="AA38" s="381" t="s">
        <v>44</v>
      </c>
      <c r="AB38" s="382"/>
    </row>
    <row r="39" spans="3:30">
      <c r="E39" s="37">
        <f>E27+E28+E29+E30+E31+E32+E33+E34+E35+E36+E37</f>
        <v>0</v>
      </c>
      <c r="F39" s="29">
        <f>F27+F28+F29+F30+F31+F32+F33+F34+F35+F36</f>
        <v>0</v>
      </c>
      <c r="G39" s="51">
        <f>G27+G28+G29+G30+G31+G32+G33+G34+G35+G36</f>
        <v>0</v>
      </c>
      <c r="H39" s="45">
        <f>H27+H28+H29+H30+H31+H32+H33+H34+H35+H36</f>
        <v>0</v>
      </c>
      <c r="J39" s="37">
        <f>J27+J28+J29+J30+J31+J32+J33+J34+J35+J36+J37</f>
        <v>0</v>
      </c>
      <c r="K39" s="29">
        <f>K27+K28+K29+K30+K31+K32+K33+K34+K35+K36+K37</f>
        <v>0</v>
      </c>
      <c r="L39" s="51">
        <f>L27+L28+L29+L30+L31+L32+L33+L34+L35+L36</f>
        <v>0</v>
      </c>
      <c r="M39" s="45">
        <f>M27+M28+M29+M30+M31+M32+M33+M34+M35+M36</f>
        <v>0</v>
      </c>
      <c r="O39" s="37">
        <f>O27+O28+O29+O30+O31+O32+O33+O34+O35+O36+O37</f>
        <v>0</v>
      </c>
      <c r="P39" s="29">
        <f>P27+P28+P29+P30+P31+P32+P33+P34+P35+P36</f>
        <v>0</v>
      </c>
      <c r="Q39" s="51">
        <f>Q27+Q28+Q29+Q30+Q31+Q32+Q33+Q34+Q35+Q36</f>
        <v>0</v>
      </c>
      <c r="R39" s="45">
        <f>R27+R28+R29+R30+R31+R32+R33+R34+R35+R36</f>
        <v>0</v>
      </c>
      <c r="T39" s="37">
        <f>T27+T28+T29+T30+T31+T32+T33+T34+T35+T36+T37</f>
        <v>0</v>
      </c>
      <c r="U39" s="29">
        <f>U27+U28+U29+U30+U31+U32+U33+U34+U35+U36+U37</f>
        <v>0</v>
      </c>
      <c r="V39" s="51">
        <f>V27+V28+V29+V30+V31+V32+V33+V34+V35+V36</f>
        <v>0</v>
      </c>
      <c r="W39" s="45">
        <f>W27+W28+W29+W30+W31+W32+W33+W34+W35+W36</f>
        <v>0</v>
      </c>
      <c r="Y39" s="37">
        <f>Y27+Y28+Y29+Y30+Y31+Y32+Y33+Y34+Y35+Y36+Y37</f>
        <v>0</v>
      </c>
      <c r="Z39" s="29">
        <f>Z27+Z28+Z29+Z30+Z31+Z32+Z33+Z34+Z35+Z36</f>
        <v>0</v>
      </c>
      <c r="AA39" s="51">
        <f>AA27+AA28+AA29+AA30+AA31+AA32+AA33+AA34+AA35+AA36</f>
        <v>0</v>
      </c>
      <c r="AB39" s="45">
        <f>AB27+AB28+AB29+AB30+AB31+AB32+AB33+AB34+AB35+AB36</f>
        <v>0</v>
      </c>
    </row>
    <row r="40" spans="3:30">
      <c r="E40" s="48"/>
      <c r="F40" s="49"/>
      <c r="G40" s="48"/>
      <c r="H40" s="49"/>
      <c r="J40" s="48"/>
      <c r="K40" s="49"/>
      <c r="L40" s="48"/>
      <c r="M40" s="49"/>
      <c r="O40" s="48"/>
      <c r="P40" s="49"/>
      <c r="Q40" s="48"/>
      <c r="R40" s="49"/>
      <c r="T40" s="48"/>
      <c r="U40" s="49"/>
      <c r="V40" s="48"/>
      <c r="W40" s="49"/>
      <c r="Y40" s="48"/>
      <c r="Z40" s="49"/>
      <c r="AA40" s="48"/>
      <c r="AB40" s="49"/>
    </row>
    <row r="41" spans="3:30">
      <c r="E41" s="380"/>
      <c r="F41" s="380"/>
      <c r="G41" s="261"/>
      <c r="H41" s="50"/>
      <c r="J41" s="380"/>
      <c r="K41" s="380"/>
      <c r="L41" s="261"/>
      <c r="M41" s="50"/>
      <c r="O41" s="380"/>
      <c r="P41" s="380"/>
      <c r="Q41" s="261"/>
      <c r="R41" s="50"/>
      <c r="T41" s="380"/>
      <c r="U41" s="380"/>
      <c r="V41" s="261"/>
      <c r="W41" s="50"/>
      <c r="Y41" s="380"/>
      <c r="Z41" s="380"/>
      <c r="AA41" s="261"/>
      <c r="AB41" s="50"/>
    </row>
    <row r="42" spans="3:30">
      <c r="E42" s="376" t="s">
        <v>3</v>
      </c>
      <c r="F42" s="377"/>
      <c r="G42" s="95"/>
      <c r="H42" s="96"/>
      <c r="J42" s="376" t="s">
        <v>3</v>
      </c>
      <c r="K42" s="377"/>
      <c r="L42" s="95"/>
      <c r="M42" s="96"/>
      <c r="O42" s="376" t="s">
        <v>3</v>
      </c>
      <c r="P42" s="377"/>
      <c r="Q42" s="95"/>
      <c r="R42" s="96"/>
      <c r="T42" s="376" t="s">
        <v>3</v>
      </c>
      <c r="U42" s="377"/>
      <c r="V42" s="95"/>
      <c r="W42" s="96"/>
      <c r="Y42" s="376" t="s">
        <v>3</v>
      </c>
      <c r="Z42" s="377"/>
      <c r="AA42" s="95"/>
      <c r="AB42" s="96"/>
    </row>
    <row r="43" spans="3:30">
      <c r="E43" s="378" t="s">
        <v>85</v>
      </c>
      <c r="F43" s="379"/>
      <c r="G43" s="97"/>
      <c r="H43" s="98"/>
      <c r="J43" s="378" t="s">
        <v>85</v>
      </c>
      <c r="K43" s="379"/>
      <c r="L43" s="97"/>
      <c r="M43" s="98"/>
      <c r="O43" s="378" t="s">
        <v>85</v>
      </c>
      <c r="P43" s="379"/>
      <c r="Q43" s="97"/>
      <c r="R43" s="98"/>
      <c r="T43" s="378" t="s">
        <v>85</v>
      </c>
      <c r="U43" s="379"/>
      <c r="V43" s="97"/>
      <c r="W43" s="98"/>
      <c r="Y43" s="378" t="s">
        <v>85</v>
      </c>
      <c r="Z43" s="379"/>
      <c r="AA43" s="97"/>
      <c r="AB43" s="98"/>
    </row>
    <row r="44" spans="3:30">
      <c r="E44" s="374" t="s">
        <v>86</v>
      </c>
      <c r="F44" s="375"/>
      <c r="G44" s="46">
        <f>G27+G28+G29+G30+G31+G32+G33+G34+G35+G36+E27+E28+E29+E31+E30+E32+E33+E34+E35+E36</f>
        <v>0</v>
      </c>
      <c r="H44" s="47">
        <f>F39+H39</f>
        <v>0</v>
      </c>
      <c r="J44" s="374" t="s">
        <v>86</v>
      </c>
      <c r="K44" s="375"/>
      <c r="L44" s="46">
        <f>L27+L28+L29+L30+L31+L32+L33+L34+L35+L36+J27+J28+J29+J31+J30+J32+J33+J34+J35+J36</f>
        <v>0</v>
      </c>
      <c r="M44" s="47">
        <f>K39+M39</f>
        <v>0</v>
      </c>
      <c r="O44" s="374" t="s">
        <v>86</v>
      </c>
      <c r="P44" s="375"/>
      <c r="Q44" s="46">
        <f>Q27+Q28+Q29+Q30+Q31+Q32+Q33+Q34+Q35+Q36+O27+O28+O29+O31+O30+O32+O33+O34+O35+O36</f>
        <v>0</v>
      </c>
      <c r="R44" s="47">
        <f>P39+R39</f>
        <v>0</v>
      </c>
      <c r="T44" s="374" t="s">
        <v>86</v>
      </c>
      <c r="U44" s="375"/>
      <c r="V44" s="46">
        <f>V27+V28+V29+V30+V31+V32+V33+V34+V35+V36+T27+T28+T29+T31+T30+T32+T33+T34+T35+T36</f>
        <v>0</v>
      </c>
      <c r="W44" s="47">
        <f>U39+W39</f>
        <v>0</v>
      </c>
      <c r="Y44" s="374" t="s">
        <v>86</v>
      </c>
      <c r="Z44" s="375"/>
      <c r="AA44" s="46">
        <f>AA27+AA28+AA29+AA30+AA31+AA32+AA33+AA34+AA35+AA36+Y27+Y28+Y29+Y31+Y30+Y32+Y33+Y34+Y35+Y36</f>
        <v>0</v>
      </c>
      <c r="AB44" s="47">
        <f>Z39+AB39</f>
        <v>0</v>
      </c>
    </row>
  </sheetData>
  <mergeCells count="95">
    <mergeCell ref="E44:F44"/>
    <mergeCell ref="J44:K44"/>
    <mergeCell ref="O44:P44"/>
    <mergeCell ref="T44:U44"/>
    <mergeCell ref="Y44:Z44"/>
    <mergeCell ref="E42:F42"/>
    <mergeCell ref="J42:K42"/>
    <mergeCell ref="O42:P42"/>
    <mergeCell ref="T42:U42"/>
    <mergeCell ref="Y42:Z42"/>
    <mergeCell ref="E43:F43"/>
    <mergeCell ref="J43:K43"/>
    <mergeCell ref="O43:P43"/>
    <mergeCell ref="T43:U43"/>
    <mergeCell ref="Y43:Z43"/>
    <mergeCell ref="E41:F41"/>
    <mergeCell ref="J41:K41"/>
    <mergeCell ref="O41:P41"/>
    <mergeCell ref="T41:U41"/>
    <mergeCell ref="Y41:Z41"/>
    <mergeCell ref="Q38:R38"/>
    <mergeCell ref="T38:U38"/>
    <mergeCell ref="V38:W38"/>
    <mergeCell ref="Y38:Z38"/>
    <mergeCell ref="AA38:AB38"/>
    <mergeCell ref="E38:F38"/>
    <mergeCell ref="G38:H38"/>
    <mergeCell ref="J38:K38"/>
    <mergeCell ref="L38:M38"/>
    <mergeCell ref="O38:P38"/>
    <mergeCell ref="Y24:AB25"/>
    <mergeCell ref="AD24:AD25"/>
    <mergeCell ref="E26:F26"/>
    <mergeCell ref="G26:H26"/>
    <mergeCell ref="J26:K26"/>
    <mergeCell ref="L26:M26"/>
    <mergeCell ref="O26:P26"/>
    <mergeCell ref="Q26:R26"/>
    <mergeCell ref="T26:U26"/>
    <mergeCell ref="V26:W26"/>
    <mergeCell ref="Y26:Z26"/>
    <mergeCell ref="AA26:AB26"/>
    <mergeCell ref="E21:F21"/>
    <mergeCell ref="J21:K21"/>
    <mergeCell ref="O21:P21"/>
    <mergeCell ref="T21:U21"/>
    <mergeCell ref="Y21:Z21"/>
    <mergeCell ref="C24:C25"/>
    <mergeCell ref="E24:H25"/>
    <mergeCell ref="J24:M25"/>
    <mergeCell ref="O24:R25"/>
    <mergeCell ref="T24:W25"/>
    <mergeCell ref="E19:F19"/>
    <mergeCell ref="J19:K19"/>
    <mergeCell ref="O19:P19"/>
    <mergeCell ref="T19:U19"/>
    <mergeCell ref="Y19:Z19"/>
    <mergeCell ref="E20:F20"/>
    <mergeCell ref="J20:K20"/>
    <mergeCell ref="O20:P20"/>
    <mergeCell ref="T20:U20"/>
    <mergeCell ref="Y20:Z20"/>
    <mergeCell ref="E18:F18"/>
    <mergeCell ref="J18:K18"/>
    <mergeCell ref="O18:P18"/>
    <mergeCell ref="T18:U18"/>
    <mergeCell ref="Y18:Z18"/>
    <mergeCell ref="Q15:R15"/>
    <mergeCell ref="T15:U15"/>
    <mergeCell ref="V15:W15"/>
    <mergeCell ref="Y15:Z15"/>
    <mergeCell ref="AA15:AB15"/>
    <mergeCell ref="E15:F15"/>
    <mergeCell ref="G15:H15"/>
    <mergeCell ref="J15:K15"/>
    <mergeCell ref="L15:M15"/>
    <mergeCell ref="O15:P15"/>
    <mergeCell ref="Y1:AB2"/>
    <mergeCell ref="AD1:AD2"/>
    <mergeCell ref="E3:F3"/>
    <mergeCell ref="G3:H3"/>
    <mergeCell ref="J3:K3"/>
    <mergeCell ref="L3:M3"/>
    <mergeCell ref="O3:P3"/>
    <mergeCell ref="Q3:R3"/>
    <mergeCell ref="T3:U3"/>
    <mergeCell ref="V3:W3"/>
    <mergeCell ref="T1:W2"/>
    <mergeCell ref="Y3:Z3"/>
    <mergeCell ref="AA3:AB3"/>
    <mergeCell ref="A1:B2"/>
    <mergeCell ref="C1:C2"/>
    <mergeCell ref="E1:H2"/>
    <mergeCell ref="J1:M2"/>
    <mergeCell ref="O1:R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4E27D-3A49-4960-B144-EC2E66A21DCE}">
  <sheetPr>
    <tabColor rgb="FFFF0000"/>
  </sheetPr>
  <dimension ref="A1:AI44"/>
  <sheetViews>
    <sheetView workbookViewId="0"/>
  </sheetViews>
  <sheetFormatPr defaultRowHeight="15"/>
  <cols>
    <col min="3" max="3" width="21.85546875" customWidth="1"/>
    <col min="4" max="4" width="3.7109375" customWidth="1"/>
    <col min="5" max="5" width="12.85546875" customWidth="1"/>
    <col min="6" max="6" width="13.28515625" customWidth="1"/>
    <col min="7" max="7" width="9.140625" bestFit="1" customWidth="1"/>
    <col min="8" max="8" width="13.5703125" customWidth="1"/>
    <col min="9" max="9" width="3.5703125" customWidth="1"/>
    <col min="10" max="10" width="13.140625" customWidth="1"/>
    <col min="11" max="11" width="14.28515625" customWidth="1"/>
    <col min="12" max="12" width="9.140625" bestFit="1" customWidth="1"/>
    <col min="13" max="13" width="13.85546875" customWidth="1"/>
    <col min="14" max="14" width="3.28515625" customWidth="1"/>
    <col min="15" max="15" width="9.140625" bestFit="1" customWidth="1"/>
    <col min="16" max="16" width="13.42578125" customWidth="1"/>
    <col min="17" max="17" width="9.140625" bestFit="1" customWidth="1"/>
    <col min="18" max="18" width="14.85546875" customWidth="1"/>
    <col min="19" max="19" width="3" customWidth="1"/>
    <col min="20" max="20" width="9.140625" bestFit="1" customWidth="1"/>
    <col min="21" max="21" width="14.85546875" customWidth="1"/>
    <col min="22" max="22" width="9.140625" bestFit="1" customWidth="1"/>
    <col min="23" max="23" width="13.28515625" customWidth="1"/>
    <col min="24" max="24" width="3" customWidth="1"/>
    <col min="25" max="25" width="9.140625" bestFit="1" customWidth="1"/>
    <col min="26" max="26" width="14.140625" customWidth="1"/>
    <col min="27" max="27" width="9.140625" bestFit="1" customWidth="1"/>
    <col min="28" max="28" width="13.85546875" customWidth="1"/>
    <col min="29" max="29" width="3.28515625" customWidth="1"/>
    <col min="30" max="30" width="22.7109375" customWidth="1"/>
    <col min="31" max="31" width="9.140625" bestFit="1" customWidth="1"/>
    <col min="32" max="32" width="20.42578125" customWidth="1"/>
  </cols>
  <sheetData>
    <row r="1" spans="1:35">
      <c r="A1" s="367" t="s">
        <v>57</v>
      </c>
      <c r="B1" s="368"/>
      <c r="C1" s="369" t="s">
        <v>1</v>
      </c>
      <c r="E1" s="385" t="s">
        <v>19</v>
      </c>
      <c r="F1" s="386"/>
      <c r="G1" s="386"/>
      <c r="H1" s="387"/>
      <c r="J1" s="399" t="s">
        <v>66</v>
      </c>
      <c r="K1" s="400"/>
      <c r="L1" s="400"/>
      <c r="M1" s="401"/>
      <c r="O1" s="399" t="s">
        <v>69</v>
      </c>
      <c r="P1" s="400"/>
      <c r="Q1" s="400"/>
      <c r="R1" s="401"/>
      <c r="T1" s="399" t="s">
        <v>16</v>
      </c>
      <c r="U1" s="400"/>
      <c r="V1" s="400"/>
      <c r="W1" s="401"/>
      <c r="Y1" s="399" t="s">
        <v>82</v>
      </c>
      <c r="Z1" s="400"/>
      <c r="AA1" s="400"/>
      <c r="AB1" s="401"/>
      <c r="AD1" s="369" t="s">
        <v>1</v>
      </c>
    </row>
    <row r="2" spans="1:35">
      <c r="A2" s="367"/>
      <c r="B2" s="368"/>
      <c r="C2" s="369"/>
      <c r="E2" s="388"/>
      <c r="F2" s="389"/>
      <c r="G2" s="389"/>
      <c r="H2" s="390"/>
      <c r="J2" s="402"/>
      <c r="K2" s="403"/>
      <c r="L2" s="403"/>
      <c r="M2" s="404"/>
      <c r="O2" s="402"/>
      <c r="P2" s="403"/>
      <c r="Q2" s="403"/>
      <c r="R2" s="404"/>
      <c r="T2" s="402"/>
      <c r="U2" s="403"/>
      <c r="V2" s="403"/>
      <c r="W2" s="404"/>
      <c r="Y2" s="402"/>
      <c r="Z2" s="403"/>
      <c r="AA2" s="403"/>
      <c r="AB2" s="404"/>
      <c r="AD2" s="369"/>
    </row>
    <row r="3" spans="1:35">
      <c r="A3" s="19"/>
      <c r="B3" s="19"/>
      <c r="E3" s="391" t="s">
        <v>83</v>
      </c>
      <c r="F3" s="391"/>
      <c r="G3" s="392" t="s">
        <v>8</v>
      </c>
      <c r="H3" s="392"/>
      <c r="J3" s="391" t="s">
        <v>83</v>
      </c>
      <c r="K3" s="391"/>
      <c r="L3" s="392" t="s">
        <v>8</v>
      </c>
      <c r="M3" s="392"/>
      <c r="O3" s="391" t="s">
        <v>83</v>
      </c>
      <c r="P3" s="391"/>
      <c r="Q3" s="392" t="s">
        <v>8</v>
      </c>
      <c r="R3" s="392"/>
      <c r="T3" s="391" t="s">
        <v>83</v>
      </c>
      <c r="U3" s="391"/>
      <c r="V3" s="392" t="s">
        <v>8</v>
      </c>
      <c r="W3" s="392"/>
      <c r="Y3" s="391" t="s">
        <v>83</v>
      </c>
      <c r="Z3" s="391"/>
      <c r="AA3" s="392" t="s">
        <v>8</v>
      </c>
      <c r="AB3" s="392"/>
    </row>
    <row r="4" spans="1:35" ht="15.75">
      <c r="C4" s="37" t="s">
        <v>10</v>
      </c>
      <c r="E4" s="254">
        <f>COUNTIFS(General!F:F, "IP CERRADA", General!K:K, "A MIÑO", General!H:H, "PTE. APROBACION", General!G:G, "IP CON ORDEN", General!O:O, "&gt;="&amp;DATE(2026,2,1), General!O:O, "&lt;="&amp;DATE(2026,2,31))</f>
        <v>1</v>
      </c>
      <c r="F4" s="38">
        <f>E4*AG5</f>
        <v>9562</v>
      </c>
      <c r="G4" s="41">
        <f>COUNTIFS(General!F:F, "IP CERRADA", General!M:M, "A MIÑO", General!H:H, "PTE. APROBACION", General!G:G, "IP CON ORDEN", General!O:O, "&gt;="&amp;DATE(2026,2,1), General!O:O, "&lt;="&amp;DATE(2026,2,31))</f>
        <v>2</v>
      </c>
      <c r="H4" s="42">
        <f>G4*AH5</f>
        <v>17850</v>
      </c>
      <c r="J4" s="254">
        <f>COUNTIFS(General!F:F, "IP CERRADA", General!K:K, "J. FERLANTI", General!H:H, "PTE. APROBACION", General!G:G, "IP CON ORDEN", General!O:O, "&gt;="&amp;DATE(2026,2,1), General!O:O, "&lt;="&amp;DATE(2026,2,31)) + COUNTIFS(General!F:F, "PARA FACTURAR", General!K:K, "J. FERLANTI", General!G:G, "IP CON ORDEN", General!O:O, "&gt;="&amp;DATE(2026,2,1), General!O:O, "&lt;="&amp;DATE(2026,2,31))</f>
        <v>2</v>
      </c>
      <c r="K4" s="38">
        <f>J4*AG5</f>
        <v>19124</v>
      </c>
      <c r="L4" s="41">
        <f>COUNTIFS(General!F:F, "IP CERRADA", General!M:M, "J. FERLANTI", General!H:H, "PTE. APROBACION", General!G:G, "IP CON ORDEN", General!O:O, "&gt;="&amp;DATE(2026,2,1), General!O:O, "&lt;="&amp;DATE(2026,2,31)) + COUNTIFS(General!F:F, "PARA FACTURAR", General!M:M, "J. FERLANTI", General!H:H, "EN TRAMITE", General!G:G, "IP CON ORDEN", General!O:O, "&gt;="&amp;DATE(2024,10,1), General!O:O, "&lt;="&amp;DATE(2024,10,31) )</f>
        <v>78</v>
      </c>
      <c r="M4" s="42">
        <f>L4*AH5</f>
        <v>696150</v>
      </c>
      <c r="O4" s="254">
        <f>COUNTIFS(General!F:F, "IP CERRADA", General!K:K, "J NEIRA", General!H:H, "PTE. APROBACION", General!G:G, "IP CON ORDEN", General!O:O, "&gt;="&amp;DATE(2026,2,1), General!O:O, "&lt;="&amp;DATE(2026,2,31))</f>
        <v>0</v>
      </c>
      <c r="P4" s="38">
        <f>O4*AG5</f>
        <v>0</v>
      </c>
      <c r="Q4" s="41">
        <f>COUNTIFS(General!F:F, "IP CERRADA", General!M:M, "J NEIRA", General!H:H, "PTE. APROBACION", General!G:G, "IP CON ORDEN", General!O:O, "&gt;="&amp;DATE(2026,2,1), General!O:O, "&lt;="&amp;DATE(2026,2,31))</f>
        <v>0</v>
      </c>
      <c r="R4" s="42">
        <f>Q4*AH5</f>
        <v>0</v>
      </c>
      <c r="T4" s="254">
        <f>COUNTIFS(General!F:F, "IP CERRADA", General!K:K, "L DEL PIERO", General!H:H, "PTE. APROBACION", General!G:G, "IP CON ORDEN", General!O:O, "&gt;="&amp;DATE(2026,2,1), General!O:O, "&lt;="&amp;DATE(2026,2,31))</f>
        <v>53</v>
      </c>
      <c r="U4" s="38">
        <f>T4*AG5</f>
        <v>506786</v>
      </c>
      <c r="V4" s="41">
        <f>COUNTIFS(General!F:F, "IP CERRADA", General!M:M, "L DEL PIERO", General!H:H, "PTE. APROBACION", General!G:G, "IP CON ORDEN", General!O:O, "&gt;="&amp;DATE(2026,2,1), General!O:O, "&lt;="&amp;DATE(2026,2,31))</f>
        <v>0</v>
      </c>
      <c r="W4" s="42">
        <f>V4*AH5</f>
        <v>0</v>
      </c>
      <c r="Y4" s="254">
        <f>COUNTIFS(General!F:F, "IP CERRADA", General!K:K, "E Delia", General!H:H, "PTE. APROBACION", General!G:G, "IP CON ORDEN", General!O:O, "&gt;="&amp;DATE(2026,2,1), General!O:O, "&lt;="&amp;DATE(2026,2,31)) + COUNTIFS(General!F:F, "PARA FACTURAR", General!K:K, "E Delia", General!G:G, "IP CON ORDEN", General!O:O, "&gt;="&amp;DATE(2026,2,1), General!O:O, "&lt;="&amp;DATE(2026,2,31))</f>
        <v>26</v>
      </c>
      <c r="Z4" s="38">
        <f>Y4*AG5</f>
        <v>248612</v>
      </c>
      <c r="AA4" s="41">
        <f>COUNTIFS(General!F:F, "IP CERRADA", General!M:M, "E Delia", General!H:H, "PTE. APROBACION", General!G:G, "IP CON ORDEN", General!O:O, "&gt;="&amp;DATE(2026,2,1), General!O:O, "&lt;="&amp;DATE(2026,2,31))</f>
        <v>0</v>
      </c>
      <c r="AB4" s="42">
        <f>AA4*AH5</f>
        <v>0</v>
      </c>
      <c r="AD4" s="37" t="s">
        <v>10</v>
      </c>
      <c r="AF4" s="1" t="s">
        <v>6</v>
      </c>
      <c r="AG4" s="1" t="s">
        <v>7</v>
      </c>
      <c r="AH4" s="1" t="s">
        <v>8</v>
      </c>
      <c r="AI4" s="259"/>
    </row>
    <row r="5" spans="1:35" ht="15.75">
      <c r="C5" s="261" t="s">
        <v>15</v>
      </c>
      <c r="E5" s="39">
        <f>COUNTIFS(General!F:F, "IP CERRADA", General!K:K, "A MIÑO", General!H:H, "PTE. APROBACION", General!G:G, "POSIBLE DT", General!O:O, "&gt;="&amp;DATE(2026,2,1), General!O:O, "&lt;="&amp;DATE(2026,2,31))</f>
        <v>1</v>
      </c>
      <c r="F5" s="40">
        <f>E5*AG7</f>
        <v>9562</v>
      </c>
      <c r="G5" s="43">
        <f>COUNTIFS(General!F:F, "IP CERRADA", General!M:M, "A MIÑO", General!H:H, "PTE. APROBACION", General!G:G, "POSIBLE DT", General!O:O, "&gt;="&amp;DATE(2026,2,1), General!O:O, "&lt;="&amp;DATE(2026,2,31))</f>
        <v>1</v>
      </c>
      <c r="H5" s="44">
        <f>G5*AH7</f>
        <v>8925</v>
      </c>
      <c r="J5" s="39">
        <f>COUNTIFS(General!F:F, "IP CERRADA", General!K:K, "J. FERLANTI", General!H:H, "PTE. APROBACION", General!G:G, "POSIBLE DT", General!O:O, "&gt;="&amp;DATE(2026,2,1), General!O:O, "&lt;="&amp;DATE(2026,2,31)) + COUNTIFS(General!F:F, "PARA FACTURAR", General!K:K, "J. FERLANTI", General!G:G, "POSIBLE DT", General!O:O, "&gt;="&amp;DATE(2026,2,1), General!O:O, "&lt;="&amp;DATE(2026,2,31))</f>
        <v>0</v>
      </c>
      <c r="K5" s="40">
        <f>J5*AG7</f>
        <v>0</v>
      </c>
      <c r="L5" s="43">
        <f>COUNTIFS(General!F:F, "IP CERRADA", General!M:M, "J. FERLANTI", General!H:H, "PTE. APROBACION", General!G:G, "POSIBLE DT", General!O:O, "&gt;="&amp;DATE(2026,2,1), General!O:O, "&lt;="&amp;DATE(2026,2,31)) + COUNTIFS(General!F:F, "PARA FACTURAR", General!M:M, "J. FERLANTI", General!H:H, "EN TRAMITE", General!G:G, "POSIBLE DT", General!O:O, "&gt;="&amp;DATE(2026,2,1), General!O:O, "&lt;="&amp;DATE(2026,2,31))</f>
        <v>18</v>
      </c>
      <c r="M5" s="44">
        <f>L5*AH7</f>
        <v>160650</v>
      </c>
      <c r="O5" s="39">
        <f>COUNTIFS(General!F:F, "IP CERRADA", General!K:K, "J NEIRA", General!H:H, "PTE. APROBACION", General!G:G, "POSIBLE DT", General!O:O, "&gt;="&amp;DATE(2026,2,1), General!O:O, "&lt;="&amp;DATE(2026,2,31))</f>
        <v>0</v>
      </c>
      <c r="P5" s="40">
        <f>O5*AG7</f>
        <v>0</v>
      </c>
      <c r="Q5" s="43">
        <f>COUNTIFS(General!F:F, "IP CERRADA", General!M:M, "J NEIRA", General!H:H, "PTE. APROBACION", General!G:G, "POSIBLE DT", General!O:O, "&gt;="&amp;DATE(2026,2,1), General!O:O, "&lt;="&amp;DATE(2026,2,31))</f>
        <v>0</v>
      </c>
      <c r="R5" s="44">
        <f>Q5*AH7</f>
        <v>0</v>
      </c>
      <c r="T5" s="39">
        <f>COUNTIFS(General!F:F, "IP CERRADA", General!K:K, "L DEL PIERO", General!H:H, "PTE. APROBACION", General!G:G, "POSIBLE DT", General!O:O, "&gt;="&amp;DATE(2026,2,1), General!O:O, "&lt;="&amp;DATE(2026,2,31))</f>
        <v>8</v>
      </c>
      <c r="U5" s="40">
        <f>T5*AG7</f>
        <v>76496</v>
      </c>
      <c r="V5" s="43">
        <f>COUNTIFS(General!F:F, "IP CERRADA", General!M:M, "L DEL PIERO", General!H:H, "PTE. APROBACION", General!G:G, "POSIBLE DT", General!O:O, "&gt;="&amp;DATE(2026,2,1), General!O:O, "&lt;="&amp;DATE(2026,2,31))</f>
        <v>0</v>
      </c>
      <c r="W5" s="44">
        <f>V5*AH7</f>
        <v>0</v>
      </c>
      <c r="Y5" s="39">
        <f>COUNTIFS(General!F:F, "IP CERRADA", General!K:K, "E Delia", General!H:H, "PTE. APROBACION", General!G:G, "POSIBLE DT", General!O:O, "&gt;="&amp;DATE(2026,2,1), General!O:O, "&lt;="&amp;DATE(2026,2,31))</f>
        <v>9</v>
      </c>
      <c r="Z5" s="40">
        <f>Y5*AG7</f>
        <v>86058</v>
      </c>
      <c r="AA5" s="43">
        <f>COUNTIFS(General!F:F, "IP CERRADA", General!M:M, "E Delia", General!H:H, "PTE. APROBACION", General!G:G, "POSIBLE DT", General!O:O, "&gt;="&amp;DATE(2026,2,1), General!O:O, "&lt;="&amp;DATE(2026,2,31))</f>
        <v>0</v>
      </c>
      <c r="AB5" s="44">
        <f>AA5*AH7</f>
        <v>0</v>
      </c>
      <c r="AD5" s="261" t="s">
        <v>15</v>
      </c>
      <c r="AF5" s="118" t="s">
        <v>10</v>
      </c>
      <c r="AG5" s="119">
        <v>9562</v>
      </c>
      <c r="AH5" s="119">
        <v>8925</v>
      </c>
      <c r="AI5" s="116"/>
    </row>
    <row r="6" spans="1:35" ht="15.75">
      <c r="C6" s="37" t="s">
        <v>18</v>
      </c>
      <c r="E6" s="254">
        <f>COUNTIFS(General!F:F, "IP CERRADA", General!K:K, "A MIÑO", General!H:H, "PTE. APROBACION", General!G:G, "IP SIN ORDEN", General!O:O, "&gt;="&amp;DATE(2026,2,1), General!O:O, "&lt;="&amp;DATE(2026,2,31))</f>
        <v>1</v>
      </c>
      <c r="F6" s="38">
        <f>E6*AG8</f>
        <v>9562</v>
      </c>
      <c r="G6" s="41">
        <f>COUNTIFS(General!F:F, "IP CERRADA", General!M:M, "A MIÑO", General!H:H, "PTE. APROBACION", General!G:G, "IP SIN ORDEN", General!O:O, "&gt;="&amp;DATE(2026,2,1), General!O:O, "&lt;="&amp;DATE(2026,2,31))</f>
        <v>2</v>
      </c>
      <c r="H6" s="42">
        <f>G6*AH8</f>
        <v>17850</v>
      </c>
      <c r="J6" s="254">
        <f>COUNTIFS(General!F:F, "IP CERRADA", General!K:K, "J. FERLANTI", General!H:H, "PTE. APROBACION", General!G:G, "IP SIN ORDEN", General!O:O, "&gt;="&amp;DATE(2026,2,1), General!O:O, "&lt;="&amp;DATE(2026,2,31)) + COUNTIFS(General!F:F, "PARA FACTURAR", General!K:K, "J. FERLANTI", General!G:G, "IP SIN ORDEN", General!O:O, "&gt;="&amp;DATE(2026,2,1), General!O:O, "&lt;="&amp;DATE(2026,2,31))</f>
        <v>0</v>
      </c>
      <c r="K6" s="38">
        <f>J6*AG8</f>
        <v>0</v>
      </c>
      <c r="L6" s="41">
        <f>COUNTIFS(General!F:F, "IP CERRADA", General!M:M, "J. FERLANTI", General!H:H, "PTE. APROBACION", General!G:G, "IP SIN ORDEN", General!O:O, "&gt;="&amp;DATE(2026,2,1), General!O:O, "&lt;="&amp;DATE(2026,2,31)) + COUNTIFS(General!F:F, "PARA FACTURAR", General!M:M, "J. FERLANTI", General!H:H, "EN TRAMITE", General!G:G, "IP SIN ORDEN", General!O:O, "&gt;="&amp;DATE(2026,2,1), General!O:O, "&lt;="&amp;DATE(2026,2,31))</f>
        <v>53</v>
      </c>
      <c r="M6" s="42">
        <f>L6*AH8</f>
        <v>473025</v>
      </c>
      <c r="O6" s="254">
        <f>COUNTIFS(General!F:F, "IP CERRADA", General!K:K, "J NEIRA", General!H:H, "PTE. APROBACION", General!G:G, "IP SIN ORDEN", General!O:O, "&gt;="&amp;DATE(2026,2,1), General!O:O, "&lt;="&amp;DATE(2026,2,31))</f>
        <v>0</v>
      </c>
      <c r="P6" s="38">
        <f>O6*AG8</f>
        <v>0</v>
      </c>
      <c r="Q6" s="41">
        <f>COUNTIFS(General!F:F, "IP CERRADA", General!M:M, "J NEIRA", General!H:H, "PTE. APROBACION", General!G:G, "IP SIN ORDEN", General!O:O, "&gt;="&amp;DATE(2026,2,1), General!O:O, "&lt;="&amp;DATE(2026,2,31))</f>
        <v>0</v>
      </c>
      <c r="R6" s="42">
        <f>Q6*AH8</f>
        <v>0</v>
      </c>
      <c r="T6" s="254">
        <f>COUNTIFS(General!F:F, "IP CERRADA", General!K:K, "L DEL PIERO", General!H:H, "PTE. APROBACION", General!G:G, "IP SIN ORDEN", General!O:O, "&gt;="&amp;DATE(2026,2,1), General!O:O, "&lt;="&amp;DATE(2026,2,31))</f>
        <v>32</v>
      </c>
      <c r="U6" s="38">
        <f>T6*AG8</f>
        <v>305984</v>
      </c>
      <c r="V6" s="41">
        <f>COUNTIFS(General!F:F, "IP CERRADA", General!M:M, "L DEL PIERO", General!H:H, "PTE. APROBACION", General!G:G, "IP SIN ORDEN", General!O:O, "&gt;="&amp;DATE(2026,2,1), General!O:O, "&lt;="&amp;DATE(2026,2,31))</f>
        <v>0</v>
      </c>
      <c r="W6" s="42">
        <f>V6*AH8</f>
        <v>0</v>
      </c>
      <c r="Y6" s="254">
        <f>COUNTIFS(General!F:F, "IP CERRADA", General!K:K, "E Delia", General!H:H, "PTE. APROBACION", General!G:G, "IP SIN ORDEN", General!O:O, "&gt;="&amp;DATE(2026,2,1), General!O:O, "&lt;="&amp;DATE(2026,2,31))</f>
        <v>18</v>
      </c>
      <c r="Z6" s="38">
        <f>Y6*AG8</f>
        <v>172116</v>
      </c>
      <c r="AA6" s="41">
        <f>COUNTIFS(General!F:F, "IP CERRADA", General!M:M, "E Delia", General!H:H, "PTE. APROBACION", General!G:G, "IP SIN ORDEN", General!O:O, "&gt;="&amp;DATE(2026,2,1), General!O:O, "&lt;="&amp;DATE(2026,2,31))</f>
        <v>0</v>
      </c>
      <c r="AB6" s="42">
        <f>AA6*AH8</f>
        <v>0</v>
      </c>
      <c r="AD6" s="37" t="s">
        <v>18</v>
      </c>
      <c r="AF6" s="118"/>
      <c r="AG6" s="119"/>
      <c r="AH6" s="119"/>
      <c r="AI6" s="116"/>
    </row>
    <row r="7" spans="1:35" ht="15.75">
      <c r="C7" s="261" t="s">
        <v>21</v>
      </c>
      <c r="E7" s="39">
        <f>COUNTIFS(General!F:F, "IP CERRADA", General!K:K, "A MIÑO", General!H:H, "PTE. APROBACION", General!G:G, "AMPLIACION", General!O:O, "&gt;="&amp;DATE(2026,2,1), General!O:O, "&lt;="&amp;DATE(2026,2,31))</f>
        <v>0</v>
      </c>
      <c r="F7" s="40">
        <f>E7*AG9</f>
        <v>0</v>
      </c>
      <c r="G7" s="43">
        <f>COUNTIFS(General!F:F, "IP CERRADA", General!M:M, "A MIÑO", General!H:H, "PTE. APROBACION", General!G:G, "AMPLIACION", General!O:O, "&gt;="&amp;DATE(2026,2,1), General!O:O, "&lt;="&amp;DATE(2026,2,31))</f>
        <v>0</v>
      </c>
      <c r="H7" s="44">
        <f>G7*AH9</f>
        <v>0</v>
      </c>
      <c r="J7" s="39">
        <f>COUNTIFS(General!F:F, "IP CERRADA", General!K:K, "J. FERLANTI", General!H:H, "PTE. APROBACION", General!G:G, "AMPLIACION", General!O:O, "&gt;="&amp;DATE(2026,2,1), General!O:O, "&lt;="&amp;DATE(2026,2,31)) + COUNTIFS(General!F:F, "PARA FACTURAR", General!K:K, "J. FERLANTI", General!G:G, "AMPLIACION", General!O:O, "&gt;="&amp;DATE(2026,2,1), General!O:O, "&lt;="&amp;DATE(2026,2,31))</f>
        <v>1</v>
      </c>
      <c r="K7" s="40">
        <f>J7*AG9</f>
        <v>4250</v>
      </c>
      <c r="L7" s="43">
        <f>COUNTIFS(General!F:F, "IP CERRADA", General!M:M, "J. FERLANTI", General!H:H, "PTE. APROBACION", General!G:G, "AMPLIACION", General!O:O, "&gt;="&amp;DATE(2026,2,1), General!O:O, "&lt;="&amp;DATE(2026,2,31)) + COUNTIFS(General!F:F, "PARA FACTURAR", General!M:M, "J. FERLANTI", General!H:H, "EN TRAMITE", General!G:G, "AMPLIACION", General!O:O, "&gt;="&amp;DATE(2026,2,1), General!O:O, "&lt;="&amp;DATE(2026,2,31))</f>
        <v>10</v>
      </c>
      <c r="M7" s="44">
        <f>L7*AH9</f>
        <v>20000</v>
      </c>
      <c r="O7" s="39">
        <f>COUNTIFS(General!F:F, "IP CERRADA", General!K:K, "J NEIRA", General!H:H, "PTE. APROBACION", General!G:G, "AMPLIACION", General!O:O, "&gt;="&amp;DATE(2026,2,1), General!O:O, "&lt;="&amp;DATE(2026,2,31))</f>
        <v>0</v>
      </c>
      <c r="P7" s="40">
        <f>O7*AG9</f>
        <v>0</v>
      </c>
      <c r="Q7" s="43">
        <f>COUNTIFS(General!F:F, "IP CERRADA", General!M:M, "J NEIRA", General!H:H, "PTE. APROBACION", General!G:G, "AMPLIACION", General!O:O, "&gt;="&amp;DATE(2026,2,1), General!O:O, "&lt;="&amp;DATE(2026,2,31))</f>
        <v>0</v>
      </c>
      <c r="R7" s="44">
        <f>Q7*AH9</f>
        <v>0</v>
      </c>
      <c r="T7" s="39">
        <f>COUNTIFS(General!F:F, "IP CERRADA", General!K:K, "L DEL PIERO", General!H:H, "PTE. APROBACION", General!G:G, "AMPLIACION", General!O:O, "&gt;="&amp;DATE(2026,2,1), General!O:O, "&lt;="&amp;DATE(2026,2,31))</f>
        <v>6</v>
      </c>
      <c r="U7" s="40">
        <f>T7*AG9</f>
        <v>25500</v>
      </c>
      <c r="V7" s="43">
        <f>COUNTIFS(General!F:F, "IP CERRADA", General!M:M, "L DEL PIERO", General!H:H, "PTE. APROBACION", General!G:G, "AMPLIACION", General!O:O, "&gt;="&amp;DATE(2026,2,1), General!O:O, "&lt;="&amp;DATE(2026,2,31))</f>
        <v>0</v>
      </c>
      <c r="W7" s="44">
        <f>V7*AH9</f>
        <v>0</v>
      </c>
      <c r="Y7" s="39">
        <f>COUNTIFS(General!F:F, "IP CERRADA", General!K:K, "E Delia", General!H:H, "PTE. APROBACION", General!G:G, "AMPLIACION", General!O:O, "&gt;="&amp;DATE(2026,2,1), General!O:O, "&lt;="&amp;DATE(2026,2,31))</f>
        <v>2</v>
      </c>
      <c r="Z7" s="40">
        <f>Y7*AG9</f>
        <v>8500</v>
      </c>
      <c r="AA7" s="43">
        <f>COUNTIFS(General!F:F, "IP CERRADA", General!M:M, "E Delia", General!H:H, "PTE. APROBACION", General!G:G, "AMPLIACION", General!O:O, "&gt;="&amp;DATE(2026,2,1), General!O:O, "&lt;="&amp;DATE(2026,2,31))</f>
        <v>0</v>
      </c>
      <c r="AB7" s="44">
        <f>AA7*AH9</f>
        <v>0</v>
      </c>
      <c r="AD7" s="261" t="s">
        <v>21</v>
      </c>
      <c r="AF7" s="120" t="s">
        <v>15</v>
      </c>
      <c r="AG7" s="121">
        <v>9562</v>
      </c>
      <c r="AH7" s="121">
        <v>8925</v>
      </c>
      <c r="AI7" s="116"/>
    </row>
    <row r="8" spans="1:35" ht="15.75">
      <c r="C8" s="37" t="s">
        <v>24</v>
      </c>
      <c r="E8" s="254" t="s">
        <v>27</v>
      </c>
      <c r="F8" s="38" t="s">
        <v>27</v>
      </c>
      <c r="G8" s="41">
        <f>COUNTIFS(General!F:F, "IP CERRADA", General!M:M, "A MIÑO", General!H:H, "PTE. APROBACION", General!G:G, "ENVIO DE ORDEN", General!O:O, "&gt;="&amp;DATE(2026,2,1), General!O:O, "&lt;="&amp;DATE(2026,2,31))</f>
        <v>0</v>
      </c>
      <c r="H8" s="42">
        <f>G8*AH10</f>
        <v>0</v>
      </c>
      <c r="J8" s="254" t="s">
        <v>27</v>
      </c>
      <c r="K8" s="38" t="s">
        <v>27</v>
      </c>
      <c r="L8" s="41">
        <f>COUNTIFS(General!F:F, "IP SIN ORDEN", General!M:M, "J. FERLANTI", General!H:H, "PTE. APROBACION", General!G:G, "ENVIO DE ORDEN", General!O:O, "&gt;="&amp;DATE(2026,2,1), General!O:O, "&lt;="&amp;DATE(2026,2,31)) + COUNTIFS(General!F:F, "PARA FACTURAR", General!M:M, "J. FERLANTI", General!H:H, "EN TRAMITE", General!G:G, "ENVIO DE ORDEN", General!O:O, "&gt;="&amp;DATE(2026,2,1), General!O:O, "&lt;="&amp;DATE(2026,2,31))</f>
        <v>0</v>
      </c>
      <c r="M8" s="42">
        <f>L8*AH10</f>
        <v>0</v>
      </c>
      <c r="O8" s="254"/>
      <c r="P8" s="38"/>
      <c r="Q8" s="41">
        <f>COUNTIFS(General!F:F, "IP CERRADA", General!M:M, "J NEIRA", General!H:H, "PTE. APROBACION", General!G:G, "ENVIO DE ORDEN", General!O:O, "&gt;="&amp;DATE(2026,2,1), General!O:O, "&lt;="&amp;DATE(2026,2,31))</f>
        <v>0</v>
      </c>
      <c r="R8" s="42">
        <f>Q8*AH10</f>
        <v>0</v>
      </c>
      <c r="T8" s="254"/>
      <c r="U8" s="38"/>
      <c r="V8" s="41">
        <f>COUNTIFS(General!F:F, "IP CERRADA", General!M:M, "L DEL PIERO", General!H:H, "PTE. APROBACION", General!G:G, "ENVIO DE ORDEN", General!O:O, "&gt;="&amp;DATE(2026,2,1), General!O:O, "&lt;="&amp;DATE(2026,2,31))</f>
        <v>0</v>
      </c>
      <c r="W8" s="42">
        <f>V8*AH10</f>
        <v>0</v>
      </c>
      <c r="Y8" s="254"/>
      <c r="Z8" s="38"/>
      <c r="AA8" s="41">
        <f>COUNTIFS(General!F:F, "IP CERRADA", General!M:M, "E Delia", General!H:H, "PTE. APROBACION", General!G:G, "ENVIO DE ORDEN", General!O:O, "&gt;="&amp;DATE(2026,2,1), General!O:O, "&lt;="&amp;DATE(2026,2,31))</f>
        <v>0</v>
      </c>
      <c r="AB8" s="42">
        <f>AA8*AH10</f>
        <v>0</v>
      </c>
      <c r="AD8" s="37" t="s">
        <v>24</v>
      </c>
      <c r="AF8" s="118" t="s">
        <v>18</v>
      </c>
      <c r="AG8" s="119">
        <v>9562</v>
      </c>
      <c r="AH8" s="119">
        <v>8925</v>
      </c>
      <c r="AI8" s="116"/>
    </row>
    <row r="9" spans="1:35" ht="15.75">
      <c r="C9" s="261" t="s">
        <v>29</v>
      </c>
      <c r="E9" s="39">
        <f>COUNTIFS(General!F:F, "IP CERRADA", General!K:K, "A MIÑO", General!H:H, "PTE. APROBACION", General!G:G, "IP CAMIONES", General!O:O, "&gt;="&amp;DATE(2026,2,1), General!O:O, "&lt;="&amp;DATE(2026,2,31))</f>
        <v>0</v>
      </c>
      <c r="F9" s="40">
        <f>E9*AG15</f>
        <v>0</v>
      </c>
      <c r="G9" s="43">
        <f>COUNTIFS(General!F:F, "IP SIN ORDEN", General!M:M, "J. FERLANTI", General!H:H, "PTE. APROBACION", General!G:G, "IP CAMIONES", General!O:O, "&gt;="&amp;DATE(2026,2,1), General!O:O, "&lt;="&amp;DATE(2026,2,31)) + COUNTIFS(General!F:F, "PARA FACTURAR", General!M:M, "J. FERLANTI", General!H:H, "EN TRAMITE", General!G:G, "IP CAMIONES", General!O:O, "&gt;="&amp;DATE(2026,2,1), General!O:O, "&lt;="&amp;DATE(2026,2,31))</f>
        <v>0</v>
      </c>
      <c r="H9" s="44">
        <f>G9*AH15</f>
        <v>0</v>
      </c>
      <c r="J9" s="39">
        <f>COUNTIFS(General!F:F, "IP CERRADA", General!K:K, "J. FERLANTI", General!H:H, "PTE. APROBACION", General!G:G, "IP CAMIONES", General!O:O, "&gt;="&amp;DATE(2026,2,1), General!O:O, "&lt;="&amp;DATE(2026,2,31)) + COUNTIFS(General!F:F, "PARA FACTURAR", General!K:K, "J. FERLANTI", General!G:G, "IP CAMIONES", General!O:O, "&gt;="&amp;DATE(2026,2,1), General!O:O, "&lt;="&amp;DATE(2026,2,31))</f>
        <v>0</v>
      </c>
      <c r="K9" s="40">
        <f>J9*AG15</f>
        <v>0</v>
      </c>
      <c r="L9" s="43">
        <f>COUNTIFS(General!F:F, "IP CERRADA", General!M:M, "J. FERLANTI", General!H:H, "PTE. APROBACION", General!G:G, "IP CAMIONES", General!O:O, "&gt;="&amp;DATE(2026,2,1), General!O:O, "&lt;="&amp;DATE(2026,2,31))</f>
        <v>0</v>
      </c>
      <c r="M9" s="44">
        <f>L9*AH15</f>
        <v>0</v>
      </c>
      <c r="O9" s="39">
        <f>COUNTIFS(General!F:F, "IP CERRADA", General!K:K, "J NEIRA", General!H:H, "PTE. APROBACION", General!G:G, "IP CAMIONES", General!O:O, "&gt;="&amp;DATE(2026,2,1), General!O:O, "&lt;="&amp;DATE(2026,2,31))</f>
        <v>0</v>
      </c>
      <c r="P9" s="40">
        <f>O9*AG15</f>
        <v>0</v>
      </c>
      <c r="Q9" s="43">
        <f>COUNTIFS(General!F:F, "IP CERRADA", General!M:M, "J NEIRA", General!H:H, "PTE. APROBACION", General!G:G, "IP CAMIONES", General!O:O, "&gt;="&amp;DATE(2026,2,1), General!O:O, "&lt;="&amp;DATE(2026,2,31))</f>
        <v>0</v>
      </c>
      <c r="R9" s="44">
        <f>Q9*AH15</f>
        <v>0</v>
      </c>
      <c r="T9" s="39">
        <f>COUNTIFS(General!F:F, "IP CERRADA", General!K:K, "L DEL PIERO", General!H:H, "PTE. APROBACION", General!G:G, "IP CAMIONES", General!O:O, "&gt;="&amp;DATE(2026,2,1), General!O:O, "&lt;="&amp;DATE(2026,2,31))</f>
        <v>0</v>
      </c>
      <c r="U9" s="40">
        <f>T9*AG15</f>
        <v>0</v>
      </c>
      <c r="V9" s="43">
        <f>COUNTIFS(General!F:F, "IP CERRADA", General!M:M, "L DEL PIERO", General!H:H, "PTE. APROBACION", General!G:G, "IP CAMIONES", General!O:O, "&gt;="&amp;DATE(2026,2,1), General!O:O, "&lt;="&amp;DATE(2026,2,31))</f>
        <v>0</v>
      </c>
      <c r="W9" s="44">
        <f>V9*AH15</f>
        <v>0</v>
      </c>
      <c r="Y9" s="39">
        <f>COUNTIFS(General!F:F, "IP CERRADA", General!K:K, "E Delia", General!H:H, "PTE. APROBACION", General!G:G, "IP CAMIONES", General!O:O, "&gt;="&amp;DATE(2026,2,1), General!O:O, "&lt;="&amp;DATE(2026,2,31))</f>
        <v>0</v>
      </c>
      <c r="Z9" s="40">
        <f>Y9*AG15</f>
        <v>0</v>
      </c>
      <c r="AA9" s="43">
        <f>COUNTIFS(General!F:F, "IP CERRADA", General!M:M, "E Delia", General!H:H, "PTE. APROBACION", General!G:G, "IP CAMIONES", General!O:O, "&gt;="&amp;DATE(2026,2,1), General!O:O, "&lt;="&amp;DATE(2026,2,31))</f>
        <v>0</v>
      </c>
      <c r="AB9" s="44">
        <f>AA9*AH15</f>
        <v>0</v>
      </c>
      <c r="AD9" s="261" t="s">
        <v>29</v>
      </c>
      <c r="AF9" s="120" t="s">
        <v>21</v>
      </c>
      <c r="AG9" s="121">
        <v>4250</v>
      </c>
      <c r="AH9" s="121">
        <v>2000</v>
      </c>
      <c r="AI9" s="116"/>
    </row>
    <row r="10" spans="1:35" ht="15.75">
      <c r="C10" s="37" t="s">
        <v>30</v>
      </c>
      <c r="E10" s="254">
        <f>COUNTIFS(General!F:F, "IP CERRADA", General!K:K, "A MIÑO", General!H:H, "PTE. APROBACION", General!G:G, "TERCEROS", General!O:O, "&gt;="&amp;DATE(2024,3,1), General!O:O, "&gt;="&amp;DATE(2026,2,1), General!O:O, "&lt;="&amp;DATE(2026,2,31))</f>
        <v>0</v>
      </c>
      <c r="F10" s="38">
        <f>E10*AG12</f>
        <v>0</v>
      </c>
      <c r="G10" s="41">
        <f>COUNTIFS(General!F:F, "IP CERRADA", General!M:M, "A MIÑO", General!H:H, "PTE. APROBACION", General!G:G, "TERCEROS", General!O:O, "&gt;="&amp;DATE(2026,2,1), General!O:O, "&lt;="&amp;DATE(2026,2,31))</f>
        <v>0</v>
      </c>
      <c r="H10" s="42">
        <f>G10*AH12</f>
        <v>0</v>
      </c>
      <c r="J10" s="254">
        <f>COUNTIFS(General!F:F, "IP CERRADA", General!K:K, "J. FERLANTI", General!H:H, "PTE. APROBACION", General!G:G, "TERCEROS", General!O:O, "&gt;="&amp;DATE(2026,2,1), General!O:O, "&lt;="&amp;DATE(2026,2,31)) + COUNTIFS(General!F:F, "PARA FACTURAR", General!K:K, "J. FERLANTI", General!G:G, "TERCEROS", General!O:O, "&gt;="&amp;DATE(2026,2,1), General!O:O, "&lt;="&amp;DATE(2026,2,31))</f>
        <v>0</v>
      </c>
      <c r="K10" s="38">
        <f>J10*AG12</f>
        <v>0</v>
      </c>
      <c r="L10" s="41">
        <f>COUNTIFS(General!F:F, "IP SIN ORDEN", General!M:M, "J. FERLANTI", General!H:H, "PTE. APROBACION", General!G:G, "TERCEROS", General!O:O, "&gt;="&amp;DATE(2026,2,1), General!O:O, "&lt;="&amp;DATE(2026,2,31)) + COUNTIFS(General!F:F, "PARA FACTURAR", General!M:M, "J. FERLANTI", General!H:H, "EN TRAMITE", General!G:G, "TERCEROS", General!O:O, "&gt;="&amp;DATE(2026,2,1), General!O:O, "&lt;="&amp;DATE(2026,2,31))</f>
        <v>0</v>
      </c>
      <c r="M10" s="42">
        <f>L10*AH12</f>
        <v>0</v>
      </c>
      <c r="O10" s="254">
        <f>COUNTIFS(General!F:F, "IP CERRADA", General!K:K, "J NEIRA", General!H:H, "PTE. APROBACION", General!G:G, "TERCEROS", General!O:O, "&gt;="&amp;DATE(2024,3,1), General!O:O, "&gt;="&amp;DATE(2026,2,1), General!O:O, "&lt;="&amp;DATE(2026,2,31))</f>
        <v>0</v>
      </c>
      <c r="P10" s="38">
        <f>O10*AG12</f>
        <v>0</v>
      </c>
      <c r="Q10" s="41">
        <f>COUNTIFS(General!F:F, "IP CERRADA", General!M:M, "J NEIRA", General!H:H, "PTE. APROBACION", General!G:G, "TERCEROS", General!O:O, "&gt;="&amp;DATE(2026,2,1), General!O:O, "&lt;="&amp;DATE(2026,2,31))</f>
        <v>0</v>
      </c>
      <c r="R10" s="42">
        <f>Q10*AH12</f>
        <v>0</v>
      </c>
      <c r="T10" s="254">
        <f>COUNTIFS(General!F:F, "IP CERRADA", General!K:K, "L DEL PIERO", General!H:H, "PTE. APROBACION", General!G:G, "TERCEROS", General!O:O, "&gt;="&amp;DATE(2024,3,1), General!O:O, "&gt;="&amp;DATE(2026,2,1), General!O:O, "&lt;="&amp;DATE(2026,2,31))</f>
        <v>0</v>
      </c>
      <c r="U10" s="38">
        <f>T10*AG12</f>
        <v>0</v>
      </c>
      <c r="V10" s="41">
        <f>COUNTIFS(General!F:F, "IP CERRADA", General!M:M, "L DEL PIERO", General!H:H, "PTE. APROBACION", General!G:G, "TERCEROS", General!O:O, "&gt;="&amp;DATE(2026,2,1), General!O:O, "&lt;="&amp;DATE(2026,2,31))</f>
        <v>0</v>
      </c>
      <c r="W10" s="42">
        <f>V10*AH12</f>
        <v>0</v>
      </c>
      <c r="Y10" s="254">
        <f>COUNTIFS(General!F:F, "IP CERRADA", General!K:K, "E Delia", General!H:H, "PTE. APROBACION", General!G:G, "TERCEROS", General!O:O, "&gt;="&amp;DATE(2024,3,1), General!O:O, "&gt;="&amp;DATE(2026,2,1), General!O:O, "&lt;="&amp;DATE(2026,2,31))</f>
        <v>0</v>
      </c>
      <c r="Z10" s="38">
        <f>Y10*AG12</f>
        <v>0</v>
      </c>
      <c r="AA10" s="41">
        <f>COUNTIFS(General!F:F, "IP CERRADA", General!M:M, "E Delia", General!H:H, "PTE. APROBACION", General!G:G, "TERCEROS", General!O:O, "&gt;="&amp;DATE(2026,2,1), General!O:O, "&lt;="&amp;DATE(2026,2,31))</f>
        <v>0</v>
      </c>
      <c r="AB10" s="42">
        <f>AA10*AH12</f>
        <v>0</v>
      </c>
      <c r="AD10" s="37" t="s">
        <v>30</v>
      </c>
      <c r="AF10" s="118" t="s">
        <v>24</v>
      </c>
      <c r="AG10" s="119" t="s">
        <v>27</v>
      </c>
      <c r="AH10" s="119"/>
      <c r="AI10" s="116"/>
    </row>
    <row r="11" spans="1:35" ht="15.75">
      <c r="C11" s="261" t="s">
        <v>32</v>
      </c>
      <c r="E11" s="39" t="s">
        <v>27</v>
      </c>
      <c r="F11" s="40" t="s">
        <v>27</v>
      </c>
      <c r="G11" s="43">
        <f>COUNTIFS(General!F:F, "IP CERRADA", General!M:M, "A MIÑO", General!H:H, "PTE. APROBACION", General!G:G, "FOTOS", General!O:O, "&gt;="&amp;DATE(2026,2,1), General!O:O, "&lt;="&amp;DATE(2026,2,31))</f>
        <v>0</v>
      </c>
      <c r="H11" s="44">
        <v>0</v>
      </c>
      <c r="J11" s="39" t="s">
        <v>27</v>
      </c>
      <c r="K11" s="40" t="s">
        <v>27</v>
      </c>
      <c r="L11" s="43">
        <f>COUNTIFS(General!F:F, "IP SIN ORDEN", General!M:M, "J. FERLANTI", General!H:H, "PTE. APROBACION", General!G:G, "FOTOS", General!O:O, "&gt;="&amp;DATE(2026,2,1), General!O:O, "&lt;="&amp;DATE(2026,2,31)) + COUNTIFS(General!F:F, "PARA FACTURAR", General!M:M, "J. FERLANTI", General!H:H, "EN TRAMITE", General!G:G, "FOTOS", General!O:O, "&gt;="&amp;DATE(2026,2,1), General!O:O, "&lt;="&amp;DATE(2026,2,31))</f>
        <v>0</v>
      </c>
      <c r="M11" s="44">
        <f>L11*AH13</f>
        <v>0</v>
      </c>
      <c r="O11" s="39"/>
      <c r="P11" s="40"/>
      <c r="Q11" s="43">
        <f>COUNTIFS(General!F:F, "IP CERRADA", General!M:M, "J NEIRA", General!H:H, "PTE. APROBACION", General!G:G, "FOTOS", General!O:O, "&gt;="&amp;DATE(2026,2,1), General!O:O, "&lt;="&amp;DATE(2026,2,31))</f>
        <v>0</v>
      </c>
      <c r="R11" s="44">
        <f>Q11*AH13</f>
        <v>0</v>
      </c>
      <c r="T11" s="39"/>
      <c r="U11" s="40"/>
      <c r="V11" s="43">
        <f>COUNTIFS(General!F:F, "IP CERRADA", General!M:M, "L DEL PIERO", General!H:H, "PTE. APROBACION", General!G:G, "FOTOS", General!O:O, "&gt;="&amp;DATE(2026,2,1), General!O:O, "&lt;="&amp;DATE(2026,2,31))</f>
        <v>0</v>
      </c>
      <c r="W11" s="44">
        <f>V11*AH13</f>
        <v>0</v>
      </c>
      <c r="Y11" s="39"/>
      <c r="Z11" s="40"/>
      <c r="AA11" s="43">
        <f>COUNTIFS(General!F:F, "IP CERRADA", General!M:M, "E Delia", General!H:H, "PTE. APROBACION", General!G:G, "FOTOS", General!O:O, "&gt;="&amp;DATE(2026,2,1), General!O:O, "&lt;="&amp;DATE(2026,2,31))</f>
        <v>0</v>
      </c>
      <c r="AB11" s="44">
        <f>AA11*AH13</f>
        <v>0</v>
      </c>
      <c r="AD11" s="261" t="s">
        <v>32</v>
      </c>
      <c r="AF11" s="120" t="s">
        <v>26</v>
      </c>
      <c r="AG11" s="121">
        <v>2550</v>
      </c>
      <c r="AH11" s="121" t="s">
        <v>27</v>
      </c>
      <c r="AI11" s="116"/>
    </row>
    <row r="12" spans="1:35" ht="15.75">
      <c r="C12" s="37" t="s">
        <v>84</v>
      </c>
      <c r="E12" s="254">
        <f>COUNTIFS(General!F:F, "IP CERRADA", General!K:K, "A MIÑO", General!K:K, "A MIÑO", General!H:H, "PTE. APROBACION", General!G:G, "IP FINAL/INTERMEDIA", General!O:O, "&gt;="&amp;DATE(2026,2,1), General!O:O, "&lt;="&amp;DATE(2026,2,31))</f>
        <v>0</v>
      </c>
      <c r="F12" s="38">
        <f>E12*AG14</f>
        <v>0</v>
      </c>
      <c r="G12" s="41">
        <f>COUNTIFS(General!F:F, "IP CERRADA", General!M:M, "A MIÑO", General!H:H, "PTE. APROBACION", General!G:G, "IP REMOTA", General!O:O, "&gt;="&amp;DATE(2026,2,1), General!O:O, "&lt;="&amp;DATE(2026,2,31))</f>
        <v>1</v>
      </c>
      <c r="H12" s="42">
        <f>G12*AH14</f>
        <v>8925</v>
      </c>
      <c r="J12" s="254">
        <f>COUNTIFS(General!F:F, "IP CERRADA", General!K:K, "J. FERLANTI", General!H:H, "PTE. APROBACION", General!G:G, "IP FINAL/INTERMEDIA", General!O:O, "&gt;="&amp;DATE(2026,2,1), General!O:O, "&lt;="&amp;DATE(2026,2,31)) + COUNTIFS(General!F:F, "PARA FACTURAR", General!K:K, "J. FERLANTI", General!G:G, "IP FINAL/INTERMEDIA", General!O:O, "&gt;="&amp;DATE(2026,2,1), General!O:O, "&lt;="&amp;DATE(2026,2,31))</f>
        <v>0</v>
      </c>
      <c r="K12" s="38">
        <f>J12*AG9</f>
        <v>0</v>
      </c>
      <c r="L12" s="41">
        <f>COUNTIFS(General!F:F, "IP CERRADA", General!M:M, "J. FERLANTI", General!H:H, "PTE. APROBACION", General!G:G, "IP FINAL/INTERMEDIA", General!O:O, "&gt;="&amp;DATE(2026,2,1), General!O:O, "&lt;="&amp;DATE(2026,2,31)) + COUNTIFS(General!F:F, "PARA FACTURAR", General!M:M, "J. FERLANTI", General!H:H, "EN TRAMITE", General!G:G, "IP FINAL/INTERMEDIA", General!O:O, "&gt;="&amp;DATE(2026,2,1), General!O:O, "&lt;="&amp;DATE(2026,2,31))</f>
        <v>2</v>
      </c>
      <c r="M12" s="42">
        <f>L12*AH9</f>
        <v>4000</v>
      </c>
      <c r="O12" s="254">
        <f>COUNTIFS(General!F:F, "IP CERRADA", General!K:K, "J NEIRA", General!K:K, "A MIÑO", General!H:H, "PTE. APROBACION", General!G:G, "IP REMOTA", General!O:O, "&gt;="&amp;DATE(2026,2,1), General!O:O, "&lt;="&amp;DATE(2026,2,31))</f>
        <v>0</v>
      </c>
      <c r="P12" s="38">
        <f>O12*AG14</f>
        <v>0</v>
      </c>
      <c r="Q12" s="41">
        <f>COUNTIFS(General!F:F, "IP CERRADA", General!M:M, "J NEIRA", General!H:H, "PTE. APROBACION", General!G:G, "IP REMOTA", General!O:O, "&gt;="&amp;DATE(2026,2,1), General!O:O, "&lt;="&amp;DATE(2026,2,31))</f>
        <v>0</v>
      </c>
      <c r="R12" s="42">
        <f>Q12*AH14</f>
        <v>0</v>
      </c>
      <c r="T12" s="254">
        <f>COUNTIFS(General!F:F, "IP CERRADA", General!K:K, "L DEL PIERO", General!K:K, "A MIÑO", General!H:H, "PTE. APROBACION", General!G:G, "IP REMOTA", General!O:O, "&gt;="&amp;DATE(2026,2,1), General!O:O, "&lt;="&amp;DATE(2026,2,31))</f>
        <v>0</v>
      </c>
      <c r="U12" s="38">
        <f>T12*AG14</f>
        <v>0</v>
      </c>
      <c r="V12" s="41">
        <f>COUNTIFS(General!F:F, "IP CERRADA", General!M:M, "L DEL PIERO", General!H:H, "PTE. APROBACION", General!G:G, "IP REMOTA", General!O:O, "&gt;="&amp;DATE(2026,2,1), General!O:O, "&lt;="&amp;DATE(2026,2,31))</f>
        <v>0</v>
      </c>
      <c r="W12" s="42">
        <f>V12*AH14</f>
        <v>0</v>
      </c>
      <c r="Y12" s="254">
        <f>COUNTIFS(General!F:F, "IP CERRADA", General!K:K, "E Delia",  General!H:H, "PTE. APROBACION", General!G:G, "IP FINAL/INTERMEDIA", General!O:O, "&gt;="&amp;DATE(2026,2,1), General!O:O, "&lt;="&amp;DATE(2026,2,31))</f>
        <v>2</v>
      </c>
      <c r="Z12" s="38">
        <f>Y12*AG9</f>
        <v>8500</v>
      </c>
      <c r="AA12" s="41">
        <f>COUNTIFS(General!F:F, "IP CERRADA", General!M:M, "E Delia", General!H:H, "PTE. APROBACION", General!G:G, "IP REMOTA", General!O:O, "&gt;="&amp;DATE(2026,2,1), General!O:O, "&lt;="&amp;DATE(2026,2,31))</f>
        <v>0</v>
      </c>
      <c r="AB12" s="42">
        <f>AA12*AH14</f>
        <v>0</v>
      </c>
      <c r="AD12" s="37" t="s">
        <v>34</v>
      </c>
      <c r="AF12" s="118" t="s">
        <v>30</v>
      </c>
      <c r="AG12" s="119">
        <v>9562</v>
      </c>
      <c r="AH12" s="119">
        <v>8925</v>
      </c>
      <c r="AI12" s="116"/>
    </row>
    <row r="13" spans="1:35" ht="15.75">
      <c r="C13" s="261" t="s">
        <v>37</v>
      </c>
      <c r="E13" s="39">
        <f>COUNTIFS(General!F:F, "IP CERRADA", General!K:K, "A MIÑO", General!K:K, "A MIÑO", General!H:H, "PTE. APROBACION", General!G:G, "IP REMOTA", General!O:O, "&gt;="&amp;DATE(2026,2,1), General!O:O, "&lt;="&amp;DATE(2026,2,31))</f>
        <v>1</v>
      </c>
      <c r="F13" s="40" t="s">
        <v>27</v>
      </c>
      <c r="G13" s="43">
        <f>COUNTIFS(General!F:F, "IP CERRADA", General!M:M, "A MIÑO", General!H:H, "PTE. APROBACION", General!G:G, "IP VIRTUAL", General!O:O, "&gt;="&amp;DATE(2026,2,1), General!O:O, "&lt;="&amp;DATE(2026,2,31))</f>
        <v>0</v>
      </c>
      <c r="H13" s="44">
        <f>G13*AH16</f>
        <v>0</v>
      </c>
      <c r="J13" s="39" t="s">
        <v>27</v>
      </c>
      <c r="K13" s="40" t="s">
        <v>27</v>
      </c>
      <c r="L13" s="43">
        <f>COUNTIFS(General!F:F, "IP SIN ORDEN", General!M:M, "J. FERLANTI", General!H:H, "PTE. APROBACION", General!G:G, "IP VIRTUAL", General!O:O, "&gt;="&amp;DATE(2026,2,1), General!O:O, "&lt;="&amp;DATE(2026,2,31)) + COUNTIFS(General!F:F, "PARA FACTURAR", General!M:M, "J. FERLANTI", General!H:H, "EN TRAMITE", General!G:G, "IP VIRTUAL", General!O:O, "&gt;="&amp;DATE(2026,2,1), General!O:O, "&lt;="&amp;DATE(2026,2,31))</f>
        <v>0</v>
      </c>
      <c r="M13" s="44">
        <f>L13*AH16</f>
        <v>0</v>
      </c>
      <c r="O13" s="39"/>
      <c r="P13" s="40"/>
      <c r="Q13" s="43">
        <f>COUNTIFS(General!F:F, "IP CERRADA", General!M:M, "J NEIRA", General!H:H, "PTE. APROBACION", General!G:G, "IP VIRTUAL", General!O:O, "&gt;="&amp;DATE(2026,2,1), General!O:O, "&lt;="&amp;DATE(2026,2,31))</f>
        <v>0</v>
      </c>
      <c r="R13" s="44">
        <f>Q13*AH16</f>
        <v>0</v>
      </c>
      <c r="T13" s="39"/>
      <c r="U13" s="40"/>
      <c r="V13" s="43">
        <f>COUNTIFS(General!F:F, "IP CERRADA", General!M:M, "L DEL PIERO", General!H:H, "PTE. APROBACION", General!G:G, "IP VIRTUAL", General!O:O, "&gt;="&amp;DATE(2026,2,1), General!O:O, "&lt;="&amp;DATE(2026,2,31))</f>
        <v>0</v>
      </c>
      <c r="W13" s="44">
        <f>V13*AH16</f>
        <v>0</v>
      </c>
      <c r="Y13" s="39"/>
      <c r="Z13" s="40"/>
      <c r="AA13" s="43">
        <f>COUNTIFS(General!F:F, "IP CERRADA", General!M:M, "E Delia", General!H:H, "PTE. APROBACION", General!G:G, "IP VIRTUAL", General!O:O, "&gt;="&amp;DATE(2026,2,1), General!O:O, "&lt;="&amp;DATE(2026,2,31))</f>
        <v>0</v>
      </c>
      <c r="AB13" s="44">
        <f>AA13*AH16</f>
        <v>0</v>
      </c>
      <c r="AD13" s="261" t="s">
        <v>37</v>
      </c>
      <c r="AF13" s="120" t="s">
        <v>32</v>
      </c>
      <c r="AG13" s="121" t="s">
        <v>27</v>
      </c>
      <c r="AH13" s="121">
        <v>0</v>
      </c>
      <c r="AI13" s="116"/>
    </row>
    <row r="14" spans="1:35" ht="15.75">
      <c r="C14" s="37" t="s">
        <v>26</v>
      </c>
      <c r="E14" s="254">
        <f>COUNTIFS(General!F:F, "IP CERRADA", General!K:K, "A MIÑO", General!K:K, "A MIÑO", General!H:H, "PTE. APROBACION", General!G:G, "AUSENTE", General!O:O, "&gt;="&amp;DATE(2026,2,1), General!O:O, "&lt;="&amp;DATE(2026,2,31))</f>
        <v>0</v>
      </c>
      <c r="F14" s="38">
        <f>E14*AG11</f>
        <v>0</v>
      </c>
      <c r="G14" s="41" t="s">
        <v>27</v>
      </c>
      <c r="H14" s="42" t="s">
        <v>27</v>
      </c>
      <c r="J14" s="254">
        <f>COUNTIFS(General!F:F, "IP CERRADA", General!K:K, "J. FERLANTI", General!H:H, "PTE. APROBACION", General!G:G, "AUSENTE", General!O:O, "&gt;="&amp;DATE(2026,2,1), General!O:O, "&lt;="&amp;DATE(2026,2,31)) + COUNTIFS(General!F:F, "PARA FACTURAR", General!K:K, "J. FERLANTI", General!G:G, "AUSENTE", General!O:O, "&gt;="&amp;DATE(2026,2,1), General!O:O, "&lt;="&amp;DATE(2026,2,31))</f>
        <v>3</v>
      </c>
      <c r="K14" s="38">
        <f>J14*AG11</f>
        <v>7650</v>
      </c>
      <c r="L14" s="41"/>
      <c r="M14" s="42"/>
      <c r="O14" s="254">
        <f>COUNTIFS(General!F:F, "IP CERRADA", General!K:K, "J NEIRA", General!K:K, "A MIÑO", General!H:H, "PTE. APROBACION", General!G:G, "AUSENTE", General!O:O, "&gt;="&amp;DATE(2026,2,1), General!O:O, "&lt;="&amp;DATE(2026,2,31))</f>
        <v>0</v>
      </c>
      <c r="P14" s="38">
        <f>O14*AG11</f>
        <v>0</v>
      </c>
      <c r="Q14" s="41"/>
      <c r="R14" s="42"/>
      <c r="T14" s="254">
        <f>COUNTIFS(General!F:F, "IP CERRADA", General!K:K, "L DEL PIERO", General!K:K, "A MIÑO", General!H:H, "PTE. APROBACION", General!G:G, "AUSENTE", General!O:O, "&gt;="&amp;DATE(2026,2,1), General!O:O, "&lt;="&amp;DATE(2026,2,31))</f>
        <v>0</v>
      </c>
      <c r="U14" s="38">
        <f>T14*AG11</f>
        <v>0</v>
      </c>
      <c r="V14" s="41"/>
      <c r="W14" s="42"/>
      <c r="Y14" s="254">
        <f>COUNTIFS(General!F:F, "IP CERRADA", General!K:K, "E Delia", General!K:K, "E DELIA", General!H:H, "PTE. APROBACION", General!G:G, "AUSENTE", General!O:O, "&gt;="&amp;DATE(2026,2,1), General!O:O, "&lt;="&amp;DATE(2026,2,31))</f>
        <v>1</v>
      </c>
      <c r="Z14" s="38">
        <f>Y14*AG11</f>
        <v>2550</v>
      </c>
      <c r="AA14" s="41"/>
      <c r="AB14" s="42"/>
      <c r="AD14" s="37" t="s">
        <v>26</v>
      </c>
      <c r="AF14" s="118" t="s">
        <v>34</v>
      </c>
      <c r="AG14" s="119">
        <v>9562</v>
      </c>
      <c r="AH14" s="119">
        <v>8925</v>
      </c>
      <c r="AI14" s="116"/>
    </row>
    <row r="15" spans="1:35">
      <c r="E15" s="395" t="s">
        <v>44</v>
      </c>
      <c r="F15" s="396"/>
      <c r="G15" s="397" t="s">
        <v>44</v>
      </c>
      <c r="H15" s="398"/>
      <c r="J15" s="383" t="s">
        <v>44</v>
      </c>
      <c r="K15" s="384"/>
      <c r="L15" s="381" t="s">
        <v>44</v>
      </c>
      <c r="M15" s="382"/>
      <c r="O15" s="383" t="s">
        <v>44</v>
      </c>
      <c r="P15" s="384"/>
      <c r="Q15" s="381" t="s">
        <v>44</v>
      </c>
      <c r="R15" s="382"/>
      <c r="T15" s="383" t="s">
        <v>44</v>
      </c>
      <c r="U15" s="384"/>
      <c r="V15" s="381" t="s">
        <v>44</v>
      </c>
      <c r="W15" s="382"/>
      <c r="Y15" s="383" t="s">
        <v>44</v>
      </c>
      <c r="Z15" s="384"/>
      <c r="AA15" s="381" t="s">
        <v>44</v>
      </c>
      <c r="AB15" s="382"/>
      <c r="AF15" s="120" t="s">
        <v>29</v>
      </c>
      <c r="AG15" s="121">
        <v>9562</v>
      </c>
      <c r="AH15" s="121">
        <v>8925</v>
      </c>
      <c r="AI15" s="116"/>
    </row>
    <row r="16" spans="1:35">
      <c r="E16" s="37">
        <f>E4+E5+E6+E7+E9+E10+E12+E14</f>
        <v>3</v>
      </c>
      <c r="F16" s="29">
        <f>F4+F5+F6+F7+F9+F10+F12+F14</f>
        <v>28686</v>
      </c>
      <c r="G16" s="51">
        <f>G4+G5+G6+G7+G8+G9+G10+G11+G12+G13</f>
        <v>6</v>
      </c>
      <c r="H16" s="45">
        <f>H4+H5+H6+H7+H8+H9+H10+H11+H12+H13</f>
        <v>53550</v>
      </c>
      <c r="J16" s="37">
        <f>J4+J5+J6+J7+J9+J10+J12+J14</f>
        <v>6</v>
      </c>
      <c r="K16" s="29">
        <f>K4+K5+K6+K7+K9+K10+K12+K14</f>
        <v>31024</v>
      </c>
      <c r="L16" s="51">
        <f>L4+L5+L6+L7+L8+L9+L10+L11+L12+L13</f>
        <v>161</v>
      </c>
      <c r="M16" s="45">
        <f>M4+M5+M6+M7+M8+M9+M10+M11+M12+M13</f>
        <v>1353825</v>
      </c>
      <c r="O16" s="37">
        <f>O4+O5+O6+O7+O8+O9+O10+O11+O12+O13+O14</f>
        <v>0</v>
      </c>
      <c r="P16" s="29">
        <f>P4+P5+P6+P7+P8+P9+P10+P11+P12+P13</f>
        <v>0</v>
      </c>
      <c r="Q16" s="51">
        <f>Q4+Q5+Q6+Q7+Q8+Q9+Q10+Q11+Q12+Q13</f>
        <v>0</v>
      </c>
      <c r="R16" s="45">
        <f>R4+R5+R6+R7+R8+R9+R10+R11+R12+R13</f>
        <v>0</v>
      </c>
      <c r="T16" s="37">
        <f>T4+T5+T6+T7+T8+T9+T10+T11+T12+T13+T14</f>
        <v>99</v>
      </c>
      <c r="U16" s="29">
        <f>U4+U5+U6+U7+U8+U9+U10+U11+U12+U13</f>
        <v>914766</v>
      </c>
      <c r="V16" s="51">
        <f>V4+V5+V6+V7+V8+V9+V10+V11+V12+V13</f>
        <v>0</v>
      </c>
      <c r="W16" s="45">
        <f>W4+W5+W6+W7+W8+W9+W10+W11+W12+W13</f>
        <v>0</v>
      </c>
      <c r="Y16" s="37">
        <f>Y4+Y5+Y6+Y7+Y8+Y9+Y10+Y11+Y12+Y13+Y14</f>
        <v>58</v>
      </c>
      <c r="Z16" s="29">
        <f>Z4+Z5+Z6+Z7+Z8+Z9+Z10+Z11+Z12+Z13</f>
        <v>523786</v>
      </c>
      <c r="AA16" s="51">
        <f>AA4+AA5+AA6+AA7+AA8+AA9+AA10+AA11+AA12+AA13</f>
        <v>0</v>
      </c>
      <c r="AB16" s="45">
        <f>AB4+AB5+AB6+AB7+AB8+AB9+AB10+AB11+AB12+AB13</f>
        <v>0</v>
      </c>
      <c r="AF16" s="118" t="s">
        <v>37</v>
      </c>
      <c r="AG16" s="119" t="s">
        <v>27</v>
      </c>
      <c r="AH16" s="119">
        <v>0</v>
      </c>
      <c r="AI16" s="116"/>
    </row>
    <row r="17" spans="3:35">
      <c r="E17" s="48"/>
      <c r="F17" s="49"/>
      <c r="G17" s="48"/>
      <c r="H17" s="49"/>
      <c r="J17" s="48"/>
      <c r="K17" s="49"/>
      <c r="L17" s="48"/>
      <c r="M17" s="49"/>
      <c r="O17" s="48"/>
      <c r="P17" s="49"/>
      <c r="Q17" s="48"/>
      <c r="R17" s="49"/>
      <c r="T17" s="48"/>
      <c r="U17" s="49"/>
      <c r="V17" s="48"/>
      <c r="W17" s="49"/>
      <c r="Y17" s="48"/>
      <c r="Z17" s="49"/>
      <c r="AA17" s="48"/>
      <c r="AB17" s="49"/>
      <c r="AF17" s="118"/>
      <c r="AG17" s="119"/>
      <c r="AH17" s="119"/>
      <c r="AI17" s="116"/>
    </row>
    <row r="18" spans="3:35">
      <c r="E18" s="395"/>
      <c r="F18" s="396"/>
      <c r="G18" s="261"/>
      <c r="H18" s="52"/>
      <c r="J18" s="380"/>
      <c r="K18" s="380"/>
      <c r="L18" s="261"/>
      <c r="M18" s="50"/>
      <c r="O18" s="380"/>
      <c r="P18" s="380"/>
      <c r="Q18" s="261"/>
      <c r="R18" s="50"/>
      <c r="T18" s="380"/>
      <c r="U18" s="380"/>
      <c r="V18" s="261"/>
      <c r="W18" s="50"/>
      <c r="Y18" s="380"/>
      <c r="Z18" s="380"/>
      <c r="AA18" s="261"/>
      <c r="AB18" s="50"/>
      <c r="AF18" s="118"/>
      <c r="AG18" s="119"/>
      <c r="AH18" s="119"/>
      <c r="AI18" s="116"/>
    </row>
    <row r="19" spans="3:35">
      <c r="E19" s="376" t="s">
        <v>3</v>
      </c>
      <c r="F19" s="377"/>
      <c r="G19" s="99">
        <f>COUNTIFS(General!F:F, "LICITANDO REPUESTOS", General!M:M, "A MIÑO")</f>
        <v>0</v>
      </c>
      <c r="H19" s="100"/>
      <c r="J19" s="376" t="s">
        <v>3</v>
      </c>
      <c r="K19" s="377"/>
      <c r="L19" s="99">
        <f>COUNTIFS(General!F:F, "LICITANDO REPUESTOS", General!M:M, "J. FERLANTI")</f>
        <v>16</v>
      </c>
      <c r="M19" s="100"/>
      <c r="O19" s="393" t="s">
        <v>3</v>
      </c>
      <c r="P19" s="394"/>
      <c r="Q19" s="99">
        <f>COUNTIFS(General!F:F, "LICITANDO REPUESTOS", General!M:M, "J NEIRA")</f>
        <v>0</v>
      </c>
      <c r="R19" s="100"/>
      <c r="T19" s="376" t="s">
        <v>3</v>
      </c>
      <c r="U19" s="377"/>
      <c r="V19" s="95"/>
      <c r="W19" s="96"/>
      <c r="Y19" s="376" t="s">
        <v>3</v>
      </c>
      <c r="Z19" s="377"/>
      <c r="AA19" s="95"/>
      <c r="AB19" s="96"/>
      <c r="AF19" s="122" t="s">
        <v>43</v>
      </c>
      <c r="AG19" s="123">
        <v>300</v>
      </c>
      <c r="AH19" s="123" t="s">
        <v>27</v>
      </c>
      <c r="AI19" s="117"/>
    </row>
    <row r="20" spans="3:35">
      <c r="E20" s="378" t="s">
        <v>85</v>
      </c>
      <c r="F20" s="379"/>
      <c r="G20" s="97"/>
      <c r="H20" s="98"/>
      <c r="J20" s="378" t="s">
        <v>85</v>
      </c>
      <c r="K20" s="379"/>
      <c r="L20" s="97">
        <f>COUNTIFS(General!F:F, "IP COORDINADA", General!M:M, "J. FERLANTI")</f>
        <v>34</v>
      </c>
      <c r="M20" s="98"/>
      <c r="O20" s="378" t="s">
        <v>85</v>
      </c>
      <c r="P20" s="379"/>
      <c r="Q20" s="97"/>
      <c r="R20" s="98"/>
      <c r="T20" s="378" t="s">
        <v>85</v>
      </c>
      <c r="U20" s="379"/>
      <c r="V20" s="97"/>
      <c r="W20" s="98"/>
      <c r="Y20" s="378" t="s">
        <v>85</v>
      </c>
      <c r="Z20" s="379"/>
      <c r="AA20" s="97"/>
      <c r="AB20" s="98"/>
    </row>
    <row r="21" spans="3:35">
      <c r="E21" s="374" t="s">
        <v>86</v>
      </c>
      <c r="F21" s="375"/>
      <c r="G21" s="46">
        <f>E4+E5+E6+E7+E9+E10+E12+E14+G4+G5+G6+G7+G8+G9+G10+G11+G12+G13</f>
        <v>9</v>
      </c>
      <c r="H21" s="47">
        <f>F16+H16+H18</f>
        <v>82236</v>
      </c>
      <c r="J21" s="374" t="s">
        <v>86</v>
      </c>
      <c r="K21" s="375"/>
      <c r="L21" s="46">
        <f>J4+J5+J6+J7+J9+J10+J12+J14+L4+L5+L6+L7+L9+L8+L10+L11+L12+L13</f>
        <v>167</v>
      </c>
      <c r="M21" s="47">
        <f>M16+M18+K16</f>
        <v>1384849</v>
      </c>
      <c r="O21" s="374" t="s">
        <v>86</v>
      </c>
      <c r="P21" s="375"/>
      <c r="Q21" s="46">
        <f>Q4+Q5+Q6+Q7+Q8+Q9+Q10+Q11+Q12+Q13+O4+O5+O6+O8+O7+O9+O10+O11+O12+O13</f>
        <v>0</v>
      </c>
      <c r="R21" s="47">
        <f>P16+R16</f>
        <v>0</v>
      </c>
      <c r="T21" s="374" t="s">
        <v>86</v>
      </c>
      <c r="U21" s="375"/>
      <c r="V21" s="46">
        <f>V4+V5+V6+V7+V8+V9+V10+V11+V12+V13+T4+T5+T6+T8+T7+T9+T10+T11+T12+T13</f>
        <v>99</v>
      </c>
      <c r="W21" s="47">
        <f>U16+W16</f>
        <v>914766</v>
      </c>
      <c r="Y21" s="374" t="s">
        <v>86</v>
      </c>
      <c r="Z21" s="375"/>
      <c r="AA21" s="46">
        <f>AA4+AA5+AA6+AA7+AA8+AA9+AA10+AA11+AA12+AA13+Y4+Y5+Y6+Y8+Y7+Y9+Y10+Y11+Y12+Y13</f>
        <v>57</v>
      </c>
      <c r="AB21" s="47">
        <f>Z16+AB16</f>
        <v>523786</v>
      </c>
    </row>
    <row r="22" spans="3:35">
      <c r="S22" t="s">
        <v>87</v>
      </c>
    </row>
    <row r="24" spans="3:35">
      <c r="C24" s="369" t="s">
        <v>1</v>
      </c>
      <c r="E24" s="385" t="s">
        <v>33</v>
      </c>
      <c r="F24" s="386"/>
      <c r="G24" s="386"/>
      <c r="H24" s="387"/>
      <c r="J24" s="385" t="s">
        <v>31</v>
      </c>
      <c r="K24" s="386"/>
      <c r="L24" s="386"/>
      <c r="M24" s="387"/>
      <c r="O24" s="385" t="s">
        <v>88</v>
      </c>
      <c r="P24" s="386"/>
      <c r="Q24" s="386"/>
      <c r="R24" s="387"/>
      <c r="T24" s="385" t="s">
        <v>22</v>
      </c>
      <c r="U24" s="386"/>
      <c r="V24" s="386"/>
      <c r="W24" s="387"/>
      <c r="Y24" s="385" t="s">
        <v>28</v>
      </c>
      <c r="Z24" s="386"/>
      <c r="AA24" s="386"/>
      <c r="AB24" s="387"/>
      <c r="AD24" s="369" t="s">
        <v>1</v>
      </c>
    </row>
    <row r="25" spans="3:35">
      <c r="C25" s="369"/>
      <c r="E25" s="388"/>
      <c r="F25" s="389"/>
      <c r="G25" s="389"/>
      <c r="H25" s="390"/>
      <c r="J25" s="388"/>
      <c r="K25" s="389"/>
      <c r="L25" s="389"/>
      <c r="M25" s="390"/>
      <c r="O25" s="388"/>
      <c r="P25" s="389"/>
      <c r="Q25" s="389"/>
      <c r="R25" s="390"/>
      <c r="T25" s="388"/>
      <c r="U25" s="389"/>
      <c r="V25" s="389"/>
      <c r="W25" s="390"/>
      <c r="Y25" s="388"/>
      <c r="Z25" s="389"/>
      <c r="AA25" s="389"/>
      <c r="AB25" s="390"/>
      <c r="AD25" s="369"/>
    </row>
    <row r="26" spans="3:35">
      <c r="E26" s="391" t="s">
        <v>83</v>
      </c>
      <c r="F26" s="391"/>
      <c r="G26" s="392" t="s">
        <v>8</v>
      </c>
      <c r="H26" s="392"/>
      <c r="J26" s="391" t="s">
        <v>83</v>
      </c>
      <c r="K26" s="391"/>
      <c r="L26" s="392" t="s">
        <v>8</v>
      </c>
      <c r="M26" s="392"/>
      <c r="O26" s="391" t="s">
        <v>83</v>
      </c>
      <c r="P26" s="391"/>
      <c r="Q26" s="392" t="s">
        <v>8</v>
      </c>
      <c r="R26" s="392"/>
      <c r="T26" s="391" t="s">
        <v>83</v>
      </c>
      <c r="U26" s="391"/>
      <c r="V26" s="392" t="s">
        <v>8</v>
      </c>
      <c r="W26" s="392"/>
      <c r="Y26" s="391" t="s">
        <v>83</v>
      </c>
      <c r="Z26" s="391"/>
      <c r="AA26" s="392" t="s">
        <v>8</v>
      </c>
      <c r="AB26" s="392"/>
    </row>
    <row r="27" spans="3:35" ht="15.75">
      <c r="C27" s="37" t="s">
        <v>10</v>
      </c>
      <c r="E27" s="254">
        <f>COUNTIFS(General!F:F, "IP CERRADA", General!K:K, "G DICLEMENTE", General!H:H, "PTE. APROBACION", General!G:G, "IP CON ORDEN", General!O:O, "&gt;="&amp;DATE(2026,2,1), General!O:O, "&lt;="&amp;DATE(2026,2,31))</f>
        <v>0</v>
      </c>
      <c r="F27" s="38">
        <f>E27*AG5</f>
        <v>0</v>
      </c>
      <c r="G27" s="55">
        <f>COUNTIFS(General!F:F, "IP CERRADA", General!M:M, "G DICLEMENTE", General!H:H, "PTE. APROBACION", General!G:G, "IP CON ORDEN", General!O:O, "&gt;="&amp;DATE(2026,2,1), General!O:O, "&lt;="&amp;DATE(2026,2,31))</f>
        <v>0</v>
      </c>
      <c r="H27" s="42">
        <f>G27*AH5</f>
        <v>0</v>
      </c>
      <c r="J27" s="254">
        <f>COUNTIFS(General!F:F, "IP CERRADA", General!K:K, "R. FRANCO", General!H:H, "PTE. APROBACION", General!G:G, "IP CON ORDEN", General!O:O, "&gt;="&amp;DATE(2026,2,1), General!O:O, "&lt;="&amp;DATE(2026,2,31))</f>
        <v>0</v>
      </c>
      <c r="K27" s="38">
        <f>J27*AG5</f>
        <v>0</v>
      </c>
      <c r="L27" s="41">
        <f>COUNTIFS(General!F:F, "IP CERRADA", General!M:M, "R. FRANCO", General!H:H, "PTE. APROBACION", General!G:G, "IP CON ORDEN", General!O:O, "&gt;="&amp;DATE(2026,2,1), General!O:O, "&lt;="&amp;DATE(2026,2,31))</f>
        <v>0</v>
      </c>
      <c r="M27" s="42">
        <f>L27*AH5</f>
        <v>0</v>
      </c>
      <c r="O27" s="254">
        <f>COUNTIFS(General!F:F, "IP CERRADA", General!K:K, "R ARIN", General!H:H, "PTE. APROBACION", General!G:G, "IP CON ORDEN", General!O:O, "&gt;="&amp;DATE(2026,2,1), General!O:O, "&lt;="&amp;DATE(2026,2,31))</f>
        <v>0</v>
      </c>
      <c r="P27" s="38">
        <f>O27*AG5</f>
        <v>0</v>
      </c>
      <c r="Q27" s="41">
        <f>COUNTIFS(General!F:F, "IP CERRADA", General!M:M, "R ARIN", General!H:H, "PTE. APROBACION", General!G:G, "IP CON ORDEN", General!O:O, "&gt;="&amp;DATE(2026,2,1), General!O:O, "&lt;="&amp;DATE(2026,2,31))</f>
        <v>0</v>
      </c>
      <c r="R27" s="42">
        <f>Q27*AH5</f>
        <v>0</v>
      </c>
      <c r="T27" s="254">
        <f>COUNTIFS(General!F:F, "IP CERRADA", General!K:K, "C. CRIBARI", General!H:H, "PTE. APROBACION", General!G:G, "IP CON ORDEN", General!O:O, "&gt;="&amp;DATE(2026,2,1), General!O:O, "&lt;="&amp;DATE(2026,2,31)) + COUNTIFS(General!F:F, "PARA FACTURAR", General!K:K, "C. CRIBARI", General!G:G, "IP CON ORDEN", General!O:O, "&gt;="&amp;DATE(2026,2,1), General!O:O, "&lt;="&amp;DATE(2026,2,31))</f>
        <v>0</v>
      </c>
      <c r="U27" s="38">
        <f>T27*AG5</f>
        <v>0</v>
      </c>
      <c r="V27" s="41">
        <f>COUNTIFS(General!F:F, "IP CERRADA", General!M:M, "C. CRIBARI", General!H:H, "PTE. APROBACION", General!G:G, "IP CON ORDEN", General!O:O, "&gt;="&amp;DATE(2026,2,1), General!O:O, "&lt;="&amp;DATE(2026,2,31)) + COUNTIFS(General!F:F, "PARA FACTURAR", General!M:M, "C. CRIBARI", General!H:H, "EN TRAMITE", General!G:G, "IP CON ORDEN")</f>
        <v>0</v>
      </c>
      <c r="W27" s="42">
        <f>V27*AH5</f>
        <v>0</v>
      </c>
      <c r="Y27" s="254">
        <f>COUNTIFS(General!F:F, "IP CERRADA", General!K:K, "E DZYHAJLO", General!H:H, "PTE. APROBACION", General!G:G, "IP CON ORDEN", General!O:O, "&gt;="&amp;DATE(2026,2,1), General!O:O, "&lt;="&amp;DATE(2026,2,31))</f>
        <v>0</v>
      </c>
      <c r="Z27" s="38">
        <f>Y27*AG5</f>
        <v>0</v>
      </c>
      <c r="AA27" s="41"/>
      <c r="AB27" s="42">
        <f>AA27*AH5</f>
        <v>0</v>
      </c>
      <c r="AD27" s="37" t="s">
        <v>10</v>
      </c>
    </row>
    <row r="28" spans="3:35" ht="15.75">
      <c r="C28" s="261" t="s">
        <v>15</v>
      </c>
      <c r="E28" s="39">
        <f>COUNTIFS(General!F:F, "IP CERRADA", General!K:K, "G DICLEMENTE", General!H:H, "PTE. APROBACION", General!G:G, "POSIBLE DT", General!O:O, "&gt;="&amp;DATE(2026,2,1), General!O:O, "&lt;="&amp;DATE(2026,2,31))</f>
        <v>0</v>
      </c>
      <c r="F28" s="53">
        <f>E28*AG7</f>
        <v>0</v>
      </c>
      <c r="G28" s="43">
        <f>COUNTIFS(General!F:F, "IP CERRADA", General!M:M, "G DICLEMENTE", General!H:H, "PTE. APROBACION", General!G:G, "POSIBLE DT", General!O:O, "&gt;="&amp;DATE(2026,2,1), General!O:O, "&lt;="&amp;DATE(2026,2,31))</f>
        <v>0</v>
      </c>
      <c r="H28" s="54">
        <f>G28*AH7</f>
        <v>0</v>
      </c>
      <c r="J28" s="39">
        <f>COUNTIFS(General!F:F, "IP CERRADA", General!K:K, "R. FRANCO", General!H:H, "PTE. APROBACION", General!G:G, "POSIBLE DT", General!O:O, "&gt;="&amp;DATE(2026,2,1), General!O:O, "&lt;="&amp;DATE(2026,2,31))</f>
        <v>0</v>
      </c>
      <c r="K28" s="40">
        <f>J28*AG7</f>
        <v>0</v>
      </c>
      <c r="L28" s="43">
        <f>COUNTIFS(General!F:F, "IP CERRADA", General!M:M, "R. FRANCO", General!H:H, "PTE. APROBACION", General!G:G, "POSIBLE DT", General!O:O, "&gt;="&amp;DATE(2026,2,1), General!O:O, "&lt;="&amp;DATE(2026,2,31))</f>
        <v>0</v>
      </c>
      <c r="M28" s="44">
        <f>L28*AH7</f>
        <v>0</v>
      </c>
      <c r="O28" s="39">
        <f>COUNTIFS(General!F:F, "IP CERRADA", General!K:K, "R ARIN", General!H:H, "PTE. APROBACION", General!G:G, "POSIBLE DT", General!O:O, "&gt;="&amp;DATE(2026,2,1), General!O:O, "&lt;="&amp;DATE(2026,2,31))</f>
        <v>0</v>
      </c>
      <c r="P28" s="40">
        <f>O28*AG7</f>
        <v>0</v>
      </c>
      <c r="Q28" s="43">
        <f>COUNTIFS(General!F:F, "IP CERRADA", General!M:M, "R ARIN", General!H:H, "PTE. APROBACION", General!G:G, "POSIBLE DT", General!O:O, "&gt;="&amp;DATE(2026,2,1), General!O:O, "&lt;="&amp;DATE(2026,2,31))</f>
        <v>0</v>
      </c>
      <c r="R28" s="44">
        <f>Q28*AH7</f>
        <v>0</v>
      </c>
      <c r="T28" s="39">
        <f>COUNTIFS(General!F:F, "IP CERRADA", General!K:K, "C. CRIBARI", General!H:H, "PTE. APROBACION", General!G:G, "POSIBLE DT", General!O:O, "&gt;="&amp;DATE(2026,2,1), General!O:O, "&lt;="&amp;DATE(2026,2,31)) + COUNTIFS(General!F:F, "PARA FACTURAR", General!K:K, "C. CRIBARI", General!G:G, "POSIBLE DT", General!O:O, "&gt;="&amp;DATE(2026,2,1), General!O:O, "&lt;="&amp;DATE(2026,2,31))</f>
        <v>0</v>
      </c>
      <c r="U28" s="40">
        <f>T28*AG7</f>
        <v>0</v>
      </c>
      <c r="V28" s="43">
        <f>COUNTIFS(General!F:F, "IP CERRADA", General!M:M, "C. CRIBARI", General!H:H, "PTE. APROBACION", General!G:G, "POSIBLE DT", General!O:O, "&gt;="&amp;DATE(2026,2,1), General!O:O, "&lt;="&amp;DATE(2026,2,31)) + COUNTIFS(General!F:F, "PARA FACTURAR", General!M:M, "C. CRIBARI", General!H:H, "EN TRAMITE", General!G:G, "POSIBLE DT", General!O:O, "&gt;="&amp;DATE(2026,2,1), General!O:O, "&lt;="&amp;DATE(2026,2,31))</f>
        <v>0</v>
      </c>
      <c r="W28" s="44">
        <f>V28*AH7</f>
        <v>0</v>
      </c>
      <c r="Y28" s="39">
        <f>COUNTIFS(General!F:F, "IP CERRADA", General!K:K, "E DZYHAJLO", General!H:H, "PTE. APROBACION", General!G:G, "POSIBLE DT", General!O:O, "&gt;="&amp;DATE(2026,2,1), General!O:O, "&lt;="&amp;DATE(2026,2,31))</f>
        <v>0</v>
      </c>
      <c r="Z28" s="40">
        <f>Y28*AG7</f>
        <v>0</v>
      </c>
      <c r="AA28" s="43"/>
      <c r="AB28" s="44">
        <f>AA28*AH7</f>
        <v>0</v>
      </c>
      <c r="AD28" s="261" t="s">
        <v>15</v>
      </c>
    </row>
    <row r="29" spans="3:35" ht="15.75">
      <c r="C29" s="37" t="s">
        <v>18</v>
      </c>
      <c r="E29" s="254">
        <f>COUNTIFS(General!F:F, "IP CERRADA", General!K:K, "G DICLEMENTE", General!H:H, "PTE. APROBACION", General!G:G, "IP SIN ORDEN", General!O:O, "&gt;="&amp;DATE(2026,2,1), General!O:O, "&lt;="&amp;DATE(2026,2,31))</f>
        <v>0</v>
      </c>
      <c r="F29" s="38">
        <f>E29*AG8</f>
        <v>0</v>
      </c>
      <c r="G29" s="56">
        <f>COUNTIFS(General!F:F, "IP CERRADA", General!M:M, "G DICLEMENTE", General!H:H, "PTE. APROBACION", General!G:G, "IP SIN ORDEN", General!O:O, "&gt;="&amp;DATE(2026,2,1), General!O:O, "&lt;="&amp;DATE(2026,2,31))</f>
        <v>0</v>
      </c>
      <c r="H29" s="42">
        <f>G29*AH8</f>
        <v>0</v>
      </c>
      <c r="J29" s="254">
        <f>COUNTIFS(General!F:F, "IP CERRADA", General!K:K, "R. FRANCO", General!H:H, "PTE. APROBACION", General!G:G, "IP SIN ORDEN", General!O:O, "&gt;="&amp;DATE(2026,2,1), General!O:O, "&lt;="&amp;DATE(2026,2,31))</f>
        <v>0</v>
      </c>
      <c r="K29" s="38">
        <f>J29*AG8</f>
        <v>0</v>
      </c>
      <c r="L29" s="41">
        <f>COUNTIFS(General!F:F, "IP CERRADA", General!M:M, "R. FRANCO", General!H:H, "PTE. APROBACION", General!G:G, "IP SIN ORDEN", General!O:O, "&gt;="&amp;DATE(2026,2,1), General!O:O, "&lt;="&amp;DATE(2026,2,31))</f>
        <v>0</v>
      </c>
      <c r="M29" s="42">
        <f>L29*AH8</f>
        <v>0</v>
      </c>
      <c r="O29" s="254">
        <f>COUNTIFS(General!F:F, "IP CERRADA", General!K:K, "R ARIN", General!H:H, "PTE. APROBACION", General!G:G, "IP SIN ORDEN", General!O:O, "&gt;="&amp;DATE(2026,2,1), General!O:O, "&lt;="&amp;DATE(2026,2,31))</f>
        <v>0</v>
      </c>
      <c r="P29" s="38">
        <f>O29*AG8</f>
        <v>0</v>
      </c>
      <c r="Q29" s="41">
        <f>COUNTIFS(General!F:F, "IP CERRADA", General!M:M, "R ARIN", General!H:H, "PTE. APROBACION", General!G:G, "IP SIN ORDEN", General!O:O, "&gt;="&amp;DATE(2026,2,1), General!O:O, "&lt;="&amp;DATE(2026,2,31))</f>
        <v>0</v>
      </c>
      <c r="R29" s="42">
        <f>Q29*AH8</f>
        <v>0</v>
      </c>
      <c r="T29" s="254">
        <f>COUNTIFS(General!F:F, "IP CERRADA", General!K:K, "C. CRIBARI", General!H:H, "PTE. APROBACION", General!G:G, "IP SIN ORDEN", General!O:O, "&gt;="&amp;DATE(2026,2,1), General!O:O, "&lt;="&amp;DATE(2026,2,31)) + COUNTIFS(General!F:F, "PARA FACTURAR", General!K:K, "C. CRIBARI", General!G:G, "IP SIN ORDEN", General!O:O, "&gt;="&amp;DATE(2026,2,1), General!O:O, "&lt;="&amp;DATE(2026,2,31))</f>
        <v>0</v>
      </c>
      <c r="U29" s="38">
        <f>T29*AG8</f>
        <v>0</v>
      </c>
      <c r="V29" s="41">
        <f>COUNTIFS(General!F:F, "IP CERRADA", General!M:M, "C. CRIBARI", General!H:H, "PTE. APROBACION", General!G:G, "IP SIN ORDEN", General!O:O, "&gt;="&amp;DATE(2026,2,1), General!O:O, "&lt;="&amp;DATE(2026,2,31)) + COUNTIFS(General!F:F, "PARA FACTURAR", General!M:M, "C. CRIBARI", General!H:H, "EN TRAMITE", General!G:G, "IP SIN ORDEN", General!O:O, "&gt;="&amp;DATE(2026,2,1), General!O:O, "&lt;="&amp;DATE(2026,2,31))</f>
        <v>0</v>
      </c>
      <c r="W29" s="42">
        <f>V29*AH8</f>
        <v>0</v>
      </c>
      <c r="Y29" s="254">
        <f>COUNTIFS(General!F:F, "IP CERRADA", General!K:K, "E DZYHAJLO", General!H:H, "PTE. APROBACION", General!G:G, "IP SIN ORDEN", General!O:O, "&gt;="&amp;DATE(2026,2,1), General!O:O, "&lt;="&amp;DATE(2026,2,31))</f>
        <v>0</v>
      </c>
      <c r="Z29" s="38">
        <f>Y29*AG8</f>
        <v>0</v>
      </c>
      <c r="AA29" s="41"/>
      <c r="AB29" s="42">
        <f>AA29*AH8</f>
        <v>0</v>
      </c>
      <c r="AD29" s="37" t="s">
        <v>18</v>
      </c>
    </row>
    <row r="30" spans="3:35" ht="15.75">
      <c r="C30" s="261" t="s">
        <v>21</v>
      </c>
      <c r="E30" s="39">
        <f>COUNTIFS(General!F:F, "IP CERRADA", General!K:K, "G DICLEMENTE", General!H:H, "PTE. APROBACION", General!G:G, "AMPLIACION", General!O:O, "&gt;="&amp;DATE(2026,2,1), General!O:O, "&lt;="&amp;DATE(2026,2,31))</f>
        <v>0</v>
      </c>
      <c r="F30" s="40">
        <f>E30*AG9</f>
        <v>0</v>
      </c>
      <c r="G30" s="43">
        <f>COUNTIFS(General!F:F, "IP CERRADA", General!M:M, "G DICLEMENTE", General!H:H, "PTE. APROBACION", General!G:G, "AMPLIACION", General!O:O, "&gt;="&amp;DATE(2026,2,1), General!O:O, "&lt;="&amp;DATE(2026,2,31))</f>
        <v>0</v>
      </c>
      <c r="H30" s="44">
        <f>G30*AH9</f>
        <v>0</v>
      </c>
      <c r="J30" s="39">
        <f>COUNTIFS(General!F:F, "IP CERRADA", General!K:K, "R. FRANCO", General!H:H, "PTE. APROBACION", General!G:G, "AMPLIACION", General!O:O, "&gt;="&amp;DATE(2026,2,1), General!O:O, "&lt;="&amp;DATE(2026,2,31))</f>
        <v>0</v>
      </c>
      <c r="K30" s="40">
        <f>J30*AG9</f>
        <v>0</v>
      </c>
      <c r="L30" s="43">
        <f>COUNTIFS(General!F:F, "IP CERRADA", General!M:M, "R. FRANCO", General!H:H, "PTE. APROBACION", General!G:G, "AMPLIACION", General!O:O, "&gt;="&amp;DATE(2026,2,1), General!O:O, "&lt;="&amp;DATE(2026,2,31))</f>
        <v>0</v>
      </c>
      <c r="M30" s="44">
        <f>L30*AH9</f>
        <v>0</v>
      </c>
      <c r="O30" s="39">
        <f>COUNTIFS(General!F:F, "IP CERRADA", General!K:K, "R ARIN", General!H:H, "PTE. APROBACION", General!G:G, "AMPLIACION", General!O:O, "&gt;="&amp;DATE(2026,2,1), General!O:O, "&lt;="&amp;DATE(2026,2,31))</f>
        <v>0</v>
      </c>
      <c r="P30" s="40">
        <f>O30*AG9</f>
        <v>0</v>
      </c>
      <c r="Q30" s="43">
        <f>COUNTIFS(General!F:F, "IP CERRADA", General!M:M, "R ARIN", General!H:H, "PTE. APROBACION", General!G:G, "AMPLIACION", General!O:O, "&gt;="&amp;DATE(2026,2,1), General!O:O, "&lt;="&amp;DATE(2026,2,31))</f>
        <v>0</v>
      </c>
      <c r="R30" s="44">
        <f>Q30*AH9</f>
        <v>0</v>
      </c>
      <c r="T30" s="39">
        <f>COUNTIFS(General!F:F, "IP CERRADA", General!K:K, "C. CRIBARI", General!H:H, "PTE. APROBACION", General!G:G, "AMPLIACION", General!O:O, "&gt;="&amp;DATE(2026,2,1), General!O:O, "&lt;="&amp;DATE(2026,2,31)) + COUNTIFS(General!F:F, "PARA FACTURAR", General!K:K, "C. CRIBARI", General!G:G, "AMPLIACION", General!O:O, "&gt;="&amp;DATE(2026,2,1), General!O:O, "&lt;="&amp;DATE(2026,2,31))</f>
        <v>0</v>
      </c>
      <c r="U30" s="40">
        <f>T30*AG9</f>
        <v>0</v>
      </c>
      <c r="V30" s="43">
        <f>COUNTIFS(General!F:F, "IP SIN ORDEN", General!M:M, "C. CRIBARI", General!H:H, "PTE. APROBACION", General!G:G, "AMPLIACION", General!O:O, "&gt;="&amp;DATE(2026,2,1), General!O:O, "&lt;="&amp;DATE(2026,2,31)) + COUNTIFS(General!F:F, "PARA FACTURAR", General!M:M, "C. CRIBARI", General!H:H, "EN TRAMITE", General!G:G, "AMPLIACION", General!O:O, "&gt;="&amp;DATE(2026,2,1), General!O:O, "&lt;="&amp;DATE(2026,2,31))</f>
        <v>0</v>
      </c>
      <c r="W30" s="44">
        <f>V30*AH9</f>
        <v>0</v>
      </c>
      <c r="Y30" s="39">
        <f>COUNTIFS(General!F:F, "IP CERRADA", General!K:K, "E DZYHAJLO", General!H:H, "PTE. APROBACION", General!G:G, "AMPLIACION", General!O:O, "&gt;="&amp;DATE(2026,2,1), General!O:O, "&lt;="&amp;DATE(2026,2,31))</f>
        <v>0</v>
      </c>
      <c r="Z30" s="40">
        <f>Y30*AG9</f>
        <v>0</v>
      </c>
      <c r="AA30" s="43"/>
      <c r="AB30" s="44">
        <f>AA30*AH9</f>
        <v>0</v>
      </c>
      <c r="AD30" s="261" t="s">
        <v>21</v>
      </c>
    </row>
    <row r="31" spans="3:35" ht="15.75">
      <c r="C31" s="37" t="s">
        <v>24</v>
      </c>
      <c r="E31" s="254"/>
      <c r="F31" s="38"/>
      <c r="G31" s="41">
        <f>COUNTIFS(General!F:F, "IP CERRADA", General!M:M, "G DICLEMENTE", General!H:H, "PTE. APROBACION", General!G:G, "ENVIO DE ORDEN", General!O:O, "&gt;="&amp;DATE(2026,2,1), General!O:O, "&lt;="&amp;DATE(2026,2,31))</f>
        <v>0</v>
      </c>
      <c r="H31" s="42">
        <f>G31*AH10</f>
        <v>0</v>
      </c>
      <c r="J31" s="254"/>
      <c r="K31" s="38"/>
      <c r="L31" s="41">
        <f>COUNTIFS(General!F:F, "IP CERRADA", General!M:M, "R. FRANCO", General!H:H, "PTE. APROBACION", General!G:G, "ENVIO DE ORDEN", General!O:O, "&gt;="&amp;DATE(2026,2,1), General!O:O, "&lt;="&amp;DATE(2026,2,31))</f>
        <v>0</v>
      </c>
      <c r="M31" s="42">
        <f>L31*AH10</f>
        <v>0</v>
      </c>
      <c r="O31" s="254"/>
      <c r="P31" s="38"/>
      <c r="Q31" s="41">
        <f>COUNTIFS(General!F:F, "IP CERRADA", General!M:M, "R ARIN", General!H:H, "PTE. APROBACION", General!G:G, "ENVIO DE ORDEN", General!O:O, "&gt;="&amp;DATE(2026,2,1), General!O:O, "&lt;="&amp;DATE(2026,2,31))</f>
        <v>0</v>
      </c>
      <c r="R31" s="42">
        <f>Q31*AH10</f>
        <v>0</v>
      </c>
      <c r="T31" s="254"/>
      <c r="U31" s="38"/>
      <c r="V31" s="41">
        <f>COUNTIFS(General!P:P, "IP SIN ORDEN", General!AC:AC, "J. FERLANTI", General!R:R, "PTE. APROBACION", General!Q:Q, "ENVIO DE ORDEN", General!AE:AE, "&gt;="&amp;DATE(2024,5,1), General!AE:AE, "&lt;="&amp;DATE(2024,5,31)) + COUNTIFS(General!P:P, "PARA FACTURAR", General!AC:AC, "J. FERLANTI", General!R:R, "EN TRAMITE", General!Q:Q, "ENVIO DE ORDEN", General!AE:AE, "&gt;="&amp;DATE(2024,5,1), General!AE:AE, "&lt;="&amp;DATE(2024,5,31))</f>
        <v>0</v>
      </c>
      <c r="W31" s="42">
        <f>V31*AH10</f>
        <v>0</v>
      </c>
      <c r="Y31" s="254"/>
      <c r="Z31" s="38"/>
      <c r="AA31" s="41"/>
      <c r="AB31" s="42">
        <f>AA31*AH10</f>
        <v>0</v>
      </c>
      <c r="AD31" s="37" t="s">
        <v>24</v>
      </c>
    </row>
    <row r="32" spans="3:35" ht="15.75">
      <c r="C32" s="261" t="s">
        <v>29</v>
      </c>
      <c r="E32" s="39">
        <f>COUNTIFS(General!F:F, "IP CERRADA", General!K:K, "G DICLEMENTE", General!H:H, "PTE. APROBACION", General!G:G, "IP CAMIONES", General!O:O, "&gt;="&amp;DATE(2026,2,1), General!O:O, "&lt;="&amp;DATE(2026,2,31))</f>
        <v>0</v>
      </c>
      <c r="F32" s="40">
        <f>E32*AG15</f>
        <v>0</v>
      </c>
      <c r="G32" s="43">
        <f>COUNTIFS(General!F:F, "IP CERRADA", General!M:M, "G DICLEMENTE", General!H:H, "PTE. APROBACION", General!G:G, "IP CAMIONES", General!O:O, "&gt;="&amp;DATE(2026,2,1), General!O:O, "&lt;="&amp;DATE(2026,2,31))</f>
        <v>0</v>
      </c>
      <c r="H32" s="44">
        <f>G32*AH15</f>
        <v>0</v>
      </c>
      <c r="J32" s="39">
        <f>COUNTIFS(General!F:F, "IP CERRADA", General!K:K, "R. FRANCO", General!H:H, "PTE. APROBACION", General!G:G, "IP CAMIONES", General!O:O, "&gt;="&amp;DATE(2026,2,1), General!O:O, "&lt;="&amp;DATE(2026,2,31))</f>
        <v>0</v>
      </c>
      <c r="K32" s="40">
        <f>J32*AG15</f>
        <v>0</v>
      </c>
      <c r="L32" s="43">
        <f>COUNTIFS(General!F:F, "IP CERRADA", General!M:M, "R. FRANCO", General!H:H, "PTE. APROBACION", General!G:G, "IP CAMIONES", General!O:O, "&gt;="&amp;DATE(2026,2,1), General!O:O, "&lt;="&amp;DATE(2026,2,31))</f>
        <v>0</v>
      </c>
      <c r="M32" s="44">
        <f>L32*AH15</f>
        <v>0</v>
      </c>
      <c r="O32" s="39">
        <f>COUNTIFS(General!F:F, "IP CERRADA", General!K:K, "R ARIN", General!H:H, "PTE. APROBACION", General!G:G, "IP CAMIONES", General!O:O, "&gt;="&amp;DATE(2026,2,1), General!O:O, "&lt;="&amp;DATE(2026,2,31))</f>
        <v>0</v>
      </c>
      <c r="P32" s="40">
        <f>O32*AG15</f>
        <v>0</v>
      </c>
      <c r="Q32" s="43">
        <f>COUNTIFS(General!F:F, "IP CERRADA", General!M:M, "R ARIN", General!H:H, "PTE. APROBACION", General!G:G, "IP CAMIONES", General!O:O, "&gt;="&amp;DATE(2026,2,1), General!O:O, "&lt;="&amp;DATE(2026,2,31))</f>
        <v>0</v>
      </c>
      <c r="R32" s="44">
        <f>Q32*AH15</f>
        <v>0</v>
      </c>
      <c r="T32" s="39">
        <f>COUNTIFS(General!F:F, "IP CERRADA", General!K:K, "C. CRIBARI", General!H:H, "PTE. APROBACION", General!G:G, "IP CAMIONES", General!O:O, "&gt;="&amp;DATE(2026,2,1), General!O:O, "&lt;="&amp;DATE(2026,2,31)) + COUNTIFS(General!F:F, "PARA FACTURAR", General!K:K, "C. CRIBARI", General!G:G, "IP CAMIONES", General!O:O, "&gt;="&amp;DATE(2026,2,1), General!O:O, "&lt;="&amp;DATE(2026,2,31))</f>
        <v>0</v>
      </c>
      <c r="U32" s="40">
        <f>T32*AG15</f>
        <v>0</v>
      </c>
      <c r="V32" s="43">
        <f>COUNTIFS(General!P:P, "IP CERRADA", General!AC:AC, "J. FERLANTI", General!R:R, "PTE. APROBACION", General!Q:Q, "IP CAMIONES", General!AE:AE, "&gt;="&amp;DATE(2024,5,1), General!AE:AE, "&lt;="&amp;DATE(2024,5,31))</f>
        <v>0</v>
      </c>
      <c r="W32" s="44">
        <f>V32*AH15</f>
        <v>0</v>
      </c>
      <c r="Y32" s="39">
        <f>COUNTIFS(General!F:F, "IP CERRADA", General!K:K, "E DZYHAJLO", General!H:H, "PTE. APROBACION", General!G:G, "IP CAMIONES", General!O:O, "&gt;="&amp;DATE(2026,2,1), General!O:O, "&lt;="&amp;DATE(2026,2,31))</f>
        <v>0</v>
      </c>
      <c r="Z32" s="40">
        <f>Y32*AG15</f>
        <v>0</v>
      </c>
      <c r="AA32" s="43"/>
      <c r="AB32" s="44">
        <f>AA32*AH15</f>
        <v>0</v>
      </c>
      <c r="AD32" s="261" t="s">
        <v>29</v>
      </c>
    </row>
    <row r="33" spans="3:30" ht="15.75">
      <c r="C33" s="37" t="s">
        <v>30</v>
      </c>
      <c r="E33" s="254">
        <f>COUNTIFS(General!F:F, "IP CERRADA", General!K:K, "G DICLEMENTE", General!H:H, "PTE. APROBACION", General!G:G, "TERCEROS", General!O:O, "&gt;="&amp;DATE(2024,3,1), General!O:O, "&gt;="&amp;DATE(2026,2,1), General!O:O, "&lt;="&amp;DATE(2026,2,31))</f>
        <v>0</v>
      </c>
      <c r="F33" s="38">
        <f>E33*AG12</f>
        <v>0</v>
      </c>
      <c r="G33" s="41">
        <f>COUNTIFS(General!F:F, "IP CERRADA", General!M:M, "G DICLEMENTE", General!H:H, "PTE. APROBACION", General!G:G, "TERCEROS", General!O:O, "&gt;="&amp;DATE(2026,2,1), General!O:O, "&lt;="&amp;DATE(2026,2,31))</f>
        <v>0</v>
      </c>
      <c r="H33" s="42">
        <f>G33*AH12</f>
        <v>0</v>
      </c>
      <c r="J33" s="254">
        <f>COUNTIFS(General!F:F, "IP CERRADA", General!K:K, "R. FRANCO", General!H:H, "PTE. APROBACION", General!G:G, "TERCEROS", General!O:O, "&gt;="&amp;DATE(2024,3,1), General!O:O, "&gt;="&amp;DATE(2026,2,1), General!O:O, "&lt;="&amp;DATE(2026,2,31))</f>
        <v>0</v>
      </c>
      <c r="K33" s="38">
        <f>J33*AG12</f>
        <v>0</v>
      </c>
      <c r="L33" s="41">
        <f>COUNTIFS(General!F:F, "IP CERRADA", General!M:M, "R. FRANCO", General!H:H, "PTE. APROBACION", General!G:G, "TERCEROS", General!O:O, "&gt;="&amp;DATE(2026,2,1), General!O:O, "&lt;="&amp;DATE(2026,2,31))</f>
        <v>0</v>
      </c>
      <c r="M33" s="42">
        <f>L33*AH12</f>
        <v>0</v>
      </c>
      <c r="O33" s="254">
        <f>COUNTIFS(General!F:F, "IP CERRADA", General!K:K, "R ARIN", General!H:H, "PTE. APROBACION", General!G:G, "TERCEROS", General!O:O, "&gt;="&amp;DATE(2024,3,1), General!O:O, "&gt;="&amp;DATE(2026,2,1), General!O:O, "&lt;="&amp;DATE(2026,2,31))</f>
        <v>0</v>
      </c>
      <c r="P33" s="38">
        <f>O33*AG12</f>
        <v>0</v>
      </c>
      <c r="Q33" s="41">
        <f>COUNTIFS(General!F:F, "IP CERRADA", General!M:M, "R ARIN", General!H:H, "PTE. APROBACION", General!G:G, "TERCEROS", General!O:O, "&gt;="&amp;DATE(2026,2,1), General!O:O, "&lt;="&amp;DATE(2026,2,31))</f>
        <v>0</v>
      </c>
      <c r="R33" s="42">
        <f>Q33*AH12</f>
        <v>0</v>
      </c>
      <c r="T33" s="254">
        <f>COUNTIFS(General!F:F, "IP CERRADA", General!K:K, "C. CRIBARI", General!H:H, "PTE. APROBACION", General!G:G, "TERCEROS", General!O:O, "&gt;="&amp;DATE(2024,3,1), General!O:O, "&gt;="&amp;DATE(2026,2,1), General!O:O, "&lt;="&amp;DATE(2026,2,31)) + COUNTIFS(General!F:F, "PARA FACTURAR", General!K:K, "C. CRIBARI", General!G:G, "TERCEROS", General!O:O, "&gt;="&amp;DATE(2026,2,1), General!O:O, "&lt;="&amp;DATE(2026,2,31))</f>
        <v>0</v>
      </c>
      <c r="U33" s="38">
        <f>T33*AG12</f>
        <v>0</v>
      </c>
      <c r="V33" s="41">
        <f>COUNTIFS(General!F:F, "IP CERRADA", General!M:M, "J. FERLANTI", General!H:H, "PTE. APROBACION", General!G:G, "IP CAMIONES", General!O:O, "&gt;="&amp;DATE(2026,2,1), General!O:O, "&lt;="&amp;DATE(2026,2,31))</f>
        <v>0</v>
      </c>
      <c r="W33" s="42">
        <f>V33*AH12</f>
        <v>0</v>
      </c>
      <c r="Y33" s="254">
        <f>COUNTIFS(General!F:F, "IP CERRADA", General!K:K, "E DZYHAJLO", General!H:H, "PTE. APROBACION", General!G:G, "TERCEROS", General!O:O, "&gt;="&amp;DATE(2024,3,1), General!O:O, "&gt;="&amp;DATE(2026,2,1), General!O:O, "&lt;="&amp;DATE(2026,2,31))</f>
        <v>0</v>
      </c>
      <c r="Z33" s="38">
        <f>Y33*AG12</f>
        <v>0</v>
      </c>
      <c r="AA33" s="41"/>
      <c r="AB33" s="42">
        <f>AA33*AH12</f>
        <v>0</v>
      </c>
      <c r="AD33" s="37" t="s">
        <v>30</v>
      </c>
    </row>
    <row r="34" spans="3:30" ht="15.75">
      <c r="C34" s="261" t="s">
        <v>32</v>
      </c>
      <c r="E34" s="39"/>
      <c r="F34" s="40"/>
      <c r="G34" s="43">
        <f>COUNTIFS(General!F:F, "IP CERRADA", General!M:M, "G DICLEMENTE", General!H:H, "PTE. APROBACION", General!G:G, "FOTOS", General!O:O, "&gt;="&amp;DATE(2026,2,1), General!O:O, "&lt;="&amp;DATE(2026,2,31))</f>
        <v>0</v>
      </c>
      <c r="H34" s="44">
        <f>G34*AH13</f>
        <v>0</v>
      </c>
      <c r="J34" s="39"/>
      <c r="K34" s="40"/>
      <c r="L34" s="43">
        <f>COUNTIFS(General!F:F, "IP CERRADA", General!M:M, "R. FRANCO", General!H:H, "PTE. APROBACION", General!G:G, "FOTOS", General!O:O, "&gt;="&amp;DATE(2026,2,1), General!O:O, "&lt;="&amp;DATE(2026,2,31))</f>
        <v>0</v>
      </c>
      <c r="M34" s="44">
        <f>L34*AH13</f>
        <v>0</v>
      </c>
      <c r="O34" s="39"/>
      <c r="P34" s="40"/>
      <c r="Q34" s="43">
        <f>COUNTIFS(General!F:F, "IP CERRADA", General!M:M, "R ARIN", General!H:H, "PTE. APROBACION", General!G:G, "FOTOS", General!O:O, "&gt;="&amp;DATE(2026,2,1), General!O:O, "&lt;="&amp;DATE(2026,2,31))</f>
        <v>0</v>
      </c>
      <c r="R34" s="44">
        <f>Q34*AH13</f>
        <v>0</v>
      </c>
      <c r="T34" s="39"/>
      <c r="U34" s="40"/>
      <c r="V34" s="43">
        <f>COUNTIFS(General!P:P, "IP SIN ORDEN", General!AC:AC, "J. FERLANTI", General!R:R, "PTE. APROBACION", General!Q:Q, "FOTOS", General!AE:AE, "&gt;="&amp;DATE(2024,5,1), General!AE:AE, "&lt;="&amp;DATE(2024,5,31)) + COUNTIFS(General!P:P, "PARA FACTURAR", General!AC:AC, "J. FERLANTI", General!R:R, "EN TRAMITE", General!Q:Q, "FOTOS", General!AE:AE, "&gt;="&amp;DATE(2024,5,1), General!AE:AE, "&lt;="&amp;DATE(2024,5,31))</f>
        <v>0</v>
      </c>
      <c r="W34" s="44">
        <f>V34*AH13</f>
        <v>0</v>
      </c>
      <c r="Y34" s="39"/>
      <c r="Z34" s="40"/>
      <c r="AA34" s="43"/>
      <c r="AB34" s="44">
        <f>AA34*AH13</f>
        <v>0</v>
      </c>
      <c r="AD34" s="261" t="s">
        <v>32</v>
      </c>
    </row>
    <row r="35" spans="3:30" ht="15.75">
      <c r="C35" s="37" t="s">
        <v>34</v>
      </c>
      <c r="E35" s="254">
        <f>COUNTIFS(General!F:F, "IP CERRADA", General!K:K, "G DICLEMENTE", General!H:H, "PTE. APROBACION", General!G:G, "IP REMOTA", General!O:O, "&gt;="&amp;DATE(2026,2,1), General!O:O, "&lt;="&amp;DATE(2026,2,31))</f>
        <v>0</v>
      </c>
      <c r="F35" s="38">
        <f>E35*AG14</f>
        <v>0</v>
      </c>
      <c r="G35" s="41">
        <f>COUNTIFS(General!F:F, "IP CERRADA", General!M:M, "G DICLEMENTE", General!H:H, "PTE. APROBACION", General!G:G, "IP REMOTA", General!O:O, "&gt;="&amp;DATE(2026,2,1), General!O:O, "&lt;="&amp;DATE(2026,2,31))</f>
        <v>0</v>
      </c>
      <c r="H35" s="42">
        <f>G35*AH14</f>
        <v>0</v>
      </c>
      <c r="J35" s="254">
        <f>COUNTIFS(General!F:F, "IP CERRADA", General!K:K, "R. FRANCO", General!H:H, "PTE. APROBACION", General!G:G, "IP REMOTA", General!O:O, "&gt;="&amp;DATE(2026,2,1), General!O:O, "&lt;="&amp;DATE(2026,2,31))</f>
        <v>0</v>
      </c>
      <c r="K35" s="38">
        <f>J35*AG14</f>
        <v>0</v>
      </c>
      <c r="L35" s="41">
        <f>COUNTIFS(General!F:F, "IP CERRADA", General!M:M, "R. FRANCO", General!H:H, "PTE. APROBACION", General!G:G, "IP REMOTA", General!O:O, "&gt;="&amp;DATE(2026,2,1), General!O:O, "&lt;="&amp;DATE(2026,2,31))</f>
        <v>0</v>
      </c>
      <c r="M35" s="42">
        <f>L35*AH14</f>
        <v>0</v>
      </c>
      <c r="O35" s="254">
        <f>COUNTIFS(General!F:F, "IP CERRADA", General!K:K, "R ARIN", General!H:H, "PTE. APROBACION", General!G:G, "IP REMOTA", General!O:O, "&gt;="&amp;DATE(2026,2,1), General!O:O, "&lt;="&amp;DATE(2026,2,31))</f>
        <v>0</v>
      </c>
      <c r="P35" s="38">
        <f>O35*AG14</f>
        <v>0</v>
      </c>
      <c r="Q35" s="41">
        <f>COUNTIFS(General!F:F, "IP CERRADA", General!M:M, "R ARIN", General!H:H, "PTE. APROBACION", General!G:G, "IP REMOTA", General!O:O, "&gt;="&amp;DATE(2026,2,1), General!O:O, "&lt;="&amp;DATE(2026,2,31))</f>
        <v>0</v>
      </c>
      <c r="R35" s="42">
        <f>Q35*AH14</f>
        <v>0</v>
      </c>
      <c r="T35" s="254">
        <f>COUNTIFS(General!F:F, "IP CERRADA", General!K:K, "C. CRIBARI", General!H:H, "PTE. APROBACION", General!G:G, "IP REMOTA", General!O:O, "&gt;="&amp;DATE(2026,2,1), General!O:O, "&lt;="&amp;DATE(2026,2,31))</f>
        <v>0</v>
      </c>
      <c r="U35" s="38">
        <f>T35*AG14</f>
        <v>0</v>
      </c>
      <c r="V35" s="41">
        <f>COUNTIFS(General!P:P, "IP SIN ORDEN", General!AC:AC, "J. FERLANTI", General!R:R, "PTE. APROBACION", General!Q:Q, "IP REMOTA", General!AE:AE, "&gt;="&amp;DATE(2024,5,1), General!AE:AE, "&lt;="&amp;DATE(2024,5,31)) + COUNTIFS(General!P:P, "PARA FACTURAR", General!AC:AC, "J. FERLANTI", General!R:R, "EN TRAMITE", General!Q:Q, "IP REMOTA", General!AE:AE, "&gt;="&amp;DATE(2024,5,1), General!AE:AE, "&lt;="&amp;DATE(2024,5,31))</f>
        <v>0</v>
      </c>
      <c r="W35" s="42">
        <f>V35*AH14</f>
        <v>0</v>
      </c>
      <c r="Y35" s="254">
        <f>COUNTIFS(General!F:F, "IP CERRADA", General!K:K, "E DZYHAJLO", General!H:H, "PTE. APROBACION", General!G:G, "IP REMOTA", General!O:O, "&gt;="&amp;DATE(2026,2,1), General!O:O, "&lt;="&amp;DATE(2026,2,31))</f>
        <v>0</v>
      </c>
      <c r="Z35" s="38">
        <f>Y35*AG14</f>
        <v>0</v>
      </c>
      <c r="AA35" s="41"/>
      <c r="AB35" s="42">
        <f>AA35*AH14</f>
        <v>0</v>
      </c>
      <c r="AD35" s="37" t="s">
        <v>34</v>
      </c>
    </row>
    <row r="36" spans="3:30" ht="15.75">
      <c r="C36" s="261" t="s">
        <v>37</v>
      </c>
      <c r="E36" s="39"/>
      <c r="F36" s="40"/>
      <c r="G36" s="43">
        <f>COUNTIFS(General!F:F, "IP CERRADA", General!M:M, "G DICLEMENTE", General!H:H, "PTE. APROBACION", General!G:G, "IP VIRTUAL", General!O:O, "&gt;="&amp;DATE(2026,2,1), General!O:O, "&lt;="&amp;DATE(2026,2,31))</f>
        <v>0</v>
      </c>
      <c r="H36" s="44">
        <f>G36*AH16</f>
        <v>0</v>
      </c>
      <c r="J36" s="39"/>
      <c r="K36" s="40"/>
      <c r="L36" s="43">
        <f>COUNTIFS(General!F:F, "IP CERRADA", General!M:M, "R. FRANCO", General!H:H, "PTE. APROBACION", General!G:G, "IP VIRTUAL", General!O:O, "&gt;="&amp;DATE(2026,2,1), General!O:O, "&lt;="&amp;DATE(2026,2,31))</f>
        <v>0</v>
      </c>
      <c r="M36" s="44">
        <f>L36*AH16</f>
        <v>0</v>
      </c>
      <c r="O36" s="39"/>
      <c r="P36" s="40"/>
      <c r="Q36" s="43">
        <f>COUNTIFS(General!F:F, "IP CERRADA", General!M:M, "R ARIN", General!H:H, "PTE. APROBACION", General!G:G, "IP VIRTUAL", General!O:O, "&gt;="&amp;DATE(2026,2,1), General!O:O, "&lt;="&amp;DATE(2026,2,31))</f>
        <v>0</v>
      </c>
      <c r="R36" s="44">
        <f>Q36*AH16</f>
        <v>0</v>
      </c>
      <c r="T36" s="39"/>
      <c r="U36" s="40"/>
      <c r="V36" s="43">
        <f>COUNTIFS(General!P:P, "IP SIN ORDEN", General!AC:AC, "J. FERLANTI", General!R:R, "PTE. APROBACION", General!Q:Q, "IP VIRTUAL", General!AE:AE, "&gt;="&amp;DATE(2024,5,1), General!AE:AE, "&lt;="&amp;DATE(2024,5,31)) + COUNTIFS(General!P:P, "PARA FACTURAR", General!AC:AC, "J. FERLANTI", General!R:R, "EN TRAMITE", General!Q:Q, "IP VIRTUAL", General!AE:AE, "&gt;="&amp;DATE(2024,5,1), General!AE:AE, "&lt;="&amp;DATE(2024,5,31))</f>
        <v>0</v>
      </c>
      <c r="W36" s="44">
        <f>V36*AH16</f>
        <v>0</v>
      </c>
      <c r="Y36" s="39"/>
      <c r="Z36" s="40"/>
      <c r="AA36" s="43"/>
      <c r="AB36" s="44">
        <f>AA36*AH16</f>
        <v>0</v>
      </c>
      <c r="AD36" s="261" t="s">
        <v>37</v>
      </c>
    </row>
    <row r="37" spans="3:30" ht="15.75">
      <c r="C37" s="37" t="s">
        <v>26</v>
      </c>
      <c r="E37" s="254">
        <f>COUNTIFS(General!F:F, "IP CERRADA", General!K:K, "G DICLEMENTE", General!H:H, "PTE. APROBACION", General!G:G, "AUSENTE", General!O:O, "&gt;="&amp;DATE(2026,2,1), General!O:O, "&lt;="&amp;DATE(2026,2,31))</f>
        <v>0</v>
      </c>
      <c r="F37" s="38">
        <f>E36*AG11</f>
        <v>0</v>
      </c>
      <c r="G37" s="41"/>
      <c r="H37" s="42"/>
      <c r="J37" s="254">
        <f>COUNTIFS(General!F:F, "IP CERRADA", General!K:K, "R. FRANCO", General!H:H, "PTE. APROBACION", General!G:G, "AUSENTE", General!L:L, "&gt;="&amp;DATE(2025,6,1), General!L:L, "&lt;="&amp;DATE(2025,6,31))</f>
        <v>0</v>
      </c>
      <c r="K37" s="38">
        <f>J37*AG11</f>
        <v>0</v>
      </c>
      <c r="L37" s="41"/>
      <c r="M37" s="42"/>
      <c r="O37" s="254">
        <f>COUNTIFS(General!F:F, "IP CERRADA", General!K:K, "R ARIN", General!H:H, "PTE. APROBACION", General!G:G, "AUSENTE", General!O:O, "&gt;="&amp;DATE(2026,2,1), General!O:O, "&lt;="&amp;DATE(2026,2,31))</f>
        <v>0</v>
      </c>
      <c r="P37" s="38">
        <f>O36*AG11</f>
        <v>0</v>
      </c>
      <c r="Q37" s="41"/>
      <c r="R37" s="42"/>
      <c r="T37" s="254">
        <f>COUNTIFS(General!F:F, "IP CERRADA", General!K:K, "C. CRIBARI", General!H:H, "PTE. APROBACION", General!G:G, "AUSENTE", General!O:O, "&gt;="&amp;DATE(2026,2,1), General!O:O, "&lt;="&amp;DATE(2026,2,31))</f>
        <v>0</v>
      </c>
      <c r="U37" s="38">
        <f>T37*AG11</f>
        <v>0</v>
      </c>
      <c r="V37" s="41"/>
      <c r="W37" s="42"/>
      <c r="Y37" s="254">
        <f>COUNTIFS(General!F:F, "IP CERRADA", General!K:K, "E DZYHAJLO", General!H:H, "PTE. APROBACION", General!G:G, "AUSENTE", General!O:O, "&gt;="&amp;DATE(2026,2,1), General!O:O, "&lt;="&amp;DATE(2026,2,31))</f>
        <v>0</v>
      </c>
      <c r="Z37" s="38">
        <f>Y36*AG11</f>
        <v>0</v>
      </c>
      <c r="AA37" s="41"/>
      <c r="AB37" s="42"/>
      <c r="AD37" s="37" t="s">
        <v>26</v>
      </c>
    </row>
    <row r="38" spans="3:30">
      <c r="E38" s="383" t="s">
        <v>44</v>
      </c>
      <c r="F38" s="384"/>
      <c r="G38" s="381" t="s">
        <v>44</v>
      </c>
      <c r="H38" s="382"/>
      <c r="J38" s="383" t="s">
        <v>44</v>
      </c>
      <c r="K38" s="384"/>
      <c r="L38" s="381" t="s">
        <v>44</v>
      </c>
      <c r="M38" s="382"/>
      <c r="O38" s="383" t="s">
        <v>44</v>
      </c>
      <c r="P38" s="384"/>
      <c r="Q38" s="381" t="s">
        <v>44</v>
      </c>
      <c r="R38" s="382"/>
      <c r="T38" s="383" t="s">
        <v>44</v>
      </c>
      <c r="U38" s="384"/>
      <c r="V38" s="381" t="s">
        <v>44</v>
      </c>
      <c r="W38" s="382"/>
      <c r="Y38" s="383" t="s">
        <v>44</v>
      </c>
      <c r="Z38" s="384"/>
      <c r="AA38" s="381" t="s">
        <v>44</v>
      </c>
      <c r="AB38" s="382"/>
    </row>
    <row r="39" spans="3:30">
      <c r="E39" s="37">
        <f>E27+E28+E29+E30+E31+E32+E33+E34+E35+E36+E37</f>
        <v>0</v>
      </c>
      <c r="F39" s="29">
        <f>F27+F28+F29+F30+F31+F32+F33+F34+F35+F36</f>
        <v>0</v>
      </c>
      <c r="G39" s="51">
        <f>G27+G28+G29+G30+G31+G32+G33+G34+G35+G36</f>
        <v>0</v>
      </c>
      <c r="H39" s="45">
        <f>H27+H28+H29+H30+H31+H32+H33+H34+H35+H36</f>
        <v>0</v>
      </c>
      <c r="J39" s="37">
        <f>J27+J28+J29+J30+J31+J32+J33+J34+J35+J36+J37</f>
        <v>0</v>
      </c>
      <c r="K39" s="29">
        <f>K27+K28+K29+K30+K31+K32+K33+K34+K35+K36+K37</f>
        <v>0</v>
      </c>
      <c r="L39" s="51">
        <f>L27+L28+L29+L30+L31+L32+L33+L34+L35+L36</f>
        <v>0</v>
      </c>
      <c r="M39" s="45">
        <f>M27+M28+M29+M30+M31+M32+M33+M34+M35+M36</f>
        <v>0</v>
      </c>
      <c r="O39" s="37">
        <f>O27+O28+O29+O30+O31+O32+O33+O34+O35+O36+O37</f>
        <v>0</v>
      </c>
      <c r="P39" s="29">
        <f>P27+P28+P29+P30+P31+P32+P33+P34+P35+P36</f>
        <v>0</v>
      </c>
      <c r="Q39" s="51">
        <f>Q27+Q28+Q29+Q30+Q31+Q32+Q33+Q34+Q35+Q36</f>
        <v>0</v>
      </c>
      <c r="R39" s="45">
        <f>R27+R28+R29+R30+R31+R32+R33+R34+R35+R36</f>
        <v>0</v>
      </c>
      <c r="T39" s="37">
        <f>T27+T28+T29+T30+T31+T32+T33+T34+T35+T36+T37</f>
        <v>0</v>
      </c>
      <c r="U39" s="29">
        <f>U27+U28+U29+U30+U31+U32+U33+U34+U35+U36+U37</f>
        <v>0</v>
      </c>
      <c r="V39" s="51">
        <f>V27+V28+V29+V30+V31+V32+V33+V34+V35+V36</f>
        <v>0</v>
      </c>
      <c r="W39" s="45">
        <f>W27+W28+W29+W30+W31+W32+W33+W34+W35+W36</f>
        <v>0</v>
      </c>
      <c r="Y39" s="37">
        <f>Y27+Y28+Y29+Y30+Y31+Y32+Y33+Y34+Y35+Y36+Y37</f>
        <v>0</v>
      </c>
      <c r="Z39" s="29">
        <f>Z27+Z28+Z29+Z30+Z31+Z32+Z33+Z34+Z35+Z36</f>
        <v>0</v>
      </c>
      <c r="AA39" s="51">
        <f>AA27+AA28+AA29+AA30+AA31+AA32+AA33+AA34+AA35+AA36</f>
        <v>0</v>
      </c>
      <c r="AB39" s="45">
        <f>AB27+AB28+AB29+AB30+AB31+AB32+AB33+AB34+AB35+AB36</f>
        <v>0</v>
      </c>
    </row>
    <row r="40" spans="3:30">
      <c r="E40" s="48"/>
      <c r="F40" s="49"/>
      <c r="G40" s="48"/>
      <c r="H40" s="49"/>
      <c r="J40" s="48"/>
      <c r="K40" s="49"/>
      <c r="L40" s="48"/>
      <c r="M40" s="49"/>
      <c r="O40" s="48"/>
      <c r="P40" s="49"/>
      <c r="Q40" s="48"/>
      <c r="R40" s="49"/>
      <c r="T40" s="48"/>
      <c r="U40" s="49"/>
      <c r="V40" s="48"/>
      <c r="W40" s="49"/>
      <c r="Y40" s="48"/>
      <c r="Z40" s="49"/>
      <c r="AA40" s="48"/>
      <c r="AB40" s="49"/>
    </row>
    <row r="41" spans="3:30">
      <c r="E41" s="380"/>
      <c r="F41" s="380"/>
      <c r="G41" s="261"/>
      <c r="H41" s="50"/>
      <c r="J41" s="380"/>
      <c r="K41" s="380"/>
      <c r="L41" s="261"/>
      <c r="M41" s="50"/>
      <c r="O41" s="380"/>
      <c r="P41" s="380"/>
      <c r="Q41" s="261"/>
      <c r="R41" s="50"/>
      <c r="T41" s="380"/>
      <c r="U41" s="380"/>
      <c r="V41" s="261"/>
      <c r="W41" s="50"/>
      <c r="Y41" s="380"/>
      <c r="Z41" s="380"/>
      <c r="AA41" s="261"/>
      <c r="AB41" s="50"/>
    </row>
    <row r="42" spans="3:30">
      <c r="E42" s="376" t="s">
        <v>3</v>
      </c>
      <c r="F42" s="377"/>
      <c r="G42" s="95"/>
      <c r="H42" s="96"/>
      <c r="J42" s="376" t="s">
        <v>3</v>
      </c>
      <c r="K42" s="377"/>
      <c r="L42" s="95"/>
      <c r="M42" s="96"/>
      <c r="O42" s="376" t="s">
        <v>3</v>
      </c>
      <c r="P42" s="377"/>
      <c r="Q42" s="95"/>
      <c r="R42" s="96"/>
      <c r="T42" s="376" t="s">
        <v>3</v>
      </c>
      <c r="U42" s="377"/>
      <c r="V42" s="95"/>
      <c r="W42" s="96"/>
      <c r="Y42" s="376" t="s">
        <v>3</v>
      </c>
      <c r="Z42" s="377"/>
      <c r="AA42" s="95"/>
      <c r="AB42" s="96"/>
    </row>
    <row r="43" spans="3:30">
      <c r="E43" s="378" t="s">
        <v>85</v>
      </c>
      <c r="F43" s="379"/>
      <c r="G43" s="97"/>
      <c r="H43" s="98"/>
      <c r="J43" s="378" t="s">
        <v>85</v>
      </c>
      <c r="K43" s="379"/>
      <c r="L43" s="97"/>
      <c r="M43" s="98"/>
      <c r="O43" s="378" t="s">
        <v>85</v>
      </c>
      <c r="P43" s="379"/>
      <c r="Q43" s="97"/>
      <c r="R43" s="98"/>
      <c r="T43" s="378" t="s">
        <v>85</v>
      </c>
      <c r="U43" s="379"/>
      <c r="V43" s="97"/>
      <c r="W43" s="98"/>
      <c r="Y43" s="378" t="s">
        <v>85</v>
      </c>
      <c r="Z43" s="379"/>
      <c r="AA43" s="97"/>
      <c r="AB43" s="98"/>
    </row>
    <row r="44" spans="3:30">
      <c r="E44" s="374" t="s">
        <v>86</v>
      </c>
      <c r="F44" s="375"/>
      <c r="G44" s="46">
        <f>G27+G28+G29+G30+G31+G32+G33+G34+G35+G36+E27+E28+E29+E31+E30+E32+E33+E34+E35+E36</f>
        <v>0</v>
      </c>
      <c r="H44" s="47">
        <f>F39+H39</f>
        <v>0</v>
      </c>
      <c r="J44" s="374" t="s">
        <v>86</v>
      </c>
      <c r="K44" s="375"/>
      <c r="L44" s="46">
        <f>L27+L28+L29+L30+L31+L32+L33+L34+L35+L36+J27+J28+J29+J31+J30+J32+J33+J34+J35+J36</f>
        <v>0</v>
      </c>
      <c r="M44" s="47">
        <f>K39+M39</f>
        <v>0</v>
      </c>
      <c r="O44" s="374" t="s">
        <v>86</v>
      </c>
      <c r="P44" s="375"/>
      <c r="Q44" s="46">
        <f>Q27+Q28+Q29+Q30+Q31+Q32+Q33+Q34+Q35+Q36+O27+O28+O29+O31+O30+O32+O33+O34+O35+O36</f>
        <v>0</v>
      </c>
      <c r="R44" s="47">
        <f>P39+R39</f>
        <v>0</v>
      </c>
      <c r="T44" s="374" t="s">
        <v>86</v>
      </c>
      <c r="U44" s="375"/>
      <c r="V44" s="46">
        <f>V27+V28+V29+V30+V31+V32+V33+V34+V35+V36+T27+T28+T29+T31+T30+T32+T33+T34+T35+T36</f>
        <v>0</v>
      </c>
      <c r="W44" s="47">
        <f>U39+W39</f>
        <v>0</v>
      </c>
      <c r="Y44" s="374" t="s">
        <v>86</v>
      </c>
      <c r="Z44" s="375"/>
      <c r="AA44" s="46">
        <f>AA27+AA28+AA29+AA30+AA31+AA32+AA33+AA34+AA35+AA36+Y27+Y28+Y29+Y31+Y30+Y32+Y33+Y34+Y35+Y36</f>
        <v>0</v>
      </c>
      <c r="AB44" s="47">
        <f>Z39+AB39</f>
        <v>0</v>
      </c>
    </row>
  </sheetData>
  <mergeCells count="95">
    <mergeCell ref="A1:B2"/>
    <mergeCell ref="C1:C2"/>
    <mergeCell ref="E1:H2"/>
    <mergeCell ref="J1:M2"/>
    <mergeCell ref="O1:R2"/>
    <mergeCell ref="Y1:AB2"/>
    <mergeCell ref="AD1:AD2"/>
    <mergeCell ref="E3:F3"/>
    <mergeCell ref="G3:H3"/>
    <mergeCell ref="J3:K3"/>
    <mergeCell ref="L3:M3"/>
    <mergeCell ref="O3:P3"/>
    <mergeCell ref="Q3:R3"/>
    <mergeCell ref="T3:U3"/>
    <mergeCell ref="V3:W3"/>
    <mergeCell ref="T1:W2"/>
    <mergeCell ref="Y3:Z3"/>
    <mergeCell ref="AA3:AB3"/>
    <mergeCell ref="E15:F15"/>
    <mergeCell ref="G15:H15"/>
    <mergeCell ref="J15:K15"/>
    <mergeCell ref="L15:M15"/>
    <mergeCell ref="O15:P15"/>
    <mergeCell ref="Q15:R15"/>
    <mergeCell ref="T15:U15"/>
    <mergeCell ref="V15:W15"/>
    <mergeCell ref="Y15:Z15"/>
    <mergeCell ref="AA15:AB15"/>
    <mergeCell ref="E18:F18"/>
    <mergeCell ref="J18:K18"/>
    <mergeCell ref="O18:P18"/>
    <mergeCell ref="T18:U18"/>
    <mergeCell ref="Y18:Z18"/>
    <mergeCell ref="E20:F20"/>
    <mergeCell ref="J20:K20"/>
    <mergeCell ref="O20:P20"/>
    <mergeCell ref="T20:U20"/>
    <mergeCell ref="Y20:Z20"/>
    <mergeCell ref="E19:F19"/>
    <mergeCell ref="J19:K19"/>
    <mergeCell ref="O19:P19"/>
    <mergeCell ref="T19:U19"/>
    <mergeCell ref="Y19:Z19"/>
    <mergeCell ref="C24:C25"/>
    <mergeCell ref="E24:H25"/>
    <mergeCell ref="J24:M25"/>
    <mergeCell ref="O24:R25"/>
    <mergeCell ref="T24:W25"/>
    <mergeCell ref="E21:F21"/>
    <mergeCell ref="J21:K21"/>
    <mergeCell ref="O21:P21"/>
    <mergeCell ref="T21:U21"/>
    <mergeCell ref="Y21:Z21"/>
    <mergeCell ref="Y24:AB25"/>
    <mergeCell ref="AD24:AD25"/>
    <mergeCell ref="E26:F26"/>
    <mergeCell ref="G26:H26"/>
    <mergeCell ref="J26:K26"/>
    <mergeCell ref="L26:M26"/>
    <mergeCell ref="O26:P26"/>
    <mergeCell ref="Q26:R26"/>
    <mergeCell ref="T26:U26"/>
    <mergeCell ref="V26:W26"/>
    <mergeCell ref="Y26:Z26"/>
    <mergeCell ref="AA26:AB26"/>
    <mergeCell ref="E38:F38"/>
    <mergeCell ref="G38:H38"/>
    <mergeCell ref="J38:K38"/>
    <mergeCell ref="L38:M38"/>
    <mergeCell ref="O38:P38"/>
    <mergeCell ref="Q38:R38"/>
    <mergeCell ref="T38:U38"/>
    <mergeCell ref="V38:W38"/>
    <mergeCell ref="Y38:Z38"/>
    <mergeCell ref="AA38:AB38"/>
    <mergeCell ref="E41:F41"/>
    <mergeCell ref="J41:K41"/>
    <mergeCell ref="O41:P41"/>
    <mergeCell ref="T41:U41"/>
    <mergeCell ref="Y41:Z41"/>
    <mergeCell ref="E43:F43"/>
    <mergeCell ref="J43:K43"/>
    <mergeCell ref="O43:P43"/>
    <mergeCell ref="T43:U43"/>
    <mergeCell ref="Y43:Z43"/>
    <mergeCell ref="E42:F42"/>
    <mergeCell ref="J42:K42"/>
    <mergeCell ref="O42:P42"/>
    <mergeCell ref="T42:U42"/>
    <mergeCell ref="Y42:Z42"/>
    <mergeCell ref="E44:F44"/>
    <mergeCell ref="J44:K44"/>
    <mergeCell ref="O44:P44"/>
    <mergeCell ref="T44:U44"/>
    <mergeCell ref="Y44:Z4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3E530-A296-414E-B2E8-AECF353C71BE}">
  <sheetPr>
    <tabColor theme="1"/>
  </sheetPr>
  <dimension ref="B1:K80"/>
  <sheetViews>
    <sheetView workbookViewId="0">
      <selection activeCell="B2" sqref="B2:B27"/>
    </sheetView>
  </sheetViews>
  <sheetFormatPr defaultRowHeight="15"/>
  <cols>
    <col min="2" max="2" width="35.42578125" customWidth="1"/>
    <col min="3" max="3" width="32.140625" bestFit="1" customWidth="1"/>
    <col min="4" max="4" width="30.7109375" customWidth="1"/>
    <col min="5" max="5" width="22.85546875" customWidth="1"/>
    <col min="6" max="6" width="23.140625" customWidth="1"/>
    <col min="8" max="8" width="23" customWidth="1"/>
    <col min="9" max="9" width="19.5703125" customWidth="1"/>
    <col min="10" max="10" width="22.85546875" customWidth="1"/>
    <col min="11" max="11" width="16" customWidth="1"/>
    <col min="12" max="12" width="10.28515625" bestFit="1" customWidth="1"/>
    <col min="13" max="13" width="14" bestFit="1" customWidth="1"/>
    <col min="14" max="14" width="13.7109375" bestFit="1" customWidth="1"/>
  </cols>
  <sheetData>
    <row r="1" spans="2:11" ht="26.25" customHeight="1">
      <c r="B1" s="3" t="s">
        <v>5133</v>
      </c>
      <c r="C1" s="1" t="s">
        <v>5134</v>
      </c>
      <c r="D1" s="1" t="s">
        <v>5135</v>
      </c>
      <c r="E1" s="1" t="s">
        <v>48</v>
      </c>
      <c r="F1" s="1" t="s">
        <v>103</v>
      </c>
      <c r="H1" s="3" t="s">
        <v>6</v>
      </c>
      <c r="I1" s="3" t="s">
        <v>7</v>
      </c>
      <c r="J1" s="3" t="s">
        <v>8</v>
      </c>
      <c r="K1" s="3"/>
    </row>
    <row r="2" spans="2:11">
      <c r="B2" s="94" t="s">
        <v>949</v>
      </c>
      <c r="C2" t="s">
        <v>5011</v>
      </c>
      <c r="D2" t="s">
        <v>10</v>
      </c>
      <c r="E2" t="s">
        <v>5136</v>
      </c>
      <c r="F2" t="s">
        <v>42</v>
      </c>
      <c r="H2" s="10" t="s">
        <v>10</v>
      </c>
      <c r="I2" s="13">
        <v>2500</v>
      </c>
      <c r="J2" s="13">
        <v>2400</v>
      </c>
      <c r="K2" s="251"/>
    </row>
    <row r="3" spans="2:11">
      <c r="B3" s="2" t="s">
        <v>152</v>
      </c>
      <c r="C3" t="s">
        <v>5094</v>
      </c>
      <c r="D3" t="s">
        <v>15</v>
      </c>
      <c r="E3" t="s">
        <v>5137</v>
      </c>
      <c r="F3" t="s">
        <v>47</v>
      </c>
      <c r="H3" s="11" t="s">
        <v>15</v>
      </c>
      <c r="I3" s="14">
        <v>2500</v>
      </c>
      <c r="J3" s="14">
        <v>2400</v>
      </c>
      <c r="K3" s="255"/>
    </row>
    <row r="4" spans="2:11">
      <c r="B4" s="2" t="s">
        <v>4544</v>
      </c>
      <c r="C4" t="s">
        <v>4956</v>
      </c>
      <c r="D4" t="s">
        <v>18</v>
      </c>
      <c r="E4" t="s">
        <v>5138</v>
      </c>
      <c r="F4" t="s">
        <v>45</v>
      </c>
      <c r="H4" s="12" t="s">
        <v>18</v>
      </c>
      <c r="I4" s="15">
        <v>2500</v>
      </c>
      <c r="J4" s="15">
        <v>2400</v>
      </c>
      <c r="K4" s="252"/>
    </row>
    <row r="5" spans="2:11">
      <c r="B5" s="2" t="s">
        <v>408</v>
      </c>
      <c r="C5" t="s">
        <v>5139</v>
      </c>
      <c r="D5" t="s">
        <v>21</v>
      </c>
      <c r="E5" t="s">
        <v>146</v>
      </c>
      <c r="H5" s="11" t="s">
        <v>21</v>
      </c>
      <c r="I5" s="14">
        <v>1500</v>
      </c>
      <c r="J5" s="14">
        <v>1000</v>
      </c>
      <c r="K5" s="255"/>
    </row>
    <row r="6" spans="2:11">
      <c r="B6" s="2" t="s">
        <v>2959</v>
      </c>
      <c r="C6" t="s">
        <v>5018</v>
      </c>
      <c r="D6" t="s">
        <v>24</v>
      </c>
      <c r="E6" t="s">
        <v>5140</v>
      </c>
      <c r="H6" s="12" t="s">
        <v>24</v>
      </c>
      <c r="I6" s="15" t="s">
        <v>27</v>
      </c>
      <c r="J6" s="15">
        <v>2500</v>
      </c>
      <c r="K6" s="252"/>
    </row>
    <row r="7" spans="2:11">
      <c r="B7" s="2" t="s">
        <v>149</v>
      </c>
      <c r="C7" t="s">
        <v>107</v>
      </c>
      <c r="D7" t="s">
        <v>26</v>
      </c>
      <c r="E7" t="s">
        <v>119</v>
      </c>
      <c r="H7" s="11" t="s">
        <v>26</v>
      </c>
      <c r="I7" s="14">
        <v>500</v>
      </c>
      <c r="J7" s="14" t="s">
        <v>27</v>
      </c>
      <c r="K7" s="255"/>
    </row>
    <row r="8" spans="2:11">
      <c r="B8" s="246" t="s">
        <v>5141</v>
      </c>
      <c r="C8" t="s">
        <v>24</v>
      </c>
      <c r="D8" t="s">
        <v>30</v>
      </c>
      <c r="E8" t="s">
        <v>160</v>
      </c>
      <c r="H8" s="12" t="s">
        <v>30</v>
      </c>
      <c r="I8" s="15">
        <v>2500</v>
      </c>
      <c r="J8" s="15">
        <v>2500</v>
      </c>
      <c r="K8" s="252"/>
    </row>
    <row r="9" spans="2:11">
      <c r="B9" s="2" t="s">
        <v>265</v>
      </c>
      <c r="C9" t="s">
        <v>51</v>
      </c>
      <c r="D9" t="s">
        <v>29</v>
      </c>
      <c r="E9" t="s">
        <v>5142</v>
      </c>
      <c r="H9" s="11" t="s">
        <v>32</v>
      </c>
      <c r="I9" s="14" t="s">
        <v>27</v>
      </c>
      <c r="J9" s="14">
        <v>1800</v>
      </c>
      <c r="K9" s="255"/>
    </row>
    <row r="10" spans="2:11">
      <c r="B10" s="2" t="s">
        <v>126</v>
      </c>
      <c r="C10" t="s">
        <v>5143</v>
      </c>
      <c r="D10" t="s">
        <v>34</v>
      </c>
      <c r="E10" t="s">
        <v>111</v>
      </c>
      <c r="H10" s="12" t="s">
        <v>34</v>
      </c>
      <c r="I10" s="15" t="s">
        <v>27</v>
      </c>
      <c r="J10" s="15">
        <v>4900</v>
      </c>
      <c r="K10" s="252"/>
    </row>
    <row r="11" spans="2:11">
      <c r="B11" s="2" t="s">
        <v>566</v>
      </c>
      <c r="C11" t="s">
        <v>113</v>
      </c>
      <c r="D11" t="s">
        <v>70</v>
      </c>
      <c r="E11" t="s">
        <v>122</v>
      </c>
      <c r="H11" s="11" t="s">
        <v>29</v>
      </c>
      <c r="I11" s="14">
        <v>2500</v>
      </c>
      <c r="J11" s="14">
        <v>2500</v>
      </c>
      <c r="K11" s="255"/>
    </row>
    <row r="12" spans="2:11">
      <c r="B12" s="2" t="s">
        <v>1485</v>
      </c>
      <c r="C12" t="s">
        <v>5144</v>
      </c>
      <c r="D12" t="s">
        <v>166</v>
      </c>
      <c r="E12" t="s">
        <v>5145</v>
      </c>
      <c r="H12" s="12" t="s">
        <v>37</v>
      </c>
      <c r="I12" s="15" t="s">
        <v>27</v>
      </c>
      <c r="J12" s="15">
        <v>2500</v>
      </c>
      <c r="K12" s="252"/>
    </row>
    <row r="13" spans="2:11">
      <c r="B13" s="2" t="s">
        <v>191</v>
      </c>
      <c r="C13" t="s">
        <v>5146</v>
      </c>
      <c r="E13" t="s">
        <v>5147</v>
      </c>
      <c r="H13" s="16" t="s">
        <v>43</v>
      </c>
      <c r="I13" s="17">
        <v>115</v>
      </c>
      <c r="J13" s="17" t="s">
        <v>27</v>
      </c>
      <c r="K13" s="18"/>
    </row>
    <row r="14" spans="2:11">
      <c r="B14" s="2" t="s">
        <v>123</v>
      </c>
      <c r="C14" t="s">
        <v>5148</v>
      </c>
      <c r="E14" t="s">
        <v>110</v>
      </c>
    </row>
    <row r="15" spans="2:11">
      <c r="B15" s="2" t="s">
        <v>180</v>
      </c>
      <c r="C15" t="s">
        <v>5149</v>
      </c>
    </row>
    <row r="16" spans="2:11">
      <c r="B16" s="2" t="s">
        <v>5150</v>
      </c>
      <c r="C16" t="s">
        <v>5151</v>
      </c>
    </row>
    <row r="17" spans="2:5">
      <c r="B17" s="2" t="s">
        <v>143</v>
      </c>
      <c r="C17" t="s">
        <v>5152</v>
      </c>
    </row>
    <row r="18" spans="2:5">
      <c r="B18" s="2" t="s">
        <v>132</v>
      </c>
      <c r="C18" t="s">
        <v>5153</v>
      </c>
    </row>
    <row r="19" spans="2:5">
      <c r="B19" s="2" t="s">
        <v>177</v>
      </c>
      <c r="C19" t="s">
        <v>5154</v>
      </c>
    </row>
    <row r="20" spans="2:5">
      <c r="B20" s="2" t="s">
        <v>135</v>
      </c>
      <c r="C20" t="s">
        <v>4981</v>
      </c>
    </row>
    <row r="21" spans="2:5">
      <c r="B21" s="2" t="s">
        <v>185</v>
      </c>
      <c r="C21" t="s">
        <v>5155</v>
      </c>
    </row>
    <row r="22" spans="2:5">
      <c r="B22" s="2" t="s">
        <v>157</v>
      </c>
      <c r="C22" t="s">
        <v>5156</v>
      </c>
    </row>
    <row r="23" spans="2:5">
      <c r="B23" s="2" t="s">
        <v>112</v>
      </c>
    </row>
    <row r="24" spans="2:5">
      <c r="B24" s="2" t="s">
        <v>106</v>
      </c>
    </row>
    <row r="25" spans="2:5">
      <c r="B25" s="94" t="s">
        <v>201</v>
      </c>
    </row>
    <row r="26" spans="2:5">
      <c r="B26" s="94" t="s">
        <v>4702</v>
      </c>
      <c r="E26" s="21"/>
    </row>
    <row r="27" spans="2:5">
      <c r="B27" s="2" t="s">
        <v>116</v>
      </c>
      <c r="E27" s="21"/>
    </row>
    <row r="28" spans="2:5">
      <c r="B28" s="2" t="s">
        <v>2472</v>
      </c>
      <c r="E28" s="21"/>
    </row>
    <row r="29" spans="2:5">
      <c r="B29" s="2" t="s">
        <v>568</v>
      </c>
      <c r="E29" s="21"/>
    </row>
    <row r="30" spans="2:5">
      <c r="B30" s="94" t="s">
        <v>4842</v>
      </c>
      <c r="E30" s="21"/>
    </row>
    <row r="31" spans="2:5">
      <c r="B31" s="2" t="s">
        <v>5157</v>
      </c>
      <c r="E31" s="21"/>
    </row>
    <row r="32" spans="2:5">
      <c r="B32" s="2" t="s">
        <v>5158</v>
      </c>
      <c r="E32" s="21"/>
    </row>
    <row r="33" spans="2:5">
      <c r="B33" s="2" t="s">
        <v>486</v>
      </c>
      <c r="E33" s="21"/>
    </row>
    <row r="34" spans="2:5">
      <c r="B34" s="94" t="s">
        <v>4950</v>
      </c>
      <c r="E34" s="22"/>
    </row>
    <row r="35" spans="2:5">
      <c r="B35" s="2" t="s">
        <v>5159</v>
      </c>
      <c r="E35" s="22"/>
    </row>
    <row r="36" spans="2:5">
      <c r="B36" s="2" t="s">
        <v>5160</v>
      </c>
    </row>
    <row r="37" spans="2:5">
      <c r="B37" s="2" t="s">
        <v>389</v>
      </c>
    </row>
    <row r="38" spans="2:5">
      <c r="B38" s="2" t="s">
        <v>1245</v>
      </c>
    </row>
    <row r="39" spans="2:5">
      <c r="B39" s="2" t="s">
        <v>5161</v>
      </c>
    </row>
    <row r="40" spans="2:5">
      <c r="B40" s="2" t="s">
        <v>5162</v>
      </c>
    </row>
    <row r="41" spans="2:5">
      <c r="B41" s="2" t="s">
        <v>552</v>
      </c>
    </row>
    <row r="42" spans="2:5">
      <c r="B42" s="2" t="s">
        <v>5163</v>
      </c>
    </row>
    <row r="43" spans="2:5">
      <c r="B43" s="2" t="s">
        <v>230</v>
      </c>
    </row>
    <row r="44" spans="2:5">
      <c r="B44" s="2" t="s">
        <v>366</v>
      </c>
    </row>
    <row r="45" spans="2:5">
      <c r="B45" s="2" t="s">
        <v>1098</v>
      </c>
    </row>
    <row r="46" spans="2:5">
      <c r="B46" s="2" t="s">
        <v>198</v>
      </c>
    </row>
    <row r="47" spans="2:5">
      <c r="B47" s="2" t="s">
        <v>163</v>
      </c>
    </row>
    <row r="48" spans="2:5">
      <c r="B48" s="2" t="s">
        <v>849</v>
      </c>
    </row>
    <row r="49" spans="2:2">
      <c r="B49" s="94" t="s">
        <v>5164</v>
      </c>
    </row>
    <row r="50" spans="2:2">
      <c r="B50" s="94" t="s">
        <v>138</v>
      </c>
    </row>
    <row r="51" spans="2:2">
      <c r="B51" s="94" t="s">
        <v>5165</v>
      </c>
    </row>
    <row r="52" spans="2:2">
      <c r="B52" s="94" t="s">
        <v>5166</v>
      </c>
    </row>
    <row r="53" spans="2:2">
      <c r="B53" s="94" t="s">
        <v>5167</v>
      </c>
    </row>
    <row r="54" spans="2:2">
      <c r="B54" s="94" t="s">
        <v>5168</v>
      </c>
    </row>
    <row r="55" spans="2:2">
      <c r="B55" s="94" t="s">
        <v>258</v>
      </c>
    </row>
    <row r="56" spans="2:2">
      <c r="B56" s="94" t="s">
        <v>888</v>
      </c>
    </row>
    <row r="57" spans="2:2">
      <c r="B57" s="94" t="s">
        <v>5169</v>
      </c>
    </row>
    <row r="58" spans="2:2">
      <c r="B58" s="94" t="s">
        <v>5170</v>
      </c>
    </row>
    <row r="59" spans="2:2">
      <c r="B59" s="94" t="s">
        <v>188</v>
      </c>
    </row>
    <row r="60" spans="2:2">
      <c r="B60" s="94" t="s">
        <v>129</v>
      </c>
    </row>
    <row r="61" spans="2:2">
      <c r="B61" s="94" t="s">
        <v>756</v>
      </c>
    </row>
    <row r="62" spans="2:2">
      <c r="B62" s="94" t="s">
        <v>1252</v>
      </c>
    </row>
    <row r="63" spans="2:2">
      <c r="B63" s="94" t="s">
        <v>892</v>
      </c>
    </row>
    <row r="64" spans="2:2">
      <c r="B64" s="94" t="s">
        <v>404</v>
      </c>
    </row>
    <row r="65" spans="2:2">
      <c r="B65" s="94" t="s">
        <v>622</v>
      </c>
    </row>
    <row r="66" spans="2:2">
      <c r="B66" s="94" t="s">
        <v>1225</v>
      </c>
    </row>
    <row r="67" spans="2:2">
      <c r="B67" s="94" t="s">
        <v>1917</v>
      </c>
    </row>
    <row r="68" spans="2:2">
      <c r="B68" s="94" t="s">
        <v>5171</v>
      </c>
    </row>
    <row r="69" spans="2:2">
      <c r="B69" s="94" t="s">
        <v>3086</v>
      </c>
    </row>
    <row r="70" spans="2:2">
      <c r="B70" s="94" t="s">
        <v>3189</v>
      </c>
    </row>
    <row r="71" spans="2:2">
      <c r="B71" s="94" t="s">
        <v>3389</v>
      </c>
    </row>
    <row r="72" spans="2:2">
      <c r="B72" s="94" t="s">
        <v>3414</v>
      </c>
    </row>
    <row r="73" spans="2:2">
      <c r="B73" s="94" t="s">
        <v>404</v>
      </c>
    </row>
    <row r="74" spans="2:2">
      <c r="B74" s="94" t="s">
        <v>3586</v>
      </c>
    </row>
    <row r="75" spans="2:2">
      <c r="B75" s="94" t="s">
        <v>3672</v>
      </c>
    </row>
    <row r="76" spans="2:2">
      <c r="B76" s="94" t="s">
        <v>3692</v>
      </c>
    </row>
    <row r="77" spans="2:2">
      <c r="B77" s="94" t="s">
        <v>3887</v>
      </c>
    </row>
    <row r="78" spans="2:2">
      <c r="B78" s="94" t="s">
        <v>4217</v>
      </c>
    </row>
    <row r="79" spans="2:2">
      <c r="B79" s="94" t="s">
        <v>4506</v>
      </c>
    </row>
    <row r="80" spans="2:2">
      <c r="B80" s="94" t="s">
        <v>4175</v>
      </c>
    </row>
  </sheetData>
  <hyperlinks>
    <hyperlink ref="B49" r:id="rId1" xr:uid="{ACF7C740-1CCD-4819-BB9B-16BE79E63764}"/>
    <hyperlink ref="B50" r:id="rId2" xr:uid="{F3A72727-6417-4B74-91D8-F27E3AAB59B7}"/>
    <hyperlink ref="B2" r:id="rId3" xr:uid="{E9D3FC60-9DCB-4156-8B25-803077685262}"/>
    <hyperlink ref="B51" r:id="rId4" xr:uid="{53A8E50E-87D0-4772-93D9-C99C55240BD1}"/>
    <hyperlink ref="B52" r:id="rId5" xr:uid="{58B3B8D8-6116-48C5-9AED-01E9A5D06988}"/>
    <hyperlink ref="B25" r:id="rId6" xr:uid="{3E214691-88D8-447F-B462-C2DEDD6B70F3}"/>
    <hyperlink ref="B53" r:id="rId7" xr:uid="{A54FE654-BDBB-43B3-9E92-E86B80FB8B99}"/>
    <hyperlink ref="B54" r:id="rId8" xr:uid="{AED18B93-34FA-4CB4-8B63-F056DA94C905}"/>
    <hyperlink ref="B55" r:id="rId9" xr:uid="{C1D1DFBF-56C3-47F9-818B-FD6A78863525}"/>
    <hyperlink ref="B56" r:id="rId10" xr:uid="{539B73C2-FC65-4DDC-AA6C-0403BFAF7261}"/>
    <hyperlink ref="B57" r:id="rId11" xr:uid="{31346F7E-67D5-4EC0-9EA8-C6612CD98FCC}"/>
    <hyperlink ref="B58" r:id="rId12" xr:uid="{9D06B9D1-5B74-4602-8A53-75CCAC114D3C}"/>
    <hyperlink ref="B59" r:id="rId13" xr:uid="{280787B0-A24B-4E8D-9BAB-D62D98563DA1}"/>
    <hyperlink ref="B60" r:id="rId14" xr:uid="{8BA79030-69AA-40DA-8D85-06CBB530D914}"/>
    <hyperlink ref="B61" r:id="rId15" xr:uid="{77DEEC04-AF41-4656-A056-737F07683F71}"/>
    <hyperlink ref="B62" r:id="rId16" xr:uid="{E02ADDD1-A650-47AC-B343-96ABD4C68EB4}"/>
    <hyperlink ref="B63" r:id="rId17" xr:uid="{998A19E8-ADFE-4D83-B8B2-161A8F28EB5F}"/>
    <hyperlink ref="B64" r:id="rId18" xr:uid="{4C457EA4-90D7-4600-AC56-C191D4A19530}"/>
    <hyperlink ref="B65" r:id="rId19" xr:uid="{6E8BFD0C-9456-4B5D-B751-0AACBD3DE9CF}"/>
    <hyperlink ref="B66" r:id="rId20" xr:uid="{F4496778-267A-4701-AF22-6C1A1A70B98D}"/>
    <hyperlink ref="B67" r:id="rId21" xr:uid="{D5BE6FD3-77C7-4F40-AA8A-A46BCA45778A}"/>
    <hyperlink ref="B68" r:id="rId22" xr:uid="{EFC6115A-D01D-4789-9E14-4BECDAF48376}"/>
    <hyperlink ref="B69" r:id="rId23" xr:uid="{AD4D6C9F-F776-4DFB-B7AC-39A72E7C74CC}"/>
    <hyperlink ref="B70" r:id="rId24" xr:uid="{D28FAFB2-1557-4B18-8730-4FA237F230C7}"/>
    <hyperlink ref="B71" r:id="rId25" xr:uid="{BD454EF1-C0A1-4BB1-98E8-4F51C22CBBB0}"/>
    <hyperlink ref="B72" r:id="rId26" xr:uid="{0B13AED9-E818-460A-AEA7-B5F3E7B2291E}"/>
    <hyperlink ref="B73" r:id="rId27" xr:uid="{F49558AA-150D-49E0-AECA-DA5F374578E2}"/>
    <hyperlink ref="B74" r:id="rId28" xr:uid="{EDAF0625-193B-4DE7-84B2-B0DEE0C8B752}"/>
    <hyperlink ref="B75" r:id="rId29" xr:uid="{0D85E7D2-8B8D-4A1E-8D4C-9106A39BEA82}"/>
    <hyperlink ref="B76" r:id="rId30" xr:uid="{B7946299-7BA3-4761-871D-BBCE79A9AC56}"/>
    <hyperlink ref="B77" r:id="rId31" xr:uid="{5D4FC292-F9A6-4CC2-A010-39DC871A2087}"/>
    <hyperlink ref="B78" r:id="rId32" xr:uid="{86A02129-EBD4-4F3C-892F-301270EF820D}"/>
    <hyperlink ref="B79" r:id="rId33" xr:uid="{9B7A0530-8DCD-42A3-917F-966BB777C766}"/>
    <hyperlink ref="B80" r:id="rId34" xr:uid="{599E7A96-C809-4203-A258-EE99AA57749B}"/>
    <hyperlink ref="B8" r:id="rId35" xr:uid="{4FCFD20F-2EA8-4A39-9274-EFF5EC378FC4}"/>
    <hyperlink ref="B26" r:id="rId36" xr:uid="{FCF4B355-DEEE-46A5-99FC-5E559340F7FF}"/>
    <hyperlink ref="B30" r:id="rId37" xr:uid="{AD7AC2D9-9DDF-44D4-85D0-6B4FB86DBA1F}"/>
    <hyperlink ref="B34" r:id="rId38" xr:uid="{60B5CB9F-3E5C-4578-B7F3-D680CFF71328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BB760-2B25-47E2-B651-E6F27D260C0B}">
  <dimension ref="B2:N32"/>
  <sheetViews>
    <sheetView workbookViewId="0">
      <selection activeCell="F28" sqref="F28"/>
    </sheetView>
  </sheetViews>
  <sheetFormatPr defaultRowHeight="15"/>
  <cols>
    <col min="2" max="2" width="31.42578125" customWidth="1"/>
    <col min="3" max="3" width="8.28515625" customWidth="1"/>
    <col min="5" max="5" width="8.28515625" customWidth="1"/>
    <col min="6" max="6" width="9" customWidth="1"/>
    <col min="7" max="7" width="8.5703125" customWidth="1"/>
    <col min="8" max="8" width="7.7109375" customWidth="1"/>
    <col min="9" max="9" width="7.42578125" customWidth="1"/>
    <col min="10" max="10" width="8.28515625" bestFit="1" customWidth="1"/>
    <col min="11" max="11" width="11.7109375" bestFit="1" customWidth="1"/>
    <col min="12" max="12" width="9.42578125" bestFit="1" customWidth="1"/>
    <col min="13" max="13" width="11.42578125" bestFit="1" customWidth="1"/>
    <col min="14" max="14" width="10.7109375" bestFit="1" customWidth="1"/>
  </cols>
  <sheetData>
    <row r="2" spans="2:14" ht="28.5" customHeight="1">
      <c r="B2" s="182" t="s">
        <v>5172</v>
      </c>
      <c r="C2" s="190" t="s">
        <v>54</v>
      </c>
      <c r="D2" s="256" t="s">
        <v>55</v>
      </c>
      <c r="E2" s="190" t="s">
        <v>56</v>
      </c>
      <c r="F2" s="181" t="s">
        <v>57</v>
      </c>
      <c r="G2" s="162" t="s">
        <v>60</v>
      </c>
      <c r="H2" s="163" t="s">
        <v>62</v>
      </c>
      <c r="I2" s="163" t="s">
        <v>64</v>
      </c>
      <c r="J2" s="163" t="s">
        <v>67</v>
      </c>
      <c r="K2" s="163" t="s">
        <v>71</v>
      </c>
      <c r="L2" s="163" t="s">
        <v>73</v>
      </c>
      <c r="M2" s="163" t="s">
        <v>76</v>
      </c>
      <c r="N2" s="164" t="s">
        <v>79</v>
      </c>
    </row>
    <row r="3" spans="2:14">
      <c r="B3" s="183" t="s">
        <v>61</v>
      </c>
      <c r="C3" s="187">
        <f>AVERAGEIFS(General!S:S,General!B:B,"&gt;="&amp;DATE(2025,1,1),General!B:B,"&lt;="&amp;DATE(2025,1,31),General!F:F,"IP CERRADA")</f>
        <v>3.7319148936170214</v>
      </c>
      <c r="D3" s="206">
        <f>AVERAGEIFS(General!S:S,General!B:B,"&gt;="&amp;DATE(2025,2,1),General!B:B,"&lt;="&amp;DATE(2025,2,28),General!F:F,"IP CERRADA")</f>
        <v>4.2111111111111112</v>
      </c>
      <c r="E3" s="187">
        <f>AVERAGEIFS(General!S:S,General!B:B,"&gt;="&amp;DATE(2025,3,1),General!B:B,"&lt;="&amp;DATE(2025,3,31),General!F:F,"IP CERRADA")</f>
        <v>3.6617647058823528</v>
      </c>
      <c r="F3" s="226" t="s">
        <v>5173</v>
      </c>
      <c r="G3" s="184"/>
      <c r="H3" s="177"/>
      <c r="I3" s="177"/>
      <c r="J3" s="177"/>
      <c r="K3" s="177"/>
      <c r="L3" s="177"/>
      <c r="M3" s="177"/>
      <c r="N3" s="178"/>
    </row>
    <row r="4" spans="2:14">
      <c r="B4" s="176" t="s">
        <v>63</v>
      </c>
      <c r="C4" s="187">
        <f>AVERAGEIFS(General!T:T,General!B:B,"&gt;="&amp;DATE(2025,1,1),General!B:B,"&lt;="&amp;DATE(2025,1,31),General!F:F,"IP CERRADA")</f>
        <v>1.4425531914893617</v>
      </c>
      <c r="D4" s="187">
        <f>AVERAGEIFS(General!T:T,General!B:B,"&gt;="&amp;DATE(2025,2,1),General!B:B,"&lt;="&amp;DATE(2025,2,28),General!F:F,"IP CERRADA")</f>
        <v>1.5642458100558658</v>
      </c>
      <c r="E4" s="187">
        <f>AVERAGEIFS(General!T:T,General!B:B,"&gt;="&amp;DATE(2025,3,1),General!B:B,"&lt;="&amp;DATE(2025,3,31),General!F:F,"IP CERRADA")</f>
        <v>1.541871921182266</v>
      </c>
      <c r="F4" s="226">
        <f>AVERAGEIFS(General!T:T,General!B:B,"&gt;="&amp;DATE(2025,4,1),General!B:B,"&lt;="&amp;DATE(2025,4,30),General!F:F,"IP CERRADA")</f>
        <v>0.79423076923076918</v>
      </c>
      <c r="G4" s="184"/>
      <c r="H4" s="177"/>
      <c r="I4" s="177"/>
      <c r="J4" s="177"/>
      <c r="K4" s="177"/>
      <c r="L4" s="177"/>
      <c r="M4" s="177"/>
      <c r="N4" s="178"/>
    </row>
    <row r="5" spans="2:14">
      <c r="B5" s="176" t="s">
        <v>65</v>
      </c>
      <c r="C5" s="187">
        <f>AVERAGEIFS(General!U:U,General!B:B,"&gt;="&amp;DATE(2025,1,1),General!B:B,"&lt;="&amp;DATE(2025,1,31),General!F:F,"IP CERRADA")</f>
        <v>1.4297872340425533</v>
      </c>
      <c r="D5" s="187">
        <f>AVERAGEIFS(General!U:U,General!B:B,"&gt;="&amp;DATE(2025,2,1),General!B:B,"&lt;="&amp;DATE(2025,2,28),General!F:F,"IP CERRADA")</f>
        <v>1.6201117318435754</v>
      </c>
      <c r="E5" s="187">
        <f>AVERAGEIFS(General!U:U,General!B:B,"&gt;="&amp;DATE(2025,3,1),General!B:B,"&lt;="&amp;DATE(2025,3,31),General!F:F,"IP CERRADA")</f>
        <v>1.7277227722772277</v>
      </c>
      <c r="F5" s="226">
        <f>AVERAGEIFS(General!U:U,General!B:B,"&gt;="&amp;DATE(2025,4,1),General!B:B,"&lt;="&amp;DATE(2025,4,30),General!F:F,"IP CERRADA")</f>
        <v>1.2384615384615385</v>
      </c>
      <c r="G5" s="184"/>
      <c r="H5" s="177"/>
      <c r="I5" s="177"/>
      <c r="J5" s="177"/>
      <c r="K5" s="177"/>
      <c r="L5" s="177"/>
      <c r="M5" s="177"/>
      <c r="N5" s="178"/>
    </row>
    <row r="6" spans="2:14">
      <c r="B6" s="176" t="s">
        <v>68</v>
      </c>
      <c r="C6" s="187">
        <f>AVERAGEIFS(General!V:V,General!B:B,"&gt;="&amp;DATE(2025,1,1),General!B:B,"&lt;="&amp;DATE(2025,1,31),General!F:F,"IP CERRADA")</f>
        <v>6.6042553191489359</v>
      </c>
      <c r="D6" s="187">
        <f>AVERAGEIFS(General!V:V,General!B:B,"&gt;="&amp;DATE(2025,2,1),General!B:B,"&lt;="&amp;DATE(2025,2,28),General!F:F,"IP CERRADA")</f>
        <v>7.4078212290502794</v>
      </c>
      <c r="E6" s="187">
        <f>AVERAGEIFS(General!V:V,General!B:B,"&gt;="&amp;DATE(2025,3,1),General!B:B,"&lt;="&amp;DATE(2025,3,31),General!F:F,"IP CERRADA")</f>
        <v>6.9009900990099009</v>
      </c>
      <c r="F6" s="226">
        <f>AVERAGEIFS(General!V:V,General!B:B,"&gt;="&amp;DATE(2025,4,1),General!B:B,"&lt;="&amp;DATE(2025,4,30),General!F:F,"IP CERRADA")</f>
        <v>6.8173076923076925</v>
      </c>
      <c r="G6" s="184"/>
      <c r="H6" s="177"/>
      <c r="I6" s="177"/>
      <c r="J6" s="177"/>
      <c r="K6" s="177"/>
      <c r="L6" s="177"/>
      <c r="M6" s="177"/>
      <c r="N6" s="178"/>
    </row>
    <row r="7" spans="2:14">
      <c r="B7" s="176" t="s">
        <v>72</v>
      </c>
      <c r="C7" s="188">
        <f>AVERAGEIFS(General!W:W,General!B:B,"&gt;="&amp;DATE(2025,1,1),General!B:B,"&lt;="&amp;DATE(2025,1,31),General!F:F,"IP CERRADA")</f>
        <v>2.8723404255319149</v>
      </c>
      <c r="D7" s="188">
        <f>AVERAGEIFS(General!W:W,General!B:B,"&gt;="&amp;DATE(2025,2,1),General!B:B,"&lt;="&amp;DATE(2025,2,28),General!F:F,"IP CERRADA")</f>
        <v>3.1843575418994412</v>
      </c>
      <c r="E7" s="188">
        <f>AVERAGEIFS(General!W:W,General!B:B,"&gt;="&amp;DATE(2025,3,1),General!B:B,"&lt;="&amp;DATE(2025,3,31),General!F:F,"IP CERRADA")</f>
        <v>3.2574257425742572</v>
      </c>
      <c r="F7" s="227">
        <f>AVERAGEIFS(General!W:W,General!B:B,"&gt;="&amp;DATE(2025,4,1),General!B:B,"&lt;="&amp;DATE(2025,4,30),General!F:F,"IP CERRADA")</f>
        <v>2.0326923076923076</v>
      </c>
      <c r="G7" s="185"/>
      <c r="H7" s="179"/>
      <c r="I7" s="179"/>
      <c r="J7" s="179"/>
      <c r="K7" s="179"/>
      <c r="L7" s="179"/>
      <c r="M7" s="179"/>
      <c r="N7" s="180"/>
    </row>
    <row r="8" spans="2:14">
      <c r="B8" s="176" t="s">
        <v>5174</v>
      </c>
      <c r="C8" s="189">
        <f>AVERAGEIFS(General!X:X,General!B:B,"&gt;="&amp;DATE(2025,1,1),General!B:B,"&lt;="&amp;DATE(2025,1,31),General!F:F,"IP CERRADA")</f>
        <v>7.0595744680851062</v>
      </c>
      <c r="D8" s="189">
        <f>AVERAGEIFS(General!X:X,General!B:B,"&gt;="&amp;DATE(2025,2,1),General!B:B,"&lt;="&amp;DATE(2025,2,28),General!F:F,"IP CERRADA")</f>
        <v>8.155555555555555</v>
      </c>
      <c r="E8" s="189">
        <f>AVERAGEIFS(General!X:X,General!B:B,"&gt;="&amp;DATE(2025,3,1),General!B:B,"&lt;="&amp;DATE(2025,3,31),General!F:F,"IP CERRADA")</f>
        <v>7.8039215686274508</v>
      </c>
      <c r="F8" s="228">
        <f>AVERAGEIFS(General!X:X,General!B:B,"&gt;="&amp;DATE(2025,4,1),General!B:B,"&lt;="&amp;DATE(2025,4,30),General!F:F,"IP CERRADA")</f>
        <v>7.4884615384615385</v>
      </c>
      <c r="G8" s="185"/>
      <c r="H8" s="179"/>
      <c r="I8" s="179"/>
      <c r="J8" s="179"/>
      <c r="K8" s="179"/>
      <c r="L8" s="179"/>
      <c r="M8" s="179"/>
      <c r="N8" s="180"/>
    </row>
    <row r="9" spans="2:14">
      <c r="B9" s="167" t="s">
        <v>5175</v>
      </c>
      <c r="C9" s="186"/>
      <c r="D9" s="186"/>
      <c r="E9" s="186"/>
      <c r="F9" s="186"/>
      <c r="G9" s="160"/>
      <c r="H9" s="160"/>
      <c r="I9" s="160"/>
      <c r="J9" s="160"/>
      <c r="K9" s="160"/>
      <c r="L9" s="160"/>
      <c r="M9" s="160"/>
      <c r="N9" s="168"/>
    </row>
    <row r="10" spans="2:14">
      <c r="B10" s="169" t="s">
        <v>5176</v>
      </c>
      <c r="C10" s="170"/>
      <c r="D10" s="170"/>
      <c r="E10" s="170"/>
      <c r="F10" s="170"/>
      <c r="G10" s="170"/>
      <c r="H10" s="170"/>
      <c r="I10" s="170"/>
      <c r="J10" s="170"/>
      <c r="K10" s="170"/>
      <c r="L10" s="170"/>
      <c r="M10" s="170"/>
      <c r="N10" s="171"/>
    </row>
    <row r="11" spans="2:14">
      <c r="B11" s="159"/>
    </row>
    <row r="12" spans="2:14">
      <c r="B12" s="159"/>
    </row>
    <row r="13" spans="2:14" ht="27" customHeight="1">
      <c r="B13" s="161" t="s">
        <v>5177</v>
      </c>
      <c r="C13" s="162" t="s">
        <v>54</v>
      </c>
      <c r="D13" s="163" t="s">
        <v>55</v>
      </c>
      <c r="E13" s="163" t="s">
        <v>56</v>
      </c>
      <c r="F13" s="163" t="s">
        <v>57</v>
      </c>
      <c r="G13" s="163" t="s">
        <v>60</v>
      </c>
      <c r="H13" s="163" t="s">
        <v>62</v>
      </c>
      <c r="I13" s="163" t="s">
        <v>64</v>
      </c>
      <c r="J13" s="163" t="s">
        <v>67</v>
      </c>
      <c r="K13" s="163" t="s">
        <v>71</v>
      </c>
      <c r="L13" s="163" t="s">
        <v>73</v>
      </c>
      <c r="M13" s="163" t="s">
        <v>76</v>
      </c>
      <c r="N13" s="164" t="s">
        <v>79</v>
      </c>
    </row>
    <row r="14" spans="2:14">
      <c r="B14" s="165" t="s">
        <v>61</v>
      </c>
      <c r="C14" s="172"/>
      <c r="D14" s="172"/>
      <c r="E14" s="172"/>
      <c r="F14" s="172"/>
      <c r="G14" s="172"/>
      <c r="H14" s="172"/>
      <c r="I14" s="172"/>
      <c r="J14" s="172" t="e">
        <f>AVERAGEIFS(General!S:S,General!B:B,"&gt;="&amp;DATE(2024,8,1),General!B:B,"&lt;="&amp;DATE(2024,8,31),General!F:F,"IP CERRADA")</f>
        <v>#DIV/0!</v>
      </c>
      <c r="K14" s="172" t="e">
        <f>AVERAGEIFS(General!S:S,General!B:B,"&gt;="&amp;DATE(2024,9,1),General!B:B,"&lt;="&amp;DATE(2024,9,30),General!F:F,"IP CERRADA")</f>
        <v>#DIV/0!</v>
      </c>
      <c r="L14" s="172" t="e">
        <f>AVERAGEIFS(General!S:S,General!B:B,"&gt;="&amp;DATE(2024,10,1),General!B:B,"&lt;="&amp;DATE(2024,10,31),General!F:F,"IP CERRADA")</f>
        <v>#DIV/0!</v>
      </c>
      <c r="M14" s="172" t="e">
        <f>AVERAGEIFS(General!S:S,General!B:B,"&gt;="&amp;DATE(2024,11,1),General!B:B,"&lt;="&amp;DATE(2024,11,30),General!F:F,"IP CERRADA")</f>
        <v>#DIV/0!</v>
      </c>
      <c r="N14" s="172" t="e">
        <f>AVERAGEIFS(General!S:S,General!B:B,"&gt;="&amp;DATE(2024,12,1),General!B:B,"&lt;="&amp;DATE(2024,12,31),General!F:F,"IP CERRADA")</f>
        <v>#DIV/0!</v>
      </c>
    </row>
    <row r="15" spans="2:14">
      <c r="B15" s="166" t="s">
        <v>63</v>
      </c>
      <c r="C15" s="172"/>
      <c r="D15" s="172"/>
      <c r="E15" s="172"/>
      <c r="F15" s="172"/>
      <c r="G15" s="172"/>
      <c r="H15" s="172"/>
      <c r="I15" s="172"/>
      <c r="J15" s="172" t="e">
        <f>AVERAGEIFS(General!T:T,General!B:B,"&gt;="&amp;DATE(2024,8,1),General!B:B,"&lt;="&amp;DATE(2024,8,31),General!F:F,"IP CERRADA")</f>
        <v>#DIV/0!</v>
      </c>
      <c r="K15" s="172" t="e">
        <f>AVERAGEIFS(General!T:T,General!B:B,"&gt;="&amp;DATE(2024,9,1),General!B:B,"&lt;="&amp;DATE(2024,9,30),General!F:F,"IP CERRADA")</f>
        <v>#DIV/0!</v>
      </c>
      <c r="L15" s="172" t="e">
        <f>AVERAGEIFS(General!T:T,General!B:B,"&gt;="&amp;DATE(2024,10,1),General!B:B,"&lt;="&amp;DATE(2024,10,31),General!F:F,"IP CERRADA")</f>
        <v>#DIV/0!</v>
      </c>
      <c r="M15" s="172" t="e">
        <f>AVERAGEIFS(General!T:T,General!B:B,"&gt;="&amp;DATE(2024,11,1),General!B:B,"&lt;="&amp;DATE(2024,11,30),General!F:F,"IP CERRADA")</f>
        <v>#DIV/0!</v>
      </c>
      <c r="N15" s="174" t="e">
        <f>AVERAGEIFS(General!T:T,General!B:B,"&gt;="&amp;DATE(2024,12,1),General!B:B,"&lt;="&amp;DATE(2024,12,31),General!F:F,"IP CERRADA")</f>
        <v>#DIV/0!</v>
      </c>
    </row>
    <row r="16" spans="2:14">
      <c r="B16" s="166" t="s">
        <v>65</v>
      </c>
      <c r="C16" s="172"/>
      <c r="D16" s="172"/>
      <c r="E16" s="172"/>
      <c r="F16" s="172"/>
      <c r="G16" s="172"/>
      <c r="H16" s="172"/>
      <c r="I16" s="172"/>
      <c r="J16" s="172" t="e">
        <f>AVERAGEIFS(General!U:U,General!B:B,"&gt;="&amp;DATE(2024,8,1),General!B:B,"&lt;="&amp;DATE(2024,8,31),General!F:F,"IP CERRADA")</f>
        <v>#DIV/0!</v>
      </c>
      <c r="K16" s="172" t="e">
        <f>AVERAGEIFS(General!U:U,General!B:B,"&gt;="&amp;DATE(2024,9,1),General!B:B,"&lt;="&amp;DATE(2024,9,30),General!F:F,"IP CERRADA")</f>
        <v>#DIV/0!</v>
      </c>
      <c r="L16" s="172" t="e">
        <f>AVERAGEIFS(General!U:U,General!B:B,"&gt;="&amp;DATE(2024,10,1),General!B:B,"&lt;="&amp;DATE(2024,10,31),General!F:F,"IP CERRADA")</f>
        <v>#DIV/0!</v>
      </c>
      <c r="M16" s="172" t="e">
        <f>AVERAGEIFS(General!U:U,General!B:B,"&gt;="&amp;DATE(2024,11,1),General!B:B,"&lt;="&amp;DATE(2024,11,30),General!F:F,"IP CERRADA")</f>
        <v>#DIV/0!</v>
      </c>
      <c r="N16" s="174" t="e">
        <f>AVERAGEIFS(General!U:U,General!B:B,"&gt;="&amp;DATE(2024,12,1),General!B:B,"&lt;="&amp;DATE(2024,12,31),General!F:F,"IP CERRADA")</f>
        <v>#DIV/0!</v>
      </c>
    </row>
    <row r="17" spans="2:14">
      <c r="B17" s="166" t="s">
        <v>68</v>
      </c>
      <c r="C17" s="172"/>
      <c r="D17" s="172"/>
      <c r="E17" s="172"/>
      <c r="F17" s="172"/>
      <c r="G17" s="172"/>
      <c r="H17" s="172"/>
      <c r="I17" s="172"/>
      <c r="J17" s="172" t="e">
        <f>AVERAGEIFS(General!V:V,General!B:B,"&gt;="&amp;DATE(2024,8,1),General!B:B,"&lt;="&amp;DATE(2024,8,31),General!F:F,"IP CERRADA")</f>
        <v>#DIV/0!</v>
      </c>
      <c r="K17" s="172" t="e">
        <f>AVERAGEIFS(General!V:V,General!B:B,"&gt;="&amp;DATE(2024,9,1),General!B:B,"&lt;="&amp;DATE(2024,9,30),General!F:F,"IP CERRADA")</f>
        <v>#DIV/0!</v>
      </c>
      <c r="L17" s="172" t="e">
        <f>AVERAGEIFS(General!V:V,General!B:B,"&gt;="&amp;DATE(2024,10,1),General!B:B,"&lt;="&amp;DATE(2024,10,31),General!F:F,"IP CERRADA")</f>
        <v>#DIV/0!</v>
      </c>
      <c r="M17" s="172" t="e">
        <f>AVERAGEIFS(General!V:V,General!B:B,"&gt;="&amp;DATE(2024,11,1),General!B:B,"&lt;="&amp;DATE(2024,11,30),General!F:F,"IP CERRADA")</f>
        <v>#DIV/0!</v>
      </c>
      <c r="N17" s="174" t="e">
        <f>AVERAGEIFS(General!V:V,General!B:B,"&gt;="&amp;DATE(2024,12,1),General!B:B,"&lt;="&amp;DATE(2024,12,31),General!F:F,"IP CERRADA")</f>
        <v>#DIV/0!</v>
      </c>
    </row>
    <row r="18" spans="2:14">
      <c r="B18" s="166" t="s">
        <v>72</v>
      </c>
      <c r="C18" s="173"/>
      <c r="D18" s="173"/>
      <c r="E18" s="173"/>
      <c r="F18" s="173"/>
      <c r="G18" s="173"/>
      <c r="H18" s="173"/>
      <c r="I18" s="173"/>
      <c r="J18" s="173" t="e">
        <f>AVERAGEIFS(General!W:W,General!B:B,"&gt;="&amp;DATE(2024,8,1),General!B:B,"&lt;="&amp;DATE(2024,8,31),General!F:F,"IP CERRADA")</f>
        <v>#DIV/0!</v>
      </c>
      <c r="K18" s="173" t="e">
        <f>AVERAGEIFS(General!W:W,General!B:B,"&gt;="&amp;DATE(2024,9,1),General!B:B,"&lt;="&amp;DATE(2024,9,30),General!F:F,"IP CERRADA")</f>
        <v>#DIV/0!</v>
      </c>
      <c r="L18" s="173" t="e">
        <f>AVERAGEIFS(General!W:W,General!B:B,"&gt;="&amp;DATE(2024,10,1),General!B:B,"&lt;="&amp;DATE(2024,10,31),General!F:F,"IP CERRADA")</f>
        <v>#DIV/0!</v>
      </c>
      <c r="M18" s="173" t="e">
        <f>AVERAGEIFS(General!W:W,General!B:B,"&gt;="&amp;DATE(2024,11,1),General!B:B,"&lt;="&amp;DATE(2024,11,30),General!F:F,"IP CERRADA")</f>
        <v>#DIV/0!</v>
      </c>
      <c r="N18" s="175" t="e">
        <f>AVERAGEIFS(General!W:W,General!B:B,"&gt;="&amp;DATE(2024,12,1),General!B:B,"&lt;="&amp;DATE(2024,12,31),General!F:F,"IP CERRADA")</f>
        <v>#DIV/0!</v>
      </c>
    </row>
    <row r="19" spans="2:14">
      <c r="B19" s="176" t="s">
        <v>5174</v>
      </c>
      <c r="C19" s="173"/>
      <c r="D19" s="173"/>
      <c r="E19" s="173"/>
      <c r="F19" s="173"/>
      <c r="G19" s="173"/>
      <c r="H19" s="173"/>
      <c r="I19" s="173"/>
      <c r="J19" s="173" t="e">
        <f>AVERAGEIFS(General!X:X,General!B:B,"&gt;="&amp;DATE(2024,8,1),General!B:B,"&lt;="&amp;DATE(2024,8,31),General!F:F,"IP CERRADA")</f>
        <v>#DIV/0!</v>
      </c>
      <c r="K19" s="173" t="e">
        <f>AVERAGEIFS(General!X:X,General!B:B,"&gt;="&amp;DATE(2024,9,1),General!B:B,"&lt;="&amp;DATE(2024,9,30),General!F:F,"IP CERRADA")</f>
        <v>#DIV/0!</v>
      </c>
      <c r="L19" s="173" t="e">
        <f>AVERAGEIFS(General!X:X,General!B:B,"&gt;="&amp;DATE(2024,10,1),General!B:B,"&lt;="&amp;DATE(2024,10,31),General!F:F,"IP CERRADA")</f>
        <v>#DIV/0!</v>
      </c>
      <c r="M19" s="173" t="e">
        <f>AVERAGEIFS(General!X:X,General!B:B,"&gt;="&amp;DATE(2024,11,1),General!B:B,"&lt;="&amp;DATE(2024,11,30),General!F:F,"IP CERRADA")</f>
        <v>#DIV/0!</v>
      </c>
      <c r="N19" s="175" t="e">
        <f>AVERAGEIFS(General!X:X,General!B:B,"&gt;="&amp;DATE(2024,12,1),General!B:B,"&lt;="&amp;DATE(2024,12,31),General!F:F,"IP CERRADA")</f>
        <v>#DIV/0!</v>
      </c>
    </row>
    <row r="20" spans="2:14">
      <c r="B20" s="167" t="s">
        <v>5175</v>
      </c>
      <c r="C20" s="160"/>
      <c r="D20" s="160"/>
      <c r="E20" s="160"/>
      <c r="F20" s="160"/>
      <c r="G20" s="160"/>
      <c r="H20" s="160"/>
      <c r="I20" s="160"/>
      <c r="J20" s="160"/>
      <c r="K20" s="160"/>
      <c r="L20" s="160"/>
      <c r="M20" s="160"/>
      <c r="N20" s="168"/>
    </row>
    <row r="21" spans="2:14">
      <c r="B21" s="169" t="s">
        <v>5176</v>
      </c>
      <c r="C21" s="170"/>
      <c r="D21" s="170"/>
      <c r="E21" s="170"/>
      <c r="F21" s="170"/>
      <c r="G21" s="170"/>
      <c r="H21" s="170"/>
      <c r="I21" s="170"/>
      <c r="J21" s="170"/>
      <c r="K21" s="170"/>
      <c r="L21" s="170"/>
      <c r="M21" s="170"/>
      <c r="N21" s="171"/>
    </row>
    <row r="22" spans="2:14">
      <c r="B22" s="151"/>
    </row>
    <row r="23" spans="2:14">
      <c r="B23" s="151"/>
    </row>
    <row r="24" spans="2:14">
      <c r="B24" s="151"/>
    </row>
    <row r="25" spans="2:14">
      <c r="B25" s="151"/>
    </row>
    <row r="26" spans="2:14">
      <c r="B26" s="151"/>
    </row>
    <row r="27" spans="2:14">
      <c r="B27" s="151"/>
    </row>
    <row r="28" spans="2:14">
      <c r="B28" s="151"/>
    </row>
    <row r="29" spans="2:14">
      <c r="B29" s="151"/>
    </row>
    <row r="30" spans="2:14">
      <c r="B30" s="151"/>
    </row>
    <row r="31" spans="2:14">
      <c r="B31" s="151"/>
    </row>
    <row r="32" spans="2:14">
      <c r="B32" s="151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CB90B-1B7E-47A3-98C9-0A72AB7C71BB}">
  <dimension ref="A1:E35"/>
  <sheetViews>
    <sheetView workbookViewId="0">
      <selection activeCell="E29" sqref="E29"/>
    </sheetView>
  </sheetViews>
  <sheetFormatPr defaultRowHeight="15"/>
  <cols>
    <col min="1" max="1" width="31.5703125" customWidth="1"/>
    <col min="2" max="2" width="28.42578125" customWidth="1"/>
    <col min="3" max="3" width="23.85546875" customWidth="1"/>
    <col min="4" max="4" width="51.5703125" customWidth="1"/>
    <col min="5" max="5" width="91" customWidth="1"/>
  </cols>
  <sheetData>
    <row r="1" spans="1:5">
      <c r="A1" t="s">
        <v>5178</v>
      </c>
      <c r="B1" t="s">
        <v>5179</v>
      </c>
      <c r="C1" t="s">
        <v>5180</v>
      </c>
      <c r="D1" t="s">
        <v>5181</v>
      </c>
      <c r="E1" t="s">
        <v>5182</v>
      </c>
    </row>
    <row r="2" spans="1:5">
      <c r="A2" t="s">
        <v>5183</v>
      </c>
      <c r="B2" t="s">
        <v>5184</v>
      </c>
      <c r="C2">
        <v>21502226</v>
      </c>
      <c r="D2" s="152" t="s">
        <v>5185</v>
      </c>
    </row>
    <row r="3" spans="1:5">
      <c r="A3" t="s">
        <v>5186</v>
      </c>
      <c r="B3" t="s">
        <v>5187</v>
      </c>
      <c r="C3">
        <v>1158326062</v>
      </c>
      <c r="D3" s="152" t="s">
        <v>5188</v>
      </c>
    </row>
    <row r="4" spans="1:5">
      <c r="A4" t="s">
        <v>5189</v>
      </c>
      <c r="B4" t="s">
        <v>5190</v>
      </c>
      <c r="C4">
        <v>45044488</v>
      </c>
      <c r="D4" s="152" t="s">
        <v>5191</v>
      </c>
    </row>
    <row r="5" spans="1:5">
      <c r="A5" t="s">
        <v>5192</v>
      </c>
      <c r="B5" t="s">
        <v>5190</v>
      </c>
      <c r="C5" t="s">
        <v>5193</v>
      </c>
      <c r="D5" s="152" t="s">
        <v>5194</v>
      </c>
    </row>
    <row r="6" spans="1:5">
      <c r="A6" t="s">
        <v>5195</v>
      </c>
      <c r="B6" t="s">
        <v>5196</v>
      </c>
      <c r="D6" s="152" t="s">
        <v>5197</v>
      </c>
    </row>
    <row r="7" spans="1:5">
      <c r="A7" t="s">
        <v>5198</v>
      </c>
      <c r="B7" t="s">
        <v>5196</v>
      </c>
      <c r="C7">
        <v>1157233307</v>
      </c>
      <c r="D7" s="152" t="s">
        <v>5199</v>
      </c>
    </row>
    <row r="8" spans="1:5">
      <c r="A8" t="s">
        <v>5200</v>
      </c>
      <c r="B8" t="s">
        <v>5196</v>
      </c>
      <c r="C8">
        <v>1166031137</v>
      </c>
      <c r="D8" s="152" t="s">
        <v>5201</v>
      </c>
    </row>
    <row r="9" spans="1:5">
      <c r="A9" t="s">
        <v>5202</v>
      </c>
      <c r="B9" t="s">
        <v>5203</v>
      </c>
      <c r="C9">
        <v>1171703110</v>
      </c>
      <c r="D9" s="152" t="s">
        <v>5204</v>
      </c>
      <c r="E9" t="s">
        <v>5205</v>
      </c>
    </row>
    <row r="10" spans="1:5">
      <c r="A10" t="s">
        <v>5206</v>
      </c>
      <c r="B10" t="s">
        <v>5207</v>
      </c>
      <c r="C10">
        <v>1140904523</v>
      </c>
      <c r="D10" s="152" t="s">
        <v>5208</v>
      </c>
    </row>
    <row r="11" spans="1:5">
      <c r="A11" t="s">
        <v>5206</v>
      </c>
      <c r="B11" t="s">
        <v>5209</v>
      </c>
      <c r="C11">
        <v>1140904523</v>
      </c>
      <c r="D11" s="152" t="s">
        <v>5208</v>
      </c>
    </row>
    <row r="12" spans="1:5">
      <c r="A12" t="s">
        <v>5206</v>
      </c>
      <c r="B12" t="s">
        <v>5210</v>
      </c>
      <c r="C12">
        <v>1140904523</v>
      </c>
      <c r="D12" s="152" t="s">
        <v>5208</v>
      </c>
    </row>
    <row r="13" spans="1:5">
      <c r="A13" t="s">
        <v>5206</v>
      </c>
      <c r="B13" t="s">
        <v>5211</v>
      </c>
      <c r="C13">
        <v>1140904523</v>
      </c>
      <c r="D13" s="152" t="s">
        <v>5208</v>
      </c>
    </row>
    <row r="14" spans="1:5">
      <c r="A14" t="s">
        <v>5206</v>
      </c>
      <c r="B14" t="s">
        <v>5212</v>
      </c>
      <c r="C14">
        <v>1140904523</v>
      </c>
      <c r="D14" s="152" t="s">
        <v>5208</v>
      </c>
    </row>
    <row r="15" spans="1:5">
      <c r="A15" t="s">
        <v>5213</v>
      </c>
      <c r="B15" t="s">
        <v>5207</v>
      </c>
      <c r="C15">
        <v>1158787621</v>
      </c>
      <c r="D15" s="152" t="s">
        <v>5214</v>
      </c>
      <c r="E15" t="s">
        <v>5215</v>
      </c>
    </row>
    <row r="16" spans="1:5">
      <c r="A16" t="s">
        <v>5216</v>
      </c>
      <c r="B16" t="s">
        <v>5203</v>
      </c>
      <c r="C16">
        <v>1141743188</v>
      </c>
      <c r="D16" s="152" t="s">
        <v>5217</v>
      </c>
      <c r="E16" t="s">
        <v>5205</v>
      </c>
    </row>
    <row r="17" spans="1:4">
      <c r="A17" t="s">
        <v>5218</v>
      </c>
      <c r="B17" t="s">
        <v>5184</v>
      </c>
      <c r="C17">
        <v>1168362170</v>
      </c>
      <c r="D17" s="152" t="s">
        <v>5219</v>
      </c>
    </row>
    <row r="18" spans="1:4">
      <c r="A18" t="s">
        <v>5220</v>
      </c>
      <c r="B18" t="s">
        <v>5221</v>
      </c>
      <c r="D18" s="152" t="s">
        <v>5222</v>
      </c>
    </row>
    <row r="19" spans="1:4">
      <c r="A19" t="s">
        <v>5220</v>
      </c>
      <c r="B19" t="s">
        <v>5223</v>
      </c>
      <c r="D19" t="s">
        <v>5222</v>
      </c>
    </row>
    <row r="20" spans="1:4">
      <c r="A20" t="s">
        <v>5220</v>
      </c>
      <c r="B20" t="s">
        <v>5224</v>
      </c>
      <c r="D20" t="s">
        <v>5222</v>
      </c>
    </row>
    <row r="21" spans="1:4">
      <c r="A21" t="s">
        <v>5220</v>
      </c>
      <c r="B21" t="s">
        <v>5225</v>
      </c>
      <c r="D21" t="s">
        <v>5222</v>
      </c>
    </row>
    <row r="22" spans="1:4">
      <c r="A22" t="s">
        <v>5220</v>
      </c>
      <c r="B22" t="s">
        <v>5226</v>
      </c>
      <c r="D22" t="s">
        <v>5222</v>
      </c>
    </row>
    <row r="23" spans="1:4">
      <c r="A23" t="s">
        <v>5220</v>
      </c>
      <c r="B23" t="s">
        <v>5227</v>
      </c>
      <c r="D23" t="s">
        <v>5222</v>
      </c>
    </row>
    <row r="24" spans="1:4">
      <c r="A24" t="s">
        <v>5220</v>
      </c>
      <c r="B24" t="s">
        <v>5228</v>
      </c>
      <c r="D24" t="s">
        <v>5222</v>
      </c>
    </row>
    <row r="25" spans="1:4">
      <c r="A25" t="s">
        <v>5229</v>
      </c>
      <c r="B25" t="s">
        <v>5203</v>
      </c>
      <c r="D25" s="152" t="s">
        <v>5230</v>
      </c>
    </row>
    <row r="26" spans="1:4">
      <c r="A26" t="s">
        <v>5231</v>
      </c>
      <c r="B26" t="s">
        <v>5232</v>
      </c>
      <c r="C26">
        <v>1154637698</v>
      </c>
      <c r="D26" t="s">
        <v>5233</v>
      </c>
    </row>
    <row r="27" spans="1:4">
      <c r="A27" t="s">
        <v>5231</v>
      </c>
      <c r="B27" t="s">
        <v>5232</v>
      </c>
      <c r="D27" t="s">
        <v>5234</v>
      </c>
    </row>
    <row r="28" spans="1:4">
      <c r="A28" t="s">
        <v>5231</v>
      </c>
      <c r="B28" t="s">
        <v>5232</v>
      </c>
      <c r="D28" t="s">
        <v>5235</v>
      </c>
    </row>
    <row r="29" spans="1:4">
      <c r="A29" t="s">
        <v>5231</v>
      </c>
      <c r="B29" t="s">
        <v>5232</v>
      </c>
      <c r="D29" t="s">
        <v>5236</v>
      </c>
    </row>
    <row r="30" spans="1:4">
      <c r="A30" t="s">
        <v>5231</v>
      </c>
      <c r="B30" t="s">
        <v>5237</v>
      </c>
      <c r="D30" t="s">
        <v>5238</v>
      </c>
    </row>
    <row r="31" spans="1:4">
      <c r="A31" t="s">
        <v>5231</v>
      </c>
      <c r="B31" t="s">
        <v>5237</v>
      </c>
      <c r="D31" t="s">
        <v>5239</v>
      </c>
    </row>
    <row r="32" spans="1:4">
      <c r="A32" t="s">
        <v>5231</v>
      </c>
      <c r="B32" t="s">
        <v>5237</v>
      </c>
      <c r="D32" t="s">
        <v>5240</v>
      </c>
    </row>
    <row r="33" spans="1:4">
      <c r="A33" t="s">
        <v>5241</v>
      </c>
      <c r="B33" t="s">
        <v>5242</v>
      </c>
      <c r="C33">
        <v>2215115385</v>
      </c>
    </row>
    <row r="34" spans="1:4">
      <c r="A34" t="s">
        <v>5243</v>
      </c>
      <c r="B34" t="s">
        <v>5244</v>
      </c>
      <c r="C34">
        <v>1158644737</v>
      </c>
      <c r="D34" s="152" t="s">
        <v>5245</v>
      </c>
    </row>
    <row r="35" spans="1:4">
      <c r="A35" t="s">
        <v>5246</v>
      </c>
      <c r="B35" t="s">
        <v>5247</v>
      </c>
      <c r="D35" s="152" t="s">
        <v>5248</v>
      </c>
    </row>
  </sheetData>
  <hyperlinks>
    <hyperlink ref="D2" r:id="rId1" xr:uid="{290164EE-A480-4621-B2BB-AF53CD19EA7A}"/>
    <hyperlink ref="D3" r:id="rId2" xr:uid="{2A8C097D-9A7C-4548-8640-695979DF11B3}"/>
    <hyperlink ref="D4" r:id="rId3" xr:uid="{866EF36C-7CD9-4924-B2D7-2EB0F26AD84A}"/>
    <hyperlink ref="D5" r:id="rId4" xr:uid="{69BA1362-D84B-4A10-AB5D-15B47553AF06}"/>
    <hyperlink ref="D6" r:id="rId5" xr:uid="{DEDAA59F-ED45-4BEE-B2F5-E6CA08E02FA1}"/>
    <hyperlink ref="D7" r:id="rId6" xr:uid="{5C11F79A-FDE3-4086-84F8-B2B84418267D}"/>
    <hyperlink ref="D8" r:id="rId7" xr:uid="{B4F57BFB-72DD-465E-A3F9-60E3D78F7384}"/>
    <hyperlink ref="D10" r:id="rId8" xr:uid="{6F4D2EF8-FB99-4E04-83E7-20FD976E47C8}"/>
    <hyperlink ref="D11" r:id="rId9" xr:uid="{2C01A340-B9A4-4244-8BB5-8ECC423B60A4}"/>
    <hyperlink ref="D12" r:id="rId10" xr:uid="{E161C6CC-80C5-4AD9-9562-90A6AE908865}"/>
    <hyperlink ref="D13" r:id="rId11" xr:uid="{31B6058F-9677-4A3A-ABC0-4F57B8EF67C9}"/>
    <hyperlink ref="D14" r:id="rId12" xr:uid="{2B137AD7-B233-4742-8E7F-D79C430A9B84}"/>
    <hyperlink ref="D15" r:id="rId13" xr:uid="{F929A553-FA90-451A-B409-32093A95B841}"/>
    <hyperlink ref="D16" r:id="rId14" xr:uid="{F6E6E5CD-2C5D-4DD3-9460-11D07FA05B78}"/>
    <hyperlink ref="D9" r:id="rId15" xr:uid="{F523C075-1843-4BF3-8687-56B6F235A076}"/>
    <hyperlink ref="D17" r:id="rId16" xr:uid="{B5B37A28-EE39-4188-B6D2-5C35C846878C}"/>
    <hyperlink ref="D18" r:id="rId17" xr:uid="{9518EC6F-56A1-4B0A-B1F6-65CC2CFF1E2E}"/>
    <hyperlink ref="D25" r:id="rId18" xr:uid="{72AB15FF-5878-4C43-89E0-9D99EE67823F}"/>
    <hyperlink ref="D34" r:id="rId19" xr:uid="{D2D5DD9D-53C6-4B35-9FC8-B8D8AD61005A}"/>
    <hyperlink ref="D35" r:id="rId20" xr:uid="{FA44AC47-226C-46E0-92A6-5BD62D03A07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2024-04-02T23:01:05Z</dcterms:created>
  <dcterms:modified xsi:type="dcterms:W3CDTF">2026-03-05T15:03:47Z</dcterms:modified>
  <cp:category/>
  <cp:contentStatus/>
</cp:coreProperties>
</file>